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<sst xmlns="http://schemas.openxmlformats.org/spreadsheetml/2006/main" count="1361" uniqueCount="753">
  <si>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</si>
  <si>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</si>
  <si>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</si>
  <si>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</si>
  <si>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</si>
  <si>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</si>
  <si>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</si>
  <si>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</si>
  <si>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</si>
  <si>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</si>
  <si>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</si>
  <si>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</si>
  <si>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</si>
  <si>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</si>
  <si>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</si>
  <si>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</si>
  <si>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</si>
  <si>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</si>
  <si>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</si>
  <si>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</si>
  <si>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</si>
  <si>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</si>
  <si>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</si>
  <si>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</si>
  <si>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</si>
  <si>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</si>
  <si>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</si>
  <si>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</si>
  <si>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</si>
  <si>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</si>
  <si>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</si>
  <si>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</si>
  <si>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</si>
  <si>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</si>
  <si>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</si>
  <si>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</si>
  <si>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</si>
  <si>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</si>
  <si>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</si>
  <si>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</si>
  <si>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</si>
  <si>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</si>
  <si>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</si>
  <si>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</si>
  <si>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</si>
  <si>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</si>
  <si>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</si>
  <si>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</si>
  <si>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</si>
  <si>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</si>
  <si>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</si>
  <si>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</si>
  <si>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</si>
  <si>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</si>
  <si>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</si>
  <si>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</si>
  <si>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</si>
  <si>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</si>
  <si>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</si>
  <si>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</si>
  <si>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</si>
  <si>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</si>
  <si>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</si>
  <si>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</si>
  <si>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</si>
  <si>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</si>
  <si>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</si>
  <si>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</si>
  <si>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</si>
  <si>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</si>
  <si>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</si>
  <si>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</si>
  <si>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</si>
  <si>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</si>
  <si>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</si>
  <si>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</si>
  <si>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</si>
  <si>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</si>
  <si>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</si>
  <si>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</si>
  <si>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</si>
  <si>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</si>
  <si>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</si>
  <si>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</si>
  <si>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</si>
  <si>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</si>
  <si>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</si>
  <si>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</si>
  <si>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</si>
  <si>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</si>
  <si>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</si>
  <si>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</si>
  <si>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</si>
  <si>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</si>
  <si>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</si>
  <si>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</si>
  <si>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</si>
  <si>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</si>
  <si>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</si>
  <si>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</si>
  <si>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</si>
  <si>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</si>
  <si>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</si>
  <si>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</si>
  <si>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</si>
  <si>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</si>
  <si>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</si>
  <si>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</si>
  <si>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</si>
  <si>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</si>
  <si>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</si>
  <si>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</si>
  <si>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</si>
  <si>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</si>
  <si>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</si>
  <si>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</si>
  <si>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</si>
  <si>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</si>
  <si>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</si>
  <si>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</si>
  <si>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</si>
  <si>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</si>
  <si>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</si>
  <si>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</si>
  <si>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</si>
  <si>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</si>
  <si>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</si>
  <si>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</si>
  <si>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</si>
  <si>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</si>
  <si>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</si>
  <si>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</si>
  <si>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</si>
  <si>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</si>
  <si>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</si>
  <si>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</si>
  <si>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</si>
  <si>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</si>
  <si>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</si>
  <si>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</si>
  <si>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</si>
  <si>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</si>
  <si>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</si>
  <si>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</si>
  <si>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</si>
  <si>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</si>
  <si>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</si>
  <si>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</si>
  <si>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</si>
  <si>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</si>
  <si>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</si>
  <si>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</si>
  <si>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</si>
  <si>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</si>
  <si>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</si>
  <si>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</si>
  <si>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</si>
  <si>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</si>
  <si>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</si>
  <si>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</si>
  <si>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</si>
  <si>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</si>
  <si>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</si>
  <si>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</si>
  <si>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</si>
  <si>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</si>
  <si>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</si>
  <si>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</si>
  <si>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</si>
  <si>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</si>
  <si>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</si>
  <si>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</si>
  <si>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</si>
  <si>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</si>
  <si>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</si>
  <si>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</si>
  <si>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</si>
  <si>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</si>
  <si>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</si>
  <si>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</si>
  <si>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</si>
  <si>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</si>
  <si>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</si>
  <si>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</si>
  <si>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</si>
  <si>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</si>
  <si>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</si>
  <si>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</si>
  <si>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</si>
  <si>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</si>
  <si>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</si>
  <si>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</si>
  <si>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</si>
  <si>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</si>
  <si>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</si>
  <si>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</si>
  <si>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</si>
  <si>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</si>
  <si>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</si>
  <si>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</si>
  <si>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</si>
  <si>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</si>
  <si>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</si>
  <si>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</si>
  <si>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</si>
  <si>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</si>
  <si>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</si>
  <si>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</si>
  <si>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</si>
  <si>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</si>
  <si>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</si>
  <si>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</si>
  <si>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</si>
  <si>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</si>
  <si>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</si>
  <si>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</si>
  <si>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</si>
  <si>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</si>
  <si>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</si>
  <si>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</si>
  <si>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</si>
  <si>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</si>
  <si>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</si>
  <si>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</si>
  <si>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</si>
  <si>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</si>
  <si>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</si>
  <si>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</si>
  <si>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</si>
  <si>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</si>
  <si>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</si>
  <si>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</si>
  <si>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</si>
  <si>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</si>
  <si>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</si>
  <si>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</si>
  <si>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</si>
  <si>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</si>
  <si>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</si>
  <si>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</si>
  <si>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</si>
  <si>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</si>
  <si>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</si>
  <si>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</si>
  <si>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</si>
  <si>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</si>
  <si>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</si>
  <si>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</si>
  <si>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</si>
  <si>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</si>
  <si>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</si>
  <si>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</si>
  <si>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</si>
  <si>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</si>
  <si>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</si>
  <si>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</si>
  <si>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</si>
  <si>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</si>
  <si>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</si>
  <si>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</si>
  <si>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</si>
  <si>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</si>
  <si>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</si>
  <si>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</si>
  <si>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</si>
  <si>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</si>
  <si>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</si>
  <si>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</si>
  <si>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</si>
  <si>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</si>
  <si>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</si>
  <si>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</si>
  <si>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</si>
  <si>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</si>
  <si>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</si>
  <si>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</si>
  <si>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</si>
  <si>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</si>
  <si>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</si>
  <si>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</si>
  <si>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</si>
  <si>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</si>
  <si>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</si>
  <si>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</si>
  <si>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</si>
  <si>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</si>
  <si>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</si>
  <si>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</si>
  <si>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</si>
  <si>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</si>
  <si>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</si>
  <si>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</si>
  <si>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</si>
  <si>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</si>
  <si>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</si>
  <si>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</si>
  <si>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</si>
  <si>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</si>
  <si>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</si>
  <si>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</si>
  <si>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</si>
  <si>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</si>
  <si>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</si>
  <si>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</si>
  <si>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</si>
  <si>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</si>
  <si>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</si>
  <si>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</si>
  <si>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</si>
  <si>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</si>
  <si>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</si>
  <si>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</si>
  <si>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</si>
  <si>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</si>
  <si>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</si>
  <si>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</si>
  <si>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</si>
  <si>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</si>
  <si>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</si>
  <si>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</si>
  <si>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</si>
  <si>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</si>
  <si>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</si>
  <si>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</si>
  <si>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</si>
  <si>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</si>
  <si>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</si>
  <si>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</si>
  <si>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</si>
  <si>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</si>
  <si>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</si>
  <si>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</si>
  <si>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</si>
  <si>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</si>
  <si>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</si>
  <si>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</si>
  <si>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</si>
  <si>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</si>
  <si>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</si>
  <si>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</si>
  <si>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</si>
  <si>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</si>
  <si>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</si>
  <si>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</si>
  <si>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</si>
  <si>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</si>
  <si>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</si>
  <si>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</si>
  <si>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</si>
  <si>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</si>
  <si>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</si>
  <si>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</si>
  <si>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</si>
  <si>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</si>
  <si>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</si>
  <si>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</si>
  <si>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</si>
  <si>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</si>
  <si>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</si>
  <si>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</si>
  <si>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</si>
  <si>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</si>
  <si>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</si>
  <si>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</si>
  <si>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</si>
  <si>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</si>
  <si>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</si>
  <si>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</si>
  <si>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</si>
  <si>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</si>
  <si>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</si>
  <si>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</si>
  <si>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</si>
  <si>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</si>
  <si>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</si>
  <si>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</si>
  <si>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</si>
  <si>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</si>
  <si>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</si>
  <si>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</si>
  <si>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</si>
  <si>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</si>
  <si>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</si>
  <si>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</si>
  <si>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</si>
  <si>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</si>
  <si>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</si>
  <si>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</si>
  <si>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</si>
  <si>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</si>
  <si>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</si>
  <si>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</si>
  <si>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</si>
  <si>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</si>
  <si>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</si>
  <si>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</si>
  <si>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</si>
  <si>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</si>
  <si>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</si>
  <si>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</si>
  <si>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</si>
  <si>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</si>
  <si>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</si>
  <si>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</si>
  <si>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</si>
  <si>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</si>
  <si>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</si>
  <si>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</si>
  <si>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</si>
  <si>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</si>
  <si>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</si>
  <si>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</si>
  <si>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</si>
  <si>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</si>
  <si>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</si>
  <si>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</si>
  <si>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</si>
  <si>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</si>
  <si>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</si>
  <si>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</si>
  <si>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</si>
  <si>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</si>
  <si>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</si>
  <si>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</si>
  <si>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</si>
  <si>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</si>
  <si>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</si>
  <si>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</si>
  <si>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</si>
  <si>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</si>
  <si>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</si>
  <si>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</si>
  <si>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</si>
  <si>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</si>
  <si>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</si>
  <si>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</si>
  <si>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</si>
  <si>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</si>
  <si>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</si>
  <si>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</si>
  <si>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</si>
  <si>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</si>
  <si>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</si>
  <si>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</si>
  <si>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</si>
  <si>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</si>
  <si>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一买</t>
  </si>
  <si>
    <t xml:space="preserve">海鸥住工</t>
  </si>
  <si>
    <t xml:space="preserve">002084</t>
  </si>
  <si>
    <t xml:space="preserve">移远通信</t>
  </si>
  <si>
    <t xml:space="preserve">603236</t>
  </si>
  <si>
    <t xml:space="preserve">皇氏集团</t>
  </si>
  <si>
    <t xml:space="preserve">002329</t>
  </si>
  <si>
    <t xml:space="preserve">九安医疗</t>
  </si>
  <si>
    <t xml:space="preserve">002432</t>
  </si>
  <si>
    <t xml:space="preserve">丽珠集团</t>
  </si>
  <si>
    <t xml:space="preserve">000513</t>
  </si>
  <si>
    <t xml:space="preserve">绿康生化</t>
  </si>
  <si>
    <t xml:space="preserve">002868</t>
  </si>
  <si>
    <t xml:space="preserve">欢瑞世纪</t>
  </si>
  <si>
    <t xml:space="preserve">000892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</si>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</sst>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核心池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核心池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46238</v>
      </c>
      <c r="B2" s="65" t="s">
        <v>407</v>
      </c>
      <c r="C2" s="66" t="s">
        <v>408</v>
      </c>
      <c r="D2" s="66" t="n">
        <v>8.52</v>
      </c>
      <c r="E2" s="66" t="n">
        <v>8.52</v>
      </c>
      <c r="F2" s="66" t="n">
        <v>8.09</v>
      </c>
      <c r="G2" s="66" t="n">
        <v>0.0641971615443146</v>
      </c>
      <c r="H2" s="66" t="n">
        <v>0.948588344258735</v>
      </c>
      <c r="I2" s="66" t="s">
        <v>178</v>
      </c>
      <c r="J2" s="65" t="s">
        <v>446</v>
      </c>
      <c r="K2" s="67" t="str">
        <f aca="false">IF($A2="","",IF(AND(G2&lt;20%,H2&gt;0.9),"核心池",IF(AND(H2&gt;=0.85),"观察池",IF(AND(H2&gt;=0.8),"边缘池",""))))</f>
        <v>核心池</v>
      </c>
      <c r="L2" s="68" t="str">
        <f aca="false">IF($A2="","",IF(AND(G2&lt;60%,H2&gt;0.8,I2="True"),"是","否"))</f>
        <v>是</v>
      </c>
      <c r="M2" s="68" t="str">
        <f aca="false">IF($A2="","",IF(AND(D2&gt;0,E2&gt;0,D2&lt;=E2*1.02),"是","否"))</f>
        <v>是</v>
      </c>
      <c r="N2" s="66" t="str">
        <f aca="false">IFERROR(INDEX(账户总表!$O:$O,COUNTA(账户总表!$A:$A)),0)</f>
        <v/>
      </c>
      <c r="O2" s="66" t="n">
        <f aca="false">IFERROR(INDEX(账户总表!$B:$B,COUNTA(账户总表!$A:$A))*N2,0)</f>
        <v>0</v>
      </c>
      <c r="P2" s="66" t="n">
        <f aca="false">IFERROR(O2/D2,0)</f>
        <v>0</v>
      </c>
      <c r="Q2" s="66" t="n">
        <f aca="false">IFERROR(FLOOR(P2,100),0)</f>
        <v>0</v>
      </c>
      <c r="R2" s="66" t="n">
        <f aca="false">IFERROR(CEILING(800/(100*D2),1)*100,0)</f>
        <v>100</v>
      </c>
      <c r="S2" s="66"/>
      <c r="T2" s="66" t="n">
        <f aca="false">IFERROR(S2*D2,0)</f>
        <v>0</v>
      </c>
      <c r="U2" s="66" t="n">
        <f aca="false">IFERROR(T2/INDEX(账户总表!$B:$B,COUNTA(账户总表!$A:$A)),0)</f>
        <v>0</v>
      </c>
      <c r="V2" s="69" t="n">
        <f aca="false">IFERROR(INDEX(账户总表!$E:$E,COUNTA(账户总表!$A:$A))+U2,0)</f>
        <v>0</v>
      </c>
      <c r="W2" s="68" t="str">
        <f aca="false">IF($A2="","",IFERROR(IF(V2&lt;=INDEX(账户总表!$N:$N,COUNTA(账户总表!$A:$A)),"是","否"),"否"))</f>
        <v>是</v>
      </c>
      <c r="X2" s="66" t="n">
        <f aca="false">IF($A2="","",MAX(F2*0.98,D2*0.92))</f>
        <v>7.9282</v>
      </c>
      <c r="Y2" s="66"/>
      <c r="Z2" s="68" t="str">
        <f aca="false">IF($A2="","",IFERROR(IF(AND(T2&gt;INDEX(账户总表!$C:$C,COUNTA(账户总表!$A:$A)),L2="是"),"是","否"),"否"))</f>
        <v>否</v>
      </c>
      <c r="AA2" s="66" t="n">
        <f aca="false">IF($A2="","",IFERROR(IF(Z2="是",MAX(0,T2-INDEX(账户总表!$C:$C,COUNTA(账户总表!$A:$A)),IF(N2&gt;0,T2/N2-INDEX(账户总表!$B:$B,COUNTA(账户总表!$A:$A)),0)),0),0))</f>
        <v>0</v>
      </c>
      <c r="AB2" s="66" t="n">
        <f aca="false">IF($A2="","",IF(AND(Z2="是",INDEX(账户总表!$U:$U,COUNTA(账户总表!$A:$A))="是"),IF(INDEX(账户总表!$L:$L,COUNTA(账户总表!$A:$A))&gt;=4,AA2*1.5,AA2),0))</f>
        <v>0</v>
      </c>
      <c r="AC2" s="68" t="str">
        <f aca="false">IF($A2="","",IF(AND(L2="是",Q2&gt;=R2,S2&lt;=Q2,S2&gt;=R2,W2="是",X2&gt;0,M2="是",INDEX(账户总表!$M:$M,COUNTA(账户总表!$A:$A))&lt;=2,INDEX(账户总表!$V:$V,COUNTA(账户总表!$A:$A))="是",OR(T2&lt;=INDEX(账户总表!$C:$C,COUNTA(账户总表!$A:$A)),AND(Z2="是",INDEX(账户总表!$U:$U,COUNTA(账户总表!$A:$A))="是",AB2&gt;0))),"是","否"))</f>
        <v>否</v>
      </c>
      <c r="AD2" s="66" t="str">
        <f aca="false"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COUNTA(账户总表!$A:$A))&gt;2,"亏钱效应偏高",IF(INDEX(账户总表!$V:$V,COUNTA(账户总表!$A:$A))&lt;&gt;"是","账户不允许新开仓",IF(AND(T2&gt;INDEX(账户总表!$C:$C,COUNTA(账户总表!$A:$A)),INDEX(账户总表!$U:$U,COUNTA(账户总表!$A:$A))&lt;&gt;"是"),"现金不足且不允许转入",IF(AND(Z2="是",AB2&lt;=0),"转入金额未满足",""))))))))))))</f>
        <v>100股约束不满足</v>
      </c>
      <c r="AE2" s="66"/>
      <c r="AF2" s="1" t="n">
        <f aca="false">IF($A2="","",D2*100)</f>
        <v>852</v>
      </c>
      <c r="AG2" s="1" t="n">
        <f aca="false">IF($A2="","",IFERROR(AF2/INDEX(账户总表!$B:$B,COUNTA(账户总表!$A:$A)),0))</f>
        <v>0</v>
      </c>
      <c r="AH2" s="1" t="n">
        <f aca="false">IF($A2="","",IFERROR(INDEX(账户总表!$B:$B,COUNTA(账户总表!$A:$A))*INDEX(账户总表!$O:$O,COUNTA(账户总表!$A:$A)),0))</f>
        <v>0</v>
      </c>
      <c r="AI2" s="1" t="str">
        <f aca="false">IF($A2="","",IF(AF2&gt;AH2,"超限","合规"))</f>
        <v>超限</v>
      </c>
      <c r="AJ2" s="1" t="n">
        <f aca="false">IF($A2="","",IFERROR(AF2/INDEX(账户总表!$O:$O,COUNTA(账户总表!$A:$A)),0))</f>
        <v>0</v>
      </c>
      <c r="AK2" s="1" t="n">
        <f aca="false">IF($A2="","",IFERROR(MAX(0,AJ2-INDEX(账户总表!$B:$B,COUNTA(账户总表!$A:$A)),AF2-INDEX(账户总表!$C:$C,COUNTA(账户总表!$A:$A))),0))</f>
        <v>852</v>
      </c>
      <c r="AL2" s="1" t="str">
        <f aca="false">IF($A2="","",IF(COUNTIF(持仓表!$C$2:$C$201,C2)&gt;0,"已有","新标的"))</f>
        <v>新标的</v>
      </c>
      <c r="AM2" s="1" t="n">
        <f aca="false">IF($A2="","",IFERROR(SUMIFS(持仓表!$N$2:$N$201,持仓表!$C$2:$C$201,C2,持仓表!$A$2:$A$201,$A2),0))</f>
        <v>0</v>
      </c>
      <c r="AN2" s="1" t="n">
        <f aca="false">IF($A2="","",IFERROR(AM2+AF2/INDEX(账户总表!$B:$B,COUNTA(账户总表!$A:$A)),0))</f>
        <v>0</v>
      </c>
      <c r="AO2" s="1" t="str">
        <f aca="false">IF($A2="","",IF(AN2&gt;INDEX(账户总表!$O:$O,COUNTA(账户总表!$A:$A)),"超限","合规"))</f>
        <v>合规</v>
      </c>
      <c r="AP2" s="1" t="str">
        <f aca="false">IF($A2="","",IF(AND(AL2="新标的",INDEX(账户总表!$R:$R,COUNTA(账户总表!$A:$A))&gt;=INDEX(账户总表!$S:$S,COUNTA(账户总表!$A:$A))),"新增受限","可通过"))</f>
        <v>新增受限</v>
      </c>
      <c r="AQ2" s="1" t="str">
        <f aca="false">IF($A2="","",IF(K2&lt;&gt;"核心池","非核心池",IF(OR(AI2="超限",AO2="超限",AP2="新增受限"),IF(AND(AT2="★信号强化",AS2&gt;=3),"可加仓(动态上限)","不可加仓"),"可加仓")))</f>
        <v>不可加仓</v>
      </c>
      <c r="AR2" s="1" t="str">
        <f aca="false">IF($A2="","",TRIM(IF(AI2="超限","1手超单股上限；","")&amp;IF(AO2="超限","买后仓位超限；","")&amp;IF(AP2="新增受限","有效持仓数超限；","")&amp;IF(AF2&gt;INDEX(账户总表!$C:$C,COUNTA(账户总表!$A:$A)),"现金不足；","")))</f>
        <v>1手超单股上限；有效持仓数超限；现金不足；</v>
      </c>
      <c r="AU2" s="1" t="str">
        <f aca="false">IF($A2="","",IF(AK2&gt;30000-INDEX(账户总表!$B:$B,COUNTA(账户总表!$A:$A)),"不适合婴儿阶段","可纳入幼儿路径"))</f>
        <v>可纳入幼儿路径</v>
      </c>
    </row>
    <row r="3" customFormat="false" ht="15" hidden="false" customHeight="true" outlineLevel="0" collapsed="false">
      <c r="A3" s="70" t="n">
        <v>46238</v>
      </c>
      <c r="B3" s="71" t="s">
        <v>447</v>
      </c>
      <c r="C3" s="72" t="s">
        <v>448</v>
      </c>
      <c r="D3" s="72" t="n">
        <v>3.52</v>
      </c>
      <c r="E3" s="72" t="n">
        <v>3.52</v>
      </c>
      <c r="F3" s="72" t="n">
        <v>3.34</v>
      </c>
      <c r="G3" s="72" t="n">
        <v>0.208907321786792</v>
      </c>
      <c r="H3" s="72" t="n">
        <v>0.894690270527264</v>
      </c>
      <c r="I3" s="72" t="s">
        <v>178</v>
      </c>
      <c r="J3" s="71" t="s">
        <v>446</v>
      </c>
      <c r="K3" s="73" t="str">
        <f aca="false">IF($A3="","",IF(AND(G3&lt;20%,H3&gt;0.9),"核心池",IF(AND(H3&gt;=0.85),"观察池",IF(AND(H3&gt;=0.8),"边缘池",""))))</f>
        <v>观察池</v>
      </c>
      <c r="L3" s="74" t="str">
        <f aca="false">IF($A3="","",IF(AND(G3&lt;60%,H3&gt;0.8,I3="True"),"是","否"))</f>
        <v>是</v>
      </c>
      <c r="M3" s="74" t="str">
        <f aca="false">IF($A3="","",IF(AND(D3&gt;0,E3&gt;0,D3&lt;=E3*1.02),"是","否"))</f>
        <v>是</v>
      </c>
      <c r="N3" s="72" t="str">
        <f aca="false">IFERROR(INDEX(账户总表!$O:$O,COUNTA(账户总表!$A:$A)),0)</f>
        <v/>
      </c>
      <c r="O3" s="72" t="n">
        <f aca="false">IFERROR(INDEX(账户总表!$B:$B,COUNTA(账户总表!$A:$A))*N3,0)</f>
        <v>0</v>
      </c>
      <c r="P3" s="72" t="n">
        <f aca="false">IFERROR(O3/D3,0)</f>
        <v>0</v>
      </c>
      <c r="Q3" s="72" t="n">
        <f aca="false">IFERROR(FLOOR(P3,100),0)</f>
        <v>0</v>
      </c>
      <c r="R3" s="72" t="n">
        <f aca="false">IFERROR(CEILING(800/(100*D3),1)*100,0)</f>
        <v>300</v>
      </c>
      <c r="S3" s="72"/>
      <c r="T3" s="72" t="n">
        <f aca="false">IFERROR(S3*D3,0)</f>
        <v>0</v>
      </c>
      <c r="U3" s="72" t="n">
        <f aca="false">IFERROR(T3/INDEX(账户总表!$B:$B,COUNTA(账户总表!$A:$A)),0)</f>
        <v>0</v>
      </c>
      <c r="V3" s="75" t="n">
        <f aca="false">IFERROR(INDEX(账户总表!$E:$E,COUNTA(账户总表!$A:$A))+U3,0)</f>
        <v>0</v>
      </c>
      <c r="W3" s="74" t="str">
        <f aca="false">IF($A3="","",IFERROR(IF(V3&lt;=INDEX(账户总表!$N:$N,COUNTA(账户总表!$A:$A)),"是","否"),"否"))</f>
        <v>是</v>
      </c>
      <c r="X3" s="72" t="n">
        <f aca="false">IF($A3="","",MAX(F3*0.98,D3*0.92))</f>
        <v>3.2732</v>
      </c>
      <c r="Y3" s="72"/>
      <c r="Z3" s="74" t="str">
        <f aca="false">IF($A3="","",IFERROR(IF(AND(T3&gt;INDEX(账户总表!$C:$C,COUNTA(账户总表!$A:$A)),L3="是"),"是","否"),"否"))</f>
        <v>否</v>
      </c>
      <c r="AA3" s="72" t="n">
        <f aca="false">IF($A3="","",IFERROR(IF(Z3="是",MAX(0,T3-INDEX(账户总表!$C:$C,COUNTA(账户总表!$A:$A)),IF(N3&gt;0,T3/N3-INDEX(账户总表!$B:$B,COUNTA(账户总表!$A:$A)),0)),0),0))</f>
        <v>0</v>
      </c>
      <c r="AB3" s="72" t="n">
        <f aca="false">IF($A3="","",IF(AND(Z3="是",INDEX(账户总表!$U:$U,COUNTA(账户总表!$A:$A))="是"),IF(INDEX(账户总表!$L:$L,COUNTA(账户总表!$A:$A))&gt;=4,AA3*1.5,AA3),0))</f>
        <v>0</v>
      </c>
      <c r="AC3" s="74" t="str">
        <f aca="false">IF($A3="","",IF(AND(L3="是",Q3&gt;=R3,S3&lt;=Q3,S3&gt;=R3,W3="是",X3&gt;0,M3="是",INDEX(账户总表!$M:$M,COUNTA(账户总表!$A:$A))&lt;=2,INDEX(账户总表!$V:$V,COUNTA(账户总表!$A:$A))="是",OR(T3&lt;=INDEX(账户总表!$C:$C,COUNTA(账户总表!$A:$A)),AND(Z3="是",INDEX(账户总表!$U:$U,COUNTA(账户总表!$A:$A))="是",AB3&gt;0))),"是","否"))</f>
        <v>否</v>
      </c>
      <c r="AD3" s="72" t="str">
        <f aca="false"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COUNTA(账户总表!$A:$A))&gt;2,"亏钱效应偏高",IF(INDEX(账户总表!$V:$V,COUNTA(账户总表!$A:$A))&lt;&gt;"是","账户不允许新开仓",IF(AND(T3&gt;INDEX(账户总表!$C:$C,COUNTA(账户总表!$A:$A)),INDEX(账户总表!$U:$U,COUNTA(账户总表!$A:$A))&lt;&gt;"是"),"现金不足且不允许转入",IF(AND(Z3="是",AB3&lt;=0),"转入金额未满足",""))))))))))))</f>
        <v>100股约束不满足</v>
      </c>
      <c r="AE3" s="72"/>
      <c r="AF3" s="1" t="n">
        <f aca="false">IF($A3="","",D3*100)</f>
        <v>352</v>
      </c>
      <c r="AG3" s="1" t="n">
        <f aca="false">IF($A3="","",IFERROR(AF3/INDEX(账户总表!$B:$B,COUNTA(账户总表!$A:$A)),0))</f>
        <v>0</v>
      </c>
      <c r="AH3" s="1" t="n">
        <f aca="false">IF($A3="","",IFERROR(INDEX(账户总表!$B:$B,COUNTA(账户总表!$A:$A))*INDEX(账户总表!$O:$O,COUNTA(账户总表!$A:$A)),0))</f>
        <v>0</v>
      </c>
      <c r="AI3" s="1" t="str">
        <f aca="false">IF($A3="","",IF(AF3&gt;AH3,"超限","合规"))</f>
        <v>超限</v>
      </c>
      <c r="AJ3" s="1" t="n">
        <f aca="false">IF($A3="","",IFERROR(AF3/INDEX(账户总表!$O:$O,COUNTA(账户总表!$A:$A)),0))</f>
        <v>0</v>
      </c>
      <c r="AK3" s="1" t="n">
        <f aca="false">IF($A3="","",IFERROR(MAX(0,AJ3-INDEX(账户总表!$B:$B,COUNTA(账户总表!$A:$A)),AF3-INDEX(账户总表!$C:$C,COUNTA(账户总表!$A:$A))),0))</f>
        <v>352</v>
      </c>
      <c r="AL3" s="1" t="str">
        <f aca="false">IF($A3="","",IF(COUNTIF(持仓表!$C$2:$C$201,C3)&gt;0,"已有","新标的"))</f>
        <v>新标的</v>
      </c>
      <c r="AM3" s="1" t="n">
        <f aca="false">IF($A3="","",IFERROR(SUMIFS(持仓表!$N$2:$N$201,持仓表!$C$2:$C$201,C3,持仓表!$A$2:$A$201,$A3),0))</f>
        <v>0</v>
      </c>
      <c r="AN3" s="1" t="n">
        <f aca="false">IF($A3="","",IFERROR(AM3+AF3/INDEX(账户总表!$B:$B,COUNTA(账户总表!$A:$A)),0))</f>
        <v>0</v>
      </c>
      <c r="AO3" s="1" t="str">
        <f aca="false">IF($A3="","",IF(AN3&gt;INDEX(账户总表!$O:$O,COUNTA(账户总表!$A:$A)),"超限","合规"))</f>
        <v>合规</v>
      </c>
      <c r="AP3" s="1" t="str">
        <f aca="false">IF($A3="","",IF(AND(AL3="新标的",INDEX(账户总表!$R:$R,COUNTA(账户总表!$A:$A))&gt;=INDEX(账户总表!$S:$S,COUNTA(账户总表!$A:$A))),"新增受限","可通过"))</f>
        <v>新增受限</v>
      </c>
      <c r="AQ3" s="1" t="str">
        <f aca="false">IF($A3="","",IF(K3&lt;&gt;"核心池","非核心池",IF(OR(AI3="超限",AO3="超限",AP3="新增受限"),IF(AND(AT3="★信号强化",AS3&gt;=3),"可加仓(动态上限)","不可加仓"),"可加仓")))</f>
        <v>非核心池</v>
      </c>
      <c r="AR3" s="1" t="str">
        <f aca="false">IF($A3="","",TRIM(IF(AI3="超限","1手超单股上限；","")&amp;IF(AO3="超限","买后仓位超限；","")&amp;IF(AP3="新增受限","有效持仓数超限；","")&amp;IF(AF3&gt;INDEX(账户总表!$C:$C,COUNTA(账户总表!$A:$A)),"现金不足；","")))</f>
        <v>1手超单股上限；有效持仓数超限；现金不足；</v>
      </c>
      <c r="AU3" s="1" t="str">
        <f aca="false">IF($A3="","",IF(AK3&gt;30000-INDEX(账户总表!$B:$B,COUNTA(账户总表!$A:$A)),"不适合婴儿阶段","可纳入幼儿路径"))</f>
        <v>可纳入幼儿路径</v>
      </c>
    </row>
    <row r="4" customFormat="false" ht="15" hidden="false" customHeight="true" outlineLevel="0" collapsed="false">
      <c r="A4" s="70" t="n">
        <v>46238</v>
      </c>
      <c r="B4" s="71" t="s">
        <v>403</v>
      </c>
      <c r="C4" s="72" t="s">
        <v>404</v>
      </c>
      <c r="D4" s="72" t="n">
        <v>6.2</v>
      </c>
      <c r="E4" s="72" t="n">
        <v>6.2</v>
      </c>
      <c r="F4" s="72" t="n">
        <v>5.89</v>
      </c>
      <c r="G4" s="72" t="n">
        <v>0.183384031552292</v>
      </c>
      <c r="H4" s="72" t="n">
        <v>0.886184351423165</v>
      </c>
      <c r="I4" s="72" t="s">
        <v>178</v>
      </c>
      <c r="J4" s="71" t="s">
        <v>446</v>
      </c>
      <c r="K4" s="73" t="str">
        <f aca="false">IF($A4="","",IF(AND(G4&lt;20%,H4&gt;0.9),"核心池",IF(AND(H4&gt;=0.85),"观察池",IF(AND(H4&gt;=0.8),"边缘池",""))))</f>
        <v>观察池</v>
      </c>
      <c r="L4" s="74" t="str">
        <f aca="false">IF($A4="","",IF(AND(G4&lt;60%,H4&gt;0.8,I4="True"),"是","否"))</f>
        <v>是</v>
      </c>
      <c r="M4" s="74" t="str">
        <f aca="false">IF($A4="","",IF(AND(D4&gt;0,E4&gt;0,D4&lt;=E4*1.02),"是","否"))</f>
        <v>是</v>
      </c>
      <c r="N4" s="72" t="str">
        <f aca="false">IFERROR(INDEX(账户总表!$O:$O,COUNTA(账户总表!$A:$A)),0)</f>
        <v/>
      </c>
      <c r="O4" s="72" t="n">
        <f aca="false">IFERROR(INDEX(账户总表!$B:$B,COUNTA(账户总表!$A:$A))*N4,0)</f>
        <v>0</v>
      </c>
      <c r="P4" s="72" t="n">
        <f aca="false">IFERROR(O4/D4,0)</f>
        <v>0</v>
      </c>
      <c r="Q4" s="72" t="n">
        <f aca="false">IFERROR(FLOOR(P4,100),0)</f>
        <v>0</v>
      </c>
      <c r="R4" s="72" t="n">
        <f aca="false">IFERROR(CEILING(800/(100*D4),1)*100,0)</f>
        <v>200</v>
      </c>
      <c r="S4" s="72"/>
      <c r="T4" s="72" t="n">
        <f aca="false">IFERROR(S4*D4,0)</f>
        <v>0</v>
      </c>
      <c r="U4" s="72" t="n">
        <f aca="false">IFERROR(T4/INDEX(账户总表!$B:$B,COUNTA(账户总表!$A:$A)),0)</f>
        <v>0</v>
      </c>
      <c r="V4" s="75" t="n">
        <f aca="false">IFERROR(INDEX(账户总表!$E:$E,COUNTA(账户总表!$A:$A))+U4,0)</f>
        <v>0</v>
      </c>
      <c r="W4" s="74" t="str">
        <f aca="false">IF($A4="","",IFERROR(IF(V4&lt;=INDEX(账户总表!$N:$N,COUNTA(账户总表!$A:$A)),"是","否"),"否"))</f>
        <v>是</v>
      </c>
      <c r="X4" s="72" t="n">
        <f aca="false">IF($A4="","",MAX(F4*0.98,D4*0.92))</f>
        <v>5.7722</v>
      </c>
      <c r="Y4" s="72"/>
      <c r="Z4" s="74" t="str">
        <f aca="false">IF($A4="","",IFERROR(IF(AND(T4&gt;INDEX(账户总表!$C:$C,COUNTA(账户总表!$A:$A)),L4="是"),"是","否"),"否"))</f>
        <v>否</v>
      </c>
      <c r="AA4" s="72" t="n">
        <f aca="false">IF($A4="","",IFERROR(IF(Z4="是",MAX(0,T4-INDEX(账户总表!$C:$C,COUNTA(账户总表!$A:$A)),IF(N4&gt;0,T4/N4-INDEX(账户总表!$B:$B,COUNTA(账户总表!$A:$A)),0)),0),0))</f>
        <v>0</v>
      </c>
      <c r="AB4" s="72" t="n">
        <f aca="false">IF($A4="","",IF(AND(Z4="是",INDEX(账户总表!$U:$U,COUNTA(账户总表!$A:$A))="是"),IF(INDEX(账户总表!$L:$L,COUNTA(账户总表!$A:$A))&gt;=4,AA4*1.5,AA4),0))</f>
        <v>0</v>
      </c>
      <c r="AC4" s="74" t="str">
        <f aca="false">IF($A4="","",IF(AND(L4="是",Q4&gt;=R4,S4&lt;=Q4,S4&gt;=R4,W4="是",X4&gt;0,M4="是",INDEX(账户总表!$M:$M,COUNTA(账户总表!$A:$A))&lt;=2,INDEX(账户总表!$V:$V,COUNTA(账户总表!$A:$A))="是",OR(T4&lt;=INDEX(账户总表!$C:$C,COUNTA(账户总表!$A:$A)),AND(Z4="是",INDEX(账户总表!$U:$U,COUNTA(账户总表!$A:$A))="是",AB4&gt;0))),"是","否"))</f>
        <v>否</v>
      </c>
      <c r="AD4" s="72" t="str">
        <f aca="false">IF($A4="","",IF(L4&lt;&gt;"是","信号未确认",IF(X4&lt;=0,"止损价未定义",IF(Q4&lt;R4,"100股约束不满足",IF(S4&gt;Q4,"计划股数超单股上限",IF(S4&lt;R4,"计划股数低于最小门槛",IF(W4&lt;&gt;"是","总仓位超限",IF(M4&lt;&gt;"是","追价",IF(INDEX(账户总表!$M:$M,COUNTA(账户总表!$A:$A))&gt;2,"亏钱效应偏高",IF(INDEX(账户总表!$V:$V,COUNTA(账户总表!$A:$A))&lt;&gt;"是","账户不允许新开仓",IF(AND(T4&gt;INDEX(账户总表!$C:$C,COUNTA(账户总表!$A:$A)),INDEX(账户总表!$U:$U,COUNTA(账户总表!$A:$A))&lt;&gt;"是"),"现金不足且不允许转入",IF(AND(Z4="是",AB4&lt;=0),"转入金额未满足",""))))))))))))</f>
        <v>100股约束不满足</v>
      </c>
      <c r="AE4" s="72"/>
      <c r="AF4" s="1" t="n">
        <f aca="false">IF($A4="","",D4*100)</f>
        <v>620</v>
      </c>
      <c r="AG4" s="1" t="n">
        <f aca="false">IF($A4="","",IFERROR(AF4/INDEX(账户总表!$B:$B,COUNTA(账户总表!$A:$A)),0))</f>
        <v>0</v>
      </c>
      <c r="AH4" s="1" t="n">
        <f aca="false">IF($A4="","",IFERROR(INDEX(账户总表!$B:$B,COUNTA(账户总表!$A:$A))*INDEX(账户总表!$O:$O,COUNTA(账户总表!$A:$A)),0))</f>
        <v>0</v>
      </c>
      <c r="AI4" s="1" t="str">
        <f aca="false">IF($A4="","",IF(AF4&gt;AH4,"超限","合规"))</f>
        <v>超限</v>
      </c>
      <c r="AJ4" s="1" t="n">
        <f aca="false">IF($A4="","",IFERROR(AF4/INDEX(账户总表!$O:$O,COUNTA(账户总表!$A:$A)),0))</f>
        <v>0</v>
      </c>
      <c r="AK4" s="1" t="n">
        <f aca="false">IF($A4="","",IFERROR(MAX(0,AJ4-INDEX(账户总表!$B:$B,COUNTA(账户总表!$A:$A)),AF4-INDEX(账户总表!$C:$C,COUNTA(账户总表!$A:$A))),0))</f>
        <v>620</v>
      </c>
      <c r="AL4" s="1" t="str">
        <f aca="false">IF($A4="","",IF(COUNTIF(持仓表!$C$2:$C$201,C4)&gt;0,"已有","新标的"))</f>
        <v>新标的</v>
      </c>
      <c r="AM4" s="1" t="n">
        <f aca="false">IF($A4="","",IFERROR(SUMIFS(持仓表!$N$2:$N$201,持仓表!$C$2:$C$201,C4,持仓表!$A$2:$A$201,$A4),0))</f>
        <v>0</v>
      </c>
      <c r="AN4" s="1" t="n">
        <f aca="false">IF($A4="","",IFERROR(AM4+AF4/INDEX(账户总表!$B:$B,COUNTA(账户总表!$A:$A)),0))</f>
        <v>0</v>
      </c>
      <c r="AO4" s="1" t="str">
        <f aca="false">IF($A4="","",IF(AN4&gt;INDEX(账户总表!$O:$O,COUNTA(账户总表!$A:$A)),"超限","合规"))</f>
        <v>合规</v>
      </c>
      <c r="AP4" s="1" t="str">
        <f aca="false">IF($A4="","",IF(AND(AL4="新标的",INDEX(账户总表!$R:$R,COUNTA(账户总表!$A:$A))&gt;=INDEX(账户总表!$S:$S,COUNTA(账户总表!$A:$A))),"新增受限","可通过"))</f>
        <v>新增受限</v>
      </c>
      <c r="AQ4" s="1" t="str">
        <f aca="false">IF($A4="","",IF(K4&lt;&gt;"核心池","非核心池",IF(OR(AI4="超限",AO4="超限",AP4="新增受限"),IF(AND(AT4="★信号强化",AS4&gt;=3),"可加仓(动态上限)","不可加仓"),"可加仓")))</f>
        <v>非核心池</v>
      </c>
      <c r="AR4" s="1" t="str">
        <f aca="false">IF($A4="","",TRIM(IF(AI4="超限","1手超单股上限；","")&amp;IF(AO4="超限","买后仓位超限；","")&amp;IF(AP4="新增受限","有效持仓数超限；","")&amp;IF(AF4&gt;INDEX(账户总表!$C:$C,COUNTA(账户总表!$A:$A)),"现金不足；","")))</f>
        <v>1手超单股上限；有效持仓数超限；现金不足；</v>
      </c>
      <c r="AU4" s="1" t="str">
        <f aca="false">IF($A4="","",IF(AK4&gt;30000-INDEX(账户总表!$B:$B,COUNTA(账户总表!$A:$A)),"不适合婴儿阶段","可纳入幼儿路径"))</f>
        <v>可纳入幼儿路径</v>
      </c>
    </row>
    <row r="5" customFormat="false" ht="15" hidden="false" customHeight="true" outlineLevel="0" collapsed="false">
      <c r="A5" s="76" t="n">
        <v>46238</v>
      </c>
      <c r="B5" s="77" t="s">
        <v>449</v>
      </c>
      <c r="C5" s="78" t="s">
        <v>450</v>
      </c>
      <c r="D5" s="78" t="n">
        <v>46.39</v>
      </c>
      <c r="E5" s="78" t="n">
        <v>46.39</v>
      </c>
      <c r="F5" s="78" t="n">
        <v>44.07</v>
      </c>
      <c r="G5" s="78" t="n">
        <v>0.295813555344296</v>
      </c>
      <c r="H5" s="78" t="n">
        <v>0.804830911362584</v>
      </c>
      <c r="I5" s="78" t="s">
        <v>178</v>
      </c>
      <c r="J5" s="77" t="s">
        <v>446</v>
      </c>
      <c r="K5" s="79" t="str">
        <f aca="false">IF($A5="","",IF(AND(G5&lt;20%,H5&gt;0.9),"核心池",IF(AND(H5&gt;=0.85),"观察池",IF(AND(H5&gt;=0.8),"边缘池",""))))</f>
        <v>边缘池</v>
      </c>
      <c r="L5" s="80" t="str">
        <f aca="false">IF($A5="","",IF(AND(G5&lt;60%,H5&gt;0.8,I5="True"),"是","否"))</f>
        <v>是</v>
      </c>
      <c r="M5" s="80" t="str">
        <f aca="false">IF($A5="","",IF(AND(D5&gt;0,E5&gt;0,D5&lt;=E5*1.02),"是","否"))</f>
        <v>是</v>
      </c>
      <c r="N5" s="78" t="str">
        <f aca="false">IFERROR(INDEX(账户总表!$O:$O,COUNTA(账户总表!$A:$A)),0)</f>
        <v/>
      </c>
      <c r="O5" s="78" t="n">
        <f aca="false">IFERROR(INDEX(账户总表!$B:$B,COUNTA(账户总表!$A:$A))*N5,0)</f>
        <v>0</v>
      </c>
      <c r="P5" s="78" t="n">
        <f aca="false">IFERROR(O5/D5,0)</f>
        <v>0</v>
      </c>
      <c r="Q5" s="78" t="n">
        <f aca="false">IFERROR(FLOOR(P5,100),0)</f>
        <v>0</v>
      </c>
      <c r="R5" s="78" t="n">
        <f aca="false">IFERROR(CEILING(800/(100*D5),1)*100,0)</f>
        <v>100</v>
      </c>
      <c r="S5" s="78"/>
      <c r="T5" s="78" t="n">
        <f aca="false">IFERROR(S5*D5,0)</f>
        <v>0</v>
      </c>
      <c r="U5" s="78" t="n">
        <f aca="false">IFERROR(T5/INDEX(账户总表!$B:$B,COUNTA(账户总表!$A:$A)),0)</f>
        <v>0</v>
      </c>
      <c r="V5" s="81" t="n">
        <f aca="false">IFERROR(INDEX(账户总表!$E:$E,COUNTA(账户总表!$A:$A))+U5,0)</f>
        <v>0</v>
      </c>
      <c r="W5" s="80" t="str">
        <f aca="false">IF($A5="","",IFERROR(IF(V5&lt;=INDEX(账户总表!$N:$N,COUNTA(账户总表!$A:$A)),"是","否"),"否"))</f>
        <v>是</v>
      </c>
      <c r="X5" s="78" t="n">
        <f aca="false">IF($A5="","",MAX(F5*0.98,D5*0.92))</f>
        <v>43.1886</v>
      </c>
      <c r="Y5" s="78"/>
      <c r="Z5" s="80" t="str">
        <f aca="false">IF($A5="","",IFERROR(IF(AND(T5&gt;INDEX(账户总表!$C:$C,COUNTA(账户总表!$A:$A)),L5="是"),"是","否"),"否"))</f>
        <v>否</v>
      </c>
      <c r="AA5" s="78" t="n">
        <f aca="false">IF($A5="","",IFERROR(IF(Z5="是",MAX(0,T5-INDEX(账户总表!$C:$C,COUNTA(账户总表!$A:$A)),IF(N5&gt;0,T5/N5-INDEX(账户总表!$B:$B,COUNTA(账户总表!$A:$A)),0)),0),0))</f>
        <v>0</v>
      </c>
      <c r="AB5" s="78" t="n">
        <f aca="false">IF($A5="","",IF(AND(Z5="是",INDEX(账户总表!$U:$U,COUNTA(账户总表!$A:$A))="是"),IF(INDEX(账户总表!$L:$L,COUNTA(账户总表!$A:$A))&gt;=4,AA5*1.5,AA5),0))</f>
        <v>0</v>
      </c>
      <c r="AC5" s="80" t="str">
        <f aca="false">IF($A5="","",IF(AND(L5="是",Q5&gt;=R5,S5&lt;=Q5,S5&gt;=R5,W5="是",X5&gt;0,M5="是",INDEX(账户总表!$M:$M,COUNTA(账户总表!$A:$A))&lt;=2,INDEX(账户总表!$V:$V,COUNTA(账户总表!$A:$A))="是",OR(T5&lt;=INDEX(账户总表!$C:$C,COUNTA(账户总表!$A:$A)),AND(Z5="是",INDEX(账户总表!$U:$U,COUNTA(账户总表!$A:$A))="是",AB5&gt;0))),"是","否"))</f>
        <v>否</v>
      </c>
      <c r="AD5" s="78" t="str">
        <f aca="false"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COUNTA(账户总表!$A:$A))&gt;2,"亏钱效应偏高",IF(INDEX(账户总表!$V:$V,COUNTA(账户总表!$A:$A))&lt;&gt;"是","账户不允许新开仓",IF(AND(T5&gt;INDEX(账户总表!$C:$C,COUNTA(账户总表!$A:$A)),INDEX(账户总表!$U:$U,COUNTA(账户总表!$A:$A))&lt;&gt;"是"),"现金不足且不允许转入",IF(AND(Z5="是",AB5&lt;=0),"转入金额未满足",""))))))))))))</f>
        <v>100股约束不满足</v>
      </c>
      <c r="AE5" s="78"/>
      <c r="AF5" s="1" t="n">
        <f aca="false">IF($A5="","",D5*100)</f>
        <v>4639</v>
      </c>
      <c r="AG5" s="1" t="n">
        <f aca="false">IF($A5="","",IFERROR(AF5/INDEX(账户总表!$B:$B,COUNTA(账户总表!$A:$A)),0))</f>
        <v>0</v>
      </c>
      <c r="AH5" s="1" t="n">
        <f aca="false">IF($A5="","",IFERROR(INDEX(账户总表!$B:$B,COUNTA(账户总表!$A:$A))*INDEX(账户总表!$O:$O,COUNTA(账户总表!$A:$A)),0))</f>
        <v>0</v>
      </c>
      <c r="AI5" s="1" t="str">
        <f aca="false">IF($A5="","",IF(AF5&gt;AH5,"超限","合规"))</f>
        <v>超限</v>
      </c>
      <c r="AJ5" s="1" t="n">
        <f aca="false">IF($A5="","",IFERROR(AF5/INDEX(账户总表!$O:$O,COUNTA(账户总表!$A:$A)),0))</f>
        <v>0</v>
      </c>
      <c r="AK5" s="1" t="n">
        <f aca="false">IF($A5="","",IFERROR(MAX(0,AJ5-INDEX(账户总表!$B:$B,COUNTA(账户总表!$A:$A)),AF5-INDEX(账户总表!$C:$C,COUNTA(账户总表!$A:$A))),0))</f>
        <v>4639</v>
      </c>
      <c r="AL5" s="1" t="str">
        <f aca="false">IF($A5="","",IF(COUNTIF(持仓表!$C$2:$C$201,C5)&gt;0,"已有","新标的"))</f>
        <v>新标的</v>
      </c>
      <c r="AM5" s="1" t="n">
        <f aca="false">IF($A5="","",IFERROR(SUMIFS(持仓表!$N$2:$N$201,持仓表!$C$2:$C$201,C5,持仓表!$A$2:$A$201,$A5),0))</f>
        <v>0</v>
      </c>
      <c r="AN5" s="1" t="n">
        <f aca="false">IF($A5="","",IFERROR(AM5+AF5/INDEX(账户总表!$B:$B,COUNTA(账户总表!$A:$A)),0))</f>
        <v>0</v>
      </c>
      <c r="AO5" s="1" t="str">
        <f aca="false">IF($A5="","",IF(AN5&gt;INDEX(账户总表!$O:$O,COUNTA(账户总表!$A:$A)),"超限","合规"))</f>
        <v>合规</v>
      </c>
      <c r="AP5" s="1" t="str">
        <f aca="false">IF($A5="","",IF(AND(AL5="新标的",INDEX(账户总表!$R:$R,COUNTA(账户总表!$A:$A))&gt;=INDEX(账户总表!$S:$S,COUNTA(账户总表!$A:$A))),"新增受限","可通过"))</f>
        <v>新增受限</v>
      </c>
      <c r="AQ5" s="1" t="str">
        <f aca="false">IF($A5="","",IF(K5&lt;&gt;"核心池","非核心池",IF(OR(AI5="超限",AO5="超限",AP5="新增受限"),IF(AND(AT5="★信号强化",AS5&gt;=3),"可加仓(动态上限)","不可加仓"),"可加仓")))</f>
        <v>非核心池</v>
      </c>
      <c r="AR5" s="1" t="str">
        <f aca="false">IF($A5="","",TRIM(IF(AI5="超限","1手超单股上限；","")&amp;IF(AO5="超限","买后仓位超限；","")&amp;IF(AP5="新增受限","有效持仓数超限；","")&amp;IF(AF5&gt;INDEX(账户总表!$C:$C,COUNTA(账户总表!$A:$A)),"现金不足；","")))</f>
        <v>1手超单股上限；有效持仓数超限；现金不足；</v>
      </c>
      <c r="AU5" s="1" t="str">
        <f aca="false">IF($A5="","",IF(AK5&gt;30000-INDEX(账户总表!$B:$B,COUNTA(账户总表!$A:$A)),"不适合婴儿阶段","可纳入幼儿路径"))</f>
        <v>可纳入幼儿路径</v>
      </c>
    </row>
    <row r="6" customFormat="false" ht="15" hidden="false" customHeight="true" outlineLevel="0" collapsed="false">
      <c r="A6" s="76" t="n">
        <v>46238</v>
      </c>
      <c r="B6" s="77" t="s">
        <v>384</v>
      </c>
      <c r="C6" s="78" t="s">
        <v>385</v>
      </c>
      <c r="D6" s="78" t="n">
        <v>9.54</v>
      </c>
      <c r="E6" s="78" t="n">
        <v>9.54</v>
      </c>
      <c r="F6" s="78" t="n">
        <v>9.06</v>
      </c>
      <c r="G6" s="78" t="n">
        <v>0.115801290406073</v>
      </c>
      <c r="H6" s="78" t="n">
        <v>0.800558234425627</v>
      </c>
      <c r="I6" s="78" t="s">
        <v>178</v>
      </c>
      <c r="J6" s="77" t="s">
        <v>446</v>
      </c>
      <c r="K6" s="79" t="str">
        <f aca="false">IF($A6="","",IF(AND(G6&lt;20%,H6&gt;0.9),"核心池",IF(AND(H6&gt;=0.85),"观察池",IF(AND(H6&gt;=0.8),"边缘池",""))))</f>
        <v>边缘池</v>
      </c>
      <c r="L6" s="80" t="str">
        <f aca="false">IF($A6="","",IF(AND(G6&lt;60%,H6&gt;0.8,I6="True"),"是","否"))</f>
        <v>是</v>
      </c>
      <c r="M6" s="80" t="str">
        <f aca="false">IF($A6="","",IF(AND(D6&gt;0,E6&gt;0,D6&lt;=E6*1.02),"是","否"))</f>
        <v>是</v>
      </c>
      <c r="N6" s="78" t="str">
        <f aca="false">IFERROR(INDEX(账户总表!$O:$O,COUNTA(账户总表!$A:$A)),0)</f>
        <v/>
      </c>
      <c r="O6" s="78" t="n">
        <f aca="false">IFERROR(INDEX(账户总表!$B:$B,COUNTA(账户总表!$A:$A))*N6,0)</f>
        <v>0</v>
      </c>
      <c r="P6" s="78" t="n">
        <f aca="false">IFERROR(O6/D6,0)</f>
        <v>0</v>
      </c>
      <c r="Q6" s="78" t="n">
        <f aca="false">IFERROR(FLOOR(P6,100),0)</f>
        <v>0</v>
      </c>
      <c r="R6" s="78" t="n">
        <f aca="false">IFERROR(CEILING(800/(100*D6),1)*100,0)</f>
        <v>100</v>
      </c>
      <c r="S6" s="78"/>
      <c r="T6" s="78" t="n">
        <f aca="false">IFERROR(S6*D6,0)</f>
        <v>0</v>
      </c>
      <c r="U6" s="78" t="n">
        <f aca="false">IFERROR(T6/INDEX(账户总表!$B:$B,COUNTA(账户总表!$A:$A)),0)</f>
        <v>0</v>
      </c>
      <c r="V6" s="81" t="n">
        <f aca="false">IFERROR(INDEX(账户总表!$E:$E,COUNTA(账户总表!$A:$A))+U6,0)</f>
        <v>0</v>
      </c>
      <c r="W6" s="80" t="str">
        <f aca="false">IF($A6="","",IFERROR(IF(V6&lt;=INDEX(账户总表!$N:$N,COUNTA(账户总表!$A:$A)),"是","否"),"否"))</f>
        <v>是</v>
      </c>
      <c r="X6" s="78" t="n">
        <f aca="false">IF($A6="","",MAX(F6*0.98,D6*0.92))</f>
        <v>8.8788</v>
      </c>
      <c r="Y6" s="78"/>
      <c r="Z6" s="80" t="str">
        <f aca="false">IF($A6="","",IFERROR(IF(AND(T6&gt;INDEX(账户总表!$C:$C,COUNTA(账户总表!$A:$A)),L6="是"),"是","否"),"否"))</f>
        <v>否</v>
      </c>
      <c r="AA6" s="78" t="n">
        <f aca="false">IF($A6="","",IFERROR(IF(Z6="是",MAX(0,T6-INDEX(账户总表!$C:$C,COUNTA(账户总表!$A:$A)),IF(N6&gt;0,T6/N6-INDEX(账户总表!$B:$B,COUNTA(账户总表!$A:$A)),0)),0),0))</f>
        <v>0</v>
      </c>
      <c r="AB6" s="78" t="n">
        <f aca="false">IF($A6="","",IF(AND(Z6="是",INDEX(账户总表!$U:$U,COUNTA(账户总表!$A:$A))="是"),IF(INDEX(账户总表!$L:$L,COUNTA(账户总表!$A:$A))&gt;=4,AA6*1.5,AA6),0))</f>
        <v>0</v>
      </c>
      <c r="AC6" s="80" t="str">
        <f aca="false">IF($A6="","",IF(AND(L6="是",Q6&gt;=R6,S6&lt;=Q6,S6&gt;=R6,W6="是",X6&gt;0,M6="是",INDEX(账户总表!$M:$M,COUNTA(账户总表!$A:$A))&lt;=2,INDEX(账户总表!$V:$V,COUNTA(账户总表!$A:$A))="是",OR(T6&lt;=INDEX(账户总表!$C:$C,COUNTA(账户总表!$A:$A)),AND(Z6="是",INDEX(账户总表!$U:$U,COUNTA(账户总表!$A:$A))="是",AB6&gt;0))),"是","否"))</f>
        <v>否</v>
      </c>
      <c r="AD6" s="78" t="str">
        <f aca="false"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COUNTA(账户总表!$A:$A))&gt;2,"亏钱效应偏高",IF(INDEX(账户总表!$V:$V,COUNTA(账户总表!$A:$A))&lt;&gt;"是","账户不允许新开仓",IF(AND(T6&gt;INDEX(账户总表!$C:$C,COUNTA(账户总表!$A:$A)),INDEX(账户总表!$U:$U,COUNTA(账户总表!$A:$A))&lt;&gt;"是"),"现金不足且不允许转入",IF(AND(Z6="是",AB6&lt;=0),"转入金额未满足",""))))))))))))</f>
        <v>100股约束不满足</v>
      </c>
      <c r="AE6" s="78"/>
      <c r="AF6" s="1" t="n">
        <f aca="false">IF($A6="","",D6*100)</f>
        <v>954</v>
      </c>
      <c r="AG6" s="1" t="n">
        <f aca="false">IF($A6="","",IFERROR(AF6/INDEX(账户总表!$B:$B,COUNTA(账户总表!$A:$A)),0))</f>
        <v>0</v>
      </c>
      <c r="AH6" s="1" t="n">
        <f aca="false">IF($A6="","",IFERROR(INDEX(账户总表!$B:$B,COUNTA(账户总表!$A:$A))*INDEX(账户总表!$O:$O,COUNTA(账户总表!$A:$A)),0))</f>
        <v>0</v>
      </c>
      <c r="AI6" s="1" t="str">
        <f aca="false">IF($A6="","",IF(AF6&gt;AH6,"超限","合规"))</f>
        <v>超限</v>
      </c>
      <c r="AJ6" s="1" t="n">
        <f aca="false">IF($A6="","",IFERROR(AF6/INDEX(账户总表!$O:$O,COUNTA(账户总表!$A:$A)),0))</f>
        <v>0</v>
      </c>
      <c r="AK6" s="1" t="n">
        <f aca="false">IF($A6="","",IFERROR(MAX(0,AJ6-INDEX(账户总表!$B:$B,COUNTA(账户总表!$A:$A)),AF6-INDEX(账户总表!$C:$C,COUNTA(账户总表!$A:$A))),0))</f>
        <v>954</v>
      </c>
      <c r="AL6" s="1" t="str">
        <f aca="false">IF($A6="","",IF(COUNTIF(持仓表!$C$2:$C$201,C6)&gt;0,"已有","新标的"))</f>
        <v>已有</v>
      </c>
      <c r="AM6" s="1" t="n">
        <f aca="false">IF($A6="","",IFERROR(SUMIFS(持仓表!$N$2:$N$201,持仓表!$C$2:$C$201,C6,持仓表!$A$2:$A$201,$A6),0))</f>
        <v>0</v>
      </c>
      <c r="AN6" s="1" t="n">
        <f aca="false">IF($A6="","",IFERROR(AM6+AF6/INDEX(账户总表!$B:$B,COUNTA(账户总表!$A:$A)),0))</f>
        <v>0</v>
      </c>
      <c r="AO6" s="1" t="str">
        <f aca="false">IF($A6="","",IF(AN6&gt;INDEX(账户总表!$O:$O,COUNTA(账户总表!$A:$A)),"超限","合规"))</f>
        <v>合规</v>
      </c>
      <c r="AP6" s="1" t="str">
        <f aca="false">IF($A6="","",IF(AND(AL6="新标的",INDEX(账户总表!$R:$R,COUNTA(账户总表!$A:$A))&gt;=INDEX(账户总表!$S:$S,COUNTA(账户总表!$A:$A))),"新增受限","可通过"))</f>
        <v>可通过</v>
      </c>
      <c r="AQ6" s="1" t="str">
        <f aca="false">IF($A6="","",IF(K6&lt;&gt;"核心池","非核心池",IF(OR(AI6="超限",AO6="超限",AP6="新增受限"),IF(AND(AT6="★信号强化",AS6&gt;=3),"可加仓(动态上限)","不可加仓"),"可加仓")))</f>
        <v>非核心池</v>
      </c>
      <c r="AR6" s="1" t="str">
        <f aca="false">IF($A6="","",TRIM(IF(AI6="超限","1手超单股上限；","")&amp;IF(AO6="超限","买后仓位超限；","")&amp;IF(AP6="新增受限","有效持仓数超限；","")&amp;IF(AF6&gt;INDEX(账户总表!$C:$C,COUNTA(账户总表!$A:$A)),"现金不足；","")))</f>
        <v>1手超单股上限；现金不足；</v>
      </c>
      <c r="AU6" s="1" t="str">
        <f aca="false">IF($A6="","",IF(AK6&gt;30000-INDEX(账户总表!$B:$B,COUNTA(账户总表!$A:$A)),"不适合婴儿阶段","可纳入幼儿路径"))</f>
        <v>可纳入幼儿路径</v>
      </c>
    </row>
    <row r="7" customFormat="false" ht="15" hidden="false" customHeight="true" outlineLevel="0" collapsed="false">
      <c r="A7" s="76" t="n">
        <v>46238</v>
      </c>
      <c r="B7" s="77" t="s">
        <v>451</v>
      </c>
      <c r="C7" s="78" t="s">
        <v>452</v>
      </c>
      <c r="D7" s="78" t="n">
        <v>3.31</v>
      </c>
      <c r="E7" s="78" t="n">
        <v>3.31</v>
      </c>
      <c r="F7" s="78" t="n">
        <v>3.14</v>
      </c>
      <c r="G7" s="78" t="n">
        <v>0.0731422892770592</v>
      </c>
      <c r="H7" s="78" t="n">
        <v>0.847044421570354</v>
      </c>
      <c r="I7" s="78" t="s">
        <v>178</v>
      </c>
      <c r="J7" s="77" t="s">
        <v>446</v>
      </c>
      <c r="K7" s="79" t="str">
        <f aca="false">IF($A7="","",IF(AND(G7&lt;20%,H7&gt;0.9),"核心池",IF(AND(H7&gt;=0.85),"观察池",IF(AND(H7&gt;=0.8),"边缘池",""))))</f>
        <v>边缘池</v>
      </c>
      <c r="L7" s="80" t="str">
        <f aca="false">IF($A7="","",IF(AND(G7&lt;60%,H7&gt;0.8,I7="True"),"是","否"))</f>
        <v>是</v>
      </c>
      <c r="M7" s="80" t="str">
        <f aca="false">IF($A7="","",IF(AND(D7&gt;0,E7&gt;0,D7&lt;=E7*1.02),"是","否"))</f>
        <v>是</v>
      </c>
      <c r="N7" s="78" t="str">
        <f aca="false">IFERROR(INDEX(账户总表!$O:$O,COUNTA(账户总表!$A:$A)),0)</f>
        <v/>
      </c>
      <c r="O7" s="78" t="n">
        <f aca="false">IFERROR(INDEX(账户总表!$B:$B,COUNTA(账户总表!$A:$A))*N7,0)</f>
        <v>0</v>
      </c>
      <c r="P7" s="78" t="n">
        <f aca="false">IFERROR(O7/D7,0)</f>
        <v>0</v>
      </c>
      <c r="Q7" s="78" t="n">
        <f aca="false">IFERROR(FLOOR(P7,100),0)</f>
        <v>0</v>
      </c>
      <c r="R7" s="78" t="n">
        <f aca="false">IFERROR(CEILING(800/(100*D7),1)*100,0)</f>
        <v>300</v>
      </c>
      <c r="S7" s="78"/>
      <c r="T7" s="78" t="n">
        <f aca="false">IFERROR(S7*D7,0)</f>
        <v>0</v>
      </c>
      <c r="U7" s="78" t="n">
        <f aca="false">IFERROR(T7/INDEX(账户总表!$B:$B,COUNTA(账户总表!$A:$A)),0)</f>
        <v>0</v>
      </c>
      <c r="V7" s="81" t="n">
        <f aca="false">IFERROR(INDEX(账户总表!$E:$E,COUNTA(账户总表!$A:$A))+U7,0)</f>
        <v>0</v>
      </c>
      <c r="W7" s="80" t="str">
        <f aca="false">IF($A7="","",IFERROR(IF(V7&lt;=INDEX(账户总表!$N:$N,COUNTA(账户总表!$A:$A)),"是","否"),"否"))</f>
        <v>是</v>
      </c>
      <c r="X7" s="78" t="n">
        <f aca="false">IF($A7="","",MAX(F7*0.98,D7*0.92))</f>
        <v>3.0772</v>
      </c>
      <c r="Y7" s="78"/>
      <c r="Z7" s="80" t="str">
        <f aca="false">IF($A7="","",IFERROR(IF(AND(T7&gt;INDEX(账户总表!$C:$C,COUNTA(账户总表!$A:$A)),L7="是"),"是","否"),"否"))</f>
        <v>否</v>
      </c>
      <c r="AA7" s="78" t="n">
        <f aca="false">IF($A7="","",IFERROR(IF(Z7="是",MAX(0,T7-INDEX(账户总表!$C:$C,COUNTA(账户总表!$A:$A)),IF(N7&gt;0,T7/N7-INDEX(账户总表!$B:$B,COUNTA(账户总表!$A:$A)),0)),0),0))</f>
        <v>0</v>
      </c>
      <c r="AB7" s="78" t="n">
        <f aca="false">IF($A7="","",IF(AND(Z7="是",INDEX(账户总表!$U:$U,COUNTA(账户总表!$A:$A))="是"),IF(INDEX(账户总表!$L:$L,COUNTA(账户总表!$A:$A))&gt;=4,AA7*1.5,AA7),0))</f>
        <v>0</v>
      </c>
      <c r="AC7" s="80" t="str">
        <f aca="false">IF($A7="","",IF(AND(L7="是",Q7&gt;=R7,S7&lt;=Q7,S7&gt;=R7,W7="是",X7&gt;0,M7="是",INDEX(账户总表!$M:$M,COUNTA(账户总表!$A:$A))&lt;=2,INDEX(账户总表!$V:$V,COUNTA(账户总表!$A:$A))="是",OR(T7&lt;=INDEX(账户总表!$C:$C,COUNTA(账户总表!$A:$A)),AND(Z7="是",INDEX(账户总表!$U:$U,COUNTA(账户总表!$A:$A))="是",AB7&gt;0))),"是","否"))</f>
        <v>否</v>
      </c>
      <c r="AD7" s="78" t="str">
        <f aca="false"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COUNTA(账户总表!$A:$A))&gt;2,"亏钱效应偏高",IF(INDEX(账户总表!$V:$V,COUNTA(账户总表!$A:$A))&lt;&gt;"是","账户不允许新开仓",IF(AND(T7&gt;INDEX(账户总表!$C:$C,COUNTA(账户总表!$A:$A)),INDEX(账户总表!$U:$U,COUNTA(账户总表!$A:$A))&lt;&gt;"是"),"现金不足且不允许转入",IF(AND(Z7="是",AB7&lt;=0),"转入金额未满足",""))))))))))))</f>
        <v>100股约束不满足</v>
      </c>
      <c r="AE7" s="78"/>
      <c r="AF7" s="1" t="n">
        <f aca="false">IF($A7="","",D7*100)</f>
        <v>331</v>
      </c>
      <c r="AG7" s="1" t="n">
        <f aca="false">IF($A7="","",IFERROR(AF7/INDEX(账户总表!$B:$B,COUNTA(账户总表!$A:$A)),0))</f>
        <v>0</v>
      </c>
      <c r="AH7" s="1" t="n">
        <f aca="false">IF($A7="","",IFERROR(INDEX(账户总表!$B:$B,COUNTA(账户总表!$A:$A))*INDEX(账户总表!$O:$O,COUNTA(账户总表!$A:$A)),0))</f>
        <v>0</v>
      </c>
      <c r="AI7" s="1" t="str">
        <f aca="false">IF($A7="","",IF(AF7&gt;AH7,"超限","合规"))</f>
        <v>超限</v>
      </c>
      <c r="AJ7" s="1" t="n">
        <f aca="false">IF($A7="","",IFERROR(AF7/INDEX(账户总表!$O:$O,COUNTA(账户总表!$A:$A)),0))</f>
        <v>0</v>
      </c>
      <c r="AK7" s="1" t="n">
        <f aca="false">IF($A7="","",IFERROR(MAX(0,AJ7-INDEX(账户总表!$B:$B,COUNTA(账户总表!$A:$A)),AF7-INDEX(账户总表!$C:$C,COUNTA(账户总表!$A:$A))),0))</f>
        <v>331</v>
      </c>
      <c r="AL7" s="1" t="str">
        <f aca="false">IF($A7="","",IF(COUNTIF(持仓表!$C$2:$C$201,C7)&gt;0,"已有","新标的"))</f>
        <v>新标的</v>
      </c>
      <c r="AM7" s="1" t="n">
        <f aca="false">IF($A7="","",IFERROR(SUMIFS(持仓表!$N$2:$N$201,持仓表!$C$2:$C$201,C7,持仓表!$A$2:$A$201,$A7),0))</f>
        <v>0</v>
      </c>
      <c r="AN7" s="1" t="n">
        <f aca="false">IF($A7="","",IFERROR(AM7+AF7/INDEX(账户总表!$B:$B,COUNTA(账户总表!$A:$A)),0))</f>
        <v>0</v>
      </c>
      <c r="AO7" s="1" t="str">
        <f aca="false">IF($A7="","",IF(AN7&gt;INDEX(账户总表!$O:$O,COUNTA(账户总表!$A:$A)),"超限","合规"))</f>
        <v>合规</v>
      </c>
      <c r="AP7" s="1" t="str">
        <f aca="false">IF($A7="","",IF(AND(AL7="新标的",INDEX(账户总表!$R:$R,COUNTA(账户总表!$A:$A))&gt;=INDEX(账户总表!$S:$S,COUNTA(账户总表!$A:$A))),"新增受限","可通过"))</f>
        <v>新增受限</v>
      </c>
      <c r="AQ7" s="1" t="str">
        <f aca="false">IF($A7="","",IF(K7&lt;&gt;"核心池","非核心池",IF(OR(AI7="超限",AO7="超限",AP7="新增受限"),IF(AND(AT7="★信号强化",AS7&gt;=3),"可加仓(动态上限)","不可加仓"),"可加仓")))</f>
        <v>非核心池</v>
      </c>
      <c r="AR7" s="1" t="str">
        <f aca="false">IF($A7="","",TRIM(IF(AI7="超限","1手超单股上限；","")&amp;IF(AO7="超限","买后仓位超限；","")&amp;IF(AP7="新增受限","有效持仓数超限；","")&amp;IF(AF7&gt;INDEX(账户总表!$C:$C,COUNTA(账户总表!$A:$A)),"现金不足；","")))</f>
        <v>1手超单股上限；有效持仓数超限；现金不足；</v>
      </c>
      <c r="AU7" s="1" t="str">
        <f aca="false">IF($A7="","",IF(AK7&gt;30000-INDEX(账户总表!$B:$B,COUNTA(账户总表!$A:$A)),"不适合婴儿阶段","可纳入幼儿路径"))</f>
        <v>可纳入幼儿路径</v>
      </c>
    </row>
    <row r="8" customFormat="false" ht="15" hidden="false" customHeight="true" outlineLevel="0" collapsed="false">
      <c r="A8" s="76" t="n">
        <v>46238</v>
      </c>
      <c r="B8" s="77" t="s">
        <v>453</v>
      </c>
      <c r="C8" s="78" t="s">
        <v>454</v>
      </c>
      <c r="D8" s="78" t="n">
        <v>67.3</v>
      </c>
      <c r="E8" s="78" t="n">
        <v>67.3</v>
      </c>
      <c r="F8" s="78" t="n">
        <v>63.93</v>
      </c>
      <c r="G8" s="78" t="n">
        <v>0.427976101777471</v>
      </c>
      <c r="H8" s="78" t="n">
        <v>0.84056492886678</v>
      </c>
      <c r="I8" s="78" t="s">
        <v>178</v>
      </c>
      <c r="J8" s="77" t="s">
        <v>446</v>
      </c>
      <c r="K8" s="79" t="str">
        <f aca="false">IF($A8="","",IF(AND(G8&lt;20%,H8&gt;0.9),"核心池",IF(AND(H8&gt;=0.85),"观察池",IF(AND(H8&gt;=0.8),"边缘池",""))))</f>
        <v>边缘池</v>
      </c>
      <c r="L8" s="80" t="str">
        <f aca="false">IF($A8="","",IF(AND(G8&lt;60%,H8&gt;0.8,I8="True"),"是","否"))</f>
        <v>是</v>
      </c>
      <c r="M8" s="80" t="str">
        <f aca="false">IF($A8="","",IF(AND(D8&gt;0,E8&gt;0,D8&lt;=E8*1.02),"是","否"))</f>
        <v>是</v>
      </c>
      <c r="N8" s="78" t="str">
        <f aca="false">IFERROR(INDEX(账户总表!$O:$O,COUNTA(账户总表!$A:$A)),0)</f>
        <v/>
      </c>
      <c r="O8" s="78" t="n">
        <f aca="false">IFERROR(INDEX(账户总表!$B:$B,COUNTA(账户总表!$A:$A))*N8,0)</f>
        <v>0</v>
      </c>
      <c r="P8" s="78" t="n">
        <f aca="false">IFERROR(O8/D8,0)</f>
        <v>0</v>
      </c>
      <c r="Q8" s="78" t="n">
        <f aca="false">IFERROR(FLOOR(P8,100),0)</f>
        <v>0</v>
      </c>
      <c r="R8" s="78" t="n">
        <f aca="false">IFERROR(CEILING(800/(100*D8),1)*100,0)</f>
        <v>100</v>
      </c>
      <c r="S8" s="78"/>
      <c r="T8" s="78" t="n">
        <f aca="false">IFERROR(S8*D8,0)</f>
        <v>0</v>
      </c>
      <c r="U8" s="78" t="n">
        <f aca="false">IFERROR(T8/INDEX(账户总表!$B:$B,COUNTA(账户总表!$A:$A)),0)</f>
        <v>0</v>
      </c>
      <c r="V8" s="81" t="n">
        <f aca="false">IFERROR(INDEX(账户总表!$E:$E,COUNTA(账户总表!$A:$A))+U8,0)</f>
        <v>0</v>
      </c>
      <c r="W8" s="80" t="str">
        <f aca="false">IF($A8="","",IFERROR(IF(V8&lt;=INDEX(账户总表!$N:$N,COUNTA(账户总表!$A:$A)),"是","否"),"否"))</f>
        <v>是</v>
      </c>
      <c r="X8" s="78" t="n">
        <f aca="false">IF($A8="","",MAX(F8*0.98,D8*0.92))</f>
        <v>62.6514</v>
      </c>
      <c r="Y8" s="78"/>
      <c r="Z8" s="80" t="str">
        <f aca="false">IF($A8="","",IFERROR(IF(AND(T8&gt;INDEX(账户总表!$C:$C,COUNTA(账户总表!$A:$A)),L8="是"),"是","否"),"否"))</f>
        <v>否</v>
      </c>
      <c r="AA8" s="78" t="n">
        <f aca="false">IF($A8="","",IFERROR(IF(Z8="是",MAX(0,T8-INDEX(账户总表!$C:$C,COUNTA(账户总表!$A:$A)),IF(N8&gt;0,T8/N8-INDEX(账户总表!$B:$B,COUNTA(账户总表!$A:$A)),0)),0),0))</f>
        <v>0</v>
      </c>
      <c r="AB8" s="78" t="n">
        <f aca="false">IF($A8="","",IF(AND(Z8="是",INDEX(账户总表!$U:$U,COUNTA(账户总表!$A:$A))="是"),IF(INDEX(账户总表!$L:$L,COUNTA(账户总表!$A:$A))&gt;=4,AA8*1.5,AA8),0))</f>
        <v>0</v>
      </c>
      <c r="AC8" s="80" t="str">
        <f aca="false">IF($A8="","",IF(AND(L8="是",Q8&gt;=R8,S8&lt;=Q8,S8&gt;=R8,W8="是",X8&gt;0,M8="是",INDEX(账户总表!$M:$M,COUNTA(账户总表!$A:$A))&lt;=2,INDEX(账户总表!$V:$V,COUNTA(账户总表!$A:$A))="是",OR(T8&lt;=INDEX(账户总表!$C:$C,COUNTA(账户总表!$A:$A)),AND(Z8="是",INDEX(账户总表!$U:$U,COUNTA(账户总表!$A:$A))="是",AB8&gt;0))),"是","否"))</f>
        <v>否</v>
      </c>
      <c r="AD8" s="78" t="str">
        <f aca="false"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COUNTA(账户总表!$A:$A))&gt;2,"亏钱效应偏高",IF(INDEX(账户总表!$V:$V,COUNTA(账户总表!$A:$A))&lt;&gt;"是","账户不允许新开仓",IF(AND(T8&gt;INDEX(账户总表!$C:$C,COUNTA(账户总表!$A:$A)),INDEX(账户总表!$U:$U,COUNTA(账户总表!$A:$A))&lt;&gt;"是"),"现金不足且不允许转入",IF(AND(Z8="是",AB8&lt;=0),"转入金额未满足",""))))))))))))</f>
        <v>100股约束不满足</v>
      </c>
      <c r="AE8" s="78"/>
      <c r="AF8" s="1" t="n">
        <f aca="false">IF($A8="","",D8*100)</f>
        <v>6730</v>
      </c>
      <c r="AG8" s="1" t="n">
        <f aca="false">IF($A8="","",IFERROR(AF8/INDEX(账户总表!$B:$B,COUNTA(账户总表!$A:$A)),0))</f>
        <v>0</v>
      </c>
      <c r="AH8" s="1" t="n">
        <f aca="false">IF($A8="","",IFERROR(INDEX(账户总表!$B:$B,COUNTA(账户总表!$A:$A))*INDEX(账户总表!$O:$O,COUNTA(账户总表!$A:$A)),0))</f>
        <v>0</v>
      </c>
      <c r="AI8" s="1" t="str">
        <f aca="false">IF($A8="","",IF(AF8&gt;AH8,"超限","合规"))</f>
        <v>超限</v>
      </c>
      <c r="AJ8" s="1" t="n">
        <f aca="false">IF($A8="","",IFERROR(AF8/INDEX(账户总表!$O:$O,COUNTA(账户总表!$A:$A)),0))</f>
        <v>0</v>
      </c>
      <c r="AK8" s="1" t="n">
        <f aca="false">IF($A8="","",IFERROR(MAX(0,AJ8-INDEX(账户总表!$B:$B,COUNTA(账户总表!$A:$A)),AF8-INDEX(账户总表!$C:$C,COUNTA(账户总表!$A:$A))),0))</f>
        <v>6730</v>
      </c>
      <c r="AL8" s="1" t="str">
        <f aca="false">IF($A8="","",IF(COUNTIF(持仓表!$C$2:$C$201,C8)&gt;0,"已有","新标的"))</f>
        <v>新标的</v>
      </c>
      <c r="AM8" s="1" t="n">
        <f aca="false">IF($A8="","",IFERROR(SUMIFS(持仓表!$N$2:$N$201,持仓表!$C$2:$C$201,C8,持仓表!$A$2:$A$201,$A8),0))</f>
        <v>0</v>
      </c>
      <c r="AN8" s="1" t="n">
        <f aca="false">IF($A8="","",IFERROR(AM8+AF8/INDEX(账户总表!$B:$B,COUNTA(账户总表!$A:$A)),0))</f>
        <v>0</v>
      </c>
      <c r="AO8" s="1" t="str">
        <f aca="false">IF($A8="","",IF(AN8&gt;INDEX(账户总表!$O:$O,COUNTA(账户总表!$A:$A)),"超限","合规"))</f>
        <v>合规</v>
      </c>
      <c r="AP8" s="1" t="str">
        <f aca="false">IF($A8="","",IF(AND(AL8="新标的",INDEX(账户总表!$R:$R,COUNTA(账户总表!$A:$A))&gt;=INDEX(账户总表!$S:$S,COUNTA(账户总表!$A:$A))),"新增受限","可通过"))</f>
        <v>新增受限</v>
      </c>
      <c r="AQ8" s="1" t="str">
        <f aca="false">IF($A8="","",IF(K8&lt;&gt;"核心池","非核心池",IF(OR(AI8="超限",AO8="超限",AP8="新增受限"),IF(AND(AT8="★信号强化",AS8&gt;=3),"可加仓(动态上限)","不可加仓"),"可加仓")))</f>
        <v>非核心池</v>
      </c>
      <c r="AR8" s="1" t="str">
        <f aca="false">IF($A8="","",TRIM(IF(AI8="超限","1手超单股上限；","")&amp;IF(AO8="超限","买后仓位超限；","")&amp;IF(AP8="新增受限","有效持仓数超限；","")&amp;IF(AF8&gt;INDEX(账户总表!$C:$C,COUNTA(账户总表!$A:$A)),"现金不足；","")))</f>
        <v>1手超单股上限；有效持仓数超限；现金不足；</v>
      </c>
      <c r="AU8" s="1" t="str">
        <f aca="false">IF($A8="","",IF(AK8&gt;30000-INDEX(账户总表!$B:$B,COUNTA(账户总表!$A:$A)),"不适合婴儿阶段","可纳入幼儿路径"))</f>
        <v>可纳入幼儿路径</v>
      </c>
    </row>
    <row r="9" customFormat="false" ht="15" hidden="false" customHeight="true" outlineLevel="0" collapsed="false">
      <c r="A9" s="76" t="n">
        <v>46238</v>
      </c>
      <c r="B9" s="77" t="s">
        <v>455</v>
      </c>
      <c r="C9" s="78" t="s">
        <v>456</v>
      </c>
      <c r="D9" s="78" t="n">
        <v>30.82</v>
      </c>
      <c r="E9" s="78" t="n">
        <v>30.82</v>
      </c>
      <c r="F9" s="78" t="n">
        <v>29.28</v>
      </c>
      <c r="G9" s="78" t="n">
        <v>0.203407115724843</v>
      </c>
      <c r="H9" s="78" t="n">
        <v>0.838580519144533</v>
      </c>
      <c r="I9" s="78" t="s">
        <v>178</v>
      </c>
      <c r="J9" s="77" t="s">
        <v>446</v>
      </c>
      <c r="K9" s="79" t="str">
        <f aca="false">IF($A9="","",IF(AND(G9&lt;20%,H9&gt;0.9),"核心池",IF(AND(H9&gt;=0.85),"观察池",IF(AND(H9&gt;=0.8),"边缘池",""))))</f>
        <v>边缘池</v>
      </c>
      <c r="L9" s="80" t="str">
        <f aca="false">IF($A9="","",IF(AND(G9&lt;60%,H9&gt;0.8,I9="True"),"是","否"))</f>
        <v>是</v>
      </c>
      <c r="M9" s="80" t="str">
        <f aca="false">IF($A9="","",IF(AND(D9&gt;0,E9&gt;0,D9&lt;=E9*1.02),"是","否"))</f>
        <v>是</v>
      </c>
      <c r="N9" s="78" t="str">
        <f aca="false">IFERROR(INDEX(账户总表!$O:$O,COUNTA(账户总表!$A:$A)),0)</f>
        <v/>
      </c>
      <c r="O9" s="78" t="n">
        <f aca="false">IFERROR(INDEX(账户总表!$B:$B,COUNTA(账户总表!$A:$A))*N9,0)</f>
        <v>0</v>
      </c>
      <c r="P9" s="78" t="n">
        <f aca="false">IFERROR(O9/D9,0)</f>
        <v>0</v>
      </c>
      <c r="Q9" s="78" t="n">
        <f aca="false">IFERROR(FLOOR(P9,100),0)</f>
        <v>0</v>
      </c>
      <c r="R9" s="78" t="n">
        <f aca="false">IFERROR(CEILING(800/(100*D9),1)*100,0)</f>
        <v>100</v>
      </c>
      <c r="S9" s="78"/>
      <c r="T9" s="78" t="n">
        <f aca="false">IFERROR(S9*D9,0)</f>
        <v>0</v>
      </c>
      <c r="U9" s="78" t="n">
        <f aca="false">IFERROR(T9/INDEX(账户总表!$B:$B,COUNTA(账户总表!$A:$A)),0)</f>
        <v>0</v>
      </c>
      <c r="V9" s="81" t="n">
        <f aca="false">IFERROR(INDEX(账户总表!$E:$E,COUNTA(账户总表!$A:$A))+U9,0)</f>
        <v>0</v>
      </c>
      <c r="W9" s="80" t="str">
        <f aca="false">IF($A9="","",IFERROR(IF(V9&lt;=INDEX(账户总表!$N:$N,COUNTA(账户总表!$A:$A)),"是","否"),"否"))</f>
        <v>是</v>
      </c>
      <c r="X9" s="78" t="n">
        <f aca="false">IF($A9="","",MAX(F9*0.98,D9*0.92))</f>
        <v>28.6944</v>
      </c>
      <c r="Y9" s="78"/>
      <c r="Z9" s="80" t="str">
        <f aca="false">IF($A9="","",IFERROR(IF(AND(T9&gt;INDEX(账户总表!$C:$C,COUNTA(账户总表!$A:$A)),L9="是"),"是","否"),"否"))</f>
        <v>否</v>
      </c>
      <c r="AA9" s="78" t="n">
        <f aca="false">IF($A9="","",IFERROR(IF(Z9="是",MAX(0,T9-INDEX(账户总表!$C:$C,COUNTA(账户总表!$A:$A)),IF(N9&gt;0,T9/N9-INDEX(账户总表!$B:$B,COUNTA(账户总表!$A:$A)),0)),0),0))</f>
        <v>0</v>
      </c>
      <c r="AB9" s="78" t="n">
        <f aca="false">IF($A9="","",IF(AND(Z9="是",INDEX(账户总表!$U:$U,COUNTA(账户总表!$A:$A))="是"),IF(INDEX(账户总表!$L:$L,COUNTA(账户总表!$A:$A))&gt;=4,AA9*1.5,AA9),0))</f>
        <v>0</v>
      </c>
      <c r="AC9" s="80" t="str">
        <f aca="false">IF($A9="","",IF(AND(L9="是",Q9&gt;=R9,S9&lt;=Q9,S9&gt;=R9,W9="是",X9&gt;0,M9="是",INDEX(账户总表!$M:$M,COUNTA(账户总表!$A:$A))&lt;=2,INDEX(账户总表!$V:$V,COUNTA(账户总表!$A:$A))="是",OR(T9&lt;=INDEX(账户总表!$C:$C,COUNTA(账户总表!$A:$A)),AND(Z9="是",INDEX(账户总表!$U:$U,COUNTA(账户总表!$A:$A))="是",AB9&gt;0))),"是","否"))</f>
        <v>否</v>
      </c>
      <c r="AD9" s="78" t="str">
        <f aca="false">IF($A9="","",IF(L9&lt;&gt;"是","信号未确认",IF(X9&lt;=0,"止损价未定义",IF(Q9&lt;R9,"100股约束不满足",IF(S9&gt;Q9,"计划股数超单股上限",IF(S9&lt;R9,"计划股数低于最小门槛",IF(W9&lt;&gt;"是","总仓位超限",IF(M9&lt;&gt;"是","追价",IF(INDEX(账户总表!$M:$M,COUNTA(账户总表!$A:$A))&gt;2,"亏钱效应偏高",IF(INDEX(账户总表!$V:$V,COUNTA(账户总表!$A:$A))&lt;&gt;"是","账户不允许新开仓",IF(AND(T9&gt;INDEX(账户总表!$C:$C,COUNTA(账户总表!$A:$A)),INDEX(账户总表!$U:$U,COUNTA(账户总表!$A:$A))&lt;&gt;"是"),"现金不足且不允许转入",IF(AND(Z9="是",AB9&lt;=0),"转入金额未满足",""))))))))))))</f>
        <v>100股约束不满足</v>
      </c>
      <c r="AE9" s="78"/>
      <c r="AF9" s="1" t="n">
        <f aca="false">IF($A9="","",D9*100)</f>
        <v>3082</v>
      </c>
      <c r="AG9" s="1" t="n">
        <f aca="false">IF($A9="","",IFERROR(AF9/INDEX(账户总表!$B:$B,COUNTA(账户总表!$A:$A)),0))</f>
        <v>0</v>
      </c>
      <c r="AH9" s="1" t="n">
        <f aca="false">IF($A9="","",IFERROR(INDEX(账户总表!$B:$B,COUNTA(账户总表!$A:$A))*INDEX(账户总表!$O:$O,COUNTA(账户总表!$A:$A)),0))</f>
        <v>0</v>
      </c>
      <c r="AI9" s="1" t="str">
        <f aca="false">IF($A9="","",IF(AF9&gt;AH9,"超限","合规"))</f>
        <v>超限</v>
      </c>
      <c r="AJ9" s="1" t="n">
        <f aca="false">IF($A9="","",IFERROR(AF9/INDEX(账户总表!$O:$O,COUNTA(账户总表!$A:$A)),0))</f>
        <v>0</v>
      </c>
      <c r="AK9" s="1" t="n">
        <f aca="false">IF($A9="","",IFERROR(MAX(0,AJ9-INDEX(账户总表!$B:$B,COUNTA(账户总表!$A:$A)),AF9-INDEX(账户总表!$C:$C,COUNTA(账户总表!$A:$A))),0))</f>
        <v>3082</v>
      </c>
      <c r="AL9" s="1" t="str">
        <f aca="false">IF($A9="","",IF(COUNTIF(持仓表!$C$2:$C$201,C9)&gt;0,"已有","新标的"))</f>
        <v>新标的</v>
      </c>
      <c r="AM9" s="1" t="n">
        <f aca="false">IF($A9="","",IFERROR(SUMIFS(持仓表!$N$2:$N$201,持仓表!$C$2:$C$201,C9,持仓表!$A$2:$A$201,$A9),0))</f>
        <v>0</v>
      </c>
      <c r="AN9" s="1" t="n">
        <f aca="false">IF($A9="","",IFERROR(AM9+AF9/INDEX(账户总表!$B:$B,COUNTA(账户总表!$A:$A)),0))</f>
        <v>0</v>
      </c>
      <c r="AO9" s="1" t="str">
        <f aca="false">IF($A9="","",IF(AN9&gt;INDEX(账户总表!$O:$O,COUNTA(账户总表!$A:$A)),"超限","合规"))</f>
        <v>合规</v>
      </c>
      <c r="AP9" s="1" t="str">
        <f aca="false">IF($A9="","",IF(AND(AL9="新标的",INDEX(账户总表!$R:$R,COUNTA(账户总表!$A:$A))&gt;=INDEX(账户总表!$S:$S,COUNTA(账户总表!$A:$A))),"新增受限","可通过"))</f>
        <v>新增受限</v>
      </c>
      <c r="AQ9" s="1" t="str">
        <f aca="false">IF($A9="","",IF(K9&lt;&gt;"核心池","非核心池",IF(OR(AI9="超限",AO9="超限",AP9="新增受限"),IF(AND(AT9="★信号强化",AS9&gt;=3),"可加仓(动态上限)","不可加仓"),"可加仓")))</f>
        <v>非核心池</v>
      </c>
      <c r="AR9" s="1" t="str">
        <f aca="false">IF($A9="","",TRIM(IF(AI9="超限","1手超单股上限；","")&amp;IF(AO9="超限","买后仓位超限；","")&amp;IF(AP9="新增受限","有效持仓数超限；","")&amp;IF(AF9&gt;INDEX(账户总表!$C:$C,COUNTA(账户总表!$A:$A)),"现金不足；","")))</f>
        <v>1手超单股上限；有效持仓数超限；现金不足；</v>
      </c>
      <c r="AU9" s="1" t="str">
        <f aca="false">IF($A9="","",IF(AK9&gt;30000-INDEX(账户总表!$B:$B,COUNTA(账户总表!$A:$A)),"不适合婴儿阶段","可纳入幼儿路径"))</f>
        <v>可纳入幼儿路径</v>
      </c>
    </row>
    <row r="10" customFormat="false" ht="15" hidden="false" customHeight="true" outlineLevel="0" collapsed="false">
      <c r="A10" s="76" t="n">
        <v>46238</v>
      </c>
      <c r="B10" s="77" t="s">
        <v>457</v>
      </c>
      <c r="C10" s="78" t="s">
        <v>458</v>
      </c>
      <c r="D10" s="78" t="n">
        <v>22.52</v>
      </c>
      <c r="E10" s="78" t="n">
        <v>22.52</v>
      </c>
      <c r="F10" s="78" t="n">
        <v>21.39</v>
      </c>
      <c r="G10" s="78" t="n">
        <v>0.295487763016668</v>
      </c>
      <c r="H10" s="78" t="n">
        <v>0.829533068974612</v>
      </c>
      <c r="I10" s="78" t="s">
        <v>178</v>
      </c>
      <c r="J10" s="77" t="s">
        <v>446</v>
      </c>
      <c r="K10" s="79" t="str">
        <f aca="false">IF($A10="","",IF(AND(G10&lt;20%,H10&gt;0.9),"核心池",IF(AND(H10&gt;=0.85),"观察池",IF(AND(H10&gt;=0.8),"边缘池",""))))</f>
        <v>边缘池</v>
      </c>
      <c r="L10" s="80" t="str">
        <f aca="false">IF($A10="","",IF(AND(G10&lt;60%,H10&gt;0.8,I10="True"),"是","否"))</f>
        <v>是</v>
      </c>
      <c r="M10" s="80" t="str">
        <f aca="false">IF($A10="","",IF(AND(D10&gt;0,E10&gt;0,D10&lt;=E10*1.02),"是","否"))</f>
        <v>是</v>
      </c>
      <c r="N10" s="78" t="str">
        <f aca="false">IFERROR(INDEX(账户总表!$O:$O,COUNTA(账户总表!$A:$A)),0)</f>
        <v/>
      </c>
      <c r="O10" s="78" t="n">
        <f aca="false">IFERROR(INDEX(账户总表!$B:$B,COUNTA(账户总表!$A:$A))*N10,0)</f>
        <v>0</v>
      </c>
      <c r="P10" s="78" t="n">
        <f aca="false">IFERROR(O10/D10,0)</f>
        <v>0</v>
      </c>
      <c r="Q10" s="78" t="n">
        <f aca="false">IFERROR(FLOOR(P10,100),0)</f>
        <v>0</v>
      </c>
      <c r="R10" s="78" t="n">
        <f aca="false">IFERROR(CEILING(800/(100*D10),1)*100,0)</f>
        <v>100</v>
      </c>
      <c r="S10" s="78"/>
      <c r="T10" s="78" t="n">
        <f aca="false">IFERROR(S10*D10,0)</f>
        <v>0</v>
      </c>
      <c r="U10" s="78" t="n">
        <f aca="false">IFERROR(T10/INDEX(账户总表!$B:$B,COUNTA(账户总表!$A:$A)),0)</f>
        <v>0</v>
      </c>
      <c r="V10" s="81" t="n">
        <f aca="false">IFERROR(INDEX(账户总表!$E:$E,COUNTA(账户总表!$A:$A))+U10,0)</f>
        <v>0</v>
      </c>
      <c r="W10" s="80" t="str">
        <f aca="false">IF($A10="","",IFERROR(IF(V10&lt;=INDEX(账户总表!$N:$N,COUNTA(账户总表!$A:$A)),"是","否"),"否"))</f>
        <v>是</v>
      </c>
      <c r="X10" s="78" t="n">
        <f aca="false">IF($A10="","",MAX(F10*0.98,D10*0.92))</f>
        <v>20.9622</v>
      </c>
      <c r="Y10" s="78"/>
      <c r="Z10" s="80" t="str">
        <f aca="false">IF($A10="","",IFERROR(IF(AND(T10&gt;INDEX(账户总表!$C:$C,COUNTA(账户总表!$A:$A)),L10="是"),"是","否"),"否"))</f>
        <v>否</v>
      </c>
      <c r="AA10" s="78" t="n">
        <f aca="false">IF($A10="","",IFERROR(IF(Z10="是",MAX(0,T10-INDEX(账户总表!$C:$C,COUNTA(账户总表!$A:$A)),IF(N10&gt;0,T10/N10-INDEX(账户总表!$B:$B,COUNTA(账户总表!$A:$A)),0)),0),0))</f>
        <v>0</v>
      </c>
      <c r="AB10" s="78" t="n">
        <f aca="false">IF($A10="","",IF(AND(Z10="是",INDEX(账户总表!$U:$U,COUNTA(账户总表!$A:$A))="是"),IF(INDEX(账户总表!$L:$L,COUNTA(账户总表!$A:$A))&gt;=4,AA10*1.5,AA10),0))</f>
        <v>0</v>
      </c>
      <c r="AC10" s="80" t="str">
        <f aca="false">IF($A10="","",IF(AND(L10="是",Q10&gt;=R10,S10&lt;=Q10,S10&gt;=R10,W10="是",X10&gt;0,M10="是",INDEX(账户总表!$M:$M,COUNTA(账户总表!$A:$A))&lt;=2,INDEX(账户总表!$V:$V,COUNTA(账户总表!$A:$A))="是",OR(T10&lt;=INDEX(账户总表!$C:$C,COUNTA(账户总表!$A:$A)),AND(Z10="是",INDEX(账户总表!$U:$U,COUNTA(账户总表!$A:$A))="是",AB10&gt;0))),"是","否"))</f>
        <v>否</v>
      </c>
      <c r="AD10" s="78" t="str">
        <f aca="false">IF($A10="","",IF(L10&lt;&gt;"是","信号未确认",IF(X10&lt;=0,"止损价未定义",IF(Q10&lt;R10,"100股约束不满足",IF(S10&gt;Q10,"计划股数超单股上限",IF(S10&lt;R10,"计划股数低于最小门槛",IF(W10&lt;&gt;"是","总仓位超限",IF(M10&lt;&gt;"是","追价",IF(INDEX(账户总表!$M:$M,COUNTA(账户总表!$A:$A))&gt;2,"亏钱效应偏高",IF(INDEX(账户总表!$V:$V,COUNTA(账户总表!$A:$A))&lt;&gt;"是","账户不允许新开仓",IF(AND(T10&gt;INDEX(账户总表!$C:$C,COUNTA(账户总表!$A:$A)),INDEX(账户总表!$U:$U,COUNTA(账户总表!$A:$A))&lt;&gt;"是"),"现金不足且不允许转入",IF(AND(Z10="是",AB10&lt;=0),"转入金额未满足",""))))))))))))</f>
        <v>100股约束不满足</v>
      </c>
      <c r="AE10" s="78"/>
      <c r="AF10" s="1" t="n">
        <f aca="false">IF($A10="","",D10*100)</f>
        <v>2252</v>
      </c>
      <c r="AG10" s="1" t="n">
        <f aca="false">IF($A10="","",IFERROR(AF10/INDEX(账户总表!$B:$B,COUNTA(账户总表!$A:$A)),0))</f>
        <v>0</v>
      </c>
      <c r="AH10" s="1" t="n">
        <f aca="false">IF($A10="","",IFERROR(INDEX(账户总表!$B:$B,COUNTA(账户总表!$A:$A))*INDEX(账户总表!$O:$O,COUNTA(账户总表!$A:$A)),0))</f>
        <v>0</v>
      </c>
      <c r="AI10" s="1" t="str">
        <f aca="false">IF($A10="","",IF(AF10&gt;AH10,"超限","合规"))</f>
        <v>超限</v>
      </c>
      <c r="AJ10" s="1" t="n">
        <f aca="false">IF($A10="","",IFERROR(AF10/INDEX(账户总表!$O:$O,COUNTA(账户总表!$A:$A)),0))</f>
        <v>0</v>
      </c>
      <c r="AK10" s="1" t="n">
        <f aca="false">IF($A10="","",IFERROR(MAX(0,AJ10-INDEX(账户总表!$B:$B,COUNTA(账户总表!$A:$A)),AF10-INDEX(账户总表!$C:$C,COUNTA(账户总表!$A:$A))),0))</f>
        <v>2252</v>
      </c>
      <c r="AL10" s="1" t="str">
        <f aca="false">IF($A10="","",IF(COUNTIF(持仓表!$C$2:$C$201,C10)&gt;0,"已有","新标的"))</f>
        <v>新标的</v>
      </c>
      <c r="AM10" s="1" t="n">
        <f aca="false">IF($A10="","",IFERROR(SUMIFS(持仓表!$N$2:$N$201,持仓表!$C$2:$C$201,C10,持仓表!$A$2:$A$201,$A10),0))</f>
        <v>0</v>
      </c>
      <c r="AN10" s="1" t="n">
        <f aca="false">IF($A10="","",IFERROR(AM10+AF10/INDEX(账户总表!$B:$B,COUNTA(账户总表!$A:$A)),0))</f>
        <v>0</v>
      </c>
      <c r="AO10" s="1" t="str">
        <f aca="false">IF($A10="","",IF(AN10&gt;INDEX(账户总表!$O:$O,COUNTA(账户总表!$A:$A)),"超限","合规"))</f>
        <v>合规</v>
      </c>
      <c r="AP10" s="1" t="str">
        <f aca="false">IF($A10="","",IF(AND(AL10="新标的",INDEX(账户总表!$R:$R,COUNTA(账户总表!$A:$A))&gt;=INDEX(账户总表!$S:$S,COUNTA(账户总表!$A:$A))),"新增受限","可通过"))</f>
        <v>新增受限</v>
      </c>
      <c r="AQ10" s="1" t="str">
        <f aca="false">IF($A10="","",IF(K10&lt;&gt;"核心池","非核心池",IF(OR(AI10="超限",AO10="超限",AP10="新增受限"),IF(AND(AT10="★信号强化",AS10&gt;=3),"可加仓(动态上限)","不可加仓"),"可加仓")))</f>
        <v>非核心池</v>
      </c>
      <c r="AR10" s="1" t="str">
        <f aca="false">IF($A10="","",TRIM(IF(AI10="超限","1手超单股上限；","")&amp;IF(AO10="超限","买后仓位超限；","")&amp;IF(AP10="新增受限","有效持仓数超限；","")&amp;IF(AF10&gt;INDEX(账户总表!$C:$C,COUNTA(账户总表!$A:$A)),"现金不足；","")))</f>
        <v>1手超单股上限；有效持仓数超限；现金不足；</v>
      </c>
      <c r="AU10" s="1" t="str">
        <f aca="false">IF($A10="","",IF(AK10&gt;30000-INDEX(账户总表!$B:$B,COUNTA(账户总表!$A:$A)),"不适合婴儿阶段","可纳入幼儿路径"))</f>
        <v>可纳入幼儿路径</v>
      </c>
    </row>
    <row r="11" customFormat="false" ht="15" hidden="false" customHeight="true" outlineLevel="0" collapsed="false">
      <c r="A11" s="76" t="n">
        <v>46238</v>
      </c>
      <c r="B11" s="77" t="s">
        <v>459</v>
      </c>
      <c r="C11" s="78" t="s">
        <v>460</v>
      </c>
      <c r="D11" s="78" t="n">
        <v>4.17</v>
      </c>
      <c r="E11" s="78" t="n">
        <v>4.17</v>
      </c>
      <c r="F11" s="78" t="n">
        <v>3.96</v>
      </c>
      <c r="G11" s="78" t="n">
        <v>0.190324176237679</v>
      </c>
      <c r="H11" s="78" t="n">
        <v>0.804525038117571</v>
      </c>
      <c r="I11" s="78" t="s">
        <v>178</v>
      </c>
      <c r="J11" s="77" t="s">
        <v>446</v>
      </c>
      <c r="K11" s="79" t="str">
        <f aca="false">IF($A11="","",IF(AND(G11&lt;20%,H11&gt;0.9),"核心池",IF(AND(H11&gt;=0.85),"观察池",IF(AND(H11&gt;=0.8),"边缘池",""))))</f>
        <v>边缘池</v>
      </c>
      <c r="L11" s="80" t="str">
        <f aca="false">IF($A11="","",IF(AND(G11&lt;60%,H11&gt;0.8,I11="True"),"是","否"))</f>
        <v>是</v>
      </c>
      <c r="M11" s="80" t="str">
        <f aca="false">IF($A11="","",IF(AND(D11&gt;0,E11&gt;0,D11&lt;=E11*1.02),"是","否"))</f>
        <v>是</v>
      </c>
      <c r="N11" s="78" t="str">
        <f aca="false">IFERROR(INDEX(账户总表!$O:$O,COUNTA(账户总表!$A:$A)),0)</f>
        <v/>
      </c>
      <c r="O11" s="78" t="n">
        <f aca="false">IFERROR(INDEX(账户总表!$B:$B,COUNTA(账户总表!$A:$A))*N11,0)</f>
        <v>0</v>
      </c>
      <c r="P11" s="78" t="n">
        <f aca="false">IFERROR(O11/D11,0)</f>
        <v>0</v>
      </c>
      <c r="Q11" s="78" t="n">
        <f aca="false">IFERROR(FLOOR(P11,100),0)</f>
        <v>0</v>
      </c>
      <c r="R11" s="78" t="n">
        <f aca="false">IFERROR(CEILING(800/(100*D11),1)*100,0)</f>
        <v>200</v>
      </c>
      <c r="S11" s="78"/>
      <c r="T11" s="78" t="n">
        <f aca="false">IFERROR(S11*D11,0)</f>
        <v>0</v>
      </c>
      <c r="U11" s="78" t="n">
        <f aca="false">IFERROR(T11/INDEX(账户总表!$B:$B,COUNTA(账户总表!$A:$A)),0)</f>
        <v>0</v>
      </c>
      <c r="V11" s="81" t="n">
        <f aca="false">IFERROR(INDEX(账户总表!$E:$E,COUNTA(账户总表!$A:$A))+U11,0)</f>
        <v>0</v>
      </c>
      <c r="W11" s="80" t="str">
        <f aca="false">IF($A11="","",IFERROR(IF(V11&lt;=INDEX(账户总表!$N:$N,COUNTA(账户总表!$A:$A)),"是","否"),"否"))</f>
        <v>是</v>
      </c>
      <c r="X11" s="78" t="n">
        <f aca="false">IF($A11="","",MAX(F11*0.98,D11*0.92))</f>
        <v>3.8808</v>
      </c>
      <c r="Y11" s="78"/>
      <c r="Z11" s="80" t="str">
        <f aca="false">IF($A11="","",IFERROR(IF(AND(T11&gt;INDEX(账户总表!$C:$C,COUNTA(账户总表!$A:$A)),L11="是"),"是","否"),"否"))</f>
        <v>否</v>
      </c>
      <c r="AA11" s="78" t="n">
        <f aca="false">IF($A11="","",IFERROR(IF(Z11="是",MAX(0,T11-INDEX(账户总表!$C:$C,COUNTA(账户总表!$A:$A)),IF(N11&gt;0,T11/N11-INDEX(账户总表!$B:$B,COUNTA(账户总表!$A:$A)),0)),0),0))</f>
        <v>0</v>
      </c>
      <c r="AB11" s="78" t="n">
        <f aca="false">IF($A11="","",IF(AND(Z11="是",INDEX(账户总表!$U:$U,COUNTA(账户总表!$A:$A))="是"),IF(INDEX(账户总表!$L:$L,COUNTA(账户总表!$A:$A))&gt;=4,AA11*1.5,AA11),0))</f>
        <v>0</v>
      </c>
      <c r="AC11" s="80" t="str">
        <f aca="false">IF($A11="","",IF(AND(L11="是",Q11&gt;=R11,S11&lt;=Q11,S11&gt;=R11,W11="是",X11&gt;0,M11="是",INDEX(账户总表!$M:$M,COUNTA(账户总表!$A:$A))&lt;=2,INDEX(账户总表!$V:$V,COUNTA(账户总表!$A:$A))="是",OR(T11&lt;=INDEX(账户总表!$C:$C,COUNTA(账户总表!$A:$A)),AND(Z11="是",INDEX(账户总表!$U:$U,COUNTA(账户总表!$A:$A))="是",AB11&gt;0))),"是","否"))</f>
        <v>否</v>
      </c>
      <c r="AD11" s="78" t="str">
        <f aca="false"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COUNTA(账户总表!$A:$A))&gt;2,"亏钱效应偏高",IF(INDEX(账户总表!$V:$V,COUNTA(账户总表!$A:$A))&lt;&gt;"是","账户不允许新开仓",IF(AND(T11&gt;INDEX(账户总表!$C:$C,COUNTA(账户总表!$A:$A)),INDEX(账户总表!$U:$U,COUNTA(账户总表!$A:$A))&lt;&gt;"是"),"现金不足且不允许转入",IF(AND(Z11="是",AB11&lt;=0),"转入金额未满足",""))))))))))))</f>
        <v>100股约束不满足</v>
      </c>
      <c r="AE11" s="78"/>
      <c r="AF11" s="1" t="n">
        <f aca="false">IF($A11="","",D11*100)</f>
        <v>417</v>
      </c>
      <c r="AG11" s="1" t="n">
        <f aca="false">IF($A11="","",IFERROR(AF11/INDEX(账户总表!$B:$B,COUNTA(账户总表!$A:$A)),0))</f>
        <v>0</v>
      </c>
      <c r="AH11" s="1" t="n">
        <f aca="false">IF($A11="","",IFERROR(INDEX(账户总表!$B:$B,COUNTA(账户总表!$A:$A))*INDEX(账户总表!$O:$O,COUNTA(账户总表!$A:$A)),0))</f>
        <v>0</v>
      </c>
      <c r="AI11" s="1" t="str">
        <f aca="false">IF($A11="","",IF(AF11&gt;AH11,"超限","合规"))</f>
        <v>超限</v>
      </c>
      <c r="AJ11" s="1" t="n">
        <f aca="false">IF($A11="","",IFERROR(AF11/INDEX(账户总表!$O:$O,COUNTA(账户总表!$A:$A)),0))</f>
        <v>0</v>
      </c>
      <c r="AK11" s="1" t="n">
        <f aca="false">IF($A11="","",IFERROR(MAX(0,AJ11-INDEX(账户总表!$B:$B,COUNTA(账户总表!$A:$A)),AF11-INDEX(账户总表!$C:$C,COUNTA(账户总表!$A:$A))),0))</f>
        <v>417</v>
      </c>
      <c r="AL11" s="1" t="str">
        <f aca="false">IF($A11="","",IF(COUNTIF(持仓表!$C$2:$C$201,C11)&gt;0,"已有","新标的"))</f>
        <v>新标的</v>
      </c>
      <c r="AM11" s="1" t="n">
        <f aca="false">IF($A11="","",IFERROR(SUMIFS(持仓表!$N$2:$N$201,持仓表!$C$2:$C$201,C11,持仓表!$A$2:$A$201,$A11),0))</f>
        <v>0</v>
      </c>
      <c r="AN11" s="1" t="n">
        <f aca="false">IF($A11="","",IFERROR(AM11+AF11/INDEX(账户总表!$B:$B,COUNTA(账户总表!$A:$A)),0))</f>
        <v>0</v>
      </c>
      <c r="AO11" s="1" t="str">
        <f aca="false">IF($A11="","",IF(AN11&gt;INDEX(账户总表!$O:$O,COUNTA(账户总表!$A:$A)),"超限","合规"))</f>
        <v>合规</v>
      </c>
      <c r="AP11" s="1" t="str">
        <f aca="false">IF($A11="","",IF(AND(AL11="新标的",INDEX(账户总表!$R:$R,COUNTA(账户总表!$A:$A))&gt;=INDEX(账户总表!$S:$S,COUNTA(账户总表!$A:$A))),"新增受限","可通过"))</f>
        <v>新增受限</v>
      </c>
      <c r="AQ11" s="1" t="str">
        <f aca="false">IF($A11="","",IF(K11&lt;&gt;"核心池","非核心池",IF(OR(AI11="超限",AO11="超限",AP11="新增受限"),IF(AND(AT11="★信号强化",AS11&gt;=3),"可加仓(动态上限)","不可加仓"),"可加仓")))</f>
        <v>非核心池</v>
      </c>
      <c r="AR11" s="1" t="str">
        <f aca="false">IF($A11="","",TRIM(IF(AI11="超限","1手超单股上限；","")&amp;IF(AO11="超限","买后仓位超限；","")&amp;IF(AP11="新增受限","有效持仓数超限；","")&amp;IF(AF11&gt;INDEX(账户总表!$C:$C,COUNTA(账户总表!$A:$A)),"现金不足；","")))</f>
        <v>1手超单股上限；有效持仓数超限；现金不足；</v>
      </c>
      <c r="AU11" s="1" t="str">
        <f aca="false">IF($A11="","",IF(AK11&gt;30000-INDEX(账户总表!$B:$B,COUNTA(账户总表!$A:$A)),"不适合婴儿阶段","可纳入幼儿路径"))</f>
        <v>可纳入幼儿路径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461</v>
      </c>
      <c r="B1" s="2" t="s">
        <v>345</v>
      </c>
      <c r="C1" s="2" t="s">
        <v>346</v>
      </c>
      <c r="D1" s="2" t="s">
        <v>462</v>
      </c>
      <c r="E1" s="2" t="s">
        <v>463</v>
      </c>
      <c r="F1" s="2" t="s">
        <v>464</v>
      </c>
      <c r="G1" s="2" t="s">
        <v>465</v>
      </c>
      <c r="H1" s="2" t="s">
        <v>466</v>
      </c>
      <c r="I1" s="2" t="s">
        <v>467</v>
      </c>
      <c r="J1" s="2" t="s">
        <v>468</v>
      </c>
      <c r="K1" s="2" t="s">
        <v>469</v>
      </c>
      <c r="L1" s="2" t="s">
        <v>470</v>
      </c>
      <c r="M1" s="2" t="s">
        <v>471</v>
      </c>
      <c r="N1" s="2" t="s">
        <v>472</v>
      </c>
      <c r="O1" s="2" t="s">
        <v>473</v>
      </c>
      <c r="P1" s="2" t="s">
        <v>474</v>
      </c>
      <c r="Q1" s="2" t="s">
        <v>475</v>
      </c>
      <c r="R1" s="2" t="s">
        <v>476</v>
      </c>
      <c r="S1" s="2" t="s">
        <v>477</v>
      </c>
      <c r="T1" s="2" t="s">
        <v>478</v>
      </c>
      <c r="U1" s="2" t="s">
        <v>6</v>
      </c>
      <c r="V1" s="82" t="s">
        <v>479</v>
      </c>
      <c r="W1" s="82" t="s">
        <v>480</v>
      </c>
      <c r="X1" s="83" t="s">
        <v>481</v>
      </c>
      <c r="Y1" s="82" t="s">
        <v>482</v>
      </c>
      <c r="Z1" s="82" t="s">
        <v>483</v>
      </c>
      <c r="AA1" s="82" t="s">
        <v>484</v>
      </c>
    </row>
    <row r="2" customFormat="false" ht="15" hidden="false" customHeight="true" outlineLevel="0" collapsed="false">
      <c r="A2" s="29" t="s">
        <v>485</v>
      </c>
      <c r="B2" s="28" t="s">
        <v>486</v>
      </c>
      <c r="C2" s="29" t="s">
        <v>487</v>
      </c>
      <c r="D2" s="28" t="s">
        <v>488</v>
      </c>
      <c r="E2" s="28" t="s">
        <v>446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489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4" t="n">
        <f aca="false">IF($A2="","",IF(D2="买入",IF(AND(ISNUMBER(L2),L2&gt;0),(F2-L2)*G2,0),0))</f>
        <v>0</v>
      </c>
      <c r="X2" s="85" t="n">
        <v>0</v>
      </c>
      <c r="Y2" s="85" t="n">
        <v>0</v>
      </c>
      <c r="Z2" s="1" t="str">
        <f aca="false">IF($A2="","",IF(X2&gt;0,"胜1",IF(X2&lt;0,"亏1","平")))</f>
        <v>平</v>
      </c>
      <c r="AA2" s="86" t="n">
        <f aca="false">IF($A2="","",0)</f>
        <v>0</v>
      </c>
    </row>
    <row r="3" customFormat="false" ht="15" hidden="false" customHeight="true" outlineLevel="0" collapsed="false">
      <c r="A3" s="31" t="s">
        <v>490</v>
      </c>
      <c r="B3" s="30" t="s">
        <v>491</v>
      </c>
      <c r="C3" s="31" t="s">
        <v>492</v>
      </c>
      <c r="D3" s="30" t="s">
        <v>488</v>
      </c>
      <c r="E3" s="30" t="s">
        <v>446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489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4" t="n">
        <f aca="false">IF($A3="","",IF(D3="买入",IF(AND(ISNUMBER(L3),L3&gt;0),(F3-L3)*G3,0),0))</f>
        <v>0</v>
      </c>
      <c r="X3" s="85" t="n">
        <v>0</v>
      </c>
      <c r="Y3" s="85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6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493</v>
      </c>
      <c r="B4" s="28" t="s">
        <v>486</v>
      </c>
      <c r="C4" s="29" t="s">
        <v>487</v>
      </c>
      <c r="D4" s="28" t="s">
        <v>494</v>
      </c>
      <c r="E4" s="28" t="s">
        <v>495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496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4" t="n">
        <f aca="false">IF($A4="","",IF(D4="买入",IF(AND(ISNUMBER(L4),L4&gt;0),(F4-L4)*G4,0),0))</f>
        <v>0</v>
      </c>
      <c r="X4" s="85" t="n">
        <v>-0.350338</v>
      </c>
      <c r="Y4" s="85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6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497</v>
      </c>
      <c r="B5" s="30" t="s">
        <v>491</v>
      </c>
      <c r="C5" s="31" t="s">
        <v>492</v>
      </c>
      <c r="D5" s="30" t="s">
        <v>494</v>
      </c>
      <c r="E5" s="30" t="s">
        <v>495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498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4" t="n">
        <f aca="false">IF($A5="","",IF(D5="买入",IF(AND(ISNUMBER(L5),L5&gt;0),(F5-L5)*G5,0),0))</f>
        <v>0</v>
      </c>
      <c r="X5" s="85" t="n">
        <v>9.082391</v>
      </c>
      <c r="Y5" s="85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6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499</v>
      </c>
      <c r="B6" s="28" t="s">
        <v>500</v>
      </c>
      <c r="C6" s="29" t="s">
        <v>501</v>
      </c>
      <c r="D6" s="28" t="s">
        <v>488</v>
      </c>
      <c r="E6" s="28" t="s">
        <v>446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502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4" t="n">
        <f aca="false">IF($A6="","",IF(D6="买入",IF(AND(ISNUMBER(L6),L6&gt;0),(F6-L6)*G6,0),0))</f>
        <v>0</v>
      </c>
      <c r="X6" s="85" t="n">
        <v>0</v>
      </c>
      <c r="Y6" s="85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6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503</v>
      </c>
      <c r="B7" s="30" t="s">
        <v>500</v>
      </c>
      <c r="C7" s="31" t="s">
        <v>501</v>
      </c>
      <c r="D7" s="30" t="s">
        <v>494</v>
      </c>
      <c r="E7" s="30" t="s">
        <v>504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505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4" t="n">
        <f aca="false">IF($A7="","",IF(D7="买入",IF(AND(ISNUMBER(L7),L7&gt;0),(F7-L7)*G7,0),0))</f>
        <v>0</v>
      </c>
      <c r="X7" s="85" t="n">
        <v>1.570867</v>
      </c>
      <c r="Y7" s="85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6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503</v>
      </c>
      <c r="B8" s="28" t="s">
        <v>500</v>
      </c>
      <c r="C8" s="29" t="s">
        <v>501</v>
      </c>
      <c r="D8" s="28" t="s">
        <v>488</v>
      </c>
      <c r="E8" s="28" t="s">
        <v>504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506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4" t="n">
        <f aca="false">IF($A8="","",IF(D8="买入",IF(AND(ISNUMBER(L8),L8&gt;0),(F8-L8)*G8,0),0))</f>
        <v>0</v>
      </c>
      <c r="X8" s="85" t="n">
        <v>0</v>
      </c>
      <c r="Y8" s="85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6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507</v>
      </c>
      <c r="B9" s="30" t="s">
        <v>500</v>
      </c>
      <c r="C9" s="31" t="s">
        <v>501</v>
      </c>
      <c r="D9" s="30" t="s">
        <v>494</v>
      </c>
      <c r="E9" s="30" t="s">
        <v>504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505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4" t="n">
        <f aca="false">IF($A9="","",IF(D9="买入",IF(AND(ISNUMBER(L9),L9&gt;0),(F9-L9)*G9,0),0))</f>
        <v>0</v>
      </c>
      <c r="X9" s="85" t="n">
        <v>2.891566</v>
      </c>
      <c r="Y9" s="85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6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507</v>
      </c>
      <c r="B10" s="28" t="s">
        <v>500</v>
      </c>
      <c r="C10" s="29" t="s">
        <v>501</v>
      </c>
      <c r="D10" s="28" t="s">
        <v>488</v>
      </c>
      <c r="E10" s="28" t="s">
        <v>504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506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4" t="n">
        <f aca="false">IF($A10="","",IF(D10="买入",IF(AND(ISNUMBER(L10),L10&gt;0),(F10-L10)*G10,0),0))</f>
        <v>0</v>
      </c>
      <c r="X10" s="85" t="n">
        <v>0</v>
      </c>
      <c r="Y10" s="85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6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508</v>
      </c>
      <c r="B11" s="30" t="s">
        <v>500</v>
      </c>
      <c r="C11" s="31" t="s">
        <v>501</v>
      </c>
      <c r="D11" s="30" t="s">
        <v>494</v>
      </c>
      <c r="E11" s="30" t="s">
        <v>495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509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4" t="n">
        <f aca="false">IF($A11="","",IF(D11="买入",IF(AND(ISNUMBER(L11),L11&gt;0),(F11-L11)*G11,0),0))</f>
        <v>0</v>
      </c>
      <c r="X11" s="85" t="n">
        <v>1.924086</v>
      </c>
      <c r="Y11" s="85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6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510</v>
      </c>
      <c r="B12" s="28" t="s">
        <v>511</v>
      </c>
      <c r="C12" s="29" t="s">
        <v>512</v>
      </c>
      <c r="D12" s="28" t="s">
        <v>488</v>
      </c>
      <c r="E12" s="28" t="s">
        <v>446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513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4" t="n">
        <f aca="false">IF($A12="","",IF(D12="买入",IF(AND(ISNUMBER(L12),L12&gt;0),(F12-L12)*G12,0),0))</f>
        <v>0</v>
      </c>
      <c r="X12" s="85" t="n">
        <v>0</v>
      </c>
      <c r="Y12" s="85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6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514</v>
      </c>
      <c r="B13" s="30" t="s">
        <v>375</v>
      </c>
      <c r="C13" s="31" t="s">
        <v>376</v>
      </c>
      <c r="D13" s="30" t="s">
        <v>488</v>
      </c>
      <c r="E13" s="30" t="s">
        <v>446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515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4" t="n">
        <f aca="false">IF($A13="","",IF(D13="买入",IF(AND(ISNUMBER(L13),L13&gt;0),(F13-L13)*G13,0),0))</f>
        <v>0</v>
      </c>
      <c r="X13" s="85" t="n">
        <v>0</v>
      </c>
      <c r="Y13" s="85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6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516</v>
      </c>
      <c r="B14" s="28" t="s">
        <v>375</v>
      </c>
      <c r="C14" s="29" t="s">
        <v>376</v>
      </c>
      <c r="D14" s="28" t="s">
        <v>494</v>
      </c>
      <c r="E14" s="28" t="s">
        <v>495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517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4" t="n">
        <f aca="false">IF($A14="","",IF(D14="买入",IF(AND(ISNUMBER(L14),L14&gt;0),(F14-L14)*G14,0),0))</f>
        <v>0</v>
      </c>
      <c r="X14" s="85" t="n">
        <v>-0.401727</v>
      </c>
      <c r="Y14" s="85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6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518</v>
      </c>
      <c r="B15" s="30" t="s">
        <v>511</v>
      </c>
      <c r="C15" s="31" t="s">
        <v>512</v>
      </c>
      <c r="D15" s="30" t="s">
        <v>494</v>
      </c>
      <c r="E15" s="30" t="s">
        <v>495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519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4" t="n">
        <f aca="false">IF($A15="","",IF(D15="买入",IF(AND(ISNUMBER(L15),L15&gt;0),(F15-L15)*G15,0),0))</f>
        <v>0</v>
      </c>
      <c r="X15" s="85" t="n">
        <v>0.285888</v>
      </c>
      <c r="Y15" s="85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6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520</v>
      </c>
      <c r="B16" s="28" t="s">
        <v>521</v>
      </c>
      <c r="C16" s="29" t="s">
        <v>522</v>
      </c>
      <c r="D16" s="28" t="s">
        <v>488</v>
      </c>
      <c r="E16" s="28" t="s">
        <v>446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489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4" t="n">
        <f aca="false">IF($A16="","",IF(D16="买入",IF(AND(ISNUMBER(L16),L16&gt;0),(F16-L16)*G16,0),0))</f>
        <v>0</v>
      </c>
      <c r="X16" s="85" t="n">
        <v>0</v>
      </c>
      <c r="Y16" s="85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6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523</v>
      </c>
      <c r="B17" s="30" t="s">
        <v>521</v>
      </c>
      <c r="C17" s="31" t="s">
        <v>522</v>
      </c>
      <c r="D17" s="30" t="s">
        <v>488</v>
      </c>
      <c r="E17" s="30" t="s">
        <v>524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525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4" t="n">
        <f aca="false">IF($A17="","",IF(D17="买入",IF(AND(ISNUMBER(L17),L17&gt;0),(F17-L17)*G17,0),0))</f>
        <v>0</v>
      </c>
      <c r="X17" s="85" t="n">
        <v>0</v>
      </c>
      <c r="Y17" s="85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6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526</v>
      </c>
      <c r="B18" s="28" t="s">
        <v>377</v>
      </c>
      <c r="C18" s="29" t="s">
        <v>378</v>
      </c>
      <c r="D18" s="28" t="s">
        <v>488</v>
      </c>
      <c r="E18" s="28" t="s">
        <v>446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527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4" t="n">
        <f aca="false">IF($A18="","",IF(D18="买入",IF(AND(ISNUMBER(L18),L18&gt;0),(F18-L18)*G18,0),0))</f>
        <v>177.2</v>
      </c>
      <c r="X18" s="85" t="n">
        <v>0</v>
      </c>
      <c r="Y18" s="85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6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528</v>
      </c>
      <c r="B19" s="30" t="s">
        <v>500</v>
      </c>
      <c r="C19" s="31" t="s">
        <v>501</v>
      </c>
      <c r="D19" s="30" t="s">
        <v>529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530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4" t="n">
        <f aca="false">IF($A19="","",IF(D19="买入",IF(AND(ISNUMBER(L19),L19&gt;0),(F19-L19)*G19,0),0))</f>
        <v>0</v>
      </c>
      <c r="X19" s="85" t="n">
        <v>0</v>
      </c>
      <c r="Y19" s="85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6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4" t="str">
        <f aca="false">IF($A20="","",IF(D20="买入",IF(AND(ISNUMBER(L20),L20&gt;0),(F20-L20)*G20,F20*0.08*G20),IF(AND(ISNUMBER(V20),V20&gt;0),IF(AND(ISNUMBER(L20),L20&gt;0),(V20-L20)*G20,V20*0.08*G20),0)))</f>
        <v/>
      </c>
      <c r="X20" s="85" t="str">
        <f aca="false">IF($A20="","",IF(D20="买入",0,IFERROR(IF(W20&lt;&gt;0,(H20-IFERROR(INDEX($H$2:$H19,MATCH(2,1/($C$2:$C19=$C20))),0))/W20,0),0)))</f>
        <v/>
      </c>
      <c r="Y20" s="85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6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4" t="str">
        <f aca="false">IF($A21="","",IF(D21="买入",IF(AND(ISNUMBER(L21),L21&gt;0),(F21-L21)*G21,F21*0.08*G21),IF(AND(ISNUMBER(V21),V21&gt;0),IF(AND(ISNUMBER(L21),L21&gt;0),(V21-L21)*G21,V21*0.08*G21),0)))</f>
        <v/>
      </c>
      <c r="X21" s="85" t="str">
        <f aca="false">IF($A21="","",IF(D21="买入",0,IFERROR(IF(W21&lt;&gt;0,(H21-IFERROR(INDEX($H$2:$H20,MATCH(2,1/($C$2:$C20=$C21))),0))/W21,0),0)))</f>
        <v/>
      </c>
      <c r="Y21" s="85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6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4" t="str">
        <f aca="false">IF($A22="","",IF(D22="买入",IF(AND(ISNUMBER(L22),L22&gt;0),(F22-L22)*G22,F22*0.08*G22),IF(AND(ISNUMBER(V22),V22&gt;0),IF(AND(ISNUMBER(L22),L22&gt;0),(V22-L22)*G22,V22*0.08*G22),0)))</f>
        <v/>
      </c>
      <c r="X22" s="85" t="str">
        <f aca="false">IF($A22="","",IF(D22="买入",0,IFERROR(IF(W22&lt;&gt;0,(H22-IFERROR(INDEX($H$2:$H21,MATCH(2,1/($C$2:$C21=$C22))),0))/W22,0),0)))</f>
        <v/>
      </c>
      <c r="Y22" s="85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6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4" t="str">
        <f aca="false">IF($A23="","",IF(D23="买入",IF(AND(ISNUMBER(L23),L23&gt;0),(F23-L23)*G23,F23*0.08*G23),IF(AND(ISNUMBER(V23),V23&gt;0),IF(AND(ISNUMBER(L23),L23&gt;0),(V23-L23)*G23,V23*0.08*G23),0)))</f>
        <v/>
      </c>
      <c r="X23" s="85" t="str">
        <f aca="false">IF($A23="","",IF(D23="买入",0,IFERROR(IF(W23&lt;&gt;0,(H23-IFERROR(INDEX($H$2:$H22,MATCH(2,1/($C$2:$C22=$C23))),0))/W23,0),0)))</f>
        <v/>
      </c>
      <c r="Y23" s="85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6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4" t="str">
        <f aca="false">IF($A24="","",IF(D24="买入",IF(AND(ISNUMBER(L24),L24&gt;0),(F24-L24)*G24,F24*0.08*G24),IF(AND(ISNUMBER(V24),V24&gt;0),IF(AND(ISNUMBER(L24),L24&gt;0),(V24-L24)*G24,V24*0.08*G24),0)))</f>
        <v/>
      </c>
      <c r="X24" s="85" t="str">
        <f aca="false">IF($A24="","",IF(D24="买入",0,IFERROR(IF(W24&lt;&gt;0,(H24-IFERROR(INDEX($H$2:$H23,MATCH(2,1/($C$2:$C23=$C24))),0))/W24,0),0)))</f>
        <v/>
      </c>
      <c r="Y24" s="85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6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4" t="str">
        <f aca="false">IF($A25="","",IF(D25="买入",IF(AND(ISNUMBER(L25),L25&gt;0),(F25-L25)*G25,F25*0.08*G25),IF(AND(ISNUMBER(V25),V25&gt;0),IF(AND(ISNUMBER(L25),L25&gt;0),(V25-L25)*G25,V25*0.08*G25),0)))</f>
        <v/>
      </c>
      <c r="X25" s="85" t="str">
        <f aca="false">IF($A25="","",IF(D25="买入",0,IFERROR(IF(W25&lt;&gt;0,(H25-IFERROR(INDEX($H$2:$H24,MATCH(2,1/($C$2:$C24=$C25))),0))/W25,0),0)))</f>
        <v/>
      </c>
      <c r="Y25" s="85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6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4" t="str">
        <f aca="false">IF($A26="","",IF(D26="买入",IF(AND(ISNUMBER(L26),L26&gt;0),(F26-L26)*G26,F26*0.08*G26),IF(AND(ISNUMBER(V26),V26&gt;0),IF(AND(ISNUMBER(L26),L26&gt;0),(V26-L26)*G26,V26*0.08*G26),0)))</f>
        <v/>
      </c>
      <c r="X26" s="85" t="str">
        <f aca="false">IF($A26="","",IF(D26="买入",0,IFERROR(IF(W26&lt;&gt;0,(H26-IFERROR(INDEX($H$2:$H25,MATCH(2,1/($C$2:$C25=$C26))),0))/W26,0),0)))</f>
        <v/>
      </c>
      <c r="Y26" s="85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6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4" t="str">
        <f aca="false">IF($A27="","",IF(D27="买入",IF(AND(ISNUMBER(L27),L27&gt;0),(F27-L27)*G27,F27*0.08*G27),IF(AND(ISNUMBER(V27),V27&gt;0),IF(AND(ISNUMBER(L27),L27&gt;0),(V27-L27)*G27,V27*0.08*G27),0)))</f>
        <v/>
      </c>
      <c r="X27" s="85" t="str">
        <f aca="false">IF($A27="","",IF(D27="买入",0,IFERROR(IF(W27&lt;&gt;0,(H27-IFERROR(INDEX($H$2:$H26,MATCH(2,1/($C$2:$C26=$C27))),0))/W27,0),0)))</f>
        <v/>
      </c>
      <c r="Y27" s="85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6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4" t="str">
        <f aca="false">IF($A28="","",IF(D28="买入",IF(AND(ISNUMBER(L28),L28&gt;0),(F28-L28)*G28,F28*0.08*G28),IF(AND(ISNUMBER(V28),V28&gt;0),IF(AND(ISNUMBER(L28),L28&gt;0),(V28-L28)*G28,V28*0.08*G28),0)))</f>
        <v/>
      </c>
      <c r="X28" s="85" t="str">
        <f aca="false">IF($A28="","",IF(D28="买入",0,IFERROR(IF(W28&lt;&gt;0,(H28-IFERROR(INDEX($H$2:$H27,MATCH(2,1/($C$2:$C27=$C28))),0))/W28,0),0)))</f>
        <v/>
      </c>
      <c r="Y28" s="85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6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4" t="str">
        <f aca="false">IF($A29="","",IF(D29="买入",IF(AND(ISNUMBER(L29),L29&gt;0),(F29-L29)*G29,F29*0.08*G29),IF(AND(ISNUMBER(V29),V29&gt;0),IF(AND(ISNUMBER(L29),L29&gt;0),(V29-L29)*G29,V29*0.08*G29),0)))</f>
        <v/>
      </c>
      <c r="X29" s="85" t="str">
        <f aca="false">IF($A29="","",IF(D29="买入",0,IFERROR(IF(W29&lt;&gt;0,(H29-IFERROR(INDEX($H$2:$H28,MATCH(2,1/($C$2:$C28=$C29))),0))/W29,0),0)))</f>
        <v/>
      </c>
      <c r="Y29" s="85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6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4" t="str">
        <f aca="false">IF($A30="","",IF(D30="买入",IF(AND(ISNUMBER(L30),L30&gt;0),(F30-L30)*G30,F30*0.08*G30),IF(AND(ISNUMBER(V30),V30&gt;0),IF(AND(ISNUMBER(L30),L30&gt;0),(V30-L30)*G30,V30*0.08*G30),0)))</f>
        <v/>
      </c>
      <c r="X30" s="85" t="str">
        <f aca="false">IF($A30="","",IF(D30="买入",0,IFERROR(IF(W30&lt;&gt;0,(H30-IFERROR(INDEX($H$2:$H29,MATCH(2,1/($C$2:$C29=$C30))),0))/W30,0),0)))</f>
        <v/>
      </c>
      <c r="Y30" s="85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6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4" t="str">
        <f aca="false">IF($A31="","",IF(D31="买入",IF(AND(ISNUMBER(L31),L31&gt;0),(F31-L31)*G31,F31*0.08*G31),IF(AND(ISNUMBER(V31),V31&gt;0),IF(AND(ISNUMBER(L31),L31&gt;0),(V31-L31)*G31,V31*0.08*G31),0)))</f>
        <v/>
      </c>
      <c r="X31" s="85" t="str">
        <f aca="false">IF($A31="","",IF(D31="买入",0,IFERROR(IF(W31&lt;&gt;0,(H31-IFERROR(INDEX($H$2:$H30,MATCH(2,1/($C$2:$C30=$C31))),0))/W31,0),0)))</f>
        <v/>
      </c>
      <c r="Y31" s="85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6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4" t="str">
        <f aca="false">IF($A32="","",IF(D32="买入",IF(AND(ISNUMBER(L32),L32&gt;0),(F32-L32)*G32,F32*0.08*G32),IF(AND(ISNUMBER(V32),V32&gt;0),IF(AND(ISNUMBER(L32),L32&gt;0),(V32-L32)*G32,V32*0.08*G32),0)))</f>
        <v/>
      </c>
      <c r="X32" s="85" t="str">
        <f aca="false">IF($A32="","",IF(D32="买入",0,IFERROR(IF(W32&lt;&gt;0,(H32-IFERROR(INDEX($H$2:$H31,MATCH(2,1/($C$2:$C31=$C32))),0))/W32,0),0)))</f>
        <v/>
      </c>
      <c r="Y32" s="85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6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4" t="str">
        <f aca="false">IF($A33="","",IF(D33="买入",IF(AND(ISNUMBER(L33),L33&gt;0),(F33-L33)*G33,F33*0.08*G33),IF(AND(ISNUMBER(V33),V33&gt;0),IF(AND(ISNUMBER(L33),L33&gt;0),(V33-L33)*G33,V33*0.08*G33),0)))</f>
        <v/>
      </c>
      <c r="X33" s="85" t="str">
        <f aca="false">IF($A33="","",IF(D33="买入",0,IFERROR(IF(W33&lt;&gt;0,(H33-IFERROR(INDEX($H$2:$H32,MATCH(2,1/($C$2:$C32=$C33))),0))/W33,0),0)))</f>
        <v/>
      </c>
      <c r="Y33" s="85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6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4" t="str">
        <f aca="false">IF($A34="","",IF(D34="买入",IF(AND(ISNUMBER(L34),L34&gt;0),(F34-L34)*G34,F34*0.08*G34),IF(AND(ISNUMBER(V34),V34&gt;0),IF(AND(ISNUMBER(L34),L34&gt;0),(V34-L34)*G34,V34*0.08*G34),0)))</f>
        <v/>
      </c>
      <c r="X34" s="85" t="str">
        <f aca="false">IF($A34="","",IF(D34="买入",0,IFERROR(IF(W34&lt;&gt;0,(H34-IFERROR(INDEX($H$2:$H33,MATCH(2,1/($C$2:$C33=$C34))),0))/W34,0),0)))</f>
        <v/>
      </c>
      <c r="Y34" s="85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6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4" t="str">
        <f aca="false">IF($A35="","",IF(D35="买入",IF(AND(ISNUMBER(L35),L35&gt;0),(F35-L35)*G35,F35*0.08*G35),IF(AND(ISNUMBER(V35),V35&gt;0),IF(AND(ISNUMBER(L35),L35&gt;0),(V35-L35)*G35,V35*0.08*G35),0)))</f>
        <v/>
      </c>
      <c r="X35" s="85" t="str">
        <f aca="false">IF($A35="","",IF(D35="买入",0,IFERROR(IF(W35&lt;&gt;0,(H35-IFERROR(INDEX($H$2:$H34,MATCH(2,1/($C$2:$C34=$C35))),0))/W35,0),0)))</f>
        <v/>
      </c>
      <c r="Y35" s="85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6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4" t="str">
        <f aca="false">IF($A36="","",IF(D36="买入",IF(AND(ISNUMBER(L36),L36&gt;0),(F36-L36)*G36,F36*0.08*G36),IF(AND(ISNUMBER(V36),V36&gt;0),IF(AND(ISNUMBER(L36),L36&gt;0),(V36-L36)*G36,V36*0.08*G36),0)))</f>
        <v/>
      </c>
      <c r="X36" s="85" t="str">
        <f aca="false">IF($A36="","",IF(D36="买入",0,IFERROR(IF(W36&lt;&gt;0,(H36-IFERROR(INDEX($H$2:$H35,MATCH(2,1/($C$2:$C35=$C36))),0))/W36,0),0)))</f>
        <v/>
      </c>
      <c r="Y36" s="85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6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4" t="str">
        <f aca="false">IF($A37="","",IF(D37="买入",IF(AND(ISNUMBER(L37),L37&gt;0),(F37-L37)*G37,F37*0.08*G37),IF(AND(ISNUMBER(V37),V37&gt;0),IF(AND(ISNUMBER(L37),L37&gt;0),(V37-L37)*G37,V37*0.08*G37),0)))</f>
        <v/>
      </c>
      <c r="X37" s="85" t="str">
        <f aca="false">IF($A37="","",IF(D37="买入",0,IFERROR(IF(W37&lt;&gt;0,(H37-IFERROR(INDEX($H$2:$H36,MATCH(2,1/($C$2:$C36=$C37))),0))/W37,0),0)))</f>
        <v/>
      </c>
      <c r="Y37" s="85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6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4" t="str">
        <f aca="false">IF($A38="","",IF(D38="买入",IF(AND(ISNUMBER(L38),L38&gt;0),(F38-L38)*G38,F38*0.08*G38),IF(AND(ISNUMBER(V38),V38&gt;0),IF(AND(ISNUMBER(L38),L38&gt;0),(V38-L38)*G38,V38*0.08*G38),0)))</f>
        <v/>
      </c>
      <c r="X38" s="85" t="str">
        <f aca="false">IF($A38="","",IF(D38="买入",0,IFERROR(IF(W38&lt;&gt;0,(H38-IFERROR(INDEX($H$2:$H37,MATCH(2,1/($C$2:$C37=$C38))),0))/W38,0),0)))</f>
        <v/>
      </c>
      <c r="Y38" s="85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6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4" t="str">
        <f aca="false">IF($A39="","",IF(D39="买入",IF(AND(ISNUMBER(L39),L39&gt;0),(F39-L39)*G39,F39*0.08*G39),IF(AND(ISNUMBER(V39),V39&gt;0),IF(AND(ISNUMBER(L39),L39&gt;0),(V39-L39)*G39,V39*0.08*G39),0)))</f>
        <v/>
      </c>
      <c r="X39" s="85" t="str">
        <f aca="false">IF($A39="","",IF(D39="买入",0,IFERROR(IF(W39&lt;&gt;0,(H39-IFERROR(INDEX($H$2:$H38,MATCH(2,1/($C$2:$C38=$C39))),0))/W39,0),0)))</f>
        <v/>
      </c>
      <c r="Y39" s="85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6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4" t="str">
        <f aca="false">IF($A40="","",IF(D40="买入",IF(AND(ISNUMBER(L40),L40&gt;0),(F40-L40)*G40,F40*0.08*G40),IF(AND(ISNUMBER(V40),V40&gt;0),IF(AND(ISNUMBER(L40),L40&gt;0),(V40-L40)*G40,V40*0.08*G40),0)))</f>
        <v/>
      </c>
      <c r="X40" s="85" t="str">
        <f aca="false">IF($A40="","",IF(D40="买入",0,IFERROR(IF(W40&lt;&gt;0,(H40-IFERROR(INDEX($H$2:$H39,MATCH(2,1/($C$2:$C39=$C40))),0))/W40,0),0)))</f>
        <v/>
      </c>
      <c r="Y40" s="85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6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4" t="str">
        <f aca="false">IF($A41="","",IF(D41="买入",IF(AND(ISNUMBER(L41),L41&gt;0),(F41-L41)*G41,F41*0.08*G41),IF(AND(ISNUMBER(V41),V41&gt;0),IF(AND(ISNUMBER(L41),L41&gt;0),(V41-L41)*G41,V41*0.08*G41),0)))</f>
        <v/>
      </c>
      <c r="X41" s="85" t="str">
        <f aca="false">IF($A41="","",IF(D41="买入",0,IFERROR(IF(W41&lt;&gt;0,(H41-IFERROR(INDEX($H$2:$H40,MATCH(2,1/($C$2:$C40=$C41))),0))/W41,0),0)))</f>
        <v/>
      </c>
      <c r="Y41" s="85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6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4" t="str">
        <f aca="false">IF($A42="","",IF(D42="买入",IF(AND(ISNUMBER(L42),L42&gt;0),(F42-L42)*G42,F42*0.08*G42),IF(AND(ISNUMBER(V42),V42&gt;0),IF(AND(ISNUMBER(L42),L42&gt;0),(V42-L42)*G42,V42*0.08*G42),0)))</f>
        <v/>
      </c>
      <c r="X42" s="85" t="str">
        <f aca="false">IF($A42="","",IF(D42="买入",0,IFERROR(IF(W42&lt;&gt;0,(H42-IFERROR(INDEX($H$2:$H41,MATCH(2,1/($C$2:$C41=$C42))),0))/W42,0),0)))</f>
        <v/>
      </c>
      <c r="Y42" s="85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6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4" t="str">
        <f aca="false">IF($A43="","",IF(D43="买入",IF(AND(ISNUMBER(L43),L43&gt;0),(F43-L43)*G43,F43*0.08*G43),IF(AND(ISNUMBER(V43),V43&gt;0),IF(AND(ISNUMBER(L43),L43&gt;0),(V43-L43)*G43,V43*0.08*G43),0)))</f>
        <v/>
      </c>
      <c r="X43" s="85" t="str">
        <f aca="false">IF($A43="","",IF(D43="买入",0,IFERROR(IF(W43&lt;&gt;0,(H43-IFERROR(INDEX($H$2:$H42,MATCH(2,1/($C$2:$C42=$C43))),0))/W43,0),0)))</f>
        <v/>
      </c>
      <c r="Y43" s="85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6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4" t="str">
        <f aca="false">IF($A44="","",IF(D44="买入",IF(AND(ISNUMBER(L44),L44&gt;0),(F44-L44)*G44,F44*0.08*G44),IF(AND(ISNUMBER(V44),V44&gt;0),IF(AND(ISNUMBER(L44),L44&gt;0),(V44-L44)*G44,V44*0.08*G44),0)))</f>
        <v/>
      </c>
      <c r="X44" s="85" t="str">
        <f aca="false">IF($A44="","",IF(D44="买入",0,IFERROR(IF(W44&lt;&gt;0,(H44-IFERROR(INDEX($H$2:$H43,MATCH(2,1/($C$2:$C43=$C44))),0))/W44,0),0)))</f>
        <v/>
      </c>
      <c r="Y44" s="85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6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4" t="str">
        <f aca="false">IF($A45="","",IF(D45="买入",IF(AND(ISNUMBER(L45),L45&gt;0),(F45-L45)*G45,F45*0.08*G45),IF(AND(ISNUMBER(V45),V45&gt;0),IF(AND(ISNUMBER(L45),L45&gt;0),(V45-L45)*G45,V45*0.08*G45),0)))</f>
        <v/>
      </c>
      <c r="X45" s="85" t="str">
        <f aca="false">IF($A45="","",IF(D45="买入",0,IFERROR(IF(W45&lt;&gt;0,(H45-IFERROR(INDEX($H$2:$H44,MATCH(2,1/($C$2:$C44=$C45))),0))/W45,0),0)))</f>
        <v/>
      </c>
      <c r="Y45" s="85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6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4" t="str">
        <f aca="false">IF($A46="","",IF(D46="买入",IF(AND(ISNUMBER(L46),L46&gt;0),(F46-L46)*G46,F46*0.08*G46),IF(AND(ISNUMBER(V46),V46&gt;0),IF(AND(ISNUMBER(L46),L46&gt;0),(V46-L46)*G46,V46*0.08*G46),0)))</f>
        <v/>
      </c>
      <c r="X46" s="85" t="str">
        <f aca="false">IF($A46="","",IF(D46="买入",0,IFERROR(IF(W46&lt;&gt;0,(H46-IFERROR(INDEX($H$2:$H45,MATCH(2,1/($C$2:$C45=$C46))),0))/W46,0),0)))</f>
        <v/>
      </c>
      <c r="Y46" s="85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6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4" t="str">
        <f aca="false">IF($A47="","",IF(D47="买入",IF(AND(ISNUMBER(L47),L47&gt;0),(F47-L47)*G47,F47*0.08*G47),IF(AND(ISNUMBER(V47),V47&gt;0),IF(AND(ISNUMBER(L47),L47&gt;0),(V47-L47)*G47,V47*0.08*G47),0)))</f>
        <v/>
      </c>
      <c r="X47" s="85" t="str">
        <f aca="false">IF($A47="","",IF(D47="买入",0,IFERROR(IF(W47&lt;&gt;0,(H47-IFERROR(INDEX($H$2:$H46,MATCH(2,1/($C$2:$C46=$C47))),0))/W47,0),0)))</f>
        <v/>
      </c>
      <c r="Y47" s="85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6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4" t="str">
        <f aca="false">IF($A48="","",IF(D48="买入",IF(AND(ISNUMBER(L48),L48&gt;0),(F48-L48)*G48,F48*0.08*G48),IF(AND(ISNUMBER(V48),V48&gt;0),IF(AND(ISNUMBER(L48),L48&gt;0),(V48-L48)*G48,V48*0.08*G48),0)))</f>
        <v/>
      </c>
      <c r="X48" s="85" t="str">
        <f aca="false">IF($A48="","",IF(D48="买入",0,IFERROR(IF(W48&lt;&gt;0,(H48-IFERROR(INDEX($H$2:$H47,MATCH(2,1/($C$2:$C47=$C48))),0))/W48,0),0)))</f>
        <v/>
      </c>
      <c r="Y48" s="85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6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4" t="str">
        <f aca="false">IF($A49="","",IF(D49="买入",IF(AND(ISNUMBER(L49),L49&gt;0),(F49-L49)*G49,F49*0.08*G49),IF(AND(ISNUMBER(V49),V49&gt;0),IF(AND(ISNUMBER(L49),L49&gt;0),(V49-L49)*G49,V49*0.08*G49),0)))</f>
        <v/>
      </c>
      <c r="X49" s="85" t="str">
        <f aca="false">IF($A49="","",IF(D49="买入",0,IFERROR(IF(W49&lt;&gt;0,(H49-IFERROR(INDEX($H$2:$H48,MATCH(2,1/($C$2:$C48=$C49))),0))/W49,0),0)))</f>
        <v/>
      </c>
      <c r="Y49" s="85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6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4" t="str">
        <f aca="false">IF($A50="","",IF(D50="买入",IF(AND(ISNUMBER(L50),L50&gt;0),(F50-L50)*G50,F50*0.08*G50),IF(AND(ISNUMBER(V50),V50&gt;0),IF(AND(ISNUMBER(L50),L50&gt;0),(V50-L50)*G50,V50*0.08*G50),0)))</f>
        <v/>
      </c>
      <c r="X50" s="85" t="str">
        <f aca="false">IF($A50="","",IF(D50="买入",0,IFERROR(IF(W50&lt;&gt;0,(H50-IFERROR(INDEX($H$2:$H49,MATCH(2,1/($C$2:$C49=$C50))),0))/W50,0),0)))</f>
        <v/>
      </c>
      <c r="Y50" s="85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6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4" t="str">
        <f aca="false">IF($A51="","",IF(D51="买入",IF(AND(ISNUMBER(L51),L51&gt;0),(F51-L51)*G51,F51*0.08*G51),IF(AND(ISNUMBER(V51),V51&gt;0),IF(AND(ISNUMBER(L51),L51&gt;0),(V51-L51)*G51,V51*0.08*G51),0)))</f>
        <v/>
      </c>
      <c r="X51" s="85" t="str">
        <f aca="false">IF($A51="","",IF(D51="买入",0,IFERROR(IF(W51&lt;&gt;0,(H51-IFERROR(INDEX($H$2:$H50,MATCH(2,1/($C$2:$C50=$C51))),0))/W51,0),0)))</f>
        <v/>
      </c>
      <c r="Y51" s="85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6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4" t="str">
        <f aca="false">IF($A52="","",IF(D52="买入",IF(AND(ISNUMBER(L52),L52&gt;0),(F52-L52)*G52,F52*0.08*G52),IF(AND(ISNUMBER(V52),V52&gt;0),IF(AND(ISNUMBER(L52),L52&gt;0),(V52-L52)*G52,V52*0.08*G52),0)))</f>
        <v/>
      </c>
      <c r="X52" s="85" t="str">
        <f aca="false">IF($A52="","",IF(D52="买入",0,IFERROR(IF(W52&lt;&gt;0,(H52-IFERROR(INDEX($H$2:$H51,MATCH(2,1/($C$2:$C51=$C52))),0))/W52,0),0)))</f>
        <v/>
      </c>
      <c r="Y52" s="85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6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4" t="str">
        <f aca="false">IF($A53="","",IF(D53="买入",IF(AND(ISNUMBER(L53),L53&gt;0),(F53-L53)*G53,F53*0.08*G53),IF(AND(ISNUMBER(V53),V53&gt;0),IF(AND(ISNUMBER(L53),L53&gt;0),(V53-L53)*G53,V53*0.08*G53),0)))</f>
        <v/>
      </c>
      <c r="X53" s="85" t="str">
        <f aca="false">IF($A53="","",IF(D53="买入",0,IFERROR(IF(W53&lt;&gt;0,(H53-IFERROR(INDEX($H$2:$H52,MATCH(2,1/($C$2:$C52=$C53))),0))/W53,0),0)))</f>
        <v/>
      </c>
      <c r="Y53" s="85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6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4" t="str">
        <f aca="false">IF($A54="","",IF(D54="买入",IF(AND(ISNUMBER(L54),L54&gt;0),(F54-L54)*G54,F54*0.08*G54),IF(AND(ISNUMBER(V54),V54&gt;0),IF(AND(ISNUMBER(L54),L54&gt;0),(V54-L54)*G54,V54*0.08*G54),0)))</f>
        <v/>
      </c>
      <c r="X54" s="85" t="str">
        <f aca="false">IF($A54="","",IF(D54="买入",0,IFERROR(IF(W54&lt;&gt;0,(H54-IFERROR(INDEX($H$2:$H53,MATCH(2,1/($C$2:$C53=$C54))),0))/W54,0),0)))</f>
        <v/>
      </c>
      <c r="Y54" s="85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6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4" t="str">
        <f aca="false">IF($A55="","",IF(D55="买入",IF(AND(ISNUMBER(L55),L55&gt;0),(F55-L55)*G55,F55*0.08*G55),IF(AND(ISNUMBER(V55),V55&gt;0),IF(AND(ISNUMBER(L55),L55&gt;0),(V55-L55)*G55,V55*0.08*G55),0)))</f>
        <v/>
      </c>
      <c r="X55" s="85" t="str">
        <f aca="false">IF($A55="","",IF(D55="买入",0,IFERROR(IF(W55&lt;&gt;0,(H55-IFERROR(INDEX($H$2:$H54,MATCH(2,1/($C$2:$C54=$C55))),0))/W55,0),0)))</f>
        <v/>
      </c>
      <c r="Y55" s="85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6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4" t="str">
        <f aca="false">IF($A56="","",IF(D56="买入",IF(AND(ISNUMBER(L56),L56&gt;0),(F56-L56)*G56,F56*0.08*G56),IF(AND(ISNUMBER(V56),V56&gt;0),IF(AND(ISNUMBER(L56),L56&gt;0),(V56-L56)*G56,V56*0.08*G56),0)))</f>
        <v/>
      </c>
      <c r="X56" s="85" t="str">
        <f aca="false">IF($A56="","",IF(D56="买入",0,IFERROR(IF(W56&lt;&gt;0,(H56-IFERROR(INDEX($H$2:$H55,MATCH(2,1/($C$2:$C55=$C56))),0))/W56,0),0)))</f>
        <v/>
      </c>
      <c r="Y56" s="85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6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4" t="str">
        <f aca="false">IF($A57="","",IF(D57="买入",IF(AND(ISNUMBER(L57),L57&gt;0),(F57-L57)*G57,F57*0.08*G57),IF(AND(ISNUMBER(V57),V57&gt;0),IF(AND(ISNUMBER(L57),L57&gt;0),(V57-L57)*G57,V57*0.08*G57),0)))</f>
        <v/>
      </c>
      <c r="X57" s="85" t="str">
        <f aca="false">IF($A57="","",IF(D57="买入",0,IFERROR(IF(W57&lt;&gt;0,(H57-IFERROR(INDEX($H$2:$H56,MATCH(2,1/($C$2:$C56=$C57))),0))/W57,0),0)))</f>
        <v/>
      </c>
      <c r="Y57" s="85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6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4" t="str">
        <f aca="false">IF($A58="","",IF(D58="买入",IF(AND(ISNUMBER(L58),L58&gt;0),(F58-L58)*G58,F58*0.08*G58),IF(AND(ISNUMBER(V58),V58&gt;0),IF(AND(ISNUMBER(L58),L58&gt;0),(V58-L58)*G58,V58*0.08*G58),0)))</f>
        <v/>
      </c>
      <c r="X58" s="85" t="str">
        <f aca="false">IF($A58="","",IF(D58="买入",0,IFERROR(IF(W58&lt;&gt;0,(H58-IFERROR(INDEX($H$2:$H57,MATCH(2,1/($C$2:$C57=$C58))),0))/W58,0),0)))</f>
        <v/>
      </c>
      <c r="Y58" s="85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6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4" t="str">
        <f aca="false">IF($A59="","",IF(D59="买入",IF(AND(ISNUMBER(L59),L59&gt;0),(F59-L59)*G59,F59*0.08*G59),IF(AND(ISNUMBER(V59),V59&gt;0),IF(AND(ISNUMBER(L59),L59&gt;0),(V59-L59)*G59,V59*0.08*G59),0)))</f>
        <v/>
      </c>
      <c r="X59" s="85" t="str">
        <f aca="false">IF($A59="","",IF(D59="买入",0,IFERROR(IF(W59&lt;&gt;0,(H59-IFERROR(INDEX($H$2:$H58,MATCH(2,1/($C$2:$C58=$C59))),0))/W59,0),0)))</f>
        <v/>
      </c>
      <c r="Y59" s="85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6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4" t="str">
        <f aca="false">IF($A60="","",IF(D60="买入",IF(AND(ISNUMBER(L60),L60&gt;0),(F60-L60)*G60,F60*0.08*G60),IF(AND(ISNUMBER(V60),V60&gt;0),IF(AND(ISNUMBER(L60),L60&gt;0),(V60-L60)*G60,V60*0.08*G60),0)))</f>
        <v/>
      </c>
      <c r="X60" s="85" t="str">
        <f aca="false">IF($A60="","",IF(D60="买入",0,IFERROR(IF(W60&lt;&gt;0,(H60-IFERROR(INDEX($H$2:$H59,MATCH(2,1/($C$2:$C59=$C60))),0))/W60,0),0)))</f>
        <v/>
      </c>
      <c r="Y60" s="85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6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4" t="str">
        <f aca="false">IF($A61="","",IF(D61="买入",IF(AND(ISNUMBER(L61),L61&gt;0),(F61-L61)*G61,F61*0.08*G61),IF(AND(ISNUMBER(V61),V61&gt;0),IF(AND(ISNUMBER(L61),L61&gt;0),(V61-L61)*G61,V61*0.08*G61),0)))</f>
        <v/>
      </c>
      <c r="X61" s="85" t="str">
        <f aca="false">IF($A61="","",IF(D61="买入",0,IFERROR(IF(W61&lt;&gt;0,(H61-IFERROR(INDEX($H$2:$H60,MATCH(2,1/($C$2:$C60=$C61))),0))/W61,0),0)))</f>
        <v/>
      </c>
      <c r="Y61" s="85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6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4" t="str">
        <f aca="false">IF($A62="","",IF(D62="买入",IF(AND(ISNUMBER(L62),L62&gt;0),(F62-L62)*G62,F62*0.08*G62),IF(AND(ISNUMBER(V62),V62&gt;0),IF(AND(ISNUMBER(L62),L62&gt;0),(V62-L62)*G62,V62*0.08*G62),0)))</f>
        <v/>
      </c>
      <c r="X62" s="85" t="str">
        <f aca="false">IF($A62="","",IF(D62="买入",0,IFERROR(IF(W62&lt;&gt;0,(H62-IFERROR(INDEX($H$2:$H61,MATCH(2,1/($C$2:$C61=$C62))),0))/W62,0),0)))</f>
        <v/>
      </c>
      <c r="Y62" s="85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6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4" t="str">
        <f aca="false">IF($A63="","",IF(D63="买入",IF(AND(ISNUMBER(L63),L63&gt;0),(F63-L63)*G63,F63*0.08*G63),IF(AND(ISNUMBER(V63),V63&gt;0),IF(AND(ISNUMBER(L63),L63&gt;0),(V63-L63)*G63,V63*0.08*G63),0)))</f>
        <v/>
      </c>
      <c r="X63" s="85" t="str">
        <f aca="false">IF($A63="","",IF(D63="买入",0,IFERROR(IF(W63&lt;&gt;0,(H63-IFERROR(INDEX($H$2:$H62,MATCH(2,1/($C$2:$C62=$C63))),0))/W63,0),0)))</f>
        <v/>
      </c>
      <c r="Y63" s="85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6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4" t="str">
        <f aca="false">IF($A64="","",IF(D64="买入",IF(AND(ISNUMBER(L64),L64&gt;0),(F64-L64)*G64,F64*0.08*G64),IF(AND(ISNUMBER(V64),V64&gt;0),IF(AND(ISNUMBER(L64),L64&gt;0),(V64-L64)*G64,V64*0.08*G64),0)))</f>
        <v/>
      </c>
      <c r="X64" s="85" t="str">
        <f aca="false">IF($A64="","",IF(D64="买入",0,IFERROR(IF(W64&lt;&gt;0,(H64-IFERROR(INDEX($H$2:$H63,MATCH(2,1/($C$2:$C63=$C64))),0))/W64,0),0)))</f>
        <v/>
      </c>
      <c r="Y64" s="85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6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4" t="str">
        <f aca="false">IF($A65="","",IF(D65="买入",IF(AND(ISNUMBER(L65),L65&gt;0),(F65-L65)*G65,F65*0.08*G65),IF(AND(ISNUMBER(V65),V65&gt;0),IF(AND(ISNUMBER(L65),L65&gt;0),(V65-L65)*G65,V65*0.08*G65),0)))</f>
        <v/>
      </c>
      <c r="X65" s="85" t="str">
        <f aca="false">IF($A65="","",IF(D65="买入",0,IFERROR(IF(W65&lt;&gt;0,(H65-IFERROR(INDEX($H$2:$H64,MATCH(2,1/($C$2:$C64=$C65))),0))/W65,0),0)))</f>
        <v/>
      </c>
      <c r="Y65" s="85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6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4" t="str">
        <f aca="false">IF($A66="","",IF(D66="买入",IF(AND(ISNUMBER(L66),L66&gt;0),(F66-L66)*G66,F66*0.08*G66),IF(AND(ISNUMBER(V66),V66&gt;0),IF(AND(ISNUMBER(L66),L66&gt;0),(V66-L66)*G66,V66*0.08*G66),0)))</f>
        <v/>
      </c>
      <c r="X66" s="85" t="str">
        <f aca="false">IF($A66="","",IF(D66="买入",0,IFERROR(IF(W66&lt;&gt;0,(H66-IFERROR(INDEX($H$2:$H65,MATCH(2,1/($C$2:$C65=$C66))),0))/W66,0),0)))</f>
        <v/>
      </c>
      <c r="Y66" s="85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6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4" t="str">
        <f aca="false">IF($A67="","",IF(D67="买入",IF(AND(ISNUMBER(L67),L67&gt;0),(F67-L67)*G67,F67*0.08*G67),IF(AND(ISNUMBER(V67),V67&gt;0),IF(AND(ISNUMBER(L67),L67&gt;0),(V67-L67)*G67,V67*0.08*G67),0)))</f>
        <v/>
      </c>
      <c r="X67" s="85" t="str">
        <f aca="false">IF($A67="","",IF(D67="买入",0,IFERROR(IF(W67&lt;&gt;0,(H67-IFERROR(INDEX($H$2:$H66,MATCH(2,1/($C$2:$C66=$C67))),0))/W67,0),0)))</f>
        <v/>
      </c>
      <c r="Y67" s="85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6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4" t="str">
        <f aca="false">IF($A68="","",IF(D68="买入",IF(AND(ISNUMBER(L68),L68&gt;0),(F68-L68)*G68,F68*0.08*G68),IF(AND(ISNUMBER(V68),V68&gt;0),IF(AND(ISNUMBER(L68),L68&gt;0),(V68-L68)*G68,V68*0.08*G68),0)))</f>
        <v/>
      </c>
      <c r="X68" s="85" t="str">
        <f aca="false">IF($A68="","",IF(D68="买入",0,IFERROR(IF(W68&lt;&gt;0,(H68-IFERROR(INDEX($H$2:$H67,MATCH(2,1/($C$2:$C67=$C68))),0))/W68,0),0)))</f>
        <v/>
      </c>
      <c r="Y68" s="85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6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4" t="str">
        <f aca="false">IF($A69="","",IF(D69="买入",IF(AND(ISNUMBER(L69),L69&gt;0),(F69-L69)*G69,F69*0.08*G69),IF(AND(ISNUMBER(V69),V69&gt;0),IF(AND(ISNUMBER(L69),L69&gt;0),(V69-L69)*G69,V69*0.08*G69),0)))</f>
        <v/>
      </c>
      <c r="X69" s="85" t="str">
        <f aca="false">IF($A69="","",IF(D69="买入",0,IFERROR(IF(W69&lt;&gt;0,(H69-IFERROR(INDEX($H$2:$H68,MATCH(2,1/($C$2:$C68=$C69))),0))/W69,0),0)))</f>
        <v/>
      </c>
      <c r="Y69" s="85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6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4" t="str">
        <f aca="false">IF($A70="","",IF(D70="买入",IF(AND(ISNUMBER(L70),L70&gt;0),(F70-L70)*G70,F70*0.08*G70),IF(AND(ISNUMBER(V70),V70&gt;0),IF(AND(ISNUMBER(L70),L70&gt;0),(V70-L70)*G70,V70*0.08*G70),0)))</f>
        <v/>
      </c>
      <c r="X70" s="85" t="str">
        <f aca="false">IF($A70="","",IF(D70="买入",0,IFERROR(IF(W70&lt;&gt;0,(H70-IFERROR(INDEX($H$2:$H69,MATCH(2,1/($C$2:$C69=$C70))),0))/W70,0),0)))</f>
        <v/>
      </c>
      <c r="Y70" s="85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6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4" t="str">
        <f aca="false">IF($A71="","",IF(D71="买入",IF(AND(ISNUMBER(L71),L71&gt;0),(F71-L71)*G71,F71*0.08*G71),IF(AND(ISNUMBER(V71),V71&gt;0),IF(AND(ISNUMBER(L71),L71&gt;0),(V71-L71)*G71,V71*0.08*G71),0)))</f>
        <v/>
      </c>
      <c r="X71" s="85" t="str">
        <f aca="false">IF($A71="","",IF(D71="买入",0,IFERROR(IF(W71&lt;&gt;0,(H71-IFERROR(INDEX($H$2:$H70,MATCH(2,1/($C$2:$C70=$C71))),0))/W71,0),0)))</f>
        <v/>
      </c>
      <c r="Y71" s="85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6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4" t="str">
        <f aca="false">IF($A72="","",IF(D72="买入",IF(AND(ISNUMBER(L72),L72&gt;0),(F72-L72)*G72,F72*0.08*G72),IF(AND(ISNUMBER(V72),V72&gt;0),IF(AND(ISNUMBER(L72),L72&gt;0),(V72-L72)*G72,V72*0.08*G72),0)))</f>
        <v/>
      </c>
      <c r="X72" s="85" t="str">
        <f aca="false">IF($A72="","",IF(D72="买入",0,IFERROR(IF(W72&lt;&gt;0,(H72-IFERROR(INDEX($H$2:$H71,MATCH(2,1/($C$2:$C71=$C72))),0))/W72,0),0)))</f>
        <v/>
      </c>
      <c r="Y72" s="85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6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4" t="str">
        <f aca="false">IF($A73="","",IF(D73="买入",IF(AND(ISNUMBER(L73),L73&gt;0),(F73-L73)*G73,F73*0.08*G73),IF(AND(ISNUMBER(V73),V73&gt;0),IF(AND(ISNUMBER(L73),L73&gt;0),(V73-L73)*G73,V73*0.08*G73),0)))</f>
        <v/>
      </c>
      <c r="X73" s="85" t="str">
        <f aca="false">IF($A73="","",IF(D73="买入",0,IFERROR(IF(W73&lt;&gt;0,(H73-IFERROR(INDEX($H$2:$H72,MATCH(2,1/($C$2:$C72=$C73))),0))/W73,0),0)))</f>
        <v/>
      </c>
      <c r="Y73" s="85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6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4" t="str">
        <f aca="false">IF($A74="","",IF(D74="买入",IF(AND(ISNUMBER(L74),L74&gt;0),(F74-L74)*G74,F74*0.08*G74),IF(AND(ISNUMBER(V74),V74&gt;0),IF(AND(ISNUMBER(L74),L74&gt;0),(V74-L74)*G74,V74*0.08*G74),0)))</f>
        <v/>
      </c>
      <c r="X74" s="85" t="str">
        <f aca="false">IF($A74="","",IF(D74="买入",0,IFERROR(IF(W74&lt;&gt;0,(H74-IFERROR(INDEX($H$2:$H73,MATCH(2,1/($C$2:$C73=$C74))),0))/W74,0),0)))</f>
        <v/>
      </c>
      <c r="Y74" s="85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6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4" t="str">
        <f aca="false">IF($A75="","",IF(D75="买入",IF(AND(ISNUMBER(L75),L75&gt;0),(F75-L75)*G75,F75*0.08*G75),IF(AND(ISNUMBER(V75),V75&gt;0),IF(AND(ISNUMBER(L75),L75&gt;0),(V75-L75)*G75,V75*0.08*G75),0)))</f>
        <v/>
      </c>
      <c r="X75" s="85" t="str">
        <f aca="false">IF($A75="","",IF(D75="买入",0,IFERROR(IF(W75&lt;&gt;0,(H75-IFERROR(INDEX($H$2:$H74,MATCH(2,1/($C$2:$C74=$C75))),0))/W75,0),0)))</f>
        <v/>
      </c>
      <c r="Y75" s="85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6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4" t="str">
        <f aca="false">IF($A76="","",IF(D76="买入",IF(AND(ISNUMBER(L76),L76&gt;0),(F76-L76)*G76,F76*0.08*G76),IF(AND(ISNUMBER(V76),V76&gt;0),IF(AND(ISNUMBER(L76),L76&gt;0),(V76-L76)*G76,V76*0.08*G76),0)))</f>
        <v/>
      </c>
      <c r="X76" s="85" t="str">
        <f aca="false">IF($A76="","",IF(D76="买入",0,IFERROR(IF(W76&lt;&gt;0,(H76-IFERROR(INDEX($H$2:$H75,MATCH(2,1/($C$2:$C75=$C76))),0))/W76,0),0)))</f>
        <v/>
      </c>
      <c r="Y76" s="85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6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4" t="str">
        <f aca="false">IF($A77="","",IF(D77="买入",IF(AND(ISNUMBER(L77),L77&gt;0),(F77-L77)*G77,F77*0.08*G77),IF(AND(ISNUMBER(V77),V77&gt;0),IF(AND(ISNUMBER(L77),L77&gt;0),(V77-L77)*G77,V77*0.08*G77),0)))</f>
        <v/>
      </c>
      <c r="X77" s="85" t="str">
        <f aca="false">IF($A77="","",IF(D77="买入",0,IFERROR(IF(W77&lt;&gt;0,(H77-IFERROR(INDEX($H$2:$H76,MATCH(2,1/($C$2:$C76=$C77))),0))/W77,0),0)))</f>
        <v/>
      </c>
      <c r="Y77" s="85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6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4" t="str">
        <f aca="false">IF($A78="","",IF(D78="买入",IF(AND(ISNUMBER(L78),L78&gt;0),(F78-L78)*G78,F78*0.08*G78),IF(AND(ISNUMBER(V78),V78&gt;0),IF(AND(ISNUMBER(L78),L78&gt;0),(V78-L78)*G78,V78*0.08*G78),0)))</f>
        <v/>
      </c>
      <c r="X78" s="85" t="str">
        <f aca="false">IF($A78="","",IF(D78="买入",0,IFERROR(IF(W78&lt;&gt;0,(H78-IFERROR(INDEX($H$2:$H77,MATCH(2,1/($C$2:$C77=$C78))),0))/W78,0),0)))</f>
        <v/>
      </c>
      <c r="Y78" s="85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6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4" t="str">
        <f aca="false">IF($A79="","",IF(D79="买入",IF(AND(ISNUMBER(L79),L79&gt;0),(F79-L79)*G79,F79*0.08*G79),IF(AND(ISNUMBER(V79),V79&gt;0),IF(AND(ISNUMBER(L79),L79&gt;0),(V79-L79)*G79,V79*0.08*G79),0)))</f>
        <v/>
      </c>
      <c r="X79" s="85" t="str">
        <f aca="false">IF($A79="","",IF(D79="买入",0,IFERROR(IF(W79&lt;&gt;0,(H79-IFERROR(INDEX($H$2:$H78,MATCH(2,1/($C$2:$C78=$C79))),0))/W79,0),0)))</f>
        <v/>
      </c>
      <c r="Y79" s="85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6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4" t="str">
        <f aca="false">IF($A80="","",IF(D80="买入",IF(AND(ISNUMBER(L80),L80&gt;0),(F80-L80)*G80,F80*0.08*G80),IF(AND(ISNUMBER(V80),V80&gt;0),IF(AND(ISNUMBER(L80),L80&gt;0),(V80-L80)*G80,V80*0.08*G80),0)))</f>
        <v/>
      </c>
      <c r="X80" s="85" t="str">
        <f aca="false">IF($A80="","",IF(D80="买入",0,IFERROR(IF(W80&lt;&gt;0,(H80-IFERROR(INDEX($H$2:$H79,MATCH(2,1/($C$2:$C79=$C80))),0))/W80,0),0)))</f>
        <v/>
      </c>
      <c r="Y80" s="85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6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4" t="str">
        <f aca="false">IF($A81="","",IF(D81="买入",IF(AND(ISNUMBER(L81),L81&gt;0),(F81-L81)*G81,F81*0.08*G81),IF(AND(ISNUMBER(V81),V81&gt;0),IF(AND(ISNUMBER(L81),L81&gt;0),(V81-L81)*G81,V81*0.08*G81),0)))</f>
        <v/>
      </c>
      <c r="X81" s="85" t="str">
        <f aca="false">IF($A81="","",IF(D81="买入",0,IFERROR(IF(W81&lt;&gt;0,(H81-IFERROR(INDEX($H$2:$H80,MATCH(2,1/($C$2:$C80=$C81))),0))/W81,0),0)))</f>
        <v/>
      </c>
      <c r="Y81" s="85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6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4" t="str">
        <f aca="false">IF($A82="","",IF(D82="买入",IF(AND(ISNUMBER(L82),L82&gt;0),(F82-L82)*G82,F82*0.08*G82),IF(AND(ISNUMBER(V82),V82&gt;0),IF(AND(ISNUMBER(L82),L82&gt;0),(V82-L82)*G82,V82*0.08*G82),0)))</f>
        <v/>
      </c>
      <c r="X82" s="85" t="str">
        <f aca="false">IF($A82="","",IF(D82="买入",0,IFERROR(IF(W82&lt;&gt;0,(H82-IFERROR(INDEX($H$2:$H81,MATCH(2,1/($C$2:$C81=$C82))),0))/W82,0),0)))</f>
        <v/>
      </c>
      <c r="Y82" s="85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6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4" t="str">
        <f aca="false">IF($A83="","",IF(D83="买入",IF(AND(ISNUMBER(L83),L83&gt;0),(F83-L83)*G83,F83*0.08*G83),IF(AND(ISNUMBER(V83),V83&gt;0),IF(AND(ISNUMBER(L83),L83&gt;0),(V83-L83)*G83,V83*0.08*G83),0)))</f>
        <v/>
      </c>
      <c r="X83" s="85" t="str">
        <f aca="false">IF($A83="","",IF(D83="买入",0,IFERROR(IF(W83&lt;&gt;0,(H83-IFERROR(INDEX($H$2:$H82,MATCH(2,1/($C$2:$C82=$C83))),0))/W83,0),0)))</f>
        <v/>
      </c>
      <c r="Y83" s="85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6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4" t="str">
        <f aca="false">IF($A84="","",IF(D84="买入",IF(AND(ISNUMBER(L84),L84&gt;0),(F84-L84)*G84,F84*0.08*G84),IF(AND(ISNUMBER(V84),V84&gt;0),IF(AND(ISNUMBER(L84),L84&gt;0),(V84-L84)*G84,V84*0.08*G84),0)))</f>
        <v/>
      </c>
      <c r="X84" s="85" t="str">
        <f aca="false">IF($A84="","",IF(D84="买入",0,IFERROR(IF(W84&lt;&gt;0,(H84-IFERROR(INDEX($H$2:$H83,MATCH(2,1/($C$2:$C83=$C84))),0))/W84,0),0)))</f>
        <v/>
      </c>
      <c r="Y84" s="85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6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4" t="str">
        <f aca="false">IF($A85="","",IF(D85="买入",IF(AND(ISNUMBER(L85),L85&gt;0),(F85-L85)*G85,F85*0.08*G85),IF(AND(ISNUMBER(V85),V85&gt;0),IF(AND(ISNUMBER(L85),L85&gt;0),(V85-L85)*G85,V85*0.08*G85),0)))</f>
        <v/>
      </c>
      <c r="X85" s="85" t="str">
        <f aca="false">IF($A85="","",IF(D85="买入",0,IFERROR(IF(W85&lt;&gt;0,(H85-IFERROR(INDEX($H$2:$H84,MATCH(2,1/($C$2:$C84=$C85))),0))/W85,0),0)))</f>
        <v/>
      </c>
      <c r="Y85" s="85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6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4" t="str">
        <f aca="false">IF($A86="","",IF(D86="买入",IF(AND(ISNUMBER(L86),L86&gt;0),(F86-L86)*G86,F86*0.08*G86),IF(AND(ISNUMBER(V86),V86&gt;0),IF(AND(ISNUMBER(L86),L86&gt;0),(V86-L86)*G86,V86*0.08*G86),0)))</f>
        <v/>
      </c>
      <c r="X86" s="85" t="str">
        <f aca="false">IF($A86="","",IF(D86="买入",0,IFERROR(IF(W86&lt;&gt;0,(H86-IFERROR(INDEX($H$2:$H85,MATCH(2,1/($C$2:$C85=$C86))),0))/W86,0),0)))</f>
        <v/>
      </c>
      <c r="Y86" s="85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6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4" t="str">
        <f aca="false">IF($A87="","",IF(D87="买入",IF(AND(ISNUMBER(L87),L87&gt;0),(F87-L87)*G87,F87*0.08*G87),IF(AND(ISNUMBER(V87),V87&gt;0),IF(AND(ISNUMBER(L87),L87&gt;0),(V87-L87)*G87,V87*0.08*G87),0)))</f>
        <v/>
      </c>
      <c r="X87" s="85" t="str">
        <f aca="false">IF($A87="","",IF(D87="买入",0,IFERROR(IF(W87&lt;&gt;0,(H87-IFERROR(INDEX($H$2:$H86,MATCH(2,1/($C$2:$C86=$C87))),0))/W87,0),0)))</f>
        <v/>
      </c>
      <c r="Y87" s="85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6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4" t="str">
        <f aca="false">IF($A88="","",IF(D88="买入",IF(AND(ISNUMBER(L88),L88&gt;0),(F88-L88)*G88,F88*0.08*G88),IF(AND(ISNUMBER(V88),V88&gt;0),IF(AND(ISNUMBER(L88),L88&gt;0),(V88-L88)*G88,V88*0.08*G88),0)))</f>
        <v/>
      </c>
      <c r="X88" s="85" t="str">
        <f aca="false">IF($A88="","",IF(D88="买入",0,IFERROR(IF(W88&lt;&gt;0,(H88-IFERROR(INDEX($H$2:$H87,MATCH(2,1/($C$2:$C87=$C88))),0))/W88,0),0)))</f>
        <v/>
      </c>
      <c r="Y88" s="85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6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4" t="str">
        <f aca="false">IF($A89="","",IF(D89="买入",IF(AND(ISNUMBER(L89),L89&gt;0),(F89-L89)*G89,F89*0.08*G89),IF(AND(ISNUMBER(V89),V89&gt;0),IF(AND(ISNUMBER(L89),L89&gt;0),(V89-L89)*G89,V89*0.08*G89),0)))</f>
        <v/>
      </c>
      <c r="X89" s="85" t="str">
        <f aca="false">IF($A89="","",IF(D89="买入",0,IFERROR(IF(W89&lt;&gt;0,(H89-IFERROR(INDEX($H$2:$H88,MATCH(2,1/($C$2:$C88=$C89))),0))/W89,0),0)))</f>
        <v/>
      </c>
      <c r="Y89" s="85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6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4" t="str">
        <f aca="false">IF($A90="","",IF(D90="买入",IF(AND(ISNUMBER(L90),L90&gt;0),(F90-L90)*G90,F90*0.08*G90),IF(AND(ISNUMBER(V90),V90&gt;0),IF(AND(ISNUMBER(L90),L90&gt;0),(V90-L90)*G90,V90*0.08*G90),0)))</f>
        <v/>
      </c>
      <c r="X90" s="85" t="str">
        <f aca="false">IF($A90="","",IF(D90="买入",0,IFERROR(IF(W90&lt;&gt;0,(H90-IFERROR(INDEX($H$2:$H89,MATCH(2,1/($C$2:$C89=$C90))),0))/W90,0),0)))</f>
        <v/>
      </c>
      <c r="Y90" s="85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6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4" t="str">
        <f aca="false">IF($A91="","",IF(D91="买入",IF(AND(ISNUMBER(L91),L91&gt;0),(F91-L91)*G91,F91*0.08*G91),IF(AND(ISNUMBER(V91),V91&gt;0),IF(AND(ISNUMBER(L91),L91&gt;0),(V91-L91)*G91,V91*0.08*G91),0)))</f>
        <v/>
      </c>
      <c r="X91" s="85" t="str">
        <f aca="false">IF($A91="","",IF(D91="买入",0,IFERROR(IF(W91&lt;&gt;0,(H91-IFERROR(INDEX($H$2:$H90,MATCH(2,1/($C$2:$C90=$C91))),0))/W91,0),0)))</f>
        <v/>
      </c>
      <c r="Y91" s="85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6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4" t="str">
        <f aca="false">IF($A92="","",IF(D92="买入",IF(AND(ISNUMBER(L92),L92&gt;0),(F92-L92)*G92,F92*0.08*G92),IF(AND(ISNUMBER(V92),V92&gt;0),IF(AND(ISNUMBER(L92),L92&gt;0),(V92-L92)*G92,V92*0.08*G92),0)))</f>
        <v/>
      </c>
      <c r="X92" s="85" t="str">
        <f aca="false">IF($A92="","",IF(D92="买入",0,IFERROR(IF(W92&lt;&gt;0,(H92-IFERROR(INDEX($H$2:$H91,MATCH(2,1/($C$2:$C91=$C92))),0))/W92,0),0)))</f>
        <v/>
      </c>
      <c r="Y92" s="85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6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4" t="str">
        <f aca="false">IF($A93="","",IF(D93="买入",IF(AND(ISNUMBER(L93),L93&gt;0),(F93-L93)*G93,F93*0.08*G93),IF(AND(ISNUMBER(V93),V93&gt;0),IF(AND(ISNUMBER(L93),L93&gt;0),(V93-L93)*G93,V93*0.08*G93),0)))</f>
        <v/>
      </c>
      <c r="X93" s="85" t="str">
        <f aca="false">IF($A93="","",IF(D93="买入",0,IFERROR(IF(W93&lt;&gt;0,(H93-IFERROR(INDEX($H$2:$H92,MATCH(2,1/($C$2:$C92=$C93))),0))/W93,0),0)))</f>
        <v/>
      </c>
      <c r="Y93" s="85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6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4" t="str">
        <f aca="false">IF($A94="","",IF(D94="买入",IF(AND(ISNUMBER(L94),L94&gt;0),(F94-L94)*G94,F94*0.08*G94),IF(AND(ISNUMBER(V94),V94&gt;0),IF(AND(ISNUMBER(L94),L94&gt;0),(V94-L94)*G94,V94*0.08*G94),0)))</f>
        <v/>
      </c>
      <c r="X94" s="85" t="str">
        <f aca="false">IF($A94="","",IF(D94="买入",0,IFERROR(IF(W94&lt;&gt;0,(H94-IFERROR(INDEX($H$2:$H93,MATCH(2,1/($C$2:$C93=$C94))),0))/W94,0),0)))</f>
        <v/>
      </c>
      <c r="Y94" s="85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6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4" t="str">
        <f aca="false">IF($A95="","",IF(D95="买入",IF(AND(ISNUMBER(L95),L95&gt;0),(F95-L95)*G95,F95*0.08*G95),IF(AND(ISNUMBER(V95),V95&gt;0),IF(AND(ISNUMBER(L95),L95&gt;0),(V95-L95)*G95,V95*0.08*G95),0)))</f>
        <v/>
      </c>
      <c r="X95" s="85" t="str">
        <f aca="false">IF($A95="","",IF(D95="买入",0,IFERROR(IF(W95&lt;&gt;0,(H95-IFERROR(INDEX($H$2:$H94,MATCH(2,1/($C$2:$C94=$C95))),0))/W95,0),0)))</f>
        <v/>
      </c>
      <c r="Y95" s="85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6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4" t="str">
        <f aca="false">IF($A96="","",IF(D96="买入",IF(AND(ISNUMBER(L96),L96&gt;0),(F96-L96)*G96,F96*0.08*G96),IF(AND(ISNUMBER(V96),V96&gt;0),IF(AND(ISNUMBER(L96),L96&gt;0),(V96-L96)*G96,V96*0.08*G96),0)))</f>
        <v/>
      </c>
      <c r="X96" s="85" t="str">
        <f aca="false">IF($A96="","",IF(D96="买入",0,IFERROR(IF(W96&lt;&gt;0,(H96-IFERROR(INDEX($H$2:$H95,MATCH(2,1/($C$2:$C95=$C96))),0))/W96,0),0)))</f>
        <v/>
      </c>
      <c r="Y96" s="85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6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4" t="str">
        <f aca="false">IF($A97="","",IF(D97="买入",IF(AND(ISNUMBER(L97),L97&gt;0),(F97-L97)*G97,F97*0.08*G97),IF(AND(ISNUMBER(V97),V97&gt;0),IF(AND(ISNUMBER(L97),L97&gt;0),(V97-L97)*G97,V97*0.08*G97),0)))</f>
        <v/>
      </c>
      <c r="X97" s="85" t="str">
        <f aca="false">IF($A97="","",IF(D97="买入",0,IFERROR(IF(W97&lt;&gt;0,(H97-IFERROR(INDEX($H$2:$H96,MATCH(2,1/($C$2:$C96=$C97))),0))/W97,0),0)))</f>
        <v/>
      </c>
      <c r="Y97" s="85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6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4" t="str">
        <f aca="false">IF($A98="","",IF(D98="买入",IF(AND(ISNUMBER(L98),L98&gt;0),(F98-L98)*G98,F98*0.08*G98),IF(AND(ISNUMBER(V98),V98&gt;0),IF(AND(ISNUMBER(L98),L98&gt;0),(V98-L98)*G98,V98*0.08*G98),0)))</f>
        <v/>
      </c>
      <c r="X98" s="85" t="str">
        <f aca="false">IF($A98="","",IF(D98="买入",0,IFERROR(IF(W98&lt;&gt;0,(H98-IFERROR(INDEX($H$2:$H97,MATCH(2,1/($C$2:$C97=$C98))),0))/W98,0),0)))</f>
        <v/>
      </c>
      <c r="Y98" s="85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6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4" t="str">
        <f aca="false">IF($A99="","",IF(D99="买入",IF(AND(ISNUMBER(L99),L99&gt;0),(F99-L99)*G99,F99*0.08*G99),IF(AND(ISNUMBER(V99),V99&gt;0),IF(AND(ISNUMBER(L99),L99&gt;0),(V99-L99)*G99,V99*0.08*G99),0)))</f>
        <v/>
      </c>
      <c r="X99" s="85" t="str">
        <f aca="false">IF($A99="","",IF(D99="买入",0,IFERROR(IF(W99&lt;&gt;0,(H99-IFERROR(INDEX($H$2:$H98,MATCH(2,1/($C$2:$C98=$C99))),0))/W99,0),0)))</f>
        <v/>
      </c>
      <c r="Y99" s="85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6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4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5" t="str">
        <f aca="false">IF($A100="","",IF(D100="买入",0,IFERROR(IF(W100&lt;&gt;0,(H100-IFERROR(INDEX($H$2:$H99,MATCH(2,1/($C$2:$C99=$C100))),0))/W100,0),0)))</f>
        <v/>
      </c>
      <c r="Y100" s="85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6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4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5" t="str">
        <f aca="false">IF($A101="","",IF(D101="买入",0,IFERROR(IF(W101&lt;&gt;0,(H101-IFERROR(INDEX($H$2:$H100,MATCH(2,1/($C$2:$C100=$C101))),0))/W101,0),0)))</f>
        <v/>
      </c>
      <c r="Y101" s="85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6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4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5" t="str">
        <f aca="false">IF($A102="","",IF(D102="买入",0,IFERROR(IF(W102&lt;&gt;0,(H102-IFERROR(INDEX($H$2:$H101,MATCH(2,1/($C$2:$C101=$C102))),0))/W102,0),0)))</f>
        <v/>
      </c>
      <c r="Y102" s="85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6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4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5" t="str">
        <f aca="false">IF($A103="","",IF(D103="买入",0,IFERROR(IF(W103&lt;&gt;0,(H103-IFERROR(INDEX($H$2:$H102,MATCH(2,1/($C$2:$C102=$C103))),0))/W103,0),0)))</f>
        <v/>
      </c>
      <c r="Y103" s="85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6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4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5" t="str">
        <f aca="false">IF($A104="","",IF(D104="买入",0,IFERROR(IF(W104&lt;&gt;0,(H104-IFERROR(INDEX($H$2:$H103,MATCH(2,1/($C$2:$C103=$C104))),0))/W104,0),0)))</f>
        <v/>
      </c>
      <c r="Y104" s="85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6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4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5" t="str">
        <f aca="false">IF($A105="","",IF(D105="买入",0,IFERROR(IF(W105&lt;&gt;0,(H105-IFERROR(INDEX($H$2:$H104,MATCH(2,1/($C$2:$C104=$C105))),0))/W105,0),0)))</f>
        <v/>
      </c>
      <c r="Y105" s="85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6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4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5" t="str">
        <f aca="false">IF($A106="","",IF(D106="买入",0,IFERROR(IF(W106&lt;&gt;0,(H106-IFERROR(INDEX($H$2:$H105,MATCH(2,1/($C$2:$C105=$C106))),0))/W106,0),0)))</f>
        <v/>
      </c>
      <c r="Y106" s="85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6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4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5" t="str">
        <f aca="false">IF($A107="","",IF(D107="买入",0,IFERROR(IF(W107&lt;&gt;0,(H107-IFERROR(INDEX($H$2:$H106,MATCH(2,1/($C$2:$C106=$C107))),0))/W107,0),0)))</f>
        <v/>
      </c>
      <c r="Y107" s="85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6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4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5" t="str">
        <f aca="false">IF($A108="","",IF(D108="买入",0,IFERROR(IF(W108&lt;&gt;0,(H108-IFERROR(INDEX($H$2:$H107,MATCH(2,1/($C$2:$C107=$C108))),0))/W108,0),0)))</f>
        <v/>
      </c>
      <c r="Y108" s="85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6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4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5" t="str">
        <f aca="false">IF($A109="","",IF(D109="买入",0,IFERROR(IF(W109&lt;&gt;0,(H109-IFERROR(INDEX($H$2:$H108,MATCH(2,1/($C$2:$C108=$C109))),0))/W109,0),0)))</f>
        <v/>
      </c>
      <c r="Y109" s="85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6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4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5" t="str">
        <f aca="false">IF($A110="","",IF(D110="买入",0,IFERROR(IF(W110&lt;&gt;0,(H110-IFERROR(INDEX($H$2:$H109,MATCH(2,1/($C$2:$C109=$C110))),0))/W110,0),0)))</f>
        <v/>
      </c>
      <c r="Y110" s="85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6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4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5" t="str">
        <f aca="false">IF($A111="","",IF(D111="买入",0,IFERROR(IF(W111&lt;&gt;0,(H111-IFERROR(INDEX($H$2:$H110,MATCH(2,1/($C$2:$C110=$C111))),0))/W111,0),0)))</f>
        <v/>
      </c>
      <c r="Y111" s="85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6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4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5" t="str">
        <f aca="false">IF($A112="","",IF(D112="买入",0,IFERROR(IF(W112&lt;&gt;0,(H112-IFERROR(INDEX($H$2:$H111,MATCH(2,1/($C$2:$C111=$C112))),0))/W112,0),0)))</f>
        <v/>
      </c>
      <c r="Y112" s="85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6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4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5" t="str">
        <f aca="false">IF($A113="","",IF(D113="买入",0,IFERROR(IF(W113&lt;&gt;0,(H113-IFERROR(INDEX($H$2:$H112,MATCH(2,1/($C$2:$C112=$C113))),0))/W113,0),0)))</f>
        <v/>
      </c>
      <c r="Y113" s="85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6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4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5" t="str">
        <f aca="false">IF($A114="","",IF(D114="买入",0,IFERROR(IF(W114&lt;&gt;0,(H114-IFERROR(INDEX($H$2:$H113,MATCH(2,1/($C$2:$C113=$C114))),0))/W114,0),0)))</f>
        <v/>
      </c>
      <c r="Y114" s="85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6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4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5" t="str">
        <f aca="false">IF($A115="","",IF(D115="买入",0,IFERROR(IF(W115&lt;&gt;0,(H115-IFERROR(INDEX($H$2:$H114,MATCH(2,1/($C$2:$C114=$C115))),0))/W115,0),0)))</f>
        <v/>
      </c>
      <c r="Y115" s="85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6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4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5" t="str">
        <f aca="false">IF($A116="","",IF(D116="买入",0,IFERROR(IF(W116&lt;&gt;0,(H116-IFERROR(INDEX($H$2:$H115,MATCH(2,1/($C$2:$C115=$C116))),0))/W116,0),0)))</f>
        <v/>
      </c>
      <c r="Y116" s="85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6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4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5" t="str">
        <f aca="false">IF($A117="","",IF(D117="买入",0,IFERROR(IF(W117&lt;&gt;0,(H117-IFERROR(INDEX($H$2:$H116,MATCH(2,1/($C$2:$C116=$C117))),0))/W117,0),0)))</f>
        <v/>
      </c>
      <c r="Y117" s="85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6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4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5" t="str">
        <f aca="false">IF($A118="","",IF(D118="买入",0,IFERROR(IF(W118&lt;&gt;0,(H118-IFERROR(INDEX($H$2:$H117,MATCH(2,1/($C$2:$C117=$C118))),0))/W118,0),0)))</f>
        <v/>
      </c>
      <c r="Y118" s="85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6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4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5" t="str">
        <f aca="false">IF($A119="","",IF(D119="买入",0,IFERROR(IF(W119&lt;&gt;0,(H119-IFERROR(INDEX($H$2:$H118,MATCH(2,1/($C$2:$C118=$C119))),0))/W119,0),0)))</f>
        <v/>
      </c>
      <c r="Y119" s="85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6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4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5" t="str">
        <f aca="false">IF($A120="","",IF(D120="买入",0,IFERROR(IF(W120&lt;&gt;0,(H120-IFERROR(INDEX($H$2:$H119,MATCH(2,1/($C$2:$C119=$C120))),0))/W120,0),0)))</f>
        <v/>
      </c>
      <c r="Y120" s="85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6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4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5" t="str">
        <f aca="false">IF($A121="","",IF(D121="买入",0,IFERROR(IF(W121&lt;&gt;0,(H121-IFERROR(INDEX($H$2:$H120,MATCH(2,1/($C$2:$C120=$C121))),0))/W121,0),0)))</f>
        <v/>
      </c>
      <c r="Y121" s="85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6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4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5" t="str">
        <f aca="false">IF($A122="","",IF(D122="买入",0,IFERROR(IF(W122&lt;&gt;0,(H122-IFERROR(INDEX($H$2:$H121,MATCH(2,1/($C$2:$C121=$C122))),0))/W122,0),0)))</f>
        <v/>
      </c>
      <c r="Y122" s="85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6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4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5" t="str">
        <f aca="false">IF($A123="","",IF(D123="买入",0,IFERROR(IF(W123&lt;&gt;0,(H123-IFERROR(INDEX($H$2:$H122,MATCH(2,1/($C$2:$C122=$C123))),0))/W123,0),0)))</f>
        <v/>
      </c>
      <c r="Y123" s="85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6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4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5" t="str">
        <f aca="false">IF($A124="","",IF(D124="买入",0,IFERROR(IF(W124&lt;&gt;0,(H124-IFERROR(INDEX($H$2:$H123,MATCH(2,1/($C$2:$C123=$C124))),0))/W124,0),0)))</f>
        <v/>
      </c>
      <c r="Y124" s="85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6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4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5" t="str">
        <f aca="false">IF($A125="","",IF(D125="买入",0,IFERROR(IF(W125&lt;&gt;0,(H125-IFERROR(INDEX($H$2:$H124,MATCH(2,1/($C$2:$C124=$C125))),0))/W125,0),0)))</f>
        <v/>
      </c>
      <c r="Y125" s="85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6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4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5" t="str">
        <f aca="false">IF($A126="","",IF(D126="买入",0,IFERROR(IF(W126&lt;&gt;0,(H126-IFERROR(INDEX($H$2:$H125,MATCH(2,1/($C$2:$C125=$C126))),0))/W126,0),0)))</f>
        <v/>
      </c>
      <c r="Y126" s="85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6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4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5" t="str">
        <f aca="false">IF($A127="","",IF(D127="买入",0,IFERROR(IF(W127&lt;&gt;0,(H127-IFERROR(INDEX($H$2:$H126,MATCH(2,1/($C$2:$C126=$C127))),0))/W127,0),0)))</f>
        <v/>
      </c>
      <c r="Y127" s="85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6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4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5" t="str">
        <f aca="false">IF($A128="","",IF(D128="买入",0,IFERROR(IF(W128&lt;&gt;0,(H128-IFERROR(INDEX($H$2:$H127,MATCH(2,1/($C$2:$C127=$C128))),0))/W128,0),0)))</f>
        <v/>
      </c>
      <c r="Y128" s="85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6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4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5" t="str">
        <f aca="false">IF($A129="","",IF(D129="买入",0,IFERROR(IF(W129&lt;&gt;0,(H129-IFERROR(INDEX($H$2:$H128,MATCH(2,1/($C$2:$C128=$C129))),0))/W129,0),0)))</f>
        <v/>
      </c>
      <c r="Y129" s="85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6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4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5" t="str">
        <f aca="false">IF($A130="","",IF(D130="买入",0,IFERROR(IF(W130&lt;&gt;0,(H130-IFERROR(INDEX($H$2:$H129,MATCH(2,1/($C$2:$C129=$C130))),0))/W130,0),0)))</f>
        <v/>
      </c>
      <c r="Y130" s="85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6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4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5" t="str">
        <f aca="false">IF($A131="","",IF(D131="买入",0,IFERROR(IF(W131&lt;&gt;0,(H131-IFERROR(INDEX($H$2:$H130,MATCH(2,1/($C$2:$C130=$C131))),0))/W131,0),0)))</f>
        <v/>
      </c>
      <c r="Y131" s="85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6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4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5" t="str">
        <f aca="false">IF($A132="","",IF(D132="买入",0,IFERROR(IF(W132&lt;&gt;0,(H132-IFERROR(INDEX($H$2:$H131,MATCH(2,1/($C$2:$C131=$C132))),0))/W132,0),0)))</f>
        <v/>
      </c>
      <c r="Y132" s="85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6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4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5" t="str">
        <f aca="false">IF($A133="","",IF(D133="买入",0,IFERROR(IF(W133&lt;&gt;0,(H133-IFERROR(INDEX($H$2:$H132,MATCH(2,1/($C$2:$C132=$C133))),0))/W133,0),0)))</f>
        <v/>
      </c>
      <c r="Y133" s="85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6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4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5" t="str">
        <f aca="false">IF($A134="","",IF(D134="买入",0,IFERROR(IF(W134&lt;&gt;0,(H134-IFERROR(INDEX($H$2:$H133,MATCH(2,1/($C$2:$C133=$C134))),0))/W134,0),0)))</f>
        <v/>
      </c>
      <c r="Y134" s="85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6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4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5" t="str">
        <f aca="false">IF($A135="","",IF(D135="买入",0,IFERROR(IF(W135&lt;&gt;0,(H135-IFERROR(INDEX($H$2:$H134,MATCH(2,1/($C$2:$C134=$C135))),0))/W135,0),0)))</f>
        <v/>
      </c>
      <c r="Y135" s="85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6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4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5" t="str">
        <f aca="false">IF($A136="","",IF(D136="买入",0,IFERROR(IF(W136&lt;&gt;0,(H136-IFERROR(INDEX($H$2:$H135,MATCH(2,1/($C$2:$C135=$C136))),0))/W136,0),0)))</f>
        <v/>
      </c>
      <c r="Y136" s="85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6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4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5" t="str">
        <f aca="false">IF($A137="","",IF(D137="买入",0,IFERROR(IF(W137&lt;&gt;0,(H137-IFERROR(INDEX($H$2:$H136,MATCH(2,1/($C$2:$C136=$C137))),0))/W137,0),0)))</f>
        <v/>
      </c>
      <c r="Y137" s="85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6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4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5" t="str">
        <f aca="false">IF($A138="","",IF(D138="买入",0,IFERROR(IF(W138&lt;&gt;0,(H138-IFERROR(INDEX($H$2:$H137,MATCH(2,1/($C$2:$C137=$C138))),0))/W138,0),0)))</f>
        <v/>
      </c>
      <c r="Y138" s="85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6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4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5" t="str">
        <f aca="false">IF($A139="","",IF(D139="买入",0,IFERROR(IF(W139&lt;&gt;0,(H139-IFERROR(INDEX($H$2:$H138,MATCH(2,1/($C$2:$C138=$C139))),0))/W139,0),0)))</f>
        <v/>
      </c>
      <c r="Y139" s="85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6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4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5" t="str">
        <f aca="false">IF($A140="","",IF(D140="买入",0,IFERROR(IF(W140&lt;&gt;0,(H140-IFERROR(INDEX($H$2:$H139,MATCH(2,1/($C$2:$C139=$C140))),0))/W140,0),0)))</f>
        <v/>
      </c>
      <c r="Y140" s="85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6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4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5" t="str">
        <f aca="false">IF($A141="","",IF(D141="买入",0,IFERROR(IF(W141&lt;&gt;0,(H141-IFERROR(INDEX($H$2:$H140,MATCH(2,1/($C$2:$C140=$C141))),0))/W141,0),0)))</f>
        <v/>
      </c>
      <c r="Y141" s="85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6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4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5" t="str">
        <f aca="false">IF($A142="","",IF(D142="买入",0,IFERROR(IF(W142&lt;&gt;0,(H142-IFERROR(INDEX($H$2:$H141,MATCH(2,1/($C$2:$C141=$C142))),0))/W142,0),0)))</f>
        <v/>
      </c>
      <c r="Y142" s="85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6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4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5" t="str">
        <f aca="false">IF($A143="","",IF(D143="买入",0,IFERROR(IF(W143&lt;&gt;0,(H143-IFERROR(INDEX($H$2:$H142,MATCH(2,1/($C$2:$C142=$C143))),0))/W143,0),0)))</f>
        <v/>
      </c>
      <c r="Y143" s="85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6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4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5" t="str">
        <f aca="false">IF($A144="","",IF(D144="买入",0,IFERROR(IF(W144&lt;&gt;0,(H144-IFERROR(INDEX($H$2:$H143,MATCH(2,1/($C$2:$C143=$C144))),0))/W144,0),0)))</f>
        <v/>
      </c>
      <c r="Y144" s="85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6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4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5" t="str">
        <f aca="false">IF($A145="","",IF(D145="买入",0,IFERROR(IF(W145&lt;&gt;0,(H145-IFERROR(INDEX($H$2:$H144,MATCH(2,1/($C$2:$C144=$C145))),0))/W145,0),0)))</f>
        <v/>
      </c>
      <c r="Y145" s="85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6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4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5" t="str">
        <f aca="false">IF($A146="","",IF(D146="买入",0,IFERROR(IF(W146&lt;&gt;0,(H146-IFERROR(INDEX($H$2:$H145,MATCH(2,1/($C$2:$C145=$C146))),0))/W146,0),0)))</f>
        <v/>
      </c>
      <c r="Y146" s="85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6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4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5" t="str">
        <f aca="false">IF($A147="","",IF(D147="买入",0,IFERROR(IF(W147&lt;&gt;0,(H147-IFERROR(INDEX($H$2:$H146,MATCH(2,1/($C$2:$C146=$C147))),0))/W147,0),0)))</f>
        <v/>
      </c>
      <c r="Y147" s="85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6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4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5" t="str">
        <f aca="false">IF($A148="","",IF(D148="买入",0,IFERROR(IF(W148&lt;&gt;0,(H148-IFERROR(INDEX($H$2:$H147,MATCH(2,1/($C$2:$C147=$C148))),0))/W148,0),0)))</f>
        <v/>
      </c>
      <c r="Y148" s="85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6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4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5" t="str">
        <f aca="false">IF($A149="","",IF(D149="买入",0,IFERROR(IF(W149&lt;&gt;0,(H149-IFERROR(INDEX($H$2:$H148,MATCH(2,1/($C$2:$C148=$C149))),0))/W149,0),0)))</f>
        <v/>
      </c>
      <c r="Y149" s="85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6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4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5" t="str">
        <f aca="false">IF($A150="","",IF(D150="买入",0,IFERROR(IF(W150&lt;&gt;0,(H150-IFERROR(INDEX($H$2:$H149,MATCH(2,1/($C$2:$C149=$C150))),0))/W150,0),0)))</f>
        <v/>
      </c>
      <c r="Y150" s="85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6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4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5" t="str">
        <f aca="false">IF($A151="","",IF(D151="买入",0,IFERROR(IF(W151&lt;&gt;0,(H151-IFERROR(INDEX($H$2:$H150,MATCH(2,1/($C$2:$C150=$C151))),0))/W151,0),0)))</f>
        <v/>
      </c>
      <c r="Y151" s="85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6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4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5" t="str">
        <f aca="false">IF($A152="","",IF(D152="买入",0,IFERROR(IF(W152&lt;&gt;0,(H152-IFERROR(INDEX($H$2:$H151,MATCH(2,1/($C$2:$C151=$C152))),0))/W152,0),0)))</f>
        <v/>
      </c>
      <c r="Y152" s="85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6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4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5" t="str">
        <f aca="false">IF($A153="","",IF(D153="买入",0,IFERROR(IF(W153&lt;&gt;0,(H153-IFERROR(INDEX($H$2:$H152,MATCH(2,1/($C$2:$C152=$C153))),0))/W153,0),0)))</f>
        <v/>
      </c>
      <c r="Y153" s="85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6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4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5" t="str">
        <f aca="false">IF($A154="","",IF(D154="买入",0,IFERROR(IF(W154&lt;&gt;0,(H154-IFERROR(INDEX($H$2:$H153,MATCH(2,1/($C$2:$C153=$C154))),0))/W154,0),0)))</f>
        <v/>
      </c>
      <c r="Y154" s="85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6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4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5" t="str">
        <f aca="false">IF($A155="","",IF(D155="买入",0,IFERROR(IF(W155&lt;&gt;0,(H155-IFERROR(INDEX($H$2:$H154,MATCH(2,1/($C$2:$C154=$C155))),0))/W155,0),0)))</f>
        <v/>
      </c>
      <c r="Y155" s="85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6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4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5" t="str">
        <f aca="false">IF($A156="","",IF(D156="买入",0,IFERROR(IF(W156&lt;&gt;0,(H156-IFERROR(INDEX($H$2:$H155,MATCH(2,1/($C$2:$C155=$C156))),0))/W156,0),0)))</f>
        <v/>
      </c>
      <c r="Y156" s="85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6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4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5" t="str">
        <f aca="false">IF($A157="","",IF(D157="买入",0,IFERROR(IF(W157&lt;&gt;0,(H157-IFERROR(INDEX($H$2:$H156,MATCH(2,1/($C$2:$C156=$C157))),0))/W157,0),0)))</f>
        <v/>
      </c>
      <c r="Y157" s="85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6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4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5" t="str">
        <f aca="false">IF($A158="","",IF(D158="买入",0,IFERROR(IF(W158&lt;&gt;0,(H158-IFERROR(INDEX($H$2:$H157,MATCH(2,1/($C$2:$C157=$C158))),0))/W158,0),0)))</f>
        <v/>
      </c>
      <c r="Y158" s="85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6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4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5" t="str">
        <f aca="false">IF($A159="","",IF(D159="买入",0,IFERROR(IF(W159&lt;&gt;0,(H159-IFERROR(INDEX($H$2:$H158,MATCH(2,1/($C$2:$C158=$C159))),0))/W159,0),0)))</f>
        <v/>
      </c>
      <c r="Y159" s="85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6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4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5" t="str">
        <f aca="false">IF($A160="","",IF(D160="买入",0,IFERROR(IF(W160&lt;&gt;0,(H160-IFERROR(INDEX($H$2:$H159,MATCH(2,1/($C$2:$C159=$C160))),0))/W160,0),0)))</f>
        <v/>
      </c>
      <c r="Y160" s="85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6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4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5" t="str">
        <f aca="false">IF($A161="","",IF(D161="买入",0,IFERROR(IF(W161&lt;&gt;0,(H161-IFERROR(INDEX($H$2:$H160,MATCH(2,1/($C$2:$C160=$C161))),0))/W161,0),0)))</f>
        <v/>
      </c>
      <c r="Y161" s="85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6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4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5" t="str">
        <f aca="false">IF($A162="","",IF(D162="买入",0,IFERROR(IF(W162&lt;&gt;0,(H162-IFERROR(INDEX($H$2:$H161,MATCH(2,1/($C$2:$C161=$C162))),0))/W162,0),0)))</f>
        <v/>
      </c>
      <c r="Y162" s="85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6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4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5" t="str">
        <f aca="false">IF($A163="","",IF(D163="买入",0,IFERROR(IF(W163&lt;&gt;0,(H163-IFERROR(INDEX($H$2:$H162,MATCH(2,1/($C$2:$C162=$C163))),0))/W163,0),0)))</f>
        <v/>
      </c>
      <c r="Y163" s="85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6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4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5" t="str">
        <f aca="false">IF($A164="","",IF(D164="买入",0,IFERROR(IF(W164&lt;&gt;0,(H164-IFERROR(INDEX($H$2:$H163,MATCH(2,1/($C$2:$C163=$C164))),0))/W164,0),0)))</f>
        <v/>
      </c>
      <c r="Y164" s="85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6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4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5" t="str">
        <f aca="false">IF($A165="","",IF(D165="买入",0,IFERROR(IF(W165&lt;&gt;0,(H165-IFERROR(INDEX($H$2:$H164,MATCH(2,1/($C$2:$C164=$C165))),0))/W165,0),0)))</f>
        <v/>
      </c>
      <c r="Y165" s="85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6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4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5" t="str">
        <f aca="false">IF($A166="","",IF(D166="买入",0,IFERROR(IF(W166&lt;&gt;0,(H166-IFERROR(INDEX($H$2:$H165,MATCH(2,1/($C$2:$C165=$C166))),0))/W166,0),0)))</f>
        <v/>
      </c>
      <c r="Y166" s="85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6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4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5" t="str">
        <f aca="false">IF($A167="","",IF(D167="买入",0,IFERROR(IF(W167&lt;&gt;0,(H167-IFERROR(INDEX($H$2:$H166,MATCH(2,1/($C$2:$C166=$C167))),0))/W167,0),0)))</f>
        <v/>
      </c>
      <c r="Y167" s="85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6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4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5" t="str">
        <f aca="false">IF($A168="","",IF(D168="买入",0,IFERROR(IF(W168&lt;&gt;0,(H168-IFERROR(INDEX($H$2:$H167,MATCH(2,1/($C$2:$C167=$C168))),0))/W168,0),0)))</f>
        <v/>
      </c>
      <c r="Y168" s="85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6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4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5" t="str">
        <f aca="false">IF($A169="","",IF(D169="买入",0,IFERROR(IF(W169&lt;&gt;0,(H169-IFERROR(INDEX($H$2:$H168,MATCH(2,1/($C$2:$C168=$C169))),0))/W169,0),0)))</f>
        <v/>
      </c>
      <c r="Y169" s="85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6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4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5" t="str">
        <f aca="false">IF($A170="","",IF(D170="买入",0,IFERROR(IF(W170&lt;&gt;0,(H170-IFERROR(INDEX($H$2:$H169,MATCH(2,1/($C$2:$C169=$C170))),0))/W170,0),0)))</f>
        <v/>
      </c>
      <c r="Y170" s="85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6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4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5" t="str">
        <f aca="false">IF($A171="","",IF(D171="买入",0,IFERROR(IF(W171&lt;&gt;0,(H171-IFERROR(INDEX($H$2:$H170,MATCH(2,1/($C$2:$C170=$C171))),0))/W171,0),0)))</f>
        <v/>
      </c>
      <c r="Y171" s="85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6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4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5" t="str">
        <f aca="false">IF($A172="","",IF(D172="买入",0,IFERROR(IF(W172&lt;&gt;0,(H172-IFERROR(INDEX($H$2:$H171,MATCH(2,1/($C$2:$C171=$C172))),0))/W172,0),0)))</f>
        <v/>
      </c>
      <c r="Y172" s="85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6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4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5" t="str">
        <f aca="false">IF($A173="","",IF(D173="买入",0,IFERROR(IF(W173&lt;&gt;0,(H173-IFERROR(INDEX($H$2:$H172,MATCH(2,1/($C$2:$C172=$C173))),0))/W173,0),0)))</f>
        <v/>
      </c>
      <c r="Y173" s="85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6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4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5" t="str">
        <f aca="false">IF($A174="","",IF(D174="买入",0,IFERROR(IF(W174&lt;&gt;0,(H174-IFERROR(INDEX($H$2:$H173,MATCH(2,1/($C$2:$C173=$C174))),0))/W174,0),0)))</f>
        <v/>
      </c>
      <c r="Y174" s="85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6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4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5" t="str">
        <f aca="false">IF($A175="","",IF(D175="买入",0,IFERROR(IF(W175&lt;&gt;0,(H175-IFERROR(INDEX($H$2:$H174,MATCH(2,1/($C$2:$C174=$C175))),0))/W175,0),0)))</f>
        <v/>
      </c>
      <c r="Y175" s="85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6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4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5" t="str">
        <f aca="false">IF($A176="","",IF(D176="买入",0,IFERROR(IF(W176&lt;&gt;0,(H176-IFERROR(INDEX($H$2:$H175,MATCH(2,1/($C$2:$C175=$C176))),0))/W176,0),0)))</f>
        <v/>
      </c>
      <c r="Y176" s="85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6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4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5" t="str">
        <f aca="false">IF($A177="","",IF(D177="买入",0,IFERROR(IF(W177&lt;&gt;0,(H177-IFERROR(INDEX($H$2:$H176,MATCH(2,1/($C$2:$C176=$C177))),0))/W177,0),0)))</f>
        <v/>
      </c>
      <c r="Y177" s="85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6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4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5" t="str">
        <f aca="false">IF($A178="","",IF(D178="买入",0,IFERROR(IF(W178&lt;&gt;0,(H178-IFERROR(INDEX($H$2:$H177,MATCH(2,1/($C$2:$C177=$C178))),0))/W178,0),0)))</f>
        <v/>
      </c>
      <c r="Y178" s="85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6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4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5" t="str">
        <f aca="false">IF($A179="","",IF(D179="买入",0,IFERROR(IF(W179&lt;&gt;0,(H179-IFERROR(INDEX($H$2:$H178,MATCH(2,1/($C$2:$C178=$C179))),0))/W179,0),0)))</f>
        <v/>
      </c>
      <c r="Y179" s="85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6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4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5" t="str">
        <f aca="false">IF($A180="","",IF(D180="买入",0,IFERROR(IF(W180&lt;&gt;0,(H180-IFERROR(INDEX($H$2:$H179,MATCH(2,1/($C$2:$C179=$C180))),0))/W180,0),0)))</f>
        <v/>
      </c>
      <c r="Y180" s="85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6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4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5" t="str">
        <f aca="false">IF($A181="","",IF(D181="买入",0,IFERROR(IF(W181&lt;&gt;0,(H181-IFERROR(INDEX($H$2:$H180,MATCH(2,1/($C$2:$C180=$C181))),0))/W181,0),0)))</f>
        <v/>
      </c>
      <c r="Y181" s="85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6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4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5" t="str">
        <f aca="false">IF($A182="","",IF(D182="买入",0,IFERROR(IF(W182&lt;&gt;0,(H182-IFERROR(INDEX($H$2:$H181,MATCH(2,1/($C$2:$C181=$C182))),0))/W182,0),0)))</f>
        <v/>
      </c>
      <c r="Y182" s="85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6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4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5" t="str">
        <f aca="false">IF($A183="","",IF(D183="买入",0,IFERROR(IF(W183&lt;&gt;0,(H183-IFERROR(INDEX($H$2:$H182,MATCH(2,1/($C$2:$C182=$C183))),0))/W183,0),0)))</f>
        <v/>
      </c>
      <c r="Y183" s="85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6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4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5" t="str">
        <f aca="false">IF($A184="","",IF(D184="买入",0,IFERROR(IF(W184&lt;&gt;0,(H184-IFERROR(INDEX($H$2:$H183,MATCH(2,1/($C$2:$C183=$C184))),0))/W184,0),0)))</f>
        <v/>
      </c>
      <c r="Y184" s="85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6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4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5" t="str">
        <f aca="false">IF($A185="","",IF(D185="买入",0,IFERROR(IF(W185&lt;&gt;0,(H185-IFERROR(INDEX($H$2:$H184,MATCH(2,1/($C$2:$C184=$C185))),0))/W185,0),0)))</f>
        <v/>
      </c>
      <c r="Y185" s="85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6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4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5" t="str">
        <f aca="false">IF($A186="","",IF(D186="买入",0,IFERROR(IF(W186&lt;&gt;0,(H186-IFERROR(INDEX($H$2:$H185,MATCH(2,1/($C$2:$C185=$C186))),0))/W186,0),0)))</f>
        <v/>
      </c>
      <c r="Y186" s="85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6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4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5" t="str">
        <f aca="false">IF($A187="","",IF(D187="买入",0,IFERROR(IF(W187&lt;&gt;0,(H187-IFERROR(INDEX($H$2:$H186,MATCH(2,1/($C$2:$C186=$C187))),0))/W187,0),0)))</f>
        <v/>
      </c>
      <c r="Y187" s="85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6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4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5" t="str">
        <f aca="false">IF($A188="","",IF(D188="买入",0,IFERROR(IF(W188&lt;&gt;0,(H188-IFERROR(INDEX($H$2:$H187,MATCH(2,1/($C$2:$C187=$C188))),0))/W188,0),0)))</f>
        <v/>
      </c>
      <c r="Y188" s="85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6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4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5" t="str">
        <f aca="false">IF($A189="","",IF(D189="买入",0,IFERROR(IF(W189&lt;&gt;0,(H189-IFERROR(INDEX($H$2:$H188,MATCH(2,1/($C$2:$C188=$C189))),0))/W189,0),0)))</f>
        <v/>
      </c>
      <c r="Y189" s="85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6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4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5" t="str">
        <f aca="false">IF($A190="","",IF(D190="买入",0,IFERROR(IF(W190&lt;&gt;0,(H190-IFERROR(INDEX($H$2:$H189,MATCH(2,1/($C$2:$C189=$C190))),0))/W190,0),0)))</f>
        <v/>
      </c>
      <c r="Y190" s="85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6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4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5" t="str">
        <f aca="false">IF($A191="","",IF(D191="买入",0,IFERROR(IF(W191&lt;&gt;0,(H191-IFERROR(INDEX($H$2:$H190,MATCH(2,1/($C$2:$C190=$C191))),0))/W191,0),0)))</f>
        <v/>
      </c>
      <c r="Y191" s="85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6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4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5" t="str">
        <f aca="false">IF($A192="","",IF(D192="买入",0,IFERROR(IF(W192&lt;&gt;0,(H192-IFERROR(INDEX($H$2:$H191,MATCH(2,1/($C$2:$C191=$C192))),0))/W192,0),0)))</f>
        <v/>
      </c>
      <c r="Y192" s="85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6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4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5" t="str">
        <f aca="false">IF($A193="","",IF(D193="买入",0,IFERROR(IF(W193&lt;&gt;0,(H193-IFERROR(INDEX($H$2:$H192,MATCH(2,1/($C$2:$C192=$C193))),0))/W193,0),0)))</f>
        <v/>
      </c>
      <c r="Y193" s="85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6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4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5" t="str">
        <f aca="false">IF($A194="","",IF(D194="买入",0,IFERROR(IF(W194&lt;&gt;0,(H194-IFERROR(INDEX($H$2:$H193,MATCH(2,1/($C$2:$C193=$C194))),0))/W194,0),0)))</f>
        <v/>
      </c>
      <c r="Y194" s="85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6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4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5" t="str">
        <f aca="false">IF($A195="","",IF(D195="买入",0,IFERROR(IF(W195&lt;&gt;0,(H195-IFERROR(INDEX($H$2:$H194,MATCH(2,1/($C$2:$C194=$C195))),0))/W195,0),0)))</f>
        <v/>
      </c>
      <c r="Y195" s="85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6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4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5" t="str">
        <f aca="false">IF($A196="","",IF(D196="买入",0,IFERROR(IF(W196&lt;&gt;0,(H196-IFERROR(INDEX($H$2:$H195,MATCH(2,1/($C$2:$C195=$C196))),0))/W196,0),0)))</f>
        <v/>
      </c>
      <c r="Y196" s="85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6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4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5" t="str">
        <f aca="false">IF($A197="","",IF(D197="买入",0,IFERROR(IF(W197&lt;&gt;0,(H197-IFERROR(INDEX($H$2:$H196,MATCH(2,1/($C$2:$C196=$C197))),0))/W197,0),0)))</f>
        <v/>
      </c>
      <c r="Y197" s="85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6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4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5" t="str">
        <f aca="false">IF($A198="","",IF(D198="买入",0,IFERROR(IF(W198&lt;&gt;0,(H198-IFERROR(INDEX($H$2:$H197,MATCH(2,1/($C$2:$C197=$C198))),0))/W198,0),0)))</f>
        <v/>
      </c>
      <c r="Y198" s="85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6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4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5" t="str">
        <f aca="false">IF($A199="","",IF(D199="买入",0,IFERROR(IF(W199&lt;&gt;0,(H199-IFERROR(INDEX($H$2:$H198,MATCH(2,1/($C$2:$C198=$C199))),0))/W199,0),0)))</f>
        <v/>
      </c>
      <c r="Y199" s="85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6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4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5" t="str">
        <f aca="false">IF($A200="","",IF(D200="买入",0,IFERROR(IF(W200&lt;&gt;0,(H200-IFERROR(INDEX($H$2:$H199,MATCH(2,1/($C$2:$C199=$C200))),0))/W200,0),0)))</f>
        <v/>
      </c>
      <c r="Y200" s="85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6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4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5" t="str">
        <f aca="false">IF($A201="","",IF(D201="买入",0,IFERROR(IF(W201&lt;&gt;0,(H201-IFERROR(INDEX($H$2:$H200,MATCH(2,1/($C$2:$C200=$C201))),0))/W201,0),0)))</f>
        <v/>
      </c>
      <c r="Y201" s="85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6" t="str">
        <f aca="false">IF($A201="","",MAX(0,(MAX($Y$2:Y201)-Y201)/MAX(1,MAX($Y$2:Y201))))</f>
        <v/>
      </c>
    </row>
    <row r="203" customFormat="false" ht="15" hidden="false" customHeight="true" outlineLevel="0" collapsed="false">
      <c r="A203" s="87" t="s">
        <v>531</v>
      </c>
    </row>
    <row r="204" customFormat="false" ht="15" hidden="false" customHeight="true" outlineLevel="0" collapsed="false">
      <c r="A204" s="88" t="s">
        <v>532</v>
      </c>
      <c r="B204" s="89" t="n">
        <f aca="false">COUNTIFS(A2:A200,"&lt;&gt;",D2:D200,"&lt;&gt;")</f>
        <v>18</v>
      </c>
      <c r="C204" s="89"/>
    </row>
    <row r="205" customFormat="false" ht="15" hidden="false" customHeight="true" outlineLevel="0" collapsed="false">
      <c r="A205" s="88" t="s">
        <v>533</v>
      </c>
      <c r="B205" s="89" t="n">
        <f aca="false">COUNTIF(D2:D200,"卖出")</f>
        <v>7</v>
      </c>
      <c r="C205" s="89"/>
    </row>
    <row r="206" customFormat="false" ht="15" hidden="false" customHeight="true" outlineLevel="0" collapsed="false">
      <c r="A206" s="88" t="s">
        <v>534</v>
      </c>
      <c r="B206" s="89" t="n">
        <f aca="false">COUNTIFS(X2:X200,"&gt;0")</f>
        <v>5</v>
      </c>
      <c r="C206" s="89"/>
    </row>
    <row r="207" customFormat="false" ht="15" hidden="false" customHeight="true" outlineLevel="0" collapsed="false">
      <c r="A207" s="88" t="s">
        <v>535</v>
      </c>
      <c r="B207" s="89" t="n">
        <f aca="false">COUNTIFS(X2:X200,"&lt;0")</f>
        <v>2</v>
      </c>
      <c r="C207" s="89"/>
    </row>
    <row r="208" customFormat="false" ht="15" hidden="false" customHeight="true" outlineLevel="0" collapsed="false">
      <c r="A208" s="88" t="s">
        <v>536</v>
      </c>
      <c r="B208" s="89" t="n">
        <f aca="false">IFERROR(B206/B205,0)</f>
        <v>0.714285714285714</v>
      </c>
      <c r="C208" s="89"/>
    </row>
    <row r="209" customFormat="false" ht="15" hidden="false" customHeight="true" outlineLevel="0" collapsed="false">
      <c r="A209" s="88" t="s">
        <v>537</v>
      </c>
      <c r="B209" s="89" t="n">
        <v>2.143248</v>
      </c>
      <c r="C209" s="89"/>
    </row>
    <row r="210" customFormat="false" ht="15" hidden="false" customHeight="true" outlineLevel="0" collapsed="false">
      <c r="A210" s="88" t="s">
        <v>538</v>
      </c>
      <c r="B210" s="90" t="n">
        <v>15.002733</v>
      </c>
      <c r="C210" s="89"/>
    </row>
    <row r="211" customFormat="false" ht="15" hidden="false" customHeight="true" outlineLevel="0" collapsed="false">
      <c r="A211" s="88" t="s">
        <v>539</v>
      </c>
      <c r="B211" s="89" t="n">
        <v>9.082391</v>
      </c>
      <c r="C211" s="89"/>
    </row>
    <row r="212" customFormat="false" ht="15" hidden="false" customHeight="true" outlineLevel="0" collapsed="false">
      <c r="A212" s="88" t="s">
        <v>540</v>
      </c>
      <c r="B212" s="89" t="n">
        <v>-0.401727</v>
      </c>
      <c r="C212" s="89"/>
    </row>
    <row r="213" customFormat="false" ht="15" hidden="false" customHeight="true" outlineLevel="0" collapsed="false">
      <c r="A213" s="88" t="s">
        <v>541</v>
      </c>
      <c r="B213" s="89" t="s">
        <v>542</v>
      </c>
      <c r="C213" s="89"/>
    </row>
    <row r="214" customFormat="false" ht="15" hidden="false" customHeight="true" outlineLevel="0" collapsed="false">
      <c r="A214" s="88" t="s">
        <v>543</v>
      </c>
      <c r="B214" s="89" t="s">
        <v>542</v>
      </c>
      <c r="C214" s="89"/>
    </row>
    <row r="215" customFormat="false" ht="15" hidden="false" customHeight="true" outlineLevel="0" collapsed="false">
      <c r="A215" s="88" t="s">
        <v>544</v>
      </c>
      <c r="B215" s="91" t="n">
        <v>0</v>
      </c>
      <c r="C215" s="89"/>
    </row>
    <row r="216" customFormat="false" ht="15" hidden="false" customHeight="true" outlineLevel="0" collapsed="false">
      <c r="A216" s="88" t="s">
        <v>545</v>
      </c>
      <c r="B216" s="89" t="n">
        <v>8.379487</v>
      </c>
      <c r="C216" s="89"/>
    </row>
    <row r="217" customFormat="false" ht="15" hidden="false" customHeight="true" outlineLevel="0" collapsed="false">
      <c r="A217" s="92" t="s">
        <v>546</v>
      </c>
      <c r="B217" s="92" t="s">
        <v>547</v>
      </c>
      <c r="C217" s="89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521</v>
      </c>
      <c r="C219" s="1" t="s">
        <v>522</v>
      </c>
      <c r="D219" s="32" t="s">
        <v>494</v>
      </c>
      <c r="E219" s="32" t="s">
        <v>548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549</v>
      </c>
      <c r="O219" s="1" t="s">
        <v>550</v>
      </c>
      <c r="P219" s="32" t="s">
        <v>551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488</v>
      </c>
      <c r="E220" s="32" t="s">
        <v>552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553</v>
      </c>
      <c r="N220" s="32" t="s">
        <v>549</v>
      </c>
      <c r="O220" s="32" t="s">
        <v>554</v>
      </c>
      <c r="P220" s="32" t="s">
        <v>555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488</v>
      </c>
      <c r="E221" s="32" t="s">
        <v>552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553</v>
      </c>
      <c r="N221" s="32" t="s">
        <v>549</v>
      </c>
      <c r="O221" s="32" t="s">
        <v>556</v>
      </c>
      <c r="P221" s="32" t="s">
        <v>555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488</v>
      </c>
      <c r="E222" s="32" t="s">
        <v>552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553</v>
      </c>
      <c r="N222" s="32" t="s">
        <v>557</v>
      </c>
      <c r="O222" s="32" t="s">
        <v>558</v>
      </c>
      <c r="P222" s="32" t="s">
        <v>555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488</v>
      </c>
      <c r="E223" s="32" t="s">
        <v>552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553</v>
      </c>
      <c r="N223" s="32" t="s">
        <v>549</v>
      </c>
      <c r="O223" s="32" t="s">
        <v>559</v>
      </c>
      <c r="P223" s="32" t="s">
        <v>555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488</v>
      </c>
      <c r="E224" s="32" t="s">
        <v>552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553</v>
      </c>
      <c r="N224" s="32" t="s">
        <v>549</v>
      </c>
      <c r="O224" s="32" t="s">
        <v>560</v>
      </c>
      <c r="P224" s="32" t="s">
        <v>555</v>
      </c>
    </row>
    <row r="225" customFormat="false" ht="15" hidden="false" customHeight="true" outlineLevel="0" collapsed="false">
      <c r="A225" s="55" t="n">
        <v>46225</v>
      </c>
      <c r="B225" s="32" t="s">
        <v>521</v>
      </c>
      <c r="C225" s="1" t="s">
        <v>522</v>
      </c>
      <c r="D225" s="32" t="s">
        <v>494</v>
      </c>
      <c r="E225" s="32" t="s">
        <v>495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494</v>
      </c>
      <c r="E226" s="32" t="s">
        <v>495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561</v>
      </c>
      <c r="B227" s="32" t="s">
        <v>562</v>
      </c>
      <c r="D227" s="32" t="s">
        <v>563</v>
      </c>
      <c r="E227" s="32" t="s">
        <v>564</v>
      </c>
    </row>
    <row r="228" customFormat="false" ht="15" hidden="false" customHeight="true" outlineLevel="0" collapsed="false">
      <c r="A228" s="93" t="s">
        <v>561</v>
      </c>
      <c r="B228" s="94" t="s">
        <v>403</v>
      </c>
      <c r="C228" s="93" t="s">
        <v>404</v>
      </c>
      <c r="D228" s="94" t="s">
        <v>565</v>
      </c>
      <c r="E228" s="94" t="s">
        <v>566</v>
      </c>
      <c r="F228" s="93" t="n">
        <v>6</v>
      </c>
      <c r="G228" s="93" t="n">
        <v>200</v>
      </c>
      <c r="H228" s="93" t="n">
        <v>1200</v>
      </c>
      <c r="I228" s="94" t="s">
        <v>90</v>
      </c>
    </row>
    <row r="229" customFormat="false" ht="15" hidden="false" customHeight="true" outlineLevel="0" collapsed="false">
      <c r="A229" s="93" t="s">
        <v>561</v>
      </c>
      <c r="B229" s="94" t="s">
        <v>395</v>
      </c>
      <c r="C229" s="93" t="s">
        <v>396</v>
      </c>
      <c r="D229" s="94" t="s">
        <v>567</v>
      </c>
      <c r="E229" s="94" t="s">
        <v>568</v>
      </c>
      <c r="F229" s="93" t="n">
        <v>3.38</v>
      </c>
      <c r="G229" s="93" t="n">
        <v>300</v>
      </c>
      <c r="H229" s="93" t="n">
        <v>1014</v>
      </c>
      <c r="I229" s="94" t="s">
        <v>569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494</v>
      </c>
      <c r="E230" s="32" t="s">
        <v>570</v>
      </c>
      <c r="F230" s="1" t="n">
        <v>4.87</v>
      </c>
      <c r="G230" s="1" t="n">
        <v>300</v>
      </c>
      <c r="H230" s="1" t="n">
        <v>1461</v>
      </c>
      <c r="O230" s="32" t="s">
        <v>571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494</v>
      </c>
      <c r="E231" s="32" t="s">
        <v>570</v>
      </c>
      <c r="F231" s="1" t="n">
        <v>3.46</v>
      </c>
      <c r="G231" s="1" t="n">
        <v>200</v>
      </c>
      <c r="H231" s="1" t="n">
        <v>692</v>
      </c>
      <c r="O231" s="32" t="s">
        <v>571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494</v>
      </c>
      <c r="E232" s="32" t="s">
        <v>570</v>
      </c>
      <c r="F232" s="1" t="n">
        <v>15.94</v>
      </c>
      <c r="G232" s="1" t="n">
        <v>100</v>
      </c>
      <c r="H232" s="1" t="n">
        <v>1594</v>
      </c>
      <c r="O232" s="32" t="s">
        <v>571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488</v>
      </c>
      <c r="E233" s="32" t="s">
        <v>572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549</v>
      </c>
      <c r="O233" s="32" t="s">
        <v>573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494</v>
      </c>
      <c r="E234" s="32" t="s">
        <v>574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549</v>
      </c>
      <c r="O234" s="95" t="s">
        <v>575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494</v>
      </c>
      <c r="E235" s="32" t="s">
        <v>570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549</v>
      </c>
      <c r="O235" s="95" t="s">
        <v>576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488</v>
      </c>
      <c r="E236" s="32" t="s">
        <v>572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549</v>
      </c>
      <c r="O236" s="32" t="s">
        <v>577</v>
      </c>
      <c r="T236" s="32" t="s">
        <v>324</v>
      </c>
    </row>
    <row r="237" customFormat="false" ht="15" hidden="false" customHeight="true" outlineLevel="0" collapsed="false">
      <c r="A237" s="1" t="s">
        <v>578</v>
      </c>
      <c r="B237" s="32" t="s">
        <v>395</v>
      </c>
      <c r="C237" s="1" t="s">
        <v>396</v>
      </c>
      <c r="D237" s="32" t="s">
        <v>494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579</v>
      </c>
    </row>
    <row r="238" customFormat="false" ht="15" hidden="false" customHeight="true" outlineLevel="0" collapsed="false">
      <c r="A238" s="1" t="s">
        <v>578</v>
      </c>
      <c r="B238" s="32" t="s">
        <v>398</v>
      </c>
      <c r="C238" s="1" t="s">
        <v>399</v>
      </c>
      <c r="D238" s="32" t="s">
        <v>494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579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6" t="s">
        <v>271</v>
      </c>
      <c r="B1" s="96" t="s">
        <v>580</v>
      </c>
      <c r="C1" s="96" t="s">
        <v>581</v>
      </c>
      <c r="D1" s="96" t="s">
        <v>582</v>
      </c>
      <c r="E1" s="96" t="s">
        <v>583</v>
      </c>
      <c r="F1" s="96" t="s">
        <v>584</v>
      </c>
      <c r="G1" s="96" t="s">
        <v>585</v>
      </c>
      <c r="H1" s="96" t="s">
        <v>586</v>
      </c>
      <c r="I1" s="96" t="s">
        <v>587</v>
      </c>
      <c r="J1" s="96" t="s">
        <v>588</v>
      </c>
      <c r="K1" s="96" t="s">
        <v>246</v>
      </c>
      <c r="L1" s="96" t="s">
        <v>252</v>
      </c>
      <c r="M1" s="96" t="s">
        <v>589</v>
      </c>
      <c r="N1" s="96" t="s">
        <v>590</v>
      </c>
      <c r="O1" s="96" t="s">
        <v>259</v>
      </c>
      <c r="P1" s="96" t="s">
        <v>591</v>
      </c>
    </row>
    <row r="2" customFormat="false" ht="15" hidden="false" customHeight="true" outlineLevel="0" collapsed="false">
      <c r="A2" s="97" t="n">
        <v>46225</v>
      </c>
      <c r="B2" s="98" t="n">
        <v>5</v>
      </c>
      <c r="C2" s="98" t="n">
        <v>0</v>
      </c>
      <c r="D2" s="98" t="n">
        <v>5</v>
      </c>
      <c r="E2" s="98" t="n">
        <v>3</v>
      </c>
      <c r="F2" s="98" t="n">
        <v>0</v>
      </c>
      <c r="G2" s="98" t="n">
        <v>0</v>
      </c>
      <c r="H2" s="99" t="s">
        <v>592</v>
      </c>
      <c r="I2" s="98"/>
      <c r="J2" s="98"/>
      <c r="K2" s="100" t="n">
        <v>70</v>
      </c>
      <c r="L2" s="101" t="s">
        <v>593</v>
      </c>
      <c r="M2" s="102" t="n">
        <f aca="false">IF($A2="","",IFERROR(AVERAGEIFS(K$2:K2,WEEKNUM(A$2:A2,2),WEEKNUM(A2,2)),K2))</f>
        <v>70</v>
      </c>
      <c r="N2" s="103" t="n">
        <f aca="false">IF($A2="","",IFERROR(COUNTIFS(A$2:A2,"&lt;&gt;",L$2:L2,"达标",WEEKNUM(A$2:A2,2),WEEKNUM(A2,2)),0))</f>
        <v>0</v>
      </c>
      <c r="O2" s="100" t="n">
        <f aca="false">IF($A2="","",IF(L2="达标",IF(ROW()=2,1,IF(O2="",1,O2+1)),0))</f>
        <v>0</v>
      </c>
      <c r="P2" s="101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4" t="n">
        <v>46226</v>
      </c>
      <c r="B3" s="105" t="n">
        <v>3</v>
      </c>
      <c r="C3" s="105" t="n">
        <v>0</v>
      </c>
      <c r="D3" s="105" t="n">
        <v>4</v>
      </c>
      <c r="E3" s="105" t="n">
        <v>3</v>
      </c>
      <c r="F3" s="105" t="n">
        <v>0</v>
      </c>
      <c r="G3" s="105" t="n">
        <v>1</v>
      </c>
      <c r="H3" s="106" t="s">
        <v>592</v>
      </c>
      <c r="I3" s="105"/>
      <c r="J3" s="105"/>
      <c r="K3" s="100" t="n">
        <v>70</v>
      </c>
      <c r="L3" s="101" t="s">
        <v>593</v>
      </c>
      <c r="M3" s="102" t="n">
        <f aca="false">IF($A3="","",IFERROR(AVERAGEIFS(K$2:K3,WEEKNUM(A$2:A3,2),WEEKNUM(A3,2)),K3))</f>
        <v>70</v>
      </c>
      <c r="N3" s="103" t="n">
        <f aca="false">IF($A3="","",IFERROR(COUNTIFS(A$2:A3,"&lt;&gt;",L$2:L3,"达标",WEEKNUM(A$2:A3,2),WEEKNUM(A3,2)),0))</f>
        <v>0</v>
      </c>
      <c r="O3" s="100" t="n">
        <f aca="false">IF($A3="","",IF(L3="达标",IF(ROW()=2,1,IF(O3="",1,O3+1)),0))</f>
        <v>0</v>
      </c>
      <c r="P3" s="101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7" t="n">
        <v>46227</v>
      </c>
      <c r="B4" s="98" t="n">
        <v>4</v>
      </c>
      <c r="C4" s="98" t="n">
        <v>0</v>
      </c>
      <c r="D4" s="98" t="n">
        <v>4</v>
      </c>
      <c r="E4" s="98" t="n">
        <v>3</v>
      </c>
      <c r="F4" s="98" t="n">
        <v>0</v>
      </c>
      <c r="G4" s="98" t="n">
        <v>6</v>
      </c>
      <c r="H4" s="99" t="s">
        <v>592</v>
      </c>
      <c r="I4" s="99" t="s">
        <v>594</v>
      </c>
      <c r="J4" s="99" t="s">
        <v>595</v>
      </c>
      <c r="K4" s="100" t="n">
        <f aca="false">IF($A4="","",IF(B4=0,20,IF(B4=1,15,IF(B4=2,10,IF(B4=3,5,0))))+IF(C4="否",20,0)+IF(D4="是",20,0)+IF(E4=1,20,IF(E4=2,15,IF(E4=3,10,IF(E4=4,5,0))))+IF(F4="否",20,0))</f>
        <v>10</v>
      </c>
      <c r="L4" s="101" t="str">
        <f aca="false">IF($A4="","",IF(K4&gt;=80,"达标","未达标"))</f>
        <v>未达标</v>
      </c>
      <c r="M4" s="102" t="n">
        <f aca="false">IF($A4="","",IFERROR(AVERAGEIFS(K$2:K4,WEEKNUM(A$2:A4,2),WEEKNUM(A4,2)),K4))</f>
        <v>10</v>
      </c>
      <c r="N4" s="103" t="n">
        <f aca="false">IF($A4="","",IFERROR(COUNTIFS(A$2:A4,"&lt;&gt;",L$2:L4,"达标",WEEKNUM(A$2:A4,2),WEEKNUM(A4,2)),0))</f>
        <v>0</v>
      </c>
      <c r="O4" s="100" t="n">
        <f aca="false">IF($A4="","",IF(L4="达标",IF(ROW()=2,1,IF(O4="",1,O4+1)),0))</f>
        <v>0</v>
      </c>
      <c r="P4" s="101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5"/>
      <c r="B5" s="105"/>
      <c r="C5" s="105"/>
      <c r="D5" s="105"/>
      <c r="E5" s="105"/>
      <c r="F5" s="105"/>
      <c r="G5" s="105"/>
      <c r="H5" s="105"/>
      <c r="I5" s="105"/>
      <c r="J5" s="105"/>
      <c r="K5" s="100" t="str">
        <f aca="false">IF($A5="","",IF(B5=0,20,IF(B5=1,15,IF(B5=2,10,IF(B5=3,5,0))))+IF(C5="否",20,0)+IF(D5="是",20,0)+IF(E5=1,20,IF(E5=2,15,IF(E5=3,10,IF(E5=4,5,0))))+IF(F5="否",20,0))</f>
        <v/>
      </c>
      <c r="L5" s="101" t="str">
        <f aca="false">IF($A5="","",IF(K5&gt;=80,"达标","未达标"))</f>
        <v/>
      </c>
      <c r="M5" s="102" t="str">
        <f aca="false">IF($A5="","",IFERROR(AVERAGEIFS(K$2:K5,WEEKNUM(A$2:A5,2),WEEKNUM(A5,2)),K5))</f>
        <v/>
      </c>
      <c r="N5" s="103" t="str">
        <f aca="false">IF($A5="","",IFERROR(COUNTIFS(A$2:A5,"&lt;&gt;",L$2:L5,"达标",WEEKNUM(A$2:A5,2),WEEKNUM(A5,2)),0))</f>
        <v/>
      </c>
      <c r="O5" s="100" t="str">
        <f aca="false">IF($A5="","",IF(L5="达标",IF(ROW()=2,1,IF(O4="",1,O4+1)),0))</f>
        <v/>
      </c>
      <c r="P5" s="101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8"/>
      <c r="B6" s="98"/>
      <c r="C6" s="98"/>
      <c r="D6" s="98"/>
      <c r="E6" s="98"/>
      <c r="F6" s="98"/>
      <c r="G6" s="98"/>
      <c r="H6" s="98"/>
      <c r="I6" s="98"/>
      <c r="J6" s="98"/>
      <c r="K6" s="100" t="str">
        <f aca="false">IF($A6="","",IF(B6=0,20,IF(B6=1,15,IF(B6=2,10,IF(B6=3,5,0))))+IF(C6="否",20,0)+IF(D6="是",20,0)+IF(E6=1,20,IF(E6=2,15,IF(E6=3,10,IF(E6=4,5,0))))+IF(F6="否",20,0))</f>
        <v/>
      </c>
      <c r="L6" s="101" t="str">
        <f aca="false">IF($A6="","",IF(K6&gt;=80,"达标","未达标"))</f>
        <v/>
      </c>
      <c r="M6" s="102" t="str">
        <f aca="false">IF($A6="","",IFERROR(AVERAGEIFS(K$2:K6,WEEKNUM(A$2:A6,2),WEEKNUM(A6,2)),K6))</f>
        <v/>
      </c>
      <c r="N6" s="103" t="str">
        <f aca="false">IF($A6="","",IFERROR(COUNTIFS(A$2:A6,"&lt;&gt;",L$2:L6,"达标",WEEKNUM(A$2:A6,2),WEEKNUM(A6,2)),0))</f>
        <v/>
      </c>
      <c r="O6" s="100" t="str">
        <f aca="false">IF($A6="","",IF(L6="达标",IF(ROW()=2,1,IF(O5="",1,O5+1)),0))</f>
        <v/>
      </c>
      <c r="P6" s="101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5"/>
      <c r="B7" s="105"/>
      <c r="C7" s="105"/>
      <c r="D7" s="105"/>
      <c r="E7" s="105"/>
      <c r="F7" s="105"/>
      <c r="G7" s="105"/>
      <c r="H7" s="105"/>
      <c r="I7" s="105"/>
      <c r="J7" s="105"/>
      <c r="K7" s="100" t="str">
        <f aca="false">IF($A7="","",IF(B7=0,20,IF(B7=1,15,IF(B7=2,10,IF(B7=3,5,0))))+IF(C7="否",20,0)+IF(D7="是",20,0)+IF(E7=1,20,IF(E7=2,15,IF(E7=3,10,IF(E7=4,5,0))))+IF(F7="否",20,0))</f>
        <v/>
      </c>
      <c r="L7" s="101" t="str">
        <f aca="false">IF($A7="","",IF(K7&gt;=80,"达标","未达标"))</f>
        <v/>
      </c>
      <c r="M7" s="102" t="str">
        <f aca="false">IF($A7="","",IFERROR(AVERAGEIFS(K$2:K7,WEEKNUM(A$2:A7,2),WEEKNUM(A7,2)),K7))</f>
        <v/>
      </c>
      <c r="N7" s="103" t="str">
        <f aca="false">IF($A7="","",IFERROR(COUNTIFS(A$2:A7,"&lt;&gt;",L$2:L7,"达标",WEEKNUM(A$2:A7,2),WEEKNUM(A7,2)),0))</f>
        <v/>
      </c>
      <c r="O7" s="100" t="str">
        <f aca="false">IF($A7="","",IF(L7="达标",IF(ROW()=2,1,IF(O6="",1,O6+1)),0))</f>
        <v/>
      </c>
      <c r="P7" s="101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8"/>
      <c r="B8" s="98"/>
      <c r="C8" s="98"/>
      <c r="D8" s="98"/>
      <c r="E8" s="98"/>
      <c r="F8" s="98"/>
      <c r="G8" s="98"/>
      <c r="H8" s="98"/>
      <c r="I8" s="98"/>
      <c r="J8" s="98"/>
      <c r="K8" s="100" t="str">
        <f aca="false">IF($A8="","",IF(B8=0,20,IF(B8=1,15,IF(B8=2,10,IF(B8=3,5,0))))+IF(C8="否",20,0)+IF(D8="是",20,0)+IF(E8=1,20,IF(E8=2,15,IF(E8=3,10,IF(E8=4,5,0))))+IF(F8="否",20,0))</f>
        <v/>
      </c>
      <c r="L8" s="101" t="str">
        <f aca="false">IF($A8="","",IF(K8&gt;=80,"达标","未达标"))</f>
        <v/>
      </c>
      <c r="M8" s="102" t="str">
        <f aca="false">IF($A8="","",IFERROR(AVERAGEIFS(K$2:K8,WEEKNUM(A$2:A8,2),WEEKNUM(A8,2)),K8))</f>
        <v/>
      </c>
      <c r="N8" s="103" t="str">
        <f aca="false">IF($A8="","",IFERROR(COUNTIFS(A$2:A8,"&lt;&gt;",L$2:L8,"达标",WEEKNUM(A$2:A8,2),WEEKNUM(A8,2)),0))</f>
        <v/>
      </c>
      <c r="O8" s="100" t="str">
        <f aca="false">IF($A8="","",IF(L8="达标",IF(ROW()=2,1,IF(O7="",1,O7+1)),0))</f>
        <v/>
      </c>
      <c r="P8" s="101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5"/>
      <c r="B9" s="105"/>
      <c r="C9" s="105"/>
      <c r="D9" s="105"/>
      <c r="E9" s="105"/>
      <c r="F9" s="105"/>
      <c r="G9" s="105"/>
      <c r="H9" s="105"/>
      <c r="I9" s="105"/>
      <c r="J9" s="105"/>
      <c r="K9" s="100" t="str">
        <f aca="false">IF($A9="","",IF(B9=0,20,IF(B9=1,15,IF(B9=2,10,IF(B9=3,5,0))))+IF(C9="否",20,0)+IF(D9="是",20,0)+IF(E9=1,20,IF(E9=2,15,IF(E9=3,10,IF(E9=4,5,0))))+IF(F9="否",20,0))</f>
        <v/>
      </c>
      <c r="L9" s="101" t="str">
        <f aca="false">IF($A9="","",IF(K9&gt;=80,"达标","未达标"))</f>
        <v/>
      </c>
      <c r="M9" s="102" t="str">
        <f aca="false">IF($A9="","",IFERROR(AVERAGEIFS(K$2:K9,WEEKNUM(A$2:A9,2),WEEKNUM(A9,2)),K9))</f>
        <v/>
      </c>
      <c r="N9" s="103" t="str">
        <f aca="false">IF($A9="","",IFERROR(COUNTIFS(A$2:A9,"&lt;&gt;",L$2:L9,"达标",WEEKNUM(A$2:A9,2),WEEKNUM(A9,2)),0))</f>
        <v/>
      </c>
      <c r="O9" s="100" t="str">
        <f aca="false">IF($A9="","",IF(L9="达标",IF(ROW()=2,1,IF(O8="",1,O8+1)),0))</f>
        <v/>
      </c>
      <c r="P9" s="101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8"/>
      <c r="B10" s="98"/>
      <c r="C10" s="98"/>
      <c r="D10" s="98"/>
      <c r="E10" s="98"/>
      <c r="F10" s="98"/>
      <c r="G10" s="98"/>
      <c r="H10" s="98"/>
      <c r="I10" s="98"/>
      <c r="J10" s="98"/>
      <c r="K10" s="100" t="str">
        <f aca="false">IF($A10="","",IF(B10=0,20,IF(B10=1,15,IF(B10=2,10,IF(B10=3,5,0))))+IF(C10="否",20,0)+IF(D10="是",20,0)+IF(E10=1,20,IF(E10=2,15,IF(E10=3,10,IF(E10=4,5,0))))+IF(F10="否",20,0))</f>
        <v/>
      </c>
      <c r="L10" s="101" t="str">
        <f aca="false">IF($A10="","",IF(K10&gt;=80,"达标","未达标"))</f>
        <v/>
      </c>
      <c r="M10" s="102" t="str">
        <f aca="false">IF($A10="","",IFERROR(AVERAGEIFS(K$2:K10,WEEKNUM(A$2:A10,2),WEEKNUM(A10,2)),K10))</f>
        <v/>
      </c>
      <c r="N10" s="103" t="str">
        <f aca="false">IF($A10="","",IFERROR(COUNTIFS(A$2:A10,"&lt;&gt;",L$2:L10,"达标",WEEKNUM(A$2:A10,2),WEEKNUM(A10,2)),0))</f>
        <v/>
      </c>
      <c r="O10" s="100" t="str">
        <f aca="false">IF($A10="","",IF(L10="达标",IF(ROW()=2,1,IF(O9="",1,O9+1)),0))</f>
        <v/>
      </c>
      <c r="P10" s="101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5"/>
      <c r="B11" s="105"/>
      <c r="C11" s="105"/>
      <c r="D11" s="105"/>
      <c r="E11" s="105"/>
      <c r="F11" s="105"/>
      <c r="G11" s="105"/>
      <c r="H11" s="105"/>
      <c r="I11" s="105"/>
      <c r="J11" s="105"/>
      <c r="K11" s="100" t="str">
        <f aca="false">IF($A11="","",IF(B11=0,20,IF(B11=1,15,IF(B11=2,10,IF(B11=3,5,0))))+IF(C11="否",20,0)+IF(D11="是",20,0)+IF(E11=1,20,IF(E11=2,15,IF(E11=3,10,IF(E11=4,5,0))))+IF(F11="否",20,0))</f>
        <v/>
      </c>
      <c r="L11" s="101" t="str">
        <f aca="false">IF($A11="","",IF(K11&gt;=80,"达标","未达标"))</f>
        <v/>
      </c>
      <c r="M11" s="102" t="str">
        <f aca="false">IF($A11="","",IFERROR(AVERAGEIFS(K$2:K11,WEEKNUM(A$2:A11,2),WEEKNUM(A11,2)),K11))</f>
        <v/>
      </c>
      <c r="N11" s="103" t="str">
        <f aca="false">IF($A11="","",IFERROR(COUNTIFS(A$2:A11,"&lt;&gt;",L$2:L11,"达标",WEEKNUM(A$2:A11,2),WEEKNUM(A11,2)),0))</f>
        <v/>
      </c>
      <c r="O11" s="100" t="str">
        <f aca="false">IF($A11="","",IF(L11="达标",IF(ROW()=2,1,IF(O10="",1,O10+1)),0))</f>
        <v/>
      </c>
      <c r="P11" s="101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8"/>
      <c r="B12" s="98"/>
      <c r="C12" s="98"/>
      <c r="D12" s="98"/>
      <c r="E12" s="98"/>
      <c r="F12" s="98"/>
      <c r="G12" s="98"/>
      <c r="H12" s="98"/>
      <c r="I12" s="98"/>
      <c r="J12" s="98"/>
      <c r="K12" s="100" t="str">
        <f aca="false">IF($A12="","",IF(B12=0,20,IF(B12=1,15,IF(B12=2,10,IF(B12=3,5,0))))+IF(C12="否",20,0)+IF(D12="是",20,0)+IF(E12=1,20,IF(E12=2,15,IF(E12=3,10,IF(E12=4,5,0))))+IF(F12="否",20,0))</f>
        <v/>
      </c>
      <c r="L12" s="101" t="str">
        <f aca="false">IF($A12="","",IF(K12&gt;=80,"达标","未达标"))</f>
        <v/>
      </c>
      <c r="M12" s="102" t="str">
        <f aca="false">IF($A12="","",IFERROR(AVERAGEIFS(K$2:K12,WEEKNUM(A$2:A12,2),WEEKNUM(A12,2)),K12))</f>
        <v/>
      </c>
      <c r="N12" s="103" t="str">
        <f aca="false">IF($A12="","",IFERROR(COUNTIFS(A$2:A12,"&lt;&gt;",L$2:L12,"达标",WEEKNUM(A$2:A12,2),WEEKNUM(A12,2)),0))</f>
        <v/>
      </c>
      <c r="O12" s="100" t="str">
        <f aca="false">IF($A12="","",IF(L12="达标",IF(ROW()=2,1,IF(O11="",1,O11+1)),0))</f>
        <v/>
      </c>
      <c r="P12" s="101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5"/>
      <c r="B13" s="105"/>
      <c r="C13" s="105"/>
      <c r="D13" s="105"/>
      <c r="E13" s="105"/>
      <c r="F13" s="105"/>
      <c r="G13" s="105"/>
      <c r="H13" s="105"/>
      <c r="I13" s="105"/>
      <c r="J13" s="105"/>
      <c r="K13" s="100" t="str">
        <f aca="false">IF($A13="","",IF(B13=0,20,IF(B13=1,15,IF(B13=2,10,IF(B13=3,5,0))))+IF(C13="否",20,0)+IF(D13="是",20,0)+IF(E13=1,20,IF(E13=2,15,IF(E13=3,10,IF(E13=4,5,0))))+IF(F13="否",20,0))</f>
        <v/>
      </c>
      <c r="L13" s="101" t="str">
        <f aca="false">IF($A13="","",IF(K13&gt;=80,"达标","未达标"))</f>
        <v/>
      </c>
      <c r="M13" s="102" t="str">
        <f aca="false">IF($A13="","",IFERROR(AVERAGEIFS(K$2:K13,WEEKNUM(A$2:A13,2),WEEKNUM(A13,2)),K13))</f>
        <v/>
      </c>
      <c r="N13" s="103" t="str">
        <f aca="false">IF($A13="","",IFERROR(COUNTIFS(A$2:A13,"&lt;&gt;",L$2:L13,"达标",WEEKNUM(A$2:A13,2),WEEKNUM(A13,2)),0))</f>
        <v/>
      </c>
      <c r="O13" s="100" t="str">
        <f aca="false">IF($A13="","",IF(L13="达标",IF(ROW()=2,1,IF(O12="",1,O12+1)),0))</f>
        <v/>
      </c>
      <c r="P13" s="101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8"/>
      <c r="B14" s="98"/>
      <c r="C14" s="98"/>
      <c r="D14" s="98"/>
      <c r="E14" s="98"/>
      <c r="F14" s="98"/>
      <c r="G14" s="98"/>
      <c r="H14" s="98"/>
      <c r="I14" s="98"/>
      <c r="J14" s="98"/>
      <c r="K14" s="100" t="str">
        <f aca="false">IF($A14="","",IF(B14=0,20,IF(B14=1,15,IF(B14=2,10,IF(B14=3,5,0))))+IF(C14="否",20,0)+IF(D14="是",20,0)+IF(E14=1,20,IF(E14=2,15,IF(E14=3,10,IF(E14=4,5,0))))+IF(F14="否",20,0))</f>
        <v/>
      </c>
      <c r="L14" s="101" t="str">
        <f aca="false">IF($A14="","",IF(K14&gt;=80,"达标","未达标"))</f>
        <v/>
      </c>
      <c r="M14" s="102" t="str">
        <f aca="false">IF($A14="","",IFERROR(AVERAGEIFS(K$2:K14,WEEKNUM(A$2:A14,2),WEEKNUM(A14,2)),K14))</f>
        <v/>
      </c>
      <c r="N14" s="103" t="str">
        <f aca="false">IF($A14="","",IFERROR(COUNTIFS(A$2:A14,"&lt;&gt;",L$2:L14,"达标",WEEKNUM(A$2:A14,2),WEEKNUM(A14,2)),0))</f>
        <v/>
      </c>
      <c r="O14" s="100" t="str">
        <f aca="false">IF($A14="","",IF(L14="达标",IF(ROW()=2,1,IF(O13="",1,O13+1)),0))</f>
        <v/>
      </c>
      <c r="P14" s="101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5"/>
      <c r="B15" s="105"/>
      <c r="C15" s="105"/>
      <c r="D15" s="105"/>
      <c r="E15" s="105"/>
      <c r="F15" s="105"/>
      <c r="G15" s="105"/>
      <c r="H15" s="105"/>
      <c r="I15" s="105"/>
      <c r="J15" s="105"/>
      <c r="K15" s="100" t="str">
        <f aca="false">IF($A15="","",IF(B15=0,20,IF(B15=1,15,IF(B15=2,10,IF(B15=3,5,0))))+IF(C15="否",20,0)+IF(D15="是",20,0)+IF(E15=1,20,IF(E15=2,15,IF(E15=3,10,IF(E15=4,5,0))))+IF(F15="否",20,0))</f>
        <v/>
      </c>
      <c r="L15" s="101" t="str">
        <f aca="false">IF($A15="","",IF(K15&gt;=80,"达标","未达标"))</f>
        <v/>
      </c>
      <c r="M15" s="102" t="str">
        <f aca="false">IF($A15="","",IFERROR(AVERAGEIFS(K$2:K15,WEEKNUM(A$2:A15,2),WEEKNUM(A15,2)),K15))</f>
        <v/>
      </c>
      <c r="N15" s="103" t="str">
        <f aca="false">IF($A15="","",IFERROR(COUNTIFS(A$2:A15,"&lt;&gt;",L$2:L15,"达标",WEEKNUM(A$2:A15,2),WEEKNUM(A15,2)),0))</f>
        <v/>
      </c>
      <c r="O15" s="100" t="str">
        <f aca="false">IF($A15="","",IF(L15="达标",IF(ROW()=2,1,IF(O14="",1,O14+1)),0))</f>
        <v/>
      </c>
      <c r="P15" s="101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8"/>
      <c r="B16" s="98"/>
      <c r="C16" s="98"/>
      <c r="D16" s="98"/>
      <c r="E16" s="98"/>
      <c r="F16" s="98"/>
      <c r="G16" s="98"/>
      <c r="H16" s="98"/>
      <c r="I16" s="98"/>
      <c r="J16" s="98"/>
      <c r="K16" s="100" t="str">
        <f aca="false">IF($A16="","",IF(B16=0,20,IF(B16=1,15,IF(B16=2,10,IF(B16=3,5,0))))+IF(C16="否",20,0)+IF(D16="是",20,0)+IF(E16=1,20,IF(E16=2,15,IF(E16=3,10,IF(E16=4,5,0))))+IF(F16="否",20,0))</f>
        <v/>
      </c>
      <c r="L16" s="101" t="str">
        <f aca="false">IF($A16="","",IF(K16&gt;=80,"达标","未达标"))</f>
        <v/>
      </c>
      <c r="M16" s="102" t="str">
        <f aca="false">IF($A16="","",IFERROR(AVERAGEIFS(K$2:K16,WEEKNUM(A$2:A16,2),WEEKNUM(A16,2)),K16))</f>
        <v/>
      </c>
      <c r="N16" s="103" t="str">
        <f aca="false">IF($A16="","",IFERROR(COUNTIFS(A$2:A16,"&lt;&gt;",L$2:L16,"达标",WEEKNUM(A$2:A16,2),WEEKNUM(A16,2)),0))</f>
        <v/>
      </c>
      <c r="O16" s="100" t="str">
        <f aca="false">IF($A16="","",IF(L16="达标",IF(ROW()=2,1,IF(O15="",1,O15+1)),0))</f>
        <v/>
      </c>
      <c r="P16" s="101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5"/>
      <c r="B17" s="105"/>
      <c r="C17" s="105"/>
      <c r="D17" s="105"/>
      <c r="E17" s="105"/>
      <c r="F17" s="105"/>
      <c r="G17" s="105"/>
      <c r="H17" s="105"/>
      <c r="I17" s="105"/>
      <c r="J17" s="105"/>
      <c r="K17" s="100" t="str">
        <f aca="false">IF($A17="","",IF(B17=0,20,IF(B17=1,15,IF(B17=2,10,IF(B17=3,5,0))))+IF(C17="否",20,0)+IF(D17="是",20,0)+IF(E17=1,20,IF(E17=2,15,IF(E17=3,10,IF(E17=4,5,0))))+IF(F17="否",20,0))</f>
        <v/>
      </c>
      <c r="L17" s="101" t="str">
        <f aca="false">IF($A17="","",IF(K17&gt;=80,"达标","未达标"))</f>
        <v/>
      </c>
      <c r="M17" s="102" t="str">
        <f aca="false">IF($A17="","",IFERROR(AVERAGEIFS(K$2:K17,WEEKNUM(A$2:A17,2),WEEKNUM(A17,2)),K17))</f>
        <v/>
      </c>
      <c r="N17" s="103" t="str">
        <f aca="false">IF($A17="","",IFERROR(COUNTIFS(A$2:A17,"&lt;&gt;",L$2:L17,"达标",WEEKNUM(A$2:A17,2),WEEKNUM(A17,2)),0))</f>
        <v/>
      </c>
      <c r="O17" s="100" t="str">
        <f aca="false">IF($A17="","",IF(L17="达标",IF(ROW()=2,1,IF(O16="",1,O16+1)),0))</f>
        <v/>
      </c>
      <c r="P17" s="101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8"/>
      <c r="B18" s="98"/>
      <c r="C18" s="98"/>
      <c r="D18" s="98"/>
      <c r="E18" s="98"/>
      <c r="F18" s="98"/>
      <c r="G18" s="98"/>
      <c r="H18" s="98"/>
      <c r="I18" s="98"/>
      <c r="J18" s="98"/>
      <c r="K18" s="100" t="str">
        <f aca="false">IF($A18="","",IF(B18=0,20,IF(B18=1,15,IF(B18=2,10,IF(B18=3,5,0))))+IF(C18="否",20,0)+IF(D18="是",20,0)+IF(E18=1,20,IF(E18=2,15,IF(E18=3,10,IF(E18=4,5,0))))+IF(F18="否",20,0))</f>
        <v/>
      </c>
      <c r="L18" s="101" t="str">
        <f aca="false">IF($A18="","",IF(K18&gt;=80,"达标","未达标"))</f>
        <v/>
      </c>
      <c r="M18" s="102" t="str">
        <f aca="false">IF($A18="","",IFERROR(AVERAGEIFS(K$2:K18,WEEKNUM(A$2:A18,2),WEEKNUM(A18,2)),K18))</f>
        <v/>
      </c>
      <c r="N18" s="103" t="str">
        <f aca="false">IF($A18="","",IFERROR(COUNTIFS(A$2:A18,"&lt;&gt;",L$2:L18,"达标",WEEKNUM(A$2:A18,2),WEEKNUM(A18,2)),0))</f>
        <v/>
      </c>
      <c r="O18" s="100" t="str">
        <f aca="false">IF($A18="","",IF(L18="达标",IF(ROW()=2,1,IF(O17="",1,O17+1)),0))</f>
        <v/>
      </c>
      <c r="P18" s="101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5"/>
      <c r="B19" s="105"/>
      <c r="C19" s="105"/>
      <c r="D19" s="105"/>
      <c r="E19" s="105"/>
      <c r="F19" s="105"/>
      <c r="G19" s="105"/>
      <c r="H19" s="105"/>
      <c r="I19" s="105"/>
      <c r="J19" s="105"/>
      <c r="K19" s="100" t="str">
        <f aca="false">IF($A19="","",IF(B19=0,20,IF(B19=1,15,IF(B19=2,10,IF(B19=3,5,0))))+IF(C19="否",20,0)+IF(D19="是",20,0)+IF(E19=1,20,IF(E19=2,15,IF(E19=3,10,IF(E19=4,5,0))))+IF(F19="否",20,0))</f>
        <v/>
      </c>
      <c r="L19" s="101" t="str">
        <f aca="false">IF($A19="","",IF(K19&gt;=80,"达标","未达标"))</f>
        <v/>
      </c>
      <c r="M19" s="102" t="str">
        <f aca="false">IF($A19="","",IFERROR(AVERAGEIFS(K$2:K19,WEEKNUM(A$2:A19,2),WEEKNUM(A19,2)),K19))</f>
        <v/>
      </c>
      <c r="N19" s="103" t="str">
        <f aca="false">IF($A19="","",IFERROR(COUNTIFS(A$2:A19,"&lt;&gt;",L$2:L19,"达标",WEEKNUM(A$2:A19,2),WEEKNUM(A19,2)),0))</f>
        <v/>
      </c>
      <c r="O19" s="100" t="str">
        <f aca="false">IF($A19="","",IF(L19="达标",IF(ROW()=2,1,IF(O18="",1,O18+1)),0))</f>
        <v/>
      </c>
      <c r="P19" s="101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8"/>
      <c r="B20" s="98"/>
      <c r="C20" s="98"/>
      <c r="D20" s="98"/>
      <c r="E20" s="98"/>
      <c r="F20" s="98"/>
      <c r="G20" s="98"/>
      <c r="H20" s="98"/>
      <c r="I20" s="98"/>
      <c r="J20" s="98"/>
      <c r="K20" s="100" t="str">
        <f aca="false">IF($A20="","",IF(B20=0,20,IF(B20=1,15,IF(B20=2,10,IF(B20=3,5,0))))+IF(C20="否",20,0)+IF(D20="是",20,0)+IF(E20=1,20,IF(E20=2,15,IF(E20=3,10,IF(E20=4,5,0))))+IF(F20="否",20,0))</f>
        <v/>
      </c>
      <c r="L20" s="101" t="str">
        <f aca="false">IF($A20="","",IF(K20&gt;=80,"达标","未达标"))</f>
        <v/>
      </c>
      <c r="M20" s="102" t="str">
        <f aca="false">IF($A20="","",IFERROR(AVERAGEIFS(K$2:K20,WEEKNUM(A$2:A20,2),WEEKNUM(A20,2)),K20))</f>
        <v/>
      </c>
      <c r="N20" s="103" t="str">
        <f aca="false">IF($A20="","",IFERROR(COUNTIFS(A$2:A20,"&lt;&gt;",L$2:L20,"达标",WEEKNUM(A$2:A20,2),WEEKNUM(A20,2)),0))</f>
        <v/>
      </c>
      <c r="O20" s="100" t="str">
        <f aca="false">IF($A20="","",IF(L20="达标",IF(ROW()=2,1,IF(O19="",1,O19+1)),0))</f>
        <v/>
      </c>
      <c r="P20" s="101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5"/>
      <c r="B21" s="105"/>
      <c r="C21" s="105"/>
      <c r="D21" s="105"/>
      <c r="E21" s="105"/>
      <c r="F21" s="105"/>
      <c r="G21" s="105"/>
      <c r="H21" s="105"/>
      <c r="I21" s="105"/>
      <c r="J21" s="105"/>
      <c r="K21" s="100" t="str">
        <f aca="false">IF($A21="","",IF(B21=0,20,IF(B21=1,15,IF(B21=2,10,IF(B21=3,5,0))))+IF(C21="否",20,0)+IF(D21="是",20,0)+IF(E21=1,20,IF(E21=2,15,IF(E21=3,10,IF(E21=4,5,0))))+IF(F21="否",20,0))</f>
        <v/>
      </c>
      <c r="L21" s="101" t="str">
        <f aca="false">IF($A21="","",IF(K21&gt;=80,"达标","未达标"))</f>
        <v/>
      </c>
      <c r="M21" s="102" t="str">
        <f aca="false">IF($A21="","",IFERROR(AVERAGEIFS(K$2:K21,WEEKNUM(A$2:A21,2),WEEKNUM(A21,2)),K21))</f>
        <v/>
      </c>
      <c r="N21" s="103" t="str">
        <f aca="false">IF($A21="","",IFERROR(COUNTIFS(A$2:A21,"&lt;&gt;",L$2:L21,"达标",WEEKNUM(A$2:A21,2),WEEKNUM(A21,2)),0))</f>
        <v/>
      </c>
      <c r="O21" s="100" t="str">
        <f aca="false">IF($A21="","",IF(L21="达标",IF(ROW()=2,1,IF(O20="",1,O20+1)),0))</f>
        <v/>
      </c>
      <c r="P21" s="101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8"/>
      <c r="B22" s="98"/>
      <c r="C22" s="98"/>
      <c r="D22" s="98"/>
      <c r="E22" s="98"/>
      <c r="F22" s="98"/>
      <c r="G22" s="98"/>
      <c r="H22" s="98"/>
      <c r="I22" s="98"/>
      <c r="J22" s="98"/>
      <c r="K22" s="100" t="str">
        <f aca="false">IF($A22="","",IF(B22=0,20,IF(B22=1,15,IF(B22=2,10,IF(B22=3,5,0))))+IF(C22="否",20,0)+IF(D22="是",20,0)+IF(E22=1,20,IF(E22=2,15,IF(E22=3,10,IF(E22=4,5,0))))+IF(F22="否",20,0))</f>
        <v/>
      </c>
      <c r="L22" s="101" t="str">
        <f aca="false">IF($A22="","",IF(K22&gt;=80,"达标","未达标"))</f>
        <v/>
      </c>
      <c r="M22" s="102" t="str">
        <f aca="false">IF($A22="","",IFERROR(AVERAGEIFS(K$2:K22,WEEKNUM(A$2:A22,2),WEEKNUM(A22,2)),K22))</f>
        <v/>
      </c>
      <c r="N22" s="103" t="str">
        <f aca="false">IF($A22="","",IFERROR(COUNTIFS(A$2:A22,"&lt;&gt;",L$2:L22,"达标",WEEKNUM(A$2:A22,2),WEEKNUM(A22,2)),0))</f>
        <v/>
      </c>
      <c r="O22" s="100" t="str">
        <f aca="false">IF($A22="","",IF(L22="达标",IF(ROW()=2,1,IF(O21="",1,O21+1)),0))</f>
        <v/>
      </c>
      <c r="P22" s="101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5"/>
      <c r="B23" s="105"/>
      <c r="C23" s="105"/>
      <c r="D23" s="105"/>
      <c r="E23" s="105"/>
      <c r="F23" s="105"/>
      <c r="G23" s="105"/>
      <c r="H23" s="105"/>
      <c r="I23" s="105"/>
      <c r="J23" s="105"/>
      <c r="K23" s="100" t="str">
        <f aca="false">IF($A23="","",IF(B23=0,20,IF(B23=1,15,IF(B23=2,10,IF(B23=3,5,0))))+IF(C23="否",20,0)+IF(D23="是",20,0)+IF(E23=1,20,IF(E23=2,15,IF(E23=3,10,IF(E23=4,5,0))))+IF(F23="否",20,0))</f>
        <v/>
      </c>
      <c r="L23" s="101" t="str">
        <f aca="false">IF($A23="","",IF(K23&gt;=80,"达标","未达标"))</f>
        <v/>
      </c>
      <c r="M23" s="102" t="str">
        <f aca="false">IF($A23="","",IFERROR(AVERAGEIFS(K$2:K23,WEEKNUM(A$2:A23,2),WEEKNUM(A23,2)),K23))</f>
        <v/>
      </c>
      <c r="N23" s="103" t="str">
        <f aca="false">IF($A23="","",IFERROR(COUNTIFS(A$2:A23,"&lt;&gt;",L$2:L23,"达标",WEEKNUM(A$2:A23,2),WEEKNUM(A23,2)),0))</f>
        <v/>
      </c>
      <c r="O23" s="100" t="str">
        <f aca="false">IF($A23="","",IF(L23="达标",IF(ROW()=2,1,IF(O22="",1,O22+1)),0))</f>
        <v/>
      </c>
      <c r="P23" s="101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8"/>
      <c r="B24" s="98"/>
      <c r="C24" s="98"/>
      <c r="D24" s="98"/>
      <c r="E24" s="98"/>
      <c r="F24" s="98"/>
      <c r="G24" s="98"/>
      <c r="H24" s="98"/>
      <c r="I24" s="98"/>
      <c r="J24" s="98"/>
      <c r="K24" s="100" t="str">
        <f aca="false">IF($A24="","",IF(B24=0,20,IF(B24=1,15,IF(B24=2,10,IF(B24=3,5,0))))+IF(C24="否",20,0)+IF(D24="是",20,0)+IF(E24=1,20,IF(E24=2,15,IF(E24=3,10,IF(E24=4,5,0))))+IF(F24="否",20,0))</f>
        <v/>
      </c>
      <c r="L24" s="101" t="str">
        <f aca="false">IF($A24="","",IF(K24&gt;=80,"达标","未达标"))</f>
        <v/>
      </c>
      <c r="M24" s="102" t="str">
        <f aca="false">IF($A24="","",IFERROR(AVERAGEIFS(K$2:K24,WEEKNUM(A$2:A24,2),WEEKNUM(A24,2)),K24))</f>
        <v/>
      </c>
      <c r="N24" s="103" t="str">
        <f aca="false">IF($A24="","",IFERROR(COUNTIFS(A$2:A24,"&lt;&gt;",L$2:L24,"达标",WEEKNUM(A$2:A24,2),WEEKNUM(A24,2)),0))</f>
        <v/>
      </c>
      <c r="O24" s="100" t="str">
        <f aca="false">IF($A24="","",IF(L24="达标",IF(ROW()=2,1,IF(O23="",1,O23+1)),0))</f>
        <v/>
      </c>
      <c r="P24" s="101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0" t="str">
        <f aca="false">IF($A25="","",IF(B25=0,20,IF(B25=1,15,IF(B25=2,10,IF(B25=3,5,0))))+IF(C25="否",20,0)+IF(D25="是",20,0)+IF(E25=1,20,IF(E25=2,15,IF(E25=3,10,IF(E25=4,5,0))))+IF(F25="否",20,0))</f>
        <v/>
      </c>
      <c r="L25" s="101" t="str">
        <f aca="false">IF($A25="","",IF(K25&gt;=80,"达标","未达标"))</f>
        <v/>
      </c>
      <c r="M25" s="102" t="str">
        <f aca="false">IF($A25="","",IFERROR(AVERAGEIFS(K$2:K25,WEEKNUM(A$2:A25,2),WEEKNUM(A25,2)),K25))</f>
        <v/>
      </c>
      <c r="N25" s="103" t="str">
        <f aca="false">IF($A25="","",IFERROR(COUNTIFS(A$2:A25,"&lt;&gt;",L$2:L25,"达标",WEEKNUM(A$2:A25,2),WEEKNUM(A25,2)),0))</f>
        <v/>
      </c>
      <c r="O25" s="100" t="str">
        <f aca="false">IF($A25="","",IF(L25="达标",IF(ROW()=2,1,IF(O24="",1,O24+1)),0))</f>
        <v/>
      </c>
      <c r="P25" s="101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100" t="str">
        <f aca="false">IF($A26="","",IF(B26=0,20,IF(B26=1,15,IF(B26=2,10,IF(B26=3,5,0))))+IF(C26="否",20,0)+IF(D26="是",20,0)+IF(E26=1,20,IF(E26=2,15,IF(E26=3,10,IF(E26=4,5,0))))+IF(F26="否",20,0))</f>
        <v/>
      </c>
      <c r="L26" s="101" t="str">
        <f aca="false">IF($A26="","",IF(K26&gt;=80,"达标","未达标"))</f>
        <v/>
      </c>
      <c r="M26" s="102" t="str">
        <f aca="false">IF($A26="","",IFERROR(AVERAGEIFS(K$2:K26,WEEKNUM(A$2:A26,2),WEEKNUM(A26,2)),K26))</f>
        <v/>
      </c>
      <c r="N26" s="103" t="str">
        <f aca="false">IF($A26="","",IFERROR(COUNTIFS(A$2:A26,"&lt;&gt;",L$2:L26,"达标",WEEKNUM(A$2:A26,2),WEEKNUM(A26,2)),0))</f>
        <v/>
      </c>
      <c r="O26" s="100" t="str">
        <f aca="false">IF($A26="","",IF(L26="达标",IF(ROW()=2,1,IF(O25="",1,O25+1)),0))</f>
        <v/>
      </c>
      <c r="P26" s="101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0" t="str">
        <f aca="false">IF($A27="","",IF(B27=0,20,IF(B27=1,15,IF(B27=2,10,IF(B27=3,5,0))))+IF(C27="否",20,0)+IF(D27="是",20,0)+IF(E27=1,20,IF(E27=2,15,IF(E27=3,10,IF(E27=4,5,0))))+IF(F27="否",20,0))</f>
        <v/>
      </c>
      <c r="L27" s="101" t="str">
        <f aca="false">IF($A27="","",IF(K27&gt;=80,"达标","未达标"))</f>
        <v/>
      </c>
      <c r="M27" s="102" t="str">
        <f aca="false">IF($A27="","",IFERROR(AVERAGEIFS(K$2:K27,WEEKNUM(A$2:A27,2),WEEKNUM(A27,2)),K27))</f>
        <v/>
      </c>
      <c r="N27" s="103" t="str">
        <f aca="false">IF($A27="","",IFERROR(COUNTIFS(A$2:A27,"&lt;&gt;",L$2:L27,"达标",WEEKNUM(A$2:A27,2),WEEKNUM(A27,2)),0))</f>
        <v/>
      </c>
      <c r="O27" s="100" t="str">
        <f aca="false">IF($A27="","",IF(L27="达标",IF(ROW()=2,1,IF(O26="",1,O26+1)),0))</f>
        <v/>
      </c>
      <c r="P27" s="101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100" t="str">
        <f aca="false">IF($A28="","",IF(B28=0,20,IF(B28=1,15,IF(B28=2,10,IF(B28=3,5,0))))+IF(C28="否",20,0)+IF(D28="是",20,0)+IF(E28=1,20,IF(E28=2,15,IF(E28=3,10,IF(E28=4,5,0))))+IF(F28="否",20,0))</f>
        <v/>
      </c>
      <c r="L28" s="101" t="str">
        <f aca="false">IF($A28="","",IF(K28&gt;=80,"达标","未达标"))</f>
        <v/>
      </c>
      <c r="M28" s="102" t="str">
        <f aca="false">IF($A28="","",IFERROR(AVERAGEIFS(K$2:K28,WEEKNUM(A$2:A28,2),WEEKNUM(A28,2)),K28))</f>
        <v/>
      </c>
      <c r="N28" s="103" t="str">
        <f aca="false">IF($A28="","",IFERROR(COUNTIFS(A$2:A28,"&lt;&gt;",L$2:L28,"达标",WEEKNUM(A$2:A28,2),WEEKNUM(A28,2)),0))</f>
        <v/>
      </c>
      <c r="O28" s="100" t="str">
        <f aca="false">IF($A28="","",IF(L28="达标",IF(ROW()=2,1,IF(O27="",1,O27+1)),0))</f>
        <v/>
      </c>
      <c r="P28" s="101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0" t="str">
        <f aca="false">IF($A29="","",IF(B29=0,20,IF(B29=1,15,IF(B29=2,10,IF(B29=3,5,0))))+IF(C29="否",20,0)+IF(D29="是",20,0)+IF(E29=1,20,IF(E29=2,15,IF(E29=3,10,IF(E29=4,5,0))))+IF(F29="否",20,0))</f>
        <v/>
      </c>
      <c r="L29" s="101" t="str">
        <f aca="false">IF($A29="","",IF(K29&gt;=80,"达标","未达标"))</f>
        <v/>
      </c>
      <c r="M29" s="102" t="str">
        <f aca="false">IF($A29="","",IFERROR(AVERAGEIFS(K$2:K29,WEEKNUM(A$2:A29,2),WEEKNUM(A29,2)),K29))</f>
        <v/>
      </c>
      <c r="N29" s="103" t="str">
        <f aca="false">IF($A29="","",IFERROR(COUNTIFS(A$2:A29,"&lt;&gt;",L$2:L29,"达标",WEEKNUM(A$2:A29,2),WEEKNUM(A29,2)),0))</f>
        <v/>
      </c>
      <c r="O29" s="100" t="str">
        <f aca="false">IF($A29="","",IF(L29="达标",IF(ROW()=2,1,IF(O28="",1,O28+1)),0))</f>
        <v/>
      </c>
      <c r="P29" s="101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100" t="str">
        <f aca="false">IF($A30="","",IF(B30=0,20,IF(B30=1,15,IF(B30=2,10,IF(B30=3,5,0))))+IF(C30="否",20,0)+IF(D30="是",20,0)+IF(E30=1,20,IF(E30=2,15,IF(E30=3,10,IF(E30=4,5,0))))+IF(F30="否",20,0))</f>
        <v/>
      </c>
      <c r="L30" s="101" t="str">
        <f aca="false">IF($A30="","",IF(K30&gt;=80,"达标","未达标"))</f>
        <v/>
      </c>
      <c r="M30" s="102" t="str">
        <f aca="false">IF($A30="","",IFERROR(AVERAGEIFS(K$2:K30,WEEKNUM(A$2:A30,2),WEEKNUM(A30,2)),K30))</f>
        <v/>
      </c>
      <c r="N30" s="103" t="str">
        <f aca="false">IF($A30="","",IFERROR(COUNTIFS(A$2:A30,"&lt;&gt;",L$2:L30,"达标",WEEKNUM(A$2:A30,2),WEEKNUM(A30,2)),0))</f>
        <v/>
      </c>
      <c r="O30" s="100" t="str">
        <f aca="false">IF($A30="","",IF(L30="达标",IF(ROW()=2,1,IF(O29="",1,O29+1)),0))</f>
        <v/>
      </c>
      <c r="P30" s="101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0" t="str">
        <f aca="false">IF($A31="","",IF(B31=0,20,IF(B31=1,15,IF(B31=2,10,IF(B31=3,5,0))))+IF(C31="否",20,0)+IF(D31="是",20,0)+IF(E31=1,20,IF(E31=2,15,IF(E31=3,10,IF(E31=4,5,0))))+IF(F31="否",20,0))</f>
        <v/>
      </c>
      <c r="L31" s="101" t="str">
        <f aca="false">IF($A31="","",IF(K31&gt;=80,"达标","未达标"))</f>
        <v/>
      </c>
      <c r="M31" s="102" t="str">
        <f aca="false">IF($A31="","",IFERROR(AVERAGEIFS(K$2:K31,WEEKNUM(A$2:A31,2),WEEKNUM(A31,2)),K31))</f>
        <v/>
      </c>
      <c r="N31" s="103" t="str">
        <f aca="false">IF($A31="","",IFERROR(COUNTIFS(A$2:A31,"&lt;&gt;",L$2:L31,"达标",WEEKNUM(A$2:A31,2),WEEKNUM(A31,2)),0))</f>
        <v/>
      </c>
      <c r="O31" s="100" t="str">
        <f aca="false">IF($A31="","",IF(L31="达标",IF(ROW()=2,1,IF(O30="",1,O30+1)),0))</f>
        <v/>
      </c>
      <c r="P31" s="101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100" t="str">
        <f aca="false">IF($A32="","",IF(B32=0,20,IF(B32=1,15,IF(B32=2,10,IF(B32=3,5,0))))+IF(C32="否",20,0)+IF(D32="是",20,0)+IF(E32=1,20,IF(E32=2,15,IF(E32=3,10,IF(E32=4,5,0))))+IF(F32="否",20,0))</f>
        <v/>
      </c>
      <c r="L32" s="101" t="str">
        <f aca="false">IF($A32="","",IF(K32&gt;=80,"达标","未达标"))</f>
        <v/>
      </c>
      <c r="M32" s="102" t="str">
        <f aca="false">IF($A32="","",IFERROR(AVERAGEIFS(K$2:K32,WEEKNUM(A$2:A32,2),WEEKNUM(A32,2)),K32))</f>
        <v/>
      </c>
      <c r="N32" s="103" t="str">
        <f aca="false">IF($A32="","",IFERROR(COUNTIFS(A$2:A32,"&lt;&gt;",L$2:L32,"达标",WEEKNUM(A$2:A32,2),WEEKNUM(A32,2)),0))</f>
        <v/>
      </c>
      <c r="O32" s="100" t="str">
        <f aca="false">IF($A32="","",IF(L32="达标",IF(ROW()=2,1,IF(O31="",1,O31+1)),0))</f>
        <v/>
      </c>
      <c r="P32" s="101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0" t="str">
        <f aca="false">IF($A33="","",IF(B33=0,20,IF(B33=1,15,IF(B33=2,10,IF(B33=3,5,0))))+IF(C33="否",20,0)+IF(D33="是",20,0)+IF(E33=1,20,IF(E33=2,15,IF(E33=3,10,IF(E33=4,5,0))))+IF(F33="否",20,0))</f>
        <v/>
      </c>
      <c r="L33" s="101" t="str">
        <f aca="false">IF($A33="","",IF(K33&gt;=80,"达标","未达标"))</f>
        <v/>
      </c>
      <c r="M33" s="102" t="str">
        <f aca="false">IF($A33="","",IFERROR(AVERAGEIFS(K$2:K33,WEEKNUM(A$2:A33,2),WEEKNUM(A33,2)),K33))</f>
        <v/>
      </c>
      <c r="N33" s="103" t="str">
        <f aca="false">IF($A33="","",IFERROR(COUNTIFS(A$2:A33,"&lt;&gt;",L$2:L33,"达标",WEEKNUM(A$2:A33,2),WEEKNUM(A33,2)),0))</f>
        <v/>
      </c>
      <c r="O33" s="100" t="str">
        <f aca="false">IF($A33="","",IF(L33="达标",IF(ROW()=2,1,IF(O32="",1,O32+1)),0))</f>
        <v/>
      </c>
      <c r="P33" s="101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100" t="str">
        <f aca="false">IF($A34="","",IF(B34=0,20,IF(B34=1,15,IF(B34=2,10,IF(B34=3,5,0))))+IF(C34="否",20,0)+IF(D34="是",20,0)+IF(E34=1,20,IF(E34=2,15,IF(E34=3,10,IF(E34=4,5,0))))+IF(F34="否",20,0))</f>
        <v/>
      </c>
      <c r="L34" s="101" t="str">
        <f aca="false">IF($A34="","",IF(K34&gt;=80,"达标","未达标"))</f>
        <v/>
      </c>
      <c r="M34" s="102" t="str">
        <f aca="false">IF($A34="","",IFERROR(AVERAGEIFS(K$2:K34,WEEKNUM(A$2:A34,2),WEEKNUM(A34,2)),K34))</f>
        <v/>
      </c>
      <c r="N34" s="103" t="str">
        <f aca="false">IF($A34="","",IFERROR(COUNTIFS(A$2:A34,"&lt;&gt;",L$2:L34,"达标",WEEKNUM(A$2:A34,2),WEEKNUM(A34,2)),0))</f>
        <v/>
      </c>
      <c r="O34" s="100" t="str">
        <f aca="false">IF($A34="","",IF(L34="达标",IF(ROW()=2,1,IF(O33="",1,O33+1)),0))</f>
        <v/>
      </c>
      <c r="P34" s="101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0" t="str">
        <f aca="false">IF($A35="","",IF(B35=0,20,IF(B35=1,15,IF(B35=2,10,IF(B35=3,5,0))))+IF(C35="否",20,0)+IF(D35="是",20,0)+IF(E35=1,20,IF(E35=2,15,IF(E35=3,10,IF(E35=4,5,0))))+IF(F35="否",20,0))</f>
        <v/>
      </c>
      <c r="L35" s="101" t="str">
        <f aca="false">IF($A35="","",IF(K35&gt;=80,"达标","未达标"))</f>
        <v/>
      </c>
      <c r="M35" s="102" t="str">
        <f aca="false">IF($A35="","",IFERROR(AVERAGEIFS(K$2:K35,WEEKNUM(A$2:A35,2),WEEKNUM(A35,2)),K35))</f>
        <v/>
      </c>
      <c r="N35" s="103" t="str">
        <f aca="false">IF($A35="","",IFERROR(COUNTIFS(A$2:A35,"&lt;&gt;",L$2:L35,"达标",WEEKNUM(A$2:A35,2),WEEKNUM(A35,2)),0))</f>
        <v/>
      </c>
      <c r="O35" s="100" t="str">
        <f aca="false">IF($A35="","",IF(L35="达标",IF(ROW()=2,1,IF(O34="",1,O34+1)),0))</f>
        <v/>
      </c>
      <c r="P35" s="101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100" t="str">
        <f aca="false">IF($A36="","",IF(B36=0,20,IF(B36=1,15,IF(B36=2,10,IF(B36=3,5,0))))+IF(C36="否",20,0)+IF(D36="是",20,0)+IF(E36=1,20,IF(E36=2,15,IF(E36=3,10,IF(E36=4,5,0))))+IF(F36="否",20,0))</f>
        <v/>
      </c>
      <c r="L36" s="101" t="str">
        <f aca="false">IF($A36="","",IF(K36&gt;=80,"达标","未达标"))</f>
        <v/>
      </c>
      <c r="M36" s="102" t="str">
        <f aca="false">IF($A36="","",IFERROR(AVERAGEIFS(K$2:K36,WEEKNUM(A$2:A36,2),WEEKNUM(A36,2)),K36))</f>
        <v/>
      </c>
      <c r="N36" s="103" t="str">
        <f aca="false">IF($A36="","",IFERROR(COUNTIFS(A$2:A36,"&lt;&gt;",L$2:L36,"达标",WEEKNUM(A$2:A36,2),WEEKNUM(A36,2)),0))</f>
        <v/>
      </c>
      <c r="O36" s="100" t="str">
        <f aca="false">IF($A36="","",IF(L36="达标",IF(ROW()=2,1,IF(O35="",1,O35+1)),0))</f>
        <v/>
      </c>
      <c r="P36" s="101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0" t="str">
        <f aca="false">IF($A37="","",IF(B37=0,20,IF(B37=1,15,IF(B37=2,10,IF(B37=3,5,0))))+IF(C37="否",20,0)+IF(D37="是",20,0)+IF(E37=1,20,IF(E37=2,15,IF(E37=3,10,IF(E37=4,5,0))))+IF(F37="否",20,0))</f>
        <v/>
      </c>
      <c r="L37" s="101" t="str">
        <f aca="false">IF($A37="","",IF(K37&gt;=80,"达标","未达标"))</f>
        <v/>
      </c>
      <c r="M37" s="102" t="str">
        <f aca="false">IF($A37="","",IFERROR(AVERAGEIFS(K$2:K37,WEEKNUM(A$2:A37,2),WEEKNUM(A37,2)),K37))</f>
        <v/>
      </c>
      <c r="N37" s="103" t="str">
        <f aca="false">IF($A37="","",IFERROR(COUNTIFS(A$2:A37,"&lt;&gt;",L$2:L37,"达标",WEEKNUM(A$2:A37,2),WEEKNUM(A37,2)),0))</f>
        <v/>
      </c>
      <c r="O37" s="100" t="str">
        <f aca="false">IF($A37="","",IF(L37="达标",IF(ROW()=2,1,IF(O36="",1,O36+1)),0))</f>
        <v/>
      </c>
      <c r="P37" s="101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100" t="str">
        <f aca="false">IF($A38="","",IF(B38=0,20,IF(B38=1,15,IF(B38=2,10,IF(B38=3,5,0))))+IF(C38="否",20,0)+IF(D38="是",20,0)+IF(E38=1,20,IF(E38=2,15,IF(E38=3,10,IF(E38=4,5,0))))+IF(F38="否",20,0))</f>
        <v/>
      </c>
      <c r="L38" s="101" t="str">
        <f aca="false">IF($A38="","",IF(K38&gt;=80,"达标","未达标"))</f>
        <v/>
      </c>
      <c r="M38" s="102" t="str">
        <f aca="false">IF($A38="","",IFERROR(AVERAGEIFS(K$2:K38,WEEKNUM(A$2:A38,2),WEEKNUM(A38,2)),K38))</f>
        <v/>
      </c>
      <c r="N38" s="103" t="str">
        <f aca="false">IF($A38="","",IFERROR(COUNTIFS(A$2:A38,"&lt;&gt;",L$2:L38,"达标",WEEKNUM(A$2:A38,2),WEEKNUM(A38,2)),0))</f>
        <v/>
      </c>
      <c r="O38" s="100" t="str">
        <f aca="false">IF($A38="","",IF(L38="达标",IF(ROW()=2,1,IF(O37="",1,O37+1)),0))</f>
        <v/>
      </c>
      <c r="P38" s="101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0" t="str">
        <f aca="false">IF($A39="","",IF(B39=0,20,IF(B39=1,15,IF(B39=2,10,IF(B39=3,5,0))))+IF(C39="否",20,0)+IF(D39="是",20,0)+IF(E39=1,20,IF(E39=2,15,IF(E39=3,10,IF(E39=4,5,0))))+IF(F39="否",20,0))</f>
        <v/>
      </c>
      <c r="L39" s="101" t="str">
        <f aca="false">IF($A39="","",IF(K39&gt;=80,"达标","未达标"))</f>
        <v/>
      </c>
      <c r="M39" s="102" t="str">
        <f aca="false">IF($A39="","",IFERROR(AVERAGEIFS(K$2:K39,WEEKNUM(A$2:A39,2),WEEKNUM(A39,2)),K39))</f>
        <v/>
      </c>
      <c r="N39" s="103" t="str">
        <f aca="false">IF($A39="","",IFERROR(COUNTIFS(A$2:A39,"&lt;&gt;",L$2:L39,"达标",WEEKNUM(A$2:A39,2),WEEKNUM(A39,2)),0))</f>
        <v/>
      </c>
      <c r="O39" s="100" t="str">
        <f aca="false">IF($A39="","",IF(L39="达标",IF(ROW()=2,1,IF(O38="",1,O38+1)),0))</f>
        <v/>
      </c>
      <c r="P39" s="101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100" t="str">
        <f aca="false">IF($A40="","",IF(B40=0,20,IF(B40=1,15,IF(B40=2,10,IF(B40=3,5,0))))+IF(C40="否",20,0)+IF(D40="是",20,0)+IF(E40=1,20,IF(E40=2,15,IF(E40=3,10,IF(E40=4,5,0))))+IF(F40="否",20,0))</f>
        <v/>
      </c>
      <c r="L40" s="101" t="str">
        <f aca="false">IF($A40="","",IF(K40&gt;=80,"达标","未达标"))</f>
        <v/>
      </c>
      <c r="M40" s="102" t="str">
        <f aca="false">IF($A40="","",IFERROR(AVERAGEIFS(K$2:K40,WEEKNUM(A$2:A40,2),WEEKNUM(A40,2)),K40))</f>
        <v/>
      </c>
      <c r="N40" s="103" t="str">
        <f aca="false">IF($A40="","",IFERROR(COUNTIFS(A$2:A40,"&lt;&gt;",L$2:L40,"达标",WEEKNUM(A$2:A40,2),WEEKNUM(A40,2)),0))</f>
        <v/>
      </c>
      <c r="O40" s="100" t="str">
        <f aca="false">IF($A40="","",IF(L40="达标",IF(ROW()=2,1,IF(O39="",1,O39+1)),0))</f>
        <v/>
      </c>
      <c r="P40" s="101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0" t="str">
        <f aca="false">IF($A41="","",IF(B41=0,20,IF(B41=1,15,IF(B41=2,10,IF(B41=3,5,0))))+IF(C41="否",20,0)+IF(D41="是",20,0)+IF(E41=1,20,IF(E41=2,15,IF(E41=3,10,IF(E41=4,5,0))))+IF(F41="否",20,0))</f>
        <v/>
      </c>
      <c r="L41" s="101" t="str">
        <f aca="false">IF($A41="","",IF(K41&gt;=80,"达标","未达标"))</f>
        <v/>
      </c>
      <c r="M41" s="102" t="str">
        <f aca="false">IF($A41="","",IFERROR(AVERAGEIFS(K$2:K41,WEEKNUM(A$2:A41,2),WEEKNUM(A41,2)),K41))</f>
        <v/>
      </c>
      <c r="N41" s="103" t="str">
        <f aca="false">IF($A41="","",IFERROR(COUNTIFS(A$2:A41,"&lt;&gt;",L$2:L41,"达标",WEEKNUM(A$2:A41,2),WEEKNUM(A41,2)),0))</f>
        <v/>
      </c>
      <c r="O41" s="100" t="str">
        <f aca="false">IF($A41="","",IF(L41="达标",IF(ROW()=2,1,IF(O40="",1,O40+1)),0))</f>
        <v/>
      </c>
      <c r="P41" s="101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100" t="str">
        <f aca="false">IF($A42="","",IF(B42=0,20,IF(B42=1,15,IF(B42=2,10,IF(B42=3,5,0))))+IF(C42="否",20,0)+IF(D42="是",20,0)+IF(E42=1,20,IF(E42=2,15,IF(E42=3,10,IF(E42=4,5,0))))+IF(F42="否",20,0))</f>
        <v/>
      </c>
      <c r="L42" s="101" t="str">
        <f aca="false">IF($A42="","",IF(K42&gt;=80,"达标","未达标"))</f>
        <v/>
      </c>
      <c r="M42" s="102" t="str">
        <f aca="false">IF($A42="","",IFERROR(AVERAGEIFS(K$2:K42,WEEKNUM(A$2:A42,2),WEEKNUM(A42,2)),K42))</f>
        <v/>
      </c>
      <c r="N42" s="103" t="str">
        <f aca="false">IF($A42="","",IFERROR(COUNTIFS(A$2:A42,"&lt;&gt;",L$2:L42,"达标",WEEKNUM(A$2:A42,2),WEEKNUM(A42,2)),0))</f>
        <v/>
      </c>
      <c r="O42" s="100" t="str">
        <f aca="false">IF($A42="","",IF(L42="达标",IF(ROW()=2,1,IF(O41="",1,O41+1)),0))</f>
        <v/>
      </c>
      <c r="P42" s="101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0" t="str">
        <f aca="false">IF($A43="","",IF(B43=0,20,IF(B43=1,15,IF(B43=2,10,IF(B43=3,5,0))))+IF(C43="否",20,0)+IF(D43="是",20,0)+IF(E43=1,20,IF(E43=2,15,IF(E43=3,10,IF(E43=4,5,0))))+IF(F43="否",20,0))</f>
        <v/>
      </c>
      <c r="L43" s="101" t="str">
        <f aca="false">IF($A43="","",IF(K43&gt;=80,"达标","未达标"))</f>
        <v/>
      </c>
      <c r="M43" s="102" t="str">
        <f aca="false">IF($A43="","",IFERROR(AVERAGEIFS(K$2:K43,WEEKNUM(A$2:A43,2),WEEKNUM(A43,2)),K43))</f>
        <v/>
      </c>
      <c r="N43" s="103" t="str">
        <f aca="false">IF($A43="","",IFERROR(COUNTIFS(A$2:A43,"&lt;&gt;",L$2:L43,"达标",WEEKNUM(A$2:A43,2),WEEKNUM(A43,2)),0))</f>
        <v/>
      </c>
      <c r="O43" s="100" t="str">
        <f aca="false">IF($A43="","",IF(L43="达标",IF(ROW()=2,1,IF(O42="",1,O42+1)),0))</f>
        <v/>
      </c>
      <c r="P43" s="101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100" t="str">
        <f aca="false">IF($A44="","",IF(B44=0,20,IF(B44=1,15,IF(B44=2,10,IF(B44=3,5,0))))+IF(C44="否",20,0)+IF(D44="是",20,0)+IF(E44=1,20,IF(E44=2,15,IF(E44=3,10,IF(E44=4,5,0))))+IF(F44="否",20,0))</f>
        <v/>
      </c>
      <c r="L44" s="101" t="str">
        <f aca="false">IF($A44="","",IF(K44&gt;=80,"达标","未达标"))</f>
        <v/>
      </c>
      <c r="M44" s="102" t="str">
        <f aca="false">IF($A44="","",IFERROR(AVERAGEIFS(K$2:K44,WEEKNUM(A$2:A44,2),WEEKNUM(A44,2)),K44))</f>
        <v/>
      </c>
      <c r="N44" s="103" t="str">
        <f aca="false">IF($A44="","",IFERROR(COUNTIFS(A$2:A44,"&lt;&gt;",L$2:L44,"达标",WEEKNUM(A$2:A44,2),WEEKNUM(A44,2)),0))</f>
        <v/>
      </c>
      <c r="O44" s="100" t="str">
        <f aca="false">IF($A44="","",IF(L44="达标",IF(ROW()=2,1,IF(O43="",1,O43+1)),0))</f>
        <v/>
      </c>
      <c r="P44" s="101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0" t="str">
        <f aca="false">IF($A45="","",IF(B45=0,20,IF(B45=1,15,IF(B45=2,10,IF(B45=3,5,0))))+IF(C45="否",20,0)+IF(D45="是",20,0)+IF(E45=1,20,IF(E45=2,15,IF(E45=3,10,IF(E45=4,5,0))))+IF(F45="否",20,0))</f>
        <v/>
      </c>
      <c r="L45" s="101" t="str">
        <f aca="false">IF($A45="","",IF(K45&gt;=80,"达标","未达标"))</f>
        <v/>
      </c>
      <c r="M45" s="102" t="str">
        <f aca="false">IF($A45="","",IFERROR(AVERAGEIFS(K$2:K45,WEEKNUM(A$2:A45,2),WEEKNUM(A45,2)),K45))</f>
        <v/>
      </c>
      <c r="N45" s="103" t="str">
        <f aca="false">IF($A45="","",IFERROR(COUNTIFS(A$2:A45,"&lt;&gt;",L$2:L45,"达标",WEEKNUM(A$2:A45,2),WEEKNUM(A45,2)),0))</f>
        <v/>
      </c>
      <c r="O45" s="100" t="str">
        <f aca="false">IF($A45="","",IF(L45="达标",IF(ROW()=2,1,IF(O44="",1,O44+1)),0))</f>
        <v/>
      </c>
      <c r="P45" s="101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100" t="str">
        <f aca="false">IF($A46="","",IF(B46=0,20,IF(B46=1,15,IF(B46=2,10,IF(B46=3,5,0))))+IF(C46="否",20,0)+IF(D46="是",20,0)+IF(E46=1,20,IF(E46=2,15,IF(E46=3,10,IF(E46=4,5,0))))+IF(F46="否",20,0))</f>
        <v/>
      </c>
      <c r="L46" s="101" t="str">
        <f aca="false">IF($A46="","",IF(K46&gt;=80,"达标","未达标"))</f>
        <v/>
      </c>
      <c r="M46" s="102" t="str">
        <f aca="false">IF($A46="","",IFERROR(AVERAGEIFS(K$2:K46,WEEKNUM(A$2:A46,2),WEEKNUM(A46,2)),K46))</f>
        <v/>
      </c>
      <c r="N46" s="103" t="str">
        <f aca="false">IF($A46="","",IFERROR(COUNTIFS(A$2:A46,"&lt;&gt;",L$2:L46,"达标",WEEKNUM(A$2:A46,2),WEEKNUM(A46,2)),0))</f>
        <v/>
      </c>
      <c r="O46" s="100" t="str">
        <f aca="false">IF($A46="","",IF(L46="达标",IF(ROW()=2,1,IF(O45="",1,O45+1)),0))</f>
        <v/>
      </c>
      <c r="P46" s="101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0" t="str">
        <f aca="false">IF($A47="","",IF(B47=0,20,IF(B47=1,15,IF(B47=2,10,IF(B47=3,5,0))))+IF(C47="否",20,0)+IF(D47="是",20,0)+IF(E47=1,20,IF(E47=2,15,IF(E47=3,10,IF(E47=4,5,0))))+IF(F47="否",20,0))</f>
        <v/>
      </c>
      <c r="L47" s="101" t="str">
        <f aca="false">IF($A47="","",IF(K47&gt;=80,"达标","未达标"))</f>
        <v/>
      </c>
      <c r="M47" s="102" t="str">
        <f aca="false">IF($A47="","",IFERROR(AVERAGEIFS(K$2:K47,WEEKNUM(A$2:A47,2),WEEKNUM(A47,2)),K47))</f>
        <v/>
      </c>
      <c r="N47" s="103" t="str">
        <f aca="false">IF($A47="","",IFERROR(COUNTIFS(A$2:A47,"&lt;&gt;",L$2:L47,"达标",WEEKNUM(A$2:A47,2),WEEKNUM(A47,2)),0))</f>
        <v/>
      </c>
      <c r="O47" s="100" t="str">
        <f aca="false">IF($A47="","",IF(L47="达标",IF(ROW()=2,1,IF(O46="",1,O46+1)),0))</f>
        <v/>
      </c>
      <c r="P47" s="101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100" t="str">
        <f aca="false">IF($A48="","",IF(B48=0,20,IF(B48=1,15,IF(B48=2,10,IF(B48=3,5,0))))+IF(C48="否",20,0)+IF(D48="是",20,0)+IF(E48=1,20,IF(E48=2,15,IF(E48=3,10,IF(E48=4,5,0))))+IF(F48="否",20,0))</f>
        <v/>
      </c>
      <c r="L48" s="101" t="str">
        <f aca="false">IF($A48="","",IF(K48&gt;=80,"达标","未达标"))</f>
        <v/>
      </c>
      <c r="M48" s="102" t="str">
        <f aca="false">IF($A48="","",IFERROR(AVERAGEIFS(K$2:K48,WEEKNUM(A$2:A48,2),WEEKNUM(A48,2)),K48))</f>
        <v/>
      </c>
      <c r="N48" s="103" t="str">
        <f aca="false">IF($A48="","",IFERROR(COUNTIFS(A$2:A48,"&lt;&gt;",L$2:L48,"达标",WEEKNUM(A$2:A48,2),WEEKNUM(A48,2)),0))</f>
        <v/>
      </c>
      <c r="O48" s="100" t="str">
        <f aca="false">IF($A48="","",IF(L48="达标",IF(ROW()=2,1,IF(O47="",1,O47+1)),0))</f>
        <v/>
      </c>
      <c r="P48" s="101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0" t="str">
        <f aca="false">IF($A49="","",IF(B49=0,20,IF(B49=1,15,IF(B49=2,10,IF(B49=3,5,0))))+IF(C49="否",20,0)+IF(D49="是",20,0)+IF(E49=1,20,IF(E49=2,15,IF(E49=3,10,IF(E49=4,5,0))))+IF(F49="否",20,0))</f>
        <v/>
      </c>
      <c r="L49" s="101" t="str">
        <f aca="false">IF($A49="","",IF(K49&gt;=80,"达标","未达标"))</f>
        <v/>
      </c>
      <c r="M49" s="102" t="str">
        <f aca="false">IF($A49="","",IFERROR(AVERAGEIFS(K$2:K49,WEEKNUM(A$2:A49,2),WEEKNUM(A49,2)),K49))</f>
        <v/>
      </c>
      <c r="N49" s="103" t="str">
        <f aca="false">IF($A49="","",IFERROR(COUNTIFS(A$2:A49,"&lt;&gt;",L$2:L49,"达标",WEEKNUM(A$2:A49,2),WEEKNUM(A49,2)),0))</f>
        <v/>
      </c>
      <c r="O49" s="100" t="str">
        <f aca="false">IF($A49="","",IF(L49="达标",IF(ROW()=2,1,IF(O48="",1,O48+1)),0))</f>
        <v/>
      </c>
      <c r="P49" s="101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100" t="str">
        <f aca="false">IF($A50="","",IF(B50=0,20,IF(B50=1,15,IF(B50=2,10,IF(B50=3,5,0))))+IF(C50="否",20,0)+IF(D50="是",20,0)+IF(E50=1,20,IF(E50=2,15,IF(E50=3,10,IF(E50=4,5,0))))+IF(F50="否",20,0))</f>
        <v/>
      </c>
      <c r="L50" s="101" t="str">
        <f aca="false">IF($A50="","",IF(K50&gt;=80,"达标","未达标"))</f>
        <v/>
      </c>
      <c r="M50" s="102" t="str">
        <f aca="false">IF($A50="","",IFERROR(AVERAGEIFS(K$2:K50,WEEKNUM(A$2:A50,2),WEEKNUM(A50,2)),K50))</f>
        <v/>
      </c>
      <c r="N50" s="103" t="str">
        <f aca="false">IF($A50="","",IFERROR(COUNTIFS(A$2:A50,"&lt;&gt;",L$2:L50,"达标",WEEKNUM(A$2:A50,2),WEEKNUM(A50,2)),0))</f>
        <v/>
      </c>
      <c r="O50" s="100" t="str">
        <f aca="false">IF($A50="","",IF(L50="达标",IF(ROW()=2,1,IF(O49="",1,O49+1)),0))</f>
        <v/>
      </c>
      <c r="P50" s="101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0" t="str">
        <f aca="false">IF($A51="","",IF(B51=0,20,IF(B51=1,15,IF(B51=2,10,IF(B51=3,5,0))))+IF(C51="否",20,0)+IF(D51="是",20,0)+IF(E51=1,20,IF(E51=2,15,IF(E51=3,10,IF(E51=4,5,0))))+IF(F51="否",20,0))</f>
        <v/>
      </c>
      <c r="L51" s="101" t="str">
        <f aca="false">IF($A51="","",IF(K51&gt;=80,"达标","未达标"))</f>
        <v/>
      </c>
      <c r="M51" s="102" t="str">
        <f aca="false">IF($A51="","",IFERROR(AVERAGEIFS(K$2:K51,WEEKNUM(A$2:A51,2),WEEKNUM(A51,2)),K51))</f>
        <v/>
      </c>
      <c r="N51" s="103" t="str">
        <f aca="false">IF($A51="","",IFERROR(COUNTIFS(A$2:A51,"&lt;&gt;",L$2:L51,"达标",WEEKNUM(A$2:A51,2),WEEKNUM(A51,2)),0))</f>
        <v/>
      </c>
      <c r="O51" s="100" t="str">
        <f aca="false">IF($A51="","",IF(L51="达标",IF(ROW()=2,1,IF(O50="",1,O50+1)),0))</f>
        <v/>
      </c>
      <c r="P51" s="101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100" t="str">
        <f aca="false">IF($A52="","",IF(B52=0,20,IF(B52=1,15,IF(B52=2,10,IF(B52=3,5,0))))+IF(C52="否",20,0)+IF(D52="是",20,0)+IF(E52=1,20,IF(E52=2,15,IF(E52=3,10,IF(E52=4,5,0))))+IF(F52="否",20,0))</f>
        <v/>
      </c>
      <c r="L52" s="101" t="str">
        <f aca="false">IF($A52="","",IF(K52&gt;=80,"达标","未达标"))</f>
        <v/>
      </c>
      <c r="M52" s="102" t="str">
        <f aca="false">IF($A52="","",IFERROR(AVERAGEIFS(K$2:K52,WEEKNUM(A$2:A52,2),WEEKNUM(A52,2)),K52))</f>
        <v/>
      </c>
      <c r="N52" s="103" t="str">
        <f aca="false">IF($A52="","",IFERROR(COUNTIFS(A$2:A52,"&lt;&gt;",L$2:L52,"达标",WEEKNUM(A$2:A52,2),WEEKNUM(A52,2)),0))</f>
        <v/>
      </c>
      <c r="O52" s="100" t="str">
        <f aca="false">IF($A52="","",IF(L52="达标",IF(ROW()=2,1,IF(O51="",1,O51+1)),0))</f>
        <v/>
      </c>
      <c r="P52" s="101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0" t="str">
        <f aca="false">IF($A53="","",IF(B53=0,20,IF(B53=1,15,IF(B53=2,10,IF(B53=3,5,0))))+IF(C53="否",20,0)+IF(D53="是",20,0)+IF(E53=1,20,IF(E53=2,15,IF(E53=3,10,IF(E53=4,5,0))))+IF(F53="否",20,0))</f>
        <v/>
      </c>
      <c r="L53" s="101" t="str">
        <f aca="false">IF($A53="","",IF(K53&gt;=80,"达标","未达标"))</f>
        <v/>
      </c>
      <c r="M53" s="102" t="str">
        <f aca="false">IF($A53="","",IFERROR(AVERAGEIFS(K$2:K53,WEEKNUM(A$2:A53,2),WEEKNUM(A53,2)),K53))</f>
        <v/>
      </c>
      <c r="N53" s="103" t="str">
        <f aca="false">IF($A53="","",IFERROR(COUNTIFS(A$2:A53,"&lt;&gt;",L$2:L53,"达标",WEEKNUM(A$2:A53,2),WEEKNUM(A53,2)),0))</f>
        <v/>
      </c>
      <c r="O53" s="100" t="str">
        <f aca="false">IF($A53="","",IF(L53="达标",IF(ROW()=2,1,IF(O52="",1,O52+1)),0))</f>
        <v/>
      </c>
      <c r="P53" s="101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100" t="str">
        <f aca="false">IF($A54="","",IF(B54=0,20,IF(B54=1,15,IF(B54=2,10,IF(B54=3,5,0))))+IF(C54="否",20,0)+IF(D54="是",20,0)+IF(E54=1,20,IF(E54=2,15,IF(E54=3,10,IF(E54=4,5,0))))+IF(F54="否",20,0))</f>
        <v/>
      </c>
      <c r="L54" s="101" t="str">
        <f aca="false">IF($A54="","",IF(K54&gt;=80,"达标","未达标"))</f>
        <v/>
      </c>
      <c r="M54" s="102" t="str">
        <f aca="false">IF($A54="","",IFERROR(AVERAGEIFS(K$2:K54,WEEKNUM(A$2:A54,2),WEEKNUM(A54,2)),K54))</f>
        <v/>
      </c>
      <c r="N54" s="103" t="str">
        <f aca="false">IF($A54="","",IFERROR(COUNTIFS(A$2:A54,"&lt;&gt;",L$2:L54,"达标",WEEKNUM(A$2:A54,2),WEEKNUM(A54,2)),0))</f>
        <v/>
      </c>
      <c r="O54" s="100" t="str">
        <f aca="false">IF($A54="","",IF(L54="达标",IF(ROW()=2,1,IF(O53="",1,O53+1)),0))</f>
        <v/>
      </c>
      <c r="P54" s="101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0" t="str">
        <f aca="false">IF($A55="","",IF(B55=0,20,IF(B55=1,15,IF(B55=2,10,IF(B55=3,5,0))))+IF(C55="否",20,0)+IF(D55="是",20,0)+IF(E55=1,20,IF(E55=2,15,IF(E55=3,10,IF(E55=4,5,0))))+IF(F55="否",20,0))</f>
        <v/>
      </c>
      <c r="L55" s="101" t="str">
        <f aca="false">IF($A55="","",IF(K55&gt;=80,"达标","未达标"))</f>
        <v/>
      </c>
      <c r="M55" s="102" t="str">
        <f aca="false">IF($A55="","",IFERROR(AVERAGEIFS(K$2:K55,WEEKNUM(A$2:A55,2),WEEKNUM(A55,2)),K55))</f>
        <v/>
      </c>
      <c r="N55" s="103" t="str">
        <f aca="false">IF($A55="","",IFERROR(COUNTIFS(A$2:A55,"&lt;&gt;",L$2:L55,"达标",WEEKNUM(A$2:A55,2),WEEKNUM(A55,2)),0))</f>
        <v/>
      </c>
      <c r="O55" s="100" t="str">
        <f aca="false">IF($A55="","",IF(L55="达标",IF(ROW()=2,1,IF(O54="",1,O54+1)),0))</f>
        <v/>
      </c>
      <c r="P55" s="101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100" t="str">
        <f aca="false">IF($A56="","",IF(B56=0,20,IF(B56=1,15,IF(B56=2,10,IF(B56=3,5,0))))+IF(C56="否",20,0)+IF(D56="是",20,0)+IF(E56=1,20,IF(E56=2,15,IF(E56=3,10,IF(E56=4,5,0))))+IF(F56="否",20,0))</f>
        <v/>
      </c>
      <c r="L56" s="101" t="str">
        <f aca="false">IF($A56="","",IF(K56&gt;=80,"达标","未达标"))</f>
        <v/>
      </c>
      <c r="M56" s="102" t="str">
        <f aca="false">IF($A56="","",IFERROR(AVERAGEIFS(K$2:K56,WEEKNUM(A$2:A56,2),WEEKNUM(A56,2)),K56))</f>
        <v/>
      </c>
      <c r="N56" s="103" t="str">
        <f aca="false">IF($A56="","",IFERROR(COUNTIFS(A$2:A56,"&lt;&gt;",L$2:L56,"达标",WEEKNUM(A$2:A56,2),WEEKNUM(A56,2)),0))</f>
        <v/>
      </c>
      <c r="O56" s="100" t="str">
        <f aca="false">IF($A56="","",IF(L56="达标",IF(ROW()=2,1,IF(O55="",1,O55+1)),0))</f>
        <v/>
      </c>
      <c r="P56" s="101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0" t="str">
        <f aca="false">IF($A57="","",IF(B57=0,20,IF(B57=1,15,IF(B57=2,10,IF(B57=3,5,0))))+IF(C57="否",20,0)+IF(D57="是",20,0)+IF(E57=1,20,IF(E57=2,15,IF(E57=3,10,IF(E57=4,5,0))))+IF(F57="否",20,0))</f>
        <v/>
      </c>
      <c r="L57" s="101" t="str">
        <f aca="false">IF($A57="","",IF(K57&gt;=80,"达标","未达标"))</f>
        <v/>
      </c>
      <c r="M57" s="102" t="str">
        <f aca="false">IF($A57="","",IFERROR(AVERAGEIFS(K$2:K57,WEEKNUM(A$2:A57,2),WEEKNUM(A57,2)),K57))</f>
        <v/>
      </c>
      <c r="N57" s="103" t="str">
        <f aca="false">IF($A57="","",IFERROR(COUNTIFS(A$2:A57,"&lt;&gt;",L$2:L57,"达标",WEEKNUM(A$2:A57,2),WEEKNUM(A57,2)),0))</f>
        <v/>
      </c>
      <c r="O57" s="100" t="str">
        <f aca="false">IF($A57="","",IF(L57="达标",IF(ROW()=2,1,IF(O56="",1,O56+1)),0))</f>
        <v/>
      </c>
      <c r="P57" s="101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100" t="str">
        <f aca="false">IF($A58="","",IF(B58=0,20,IF(B58=1,15,IF(B58=2,10,IF(B58=3,5,0))))+IF(C58="否",20,0)+IF(D58="是",20,0)+IF(E58=1,20,IF(E58=2,15,IF(E58=3,10,IF(E58=4,5,0))))+IF(F58="否",20,0))</f>
        <v/>
      </c>
      <c r="L58" s="101" t="str">
        <f aca="false">IF($A58="","",IF(K58&gt;=80,"达标","未达标"))</f>
        <v/>
      </c>
      <c r="M58" s="102" t="str">
        <f aca="false">IF($A58="","",IFERROR(AVERAGEIFS(K$2:K58,WEEKNUM(A$2:A58,2),WEEKNUM(A58,2)),K58))</f>
        <v/>
      </c>
      <c r="N58" s="103" t="str">
        <f aca="false">IF($A58="","",IFERROR(COUNTIFS(A$2:A58,"&lt;&gt;",L$2:L58,"达标",WEEKNUM(A$2:A58,2),WEEKNUM(A58,2)),0))</f>
        <v/>
      </c>
      <c r="O58" s="100" t="str">
        <f aca="false">IF($A58="","",IF(L58="达标",IF(ROW()=2,1,IF(O57="",1,O57+1)),0))</f>
        <v/>
      </c>
      <c r="P58" s="101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0" t="str">
        <f aca="false">IF($A59="","",IF(B59=0,20,IF(B59=1,15,IF(B59=2,10,IF(B59=3,5,0))))+IF(C59="否",20,0)+IF(D59="是",20,0)+IF(E59=1,20,IF(E59=2,15,IF(E59=3,10,IF(E59=4,5,0))))+IF(F59="否",20,0))</f>
        <v/>
      </c>
      <c r="L59" s="101" t="str">
        <f aca="false">IF($A59="","",IF(K59&gt;=80,"达标","未达标"))</f>
        <v/>
      </c>
      <c r="M59" s="102" t="str">
        <f aca="false">IF($A59="","",IFERROR(AVERAGEIFS(K$2:K59,WEEKNUM(A$2:A59,2),WEEKNUM(A59,2)),K59))</f>
        <v/>
      </c>
      <c r="N59" s="103" t="str">
        <f aca="false">IF($A59="","",IFERROR(COUNTIFS(A$2:A59,"&lt;&gt;",L$2:L59,"达标",WEEKNUM(A$2:A59,2),WEEKNUM(A59,2)),0))</f>
        <v/>
      </c>
      <c r="O59" s="100" t="str">
        <f aca="false">IF($A59="","",IF(L59="达标",IF(ROW()=2,1,IF(O58="",1,O58+1)),0))</f>
        <v/>
      </c>
      <c r="P59" s="101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100" t="str">
        <f aca="false">IF($A60="","",IF(B60=0,20,IF(B60=1,15,IF(B60=2,10,IF(B60=3,5,0))))+IF(C60="否",20,0)+IF(D60="是",20,0)+IF(E60=1,20,IF(E60=2,15,IF(E60=3,10,IF(E60=4,5,0))))+IF(F60="否",20,0))</f>
        <v/>
      </c>
      <c r="L60" s="101" t="str">
        <f aca="false">IF($A60="","",IF(K60&gt;=80,"达标","未达标"))</f>
        <v/>
      </c>
      <c r="M60" s="102" t="str">
        <f aca="false">IF($A60="","",IFERROR(AVERAGEIFS(K$2:K60,WEEKNUM(A$2:A60,2),WEEKNUM(A60,2)),K60))</f>
        <v/>
      </c>
      <c r="N60" s="103" t="str">
        <f aca="false">IF($A60="","",IFERROR(COUNTIFS(A$2:A60,"&lt;&gt;",L$2:L60,"达标",WEEKNUM(A$2:A60,2),WEEKNUM(A60,2)),0))</f>
        <v/>
      </c>
      <c r="O60" s="100" t="str">
        <f aca="false">IF($A60="","",IF(L60="达标",IF(ROW()=2,1,IF(O59="",1,O59+1)),0))</f>
        <v/>
      </c>
      <c r="P60" s="101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0" t="str">
        <f aca="false">IF($A61="","",IF(B61=0,20,IF(B61=1,15,IF(B61=2,10,IF(B61=3,5,0))))+IF(C61="否",20,0)+IF(D61="是",20,0)+IF(E61=1,20,IF(E61=2,15,IF(E61=3,10,IF(E61=4,5,0))))+IF(F61="否",20,0))</f>
        <v/>
      </c>
      <c r="L61" s="101" t="str">
        <f aca="false">IF($A61="","",IF(K61&gt;=80,"达标","未达标"))</f>
        <v/>
      </c>
      <c r="M61" s="102" t="str">
        <f aca="false">IF($A61="","",IFERROR(AVERAGEIFS(K$2:K61,WEEKNUM(A$2:A61,2),WEEKNUM(A61,2)),K61))</f>
        <v/>
      </c>
      <c r="N61" s="103" t="str">
        <f aca="false">IF($A61="","",IFERROR(COUNTIFS(A$2:A61,"&lt;&gt;",L$2:L61,"达标",WEEKNUM(A$2:A61,2),WEEKNUM(A61,2)),0))</f>
        <v/>
      </c>
      <c r="O61" s="100" t="str">
        <f aca="false">IF($A61="","",IF(L61="达标",IF(ROW()=2,1,IF(O60="",1,O60+1)),0))</f>
        <v/>
      </c>
      <c r="P61" s="101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100" t="str">
        <f aca="false">IF($A62="","",IF(B62=0,20,IF(B62=1,15,IF(B62=2,10,IF(B62=3,5,0))))+IF(C62="否",20,0)+IF(D62="是",20,0)+IF(E62=1,20,IF(E62=2,15,IF(E62=3,10,IF(E62=4,5,0))))+IF(F62="否",20,0))</f>
        <v/>
      </c>
      <c r="L62" s="101" t="str">
        <f aca="false">IF($A62="","",IF(K62&gt;=80,"达标","未达标"))</f>
        <v/>
      </c>
      <c r="M62" s="102" t="str">
        <f aca="false">IF($A62="","",IFERROR(AVERAGEIFS(K$2:K62,WEEKNUM(A$2:A62,2),WEEKNUM(A62,2)),K62))</f>
        <v/>
      </c>
      <c r="N62" s="103" t="str">
        <f aca="false">IF($A62="","",IFERROR(COUNTIFS(A$2:A62,"&lt;&gt;",L$2:L62,"达标",WEEKNUM(A$2:A62,2),WEEKNUM(A62,2)),0))</f>
        <v/>
      </c>
      <c r="O62" s="100" t="str">
        <f aca="false">IF($A62="","",IF(L62="达标",IF(ROW()=2,1,IF(O61="",1,O61+1)),0))</f>
        <v/>
      </c>
      <c r="P62" s="101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0" t="str">
        <f aca="false">IF($A63="","",IF(B63=0,20,IF(B63=1,15,IF(B63=2,10,IF(B63=3,5,0))))+IF(C63="否",20,0)+IF(D63="是",20,0)+IF(E63=1,20,IF(E63=2,15,IF(E63=3,10,IF(E63=4,5,0))))+IF(F63="否",20,0))</f>
        <v/>
      </c>
      <c r="L63" s="101" t="str">
        <f aca="false">IF($A63="","",IF(K63&gt;=80,"达标","未达标"))</f>
        <v/>
      </c>
      <c r="M63" s="102" t="str">
        <f aca="false">IF($A63="","",IFERROR(AVERAGEIFS(K$2:K63,WEEKNUM(A$2:A63,2),WEEKNUM(A63,2)),K63))</f>
        <v/>
      </c>
      <c r="N63" s="103" t="str">
        <f aca="false">IF($A63="","",IFERROR(COUNTIFS(A$2:A63,"&lt;&gt;",L$2:L63,"达标",WEEKNUM(A$2:A63,2),WEEKNUM(A63,2)),0))</f>
        <v/>
      </c>
      <c r="O63" s="100" t="str">
        <f aca="false">IF($A63="","",IF(L63="达标",IF(ROW()=2,1,IF(O62="",1,O62+1)),0))</f>
        <v/>
      </c>
      <c r="P63" s="101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100" t="str">
        <f aca="false">IF($A64="","",IF(B64=0,20,IF(B64=1,15,IF(B64=2,10,IF(B64=3,5,0))))+IF(C64="否",20,0)+IF(D64="是",20,0)+IF(E64=1,20,IF(E64=2,15,IF(E64=3,10,IF(E64=4,5,0))))+IF(F64="否",20,0))</f>
        <v/>
      </c>
      <c r="L64" s="101" t="str">
        <f aca="false">IF($A64="","",IF(K64&gt;=80,"达标","未达标"))</f>
        <v/>
      </c>
      <c r="M64" s="102" t="str">
        <f aca="false">IF($A64="","",IFERROR(AVERAGEIFS(K$2:K64,WEEKNUM(A$2:A64,2),WEEKNUM(A64,2)),K64))</f>
        <v/>
      </c>
      <c r="N64" s="103" t="str">
        <f aca="false">IF($A64="","",IFERROR(COUNTIFS(A$2:A64,"&lt;&gt;",L$2:L64,"达标",WEEKNUM(A$2:A64,2),WEEKNUM(A64,2)),0))</f>
        <v/>
      </c>
      <c r="O64" s="100" t="str">
        <f aca="false">IF($A64="","",IF(L64="达标",IF(ROW()=2,1,IF(O63="",1,O63+1)),0))</f>
        <v/>
      </c>
      <c r="P64" s="101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0" t="str">
        <f aca="false">IF($A65="","",IF(B65=0,20,IF(B65=1,15,IF(B65=2,10,IF(B65=3,5,0))))+IF(C65="否",20,0)+IF(D65="是",20,0)+IF(E65=1,20,IF(E65=2,15,IF(E65=3,10,IF(E65=4,5,0))))+IF(F65="否",20,0))</f>
        <v/>
      </c>
      <c r="L65" s="101" t="str">
        <f aca="false">IF($A65="","",IF(K65&gt;=80,"达标","未达标"))</f>
        <v/>
      </c>
      <c r="M65" s="102" t="str">
        <f aca="false">IF($A65="","",IFERROR(AVERAGEIFS(K$2:K65,WEEKNUM(A$2:A65,2),WEEKNUM(A65,2)),K65))</f>
        <v/>
      </c>
      <c r="N65" s="103" t="str">
        <f aca="false">IF($A65="","",IFERROR(COUNTIFS(A$2:A65,"&lt;&gt;",L$2:L65,"达标",WEEKNUM(A$2:A65,2),WEEKNUM(A65,2)),0))</f>
        <v/>
      </c>
      <c r="O65" s="100" t="str">
        <f aca="false">IF($A65="","",IF(L65="达标",IF(ROW()=2,1,IF(O64="",1,O64+1)),0))</f>
        <v/>
      </c>
      <c r="P65" s="101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100" t="str">
        <f aca="false">IF($A66="","",IF(B66=0,20,IF(B66=1,15,IF(B66=2,10,IF(B66=3,5,0))))+IF(C66="否",20,0)+IF(D66="是",20,0)+IF(E66=1,20,IF(E66=2,15,IF(E66=3,10,IF(E66=4,5,0))))+IF(F66="否",20,0))</f>
        <v/>
      </c>
      <c r="L66" s="101" t="str">
        <f aca="false">IF($A66="","",IF(K66&gt;=80,"达标","未达标"))</f>
        <v/>
      </c>
      <c r="M66" s="102" t="str">
        <f aca="false">IF($A66="","",IFERROR(AVERAGEIFS(K$2:K66,WEEKNUM(A$2:A66,2),WEEKNUM(A66,2)),K66))</f>
        <v/>
      </c>
      <c r="N66" s="103" t="str">
        <f aca="false">IF($A66="","",IFERROR(COUNTIFS(A$2:A66,"&lt;&gt;",L$2:L66,"达标",WEEKNUM(A$2:A66,2),WEEKNUM(A66,2)),0))</f>
        <v/>
      </c>
      <c r="O66" s="100" t="str">
        <f aca="false">IF($A66="","",IF(L66="达标",IF(ROW()=2,1,IF(O65="",1,O65+1)),0))</f>
        <v/>
      </c>
      <c r="P66" s="101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0" t="str">
        <f aca="false">IF($A67="","",IF(B67=0,20,IF(B67=1,15,IF(B67=2,10,IF(B67=3,5,0))))+IF(C67="否",20,0)+IF(D67="是",20,0)+IF(E67=1,20,IF(E67=2,15,IF(E67=3,10,IF(E67=4,5,0))))+IF(F67="否",20,0))</f>
        <v/>
      </c>
      <c r="L67" s="101" t="str">
        <f aca="false">IF($A67="","",IF(K67&gt;=80,"达标","未达标"))</f>
        <v/>
      </c>
      <c r="M67" s="102" t="str">
        <f aca="false">IF($A67="","",IFERROR(AVERAGEIFS(K$2:K67,WEEKNUM(A$2:A67,2),WEEKNUM(A67,2)),K67))</f>
        <v/>
      </c>
      <c r="N67" s="103" t="str">
        <f aca="false">IF($A67="","",IFERROR(COUNTIFS(A$2:A67,"&lt;&gt;",L$2:L67,"达标",WEEKNUM(A$2:A67,2),WEEKNUM(A67,2)),0))</f>
        <v/>
      </c>
      <c r="O67" s="100" t="str">
        <f aca="false">IF($A67="","",IF(L67="达标",IF(ROW()=2,1,IF(O66="",1,O66+1)),0))</f>
        <v/>
      </c>
      <c r="P67" s="101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100" t="str">
        <f aca="false">IF($A68="","",IF(B68=0,20,IF(B68=1,15,IF(B68=2,10,IF(B68=3,5,0))))+IF(C68="否",20,0)+IF(D68="是",20,0)+IF(E68=1,20,IF(E68=2,15,IF(E68=3,10,IF(E68=4,5,0))))+IF(F68="否",20,0))</f>
        <v/>
      </c>
      <c r="L68" s="101" t="str">
        <f aca="false">IF($A68="","",IF(K68&gt;=80,"达标","未达标"))</f>
        <v/>
      </c>
      <c r="M68" s="102" t="str">
        <f aca="false">IF($A68="","",IFERROR(AVERAGEIFS(K$2:K68,WEEKNUM(A$2:A68,2),WEEKNUM(A68,2)),K68))</f>
        <v/>
      </c>
      <c r="N68" s="103" t="str">
        <f aca="false">IF($A68="","",IFERROR(COUNTIFS(A$2:A68,"&lt;&gt;",L$2:L68,"达标",WEEKNUM(A$2:A68,2),WEEKNUM(A68,2)),0))</f>
        <v/>
      </c>
      <c r="O68" s="100" t="str">
        <f aca="false">IF($A68="","",IF(L68="达标",IF(ROW()=2,1,IF(O67="",1,O67+1)),0))</f>
        <v/>
      </c>
      <c r="P68" s="101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0" t="str">
        <f aca="false">IF($A69="","",IF(B69=0,20,IF(B69=1,15,IF(B69=2,10,IF(B69=3,5,0))))+IF(C69="否",20,0)+IF(D69="是",20,0)+IF(E69=1,20,IF(E69=2,15,IF(E69=3,10,IF(E69=4,5,0))))+IF(F69="否",20,0))</f>
        <v/>
      </c>
      <c r="L69" s="101" t="str">
        <f aca="false">IF($A69="","",IF(K69&gt;=80,"达标","未达标"))</f>
        <v/>
      </c>
      <c r="M69" s="102" t="str">
        <f aca="false">IF($A69="","",IFERROR(AVERAGEIFS(K$2:K69,WEEKNUM(A$2:A69,2),WEEKNUM(A69,2)),K69))</f>
        <v/>
      </c>
      <c r="N69" s="103" t="str">
        <f aca="false">IF($A69="","",IFERROR(COUNTIFS(A$2:A69,"&lt;&gt;",L$2:L69,"达标",WEEKNUM(A$2:A69,2),WEEKNUM(A69,2)),0))</f>
        <v/>
      </c>
      <c r="O69" s="100" t="str">
        <f aca="false">IF($A69="","",IF(L69="达标",IF(ROW()=2,1,IF(O68="",1,O68+1)),0))</f>
        <v/>
      </c>
      <c r="P69" s="101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100" t="str">
        <f aca="false">IF($A70="","",IF(B70=0,20,IF(B70=1,15,IF(B70=2,10,IF(B70=3,5,0))))+IF(C70="否",20,0)+IF(D70="是",20,0)+IF(E70=1,20,IF(E70=2,15,IF(E70=3,10,IF(E70=4,5,0))))+IF(F70="否",20,0))</f>
        <v/>
      </c>
      <c r="L70" s="101" t="str">
        <f aca="false">IF($A70="","",IF(K70&gt;=80,"达标","未达标"))</f>
        <v/>
      </c>
      <c r="M70" s="102" t="str">
        <f aca="false">IF($A70="","",IFERROR(AVERAGEIFS(K$2:K70,WEEKNUM(A$2:A70,2),WEEKNUM(A70,2)),K70))</f>
        <v/>
      </c>
      <c r="N70" s="103" t="str">
        <f aca="false">IF($A70="","",IFERROR(COUNTIFS(A$2:A70,"&lt;&gt;",L$2:L70,"达标",WEEKNUM(A$2:A70,2),WEEKNUM(A70,2)),0))</f>
        <v/>
      </c>
      <c r="O70" s="100" t="str">
        <f aca="false">IF($A70="","",IF(L70="达标",IF(ROW()=2,1,IF(O69="",1,O69+1)),0))</f>
        <v/>
      </c>
      <c r="P70" s="101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0" t="str">
        <f aca="false">IF($A71="","",IF(B71=0,20,IF(B71=1,15,IF(B71=2,10,IF(B71=3,5,0))))+IF(C71="否",20,0)+IF(D71="是",20,0)+IF(E71=1,20,IF(E71=2,15,IF(E71=3,10,IF(E71=4,5,0))))+IF(F71="否",20,0))</f>
        <v/>
      </c>
      <c r="L71" s="101" t="str">
        <f aca="false">IF($A71="","",IF(K71&gt;=80,"达标","未达标"))</f>
        <v/>
      </c>
      <c r="M71" s="102" t="str">
        <f aca="false">IF($A71="","",IFERROR(AVERAGEIFS(K$2:K71,WEEKNUM(A$2:A71,2),WEEKNUM(A71,2)),K71))</f>
        <v/>
      </c>
      <c r="N71" s="103" t="str">
        <f aca="false">IF($A71="","",IFERROR(COUNTIFS(A$2:A71,"&lt;&gt;",L$2:L71,"达标",WEEKNUM(A$2:A71,2),WEEKNUM(A71,2)),0))</f>
        <v/>
      </c>
      <c r="O71" s="100" t="str">
        <f aca="false">IF($A71="","",IF(L71="达标",IF(ROW()=2,1,IF(O70="",1,O70+1)),0))</f>
        <v/>
      </c>
      <c r="P71" s="101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100" t="str">
        <f aca="false">IF($A72="","",IF(B72=0,20,IF(B72=1,15,IF(B72=2,10,IF(B72=3,5,0))))+IF(C72="否",20,0)+IF(D72="是",20,0)+IF(E72=1,20,IF(E72=2,15,IF(E72=3,10,IF(E72=4,5,0))))+IF(F72="否",20,0))</f>
        <v/>
      </c>
      <c r="L72" s="101" t="str">
        <f aca="false">IF($A72="","",IF(K72&gt;=80,"达标","未达标"))</f>
        <v/>
      </c>
      <c r="M72" s="102" t="str">
        <f aca="false">IF($A72="","",IFERROR(AVERAGEIFS(K$2:K72,WEEKNUM(A$2:A72,2),WEEKNUM(A72,2)),K72))</f>
        <v/>
      </c>
      <c r="N72" s="103" t="str">
        <f aca="false">IF($A72="","",IFERROR(COUNTIFS(A$2:A72,"&lt;&gt;",L$2:L72,"达标",WEEKNUM(A$2:A72,2),WEEKNUM(A72,2)),0))</f>
        <v/>
      </c>
      <c r="O72" s="100" t="str">
        <f aca="false">IF($A72="","",IF(L72="达标",IF(ROW()=2,1,IF(O71="",1,O71+1)),0))</f>
        <v/>
      </c>
      <c r="P72" s="101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0" t="str">
        <f aca="false">IF($A73="","",IF(B73=0,20,IF(B73=1,15,IF(B73=2,10,IF(B73=3,5,0))))+IF(C73="否",20,0)+IF(D73="是",20,0)+IF(E73=1,20,IF(E73=2,15,IF(E73=3,10,IF(E73=4,5,0))))+IF(F73="否",20,0))</f>
        <v/>
      </c>
      <c r="L73" s="101" t="str">
        <f aca="false">IF($A73="","",IF(K73&gt;=80,"达标","未达标"))</f>
        <v/>
      </c>
      <c r="M73" s="102" t="str">
        <f aca="false">IF($A73="","",IFERROR(AVERAGEIFS(K$2:K73,WEEKNUM(A$2:A73,2),WEEKNUM(A73,2)),K73))</f>
        <v/>
      </c>
      <c r="N73" s="103" t="str">
        <f aca="false">IF($A73="","",IFERROR(COUNTIFS(A$2:A73,"&lt;&gt;",L$2:L73,"达标",WEEKNUM(A$2:A73,2),WEEKNUM(A73,2)),0))</f>
        <v/>
      </c>
      <c r="O73" s="100" t="str">
        <f aca="false">IF($A73="","",IF(L73="达标",IF(ROW()=2,1,IF(O72="",1,O72+1)),0))</f>
        <v/>
      </c>
      <c r="P73" s="101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100" t="str">
        <f aca="false">IF($A74="","",IF(B74=0,20,IF(B74=1,15,IF(B74=2,10,IF(B74=3,5,0))))+IF(C74="否",20,0)+IF(D74="是",20,0)+IF(E74=1,20,IF(E74=2,15,IF(E74=3,10,IF(E74=4,5,0))))+IF(F74="否",20,0))</f>
        <v/>
      </c>
      <c r="L74" s="101" t="str">
        <f aca="false">IF($A74="","",IF(K74&gt;=80,"达标","未达标"))</f>
        <v/>
      </c>
      <c r="M74" s="102" t="str">
        <f aca="false">IF($A74="","",IFERROR(AVERAGEIFS(K$2:K74,WEEKNUM(A$2:A74,2),WEEKNUM(A74,2)),K74))</f>
        <v/>
      </c>
      <c r="N74" s="103" t="str">
        <f aca="false">IF($A74="","",IFERROR(COUNTIFS(A$2:A74,"&lt;&gt;",L$2:L74,"达标",WEEKNUM(A$2:A74,2),WEEKNUM(A74,2)),0))</f>
        <v/>
      </c>
      <c r="O74" s="100" t="str">
        <f aca="false">IF($A74="","",IF(L74="达标",IF(ROW()=2,1,IF(O73="",1,O73+1)),0))</f>
        <v/>
      </c>
      <c r="P74" s="101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0" t="str">
        <f aca="false">IF($A75="","",IF(B75=0,20,IF(B75=1,15,IF(B75=2,10,IF(B75=3,5,0))))+IF(C75="否",20,0)+IF(D75="是",20,0)+IF(E75=1,20,IF(E75=2,15,IF(E75=3,10,IF(E75=4,5,0))))+IF(F75="否",20,0))</f>
        <v/>
      </c>
      <c r="L75" s="101" t="str">
        <f aca="false">IF($A75="","",IF(K75&gt;=80,"达标","未达标"))</f>
        <v/>
      </c>
      <c r="M75" s="102" t="str">
        <f aca="false">IF($A75="","",IFERROR(AVERAGEIFS(K$2:K75,WEEKNUM(A$2:A75,2),WEEKNUM(A75,2)),K75))</f>
        <v/>
      </c>
      <c r="N75" s="103" t="str">
        <f aca="false">IF($A75="","",IFERROR(COUNTIFS(A$2:A75,"&lt;&gt;",L$2:L75,"达标",WEEKNUM(A$2:A75,2),WEEKNUM(A75,2)),0))</f>
        <v/>
      </c>
      <c r="O75" s="100" t="str">
        <f aca="false">IF($A75="","",IF(L75="达标",IF(ROW()=2,1,IF(O74="",1,O74+1)),0))</f>
        <v/>
      </c>
      <c r="P75" s="101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100" t="str">
        <f aca="false">IF($A76="","",IF(B76=0,20,IF(B76=1,15,IF(B76=2,10,IF(B76=3,5,0))))+IF(C76="否",20,0)+IF(D76="是",20,0)+IF(E76=1,20,IF(E76=2,15,IF(E76=3,10,IF(E76=4,5,0))))+IF(F76="否",20,0))</f>
        <v/>
      </c>
      <c r="L76" s="101" t="str">
        <f aca="false">IF($A76="","",IF(K76&gt;=80,"达标","未达标"))</f>
        <v/>
      </c>
      <c r="M76" s="102" t="str">
        <f aca="false">IF($A76="","",IFERROR(AVERAGEIFS(K$2:K76,WEEKNUM(A$2:A76,2),WEEKNUM(A76,2)),K76))</f>
        <v/>
      </c>
      <c r="N76" s="103" t="str">
        <f aca="false">IF($A76="","",IFERROR(COUNTIFS(A$2:A76,"&lt;&gt;",L$2:L76,"达标",WEEKNUM(A$2:A76,2),WEEKNUM(A76,2)),0))</f>
        <v/>
      </c>
      <c r="O76" s="100" t="str">
        <f aca="false">IF($A76="","",IF(L76="达标",IF(ROW()=2,1,IF(O75="",1,O75+1)),0))</f>
        <v/>
      </c>
      <c r="P76" s="101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0" t="str">
        <f aca="false">IF($A77="","",IF(B77=0,20,IF(B77=1,15,IF(B77=2,10,IF(B77=3,5,0))))+IF(C77="否",20,0)+IF(D77="是",20,0)+IF(E77=1,20,IF(E77=2,15,IF(E77=3,10,IF(E77=4,5,0))))+IF(F77="否",20,0))</f>
        <v/>
      </c>
      <c r="L77" s="101" t="str">
        <f aca="false">IF($A77="","",IF(K77&gt;=80,"达标","未达标"))</f>
        <v/>
      </c>
      <c r="M77" s="102" t="str">
        <f aca="false">IF($A77="","",IFERROR(AVERAGEIFS(K$2:K77,WEEKNUM(A$2:A77,2),WEEKNUM(A77,2)),K77))</f>
        <v/>
      </c>
      <c r="N77" s="103" t="str">
        <f aca="false">IF($A77="","",IFERROR(COUNTIFS(A$2:A77,"&lt;&gt;",L$2:L77,"达标",WEEKNUM(A$2:A77,2),WEEKNUM(A77,2)),0))</f>
        <v/>
      </c>
      <c r="O77" s="100" t="str">
        <f aca="false">IF($A77="","",IF(L77="达标",IF(ROW()=2,1,IF(O76="",1,O76+1)),0))</f>
        <v/>
      </c>
      <c r="P77" s="101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100" t="str">
        <f aca="false">IF($A78="","",IF(B78=0,20,IF(B78=1,15,IF(B78=2,10,IF(B78=3,5,0))))+IF(C78="否",20,0)+IF(D78="是",20,0)+IF(E78=1,20,IF(E78=2,15,IF(E78=3,10,IF(E78=4,5,0))))+IF(F78="否",20,0))</f>
        <v/>
      </c>
      <c r="L78" s="101" t="str">
        <f aca="false">IF($A78="","",IF(K78&gt;=80,"达标","未达标"))</f>
        <v/>
      </c>
      <c r="M78" s="102" t="str">
        <f aca="false">IF($A78="","",IFERROR(AVERAGEIFS(K$2:K78,WEEKNUM(A$2:A78,2),WEEKNUM(A78,2)),K78))</f>
        <v/>
      </c>
      <c r="N78" s="103" t="str">
        <f aca="false">IF($A78="","",IFERROR(COUNTIFS(A$2:A78,"&lt;&gt;",L$2:L78,"达标",WEEKNUM(A$2:A78,2),WEEKNUM(A78,2)),0))</f>
        <v/>
      </c>
      <c r="O78" s="100" t="str">
        <f aca="false">IF($A78="","",IF(L78="达标",IF(ROW()=2,1,IF(O77="",1,O77+1)),0))</f>
        <v/>
      </c>
      <c r="P78" s="101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0" t="str">
        <f aca="false">IF($A79="","",IF(B79=0,20,IF(B79=1,15,IF(B79=2,10,IF(B79=3,5,0))))+IF(C79="否",20,0)+IF(D79="是",20,0)+IF(E79=1,20,IF(E79=2,15,IF(E79=3,10,IF(E79=4,5,0))))+IF(F79="否",20,0))</f>
        <v/>
      </c>
      <c r="L79" s="101" t="str">
        <f aca="false">IF($A79="","",IF(K79&gt;=80,"达标","未达标"))</f>
        <v/>
      </c>
      <c r="M79" s="102" t="str">
        <f aca="false">IF($A79="","",IFERROR(AVERAGEIFS(K$2:K79,WEEKNUM(A$2:A79,2),WEEKNUM(A79,2)),K79))</f>
        <v/>
      </c>
      <c r="N79" s="103" t="str">
        <f aca="false">IF($A79="","",IFERROR(COUNTIFS(A$2:A79,"&lt;&gt;",L$2:L79,"达标",WEEKNUM(A$2:A79,2),WEEKNUM(A79,2)),0))</f>
        <v/>
      </c>
      <c r="O79" s="100" t="str">
        <f aca="false">IF($A79="","",IF(L79="达标",IF(ROW()=2,1,IF(O78="",1,O78+1)),0))</f>
        <v/>
      </c>
      <c r="P79" s="101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100" t="str">
        <f aca="false">IF($A80="","",IF(B80=0,20,IF(B80=1,15,IF(B80=2,10,IF(B80=3,5,0))))+IF(C80="否",20,0)+IF(D80="是",20,0)+IF(E80=1,20,IF(E80=2,15,IF(E80=3,10,IF(E80=4,5,0))))+IF(F80="否",20,0))</f>
        <v/>
      </c>
      <c r="L80" s="101" t="str">
        <f aca="false">IF($A80="","",IF(K80&gt;=80,"达标","未达标"))</f>
        <v/>
      </c>
      <c r="M80" s="102" t="str">
        <f aca="false">IF($A80="","",IFERROR(AVERAGEIFS(K$2:K80,WEEKNUM(A$2:A80,2),WEEKNUM(A80,2)),K80))</f>
        <v/>
      </c>
      <c r="N80" s="103" t="str">
        <f aca="false">IF($A80="","",IFERROR(COUNTIFS(A$2:A80,"&lt;&gt;",L$2:L80,"达标",WEEKNUM(A$2:A80,2),WEEKNUM(A80,2)),0))</f>
        <v/>
      </c>
      <c r="O80" s="100" t="str">
        <f aca="false">IF($A80="","",IF(L80="达标",IF(ROW()=2,1,IF(O79="",1,O79+1)),0))</f>
        <v/>
      </c>
      <c r="P80" s="101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0" t="str">
        <f aca="false">IF($A81="","",IF(B81=0,20,IF(B81=1,15,IF(B81=2,10,IF(B81=3,5,0))))+IF(C81="否",20,0)+IF(D81="是",20,0)+IF(E81=1,20,IF(E81=2,15,IF(E81=3,10,IF(E81=4,5,0))))+IF(F81="否",20,0))</f>
        <v/>
      </c>
      <c r="L81" s="101" t="str">
        <f aca="false">IF($A81="","",IF(K81&gt;=80,"达标","未达标"))</f>
        <v/>
      </c>
      <c r="M81" s="102" t="str">
        <f aca="false">IF($A81="","",IFERROR(AVERAGEIFS(K$2:K81,WEEKNUM(A$2:A81,2),WEEKNUM(A81,2)),K81))</f>
        <v/>
      </c>
      <c r="N81" s="103" t="str">
        <f aca="false">IF($A81="","",IFERROR(COUNTIFS(A$2:A81,"&lt;&gt;",L$2:L81,"达标",WEEKNUM(A$2:A81,2),WEEKNUM(A81,2)),0))</f>
        <v/>
      </c>
      <c r="O81" s="100" t="str">
        <f aca="false">IF($A81="","",IF(L81="达标",IF(ROW()=2,1,IF(O80="",1,O80+1)),0))</f>
        <v/>
      </c>
      <c r="P81" s="101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100" t="str">
        <f aca="false">IF($A82="","",IF(B82=0,20,IF(B82=1,15,IF(B82=2,10,IF(B82=3,5,0))))+IF(C82="否",20,0)+IF(D82="是",20,0)+IF(E82=1,20,IF(E82=2,15,IF(E82=3,10,IF(E82=4,5,0))))+IF(F82="否",20,0))</f>
        <v/>
      </c>
      <c r="L82" s="101" t="str">
        <f aca="false">IF($A82="","",IF(K82&gt;=80,"达标","未达标"))</f>
        <v/>
      </c>
      <c r="M82" s="102" t="str">
        <f aca="false">IF($A82="","",IFERROR(AVERAGEIFS(K$2:K82,WEEKNUM(A$2:A82,2),WEEKNUM(A82,2)),K82))</f>
        <v/>
      </c>
      <c r="N82" s="103" t="str">
        <f aca="false">IF($A82="","",IFERROR(COUNTIFS(A$2:A82,"&lt;&gt;",L$2:L82,"达标",WEEKNUM(A$2:A82,2),WEEKNUM(A82,2)),0))</f>
        <v/>
      </c>
      <c r="O82" s="100" t="str">
        <f aca="false">IF($A82="","",IF(L82="达标",IF(ROW()=2,1,IF(O81="",1,O81+1)),0))</f>
        <v/>
      </c>
      <c r="P82" s="101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0" t="str">
        <f aca="false">IF($A83="","",IF(B83=0,20,IF(B83=1,15,IF(B83=2,10,IF(B83=3,5,0))))+IF(C83="否",20,0)+IF(D83="是",20,0)+IF(E83=1,20,IF(E83=2,15,IF(E83=3,10,IF(E83=4,5,0))))+IF(F83="否",20,0))</f>
        <v/>
      </c>
      <c r="L83" s="101" t="str">
        <f aca="false">IF($A83="","",IF(K83&gt;=80,"达标","未达标"))</f>
        <v/>
      </c>
      <c r="M83" s="102" t="str">
        <f aca="false">IF($A83="","",IFERROR(AVERAGEIFS(K$2:K83,WEEKNUM(A$2:A83,2),WEEKNUM(A83,2)),K83))</f>
        <v/>
      </c>
      <c r="N83" s="103" t="str">
        <f aca="false">IF($A83="","",IFERROR(COUNTIFS(A$2:A83,"&lt;&gt;",L$2:L83,"达标",WEEKNUM(A$2:A83,2),WEEKNUM(A83,2)),0))</f>
        <v/>
      </c>
      <c r="O83" s="100" t="str">
        <f aca="false">IF($A83="","",IF(L83="达标",IF(ROW()=2,1,IF(O82="",1,O82+1)),0))</f>
        <v/>
      </c>
      <c r="P83" s="101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100" t="str">
        <f aca="false">IF($A84="","",IF(B84=0,20,IF(B84=1,15,IF(B84=2,10,IF(B84=3,5,0))))+IF(C84="否",20,0)+IF(D84="是",20,0)+IF(E84=1,20,IF(E84=2,15,IF(E84=3,10,IF(E84=4,5,0))))+IF(F84="否",20,0))</f>
        <v/>
      </c>
      <c r="L84" s="101" t="str">
        <f aca="false">IF($A84="","",IF(K84&gt;=80,"达标","未达标"))</f>
        <v/>
      </c>
      <c r="M84" s="102" t="str">
        <f aca="false">IF($A84="","",IFERROR(AVERAGEIFS(K$2:K84,WEEKNUM(A$2:A84,2),WEEKNUM(A84,2)),K84))</f>
        <v/>
      </c>
      <c r="N84" s="103" t="str">
        <f aca="false">IF($A84="","",IFERROR(COUNTIFS(A$2:A84,"&lt;&gt;",L$2:L84,"达标",WEEKNUM(A$2:A84,2),WEEKNUM(A84,2)),0))</f>
        <v/>
      </c>
      <c r="O84" s="100" t="str">
        <f aca="false">IF($A84="","",IF(L84="达标",IF(ROW()=2,1,IF(O83="",1,O83+1)),0))</f>
        <v/>
      </c>
      <c r="P84" s="101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0" t="str">
        <f aca="false">IF($A85="","",IF(B85=0,20,IF(B85=1,15,IF(B85=2,10,IF(B85=3,5,0))))+IF(C85="否",20,0)+IF(D85="是",20,0)+IF(E85=1,20,IF(E85=2,15,IF(E85=3,10,IF(E85=4,5,0))))+IF(F85="否",20,0))</f>
        <v/>
      </c>
      <c r="L85" s="101" t="str">
        <f aca="false">IF($A85="","",IF(K85&gt;=80,"达标","未达标"))</f>
        <v/>
      </c>
      <c r="M85" s="102" t="str">
        <f aca="false">IF($A85="","",IFERROR(AVERAGEIFS(K$2:K85,WEEKNUM(A$2:A85,2),WEEKNUM(A85,2)),K85))</f>
        <v/>
      </c>
      <c r="N85" s="103" t="str">
        <f aca="false">IF($A85="","",IFERROR(COUNTIFS(A$2:A85,"&lt;&gt;",L$2:L85,"达标",WEEKNUM(A$2:A85,2),WEEKNUM(A85,2)),0))</f>
        <v/>
      </c>
      <c r="O85" s="100" t="str">
        <f aca="false">IF($A85="","",IF(L85="达标",IF(ROW()=2,1,IF(O84="",1,O84+1)),0))</f>
        <v/>
      </c>
      <c r="P85" s="101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100" t="str">
        <f aca="false">IF($A86="","",IF(B86=0,20,IF(B86=1,15,IF(B86=2,10,IF(B86=3,5,0))))+IF(C86="否",20,0)+IF(D86="是",20,0)+IF(E86=1,20,IF(E86=2,15,IF(E86=3,10,IF(E86=4,5,0))))+IF(F86="否",20,0))</f>
        <v/>
      </c>
      <c r="L86" s="101" t="str">
        <f aca="false">IF($A86="","",IF(K86&gt;=80,"达标","未达标"))</f>
        <v/>
      </c>
      <c r="M86" s="102" t="str">
        <f aca="false">IF($A86="","",IFERROR(AVERAGEIFS(K$2:K86,WEEKNUM(A$2:A86,2),WEEKNUM(A86,2)),K86))</f>
        <v/>
      </c>
      <c r="N86" s="103" t="str">
        <f aca="false">IF($A86="","",IFERROR(COUNTIFS(A$2:A86,"&lt;&gt;",L$2:L86,"达标",WEEKNUM(A$2:A86,2),WEEKNUM(A86,2)),0))</f>
        <v/>
      </c>
      <c r="O86" s="100" t="str">
        <f aca="false">IF($A86="","",IF(L86="达标",IF(ROW()=2,1,IF(O85="",1,O85+1)),0))</f>
        <v/>
      </c>
      <c r="P86" s="101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0" t="str">
        <f aca="false">IF($A87="","",IF(B87=0,20,IF(B87=1,15,IF(B87=2,10,IF(B87=3,5,0))))+IF(C87="否",20,0)+IF(D87="是",20,0)+IF(E87=1,20,IF(E87=2,15,IF(E87=3,10,IF(E87=4,5,0))))+IF(F87="否",20,0))</f>
        <v/>
      </c>
      <c r="L87" s="101" t="str">
        <f aca="false">IF($A87="","",IF(K87&gt;=80,"达标","未达标"))</f>
        <v/>
      </c>
      <c r="M87" s="102" t="str">
        <f aca="false">IF($A87="","",IFERROR(AVERAGEIFS(K$2:K87,WEEKNUM(A$2:A87,2),WEEKNUM(A87,2)),K87))</f>
        <v/>
      </c>
      <c r="N87" s="103" t="str">
        <f aca="false">IF($A87="","",IFERROR(COUNTIFS(A$2:A87,"&lt;&gt;",L$2:L87,"达标",WEEKNUM(A$2:A87,2),WEEKNUM(A87,2)),0))</f>
        <v/>
      </c>
      <c r="O87" s="100" t="str">
        <f aca="false">IF($A87="","",IF(L87="达标",IF(ROW()=2,1,IF(O86="",1,O86+1)),0))</f>
        <v/>
      </c>
      <c r="P87" s="101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100" t="str">
        <f aca="false">IF($A88="","",IF(B88=0,20,IF(B88=1,15,IF(B88=2,10,IF(B88=3,5,0))))+IF(C88="否",20,0)+IF(D88="是",20,0)+IF(E88=1,20,IF(E88=2,15,IF(E88=3,10,IF(E88=4,5,0))))+IF(F88="否",20,0))</f>
        <v/>
      </c>
      <c r="L88" s="101" t="str">
        <f aca="false">IF($A88="","",IF(K88&gt;=80,"达标","未达标"))</f>
        <v/>
      </c>
      <c r="M88" s="102" t="str">
        <f aca="false">IF($A88="","",IFERROR(AVERAGEIFS(K$2:K88,WEEKNUM(A$2:A88,2),WEEKNUM(A88,2)),K88))</f>
        <v/>
      </c>
      <c r="N88" s="103" t="str">
        <f aca="false">IF($A88="","",IFERROR(COUNTIFS(A$2:A88,"&lt;&gt;",L$2:L88,"达标",WEEKNUM(A$2:A88,2),WEEKNUM(A88,2)),0))</f>
        <v/>
      </c>
      <c r="O88" s="100" t="str">
        <f aca="false">IF($A88="","",IF(L88="达标",IF(ROW()=2,1,IF(O87="",1,O87+1)),0))</f>
        <v/>
      </c>
      <c r="P88" s="101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0" t="str">
        <f aca="false">IF($A89="","",IF(B89=0,20,IF(B89=1,15,IF(B89=2,10,IF(B89=3,5,0))))+IF(C89="否",20,0)+IF(D89="是",20,0)+IF(E89=1,20,IF(E89=2,15,IF(E89=3,10,IF(E89=4,5,0))))+IF(F89="否",20,0))</f>
        <v/>
      </c>
      <c r="L89" s="101" t="str">
        <f aca="false">IF($A89="","",IF(K89&gt;=80,"达标","未达标"))</f>
        <v/>
      </c>
      <c r="M89" s="102" t="str">
        <f aca="false">IF($A89="","",IFERROR(AVERAGEIFS(K$2:K89,WEEKNUM(A$2:A89,2),WEEKNUM(A89,2)),K89))</f>
        <v/>
      </c>
      <c r="N89" s="103" t="str">
        <f aca="false">IF($A89="","",IFERROR(COUNTIFS(A$2:A89,"&lt;&gt;",L$2:L89,"达标",WEEKNUM(A$2:A89,2),WEEKNUM(A89,2)),0))</f>
        <v/>
      </c>
      <c r="O89" s="100" t="str">
        <f aca="false">IF($A89="","",IF(L89="达标",IF(ROW()=2,1,IF(O88="",1,O88+1)),0))</f>
        <v/>
      </c>
      <c r="P89" s="101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100" t="str">
        <f aca="false">IF($A90="","",IF(B90=0,20,IF(B90=1,15,IF(B90=2,10,IF(B90=3,5,0))))+IF(C90="否",20,0)+IF(D90="是",20,0)+IF(E90=1,20,IF(E90=2,15,IF(E90=3,10,IF(E90=4,5,0))))+IF(F90="否",20,0))</f>
        <v/>
      </c>
      <c r="L90" s="101" t="str">
        <f aca="false">IF($A90="","",IF(K90&gt;=80,"达标","未达标"))</f>
        <v/>
      </c>
      <c r="M90" s="102" t="str">
        <f aca="false">IF($A90="","",IFERROR(AVERAGEIFS(K$2:K90,WEEKNUM(A$2:A90,2),WEEKNUM(A90,2)),K90))</f>
        <v/>
      </c>
      <c r="N90" s="103" t="str">
        <f aca="false">IF($A90="","",IFERROR(COUNTIFS(A$2:A90,"&lt;&gt;",L$2:L90,"达标",WEEKNUM(A$2:A90,2),WEEKNUM(A90,2)),0))</f>
        <v/>
      </c>
      <c r="O90" s="100" t="str">
        <f aca="false">IF($A90="","",IF(L90="达标",IF(ROW()=2,1,IF(O89="",1,O89+1)),0))</f>
        <v/>
      </c>
      <c r="P90" s="101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0" t="str">
        <f aca="false">IF($A91="","",IF(B91=0,20,IF(B91=1,15,IF(B91=2,10,IF(B91=3,5,0))))+IF(C91="否",20,0)+IF(D91="是",20,0)+IF(E91=1,20,IF(E91=2,15,IF(E91=3,10,IF(E91=4,5,0))))+IF(F91="否",20,0))</f>
        <v/>
      </c>
      <c r="L91" s="101" t="str">
        <f aca="false">IF($A91="","",IF(K91&gt;=80,"达标","未达标"))</f>
        <v/>
      </c>
      <c r="M91" s="102" t="str">
        <f aca="false">IF($A91="","",IFERROR(AVERAGEIFS(K$2:K91,WEEKNUM(A$2:A91,2),WEEKNUM(A91,2)),K91))</f>
        <v/>
      </c>
      <c r="N91" s="103" t="str">
        <f aca="false">IF($A91="","",IFERROR(COUNTIFS(A$2:A91,"&lt;&gt;",L$2:L91,"达标",WEEKNUM(A$2:A91,2),WEEKNUM(A91,2)),0))</f>
        <v/>
      </c>
      <c r="O91" s="100" t="str">
        <f aca="false">IF($A91="","",IF(L91="达标",IF(ROW()=2,1,IF(O90="",1,O90+1)),0))</f>
        <v/>
      </c>
      <c r="P91" s="101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100" t="str">
        <f aca="false">IF($A92="","",IF(B92=0,20,IF(B92=1,15,IF(B92=2,10,IF(B92=3,5,0))))+IF(C92="否",20,0)+IF(D92="是",20,0)+IF(E92=1,20,IF(E92=2,15,IF(E92=3,10,IF(E92=4,5,0))))+IF(F92="否",20,0))</f>
        <v/>
      </c>
      <c r="L92" s="101" t="str">
        <f aca="false">IF($A92="","",IF(K92&gt;=80,"达标","未达标"))</f>
        <v/>
      </c>
      <c r="M92" s="102" t="str">
        <f aca="false">IF($A92="","",IFERROR(AVERAGEIFS(K$2:K92,WEEKNUM(A$2:A92,2),WEEKNUM(A92,2)),K92))</f>
        <v/>
      </c>
      <c r="N92" s="103" t="str">
        <f aca="false">IF($A92="","",IFERROR(COUNTIFS(A$2:A92,"&lt;&gt;",L$2:L92,"达标",WEEKNUM(A$2:A92,2),WEEKNUM(A92,2)),0))</f>
        <v/>
      </c>
      <c r="O92" s="100" t="str">
        <f aca="false">IF($A92="","",IF(L92="达标",IF(ROW()=2,1,IF(O91="",1,O91+1)),0))</f>
        <v/>
      </c>
      <c r="P92" s="101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0" t="str">
        <f aca="false">IF($A93="","",IF(B93=0,20,IF(B93=1,15,IF(B93=2,10,IF(B93=3,5,0))))+IF(C93="否",20,0)+IF(D93="是",20,0)+IF(E93=1,20,IF(E93=2,15,IF(E93=3,10,IF(E93=4,5,0))))+IF(F93="否",20,0))</f>
        <v/>
      </c>
      <c r="L93" s="101" t="str">
        <f aca="false">IF($A93="","",IF(K93&gt;=80,"达标","未达标"))</f>
        <v/>
      </c>
      <c r="M93" s="102" t="str">
        <f aca="false">IF($A93="","",IFERROR(AVERAGEIFS(K$2:K93,WEEKNUM(A$2:A93,2),WEEKNUM(A93,2)),K93))</f>
        <v/>
      </c>
      <c r="N93" s="103" t="str">
        <f aca="false">IF($A93="","",IFERROR(COUNTIFS(A$2:A93,"&lt;&gt;",L$2:L93,"达标",WEEKNUM(A$2:A93,2),WEEKNUM(A93,2)),0))</f>
        <v/>
      </c>
      <c r="O93" s="100" t="str">
        <f aca="false">IF($A93="","",IF(L93="达标",IF(ROW()=2,1,IF(O92="",1,O92+1)),0))</f>
        <v/>
      </c>
      <c r="P93" s="101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100" t="str">
        <f aca="false">IF($A94="","",IF(B94=0,20,IF(B94=1,15,IF(B94=2,10,IF(B94=3,5,0))))+IF(C94="否",20,0)+IF(D94="是",20,0)+IF(E94=1,20,IF(E94=2,15,IF(E94=3,10,IF(E94=4,5,0))))+IF(F94="否",20,0))</f>
        <v/>
      </c>
      <c r="L94" s="101" t="str">
        <f aca="false">IF($A94="","",IF(K94&gt;=80,"达标","未达标"))</f>
        <v/>
      </c>
      <c r="M94" s="102" t="str">
        <f aca="false">IF($A94="","",IFERROR(AVERAGEIFS(K$2:K94,WEEKNUM(A$2:A94,2),WEEKNUM(A94,2)),K94))</f>
        <v/>
      </c>
      <c r="N94" s="103" t="str">
        <f aca="false">IF($A94="","",IFERROR(COUNTIFS(A$2:A94,"&lt;&gt;",L$2:L94,"达标",WEEKNUM(A$2:A94,2),WEEKNUM(A94,2)),0))</f>
        <v/>
      </c>
      <c r="O94" s="100" t="str">
        <f aca="false">IF($A94="","",IF(L94="达标",IF(ROW()=2,1,IF(O93="",1,O93+1)),0))</f>
        <v/>
      </c>
      <c r="P94" s="101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0" t="str">
        <f aca="false">IF($A95="","",IF(B95=0,20,IF(B95=1,15,IF(B95=2,10,IF(B95=3,5,0))))+IF(C95="否",20,0)+IF(D95="是",20,0)+IF(E95=1,20,IF(E95=2,15,IF(E95=3,10,IF(E95=4,5,0))))+IF(F95="否",20,0))</f>
        <v/>
      </c>
      <c r="L95" s="101" t="str">
        <f aca="false">IF($A95="","",IF(K95&gt;=80,"达标","未达标"))</f>
        <v/>
      </c>
      <c r="M95" s="102" t="str">
        <f aca="false">IF($A95="","",IFERROR(AVERAGEIFS(K$2:K95,WEEKNUM(A$2:A95,2),WEEKNUM(A95,2)),K95))</f>
        <v/>
      </c>
      <c r="N95" s="103" t="str">
        <f aca="false">IF($A95="","",IFERROR(COUNTIFS(A$2:A95,"&lt;&gt;",L$2:L95,"达标",WEEKNUM(A$2:A95,2),WEEKNUM(A95,2)),0))</f>
        <v/>
      </c>
      <c r="O95" s="100" t="str">
        <f aca="false">IF($A95="","",IF(L95="达标",IF(ROW()=2,1,IF(O94="",1,O94+1)),0))</f>
        <v/>
      </c>
      <c r="P95" s="101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100" t="str">
        <f aca="false">IF($A96="","",IF(B96=0,20,IF(B96=1,15,IF(B96=2,10,IF(B96=3,5,0))))+IF(C96="否",20,0)+IF(D96="是",20,0)+IF(E96=1,20,IF(E96=2,15,IF(E96=3,10,IF(E96=4,5,0))))+IF(F96="否",20,0))</f>
        <v/>
      </c>
      <c r="L96" s="101" t="str">
        <f aca="false">IF($A96="","",IF(K96&gt;=80,"达标","未达标"))</f>
        <v/>
      </c>
      <c r="M96" s="102" t="str">
        <f aca="false">IF($A96="","",IFERROR(AVERAGEIFS(K$2:K96,WEEKNUM(A$2:A96,2),WEEKNUM(A96,2)),K96))</f>
        <v/>
      </c>
      <c r="N96" s="103" t="str">
        <f aca="false">IF($A96="","",IFERROR(COUNTIFS(A$2:A96,"&lt;&gt;",L$2:L96,"达标",WEEKNUM(A$2:A96,2),WEEKNUM(A96,2)),0))</f>
        <v/>
      </c>
      <c r="O96" s="100" t="str">
        <f aca="false">IF($A96="","",IF(L96="达标",IF(ROW()=2,1,IF(O95="",1,O95+1)),0))</f>
        <v/>
      </c>
      <c r="P96" s="101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0" t="str">
        <f aca="false">IF($A97="","",IF(B97=0,20,IF(B97=1,15,IF(B97=2,10,IF(B97=3,5,0))))+IF(C97="否",20,0)+IF(D97="是",20,0)+IF(E97=1,20,IF(E97=2,15,IF(E97=3,10,IF(E97=4,5,0))))+IF(F97="否",20,0))</f>
        <v/>
      </c>
      <c r="L97" s="101" t="str">
        <f aca="false">IF($A97="","",IF(K97&gt;=80,"达标","未达标"))</f>
        <v/>
      </c>
      <c r="M97" s="102" t="str">
        <f aca="false">IF($A97="","",IFERROR(AVERAGEIFS(K$2:K97,WEEKNUM(A$2:A97,2),WEEKNUM(A97,2)),K97))</f>
        <v/>
      </c>
      <c r="N97" s="103" t="str">
        <f aca="false">IF($A97="","",IFERROR(COUNTIFS(A$2:A97,"&lt;&gt;",L$2:L97,"达标",WEEKNUM(A$2:A97,2),WEEKNUM(A97,2)),0))</f>
        <v/>
      </c>
      <c r="O97" s="100" t="str">
        <f aca="false">IF($A97="","",IF(L97="达标",IF(ROW()=2,1,IF(O96="",1,O96+1)),0))</f>
        <v/>
      </c>
      <c r="P97" s="101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100" t="str">
        <f aca="false">IF($A98="","",IF(B98=0,20,IF(B98=1,15,IF(B98=2,10,IF(B98=3,5,0))))+IF(C98="否",20,0)+IF(D98="是",20,0)+IF(E98=1,20,IF(E98=2,15,IF(E98=3,10,IF(E98=4,5,0))))+IF(F98="否",20,0))</f>
        <v/>
      </c>
      <c r="L98" s="101" t="str">
        <f aca="false">IF($A98="","",IF(K98&gt;=80,"达标","未达标"))</f>
        <v/>
      </c>
      <c r="M98" s="102" t="str">
        <f aca="false">IF($A98="","",IFERROR(AVERAGEIFS(K$2:K98,WEEKNUM(A$2:A98,2),WEEKNUM(A98,2)),K98))</f>
        <v/>
      </c>
      <c r="N98" s="103" t="str">
        <f aca="false">IF($A98="","",IFERROR(COUNTIFS(A$2:A98,"&lt;&gt;",L$2:L98,"达标",WEEKNUM(A$2:A98,2),WEEKNUM(A98,2)),0))</f>
        <v/>
      </c>
      <c r="O98" s="100" t="str">
        <f aca="false">IF($A98="","",IF(L98="达标",IF(ROW()=2,1,IF(O97="",1,O97+1)),0))</f>
        <v/>
      </c>
      <c r="P98" s="101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0" t="str">
        <f aca="false">IF($A99="","",IF(B99=0,20,IF(B99=1,15,IF(B99=2,10,IF(B99=3,5,0))))+IF(C99="否",20,0)+IF(D99="是",20,0)+IF(E99=1,20,IF(E99=2,15,IF(E99=3,10,IF(E99=4,5,0))))+IF(F99="否",20,0))</f>
        <v/>
      </c>
      <c r="L99" s="101" t="str">
        <f aca="false">IF($A99="","",IF(K99&gt;=80,"达标","未达标"))</f>
        <v/>
      </c>
      <c r="M99" s="102" t="str">
        <f aca="false">IF($A99="","",IFERROR(AVERAGEIFS(K$2:K99,WEEKNUM(A$2:A99,2),WEEKNUM(A99,2)),K99))</f>
        <v/>
      </c>
      <c r="N99" s="103" t="str">
        <f aca="false">IF($A99="","",IFERROR(COUNTIFS(A$2:A99,"&lt;&gt;",L$2:L99,"达标",WEEKNUM(A$2:A99,2),WEEKNUM(A99,2)),0))</f>
        <v/>
      </c>
      <c r="O99" s="100" t="str">
        <f aca="false">IF($A99="","",IF(L99="达标",IF(ROW()=2,1,IF(O98="",1,O98+1)),0))</f>
        <v/>
      </c>
      <c r="P99" s="101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100" t="str">
        <f aca="false">IF($A100="","",IF(B100=0,20,IF(B100=1,15,IF(B100=2,10,IF(B100=3,5,0))))+IF(C100="否",20,0)+IF(D100="是",20,0)+IF(E100=1,20,IF(E100=2,15,IF(E100=3,10,IF(E100=4,5,0))))+IF(F100="否",20,0))</f>
        <v/>
      </c>
      <c r="L100" s="101" t="str">
        <f aca="false">IF($A100="","",IF(K100&gt;=80,"达标","未达标"))</f>
        <v/>
      </c>
      <c r="M100" s="102" t="str">
        <f aca="false">IF($A100="","",IFERROR(AVERAGEIFS(K$2:K100,WEEKNUM(A$2:A100,2),WEEKNUM(A100,2)),K100))</f>
        <v/>
      </c>
      <c r="N100" s="103" t="str">
        <f aca="false">IF($A100="","",IFERROR(COUNTIFS(A$2:A100,"&lt;&gt;",L$2:L100,"达标",WEEKNUM(A$2:A100,2),WEEKNUM(A100,2)),0))</f>
        <v/>
      </c>
      <c r="O100" s="100" t="str">
        <f aca="false">IF($A100="","",IF(L100="达标",IF(ROW()=2,1,IF(O99="",1,O99+1)),0))</f>
        <v/>
      </c>
      <c r="P100" s="101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0" t="str">
        <f aca="false">IF($A101="","",IF(B101=0,20,IF(B101=1,15,IF(B101=2,10,IF(B101=3,5,0))))+IF(C101="否",20,0)+IF(D101="是",20,0)+IF(E101=1,20,IF(E101=2,15,IF(E101=3,10,IF(E101=4,5,0))))+IF(F101="否",20,0))</f>
        <v/>
      </c>
      <c r="L101" s="101" t="str">
        <f aca="false">IF($A101="","",IF(K101&gt;=80,"达标","未达标"))</f>
        <v/>
      </c>
      <c r="M101" s="102" t="str">
        <f aca="false">IF($A101="","",IFERROR(AVERAGEIFS(K$2:K101,WEEKNUM(A$2:A101,2),WEEKNUM(A101,2)),K101))</f>
        <v/>
      </c>
      <c r="N101" s="103" t="str">
        <f aca="false">IF($A101="","",IFERROR(COUNTIFS(A$2:A101,"&lt;&gt;",L$2:L101,"达标",WEEKNUM(A$2:A101,2),WEEKNUM(A101,2)),0))</f>
        <v/>
      </c>
      <c r="O101" s="100" t="str">
        <f aca="false">IF($A101="","",IF(L101="达标",IF(ROW()=2,1,IF(O100="",1,O100+1)),0))</f>
        <v/>
      </c>
      <c r="P101" s="101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100" t="str">
        <f aca="false">IF($A102="","",IF(B102=0,20,IF(B102=1,15,IF(B102=2,10,IF(B102=3,5,0))))+IF(C102="否",20,0)+IF(D102="是",20,0)+IF(E102=1,20,IF(E102=2,15,IF(E102=3,10,IF(E102=4,5,0))))+IF(F102="否",20,0))</f>
        <v/>
      </c>
      <c r="L102" s="101" t="str">
        <f aca="false">IF($A102="","",IF(K102&gt;=80,"达标","未达标"))</f>
        <v/>
      </c>
      <c r="M102" s="102" t="str">
        <f aca="false">IF($A102="","",IFERROR(AVERAGEIFS(K$2:K102,WEEKNUM(A$2:A102,2),WEEKNUM(A102,2)),K102))</f>
        <v/>
      </c>
      <c r="N102" s="103" t="str">
        <f aca="false">IF($A102="","",IFERROR(COUNTIFS(A$2:A102,"&lt;&gt;",L$2:L102,"达标",WEEKNUM(A$2:A102,2),WEEKNUM(A102,2)),0))</f>
        <v/>
      </c>
      <c r="O102" s="100" t="str">
        <f aca="false">IF($A102="","",IF(L102="达标",IF(ROW()=2,1,IF(O101="",1,O101+1)),0))</f>
        <v/>
      </c>
      <c r="P102" s="101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0" t="str">
        <f aca="false">IF($A103="","",IF(B103=0,20,IF(B103=1,15,IF(B103=2,10,IF(B103=3,5,0))))+IF(C103="否",20,0)+IF(D103="是",20,0)+IF(E103=1,20,IF(E103=2,15,IF(E103=3,10,IF(E103=4,5,0))))+IF(F103="否",20,0))</f>
        <v/>
      </c>
      <c r="L103" s="101" t="str">
        <f aca="false">IF($A103="","",IF(K103&gt;=80,"达标","未达标"))</f>
        <v/>
      </c>
      <c r="M103" s="102" t="str">
        <f aca="false">IF($A103="","",IFERROR(AVERAGEIFS(K$2:K103,WEEKNUM(A$2:A103,2),WEEKNUM(A103,2)),K103))</f>
        <v/>
      </c>
      <c r="N103" s="103" t="str">
        <f aca="false">IF($A103="","",IFERROR(COUNTIFS(A$2:A103,"&lt;&gt;",L$2:L103,"达标",WEEKNUM(A$2:A103,2),WEEKNUM(A103,2)),0))</f>
        <v/>
      </c>
      <c r="O103" s="100" t="str">
        <f aca="false">IF($A103="","",IF(L103="达标",IF(ROW()=2,1,IF(O102="",1,O102+1)),0))</f>
        <v/>
      </c>
      <c r="P103" s="101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100" t="str">
        <f aca="false">IF($A104="","",IF(B104=0,20,IF(B104=1,15,IF(B104=2,10,IF(B104=3,5,0))))+IF(C104="否",20,0)+IF(D104="是",20,0)+IF(E104=1,20,IF(E104=2,15,IF(E104=3,10,IF(E104=4,5,0))))+IF(F104="否",20,0))</f>
        <v/>
      </c>
      <c r="L104" s="101" t="str">
        <f aca="false">IF($A104="","",IF(K104&gt;=80,"达标","未达标"))</f>
        <v/>
      </c>
      <c r="M104" s="102" t="str">
        <f aca="false">IF($A104="","",IFERROR(AVERAGEIFS(K$2:K104,WEEKNUM(A$2:A104,2),WEEKNUM(A104,2)),K104))</f>
        <v/>
      </c>
      <c r="N104" s="103" t="str">
        <f aca="false">IF($A104="","",IFERROR(COUNTIFS(A$2:A104,"&lt;&gt;",L$2:L104,"达标",WEEKNUM(A$2:A104,2),WEEKNUM(A104,2)),0))</f>
        <v/>
      </c>
      <c r="O104" s="100" t="str">
        <f aca="false">IF($A104="","",IF(L104="达标",IF(ROW()=2,1,IF(O103="",1,O103+1)),0))</f>
        <v/>
      </c>
      <c r="P104" s="101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0" t="str">
        <f aca="false">IF($A105="","",IF(B105=0,20,IF(B105=1,15,IF(B105=2,10,IF(B105=3,5,0))))+IF(C105="否",20,0)+IF(D105="是",20,0)+IF(E105=1,20,IF(E105=2,15,IF(E105=3,10,IF(E105=4,5,0))))+IF(F105="否",20,0))</f>
        <v/>
      </c>
      <c r="L105" s="101" t="str">
        <f aca="false">IF($A105="","",IF(K105&gt;=80,"达标","未达标"))</f>
        <v/>
      </c>
      <c r="M105" s="102" t="str">
        <f aca="false">IF($A105="","",IFERROR(AVERAGEIFS(K$2:K105,WEEKNUM(A$2:A105,2),WEEKNUM(A105,2)),K105))</f>
        <v/>
      </c>
      <c r="N105" s="103" t="str">
        <f aca="false">IF($A105="","",IFERROR(COUNTIFS(A$2:A105,"&lt;&gt;",L$2:L105,"达标",WEEKNUM(A$2:A105,2),WEEKNUM(A105,2)),0))</f>
        <v/>
      </c>
      <c r="O105" s="100" t="str">
        <f aca="false">IF($A105="","",IF(L105="达标",IF(ROW()=2,1,IF(O104="",1,O104+1)),0))</f>
        <v/>
      </c>
      <c r="P105" s="101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100" t="str">
        <f aca="false">IF($A106="","",IF(B106=0,20,IF(B106=1,15,IF(B106=2,10,IF(B106=3,5,0))))+IF(C106="否",20,0)+IF(D106="是",20,0)+IF(E106=1,20,IF(E106=2,15,IF(E106=3,10,IF(E106=4,5,0))))+IF(F106="否",20,0))</f>
        <v/>
      </c>
      <c r="L106" s="101" t="str">
        <f aca="false">IF($A106="","",IF(K106&gt;=80,"达标","未达标"))</f>
        <v/>
      </c>
      <c r="M106" s="102" t="str">
        <f aca="false">IF($A106="","",IFERROR(AVERAGEIFS(K$2:K106,WEEKNUM(A$2:A106,2),WEEKNUM(A106,2)),K106))</f>
        <v/>
      </c>
      <c r="N106" s="103" t="str">
        <f aca="false">IF($A106="","",IFERROR(COUNTIFS(A$2:A106,"&lt;&gt;",L$2:L106,"达标",WEEKNUM(A$2:A106,2),WEEKNUM(A106,2)),0))</f>
        <v/>
      </c>
      <c r="O106" s="100" t="str">
        <f aca="false">IF($A106="","",IF(L106="达标",IF(ROW()=2,1,IF(O105="",1,O105+1)),0))</f>
        <v/>
      </c>
      <c r="P106" s="101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0" t="str">
        <f aca="false">IF($A107="","",IF(B107=0,20,IF(B107=1,15,IF(B107=2,10,IF(B107=3,5,0))))+IF(C107="否",20,0)+IF(D107="是",20,0)+IF(E107=1,20,IF(E107=2,15,IF(E107=3,10,IF(E107=4,5,0))))+IF(F107="否",20,0))</f>
        <v/>
      </c>
      <c r="L107" s="101" t="str">
        <f aca="false">IF($A107="","",IF(K107&gt;=80,"达标","未达标"))</f>
        <v/>
      </c>
      <c r="M107" s="102" t="str">
        <f aca="false">IF($A107="","",IFERROR(AVERAGEIFS(K$2:K107,WEEKNUM(A$2:A107,2),WEEKNUM(A107,2)),K107))</f>
        <v/>
      </c>
      <c r="N107" s="103" t="str">
        <f aca="false">IF($A107="","",IFERROR(COUNTIFS(A$2:A107,"&lt;&gt;",L$2:L107,"达标",WEEKNUM(A$2:A107,2),WEEKNUM(A107,2)),0))</f>
        <v/>
      </c>
      <c r="O107" s="100" t="str">
        <f aca="false">IF($A107="","",IF(L107="达标",IF(ROW()=2,1,IF(O106="",1,O106+1)),0))</f>
        <v/>
      </c>
      <c r="P107" s="101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100" t="str">
        <f aca="false">IF($A108="","",IF(B108=0,20,IF(B108=1,15,IF(B108=2,10,IF(B108=3,5,0))))+IF(C108="否",20,0)+IF(D108="是",20,0)+IF(E108=1,20,IF(E108=2,15,IF(E108=3,10,IF(E108=4,5,0))))+IF(F108="否",20,0))</f>
        <v/>
      </c>
      <c r="L108" s="101" t="str">
        <f aca="false">IF($A108="","",IF(K108&gt;=80,"达标","未达标"))</f>
        <v/>
      </c>
      <c r="M108" s="102" t="str">
        <f aca="false">IF($A108="","",IFERROR(AVERAGEIFS(K$2:K108,WEEKNUM(A$2:A108,2),WEEKNUM(A108,2)),K108))</f>
        <v/>
      </c>
      <c r="N108" s="103" t="str">
        <f aca="false">IF($A108="","",IFERROR(COUNTIFS(A$2:A108,"&lt;&gt;",L$2:L108,"达标",WEEKNUM(A$2:A108,2),WEEKNUM(A108,2)),0))</f>
        <v/>
      </c>
      <c r="O108" s="100" t="str">
        <f aca="false">IF($A108="","",IF(L108="达标",IF(ROW()=2,1,IF(O107="",1,O107+1)),0))</f>
        <v/>
      </c>
      <c r="P108" s="101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0" t="str">
        <f aca="false">IF($A109="","",IF(B109=0,20,IF(B109=1,15,IF(B109=2,10,IF(B109=3,5,0))))+IF(C109="否",20,0)+IF(D109="是",20,0)+IF(E109=1,20,IF(E109=2,15,IF(E109=3,10,IF(E109=4,5,0))))+IF(F109="否",20,0))</f>
        <v/>
      </c>
      <c r="L109" s="101" t="str">
        <f aca="false">IF($A109="","",IF(K109&gt;=80,"达标","未达标"))</f>
        <v/>
      </c>
      <c r="M109" s="102" t="str">
        <f aca="false">IF($A109="","",IFERROR(AVERAGEIFS(K$2:K109,WEEKNUM(A$2:A109,2),WEEKNUM(A109,2)),K109))</f>
        <v/>
      </c>
      <c r="N109" s="103" t="str">
        <f aca="false">IF($A109="","",IFERROR(COUNTIFS(A$2:A109,"&lt;&gt;",L$2:L109,"达标",WEEKNUM(A$2:A109,2),WEEKNUM(A109,2)),0))</f>
        <v/>
      </c>
      <c r="O109" s="100" t="str">
        <f aca="false">IF($A109="","",IF(L109="达标",IF(ROW()=2,1,IF(O108="",1,O108+1)),0))</f>
        <v/>
      </c>
      <c r="P109" s="101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100" t="str">
        <f aca="false">IF($A110="","",IF(B110=0,20,IF(B110=1,15,IF(B110=2,10,IF(B110=3,5,0))))+IF(C110="否",20,0)+IF(D110="是",20,0)+IF(E110=1,20,IF(E110=2,15,IF(E110=3,10,IF(E110=4,5,0))))+IF(F110="否",20,0))</f>
        <v/>
      </c>
      <c r="L110" s="101" t="str">
        <f aca="false">IF($A110="","",IF(K110&gt;=80,"达标","未达标"))</f>
        <v/>
      </c>
      <c r="M110" s="102" t="str">
        <f aca="false">IF($A110="","",IFERROR(AVERAGEIFS(K$2:K110,WEEKNUM(A$2:A110,2),WEEKNUM(A110,2)),K110))</f>
        <v/>
      </c>
      <c r="N110" s="103" t="str">
        <f aca="false">IF($A110="","",IFERROR(COUNTIFS(A$2:A110,"&lt;&gt;",L$2:L110,"达标",WEEKNUM(A$2:A110,2),WEEKNUM(A110,2)),0))</f>
        <v/>
      </c>
      <c r="O110" s="100" t="str">
        <f aca="false">IF($A110="","",IF(L110="达标",IF(ROW()=2,1,IF(O109="",1,O109+1)),0))</f>
        <v/>
      </c>
      <c r="P110" s="101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0" t="str">
        <f aca="false">IF($A111="","",IF(B111=0,20,IF(B111=1,15,IF(B111=2,10,IF(B111=3,5,0))))+IF(C111="否",20,0)+IF(D111="是",20,0)+IF(E111=1,20,IF(E111=2,15,IF(E111=3,10,IF(E111=4,5,0))))+IF(F111="否",20,0))</f>
        <v/>
      </c>
      <c r="L111" s="101" t="str">
        <f aca="false">IF($A111="","",IF(K111&gt;=80,"达标","未达标"))</f>
        <v/>
      </c>
      <c r="M111" s="102" t="str">
        <f aca="false">IF($A111="","",IFERROR(AVERAGEIFS(K$2:K111,WEEKNUM(A$2:A111,2),WEEKNUM(A111,2)),K111))</f>
        <v/>
      </c>
      <c r="N111" s="103" t="str">
        <f aca="false">IF($A111="","",IFERROR(COUNTIFS(A$2:A111,"&lt;&gt;",L$2:L111,"达标",WEEKNUM(A$2:A111,2),WEEKNUM(A111,2)),0))</f>
        <v/>
      </c>
      <c r="O111" s="100" t="str">
        <f aca="false">IF($A111="","",IF(L111="达标",IF(ROW()=2,1,IF(O110="",1,O110+1)),0))</f>
        <v/>
      </c>
      <c r="P111" s="101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100" t="str">
        <f aca="false">IF($A112="","",IF(B112=0,20,IF(B112=1,15,IF(B112=2,10,IF(B112=3,5,0))))+IF(C112="否",20,0)+IF(D112="是",20,0)+IF(E112=1,20,IF(E112=2,15,IF(E112=3,10,IF(E112=4,5,0))))+IF(F112="否",20,0))</f>
        <v/>
      </c>
      <c r="L112" s="101" t="str">
        <f aca="false">IF($A112="","",IF(K112&gt;=80,"达标","未达标"))</f>
        <v/>
      </c>
      <c r="M112" s="102" t="str">
        <f aca="false">IF($A112="","",IFERROR(AVERAGEIFS(K$2:K112,WEEKNUM(A$2:A112,2),WEEKNUM(A112,2)),K112))</f>
        <v/>
      </c>
      <c r="N112" s="103" t="str">
        <f aca="false">IF($A112="","",IFERROR(COUNTIFS(A$2:A112,"&lt;&gt;",L$2:L112,"达标",WEEKNUM(A$2:A112,2),WEEKNUM(A112,2)),0))</f>
        <v/>
      </c>
      <c r="O112" s="100" t="str">
        <f aca="false">IF($A112="","",IF(L112="达标",IF(ROW()=2,1,IF(O111="",1,O111+1)),0))</f>
        <v/>
      </c>
      <c r="P112" s="101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0" t="str">
        <f aca="false">IF($A113="","",IF(B113=0,20,IF(B113=1,15,IF(B113=2,10,IF(B113=3,5,0))))+IF(C113="否",20,0)+IF(D113="是",20,0)+IF(E113=1,20,IF(E113=2,15,IF(E113=3,10,IF(E113=4,5,0))))+IF(F113="否",20,0))</f>
        <v/>
      </c>
      <c r="L113" s="101" t="str">
        <f aca="false">IF($A113="","",IF(K113&gt;=80,"达标","未达标"))</f>
        <v/>
      </c>
      <c r="M113" s="102" t="str">
        <f aca="false">IF($A113="","",IFERROR(AVERAGEIFS(K$2:K113,WEEKNUM(A$2:A113,2),WEEKNUM(A113,2)),K113))</f>
        <v/>
      </c>
      <c r="N113" s="103" t="str">
        <f aca="false">IF($A113="","",IFERROR(COUNTIFS(A$2:A113,"&lt;&gt;",L$2:L113,"达标",WEEKNUM(A$2:A113,2),WEEKNUM(A113,2)),0))</f>
        <v/>
      </c>
      <c r="O113" s="100" t="str">
        <f aca="false">IF($A113="","",IF(L113="达标",IF(ROW()=2,1,IF(O112="",1,O112+1)),0))</f>
        <v/>
      </c>
      <c r="P113" s="101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100" t="str">
        <f aca="false">IF($A114="","",IF(B114=0,20,IF(B114=1,15,IF(B114=2,10,IF(B114=3,5,0))))+IF(C114="否",20,0)+IF(D114="是",20,0)+IF(E114=1,20,IF(E114=2,15,IF(E114=3,10,IF(E114=4,5,0))))+IF(F114="否",20,0))</f>
        <v/>
      </c>
      <c r="L114" s="101" t="str">
        <f aca="false">IF($A114="","",IF(K114&gt;=80,"达标","未达标"))</f>
        <v/>
      </c>
      <c r="M114" s="102" t="str">
        <f aca="false">IF($A114="","",IFERROR(AVERAGEIFS(K$2:K114,WEEKNUM(A$2:A114,2),WEEKNUM(A114,2)),K114))</f>
        <v/>
      </c>
      <c r="N114" s="103" t="str">
        <f aca="false">IF($A114="","",IFERROR(COUNTIFS(A$2:A114,"&lt;&gt;",L$2:L114,"达标",WEEKNUM(A$2:A114,2),WEEKNUM(A114,2)),0))</f>
        <v/>
      </c>
      <c r="O114" s="100" t="str">
        <f aca="false">IF($A114="","",IF(L114="达标",IF(ROW()=2,1,IF(O113="",1,O113+1)),0))</f>
        <v/>
      </c>
      <c r="P114" s="101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0" t="str">
        <f aca="false">IF($A115="","",IF(B115=0,20,IF(B115=1,15,IF(B115=2,10,IF(B115=3,5,0))))+IF(C115="否",20,0)+IF(D115="是",20,0)+IF(E115=1,20,IF(E115=2,15,IF(E115=3,10,IF(E115=4,5,0))))+IF(F115="否",20,0))</f>
        <v/>
      </c>
      <c r="L115" s="101" t="str">
        <f aca="false">IF($A115="","",IF(K115&gt;=80,"达标","未达标"))</f>
        <v/>
      </c>
      <c r="M115" s="102" t="str">
        <f aca="false">IF($A115="","",IFERROR(AVERAGEIFS(K$2:K115,WEEKNUM(A$2:A115,2),WEEKNUM(A115,2)),K115))</f>
        <v/>
      </c>
      <c r="N115" s="103" t="str">
        <f aca="false">IF($A115="","",IFERROR(COUNTIFS(A$2:A115,"&lt;&gt;",L$2:L115,"达标",WEEKNUM(A$2:A115,2),WEEKNUM(A115,2)),0))</f>
        <v/>
      </c>
      <c r="O115" s="100" t="str">
        <f aca="false">IF($A115="","",IF(L115="达标",IF(ROW()=2,1,IF(O114="",1,O114+1)),0))</f>
        <v/>
      </c>
      <c r="P115" s="101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100" t="str">
        <f aca="false">IF($A116="","",IF(B116=0,20,IF(B116=1,15,IF(B116=2,10,IF(B116=3,5,0))))+IF(C116="否",20,0)+IF(D116="是",20,0)+IF(E116=1,20,IF(E116=2,15,IF(E116=3,10,IF(E116=4,5,0))))+IF(F116="否",20,0))</f>
        <v/>
      </c>
      <c r="L116" s="101" t="str">
        <f aca="false">IF($A116="","",IF(K116&gt;=80,"达标","未达标"))</f>
        <v/>
      </c>
      <c r="M116" s="102" t="str">
        <f aca="false">IF($A116="","",IFERROR(AVERAGEIFS(K$2:K116,WEEKNUM(A$2:A116,2),WEEKNUM(A116,2)),K116))</f>
        <v/>
      </c>
      <c r="N116" s="103" t="str">
        <f aca="false">IF($A116="","",IFERROR(COUNTIFS(A$2:A116,"&lt;&gt;",L$2:L116,"达标",WEEKNUM(A$2:A116,2),WEEKNUM(A116,2)),0))</f>
        <v/>
      </c>
      <c r="O116" s="100" t="str">
        <f aca="false">IF($A116="","",IF(L116="达标",IF(ROW()=2,1,IF(O115="",1,O115+1)),0))</f>
        <v/>
      </c>
      <c r="P116" s="101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0" t="str">
        <f aca="false">IF($A117="","",IF(B117=0,20,IF(B117=1,15,IF(B117=2,10,IF(B117=3,5,0))))+IF(C117="否",20,0)+IF(D117="是",20,0)+IF(E117=1,20,IF(E117=2,15,IF(E117=3,10,IF(E117=4,5,0))))+IF(F117="否",20,0))</f>
        <v/>
      </c>
      <c r="L117" s="101" t="str">
        <f aca="false">IF($A117="","",IF(K117&gt;=80,"达标","未达标"))</f>
        <v/>
      </c>
      <c r="M117" s="102" t="str">
        <f aca="false">IF($A117="","",IFERROR(AVERAGEIFS(K$2:K117,WEEKNUM(A$2:A117,2),WEEKNUM(A117,2)),K117))</f>
        <v/>
      </c>
      <c r="N117" s="103" t="str">
        <f aca="false">IF($A117="","",IFERROR(COUNTIFS(A$2:A117,"&lt;&gt;",L$2:L117,"达标",WEEKNUM(A$2:A117,2),WEEKNUM(A117,2)),0))</f>
        <v/>
      </c>
      <c r="O117" s="100" t="str">
        <f aca="false">IF($A117="","",IF(L117="达标",IF(ROW()=2,1,IF(O116="",1,O116+1)),0))</f>
        <v/>
      </c>
      <c r="P117" s="101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100" t="str">
        <f aca="false">IF($A118="","",IF(B118=0,20,IF(B118=1,15,IF(B118=2,10,IF(B118=3,5,0))))+IF(C118="否",20,0)+IF(D118="是",20,0)+IF(E118=1,20,IF(E118=2,15,IF(E118=3,10,IF(E118=4,5,0))))+IF(F118="否",20,0))</f>
        <v/>
      </c>
      <c r="L118" s="101" t="str">
        <f aca="false">IF($A118="","",IF(K118&gt;=80,"达标","未达标"))</f>
        <v/>
      </c>
      <c r="M118" s="102" t="str">
        <f aca="false">IF($A118="","",IFERROR(AVERAGEIFS(K$2:K118,WEEKNUM(A$2:A118,2),WEEKNUM(A118,2)),K118))</f>
        <v/>
      </c>
      <c r="N118" s="103" t="str">
        <f aca="false">IF($A118="","",IFERROR(COUNTIFS(A$2:A118,"&lt;&gt;",L$2:L118,"达标",WEEKNUM(A$2:A118,2),WEEKNUM(A118,2)),0))</f>
        <v/>
      </c>
      <c r="O118" s="100" t="str">
        <f aca="false">IF($A118="","",IF(L118="达标",IF(ROW()=2,1,IF(O117="",1,O117+1)),0))</f>
        <v/>
      </c>
      <c r="P118" s="101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0" t="str">
        <f aca="false">IF($A119="","",IF(B119=0,20,IF(B119=1,15,IF(B119=2,10,IF(B119=3,5,0))))+IF(C119="否",20,0)+IF(D119="是",20,0)+IF(E119=1,20,IF(E119=2,15,IF(E119=3,10,IF(E119=4,5,0))))+IF(F119="否",20,0))</f>
        <v/>
      </c>
      <c r="L119" s="101" t="str">
        <f aca="false">IF($A119="","",IF(K119&gt;=80,"达标","未达标"))</f>
        <v/>
      </c>
      <c r="M119" s="102" t="str">
        <f aca="false">IF($A119="","",IFERROR(AVERAGEIFS(K$2:K119,WEEKNUM(A$2:A119,2),WEEKNUM(A119,2)),K119))</f>
        <v/>
      </c>
      <c r="N119" s="103" t="str">
        <f aca="false">IF($A119="","",IFERROR(COUNTIFS(A$2:A119,"&lt;&gt;",L$2:L119,"达标",WEEKNUM(A$2:A119,2),WEEKNUM(A119,2)),0))</f>
        <v/>
      </c>
      <c r="O119" s="100" t="str">
        <f aca="false">IF($A119="","",IF(L119="达标",IF(ROW()=2,1,IF(O118="",1,O118+1)),0))</f>
        <v/>
      </c>
      <c r="P119" s="101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100" t="str">
        <f aca="false">IF($A120="","",IF(B120=0,20,IF(B120=1,15,IF(B120=2,10,IF(B120=3,5,0))))+IF(C120="否",20,0)+IF(D120="是",20,0)+IF(E120=1,20,IF(E120=2,15,IF(E120=3,10,IF(E120=4,5,0))))+IF(F120="否",20,0))</f>
        <v/>
      </c>
      <c r="L120" s="101" t="str">
        <f aca="false">IF($A120="","",IF(K120&gt;=80,"达标","未达标"))</f>
        <v/>
      </c>
      <c r="M120" s="102" t="str">
        <f aca="false">IF($A120="","",IFERROR(AVERAGEIFS(K$2:K120,WEEKNUM(A$2:A120,2),WEEKNUM(A120,2)),K120))</f>
        <v/>
      </c>
      <c r="N120" s="103" t="str">
        <f aca="false">IF($A120="","",IFERROR(COUNTIFS(A$2:A120,"&lt;&gt;",L$2:L120,"达标",WEEKNUM(A$2:A120,2),WEEKNUM(A120,2)),0))</f>
        <v/>
      </c>
      <c r="O120" s="100" t="str">
        <f aca="false">IF($A120="","",IF(L120="达标",IF(ROW()=2,1,IF(O119="",1,O119+1)),0))</f>
        <v/>
      </c>
      <c r="P120" s="101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0" t="str">
        <f aca="false">IF($A121="","",IF(B121=0,20,IF(B121=1,15,IF(B121=2,10,IF(B121=3,5,0))))+IF(C121="否",20,0)+IF(D121="是",20,0)+IF(E121=1,20,IF(E121=2,15,IF(E121=3,10,IF(E121=4,5,0))))+IF(F121="否",20,0))</f>
        <v/>
      </c>
      <c r="L121" s="101" t="str">
        <f aca="false">IF($A121="","",IF(K121&gt;=80,"达标","未达标"))</f>
        <v/>
      </c>
      <c r="M121" s="102" t="str">
        <f aca="false">IF($A121="","",IFERROR(AVERAGEIFS(K$2:K121,WEEKNUM(A$2:A121,2),WEEKNUM(A121,2)),K121))</f>
        <v/>
      </c>
      <c r="N121" s="103" t="str">
        <f aca="false">IF($A121="","",IFERROR(COUNTIFS(A$2:A121,"&lt;&gt;",L$2:L121,"达标",WEEKNUM(A$2:A121,2),WEEKNUM(A121,2)),0))</f>
        <v/>
      </c>
      <c r="O121" s="100" t="str">
        <f aca="false">IF($A121="","",IF(L121="达标",IF(ROW()=2,1,IF(O120="",1,O120+1)),0))</f>
        <v/>
      </c>
      <c r="P121" s="101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100" t="str">
        <f aca="false">IF($A122="","",IF(B122=0,20,IF(B122=1,15,IF(B122=2,10,IF(B122=3,5,0))))+IF(C122="否",20,0)+IF(D122="是",20,0)+IF(E122=1,20,IF(E122=2,15,IF(E122=3,10,IF(E122=4,5,0))))+IF(F122="否",20,0))</f>
        <v/>
      </c>
      <c r="L122" s="101" t="str">
        <f aca="false">IF($A122="","",IF(K122&gt;=80,"达标","未达标"))</f>
        <v/>
      </c>
      <c r="M122" s="102" t="str">
        <f aca="false">IF($A122="","",IFERROR(AVERAGEIFS(K$2:K122,WEEKNUM(A$2:A122,2),WEEKNUM(A122,2)),K122))</f>
        <v/>
      </c>
      <c r="N122" s="103" t="str">
        <f aca="false">IF($A122="","",IFERROR(COUNTIFS(A$2:A122,"&lt;&gt;",L$2:L122,"达标",WEEKNUM(A$2:A122,2),WEEKNUM(A122,2)),0))</f>
        <v/>
      </c>
      <c r="O122" s="100" t="str">
        <f aca="false">IF($A122="","",IF(L122="达标",IF(ROW()=2,1,IF(O121="",1,O121+1)),0))</f>
        <v/>
      </c>
      <c r="P122" s="101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0" t="str">
        <f aca="false">IF($A123="","",IF(B123=0,20,IF(B123=1,15,IF(B123=2,10,IF(B123=3,5,0))))+IF(C123="否",20,0)+IF(D123="是",20,0)+IF(E123=1,20,IF(E123=2,15,IF(E123=3,10,IF(E123=4,5,0))))+IF(F123="否",20,0))</f>
        <v/>
      </c>
      <c r="L123" s="101" t="str">
        <f aca="false">IF($A123="","",IF(K123&gt;=80,"达标","未达标"))</f>
        <v/>
      </c>
      <c r="M123" s="102" t="str">
        <f aca="false">IF($A123="","",IFERROR(AVERAGEIFS(K$2:K123,WEEKNUM(A$2:A123,2),WEEKNUM(A123,2)),K123))</f>
        <v/>
      </c>
      <c r="N123" s="103" t="str">
        <f aca="false">IF($A123="","",IFERROR(COUNTIFS(A$2:A123,"&lt;&gt;",L$2:L123,"达标",WEEKNUM(A$2:A123,2),WEEKNUM(A123,2)),0))</f>
        <v/>
      </c>
      <c r="O123" s="100" t="str">
        <f aca="false">IF($A123="","",IF(L123="达标",IF(ROW()=2,1,IF(O122="",1,O122+1)),0))</f>
        <v/>
      </c>
      <c r="P123" s="101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100" t="str">
        <f aca="false">IF($A124="","",IF(B124=0,20,IF(B124=1,15,IF(B124=2,10,IF(B124=3,5,0))))+IF(C124="否",20,0)+IF(D124="是",20,0)+IF(E124=1,20,IF(E124=2,15,IF(E124=3,10,IF(E124=4,5,0))))+IF(F124="否",20,0))</f>
        <v/>
      </c>
      <c r="L124" s="101" t="str">
        <f aca="false">IF($A124="","",IF(K124&gt;=80,"达标","未达标"))</f>
        <v/>
      </c>
      <c r="M124" s="102" t="str">
        <f aca="false">IF($A124="","",IFERROR(AVERAGEIFS(K$2:K124,WEEKNUM(A$2:A124,2),WEEKNUM(A124,2)),K124))</f>
        <v/>
      </c>
      <c r="N124" s="103" t="str">
        <f aca="false">IF($A124="","",IFERROR(COUNTIFS(A$2:A124,"&lt;&gt;",L$2:L124,"达标",WEEKNUM(A$2:A124,2),WEEKNUM(A124,2)),0))</f>
        <v/>
      </c>
      <c r="O124" s="100" t="str">
        <f aca="false">IF($A124="","",IF(L124="达标",IF(ROW()=2,1,IF(O123="",1,O123+1)),0))</f>
        <v/>
      </c>
      <c r="P124" s="101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0" t="str">
        <f aca="false">IF($A125="","",IF(B125=0,20,IF(B125=1,15,IF(B125=2,10,IF(B125=3,5,0))))+IF(C125="否",20,0)+IF(D125="是",20,0)+IF(E125=1,20,IF(E125=2,15,IF(E125=3,10,IF(E125=4,5,0))))+IF(F125="否",20,0))</f>
        <v/>
      </c>
      <c r="L125" s="101" t="str">
        <f aca="false">IF($A125="","",IF(K125&gt;=80,"达标","未达标"))</f>
        <v/>
      </c>
      <c r="M125" s="102" t="str">
        <f aca="false">IF($A125="","",IFERROR(AVERAGEIFS(K$2:K125,WEEKNUM(A$2:A125,2),WEEKNUM(A125,2)),K125))</f>
        <v/>
      </c>
      <c r="N125" s="103" t="str">
        <f aca="false">IF($A125="","",IFERROR(COUNTIFS(A$2:A125,"&lt;&gt;",L$2:L125,"达标",WEEKNUM(A$2:A125,2),WEEKNUM(A125,2)),0))</f>
        <v/>
      </c>
      <c r="O125" s="100" t="str">
        <f aca="false">IF($A125="","",IF(L125="达标",IF(ROW()=2,1,IF(O124="",1,O124+1)),0))</f>
        <v/>
      </c>
      <c r="P125" s="101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100" t="str">
        <f aca="false">IF($A126="","",IF(B126=0,20,IF(B126=1,15,IF(B126=2,10,IF(B126=3,5,0))))+IF(C126="否",20,0)+IF(D126="是",20,0)+IF(E126=1,20,IF(E126=2,15,IF(E126=3,10,IF(E126=4,5,0))))+IF(F126="否",20,0))</f>
        <v/>
      </c>
      <c r="L126" s="101" t="str">
        <f aca="false">IF($A126="","",IF(K126&gt;=80,"达标","未达标"))</f>
        <v/>
      </c>
      <c r="M126" s="102" t="str">
        <f aca="false">IF($A126="","",IFERROR(AVERAGEIFS(K$2:K126,WEEKNUM(A$2:A126,2),WEEKNUM(A126,2)),K126))</f>
        <v/>
      </c>
      <c r="N126" s="103" t="str">
        <f aca="false">IF($A126="","",IFERROR(COUNTIFS(A$2:A126,"&lt;&gt;",L$2:L126,"达标",WEEKNUM(A$2:A126,2),WEEKNUM(A126,2)),0))</f>
        <v/>
      </c>
      <c r="O126" s="100" t="str">
        <f aca="false">IF($A126="","",IF(L126="达标",IF(ROW()=2,1,IF(O125="",1,O125+1)),0))</f>
        <v/>
      </c>
      <c r="P126" s="101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0" t="str">
        <f aca="false">IF($A127="","",IF(B127=0,20,IF(B127=1,15,IF(B127=2,10,IF(B127=3,5,0))))+IF(C127="否",20,0)+IF(D127="是",20,0)+IF(E127=1,20,IF(E127=2,15,IF(E127=3,10,IF(E127=4,5,0))))+IF(F127="否",20,0))</f>
        <v/>
      </c>
      <c r="L127" s="101" t="str">
        <f aca="false">IF($A127="","",IF(K127&gt;=80,"达标","未达标"))</f>
        <v/>
      </c>
      <c r="M127" s="102" t="str">
        <f aca="false">IF($A127="","",IFERROR(AVERAGEIFS(K$2:K127,WEEKNUM(A$2:A127,2),WEEKNUM(A127,2)),K127))</f>
        <v/>
      </c>
      <c r="N127" s="103" t="str">
        <f aca="false">IF($A127="","",IFERROR(COUNTIFS(A$2:A127,"&lt;&gt;",L$2:L127,"达标",WEEKNUM(A$2:A127,2),WEEKNUM(A127,2)),0))</f>
        <v/>
      </c>
      <c r="O127" s="100" t="str">
        <f aca="false">IF($A127="","",IF(L127="达标",IF(ROW()=2,1,IF(O126="",1,O126+1)),0))</f>
        <v/>
      </c>
      <c r="P127" s="101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100" t="str">
        <f aca="false">IF($A128="","",IF(B128=0,20,IF(B128=1,15,IF(B128=2,10,IF(B128=3,5,0))))+IF(C128="否",20,0)+IF(D128="是",20,0)+IF(E128=1,20,IF(E128=2,15,IF(E128=3,10,IF(E128=4,5,0))))+IF(F128="否",20,0))</f>
        <v/>
      </c>
      <c r="L128" s="101" t="str">
        <f aca="false">IF($A128="","",IF(K128&gt;=80,"达标","未达标"))</f>
        <v/>
      </c>
      <c r="M128" s="102" t="str">
        <f aca="false">IF($A128="","",IFERROR(AVERAGEIFS(K$2:K128,WEEKNUM(A$2:A128,2),WEEKNUM(A128,2)),K128))</f>
        <v/>
      </c>
      <c r="N128" s="103" t="str">
        <f aca="false">IF($A128="","",IFERROR(COUNTIFS(A$2:A128,"&lt;&gt;",L$2:L128,"达标",WEEKNUM(A$2:A128,2),WEEKNUM(A128,2)),0))</f>
        <v/>
      </c>
      <c r="O128" s="100" t="str">
        <f aca="false">IF($A128="","",IF(L128="达标",IF(ROW()=2,1,IF(O127="",1,O127+1)),0))</f>
        <v/>
      </c>
      <c r="P128" s="101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0" t="str">
        <f aca="false">IF($A129="","",IF(B129=0,20,IF(B129=1,15,IF(B129=2,10,IF(B129=3,5,0))))+IF(C129="否",20,0)+IF(D129="是",20,0)+IF(E129=1,20,IF(E129=2,15,IF(E129=3,10,IF(E129=4,5,0))))+IF(F129="否",20,0))</f>
        <v/>
      </c>
      <c r="L129" s="101" t="str">
        <f aca="false">IF($A129="","",IF(K129&gt;=80,"达标","未达标"))</f>
        <v/>
      </c>
      <c r="M129" s="102" t="str">
        <f aca="false">IF($A129="","",IFERROR(AVERAGEIFS(K$2:K129,WEEKNUM(A$2:A129,2),WEEKNUM(A129,2)),K129))</f>
        <v/>
      </c>
      <c r="N129" s="103" t="str">
        <f aca="false">IF($A129="","",IFERROR(COUNTIFS(A$2:A129,"&lt;&gt;",L$2:L129,"达标",WEEKNUM(A$2:A129,2),WEEKNUM(A129,2)),0))</f>
        <v/>
      </c>
      <c r="O129" s="100" t="str">
        <f aca="false">IF($A129="","",IF(L129="达标",IF(ROW()=2,1,IF(O128="",1,O128+1)),0))</f>
        <v/>
      </c>
      <c r="P129" s="101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100" t="str">
        <f aca="false">IF($A130="","",IF(B130=0,20,IF(B130=1,15,IF(B130=2,10,IF(B130=3,5,0))))+IF(C130="否",20,0)+IF(D130="是",20,0)+IF(E130=1,20,IF(E130=2,15,IF(E130=3,10,IF(E130=4,5,0))))+IF(F130="否",20,0))</f>
        <v/>
      </c>
      <c r="L130" s="101" t="str">
        <f aca="false">IF($A130="","",IF(K130&gt;=80,"达标","未达标"))</f>
        <v/>
      </c>
      <c r="M130" s="102" t="str">
        <f aca="false">IF($A130="","",IFERROR(AVERAGEIFS(K$2:K130,WEEKNUM(A$2:A130,2),WEEKNUM(A130,2)),K130))</f>
        <v/>
      </c>
      <c r="N130" s="103" t="str">
        <f aca="false">IF($A130="","",IFERROR(COUNTIFS(A$2:A130,"&lt;&gt;",L$2:L130,"达标",WEEKNUM(A$2:A130,2),WEEKNUM(A130,2)),0))</f>
        <v/>
      </c>
      <c r="O130" s="100" t="str">
        <f aca="false">IF($A130="","",IF(L130="达标",IF(ROW()=2,1,IF(O129="",1,O129+1)),0))</f>
        <v/>
      </c>
      <c r="P130" s="101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0" t="str">
        <f aca="false">IF($A131="","",IF(B131=0,20,IF(B131=1,15,IF(B131=2,10,IF(B131=3,5,0))))+IF(C131="否",20,0)+IF(D131="是",20,0)+IF(E131=1,20,IF(E131=2,15,IF(E131=3,10,IF(E131=4,5,0))))+IF(F131="否",20,0))</f>
        <v/>
      </c>
      <c r="L131" s="101" t="str">
        <f aca="false">IF($A131="","",IF(K131&gt;=80,"达标","未达标"))</f>
        <v/>
      </c>
      <c r="M131" s="102" t="str">
        <f aca="false">IF($A131="","",IFERROR(AVERAGEIFS(K$2:K131,WEEKNUM(A$2:A131,2),WEEKNUM(A131,2)),K131))</f>
        <v/>
      </c>
      <c r="N131" s="103" t="str">
        <f aca="false">IF($A131="","",IFERROR(COUNTIFS(A$2:A131,"&lt;&gt;",L$2:L131,"达标",WEEKNUM(A$2:A131,2),WEEKNUM(A131,2)),0))</f>
        <v/>
      </c>
      <c r="O131" s="100" t="str">
        <f aca="false">IF($A131="","",IF(L131="达标",IF(ROW()=2,1,IF(O130="",1,O130+1)),0))</f>
        <v/>
      </c>
      <c r="P131" s="101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100" t="str">
        <f aca="false">IF($A132="","",IF(B132=0,20,IF(B132=1,15,IF(B132=2,10,IF(B132=3,5,0))))+IF(C132="否",20,0)+IF(D132="是",20,0)+IF(E132=1,20,IF(E132=2,15,IF(E132=3,10,IF(E132=4,5,0))))+IF(F132="否",20,0))</f>
        <v/>
      </c>
      <c r="L132" s="101" t="str">
        <f aca="false">IF($A132="","",IF(K132&gt;=80,"达标","未达标"))</f>
        <v/>
      </c>
      <c r="M132" s="102" t="str">
        <f aca="false">IF($A132="","",IFERROR(AVERAGEIFS(K$2:K132,WEEKNUM(A$2:A132,2),WEEKNUM(A132,2)),K132))</f>
        <v/>
      </c>
      <c r="N132" s="103" t="str">
        <f aca="false">IF($A132="","",IFERROR(COUNTIFS(A$2:A132,"&lt;&gt;",L$2:L132,"达标",WEEKNUM(A$2:A132,2),WEEKNUM(A132,2)),0))</f>
        <v/>
      </c>
      <c r="O132" s="100" t="str">
        <f aca="false">IF($A132="","",IF(L132="达标",IF(ROW()=2,1,IF(O131="",1,O131+1)),0))</f>
        <v/>
      </c>
      <c r="P132" s="101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0" t="str">
        <f aca="false">IF($A133="","",IF(B133=0,20,IF(B133=1,15,IF(B133=2,10,IF(B133=3,5,0))))+IF(C133="否",20,0)+IF(D133="是",20,0)+IF(E133=1,20,IF(E133=2,15,IF(E133=3,10,IF(E133=4,5,0))))+IF(F133="否",20,0))</f>
        <v/>
      </c>
      <c r="L133" s="101" t="str">
        <f aca="false">IF($A133="","",IF(K133&gt;=80,"达标","未达标"))</f>
        <v/>
      </c>
      <c r="M133" s="102" t="str">
        <f aca="false">IF($A133="","",IFERROR(AVERAGEIFS(K$2:K133,WEEKNUM(A$2:A133,2),WEEKNUM(A133,2)),K133))</f>
        <v/>
      </c>
      <c r="N133" s="103" t="str">
        <f aca="false">IF($A133="","",IFERROR(COUNTIFS(A$2:A133,"&lt;&gt;",L$2:L133,"达标",WEEKNUM(A$2:A133,2),WEEKNUM(A133,2)),0))</f>
        <v/>
      </c>
      <c r="O133" s="100" t="str">
        <f aca="false">IF($A133="","",IF(L133="达标",IF(ROW()=2,1,IF(O132="",1,O132+1)),0))</f>
        <v/>
      </c>
      <c r="P133" s="101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100" t="str">
        <f aca="false">IF($A134="","",IF(B134=0,20,IF(B134=1,15,IF(B134=2,10,IF(B134=3,5,0))))+IF(C134="否",20,0)+IF(D134="是",20,0)+IF(E134=1,20,IF(E134=2,15,IF(E134=3,10,IF(E134=4,5,0))))+IF(F134="否",20,0))</f>
        <v/>
      </c>
      <c r="L134" s="101" t="str">
        <f aca="false">IF($A134="","",IF(K134&gt;=80,"达标","未达标"))</f>
        <v/>
      </c>
      <c r="M134" s="102" t="str">
        <f aca="false">IF($A134="","",IFERROR(AVERAGEIFS(K$2:K134,WEEKNUM(A$2:A134,2),WEEKNUM(A134,2)),K134))</f>
        <v/>
      </c>
      <c r="N134" s="103" t="str">
        <f aca="false">IF($A134="","",IFERROR(COUNTIFS(A$2:A134,"&lt;&gt;",L$2:L134,"达标",WEEKNUM(A$2:A134,2),WEEKNUM(A134,2)),0))</f>
        <v/>
      </c>
      <c r="O134" s="100" t="str">
        <f aca="false">IF($A134="","",IF(L134="达标",IF(ROW()=2,1,IF(O133="",1,O133+1)),0))</f>
        <v/>
      </c>
      <c r="P134" s="101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0" t="str">
        <f aca="false">IF($A135="","",IF(B135=0,20,IF(B135=1,15,IF(B135=2,10,IF(B135=3,5,0))))+IF(C135="否",20,0)+IF(D135="是",20,0)+IF(E135=1,20,IF(E135=2,15,IF(E135=3,10,IF(E135=4,5,0))))+IF(F135="否",20,0))</f>
        <v/>
      </c>
      <c r="L135" s="101" t="str">
        <f aca="false">IF($A135="","",IF(K135&gt;=80,"达标","未达标"))</f>
        <v/>
      </c>
      <c r="M135" s="102" t="str">
        <f aca="false">IF($A135="","",IFERROR(AVERAGEIFS(K$2:K135,WEEKNUM(A$2:A135,2),WEEKNUM(A135,2)),K135))</f>
        <v/>
      </c>
      <c r="N135" s="103" t="str">
        <f aca="false">IF($A135="","",IFERROR(COUNTIFS(A$2:A135,"&lt;&gt;",L$2:L135,"达标",WEEKNUM(A$2:A135,2),WEEKNUM(A135,2)),0))</f>
        <v/>
      </c>
      <c r="O135" s="100" t="str">
        <f aca="false">IF($A135="","",IF(L135="达标",IF(ROW()=2,1,IF(O134="",1,O134+1)),0))</f>
        <v/>
      </c>
      <c r="P135" s="101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100" t="str">
        <f aca="false">IF($A136="","",IF(B136=0,20,IF(B136=1,15,IF(B136=2,10,IF(B136=3,5,0))))+IF(C136="否",20,0)+IF(D136="是",20,0)+IF(E136=1,20,IF(E136=2,15,IF(E136=3,10,IF(E136=4,5,0))))+IF(F136="否",20,0))</f>
        <v/>
      </c>
      <c r="L136" s="101" t="str">
        <f aca="false">IF($A136="","",IF(K136&gt;=80,"达标","未达标"))</f>
        <v/>
      </c>
      <c r="M136" s="102" t="str">
        <f aca="false">IF($A136="","",IFERROR(AVERAGEIFS(K$2:K136,WEEKNUM(A$2:A136,2),WEEKNUM(A136,2)),K136))</f>
        <v/>
      </c>
      <c r="N136" s="103" t="str">
        <f aca="false">IF($A136="","",IFERROR(COUNTIFS(A$2:A136,"&lt;&gt;",L$2:L136,"达标",WEEKNUM(A$2:A136,2),WEEKNUM(A136,2)),0))</f>
        <v/>
      </c>
      <c r="O136" s="100" t="str">
        <f aca="false">IF($A136="","",IF(L136="达标",IF(ROW()=2,1,IF(O135="",1,O135+1)),0))</f>
        <v/>
      </c>
      <c r="P136" s="101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0" t="str">
        <f aca="false">IF($A137="","",IF(B137=0,20,IF(B137=1,15,IF(B137=2,10,IF(B137=3,5,0))))+IF(C137="否",20,0)+IF(D137="是",20,0)+IF(E137=1,20,IF(E137=2,15,IF(E137=3,10,IF(E137=4,5,0))))+IF(F137="否",20,0))</f>
        <v/>
      </c>
      <c r="L137" s="101" t="str">
        <f aca="false">IF($A137="","",IF(K137&gt;=80,"达标","未达标"))</f>
        <v/>
      </c>
      <c r="M137" s="102" t="str">
        <f aca="false">IF($A137="","",IFERROR(AVERAGEIFS(K$2:K137,WEEKNUM(A$2:A137,2),WEEKNUM(A137,2)),K137))</f>
        <v/>
      </c>
      <c r="N137" s="103" t="str">
        <f aca="false">IF($A137="","",IFERROR(COUNTIFS(A$2:A137,"&lt;&gt;",L$2:L137,"达标",WEEKNUM(A$2:A137,2),WEEKNUM(A137,2)),0))</f>
        <v/>
      </c>
      <c r="O137" s="100" t="str">
        <f aca="false">IF($A137="","",IF(L137="达标",IF(ROW()=2,1,IF(O136="",1,O136+1)),0))</f>
        <v/>
      </c>
      <c r="P137" s="101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100" t="str">
        <f aca="false">IF($A138="","",IF(B138=0,20,IF(B138=1,15,IF(B138=2,10,IF(B138=3,5,0))))+IF(C138="否",20,0)+IF(D138="是",20,0)+IF(E138=1,20,IF(E138=2,15,IF(E138=3,10,IF(E138=4,5,0))))+IF(F138="否",20,0))</f>
        <v/>
      </c>
      <c r="L138" s="101" t="str">
        <f aca="false">IF($A138="","",IF(K138&gt;=80,"达标","未达标"))</f>
        <v/>
      </c>
      <c r="M138" s="102" t="str">
        <f aca="false">IF($A138="","",IFERROR(AVERAGEIFS(K$2:K138,WEEKNUM(A$2:A138,2),WEEKNUM(A138,2)),K138))</f>
        <v/>
      </c>
      <c r="N138" s="103" t="str">
        <f aca="false">IF($A138="","",IFERROR(COUNTIFS(A$2:A138,"&lt;&gt;",L$2:L138,"达标",WEEKNUM(A$2:A138,2),WEEKNUM(A138,2)),0))</f>
        <v/>
      </c>
      <c r="O138" s="100" t="str">
        <f aca="false">IF($A138="","",IF(L138="达标",IF(ROW()=2,1,IF(O137="",1,O137+1)),0))</f>
        <v/>
      </c>
      <c r="P138" s="101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0" t="str">
        <f aca="false">IF($A139="","",IF(B139=0,20,IF(B139=1,15,IF(B139=2,10,IF(B139=3,5,0))))+IF(C139="否",20,0)+IF(D139="是",20,0)+IF(E139=1,20,IF(E139=2,15,IF(E139=3,10,IF(E139=4,5,0))))+IF(F139="否",20,0))</f>
        <v/>
      </c>
      <c r="L139" s="101" t="str">
        <f aca="false">IF($A139="","",IF(K139&gt;=80,"达标","未达标"))</f>
        <v/>
      </c>
      <c r="M139" s="102" t="str">
        <f aca="false">IF($A139="","",IFERROR(AVERAGEIFS(K$2:K139,WEEKNUM(A$2:A139,2),WEEKNUM(A139,2)),K139))</f>
        <v/>
      </c>
      <c r="N139" s="103" t="str">
        <f aca="false">IF($A139="","",IFERROR(COUNTIFS(A$2:A139,"&lt;&gt;",L$2:L139,"达标",WEEKNUM(A$2:A139,2),WEEKNUM(A139,2)),0))</f>
        <v/>
      </c>
      <c r="O139" s="100" t="str">
        <f aca="false">IF($A139="","",IF(L139="达标",IF(ROW()=2,1,IF(O138="",1,O138+1)),0))</f>
        <v/>
      </c>
      <c r="P139" s="101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100" t="str">
        <f aca="false">IF($A140="","",IF(B140=0,20,IF(B140=1,15,IF(B140=2,10,IF(B140=3,5,0))))+IF(C140="否",20,0)+IF(D140="是",20,0)+IF(E140=1,20,IF(E140=2,15,IF(E140=3,10,IF(E140=4,5,0))))+IF(F140="否",20,0))</f>
        <v/>
      </c>
      <c r="L140" s="101" t="str">
        <f aca="false">IF($A140="","",IF(K140&gt;=80,"达标","未达标"))</f>
        <v/>
      </c>
      <c r="M140" s="102" t="str">
        <f aca="false">IF($A140="","",IFERROR(AVERAGEIFS(K$2:K140,WEEKNUM(A$2:A140,2),WEEKNUM(A140,2)),K140))</f>
        <v/>
      </c>
      <c r="N140" s="103" t="str">
        <f aca="false">IF($A140="","",IFERROR(COUNTIFS(A$2:A140,"&lt;&gt;",L$2:L140,"达标",WEEKNUM(A$2:A140,2),WEEKNUM(A140,2)),0))</f>
        <v/>
      </c>
      <c r="O140" s="100" t="str">
        <f aca="false">IF($A140="","",IF(L140="达标",IF(ROW()=2,1,IF(O139="",1,O139+1)),0))</f>
        <v/>
      </c>
      <c r="P140" s="101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0" t="str">
        <f aca="false">IF($A141="","",IF(B141=0,20,IF(B141=1,15,IF(B141=2,10,IF(B141=3,5,0))))+IF(C141="否",20,0)+IF(D141="是",20,0)+IF(E141=1,20,IF(E141=2,15,IF(E141=3,10,IF(E141=4,5,0))))+IF(F141="否",20,0))</f>
        <v/>
      </c>
      <c r="L141" s="101" t="str">
        <f aca="false">IF($A141="","",IF(K141&gt;=80,"达标","未达标"))</f>
        <v/>
      </c>
      <c r="M141" s="102" t="str">
        <f aca="false">IF($A141="","",IFERROR(AVERAGEIFS(K$2:K141,WEEKNUM(A$2:A141,2),WEEKNUM(A141,2)),K141))</f>
        <v/>
      </c>
      <c r="N141" s="103" t="str">
        <f aca="false">IF($A141="","",IFERROR(COUNTIFS(A$2:A141,"&lt;&gt;",L$2:L141,"达标",WEEKNUM(A$2:A141,2),WEEKNUM(A141,2)),0))</f>
        <v/>
      </c>
      <c r="O141" s="100" t="str">
        <f aca="false">IF($A141="","",IF(L141="达标",IF(ROW()=2,1,IF(O140="",1,O140+1)),0))</f>
        <v/>
      </c>
      <c r="P141" s="101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100" t="str">
        <f aca="false">IF($A142="","",IF(B142=0,20,IF(B142=1,15,IF(B142=2,10,IF(B142=3,5,0))))+IF(C142="否",20,0)+IF(D142="是",20,0)+IF(E142=1,20,IF(E142=2,15,IF(E142=3,10,IF(E142=4,5,0))))+IF(F142="否",20,0))</f>
        <v/>
      </c>
      <c r="L142" s="101" t="str">
        <f aca="false">IF($A142="","",IF(K142&gt;=80,"达标","未达标"))</f>
        <v/>
      </c>
      <c r="M142" s="102" t="str">
        <f aca="false">IF($A142="","",IFERROR(AVERAGEIFS(K$2:K142,WEEKNUM(A$2:A142,2),WEEKNUM(A142,2)),K142))</f>
        <v/>
      </c>
      <c r="N142" s="103" t="str">
        <f aca="false">IF($A142="","",IFERROR(COUNTIFS(A$2:A142,"&lt;&gt;",L$2:L142,"达标",WEEKNUM(A$2:A142,2),WEEKNUM(A142,2)),0))</f>
        <v/>
      </c>
      <c r="O142" s="100" t="str">
        <f aca="false">IF($A142="","",IF(L142="达标",IF(ROW()=2,1,IF(O141="",1,O141+1)),0))</f>
        <v/>
      </c>
      <c r="P142" s="101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0" t="str">
        <f aca="false">IF($A143="","",IF(B143=0,20,IF(B143=1,15,IF(B143=2,10,IF(B143=3,5,0))))+IF(C143="否",20,0)+IF(D143="是",20,0)+IF(E143=1,20,IF(E143=2,15,IF(E143=3,10,IF(E143=4,5,0))))+IF(F143="否",20,0))</f>
        <v/>
      </c>
      <c r="L143" s="101" t="str">
        <f aca="false">IF($A143="","",IF(K143&gt;=80,"达标","未达标"))</f>
        <v/>
      </c>
      <c r="M143" s="102" t="str">
        <f aca="false">IF($A143="","",IFERROR(AVERAGEIFS(K$2:K143,WEEKNUM(A$2:A143,2),WEEKNUM(A143,2)),K143))</f>
        <v/>
      </c>
      <c r="N143" s="103" t="str">
        <f aca="false">IF($A143="","",IFERROR(COUNTIFS(A$2:A143,"&lt;&gt;",L$2:L143,"达标",WEEKNUM(A$2:A143,2),WEEKNUM(A143,2)),0))</f>
        <v/>
      </c>
      <c r="O143" s="100" t="str">
        <f aca="false">IF($A143="","",IF(L143="达标",IF(ROW()=2,1,IF(O142="",1,O142+1)),0))</f>
        <v/>
      </c>
      <c r="P143" s="101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100" t="str">
        <f aca="false">IF($A144="","",IF(B144=0,20,IF(B144=1,15,IF(B144=2,10,IF(B144=3,5,0))))+IF(C144="否",20,0)+IF(D144="是",20,0)+IF(E144=1,20,IF(E144=2,15,IF(E144=3,10,IF(E144=4,5,0))))+IF(F144="否",20,0))</f>
        <v/>
      </c>
      <c r="L144" s="101" t="str">
        <f aca="false">IF($A144="","",IF(K144&gt;=80,"达标","未达标"))</f>
        <v/>
      </c>
      <c r="M144" s="102" t="str">
        <f aca="false">IF($A144="","",IFERROR(AVERAGEIFS(K$2:K144,WEEKNUM(A$2:A144,2),WEEKNUM(A144,2)),K144))</f>
        <v/>
      </c>
      <c r="N144" s="103" t="str">
        <f aca="false">IF($A144="","",IFERROR(COUNTIFS(A$2:A144,"&lt;&gt;",L$2:L144,"达标",WEEKNUM(A$2:A144,2),WEEKNUM(A144,2)),0))</f>
        <v/>
      </c>
      <c r="O144" s="100" t="str">
        <f aca="false">IF($A144="","",IF(L144="达标",IF(ROW()=2,1,IF(O143="",1,O143+1)),0))</f>
        <v/>
      </c>
      <c r="P144" s="101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0" t="str">
        <f aca="false">IF($A145="","",IF(B145=0,20,IF(B145=1,15,IF(B145=2,10,IF(B145=3,5,0))))+IF(C145="否",20,0)+IF(D145="是",20,0)+IF(E145=1,20,IF(E145=2,15,IF(E145=3,10,IF(E145=4,5,0))))+IF(F145="否",20,0))</f>
        <v/>
      </c>
      <c r="L145" s="101" t="str">
        <f aca="false">IF($A145="","",IF(K145&gt;=80,"达标","未达标"))</f>
        <v/>
      </c>
      <c r="M145" s="102" t="str">
        <f aca="false">IF($A145="","",IFERROR(AVERAGEIFS(K$2:K145,WEEKNUM(A$2:A145,2),WEEKNUM(A145,2)),K145))</f>
        <v/>
      </c>
      <c r="N145" s="103" t="str">
        <f aca="false">IF($A145="","",IFERROR(COUNTIFS(A$2:A145,"&lt;&gt;",L$2:L145,"达标",WEEKNUM(A$2:A145,2),WEEKNUM(A145,2)),0))</f>
        <v/>
      </c>
      <c r="O145" s="100" t="str">
        <f aca="false">IF($A145="","",IF(L145="达标",IF(ROW()=2,1,IF(O144="",1,O144+1)),0))</f>
        <v/>
      </c>
      <c r="P145" s="101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100" t="str">
        <f aca="false">IF($A146="","",IF(B146=0,20,IF(B146=1,15,IF(B146=2,10,IF(B146=3,5,0))))+IF(C146="否",20,0)+IF(D146="是",20,0)+IF(E146=1,20,IF(E146=2,15,IF(E146=3,10,IF(E146=4,5,0))))+IF(F146="否",20,0))</f>
        <v/>
      </c>
      <c r="L146" s="101" t="str">
        <f aca="false">IF($A146="","",IF(K146&gt;=80,"达标","未达标"))</f>
        <v/>
      </c>
      <c r="M146" s="102" t="str">
        <f aca="false">IF($A146="","",IFERROR(AVERAGEIFS(K$2:K146,WEEKNUM(A$2:A146,2),WEEKNUM(A146,2)),K146))</f>
        <v/>
      </c>
      <c r="N146" s="103" t="str">
        <f aca="false">IF($A146="","",IFERROR(COUNTIFS(A$2:A146,"&lt;&gt;",L$2:L146,"达标",WEEKNUM(A$2:A146,2),WEEKNUM(A146,2)),0))</f>
        <v/>
      </c>
      <c r="O146" s="100" t="str">
        <f aca="false">IF($A146="","",IF(L146="达标",IF(ROW()=2,1,IF(O145="",1,O145+1)),0))</f>
        <v/>
      </c>
      <c r="P146" s="101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0" t="str">
        <f aca="false">IF($A147="","",IF(B147=0,20,IF(B147=1,15,IF(B147=2,10,IF(B147=3,5,0))))+IF(C147="否",20,0)+IF(D147="是",20,0)+IF(E147=1,20,IF(E147=2,15,IF(E147=3,10,IF(E147=4,5,0))))+IF(F147="否",20,0))</f>
        <v/>
      </c>
      <c r="L147" s="101" t="str">
        <f aca="false">IF($A147="","",IF(K147&gt;=80,"达标","未达标"))</f>
        <v/>
      </c>
      <c r="M147" s="102" t="str">
        <f aca="false">IF($A147="","",IFERROR(AVERAGEIFS(K$2:K147,WEEKNUM(A$2:A147,2),WEEKNUM(A147,2)),K147))</f>
        <v/>
      </c>
      <c r="N147" s="103" t="str">
        <f aca="false">IF($A147="","",IFERROR(COUNTIFS(A$2:A147,"&lt;&gt;",L$2:L147,"达标",WEEKNUM(A$2:A147,2),WEEKNUM(A147,2)),0))</f>
        <v/>
      </c>
      <c r="O147" s="100" t="str">
        <f aca="false">IF($A147="","",IF(L147="达标",IF(ROW()=2,1,IF(O146="",1,O146+1)),0))</f>
        <v/>
      </c>
      <c r="P147" s="101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100" t="str">
        <f aca="false">IF($A148="","",IF(B148=0,20,IF(B148=1,15,IF(B148=2,10,IF(B148=3,5,0))))+IF(C148="否",20,0)+IF(D148="是",20,0)+IF(E148=1,20,IF(E148=2,15,IF(E148=3,10,IF(E148=4,5,0))))+IF(F148="否",20,0))</f>
        <v/>
      </c>
      <c r="L148" s="101" t="str">
        <f aca="false">IF($A148="","",IF(K148&gt;=80,"达标","未达标"))</f>
        <v/>
      </c>
      <c r="M148" s="102" t="str">
        <f aca="false">IF($A148="","",IFERROR(AVERAGEIFS(K$2:K148,WEEKNUM(A$2:A148,2),WEEKNUM(A148,2)),K148))</f>
        <v/>
      </c>
      <c r="N148" s="103" t="str">
        <f aca="false">IF($A148="","",IFERROR(COUNTIFS(A$2:A148,"&lt;&gt;",L$2:L148,"达标",WEEKNUM(A$2:A148,2),WEEKNUM(A148,2)),0))</f>
        <v/>
      </c>
      <c r="O148" s="100" t="str">
        <f aca="false">IF($A148="","",IF(L148="达标",IF(ROW()=2,1,IF(O147="",1,O147+1)),0))</f>
        <v/>
      </c>
      <c r="P148" s="101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0" t="str">
        <f aca="false">IF($A149="","",IF(B149=0,20,IF(B149=1,15,IF(B149=2,10,IF(B149=3,5,0))))+IF(C149="否",20,0)+IF(D149="是",20,0)+IF(E149=1,20,IF(E149=2,15,IF(E149=3,10,IF(E149=4,5,0))))+IF(F149="否",20,0))</f>
        <v/>
      </c>
      <c r="L149" s="101" t="str">
        <f aca="false">IF($A149="","",IF(K149&gt;=80,"达标","未达标"))</f>
        <v/>
      </c>
      <c r="M149" s="102" t="str">
        <f aca="false">IF($A149="","",IFERROR(AVERAGEIFS(K$2:K149,WEEKNUM(A$2:A149,2),WEEKNUM(A149,2)),K149))</f>
        <v/>
      </c>
      <c r="N149" s="103" t="str">
        <f aca="false">IF($A149="","",IFERROR(COUNTIFS(A$2:A149,"&lt;&gt;",L$2:L149,"达标",WEEKNUM(A$2:A149,2),WEEKNUM(A149,2)),0))</f>
        <v/>
      </c>
      <c r="O149" s="100" t="str">
        <f aca="false">IF($A149="","",IF(L149="达标",IF(ROW()=2,1,IF(O148="",1,O148+1)),0))</f>
        <v/>
      </c>
      <c r="P149" s="101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100" t="str">
        <f aca="false">IF($A150="","",IF(B150=0,20,IF(B150=1,15,IF(B150=2,10,IF(B150=3,5,0))))+IF(C150="否",20,0)+IF(D150="是",20,0)+IF(E150=1,20,IF(E150=2,15,IF(E150=3,10,IF(E150=4,5,0))))+IF(F150="否",20,0))</f>
        <v/>
      </c>
      <c r="L150" s="101" t="str">
        <f aca="false">IF($A150="","",IF(K150&gt;=80,"达标","未达标"))</f>
        <v/>
      </c>
      <c r="M150" s="102" t="str">
        <f aca="false">IF($A150="","",IFERROR(AVERAGEIFS(K$2:K150,WEEKNUM(A$2:A150,2),WEEKNUM(A150,2)),K150))</f>
        <v/>
      </c>
      <c r="N150" s="103" t="str">
        <f aca="false">IF($A150="","",IFERROR(COUNTIFS(A$2:A150,"&lt;&gt;",L$2:L150,"达标",WEEKNUM(A$2:A150,2),WEEKNUM(A150,2)),0))</f>
        <v/>
      </c>
      <c r="O150" s="100" t="str">
        <f aca="false">IF($A150="","",IF(L150="达标",IF(ROW()=2,1,IF(O149="",1,O149+1)),0))</f>
        <v/>
      </c>
      <c r="P150" s="101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0" t="str">
        <f aca="false">IF($A151="","",IF(B151=0,20,IF(B151=1,15,IF(B151=2,10,IF(B151=3,5,0))))+IF(C151="否",20,0)+IF(D151="是",20,0)+IF(E151=1,20,IF(E151=2,15,IF(E151=3,10,IF(E151=4,5,0))))+IF(F151="否",20,0))</f>
        <v/>
      </c>
      <c r="L151" s="101" t="str">
        <f aca="false">IF($A151="","",IF(K151&gt;=80,"达标","未达标"))</f>
        <v/>
      </c>
      <c r="M151" s="102" t="str">
        <f aca="false">IF($A151="","",IFERROR(AVERAGEIFS(K$2:K151,WEEKNUM(A$2:A151,2),WEEKNUM(A151,2)),K151))</f>
        <v/>
      </c>
      <c r="N151" s="103" t="str">
        <f aca="false">IF($A151="","",IFERROR(COUNTIFS(A$2:A151,"&lt;&gt;",L$2:L151,"达标",WEEKNUM(A$2:A151,2),WEEKNUM(A151,2)),0))</f>
        <v/>
      </c>
      <c r="O151" s="100" t="str">
        <f aca="false">IF($A151="","",IF(L151="达标",IF(ROW()=2,1,IF(O150="",1,O150+1)),0))</f>
        <v/>
      </c>
      <c r="P151" s="101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100" t="str">
        <f aca="false">IF($A152="","",IF(B152=0,20,IF(B152=1,15,IF(B152=2,10,IF(B152=3,5,0))))+IF(C152="否",20,0)+IF(D152="是",20,0)+IF(E152=1,20,IF(E152=2,15,IF(E152=3,10,IF(E152=4,5,0))))+IF(F152="否",20,0))</f>
        <v/>
      </c>
      <c r="L152" s="101" t="str">
        <f aca="false">IF($A152="","",IF(K152&gt;=80,"达标","未达标"))</f>
        <v/>
      </c>
      <c r="M152" s="102" t="str">
        <f aca="false">IF($A152="","",IFERROR(AVERAGEIFS(K$2:K152,WEEKNUM(A$2:A152,2),WEEKNUM(A152,2)),K152))</f>
        <v/>
      </c>
      <c r="N152" s="103" t="str">
        <f aca="false">IF($A152="","",IFERROR(COUNTIFS(A$2:A152,"&lt;&gt;",L$2:L152,"达标",WEEKNUM(A$2:A152,2),WEEKNUM(A152,2)),0))</f>
        <v/>
      </c>
      <c r="O152" s="100" t="str">
        <f aca="false">IF($A152="","",IF(L152="达标",IF(ROW()=2,1,IF(O151="",1,O151+1)),0))</f>
        <v/>
      </c>
      <c r="P152" s="101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0" t="str">
        <f aca="false">IF($A153="","",IF(B153=0,20,IF(B153=1,15,IF(B153=2,10,IF(B153=3,5,0))))+IF(C153="否",20,0)+IF(D153="是",20,0)+IF(E153=1,20,IF(E153=2,15,IF(E153=3,10,IF(E153=4,5,0))))+IF(F153="否",20,0))</f>
        <v/>
      </c>
      <c r="L153" s="101" t="str">
        <f aca="false">IF($A153="","",IF(K153&gt;=80,"达标","未达标"))</f>
        <v/>
      </c>
      <c r="M153" s="102" t="str">
        <f aca="false">IF($A153="","",IFERROR(AVERAGEIFS(K$2:K153,WEEKNUM(A$2:A153,2),WEEKNUM(A153,2)),K153))</f>
        <v/>
      </c>
      <c r="N153" s="103" t="str">
        <f aca="false">IF($A153="","",IFERROR(COUNTIFS(A$2:A153,"&lt;&gt;",L$2:L153,"达标",WEEKNUM(A$2:A153,2),WEEKNUM(A153,2)),0))</f>
        <v/>
      </c>
      <c r="O153" s="100" t="str">
        <f aca="false">IF($A153="","",IF(L153="达标",IF(ROW()=2,1,IF(O152="",1,O152+1)),0))</f>
        <v/>
      </c>
      <c r="P153" s="101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100" t="str">
        <f aca="false">IF($A154="","",IF(B154=0,20,IF(B154=1,15,IF(B154=2,10,IF(B154=3,5,0))))+IF(C154="否",20,0)+IF(D154="是",20,0)+IF(E154=1,20,IF(E154=2,15,IF(E154=3,10,IF(E154=4,5,0))))+IF(F154="否",20,0))</f>
        <v/>
      </c>
      <c r="L154" s="101" t="str">
        <f aca="false">IF($A154="","",IF(K154&gt;=80,"达标","未达标"))</f>
        <v/>
      </c>
      <c r="M154" s="102" t="str">
        <f aca="false">IF($A154="","",IFERROR(AVERAGEIFS(K$2:K154,WEEKNUM(A$2:A154,2),WEEKNUM(A154,2)),K154))</f>
        <v/>
      </c>
      <c r="N154" s="103" t="str">
        <f aca="false">IF($A154="","",IFERROR(COUNTIFS(A$2:A154,"&lt;&gt;",L$2:L154,"达标",WEEKNUM(A$2:A154,2),WEEKNUM(A154,2)),0))</f>
        <v/>
      </c>
      <c r="O154" s="100" t="str">
        <f aca="false">IF($A154="","",IF(L154="达标",IF(ROW()=2,1,IF(O153="",1,O153+1)),0))</f>
        <v/>
      </c>
      <c r="P154" s="101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0" t="str">
        <f aca="false">IF($A155="","",IF(B155=0,20,IF(B155=1,15,IF(B155=2,10,IF(B155=3,5,0))))+IF(C155="否",20,0)+IF(D155="是",20,0)+IF(E155=1,20,IF(E155=2,15,IF(E155=3,10,IF(E155=4,5,0))))+IF(F155="否",20,0))</f>
        <v/>
      </c>
      <c r="L155" s="101" t="str">
        <f aca="false">IF($A155="","",IF(K155&gt;=80,"达标","未达标"))</f>
        <v/>
      </c>
      <c r="M155" s="102" t="str">
        <f aca="false">IF($A155="","",IFERROR(AVERAGEIFS(K$2:K155,WEEKNUM(A$2:A155,2),WEEKNUM(A155,2)),K155))</f>
        <v/>
      </c>
      <c r="N155" s="103" t="str">
        <f aca="false">IF($A155="","",IFERROR(COUNTIFS(A$2:A155,"&lt;&gt;",L$2:L155,"达标",WEEKNUM(A$2:A155,2),WEEKNUM(A155,2)),0))</f>
        <v/>
      </c>
      <c r="O155" s="100" t="str">
        <f aca="false">IF($A155="","",IF(L155="达标",IF(ROW()=2,1,IF(O154="",1,O154+1)),0))</f>
        <v/>
      </c>
      <c r="P155" s="101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100" t="str">
        <f aca="false">IF($A156="","",IF(B156=0,20,IF(B156=1,15,IF(B156=2,10,IF(B156=3,5,0))))+IF(C156="否",20,0)+IF(D156="是",20,0)+IF(E156=1,20,IF(E156=2,15,IF(E156=3,10,IF(E156=4,5,0))))+IF(F156="否",20,0))</f>
        <v/>
      </c>
      <c r="L156" s="101" t="str">
        <f aca="false">IF($A156="","",IF(K156&gt;=80,"达标","未达标"))</f>
        <v/>
      </c>
      <c r="M156" s="102" t="str">
        <f aca="false">IF($A156="","",IFERROR(AVERAGEIFS(K$2:K156,WEEKNUM(A$2:A156,2),WEEKNUM(A156,2)),K156))</f>
        <v/>
      </c>
      <c r="N156" s="103" t="str">
        <f aca="false">IF($A156="","",IFERROR(COUNTIFS(A$2:A156,"&lt;&gt;",L$2:L156,"达标",WEEKNUM(A$2:A156,2),WEEKNUM(A156,2)),0))</f>
        <v/>
      </c>
      <c r="O156" s="100" t="str">
        <f aca="false">IF($A156="","",IF(L156="达标",IF(ROW()=2,1,IF(O155="",1,O155+1)),0))</f>
        <v/>
      </c>
      <c r="P156" s="101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0" t="str">
        <f aca="false">IF($A157="","",IF(B157=0,20,IF(B157=1,15,IF(B157=2,10,IF(B157=3,5,0))))+IF(C157="否",20,0)+IF(D157="是",20,0)+IF(E157=1,20,IF(E157=2,15,IF(E157=3,10,IF(E157=4,5,0))))+IF(F157="否",20,0))</f>
        <v/>
      </c>
      <c r="L157" s="101" t="str">
        <f aca="false">IF($A157="","",IF(K157&gt;=80,"达标","未达标"))</f>
        <v/>
      </c>
      <c r="M157" s="102" t="str">
        <f aca="false">IF($A157="","",IFERROR(AVERAGEIFS(K$2:K157,WEEKNUM(A$2:A157,2),WEEKNUM(A157,2)),K157))</f>
        <v/>
      </c>
      <c r="N157" s="103" t="str">
        <f aca="false">IF($A157="","",IFERROR(COUNTIFS(A$2:A157,"&lt;&gt;",L$2:L157,"达标",WEEKNUM(A$2:A157,2),WEEKNUM(A157,2)),0))</f>
        <v/>
      </c>
      <c r="O157" s="100" t="str">
        <f aca="false">IF($A157="","",IF(L157="达标",IF(ROW()=2,1,IF(O156="",1,O156+1)),0))</f>
        <v/>
      </c>
      <c r="P157" s="101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100" t="str">
        <f aca="false">IF($A158="","",IF(B158=0,20,IF(B158=1,15,IF(B158=2,10,IF(B158=3,5,0))))+IF(C158="否",20,0)+IF(D158="是",20,0)+IF(E158=1,20,IF(E158=2,15,IF(E158=3,10,IF(E158=4,5,0))))+IF(F158="否",20,0))</f>
        <v/>
      </c>
      <c r="L158" s="101" t="str">
        <f aca="false">IF($A158="","",IF(K158&gt;=80,"达标","未达标"))</f>
        <v/>
      </c>
      <c r="M158" s="102" t="str">
        <f aca="false">IF($A158="","",IFERROR(AVERAGEIFS(K$2:K158,WEEKNUM(A$2:A158,2),WEEKNUM(A158,2)),K158))</f>
        <v/>
      </c>
      <c r="N158" s="103" t="str">
        <f aca="false">IF($A158="","",IFERROR(COUNTIFS(A$2:A158,"&lt;&gt;",L$2:L158,"达标",WEEKNUM(A$2:A158,2),WEEKNUM(A158,2)),0))</f>
        <v/>
      </c>
      <c r="O158" s="100" t="str">
        <f aca="false">IF($A158="","",IF(L158="达标",IF(ROW()=2,1,IF(O157="",1,O157+1)),0))</f>
        <v/>
      </c>
      <c r="P158" s="101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0" t="str">
        <f aca="false">IF($A159="","",IF(B159=0,20,IF(B159=1,15,IF(B159=2,10,IF(B159=3,5,0))))+IF(C159="否",20,0)+IF(D159="是",20,0)+IF(E159=1,20,IF(E159=2,15,IF(E159=3,10,IF(E159=4,5,0))))+IF(F159="否",20,0))</f>
        <v/>
      </c>
      <c r="L159" s="101" t="str">
        <f aca="false">IF($A159="","",IF(K159&gt;=80,"达标","未达标"))</f>
        <v/>
      </c>
      <c r="M159" s="102" t="str">
        <f aca="false">IF($A159="","",IFERROR(AVERAGEIFS(K$2:K159,WEEKNUM(A$2:A159,2),WEEKNUM(A159,2)),K159))</f>
        <v/>
      </c>
      <c r="N159" s="103" t="str">
        <f aca="false">IF($A159="","",IFERROR(COUNTIFS(A$2:A159,"&lt;&gt;",L$2:L159,"达标",WEEKNUM(A$2:A159,2),WEEKNUM(A159,2)),0))</f>
        <v/>
      </c>
      <c r="O159" s="100" t="str">
        <f aca="false">IF($A159="","",IF(L159="达标",IF(ROW()=2,1,IF(O158="",1,O158+1)),0))</f>
        <v/>
      </c>
      <c r="P159" s="101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100" t="str">
        <f aca="false">IF($A160="","",IF(B160=0,20,IF(B160=1,15,IF(B160=2,10,IF(B160=3,5,0))))+IF(C160="否",20,0)+IF(D160="是",20,0)+IF(E160=1,20,IF(E160=2,15,IF(E160=3,10,IF(E160=4,5,0))))+IF(F160="否",20,0))</f>
        <v/>
      </c>
      <c r="L160" s="101" t="str">
        <f aca="false">IF($A160="","",IF(K160&gt;=80,"达标","未达标"))</f>
        <v/>
      </c>
      <c r="M160" s="102" t="str">
        <f aca="false">IF($A160="","",IFERROR(AVERAGEIFS(K$2:K160,WEEKNUM(A$2:A160,2),WEEKNUM(A160,2)),K160))</f>
        <v/>
      </c>
      <c r="N160" s="103" t="str">
        <f aca="false">IF($A160="","",IFERROR(COUNTIFS(A$2:A160,"&lt;&gt;",L$2:L160,"达标",WEEKNUM(A$2:A160,2),WEEKNUM(A160,2)),0))</f>
        <v/>
      </c>
      <c r="O160" s="100" t="str">
        <f aca="false">IF($A160="","",IF(L160="达标",IF(ROW()=2,1,IF(O159="",1,O159+1)),0))</f>
        <v/>
      </c>
      <c r="P160" s="101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0" t="str">
        <f aca="false">IF($A161="","",IF(B161=0,20,IF(B161=1,15,IF(B161=2,10,IF(B161=3,5,0))))+IF(C161="否",20,0)+IF(D161="是",20,0)+IF(E161=1,20,IF(E161=2,15,IF(E161=3,10,IF(E161=4,5,0))))+IF(F161="否",20,0))</f>
        <v/>
      </c>
      <c r="L161" s="101" t="str">
        <f aca="false">IF($A161="","",IF(K161&gt;=80,"达标","未达标"))</f>
        <v/>
      </c>
      <c r="M161" s="102" t="str">
        <f aca="false">IF($A161="","",IFERROR(AVERAGEIFS(K$2:K161,WEEKNUM(A$2:A161,2),WEEKNUM(A161,2)),K161))</f>
        <v/>
      </c>
      <c r="N161" s="103" t="str">
        <f aca="false">IF($A161="","",IFERROR(COUNTIFS(A$2:A161,"&lt;&gt;",L$2:L161,"达标",WEEKNUM(A$2:A161,2),WEEKNUM(A161,2)),0))</f>
        <v/>
      </c>
      <c r="O161" s="100" t="str">
        <f aca="false">IF($A161="","",IF(L161="达标",IF(ROW()=2,1,IF(O160="",1,O160+1)),0))</f>
        <v/>
      </c>
      <c r="P161" s="101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100" t="str">
        <f aca="false">IF($A162="","",IF(B162=0,20,IF(B162=1,15,IF(B162=2,10,IF(B162=3,5,0))))+IF(C162="否",20,0)+IF(D162="是",20,0)+IF(E162=1,20,IF(E162=2,15,IF(E162=3,10,IF(E162=4,5,0))))+IF(F162="否",20,0))</f>
        <v/>
      </c>
      <c r="L162" s="101" t="str">
        <f aca="false">IF($A162="","",IF(K162&gt;=80,"达标","未达标"))</f>
        <v/>
      </c>
      <c r="M162" s="102" t="str">
        <f aca="false">IF($A162="","",IFERROR(AVERAGEIFS(K$2:K162,WEEKNUM(A$2:A162,2),WEEKNUM(A162,2)),K162))</f>
        <v/>
      </c>
      <c r="N162" s="103" t="str">
        <f aca="false">IF($A162="","",IFERROR(COUNTIFS(A$2:A162,"&lt;&gt;",L$2:L162,"达标",WEEKNUM(A$2:A162,2),WEEKNUM(A162,2)),0))</f>
        <v/>
      </c>
      <c r="O162" s="100" t="str">
        <f aca="false">IF($A162="","",IF(L162="达标",IF(ROW()=2,1,IF(O161="",1,O161+1)),0))</f>
        <v/>
      </c>
      <c r="P162" s="101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0" t="str">
        <f aca="false">IF($A163="","",IF(B163=0,20,IF(B163=1,15,IF(B163=2,10,IF(B163=3,5,0))))+IF(C163="否",20,0)+IF(D163="是",20,0)+IF(E163=1,20,IF(E163=2,15,IF(E163=3,10,IF(E163=4,5,0))))+IF(F163="否",20,0))</f>
        <v/>
      </c>
      <c r="L163" s="101" t="str">
        <f aca="false">IF($A163="","",IF(K163&gt;=80,"达标","未达标"))</f>
        <v/>
      </c>
      <c r="M163" s="102" t="str">
        <f aca="false">IF($A163="","",IFERROR(AVERAGEIFS(K$2:K163,WEEKNUM(A$2:A163,2),WEEKNUM(A163,2)),K163))</f>
        <v/>
      </c>
      <c r="N163" s="103" t="str">
        <f aca="false">IF($A163="","",IFERROR(COUNTIFS(A$2:A163,"&lt;&gt;",L$2:L163,"达标",WEEKNUM(A$2:A163,2),WEEKNUM(A163,2)),0))</f>
        <v/>
      </c>
      <c r="O163" s="100" t="str">
        <f aca="false">IF($A163="","",IF(L163="达标",IF(ROW()=2,1,IF(O162="",1,O162+1)),0))</f>
        <v/>
      </c>
      <c r="P163" s="101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100" t="str">
        <f aca="false">IF($A164="","",IF(B164=0,20,IF(B164=1,15,IF(B164=2,10,IF(B164=3,5,0))))+IF(C164="否",20,0)+IF(D164="是",20,0)+IF(E164=1,20,IF(E164=2,15,IF(E164=3,10,IF(E164=4,5,0))))+IF(F164="否",20,0))</f>
        <v/>
      </c>
      <c r="L164" s="101" t="str">
        <f aca="false">IF($A164="","",IF(K164&gt;=80,"达标","未达标"))</f>
        <v/>
      </c>
      <c r="M164" s="102" t="str">
        <f aca="false">IF($A164="","",IFERROR(AVERAGEIFS(K$2:K164,WEEKNUM(A$2:A164,2),WEEKNUM(A164,2)),K164))</f>
        <v/>
      </c>
      <c r="N164" s="103" t="str">
        <f aca="false">IF($A164="","",IFERROR(COUNTIFS(A$2:A164,"&lt;&gt;",L$2:L164,"达标",WEEKNUM(A$2:A164,2),WEEKNUM(A164,2)),0))</f>
        <v/>
      </c>
      <c r="O164" s="100" t="str">
        <f aca="false">IF($A164="","",IF(L164="达标",IF(ROW()=2,1,IF(O163="",1,O163+1)),0))</f>
        <v/>
      </c>
      <c r="P164" s="101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0" t="str">
        <f aca="false">IF($A165="","",IF(B165=0,20,IF(B165=1,15,IF(B165=2,10,IF(B165=3,5,0))))+IF(C165="否",20,0)+IF(D165="是",20,0)+IF(E165=1,20,IF(E165=2,15,IF(E165=3,10,IF(E165=4,5,0))))+IF(F165="否",20,0))</f>
        <v/>
      </c>
      <c r="L165" s="101" t="str">
        <f aca="false">IF($A165="","",IF(K165&gt;=80,"达标","未达标"))</f>
        <v/>
      </c>
      <c r="M165" s="102" t="str">
        <f aca="false">IF($A165="","",IFERROR(AVERAGEIFS(K$2:K165,WEEKNUM(A$2:A165,2),WEEKNUM(A165,2)),K165))</f>
        <v/>
      </c>
      <c r="N165" s="103" t="str">
        <f aca="false">IF($A165="","",IFERROR(COUNTIFS(A$2:A165,"&lt;&gt;",L$2:L165,"达标",WEEKNUM(A$2:A165,2),WEEKNUM(A165,2)),0))</f>
        <v/>
      </c>
      <c r="O165" s="100" t="str">
        <f aca="false">IF($A165="","",IF(L165="达标",IF(ROW()=2,1,IF(O164="",1,O164+1)),0))</f>
        <v/>
      </c>
      <c r="P165" s="101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100" t="str">
        <f aca="false">IF($A166="","",IF(B166=0,20,IF(B166=1,15,IF(B166=2,10,IF(B166=3,5,0))))+IF(C166="否",20,0)+IF(D166="是",20,0)+IF(E166=1,20,IF(E166=2,15,IF(E166=3,10,IF(E166=4,5,0))))+IF(F166="否",20,0))</f>
        <v/>
      </c>
      <c r="L166" s="101" t="str">
        <f aca="false">IF($A166="","",IF(K166&gt;=80,"达标","未达标"))</f>
        <v/>
      </c>
      <c r="M166" s="102" t="str">
        <f aca="false">IF($A166="","",IFERROR(AVERAGEIFS(K$2:K166,WEEKNUM(A$2:A166,2),WEEKNUM(A166,2)),K166))</f>
        <v/>
      </c>
      <c r="N166" s="103" t="str">
        <f aca="false">IF($A166="","",IFERROR(COUNTIFS(A$2:A166,"&lt;&gt;",L$2:L166,"达标",WEEKNUM(A$2:A166,2),WEEKNUM(A166,2)),0))</f>
        <v/>
      </c>
      <c r="O166" s="100" t="str">
        <f aca="false">IF($A166="","",IF(L166="达标",IF(ROW()=2,1,IF(O165="",1,O165+1)),0))</f>
        <v/>
      </c>
      <c r="P166" s="101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0" t="str">
        <f aca="false">IF($A167="","",IF(B167=0,20,IF(B167=1,15,IF(B167=2,10,IF(B167=3,5,0))))+IF(C167="否",20,0)+IF(D167="是",20,0)+IF(E167=1,20,IF(E167=2,15,IF(E167=3,10,IF(E167=4,5,0))))+IF(F167="否",20,0))</f>
        <v/>
      </c>
      <c r="L167" s="101" t="str">
        <f aca="false">IF($A167="","",IF(K167&gt;=80,"达标","未达标"))</f>
        <v/>
      </c>
      <c r="M167" s="102" t="str">
        <f aca="false">IF($A167="","",IFERROR(AVERAGEIFS(K$2:K167,WEEKNUM(A$2:A167,2),WEEKNUM(A167,2)),K167))</f>
        <v/>
      </c>
      <c r="N167" s="103" t="str">
        <f aca="false">IF($A167="","",IFERROR(COUNTIFS(A$2:A167,"&lt;&gt;",L$2:L167,"达标",WEEKNUM(A$2:A167,2),WEEKNUM(A167,2)),0))</f>
        <v/>
      </c>
      <c r="O167" s="100" t="str">
        <f aca="false">IF($A167="","",IF(L167="达标",IF(ROW()=2,1,IF(O166="",1,O166+1)),0))</f>
        <v/>
      </c>
      <c r="P167" s="101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100" t="str">
        <f aca="false">IF($A168="","",IF(B168=0,20,IF(B168=1,15,IF(B168=2,10,IF(B168=3,5,0))))+IF(C168="否",20,0)+IF(D168="是",20,0)+IF(E168=1,20,IF(E168=2,15,IF(E168=3,10,IF(E168=4,5,0))))+IF(F168="否",20,0))</f>
        <v/>
      </c>
      <c r="L168" s="101" t="str">
        <f aca="false">IF($A168="","",IF(K168&gt;=80,"达标","未达标"))</f>
        <v/>
      </c>
      <c r="M168" s="102" t="str">
        <f aca="false">IF($A168="","",IFERROR(AVERAGEIFS(K$2:K168,WEEKNUM(A$2:A168,2),WEEKNUM(A168,2)),K168))</f>
        <v/>
      </c>
      <c r="N168" s="103" t="str">
        <f aca="false">IF($A168="","",IFERROR(COUNTIFS(A$2:A168,"&lt;&gt;",L$2:L168,"达标",WEEKNUM(A$2:A168,2),WEEKNUM(A168,2)),0))</f>
        <v/>
      </c>
      <c r="O168" s="100" t="str">
        <f aca="false">IF($A168="","",IF(L168="达标",IF(ROW()=2,1,IF(O167="",1,O167+1)),0))</f>
        <v/>
      </c>
      <c r="P168" s="101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0" t="str">
        <f aca="false">IF($A169="","",IF(B169=0,20,IF(B169=1,15,IF(B169=2,10,IF(B169=3,5,0))))+IF(C169="否",20,0)+IF(D169="是",20,0)+IF(E169=1,20,IF(E169=2,15,IF(E169=3,10,IF(E169=4,5,0))))+IF(F169="否",20,0))</f>
        <v/>
      </c>
      <c r="L169" s="101" t="str">
        <f aca="false">IF($A169="","",IF(K169&gt;=80,"达标","未达标"))</f>
        <v/>
      </c>
      <c r="M169" s="102" t="str">
        <f aca="false">IF($A169="","",IFERROR(AVERAGEIFS(K$2:K169,WEEKNUM(A$2:A169,2),WEEKNUM(A169,2)),K169))</f>
        <v/>
      </c>
      <c r="N169" s="103" t="str">
        <f aca="false">IF($A169="","",IFERROR(COUNTIFS(A$2:A169,"&lt;&gt;",L$2:L169,"达标",WEEKNUM(A$2:A169,2),WEEKNUM(A169,2)),0))</f>
        <v/>
      </c>
      <c r="O169" s="100" t="str">
        <f aca="false">IF($A169="","",IF(L169="达标",IF(ROW()=2,1,IF(O168="",1,O168+1)),0))</f>
        <v/>
      </c>
      <c r="P169" s="101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100" t="str">
        <f aca="false">IF($A170="","",IF(B170=0,20,IF(B170=1,15,IF(B170=2,10,IF(B170=3,5,0))))+IF(C170="否",20,0)+IF(D170="是",20,0)+IF(E170=1,20,IF(E170=2,15,IF(E170=3,10,IF(E170=4,5,0))))+IF(F170="否",20,0))</f>
        <v/>
      </c>
      <c r="L170" s="101" t="str">
        <f aca="false">IF($A170="","",IF(K170&gt;=80,"达标","未达标"))</f>
        <v/>
      </c>
      <c r="M170" s="102" t="str">
        <f aca="false">IF($A170="","",IFERROR(AVERAGEIFS(K$2:K170,WEEKNUM(A$2:A170,2),WEEKNUM(A170,2)),K170))</f>
        <v/>
      </c>
      <c r="N170" s="103" t="str">
        <f aca="false">IF($A170="","",IFERROR(COUNTIFS(A$2:A170,"&lt;&gt;",L$2:L170,"达标",WEEKNUM(A$2:A170,2),WEEKNUM(A170,2)),0))</f>
        <v/>
      </c>
      <c r="O170" s="100" t="str">
        <f aca="false">IF($A170="","",IF(L170="达标",IF(ROW()=2,1,IF(O169="",1,O169+1)),0))</f>
        <v/>
      </c>
      <c r="P170" s="101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0" t="str">
        <f aca="false">IF($A171="","",IF(B171=0,20,IF(B171=1,15,IF(B171=2,10,IF(B171=3,5,0))))+IF(C171="否",20,0)+IF(D171="是",20,0)+IF(E171=1,20,IF(E171=2,15,IF(E171=3,10,IF(E171=4,5,0))))+IF(F171="否",20,0))</f>
        <v/>
      </c>
      <c r="L171" s="101" t="str">
        <f aca="false">IF($A171="","",IF(K171&gt;=80,"达标","未达标"))</f>
        <v/>
      </c>
      <c r="M171" s="102" t="str">
        <f aca="false">IF($A171="","",IFERROR(AVERAGEIFS(K$2:K171,WEEKNUM(A$2:A171,2),WEEKNUM(A171,2)),K171))</f>
        <v/>
      </c>
      <c r="N171" s="103" t="str">
        <f aca="false">IF($A171="","",IFERROR(COUNTIFS(A$2:A171,"&lt;&gt;",L$2:L171,"达标",WEEKNUM(A$2:A171,2),WEEKNUM(A171,2)),0))</f>
        <v/>
      </c>
      <c r="O171" s="100" t="str">
        <f aca="false">IF($A171="","",IF(L171="达标",IF(ROW()=2,1,IF(O170="",1,O170+1)),0))</f>
        <v/>
      </c>
      <c r="P171" s="101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100" t="str">
        <f aca="false">IF($A172="","",IF(B172=0,20,IF(B172=1,15,IF(B172=2,10,IF(B172=3,5,0))))+IF(C172="否",20,0)+IF(D172="是",20,0)+IF(E172=1,20,IF(E172=2,15,IF(E172=3,10,IF(E172=4,5,0))))+IF(F172="否",20,0))</f>
        <v/>
      </c>
      <c r="L172" s="101" t="str">
        <f aca="false">IF($A172="","",IF(K172&gt;=80,"达标","未达标"))</f>
        <v/>
      </c>
      <c r="M172" s="102" t="str">
        <f aca="false">IF($A172="","",IFERROR(AVERAGEIFS(K$2:K172,WEEKNUM(A$2:A172,2),WEEKNUM(A172,2)),K172))</f>
        <v/>
      </c>
      <c r="N172" s="103" t="str">
        <f aca="false">IF($A172="","",IFERROR(COUNTIFS(A$2:A172,"&lt;&gt;",L$2:L172,"达标",WEEKNUM(A$2:A172,2),WEEKNUM(A172,2)),0))</f>
        <v/>
      </c>
      <c r="O172" s="100" t="str">
        <f aca="false">IF($A172="","",IF(L172="达标",IF(ROW()=2,1,IF(O171="",1,O171+1)),0))</f>
        <v/>
      </c>
      <c r="P172" s="101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0" t="str">
        <f aca="false">IF($A173="","",IF(B173=0,20,IF(B173=1,15,IF(B173=2,10,IF(B173=3,5,0))))+IF(C173="否",20,0)+IF(D173="是",20,0)+IF(E173=1,20,IF(E173=2,15,IF(E173=3,10,IF(E173=4,5,0))))+IF(F173="否",20,0))</f>
        <v/>
      </c>
      <c r="L173" s="101" t="str">
        <f aca="false">IF($A173="","",IF(K173&gt;=80,"达标","未达标"))</f>
        <v/>
      </c>
      <c r="M173" s="102" t="str">
        <f aca="false">IF($A173="","",IFERROR(AVERAGEIFS(K$2:K173,WEEKNUM(A$2:A173,2),WEEKNUM(A173,2)),K173))</f>
        <v/>
      </c>
      <c r="N173" s="103" t="str">
        <f aca="false">IF($A173="","",IFERROR(COUNTIFS(A$2:A173,"&lt;&gt;",L$2:L173,"达标",WEEKNUM(A$2:A173,2),WEEKNUM(A173,2)),0))</f>
        <v/>
      </c>
      <c r="O173" s="100" t="str">
        <f aca="false">IF($A173="","",IF(L173="达标",IF(ROW()=2,1,IF(O172="",1,O172+1)),0))</f>
        <v/>
      </c>
      <c r="P173" s="101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100" t="str">
        <f aca="false">IF($A174="","",IF(B174=0,20,IF(B174=1,15,IF(B174=2,10,IF(B174=3,5,0))))+IF(C174="否",20,0)+IF(D174="是",20,0)+IF(E174=1,20,IF(E174=2,15,IF(E174=3,10,IF(E174=4,5,0))))+IF(F174="否",20,0))</f>
        <v/>
      </c>
      <c r="L174" s="101" t="str">
        <f aca="false">IF($A174="","",IF(K174&gt;=80,"达标","未达标"))</f>
        <v/>
      </c>
      <c r="M174" s="102" t="str">
        <f aca="false">IF($A174="","",IFERROR(AVERAGEIFS(K$2:K174,WEEKNUM(A$2:A174,2),WEEKNUM(A174,2)),K174))</f>
        <v/>
      </c>
      <c r="N174" s="103" t="str">
        <f aca="false">IF($A174="","",IFERROR(COUNTIFS(A$2:A174,"&lt;&gt;",L$2:L174,"达标",WEEKNUM(A$2:A174,2),WEEKNUM(A174,2)),0))</f>
        <v/>
      </c>
      <c r="O174" s="100" t="str">
        <f aca="false">IF($A174="","",IF(L174="达标",IF(ROW()=2,1,IF(O173="",1,O173+1)),0))</f>
        <v/>
      </c>
      <c r="P174" s="101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0" t="str">
        <f aca="false">IF($A175="","",IF(B175=0,20,IF(B175=1,15,IF(B175=2,10,IF(B175=3,5,0))))+IF(C175="否",20,0)+IF(D175="是",20,0)+IF(E175=1,20,IF(E175=2,15,IF(E175=3,10,IF(E175=4,5,0))))+IF(F175="否",20,0))</f>
        <v/>
      </c>
      <c r="L175" s="101" t="str">
        <f aca="false">IF($A175="","",IF(K175&gt;=80,"达标","未达标"))</f>
        <v/>
      </c>
      <c r="M175" s="102" t="str">
        <f aca="false">IF($A175="","",IFERROR(AVERAGEIFS(K$2:K175,WEEKNUM(A$2:A175,2),WEEKNUM(A175,2)),K175))</f>
        <v/>
      </c>
      <c r="N175" s="103" t="str">
        <f aca="false">IF($A175="","",IFERROR(COUNTIFS(A$2:A175,"&lt;&gt;",L$2:L175,"达标",WEEKNUM(A$2:A175,2),WEEKNUM(A175,2)),0))</f>
        <v/>
      </c>
      <c r="O175" s="100" t="str">
        <f aca="false">IF($A175="","",IF(L175="达标",IF(ROW()=2,1,IF(O174="",1,O174+1)),0))</f>
        <v/>
      </c>
      <c r="P175" s="101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100" t="str">
        <f aca="false">IF($A176="","",IF(B176=0,20,IF(B176=1,15,IF(B176=2,10,IF(B176=3,5,0))))+IF(C176="否",20,0)+IF(D176="是",20,0)+IF(E176=1,20,IF(E176=2,15,IF(E176=3,10,IF(E176=4,5,0))))+IF(F176="否",20,0))</f>
        <v/>
      </c>
      <c r="L176" s="101" t="str">
        <f aca="false">IF($A176="","",IF(K176&gt;=80,"达标","未达标"))</f>
        <v/>
      </c>
      <c r="M176" s="102" t="str">
        <f aca="false">IF($A176="","",IFERROR(AVERAGEIFS(K$2:K176,WEEKNUM(A$2:A176,2),WEEKNUM(A176,2)),K176))</f>
        <v/>
      </c>
      <c r="N176" s="103" t="str">
        <f aca="false">IF($A176="","",IFERROR(COUNTIFS(A$2:A176,"&lt;&gt;",L$2:L176,"达标",WEEKNUM(A$2:A176,2),WEEKNUM(A176,2)),0))</f>
        <v/>
      </c>
      <c r="O176" s="100" t="str">
        <f aca="false">IF($A176="","",IF(L176="达标",IF(ROW()=2,1,IF(O175="",1,O175+1)),0))</f>
        <v/>
      </c>
      <c r="P176" s="101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0" t="str">
        <f aca="false">IF($A177="","",IF(B177=0,20,IF(B177=1,15,IF(B177=2,10,IF(B177=3,5,0))))+IF(C177="否",20,0)+IF(D177="是",20,0)+IF(E177=1,20,IF(E177=2,15,IF(E177=3,10,IF(E177=4,5,0))))+IF(F177="否",20,0))</f>
        <v/>
      </c>
      <c r="L177" s="101" t="str">
        <f aca="false">IF($A177="","",IF(K177&gt;=80,"达标","未达标"))</f>
        <v/>
      </c>
      <c r="M177" s="102" t="str">
        <f aca="false">IF($A177="","",IFERROR(AVERAGEIFS(K$2:K177,WEEKNUM(A$2:A177,2),WEEKNUM(A177,2)),K177))</f>
        <v/>
      </c>
      <c r="N177" s="103" t="str">
        <f aca="false">IF($A177="","",IFERROR(COUNTIFS(A$2:A177,"&lt;&gt;",L$2:L177,"达标",WEEKNUM(A$2:A177,2),WEEKNUM(A177,2)),0))</f>
        <v/>
      </c>
      <c r="O177" s="100" t="str">
        <f aca="false">IF($A177="","",IF(L177="达标",IF(ROW()=2,1,IF(O176="",1,O176+1)),0))</f>
        <v/>
      </c>
      <c r="P177" s="101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100" t="str">
        <f aca="false">IF($A178="","",IF(B178=0,20,IF(B178=1,15,IF(B178=2,10,IF(B178=3,5,0))))+IF(C178="否",20,0)+IF(D178="是",20,0)+IF(E178=1,20,IF(E178=2,15,IF(E178=3,10,IF(E178=4,5,0))))+IF(F178="否",20,0))</f>
        <v/>
      </c>
      <c r="L178" s="101" t="str">
        <f aca="false">IF($A178="","",IF(K178&gt;=80,"达标","未达标"))</f>
        <v/>
      </c>
      <c r="M178" s="102" t="str">
        <f aca="false">IF($A178="","",IFERROR(AVERAGEIFS(K$2:K178,WEEKNUM(A$2:A178,2),WEEKNUM(A178,2)),K178))</f>
        <v/>
      </c>
      <c r="N178" s="103" t="str">
        <f aca="false">IF($A178="","",IFERROR(COUNTIFS(A$2:A178,"&lt;&gt;",L$2:L178,"达标",WEEKNUM(A$2:A178,2),WEEKNUM(A178,2)),0))</f>
        <v/>
      </c>
      <c r="O178" s="100" t="str">
        <f aca="false">IF($A178="","",IF(L178="达标",IF(ROW()=2,1,IF(O177="",1,O177+1)),0))</f>
        <v/>
      </c>
      <c r="P178" s="101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0" t="str">
        <f aca="false">IF($A179="","",IF(B179=0,20,IF(B179=1,15,IF(B179=2,10,IF(B179=3,5,0))))+IF(C179="否",20,0)+IF(D179="是",20,0)+IF(E179=1,20,IF(E179=2,15,IF(E179=3,10,IF(E179=4,5,0))))+IF(F179="否",20,0))</f>
        <v/>
      </c>
      <c r="L179" s="101" t="str">
        <f aca="false">IF($A179="","",IF(K179&gt;=80,"达标","未达标"))</f>
        <v/>
      </c>
      <c r="M179" s="102" t="str">
        <f aca="false">IF($A179="","",IFERROR(AVERAGEIFS(K$2:K179,WEEKNUM(A$2:A179,2),WEEKNUM(A179,2)),K179))</f>
        <v/>
      </c>
      <c r="N179" s="103" t="str">
        <f aca="false">IF($A179="","",IFERROR(COUNTIFS(A$2:A179,"&lt;&gt;",L$2:L179,"达标",WEEKNUM(A$2:A179,2),WEEKNUM(A179,2)),0))</f>
        <v/>
      </c>
      <c r="O179" s="100" t="str">
        <f aca="false">IF($A179="","",IF(L179="达标",IF(ROW()=2,1,IF(O178="",1,O178+1)),0))</f>
        <v/>
      </c>
      <c r="P179" s="101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100" t="str">
        <f aca="false">IF($A180="","",IF(B180=0,20,IF(B180=1,15,IF(B180=2,10,IF(B180=3,5,0))))+IF(C180="否",20,0)+IF(D180="是",20,0)+IF(E180=1,20,IF(E180=2,15,IF(E180=3,10,IF(E180=4,5,0))))+IF(F180="否",20,0))</f>
        <v/>
      </c>
      <c r="L180" s="101" t="str">
        <f aca="false">IF($A180="","",IF(K180&gt;=80,"达标","未达标"))</f>
        <v/>
      </c>
      <c r="M180" s="102" t="str">
        <f aca="false">IF($A180="","",IFERROR(AVERAGEIFS(K$2:K180,WEEKNUM(A$2:A180,2),WEEKNUM(A180,2)),K180))</f>
        <v/>
      </c>
      <c r="N180" s="103" t="str">
        <f aca="false">IF($A180="","",IFERROR(COUNTIFS(A$2:A180,"&lt;&gt;",L$2:L180,"达标",WEEKNUM(A$2:A180,2),WEEKNUM(A180,2)),0))</f>
        <v/>
      </c>
      <c r="O180" s="100" t="str">
        <f aca="false">IF($A180="","",IF(L180="达标",IF(ROW()=2,1,IF(O179="",1,O179+1)),0))</f>
        <v/>
      </c>
      <c r="P180" s="101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0" t="str">
        <f aca="false">IF($A181="","",IF(B181=0,20,IF(B181=1,15,IF(B181=2,10,IF(B181=3,5,0))))+IF(C181="否",20,0)+IF(D181="是",20,0)+IF(E181=1,20,IF(E181=2,15,IF(E181=3,10,IF(E181=4,5,0))))+IF(F181="否",20,0))</f>
        <v/>
      </c>
      <c r="L181" s="101" t="str">
        <f aca="false">IF($A181="","",IF(K181&gt;=80,"达标","未达标"))</f>
        <v/>
      </c>
      <c r="M181" s="102" t="str">
        <f aca="false">IF($A181="","",IFERROR(AVERAGEIFS(K$2:K181,WEEKNUM(A$2:A181,2),WEEKNUM(A181,2)),K181))</f>
        <v/>
      </c>
      <c r="N181" s="103" t="str">
        <f aca="false">IF($A181="","",IFERROR(COUNTIFS(A$2:A181,"&lt;&gt;",L$2:L181,"达标",WEEKNUM(A$2:A181,2),WEEKNUM(A181,2)),0))</f>
        <v/>
      </c>
      <c r="O181" s="100" t="str">
        <f aca="false">IF($A181="","",IF(L181="达标",IF(ROW()=2,1,IF(O180="",1,O180+1)),0))</f>
        <v/>
      </c>
      <c r="P181" s="101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100" t="str">
        <f aca="false">IF($A182="","",IF(B182=0,20,IF(B182=1,15,IF(B182=2,10,IF(B182=3,5,0))))+IF(C182="否",20,0)+IF(D182="是",20,0)+IF(E182=1,20,IF(E182=2,15,IF(E182=3,10,IF(E182=4,5,0))))+IF(F182="否",20,0))</f>
        <v/>
      </c>
      <c r="L182" s="101" t="str">
        <f aca="false">IF($A182="","",IF(K182&gt;=80,"达标","未达标"))</f>
        <v/>
      </c>
      <c r="M182" s="102" t="str">
        <f aca="false">IF($A182="","",IFERROR(AVERAGEIFS(K$2:K182,WEEKNUM(A$2:A182,2),WEEKNUM(A182,2)),K182))</f>
        <v/>
      </c>
      <c r="N182" s="103" t="str">
        <f aca="false">IF($A182="","",IFERROR(COUNTIFS(A$2:A182,"&lt;&gt;",L$2:L182,"达标",WEEKNUM(A$2:A182,2),WEEKNUM(A182,2)),0))</f>
        <v/>
      </c>
      <c r="O182" s="100" t="str">
        <f aca="false">IF($A182="","",IF(L182="达标",IF(ROW()=2,1,IF(O181="",1,O181+1)),0))</f>
        <v/>
      </c>
      <c r="P182" s="101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0" t="str">
        <f aca="false">IF($A183="","",IF(B183=0,20,IF(B183=1,15,IF(B183=2,10,IF(B183=3,5,0))))+IF(C183="否",20,0)+IF(D183="是",20,0)+IF(E183=1,20,IF(E183=2,15,IF(E183=3,10,IF(E183=4,5,0))))+IF(F183="否",20,0))</f>
        <v/>
      </c>
      <c r="L183" s="101" t="str">
        <f aca="false">IF($A183="","",IF(K183&gt;=80,"达标","未达标"))</f>
        <v/>
      </c>
      <c r="M183" s="102" t="str">
        <f aca="false">IF($A183="","",IFERROR(AVERAGEIFS(K$2:K183,WEEKNUM(A$2:A183,2),WEEKNUM(A183,2)),K183))</f>
        <v/>
      </c>
      <c r="N183" s="103" t="str">
        <f aca="false">IF($A183="","",IFERROR(COUNTIFS(A$2:A183,"&lt;&gt;",L$2:L183,"达标",WEEKNUM(A$2:A183,2),WEEKNUM(A183,2)),0))</f>
        <v/>
      </c>
      <c r="O183" s="100" t="str">
        <f aca="false">IF($A183="","",IF(L183="达标",IF(ROW()=2,1,IF(O182="",1,O182+1)),0))</f>
        <v/>
      </c>
      <c r="P183" s="101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100" t="str">
        <f aca="false">IF($A184="","",IF(B184=0,20,IF(B184=1,15,IF(B184=2,10,IF(B184=3,5,0))))+IF(C184="否",20,0)+IF(D184="是",20,0)+IF(E184=1,20,IF(E184=2,15,IF(E184=3,10,IF(E184=4,5,0))))+IF(F184="否",20,0))</f>
        <v/>
      </c>
      <c r="L184" s="101" t="str">
        <f aca="false">IF($A184="","",IF(K184&gt;=80,"达标","未达标"))</f>
        <v/>
      </c>
      <c r="M184" s="102" t="str">
        <f aca="false">IF($A184="","",IFERROR(AVERAGEIFS(K$2:K184,WEEKNUM(A$2:A184,2),WEEKNUM(A184,2)),K184))</f>
        <v/>
      </c>
      <c r="N184" s="103" t="str">
        <f aca="false">IF($A184="","",IFERROR(COUNTIFS(A$2:A184,"&lt;&gt;",L$2:L184,"达标",WEEKNUM(A$2:A184,2),WEEKNUM(A184,2)),0))</f>
        <v/>
      </c>
      <c r="O184" s="100" t="str">
        <f aca="false">IF($A184="","",IF(L184="达标",IF(ROW()=2,1,IF(O183="",1,O183+1)),0))</f>
        <v/>
      </c>
      <c r="P184" s="101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0" t="str">
        <f aca="false">IF($A185="","",IF(B185=0,20,IF(B185=1,15,IF(B185=2,10,IF(B185=3,5,0))))+IF(C185="否",20,0)+IF(D185="是",20,0)+IF(E185=1,20,IF(E185=2,15,IF(E185=3,10,IF(E185=4,5,0))))+IF(F185="否",20,0))</f>
        <v/>
      </c>
      <c r="L185" s="101" t="str">
        <f aca="false">IF($A185="","",IF(K185&gt;=80,"达标","未达标"))</f>
        <v/>
      </c>
      <c r="M185" s="102" t="str">
        <f aca="false">IF($A185="","",IFERROR(AVERAGEIFS(K$2:K185,WEEKNUM(A$2:A185,2),WEEKNUM(A185,2)),K185))</f>
        <v/>
      </c>
      <c r="N185" s="103" t="str">
        <f aca="false">IF($A185="","",IFERROR(COUNTIFS(A$2:A185,"&lt;&gt;",L$2:L185,"达标",WEEKNUM(A$2:A185,2),WEEKNUM(A185,2)),0))</f>
        <v/>
      </c>
      <c r="O185" s="100" t="str">
        <f aca="false">IF($A185="","",IF(L185="达标",IF(ROW()=2,1,IF(O184="",1,O184+1)),0))</f>
        <v/>
      </c>
      <c r="P185" s="101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100" t="str">
        <f aca="false">IF($A186="","",IF(B186=0,20,IF(B186=1,15,IF(B186=2,10,IF(B186=3,5,0))))+IF(C186="否",20,0)+IF(D186="是",20,0)+IF(E186=1,20,IF(E186=2,15,IF(E186=3,10,IF(E186=4,5,0))))+IF(F186="否",20,0))</f>
        <v/>
      </c>
      <c r="L186" s="101" t="str">
        <f aca="false">IF($A186="","",IF(K186&gt;=80,"达标","未达标"))</f>
        <v/>
      </c>
      <c r="M186" s="102" t="str">
        <f aca="false">IF($A186="","",IFERROR(AVERAGEIFS(K$2:K186,WEEKNUM(A$2:A186,2),WEEKNUM(A186,2)),K186))</f>
        <v/>
      </c>
      <c r="N186" s="103" t="str">
        <f aca="false">IF($A186="","",IFERROR(COUNTIFS(A$2:A186,"&lt;&gt;",L$2:L186,"达标",WEEKNUM(A$2:A186,2),WEEKNUM(A186,2)),0))</f>
        <v/>
      </c>
      <c r="O186" s="100" t="str">
        <f aca="false">IF($A186="","",IF(L186="达标",IF(ROW()=2,1,IF(O185="",1,O185+1)),0))</f>
        <v/>
      </c>
      <c r="P186" s="101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0" t="str">
        <f aca="false">IF($A187="","",IF(B187=0,20,IF(B187=1,15,IF(B187=2,10,IF(B187=3,5,0))))+IF(C187="否",20,0)+IF(D187="是",20,0)+IF(E187=1,20,IF(E187=2,15,IF(E187=3,10,IF(E187=4,5,0))))+IF(F187="否",20,0))</f>
        <v/>
      </c>
      <c r="L187" s="101" t="str">
        <f aca="false">IF($A187="","",IF(K187&gt;=80,"达标","未达标"))</f>
        <v/>
      </c>
      <c r="M187" s="102" t="str">
        <f aca="false">IF($A187="","",IFERROR(AVERAGEIFS(K$2:K187,WEEKNUM(A$2:A187,2),WEEKNUM(A187,2)),K187))</f>
        <v/>
      </c>
      <c r="N187" s="103" t="str">
        <f aca="false">IF($A187="","",IFERROR(COUNTIFS(A$2:A187,"&lt;&gt;",L$2:L187,"达标",WEEKNUM(A$2:A187,2),WEEKNUM(A187,2)),0))</f>
        <v/>
      </c>
      <c r="O187" s="100" t="str">
        <f aca="false">IF($A187="","",IF(L187="达标",IF(ROW()=2,1,IF(O186="",1,O186+1)),0))</f>
        <v/>
      </c>
      <c r="P187" s="101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100" t="str">
        <f aca="false">IF($A188="","",IF(B188=0,20,IF(B188=1,15,IF(B188=2,10,IF(B188=3,5,0))))+IF(C188="否",20,0)+IF(D188="是",20,0)+IF(E188=1,20,IF(E188=2,15,IF(E188=3,10,IF(E188=4,5,0))))+IF(F188="否",20,0))</f>
        <v/>
      </c>
      <c r="L188" s="101" t="str">
        <f aca="false">IF($A188="","",IF(K188&gt;=80,"达标","未达标"))</f>
        <v/>
      </c>
      <c r="M188" s="102" t="str">
        <f aca="false">IF($A188="","",IFERROR(AVERAGEIFS(K$2:K188,WEEKNUM(A$2:A188,2),WEEKNUM(A188,2)),K188))</f>
        <v/>
      </c>
      <c r="N188" s="103" t="str">
        <f aca="false">IF($A188="","",IFERROR(COUNTIFS(A$2:A188,"&lt;&gt;",L$2:L188,"达标",WEEKNUM(A$2:A188,2),WEEKNUM(A188,2)),0))</f>
        <v/>
      </c>
      <c r="O188" s="100" t="str">
        <f aca="false">IF($A188="","",IF(L188="达标",IF(ROW()=2,1,IF(O187="",1,O187+1)),0))</f>
        <v/>
      </c>
      <c r="P188" s="101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0" t="str">
        <f aca="false">IF($A189="","",IF(B189=0,20,IF(B189=1,15,IF(B189=2,10,IF(B189=3,5,0))))+IF(C189="否",20,0)+IF(D189="是",20,0)+IF(E189=1,20,IF(E189=2,15,IF(E189=3,10,IF(E189=4,5,0))))+IF(F189="否",20,0))</f>
        <v/>
      </c>
      <c r="L189" s="101" t="str">
        <f aca="false">IF($A189="","",IF(K189&gt;=80,"达标","未达标"))</f>
        <v/>
      </c>
      <c r="M189" s="102" t="str">
        <f aca="false">IF($A189="","",IFERROR(AVERAGEIFS(K$2:K189,WEEKNUM(A$2:A189,2),WEEKNUM(A189,2)),K189))</f>
        <v/>
      </c>
      <c r="N189" s="103" t="str">
        <f aca="false">IF($A189="","",IFERROR(COUNTIFS(A$2:A189,"&lt;&gt;",L$2:L189,"达标",WEEKNUM(A$2:A189,2),WEEKNUM(A189,2)),0))</f>
        <v/>
      </c>
      <c r="O189" s="100" t="str">
        <f aca="false">IF($A189="","",IF(L189="达标",IF(ROW()=2,1,IF(O188="",1,O188+1)),0))</f>
        <v/>
      </c>
      <c r="P189" s="101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100" t="str">
        <f aca="false">IF($A190="","",IF(B190=0,20,IF(B190=1,15,IF(B190=2,10,IF(B190=3,5,0))))+IF(C190="否",20,0)+IF(D190="是",20,0)+IF(E190=1,20,IF(E190=2,15,IF(E190=3,10,IF(E190=4,5,0))))+IF(F190="否",20,0))</f>
        <v/>
      </c>
      <c r="L190" s="101" t="str">
        <f aca="false">IF($A190="","",IF(K190&gt;=80,"达标","未达标"))</f>
        <v/>
      </c>
      <c r="M190" s="102" t="str">
        <f aca="false">IF($A190="","",IFERROR(AVERAGEIFS(K$2:K190,WEEKNUM(A$2:A190,2),WEEKNUM(A190,2)),K190))</f>
        <v/>
      </c>
      <c r="N190" s="103" t="str">
        <f aca="false">IF($A190="","",IFERROR(COUNTIFS(A$2:A190,"&lt;&gt;",L$2:L190,"达标",WEEKNUM(A$2:A190,2),WEEKNUM(A190,2)),0))</f>
        <v/>
      </c>
      <c r="O190" s="100" t="str">
        <f aca="false">IF($A190="","",IF(L190="达标",IF(ROW()=2,1,IF(O189="",1,O189+1)),0))</f>
        <v/>
      </c>
      <c r="P190" s="101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0" t="str">
        <f aca="false">IF($A191="","",IF(B191=0,20,IF(B191=1,15,IF(B191=2,10,IF(B191=3,5,0))))+IF(C191="否",20,0)+IF(D191="是",20,0)+IF(E191=1,20,IF(E191=2,15,IF(E191=3,10,IF(E191=4,5,0))))+IF(F191="否",20,0))</f>
        <v/>
      </c>
      <c r="L191" s="101" t="str">
        <f aca="false">IF($A191="","",IF(K191&gt;=80,"达标","未达标"))</f>
        <v/>
      </c>
      <c r="M191" s="102" t="str">
        <f aca="false">IF($A191="","",IFERROR(AVERAGEIFS(K$2:K191,WEEKNUM(A$2:A191,2),WEEKNUM(A191,2)),K191))</f>
        <v/>
      </c>
      <c r="N191" s="103" t="str">
        <f aca="false">IF($A191="","",IFERROR(COUNTIFS(A$2:A191,"&lt;&gt;",L$2:L191,"达标",WEEKNUM(A$2:A191,2),WEEKNUM(A191,2)),0))</f>
        <v/>
      </c>
      <c r="O191" s="100" t="str">
        <f aca="false">IF($A191="","",IF(L191="达标",IF(ROW()=2,1,IF(O190="",1,O190+1)),0))</f>
        <v/>
      </c>
      <c r="P191" s="101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100" t="str">
        <f aca="false">IF($A192="","",IF(B192=0,20,IF(B192=1,15,IF(B192=2,10,IF(B192=3,5,0))))+IF(C192="否",20,0)+IF(D192="是",20,0)+IF(E192=1,20,IF(E192=2,15,IF(E192=3,10,IF(E192=4,5,0))))+IF(F192="否",20,0))</f>
        <v/>
      </c>
      <c r="L192" s="101" t="str">
        <f aca="false">IF($A192="","",IF(K192&gt;=80,"达标","未达标"))</f>
        <v/>
      </c>
      <c r="M192" s="102" t="str">
        <f aca="false">IF($A192="","",IFERROR(AVERAGEIFS(K$2:K192,WEEKNUM(A$2:A192,2),WEEKNUM(A192,2)),K192))</f>
        <v/>
      </c>
      <c r="N192" s="103" t="str">
        <f aca="false">IF($A192="","",IFERROR(COUNTIFS(A$2:A192,"&lt;&gt;",L$2:L192,"达标",WEEKNUM(A$2:A192,2),WEEKNUM(A192,2)),0))</f>
        <v/>
      </c>
      <c r="O192" s="100" t="str">
        <f aca="false">IF($A192="","",IF(L192="达标",IF(ROW()=2,1,IF(O191="",1,O191+1)),0))</f>
        <v/>
      </c>
      <c r="P192" s="101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0" t="str">
        <f aca="false">IF($A193="","",IF(B193=0,20,IF(B193=1,15,IF(B193=2,10,IF(B193=3,5,0))))+IF(C193="否",20,0)+IF(D193="是",20,0)+IF(E193=1,20,IF(E193=2,15,IF(E193=3,10,IF(E193=4,5,0))))+IF(F193="否",20,0))</f>
        <v/>
      </c>
      <c r="L193" s="101" t="str">
        <f aca="false">IF($A193="","",IF(K193&gt;=80,"达标","未达标"))</f>
        <v/>
      </c>
      <c r="M193" s="102" t="str">
        <f aca="false">IF($A193="","",IFERROR(AVERAGEIFS(K$2:K193,WEEKNUM(A$2:A193,2),WEEKNUM(A193,2)),K193))</f>
        <v/>
      </c>
      <c r="N193" s="103" t="str">
        <f aca="false">IF($A193="","",IFERROR(COUNTIFS(A$2:A193,"&lt;&gt;",L$2:L193,"达标",WEEKNUM(A$2:A193,2),WEEKNUM(A193,2)),0))</f>
        <v/>
      </c>
      <c r="O193" s="100" t="str">
        <f aca="false">IF($A193="","",IF(L193="达标",IF(ROW()=2,1,IF(O192="",1,O192+1)),0))</f>
        <v/>
      </c>
      <c r="P193" s="101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100" t="str">
        <f aca="false">IF($A194="","",IF(B194=0,20,IF(B194=1,15,IF(B194=2,10,IF(B194=3,5,0))))+IF(C194="否",20,0)+IF(D194="是",20,0)+IF(E194=1,20,IF(E194=2,15,IF(E194=3,10,IF(E194=4,5,0))))+IF(F194="否",20,0))</f>
        <v/>
      </c>
      <c r="L194" s="101" t="str">
        <f aca="false">IF($A194="","",IF(K194&gt;=80,"达标","未达标"))</f>
        <v/>
      </c>
      <c r="M194" s="102" t="str">
        <f aca="false">IF($A194="","",IFERROR(AVERAGEIFS(K$2:K194,WEEKNUM(A$2:A194,2),WEEKNUM(A194,2)),K194))</f>
        <v/>
      </c>
      <c r="N194" s="103" t="str">
        <f aca="false">IF($A194="","",IFERROR(COUNTIFS(A$2:A194,"&lt;&gt;",L$2:L194,"达标",WEEKNUM(A$2:A194,2),WEEKNUM(A194,2)),0))</f>
        <v/>
      </c>
      <c r="O194" s="100" t="str">
        <f aca="false">IF($A194="","",IF(L194="达标",IF(ROW()=2,1,IF(O193="",1,O193+1)),0))</f>
        <v/>
      </c>
      <c r="P194" s="101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0" t="str">
        <f aca="false">IF($A195="","",IF(B195=0,20,IF(B195=1,15,IF(B195=2,10,IF(B195=3,5,0))))+IF(C195="否",20,0)+IF(D195="是",20,0)+IF(E195=1,20,IF(E195=2,15,IF(E195=3,10,IF(E195=4,5,0))))+IF(F195="否",20,0))</f>
        <v/>
      </c>
      <c r="L195" s="101" t="str">
        <f aca="false">IF($A195="","",IF(K195&gt;=80,"达标","未达标"))</f>
        <v/>
      </c>
      <c r="M195" s="102" t="str">
        <f aca="false">IF($A195="","",IFERROR(AVERAGEIFS(K$2:K195,WEEKNUM(A$2:A195,2),WEEKNUM(A195,2)),K195))</f>
        <v/>
      </c>
      <c r="N195" s="103" t="str">
        <f aca="false">IF($A195="","",IFERROR(COUNTIFS(A$2:A195,"&lt;&gt;",L$2:L195,"达标",WEEKNUM(A$2:A195,2),WEEKNUM(A195,2)),0))</f>
        <v/>
      </c>
      <c r="O195" s="100" t="str">
        <f aca="false">IF($A195="","",IF(L195="达标",IF(ROW()=2,1,IF(O194="",1,O194+1)),0))</f>
        <v/>
      </c>
      <c r="P195" s="101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100" t="str">
        <f aca="false">IF($A196="","",IF(B196=0,20,IF(B196=1,15,IF(B196=2,10,IF(B196=3,5,0))))+IF(C196="否",20,0)+IF(D196="是",20,0)+IF(E196=1,20,IF(E196=2,15,IF(E196=3,10,IF(E196=4,5,0))))+IF(F196="否",20,0))</f>
        <v/>
      </c>
      <c r="L196" s="101" t="str">
        <f aca="false">IF($A196="","",IF(K196&gt;=80,"达标","未达标"))</f>
        <v/>
      </c>
      <c r="M196" s="102" t="str">
        <f aca="false">IF($A196="","",IFERROR(AVERAGEIFS(K$2:K196,WEEKNUM(A$2:A196,2),WEEKNUM(A196,2)),K196))</f>
        <v/>
      </c>
      <c r="N196" s="103" t="str">
        <f aca="false">IF($A196="","",IFERROR(COUNTIFS(A$2:A196,"&lt;&gt;",L$2:L196,"达标",WEEKNUM(A$2:A196,2),WEEKNUM(A196,2)),0))</f>
        <v/>
      </c>
      <c r="O196" s="100" t="str">
        <f aca="false">IF($A196="","",IF(L196="达标",IF(ROW()=2,1,IF(O195="",1,O195+1)),0))</f>
        <v/>
      </c>
      <c r="P196" s="101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0" t="str">
        <f aca="false">IF($A197="","",IF(B197=0,20,IF(B197=1,15,IF(B197=2,10,IF(B197=3,5,0))))+IF(C197="否",20,0)+IF(D197="是",20,0)+IF(E197=1,20,IF(E197=2,15,IF(E197=3,10,IF(E197=4,5,0))))+IF(F197="否",20,0))</f>
        <v/>
      </c>
      <c r="L197" s="101" t="str">
        <f aca="false">IF($A197="","",IF(K197&gt;=80,"达标","未达标"))</f>
        <v/>
      </c>
      <c r="M197" s="102" t="str">
        <f aca="false">IF($A197="","",IFERROR(AVERAGEIFS(K$2:K197,WEEKNUM(A$2:A197,2),WEEKNUM(A197,2)),K197))</f>
        <v/>
      </c>
      <c r="N197" s="103" t="str">
        <f aca="false">IF($A197="","",IFERROR(COUNTIFS(A$2:A197,"&lt;&gt;",L$2:L197,"达标",WEEKNUM(A$2:A197,2),WEEKNUM(A197,2)),0))</f>
        <v/>
      </c>
      <c r="O197" s="100" t="str">
        <f aca="false">IF($A197="","",IF(L197="达标",IF(ROW()=2,1,IF(O196="",1,O196+1)),0))</f>
        <v/>
      </c>
      <c r="P197" s="101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100" t="str">
        <f aca="false">IF($A198="","",IF(B198=0,20,IF(B198=1,15,IF(B198=2,10,IF(B198=3,5,0))))+IF(C198="否",20,0)+IF(D198="是",20,0)+IF(E198=1,20,IF(E198=2,15,IF(E198=3,10,IF(E198=4,5,0))))+IF(F198="否",20,0))</f>
        <v/>
      </c>
      <c r="L198" s="101" t="str">
        <f aca="false">IF($A198="","",IF(K198&gt;=80,"达标","未达标"))</f>
        <v/>
      </c>
      <c r="M198" s="102" t="str">
        <f aca="false">IF($A198="","",IFERROR(AVERAGEIFS(K$2:K198,WEEKNUM(A$2:A198,2),WEEKNUM(A198,2)),K198))</f>
        <v/>
      </c>
      <c r="N198" s="103" t="str">
        <f aca="false">IF($A198="","",IFERROR(COUNTIFS(A$2:A198,"&lt;&gt;",L$2:L198,"达标",WEEKNUM(A$2:A198,2),WEEKNUM(A198,2)),0))</f>
        <v/>
      </c>
      <c r="O198" s="100" t="str">
        <f aca="false">IF($A198="","",IF(L198="达标",IF(ROW()=2,1,IF(O197="",1,O197+1)),0))</f>
        <v/>
      </c>
      <c r="P198" s="101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0" t="str">
        <f aca="false">IF($A199="","",IF(B199=0,20,IF(B199=1,15,IF(B199=2,10,IF(B199=3,5,0))))+IF(C199="否",20,0)+IF(D199="是",20,0)+IF(E199=1,20,IF(E199=2,15,IF(E199=3,10,IF(E199=4,5,0))))+IF(F199="否",20,0))</f>
        <v/>
      </c>
      <c r="L199" s="101" t="str">
        <f aca="false">IF($A199="","",IF(K199&gt;=80,"达标","未达标"))</f>
        <v/>
      </c>
      <c r="M199" s="102" t="str">
        <f aca="false">IF($A199="","",IFERROR(AVERAGEIFS(K$2:K199,WEEKNUM(A$2:A199,2),WEEKNUM(A199,2)),K199))</f>
        <v/>
      </c>
      <c r="N199" s="103" t="str">
        <f aca="false">IF($A199="","",IFERROR(COUNTIFS(A$2:A199,"&lt;&gt;",L$2:L199,"达标",WEEKNUM(A$2:A199,2),WEEKNUM(A199,2)),0))</f>
        <v/>
      </c>
      <c r="O199" s="100" t="str">
        <f aca="false">IF($A199="","",IF(L199="达标",IF(ROW()=2,1,IF(O198="",1,O198+1)),0))</f>
        <v/>
      </c>
      <c r="P199" s="101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100" t="str">
        <f aca="false">IF($A200="","",IF(B200=0,20,IF(B200=1,15,IF(B200=2,10,IF(B200=3,5,0))))+IF(C200="否",20,0)+IF(D200="是",20,0)+IF(E200=1,20,IF(E200=2,15,IF(E200=3,10,IF(E200=4,5,0))))+IF(F200="否",20,0))</f>
        <v/>
      </c>
      <c r="L200" s="101" t="str">
        <f aca="false">IF($A200="","",IF(K200&gt;=80,"达标","未达标"))</f>
        <v/>
      </c>
      <c r="M200" s="102" t="str">
        <f aca="false">IF($A200="","",IFERROR(AVERAGEIFS(K$2:K200,WEEKNUM(A$2:A200,2),WEEKNUM(A200,2)),K200))</f>
        <v/>
      </c>
      <c r="N200" s="103" t="str">
        <f aca="false">IF($A200="","",IFERROR(COUNTIFS(A$2:A200,"&lt;&gt;",L$2:L200,"达标",WEEKNUM(A$2:A200,2),WEEKNUM(A200,2)),0))</f>
        <v/>
      </c>
      <c r="O200" s="100" t="str">
        <f aca="false">IF($A200="","",IF(L200="达标",IF(ROW()=2,1,IF(O199="",1,O199+1)),0))</f>
        <v/>
      </c>
      <c r="P200" s="101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0" t="str">
        <f aca="false">IF($A201="","",IF(B201=0,20,IF(B201=1,15,IF(B201=2,10,IF(B201=3,5,0))))+IF(C201="否",20,0)+IF(D201="是",20,0)+IF(E201=1,20,IF(E201=2,15,IF(E201=3,10,IF(E201=4,5,0))))+IF(F201="否",20,0))</f>
        <v/>
      </c>
      <c r="L201" s="101" t="str">
        <f aca="false">IF($A201="","",IF(K201&gt;=80,"达标","未达标"))</f>
        <v/>
      </c>
      <c r="M201" s="102" t="str">
        <f aca="false">IF($A201="","",IFERROR(AVERAGEIFS(K$2:K201,WEEKNUM(A$2:A201,2),WEEKNUM(A201,2)),K201))</f>
        <v/>
      </c>
      <c r="N201" s="103" t="str">
        <f aca="false">IF($A201="","",IFERROR(COUNTIFS(A$2:A201,"&lt;&gt;",L$2:L201,"达标",WEEKNUM(A$2:A201,2),WEEKNUM(A201,2)),0))</f>
        <v/>
      </c>
      <c r="O201" s="100" t="str">
        <f aca="false">IF($A201="","",IF(L201="达标",IF(ROW()=2,1,IF(O200="",1,O200+1)),0))</f>
        <v/>
      </c>
      <c r="P201" s="101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7" t="s">
        <v>596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8" t="s">
        <v>597</v>
      </c>
      <c r="B204" s="89" t="n">
        <f aca="false">COUNTA(A2:A200)</f>
        <v>3</v>
      </c>
      <c r="C204" s="89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8" t="s">
        <v>598</v>
      </c>
      <c r="B205" s="89" t="n">
        <f aca="false">COUNTIF(L2:L200,"达标")</f>
        <v>0</v>
      </c>
      <c r="C205" s="89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8" t="s">
        <v>599</v>
      </c>
      <c r="B206" s="89" t="n">
        <f aca="false">IFERROR(B205/B204,0)</f>
        <v>0</v>
      </c>
      <c r="C206" s="89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8" t="s">
        <v>600</v>
      </c>
      <c r="B207" s="89" t="n">
        <f aca="false">IFERROR(AVERAGE(K2:K200),0)</f>
        <v>50</v>
      </c>
      <c r="C207" s="89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8" t="s">
        <v>601</v>
      </c>
      <c r="B208" s="89" t="n">
        <f aca="false">IFERROR(MAX(K2:K200),0)</f>
        <v>70</v>
      </c>
      <c r="C208" s="89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8" t="s">
        <v>602</v>
      </c>
      <c r="B209" s="89" t="n">
        <f aca="false">IFERROR(MIN(K2:K200),0)</f>
        <v>10</v>
      </c>
      <c r="C209" s="89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8" t="s">
        <v>603</v>
      </c>
      <c r="B210" s="89" t="str">
        <f aca="false">IFERROR(O200,0)</f>
        <v/>
      </c>
      <c r="C210" s="89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8" t="s">
        <v>604</v>
      </c>
      <c r="B211" s="89" t="n">
        <f aca="false">IFERROR(MAX(O2:O200),0)</f>
        <v>0</v>
      </c>
      <c r="C211" s="89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8" t="s">
        <v>605</v>
      </c>
      <c r="B212" s="89" t="n">
        <f aca="false">IFERROR(AVERAGE(B2:B200),0)</f>
        <v>4</v>
      </c>
      <c r="C212" s="89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8" t="s">
        <v>606</v>
      </c>
      <c r="B213" s="89" t="n">
        <f aca="false">COUNTIF(C2:C200,"是")</f>
        <v>0</v>
      </c>
      <c r="C213" s="89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8" t="s">
        <v>607</v>
      </c>
      <c r="B214" s="89" t="n">
        <f aca="false">COUNTIF(D2:D200,"否")</f>
        <v>0</v>
      </c>
      <c r="C214" s="89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8" t="s">
        <v>608</v>
      </c>
      <c r="B215" s="89" t="n">
        <f aca="false">COUNTIF(F2:F200,"是")</f>
        <v>0</v>
      </c>
      <c r="C215" s="89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8" t="s">
        <v>609</v>
      </c>
      <c r="B216" s="89" t="n">
        <f aca="false">IFERROR(AVERAGE(E2:E200),0)</f>
        <v>3</v>
      </c>
      <c r="C216" s="89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92" t="s">
        <v>610</v>
      </c>
      <c r="B217" s="92" t="str">
        <f aca="false">IF(B207&gt;=80,"轻态 ✅",IF(B207&gt;=60,"改善中 ⚠️","需调整 ❌"))</f>
        <v>需调整 ❌</v>
      </c>
      <c r="C217" s="89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7" t="s">
        <v>611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8" t="s">
        <v>612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8" t="s">
        <v>613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8" t="s">
        <v>614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8" t="s">
        <v>615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8" t="s">
        <v>616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9" t="s">
        <v>617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618</v>
      </c>
      <c r="D227" s="32" t="s">
        <v>619</v>
      </c>
      <c r="E227" s="32" t="s">
        <v>620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621</v>
      </c>
      <c r="I228" s="32" t="s">
        <v>622</v>
      </c>
      <c r="J228" s="32" t="s">
        <v>623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624</v>
      </c>
      <c r="I229" s="32"/>
      <c r="J229" s="32" t="s">
        <v>625</v>
      </c>
      <c r="K229" s="1" t="n">
        <v>80</v>
      </c>
      <c r="L229" s="32" t="s">
        <v>626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592</v>
      </c>
      <c r="J230" s="32" t="s">
        <v>627</v>
      </c>
      <c r="K230" s="1" t="n">
        <v>95</v>
      </c>
      <c r="L230" s="32" t="s">
        <v>626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628</v>
      </c>
      <c r="B231" s="32" t="s">
        <v>629</v>
      </c>
      <c r="C231" s="32" t="s">
        <v>630</v>
      </c>
      <c r="D231" s="32" t="s">
        <v>631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578</v>
      </c>
      <c r="B232" s="1" t="s">
        <v>632</v>
      </c>
      <c r="C232" s="32" t="s">
        <v>633</v>
      </c>
      <c r="D232" s="32" t="s">
        <v>634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635</v>
      </c>
    </row>
    <row r="234" customFormat="false" ht="15" hidden="false" customHeight="true" outlineLevel="0" collapsed="false">
      <c r="A234" s="61" t="n">
        <v>46236</v>
      </c>
      <c r="B234" s="32" t="s">
        <v>636</v>
      </c>
      <c r="C234" s="95" t="s">
        <v>637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638</v>
      </c>
      <c r="C235" s="1" t="s">
        <v>639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10" t="s">
        <v>271</v>
      </c>
      <c r="B1" s="110" t="s">
        <v>640</v>
      </c>
      <c r="C1" s="110" t="s">
        <v>641</v>
      </c>
      <c r="D1" s="110" t="s">
        <v>642</v>
      </c>
      <c r="E1" s="110" t="s">
        <v>643</v>
      </c>
      <c r="F1" s="110" t="s">
        <v>644</v>
      </c>
      <c r="G1" s="110" t="s">
        <v>645</v>
      </c>
      <c r="H1" s="110" t="s">
        <v>646</v>
      </c>
      <c r="I1" s="111" t="s">
        <v>647</v>
      </c>
      <c r="J1" s="111" t="s">
        <v>648</v>
      </c>
      <c r="K1" s="110" t="s">
        <v>649</v>
      </c>
      <c r="L1" s="2" t="s">
        <v>650</v>
      </c>
      <c r="M1" s="2" t="s">
        <v>651</v>
      </c>
      <c r="N1" s="2" t="s">
        <v>652</v>
      </c>
      <c r="O1" s="2" t="s">
        <v>653</v>
      </c>
      <c r="P1" s="2" t="s">
        <v>654</v>
      </c>
      <c r="Q1" s="2" t="s">
        <v>655</v>
      </c>
      <c r="R1" s="2" t="s">
        <v>656</v>
      </c>
      <c r="S1" s="2" t="s">
        <v>657</v>
      </c>
      <c r="T1" s="2" t="s">
        <v>658</v>
      </c>
      <c r="U1" s="2" t="s">
        <v>659</v>
      </c>
      <c r="V1" s="2" t="s">
        <v>6</v>
      </c>
      <c r="W1" s="112" t="s">
        <v>660</v>
      </c>
      <c r="X1" s="112" t="s">
        <v>661</v>
      </c>
      <c r="Y1" s="112" t="s">
        <v>662</v>
      </c>
      <c r="Z1" s="112" t="s">
        <v>663</v>
      </c>
      <c r="AA1" s="112" t="s">
        <v>664</v>
      </c>
      <c r="AB1" s="112" t="s">
        <v>665</v>
      </c>
      <c r="AC1" s="112" t="s">
        <v>666</v>
      </c>
      <c r="AD1" s="112" t="s">
        <v>667</v>
      </c>
      <c r="AE1" s="112" t="s">
        <v>668</v>
      </c>
      <c r="AF1" s="112" t="s">
        <v>669</v>
      </c>
      <c r="AG1" s="112" t="s">
        <v>670</v>
      </c>
      <c r="AH1" s="112" t="s">
        <v>671</v>
      </c>
    </row>
    <row r="2" customFormat="false" ht="15" hidden="false" customHeight="true" outlineLevel="0" collapsed="false">
      <c r="A2" s="29" t="s">
        <v>672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673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674</v>
      </c>
      <c r="Q2" s="28" t="s">
        <v>675</v>
      </c>
      <c r="R2" s="39" t="s">
        <v>324</v>
      </c>
      <c r="S2" s="40" t="s">
        <v>236</v>
      </c>
      <c r="T2" s="39" t="s">
        <v>324</v>
      </c>
      <c r="U2" s="28" t="s">
        <v>676</v>
      </c>
      <c r="V2" s="28" t="s">
        <v>677</v>
      </c>
      <c r="W2" s="113" t="s">
        <v>678</v>
      </c>
      <c r="X2" s="113" t="s">
        <v>679</v>
      </c>
      <c r="Y2" s="113" t="s">
        <v>680</v>
      </c>
      <c r="Z2" s="114" t="s">
        <v>681</v>
      </c>
      <c r="AA2" s="115" t="s">
        <v>682</v>
      </c>
      <c r="AB2" s="115" t="n">
        <v>8.38</v>
      </c>
      <c r="AC2" s="115" t="s">
        <v>683</v>
      </c>
      <c r="AD2" s="114" t="s">
        <v>684</v>
      </c>
      <c r="AE2" s="115" t="s">
        <v>685</v>
      </c>
      <c r="AF2" s="114" t="s">
        <v>686</v>
      </c>
      <c r="AG2" s="114" t="s">
        <v>687</v>
      </c>
      <c r="AH2" s="114" t="s">
        <v>688</v>
      </c>
    </row>
    <row r="3" customFormat="false" ht="15" hidden="false" customHeight="true" outlineLevel="0" collapsed="false">
      <c r="A3" s="59" t="s">
        <v>689</v>
      </c>
      <c r="B3" s="44" t="n">
        <v>527.88</v>
      </c>
      <c r="C3" s="44" t="s">
        <v>690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691</v>
      </c>
      <c r="J3" s="45" t="n">
        <v>68</v>
      </c>
      <c r="K3" s="30" t="s">
        <v>692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693</v>
      </c>
      <c r="E1" s="63" t="s">
        <v>360</v>
      </c>
      <c r="F1" s="63" t="s">
        <v>361</v>
      </c>
      <c r="G1" s="63" t="s">
        <v>694</v>
      </c>
      <c r="H1" s="33" t="s">
        <v>695</v>
      </c>
      <c r="I1" s="33" t="s">
        <v>427</v>
      </c>
      <c r="J1" s="33" t="s">
        <v>696</v>
      </c>
      <c r="K1" s="33" t="s">
        <v>697</v>
      </c>
      <c r="L1" s="33" t="s">
        <v>443</v>
      </c>
      <c r="M1" s="33" t="s">
        <v>698</v>
      </c>
    </row>
    <row r="2" customFormat="false" ht="15" hidden="false" customHeight="true" outlineLevel="0" collapsed="false">
      <c r="A2" s="55" t="n">
        <v>46229</v>
      </c>
      <c r="B2" s="1" t="s">
        <v>699</v>
      </c>
      <c r="C2" s="32" t="s">
        <v>700</v>
      </c>
      <c r="D2" s="1" t="n">
        <v>23.98</v>
      </c>
      <c r="E2" s="1" t="n">
        <v>0.18020228134431</v>
      </c>
      <c r="F2" s="1" t="n">
        <v>0.942257901343378</v>
      </c>
      <c r="G2" s="32" t="s">
        <v>701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452</v>
      </c>
      <c r="C3" s="32" t="s">
        <v>451</v>
      </c>
      <c r="D3" s="1" t="n">
        <v>3.1</v>
      </c>
      <c r="E3" s="1" t="n">
        <v>0.0219614970942553</v>
      </c>
      <c r="F3" s="1" t="n">
        <v>0.937046817900879</v>
      </c>
      <c r="G3" s="32" t="s">
        <v>701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702</v>
      </c>
      <c r="C4" s="32" t="s">
        <v>703</v>
      </c>
      <c r="D4" s="1" t="n">
        <v>18.74</v>
      </c>
      <c r="E4" s="1" t="n">
        <v>0.0722104792657035</v>
      </c>
      <c r="F4" s="1" t="n">
        <v>0.933669096017595</v>
      </c>
      <c r="G4" s="32" t="s">
        <v>701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704</v>
      </c>
      <c r="C5" s="32" t="s">
        <v>705</v>
      </c>
      <c r="D5" s="1" t="n">
        <v>28.58</v>
      </c>
      <c r="E5" s="1" t="n">
        <v>0.136356199625273</v>
      </c>
      <c r="F5" s="1" t="n">
        <v>0.932773404270058</v>
      </c>
      <c r="G5" s="32" t="s">
        <v>701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701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701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706</v>
      </c>
      <c r="C8" s="32" t="s">
        <v>707</v>
      </c>
      <c r="D8" s="1" t="n">
        <v>347.8</v>
      </c>
      <c r="E8" s="1" t="n">
        <v>0.150557882767282</v>
      </c>
      <c r="F8" s="1" t="n">
        <v>0.923640505971024</v>
      </c>
      <c r="G8" s="32" t="s">
        <v>701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708</v>
      </c>
      <c r="C9" s="32" t="s">
        <v>709</v>
      </c>
      <c r="D9" s="1" t="n">
        <v>6.46</v>
      </c>
      <c r="E9" s="1" t="n">
        <v>0.0651159258248686</v>
      </c>
      <c r="F9" s="1" t="n">
        <v>0.921375970201785</v>
      </c>
      <c r="G9" s="32" t="s">
        <v>701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701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710</v>
      </c>
      <c r="C11" s="32" t="s">
        <v>711</v>
      </c>
      <c r="D11" s="1" t="n">
        <v>21.5</v>
      </c>
      <c r="E11" s="1" t="n">
        <v>0.115884894387187</v>
      </c>
      <c r="F11" s="1" t="n">
        <v>0.916649957764473</v>
      </c>
      <c r="G11" s="32" t="s">
        <v>701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712</v>
      </c>
      <c r="C12" s="32" t="s">
        <v>713</v>
      </c>
      <c r="D12" s="1" t="n">
        <v>18.87</v>
      </c>
      <c r="E12" s="1" t="n">
        <v>0.121148586472636</v>
      </c>
      <c r="F12" s="1" t="n">
        <v>0.906724814708502</v>
      </c>
      <c r="G12" s="32" t="s">
        <v>701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714</v>
      </c>
      <c r="C13" s="32" t="s">
        <v>715</v>
      </c>
      <c r="D13" s="1" t="n">
        <v>5.03</v>
      </c>
      <c r="E13" s="1" t="n">
        <v>0.230295547470064</v>
      </c>
      <c r="F13" s="1" t="n">
        <v>0.966349594345001</v>
      </c>
      <c r="G13" s="32" t="s">
        <v>716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717</v>
      </c>
      <c r="C14" s="32" t="s">
        <v>718</v>
      </c>
      <c r="D14" s="1" t="n">
        <v>5.43</v>
      </c>
      <c r="E14" s="1" t="n">
        <v>0.264315091191391</v>
      </c>
      <c r="F14" s="1" t="n">
        <v>0.946183041529521</v>
      </c>
      <c r="G14" s="32" t="s">
        <v>716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719</v>
      </c>
      <c r="C15" s="32" t="s">
        <v>720</v>
      </c>
      <c r="D15" s="1" t="n">
        <v>5.29</v>
      </c>
      <c r="E15" s="1" t="n">
        <v>0.294214346271889</v>
      </c>
      <c r="F15" s="1" t="n">
        <v>0.944844424311078</v>
      </c>
      <c r="G15" s="32" t="s">
        <v>716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721</v>
      </c>
      <c r="C16" s="32" t="s">
        <v>722</v>
      </c>
      <c r="D16" s="1" t="n">
        <v>10.12</v>
      </c>
      <c r="E16" s="1" t="n">
        <v>0.127084861361356</v>
      </c>
      <c r="F16" s="1" t="n">
        <v>0.899729521998906</v>
      </c>
      <c r="G16" s="32" t="s">
        <v>716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723</v>
      </c>
      <c r="C17" s="32" t="s">
        <v>724</v>
      </c>
      <c r="D17" s="1" t="n">
        <v>11.53</v>
      </c>
      <c r="E17" s="1" t="n">
        <v>0.246630945795256</v>
      </c>
      <c r="F17" s="1" t="n">
        <v>0.894431562682973</v>
      </c>
      <c r="G17" s="32" t="s">
        <v>716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725</v>
      </c>
      <c r="C18" s="32" t="s">
        <v>726</v>
      </c>
      <c r="D18" s="1" t="n">
        <v>1.98</v>
      </c>
      <c r="E18" s="1" t="n">
        <v>0.232351791787116</v>
      </c>
      <c r="F18" s="1" t="n">
        <v>0.891396922045184</v>
      </c>
      <c r="G18" s="32" t="s">
        <v>716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716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727</v>
      </c>
      <c r="C20" s="32" t="s">
        <v>728</v>
      </c>
      <c r="D20" s="1" t="n">
        <v>2.12</v>
      </c>
      <c r="E20" s="1" t="n">
        <v>0.174050352294355</v>
      </c>
      <c r="F20" s="1" t="n">
        <v>0.876951353251519</v>
      </c>
      <c r="G20" s="32" t="s">
        <v>716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729</v>
      </c>
      <c r="C21" s="32" t="s">
        <v>730</v>
      </c>
      <c r="D21" s="1" t="n">
        <v>7.08</v>
      </c>
      <c r="E21" s="1" t="n">
        <v>0.294703066087429</v>
      </c>
      <c r="F21" s="1" t="n">
        <v>0.867559280835112</v>
      </c>
      <c r="G21" s="32" t="s">
        <v>716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731</v>
      </c>
      <c r="C22" s="32" t="s">
        <v>732</v>
      </c>
      <c r="D22" s="1" t="n">
        <v>14.88</v>
      </c>
      <c r="E22" s="1" t="n">
        <v>0.165948265449632</v>
      </c>
      <c r="F22" s="1" t="n">
        <v>0.867253369822946</v>
      </c>
      <c r="G22" s="32" t="s">
        <v>716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733</v>
      </c>
      <c r="C23" s="32" t="s">
        <v>734</v>
      </c>
      <c r="D23" s="1" t="n">
        <v>17.61</v>
      </c>
      <c r="E23" s="1" t="n">
        <v>0.253402303330322</v>
      </c>
      <c r="F23" s="1" t="n">
        <v>0.846751691580814</v>
      </c>
      <c r="G23" s="32" t="s">
        <v>735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736</v>
      </c>
      <c r="C24" s="32" t="s">
        <v>737</v>
      </c>
      <c r="D24" s="1" t="n">
        <v>38.51</v>
      </c>
      <c r="E24" s="1" t="n">
        <v>0.188976912364795</v>
      </c>
      <c r="F24" s="1" t="n">
        <v>0.846564729481012</v>
      </c>
      <c r="G24" s="32" t="s">
        <v>735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738</v>
      </c>
      <c r="C25" s="32" t="s">
        <v>739</v>
      </c>
      <c r="D25" s="1" t="n">
        <v>8.46</v>
      </c>
      <c r="E25" s="1" t="n">
        <v>0.384101052971927</v>
      </c>
      <c r="F25" s="1" t="n">
        <v>0.842620091964338</v>
      </c>
      <c r="G25" s="32" t="s">
        <v>735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740</v>
      </c>
      <c r="C26" s="32" t="s">
        <v>741</v>
      </c>
      <c r="D26" s="1" t="n">
        <v>16.01</v>
      </c>
      <c r="E26" s="1" t="n">
        <v>0.193741864254793</v>
      </c>
      <c r="F26" s="1" t="n">
        <v>0.84110522239601</v>
      </c>
      <c r="G26" s="32" t="s">
        <v>735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742</v>
      </c>
      <c r="C27" s="32" t="s">
        <v>743</v>
      </c>
      <c r="D27" s="1" t="n">
        <v>8.49</v>
      </c>
      <c r="E27" s="1" t="n">
        <v>0.306636304093562</v>
      </c>
      <c r="F27" s="1" t="n">
        <v>0.825728706833739</v>
      </c>
      <c r="G27" s="32" t="s">
        <v>735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735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744</v>
      </c>
      <c r="C29" s="32" t="s">
        <v>745</v>
      </c>
      <c r="D29" s="1" t="n">
        <v>30.78</v>
      </c>
      <c r="E29" s="1" t="n">
        <v>0.256598300008733</v>
      </c>
      <c r="F29" s="1" t="n">
        <v>0.818224023423837</v>
      </c>
      <c r="G29" s="32" t="s">
        <v>735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746</v>
      </c>
      <c r="C30" s="32" t="s">
        <v>747</v>
      </c>
      <c r="D30" s="1" t="n">
        <v>14.68</v>
      </c>
      <c r="E30" s="1" t="n">
        <v>0.263771783517079</v>
      </c>
      <c r="F30" s="1" t="n">
        <v>0.816513962155352</v>
      </c>
      <c r="G30" s="32" t="s">
        <v>735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748</v>
      </c>
      <c r="C31" s="32" t="s">
        <v>749</v>
      </c>
      <c r="D31" s="1" t="n">
        <v>7.71</v>
      </c>
      <c r="E31" s="1" t="n">
        <v>0.17665125667976</v>
      </c>
      <c r="F31" s="1" t="n">
        <v>0.810842164228016</v>
      </c>
      <c r="G31" s="32" t="s">
        <v>735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750</v>
      </c>
      <c r="B32" s="1" t="s">
        <v>746</v>
      </c>
      <c r="C32" s="32" t="s">
        <v>747</v>
      </c>
      <c r="G32" s="32" t="s">
        <v>751</v>
      </c>
      <c r="M32" s="1" t="s">
        <v>752</v>
      </c>
    </row>
    <row r="33" customFormat="false" ht="15" hidden="false" customHeight="true" outlineLevel="0" collapsed="false">
      <c r="A33" s="1" t="s">
        <v>750</v>
      </c>
      <c r="B33" s="1" t="s">
        <v>401</v>
      </c>
      <c r="C33" s="32" t="s">
        <v>400</v>
      </c>
      <c r="G33" s="32" t="s">
        <v>751</v>
      </c>
      <c r="M33" s="1" t="s">
        <v>752</v>
      </c>
    </row>
    <row r="34" customFormat="false" ht="15" hidden="false" customHeight="true" outlineLevel="0" collapsed="false">
      <c r="A34" s="1" t="s">
        <v>750</v>
      </c>
      <c r="B34" s="1" t="s">
        <v>731</v>
      </c>
      <c r="C34" s="32" t="s">
        <v>732</v>
      </c>
      <c r="G34" s="32" t="s">
        <v>751</v>
      </c>
      <c r="M34" s="1" t="s">
        <v>752</v>
      </c>
    </row>
    <row r="35" customFormat="false" ht="15" hidden="false" customHeight="true" outlineLevel="0" collapsed="false">
      <c r="A35" s="1" t="s">
        <v>750</v>
      </c>
      <c r="B35" s="1" t="s">
        <v>729</v>
      </c>
      <c r="C35" s="32" t="s">
        <v>730</v>
      </c>
      <c r="G35" s="32" t="s">
        <v>751</v>
      </c>
      <c r="M35" s="1" t="s">
        <v>752</v>
      </c>
    </row>
    <row r="36" customFormat="false" ht="15" hidden="false" customHeight="true" outlineLevel="0" collapsed="false">
      <c r="A36" s="1" t="s">
        <v>750</v>
      </c>
      <c r="B36" s="1" t="s">
        <v>723</v>
      </c>
      <c r="C36" s="32" t="s">
        <v>724</v>
      </c>
      <c r="G36" s="32" t="s">
        <v>751</v>
      </c>
      <c r="M36" s="1" t="s">
        <v>752</v>
      </c>
    </row>
    <row r="37" customFormat="false" ht="15" hidden="false" customHeight="true" outlineLevel="0" collapsed="false">
      <c r="A37" s="1" t="s">
        <v>750</v>
      </c>
      <c r="B37" s="1" t="s">
        <v>714</v>
      </c>
      <c r="C37" s="32" t="s">
        <v>715</v>
      </c>
      <c r="G37" s="32" t="s">
        <v>751</v>
      </c>
      <c r="M37" s="1" t="s">
        <v>752</v>
      </c>
    </row>
    <row r="38" customFormat="false" ht="15" hidden="false" customHeight="true" outlineLevel="0" collapsed="false">
      <c r="A38" s="1" t="s">
        <v>750</v>
      </c>
      <c r="B38" s="1" t="s">
        <v>408</v>
      </c>
      <c r="C38" s="32" t="s">
        <v>407</v>
      </c>
      <c r="G38" s="32" t="s">
        <v>751</v>
      </c>
      <c r="M38" s="1" t="s">
        <v>752</v>
      </c>
    </row>
    <row r="39" customFormat="false" ht="15" hidden="false" customHeight="true" outlineLevel="0" collapsed="false">
      <c r="A39" s="1" t="s">
        <v>750</v>
      </c>
      <c r="B39" s="1" t="s">
        <v>708</v>
      </c>
      <c r="C39" s="32" t="s">
        <v>709</v>
      </c>
      <c r="G39" s="32" t="s">
        <v>751</v>
      </c>
      <c r="M39" s="1" t="s">
        <v>752</v>
      </c>
    </row>
    <row r="40" customFormat="false" ht="15" hidden="false" customHeight="true" outlineLevel="0" collapsed="false">
      <c r="A40" s="1" t="s">
        <v>750</v>
      </c>
      <c r="B40" s="1" t="s">
        <v>702</v>
      </c>
      <c r="C40" s="32" t="s">
        <v>703</v>
      </c>
      <c r="G40" s="32" t="s">
        <v>751</v>
      </c>
      <c r="M40" s="1" t="s">
        <v>752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2026-08-04T10:28:45Z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