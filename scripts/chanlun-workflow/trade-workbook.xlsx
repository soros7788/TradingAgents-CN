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  <sheet xmlns:r="http://schemas.openxmlformats.org/officeDocument/2006/relationships" name="候选池历史" sheetId="9" state="visible" r:id="rId9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\¥#,##0.00"/>
    <numFmt numFmtId="166" formatCode="0.0%"/>
    <numFmt numFmtId="167" formatCode="yyyy\-mm\-dd"/>
    <numFmt numFmtId="168" formatCode="0.0"/>
  </numFmts>
  <fonts count="2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sz val="11"/>
    </font>
    <font>
      <name val="Noto Sans CJK SC"/>
      <charset val="1"/>
      <family val="2"/>
      <b val="1"/>
      <sz val="11"/>
    </font>
    <font>
      <name val="Arial"/>
      <charset val="1"/>
      <family val="0"/>
      <sz val="11"/>
    </font>
    <font>
      <name val="Noto Sans CJK SC"/>
      <charset val="1"/>
      <family val="2"/>
      <sz val="11"/>
    </font>
    <font>
      <name val="Noto Sans CJK SC"/>
      <charset val="1"/>
      <family val="2"/>
      <b val="1"/>
      <sz val="13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Noto Sans CJK SC"/>
      <charset val="1"/>
      <family val="2"/>
      <color rgb="FF1F4E79"/>
      <sz val="11"/>
    </font>
    <font>
      <name val="Cambria"/>
      <charset val="1"/>
      <family val="0"/>
      <color rgb="FF1F4E79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color rgb="FF1F2937"/>
      <sz val="10"/>
    </font>
    <font>
      <name val="Cambria"/>
      <charset val="1"/>
      <family val="0"/>
      <b val="1"/>
      <color rgb="FF1F2937"/>
      <sz val="10"/>
    </font>
    <font>
      <name val="Cambria"/>
      <charset val="1"/>
      <family val="0"/>
      <color rgb="FF000000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charset val="1"/>
      <family val="2"/>
      <color rgb="FF6B7280"/>
      <sz val="11"/>
    </font>
    <font>
      <name val="Noto Sans CJK SC"/>
      <charset val="1"/>
      <family val="2"/>
      <sz val="10"/>
    </font>
    <font>
      <name val="Cambria"/>
      <charset val="1"/>
      <family val="0"/>
      <sz val="10"/>
    </font>
  </fonts>
  <fills count="18">
    <fill>
      <patternFill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4472C4"/>
        <bgColor rgb="FF2F5496"/>
      </patternFill>
    </fill>
    <fill>
      <patternFill patternType="solid">
        <fgColor rgb="FFEEF3F8"/>
        <bgColor rgb="FFEAF2FF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general" vertical="center" wrapText="1"/>
    </xf>
    <xf numFmtId="0" fontId="6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8" fillId="3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general" vertical="center" wrapText="1"/>
    </xf>
    <xf numFmtId="0" fontId="6" fillId="5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5" fillId="6" borderId="2" applyAlignment="1" pivotButton="0" quotePrefix="0" xfId="0">
      <alignment horizontal="general" vertical="center" wrapText="1"/>
    </xf>
    <xf numFmtId="0" fontId="6" fillId="6" borderId="2" applyAlignment="1" pivotButton="0" quotePrefix="0" xfId="0">
      <alignment horizontal="general" vertical="center" wrapText="1"/>
    </xf>
    <xf numFmtId="0" fontId="8" fillId="6" borderId="2" applyAlignment="1" pivotButton="0" quotePrefix="0" xfId="0">
      <alignment horizontal="general" vertical="center" wrapText="1"/>
    </xf>
    <xf numFmtId="0" fontId="7" fillId="6" borderId="2" applyAlignment="1" pivotButton="0" quotePrefix="0" xfId="0">
      <alignment horizontal="general" vertical="center" wrapText="1"/>
    </xf>
    <xf numFmtId="0" fontId="9" fillId="6" borderId="0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center" wrapText="1"/>
    </xf>
    <xf numFmtId="0" fontId="7" fillId="7" borderId="2" applyAlignment="1" pivotButton="0" quotePrefix="0" xfId="0">
      <alignment horizontal="general" vertical="center" wrapText="1"/>
    </xf>
    <xf numFmtId="0" fontId="8" fillId="8" borderId="2" applyAlignment="1" pivotButton="0" quotePrefix="0" xfId="0">
      <alignment horizontal="general" vertical="center" wrapText="1"/>
    </xf>
    <xf numFmtId="0" fontId="7" fillId="8" borderId="2" applyAlignment="1" pivotButton="0" quotePrefix="0" xfId="0">
      <alignment horizontal="general" vertical="center" wrapText="1"/>
    </xf>
    <xf numFmtId="0" fontId="6" fillId="9" borderId="2" applyAlignment="1" pivotButton="0" quotePrefix="0" xfId="0">
      <alignment horizontal="general" vertical="bottom"/>
    </xf>
    <xf numFmtId="0" fontId="6" fillId="9" borderId="2" applyAlignment="1" pivotButton="0" quotePrefix="0" xfId="0">
      <alignment horizontal="general" vertical="center" wrapText="1"/>
    </xf>
    <xf numFmtId="0" fontId="10" fillId="9" borderId="2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12" fillId="10" borderId="1" applyAlignment="1" applyProtection="1" pivotButton="0" quotePrefix="0" xfId="0">
      <alignment horizontal="general" vertical="center" wrapText="1"/>
      <protection locked="0" hidden="0"/>
    </xf>
    <xf numFmtId="0" fontId="13" fillId="10" borderId="1" applyAlignment="1" applyProtection="1" pivotButton="0" quotePrefix="0" xfId="0">
      <alignment horizontal="general" vertical="center" wrapText="1"/>
      <protection locked="0" hidden="0"/>
    </xf>
    <xf numFmtId="0" fontId="12" fillId="11" borderId="1" applyAlignment="1" applyProtection="1" pivotButton="0" quotePrefix="0" xfId="0">
      <alignment horizontal="general" vertical="center" wrapText="1"/>
      <protection locked="0" hidden="0"/>
    </xf>
    <xf numFmtId="0" fontId="13" fillId="11" borderId="1" applyAlignment="1" applyProtection="1" pivotButton="0" quotePrefix="0" xfId="0">
      <alignment horizontal="general" vertical="center" wrapText="1"/>
      <protection locked="0" hidden="0"/>
    </xf>
    <xf numFmtId="0" fontId="14" fillId="0" borderId="0" applyAlignment="1" pivotButton="0" quotePrefix="0" xfId="0">
      <alignment horizontal="general" vertical="bottom"/>
    </xf>
    <xf numFmtId="0" fontId="15" fillId="1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4" fillId="13" borderId="1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bottom"/>
    </xf>
    <xf numFmtId="0" fontId="11" fillId="2" borderId="2" applyAlignment="1" pivotButton="0" quotePrefix="0" xfId="0">
      <alignment horizontal="center" vertical="bottom"/>
    </xf>
    <xf numFmtId="165" fontId="13" fillId="10" borderId="1" applyAlignment="1" applyProtection="1" pivotButton="0" quotePrefix="0" xfId="0">
      <alignment horizontal="general" vertical="center" wrapText="1"/>
      <protection locked="0" hidden="0"/>
    </xf>
    <xf numFmtId="3" fontId="13" fillId="10" borderId="1" applyAlignment="1" applyProtection="1" pivotButton="0" quotePrefix="0" xfId="0">
      <alignment horizontal="general" vertical="center" wrapText="1"/>
      <protection locked="0" hidden="0"/>
    </xf>
    <xf numFmtId="165" fontId="17" fillId="14" borderId="1" applyAlignment="1" pivotButton="0" quotePrefix="0" xfId="0">
      <alignment horizontal="general" vertical="center" wrapText="1"/>
    </xf>
    <xf numFmtId="10" fontId="17" fillId="14" borderId="1" applyAlignment="1" pivotButton="0" quotePrefix="0" xfId="0">
      <alignment horizontal="general" vertical="center" wrapText="1"/>
    </xf>
    <xf numFmtId="10" fontId="13" fillId="10" borderId="1" applyAlignment="1" applyProtection="1" pivotButton="0" quotePrefix="0" xfId="0">
      <alignment horizontal="general" vertical="center" wrapText="1"/>
      <protection locked="0" hidden="0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13" fillId="11" borderId="1" applyAlignment="1" applyProtection="1" pivotButton="0" quotePrefix="0" xfId="0">
      <alignment horizontal="general" vertical="center" wrapText="1"/>
      <protection locked="0" hidden="0"/>
    </xf>
    <xf numFmtId="3" fontId="13" fillId="11" borderId="1" applyAlignment="1" applyProtection="1" pivotButton="0" quotePrefix="0" xfId="0">
      <alignment horizontal="general" vertical="center" wrapText="1"/>
      <protection locked="0" hidden="0"/>
    </xf>
    <xf numFmtId="10" fontId="13" fillId="11" borderId="1" applyAlignment="1" applyProtection="1" pivotButton="0" quotePrefix="0" xfId="0">
      <alignment horizontal="general" vertical="center" wrapText="1"/>
      <protection locked="0" hidden="0"/>
    </xf>
    <xf numFmtId="0" fontId="18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20" fillId="15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general" vertical="center" wrapText="1"/>
    </xf>
    <xf numFmtId="0" fontId="13" fillId="10" borderId="2" applyAlignment="1" pivotButton="0" quotePrefix="0" xfId="0">
      <alignment horizontal="general" vertical="center" wrapText="1"/>
    </xf>
    <xf numFmtId="0" fontId="12" fillId="10" borderId="2" applyAlignment="1" pivotButton="0" quotePrefix="0" xfId="0">
      <alignment horizontal="general" vertical="center" wrapText="1"/>
    </xf>
    <xf numFmtId="1" fontId="17" fillId="14" borderId="2" applyAlignment="1" pivotButton="0" quotePrefix="0" xfId="0">
      <alignment horizontal="general" vertical="center" wrapText="1"/>
    </xf>
    <xf numFmtId="0" fontId="14" fillId="14" borderId="2" applyAlignment="1" pivotButton="0" quotePrefix="0" xfId="0">
      <alignment horizontal="general" vertical="center" wrapText="1"/>
    </xf>
    <xf numFmtId="168" fontId="17" fillId="14" borderId="2" applyAlignment="1" pivotButton="0" quotePrefix="0" xfId="0">
      <alignment horizontal="general" vertical="center" wrapText="1"/>
    </xf>
    <xf numFmtId="0" fontId="17" fillId="14" borderId="2" applyAlignment="1" pivotButton="0" quotePrefix="0" xfId="0">
      <alignment horizontal="general" vertical="center" wrapText="1"/>
    </xf>
    <xf numFmtId="167" fontId="13" fillId="11" borderId="2" applyAlignment="1" pivotButton="0" quotePrefix="0" xfId="0">
      <alignment horizontal="general" vertical="center" wrapText="1"/>
    </xf>
    <xf numFmtId="0" fontId="13" fillId="11" borderId="2" applyAlignment="1" pivotButton="0" quotePrefix="0" xfId="0">
      <alignment horizontal="general" vertical="center" wrapText="1"/>
    </xf>
    <xf numFmtId="0" fontId="12" fillId="11" borderId="2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" fillId="13" borderId="1" applyAlignment="1" pivotButton="0" quotePrefix="0" xfId="0">
      <alignment horizontal="center" vertical="bottom"/>
    </xf>
    <xf numFmtId="0" fontId="11" fillId="13" borderId="1" applyAlignment="1" pivotButton="0" quotePrefix="0" xfId="0">
      <alignment horizontal="center" vertical="bottom"/>
    </xf>
    <xf numFmtId="0" fontId="4" fillId="16" borderId="3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general" vertical="center" wrapText="1"/>
    </xf>
    <xf numFmtId="0" fontId="24" fillId="17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general" vertical="center" wrapText="1"/>
    </xf>
    <xf numFmtId="0" fontId="6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8" fillId="3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general" vertical="center" wrapText="1"/>
    </xf>
    <xf numFmtId="0" fontId="6" fillId="5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5" fillId="6" borderId="2" applyAlignment="1" pivotButton="0" quotePrefix="0" xfId="0">
      <alignment horizontal="general" vertical="center" wrapText="1"/>
    </xf>
    <xf numFmtId="0" fontId="6" fillId="6" borderId="2" applyAlignment="1" pivotButton="0" quotePrefix="0" xfId="0">
      <alignment horizontal="general" vertical="center" wrapText="1"/>
    </xf>
    <xf numFmtId="0" fontId="8" fillId="6" borderId="2" applyAlignment="1" pivotButton="0" quotePrefix="0" xfId="0">
      <alignment horizontal="general" vertical="center" wrapText="1"/>
    </xf>
    <xf numFmtId="0" fontId="7" fillId="6" borderId="2" applyAlignment="1" pivotButton="0" quotePrefix="0" xfId="0">
      <alignment horizontal="general" vertical="center" wrapText="1"/>
    </xf>
    <xf numFmtId="0" fontId="9" fillId="6" borderId="0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center" wrapText="1"/>
    </xf>
    <xf numFmtId="0" fontId="7" fillId="7" borderId="2" applyAlignment="1" pivotButton="0" quotePrefix="0" xfId="0">
      <alignment horizontal="general" vertical="center" wrapText="1"/>
    </xf>
    <xf numFmtId="0" fontId="8" fillId="8" borderId="2" applyAlignment="1" pivotButton="0" quotePrefix="0" xfId="0">
      <alignment horizontal="general" vertical="center" wrapText="1"/>
    </xf>
    <xf numFmtId="0" fontId="7" fillId="8" borderId="2" applyAlignment="1" pivotButton="0" quotePrefix="0" xfId="0">
      <alignment horizontal="general" vertical="center" wrapText="1"/>
    </xf>
    <xf numFmtId="0" fontId="6" fillId="9" borderId="2" applyAlignment="1" pivotButton="0" quotePrefix="0" xfId="0">
      <alignment horizontal="general" vertical="bottom"/>
    </xf>
    <xf numFmtId="0" fontId="6" fillId="9" borderId="2" applyAlignment="1" pivotButton="0" quotePrefix="0" xfId="0">
      <alignment horizontal="general" vertical="center" wrapText="1"/>
    </xf>
    <xf numFmtId="0" fontId="10" fillId="9" borderId="2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12" fillId="10" borderId="1" applyAlignment="1" applyProtection="1" pivotButton="0" quotePrefix="0" xfId="0">
      <alignment horizontal="general" vertical="center" wrapText="1"/>
      <protection locked="0" hidden="0"/>
    </xf>
    <xf numFmtId="0" fontId="13" fillId="10" borderId="1" applyAlignment="1" applyProtection="1" pivotButton="0" quotePrefix="0" xfId="0">
      <alignment horizontal="general" vertical="center" wrapText="1"/>
      <protection locked="0" hidden="0"/>
    </xf>
    <xf numFmtId="0" fontId="12" fillId="11" borderId="1" applyAlignment="1" applyProtection="1" pivotButton="0" quotePrefix="0" xfId="0">
      <alignment horizontal="general" vertical="center" wrapText="1"/>
      <protection locked="0" hidden="0"/>
    </xf>
    <xf numFmtId="0" fontId="13" fillId="11" borderId="1" applyAlignment="1" applyProtection="1" pivotButton="0" quotePrefix="0" xfId="0">
      <alignment horizontal="general" vertical="center" wrapText="1"/>
      <protection locked="0" hidden="0"/>
    </xf>
    <xf numFmtId="0" fontId="14" fillId="0" borderId="0" applyAlignment="1" pivotButton="0" quotePrefix="0" xfId="0">
      <alignment horizontal="general" vertical="bottom"/>
    </xf>
    <xf numFmtId="0" fontId="15" fillId="12" borderId="2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4" fillId="13" borderId="1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bottom"/>
    </xf>
    <xf numFmtId="0" fontId="11" fillId="2" borderId="2" applyAlignment="1" pivotButton="0" quotePrefix="0" xfId="0">
      <alignment horizontal="center" vertical="bottom"/>
    </xf>
    <xf numFmtId="165" fontId="13" fillId="10" borderId="1" applyAlignment="1" applyProtection="1" pivotButton="0" quotePrefix="0" xfId="0">
      <alignment horizontal="general" vertical="center" wrapText="1"/>
      <protection locked="0" hidden="0"/>
    </xf>
    <xf numFmtId="3" fontId="13" fillId="10" borderId="1" applyAlignment="1" applyProtection="1" pivotButton="0" quotePrefix="0" xfId="0">
      <alignment horizontal="general" vertical="center" wrapText="1"/>
      <protection locked="0" hidden="0"/>
    </xf>
    <xf numFmtId="165" fontId="17" fillId="14" borderId="1" applyAlignment="1" pivotButton="0" quotePrefix="0" xfId="0">
      <alignment horizontal="general" vertical="center" wrapText="1"/>
    </xf>
    <xf numFmtId="10" fontId="17" fillId="14" borderId="1" applyAlignment="1" pivotButton="0" quotePrefix="0" xfId="0">
      <alignment horizontal="general" vertical="center" wrapText="1"/>
    </xf>
    <xf numFmtId="10" fontId="13" fillId="10" borderId="1" applyAlignment="1" applyProtection="1" pivotButton="0" quotePrefix="0" xfId="0">
      <alignment horizontal="general" vertical="center" wrapText="1"/>
      <protection locked="0" hidden="0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13" fillId="11" borderId="1" applyAlignment="1" applyProtection="1" pivotButton="0" quotePrefix="0" xfId="0">
      <alignment horizontal="general" vertical="center" wrapText="1"/>
      <protection locked="0" hidden="0"/>
    </xf>
    <xf numFmtId="3" fontId="13" fillId="11" borderId="1" applyAlignment="1" applyProtection="1" pivotButton="0" quotePrefix="0" xfId="0">
      <alignment horizontal="general" vertical="center" wrapText="1"/>
      <protection locked="0" hidden="0"/>
    </xf>
    <xf numFmtId="10" fontId="13" fillId="11" borderId="1" applyAlignment="1" applyProtection="1" pivotButton="0" quotePrefix="0" xfId="0">
      <alignment horizontal="general" vertical="center" wrapText="1"/>
      <protection locked="0" hidden="0"/>
    </xf>
    <xf numFmtId="0" fontId="18" fillId="0" borderId="0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20" fillId="15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general" vertical="center" wrapText="1"/>
    </xf>
    <xf numFmtId="0" fontId="13" fillId="10" borderId="2" applyAlignment="1" pivotButton="0" quotePrefix="0" xfId="0">
      <alignment horizontal="general" vertical="center" wrapText="1"/>
    </xf>
    <xf numFmtId="0" fontId="12" fillId="10" borderId="2" applyAlignment="1" pivotButton="0" quotePrefix="0" xfId="0">
      <alignment horizontal="general" vertical="center" wrapText="1"/>
    </xf>
    <xf numFmtId="1" fontId="17" fillId="14" borderId="2" applyAlignment="1" pivotButton="0" quotePrefix="0" xfId="0">
      <alignment horizontal="general" vertical="center" wrapText="1"/>
    </xf>
    <xf numFmtId="0" fontId="14" fillId="14" borderId="2" applyAlignment="1" pivotButton="0" quotePrefix="0" xfId="0">
      <alignment horizontal="general" vertical="center" wrapText="1"/>
    </xf>
    <xf numFmtId="168" fontId="17" fillId="14" borderId="2" applyAlignment="1" pivotButton="0" quotePrefix="0" xfId="0">
      <alignment horizontal="general" vertical="center" wrapText="1"/>
    </xf>
    <xf numFmtId="0" fontId="17" fillId="14" borderId="2" applyAlignment="1" pivotButton="0" quotePrefix="0" xfId="0">
      <alignment horizontal="general" vertical="center" wrapText="1"/>
    </xf>
    <xf numFmtId="167" fontId="13" fillId="11" borderId="2" applyAlignment="1" pivotButton="0" quotePrefix="0" xfId="0">
      <alignment horizontal="general" vertical="center" wrapText="1"/>
    </xf>
    <xf numFmtId="0" fontId="13" fillId="11" borderId="2" applyAlignment="1" pivotButton="0" quotePrefix="0" xfId="0">
      <alignment horizontal="general" vertical="center" wrapText="1"/>
    </xf>
    <xf numFmtId="0" fontId="12" fillId="11" borderId="2" applyAlignment="1" pivotButton="0" quotePrefix="0" xfId="0">
      <alignment horizontal="general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" fillId="13" borderId="1" applyAlignment="1" pivotButton="0" quotePrefix="0" xfId="0">
      <alignment horizontal="center" vertical="bottom"/>
    </xf>
    <xf numFmtId="0" fontId="11" fillId="13" borderId="1" applyAlignment="1" pivotButton="0" quotePrefix="0" xfId="0">
      <alignment horizontal="center" vertical="bottom"/>
    </xf>
    <xf numFmtId="0" fontId="4" fillId="16" borderId="3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general" vertical="center" wrapText="1"/>
    </xf>
    <xf numFmtId="0" fontId="24" fillId="17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7">
    <dxf>
      <fill>
        <patternFill patternType="solid">
          <fgColor rgb="FF17365D"/>
        </patternFill>
      </fill>
    </dxf>
    <dxf>
      <fill>
        <patternFill patternType="solid">
          <fgColor rgb="FFE8F0FE"/>
        </patternFill>
      </fill>
    </dxf>
    <dxf>
      <fill>
        <patternFill patternType="solid">
          <fgColor rgb="FFEAF7EE"/>
        </patternFill>
      </fill>
    </dxf>
    <dxf>
      <fill>
        <patternFill patternType="solid">
          <fgColor rgb="FFF3E5F5"/>
        </patternFill>
      </fill>
    </dxf>
    <dxf>
      <fill>
        <patternFill patternType="solid">
          <fgColor rgb="FFFFCCCC"/>
        </patternFill>
      </fill>
    </dxf>
    <dxf>
      <fill>
        <patternFill patternType="solid">
          <fgColor rgb="FFFFF8E1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00FFFFFF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2F0D9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EAF2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6B7280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EAF7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E8F0F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C6EFCE"/>
      <rgbColor rgb="FFFFC7CE"/>
      <rgbColor rgb="FFF3E5F5"/>
      <rgbColor rgb="FFFFCCCC"/>
      <rgbColor rgb="FF4472C4"/>
      <rgbColor rgb="FF33CCCC"/>
      <rgbColor rgb="FFF3F6F8"/>
      <rgbColor rgb="FFFCE4D6"/>
      <rgbColor rgb="FFFF9900"/>
      <rgbColor rgb="FFFF6600"/>
      <rgbColor rgb="FF6B7280"/>
      <rgbColor rgb="FFEAF2FF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9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4" customWidth="1" style="84" min="1" max="1"/>
    <col width="22" customWidth="1" style="84" min="2" max="2"/>
    <col width="40" customWidth="1" style="84" min="3" max="3"/>
    <col width="18" customWidth="1" style="84" min="4" max="5"/>
    <col width="22" customWidth="1" style="84" min="6" max="6"/>
    <col width="50" customWidth="1" style="84" min="7" max="7"/>
  </cols>
  <sheetData>
    <row r="1" ht="15" customHeight="1" s="85">
      <c r="A1" s="86" t="inlineStr">
        <is>
          <t>流程</t>
        </is>
      </c>
      <c r="B1" s="86" t="inlineStr">
        <is>
          <t>检查项</t>
        </is>
      </c>
      <c r="C1" s="86" t="inlineStr">
        <is>
          <t>判断依据</t>
        </is>
      </c>
      <c r="D1" s="86" t="inlineStr">
        <is>
          <t>自动结论</t>
        </is>
      </c>
      <c r="E1" s="86" t="inlineStr">
        <is>
          <t>手动确认</t>
        </is>
      </c>
      <c r="F1" s="86" t="inlineStr">
        <is>
          <t>不通过动作</t>
        </is>
      </c>
      <c r="G1" s="86" t="inlineStr">
        <is>
          <t>备注</t>
        </is>
      </c>
    </row>
    <row r="2" ht="30" customHeight="1" s="85">
      <c r="A2" s="87" t="inlineStr">
        <is>
          <t>A.止损检查</t>
        </is>
      </c>
      <c r="B2" s="88" t="inlineStr">
        <is>
          <t>东风股份(600006)</t>
        </is>
      </c>
      <c r="C2" s="89" t="inlineStr">
        <is>
          <t>WAIVED | 现价5.49 vs 止损5.22 | 浮亏-37.0%</t>
        </is>
      </c>
      <c r="D2" s="90" t="inlineStr">
        <is>
          <t>持有(不加不减)</t>
        </is>
      </c>
      <c r="E2" s="89" t="inlineStr">
        <is>
          <t>—</t>
        </is>
      </c>
      <c r="F2" s="90" t="inlineStr">
        <is>
          <t>若跌破5.22立即止损</t>
        </is>
      </c>
      <c r="G2" s="89" t="inlineStr">
        <is>
          <t>WAIVED豁免, 固定止损5.22, 远离止损线</t>
        </is>
      </c>
    </row>
    <row r="3" ht="30" customHeight="1" s="85">
      <c r="A3" s="87" t="inlineStr">
        <is>
          <t>A.止损检查</t>
        </is>
      </c>
      <c r="B3" s="88" t="inlineStr">
        <is>
          <t>贵绳股份(600992)</t>
        </is>
      </c>
      <c r="C3" s="90" t="inlineStr">
        <is>
          <t>现价9.17 vs 止损8.44 | 浮亏-0.01%</t>
        </is>
      </c>
      <c r="D3" s="90" t="inlineStr">
        <is>
          <t>持有观察</t>
        </is>
      </c>
      <c r="E3" s="89" t="inlineStr">
        <is>
          <t>—</t>
        </is>
      </c>
      <c r="F3" s="90" t="inlineStr">
        <is>
          <t>若跌破8.44止损</t>
        </is>
      </c>
      <c r="G3" s="90" t="inlineStr">
        <is>
          <t>接近成本价, 弱势震荡, 关注方向选择</t>
        </is>
      </c>
    </row>
    <row r="4" ht="30" customHeight="1" s="85">
      <c r="A4" s="87" t="inlineStr">
        <is>
          <t>A.止损检查</t>
        </is>
      </c>
      <c r="B4" s="88" t="inlineStr">
        <is>
          <t>松芝/三力士/拱东</t>
        </is>
      </c>
      <c r="C4" s="90" t="inlineStr">
        <is>
          <t>三只浮盈标的, 止损均未破</t>
        </is>
      </c>
      <c r="D4" s="90" t="inlineStr">
        <is>
          <t>持有</t>
        </is>
      </c>
      <c r="E4" s="89" t="inlineStr">
        <is>
          <t>—</t>
        </is>
      </c>
      <c r="F4" s="89" t="inlineStr">
        <is>
          <t>—</t>
        </is>
      </c>
      <c r="G4" s="90" t="inlineStr">
        <is>
          <t>松芝+2.7% 三力士+3.1% 拱东+2.9%, 止损线上移保护利润</t>
        </is>
      </c>
    </row>
    <row r="5" ht="30" customHeight="1" s="85">
      <c r="A5" s="87" t="inlineStr">
        <is>
          <t>B.卖出信号</t>
        </is>
      </c>
      <c r="B5" s="87" t="inlineStr">
        <is>
          <t>—</t>
        </is>
      </c>
      <c r="C5" s="90" t="inlineStr">
        <is>
          <t>今日无持仓标的出现日线卖点</t>
        </is>
      </c>
      <c r="D5" s="90" t="inlineStr">
        <is>
          <t>无操作</t>
        </is>
      </c>
      <c r="E5" s="89" t="inlineStr">
        <is>
          <t>—</t>
        </is>
      </c>
      <c r="F5" s="89" t="inlineStr">
        <is>
          <t>—</t>
        </is>
      </c>
      <c r="G5" s="90" t="inlineStr">
        <is>
          <t>持仓6只均在止损线上方, 无卖出信号</t>
        </is>
      </c>
    </row>
    <row r="6" ht="30" customHeight="1" s="85">
      <c r="A6" s="91" t="inlineStr">
        <is>
          <t>C.买入</t>
        </is>
      </c>
      <c r="B6" s="92" t="inlineStr">
        <is>
          <t>台华新材(603055)</t>
        </is>
      </c>
      <c r="C6" s="93" t="inlineStr">
        <is>
          <t>核心池 | DL_P=0.96 ratio=19% | 现价¥8.30</t>
        </is>
      </c>
      <c r="D6" s="93" t="inlineStr">
        <is>
          <t>买入100股@8.30</t>
        </is>
      </c>
      <c r="E6" s="93" t="inlineStr">
        <is>
          <t>待委托</t>
        </is>
      </c>
      <c r="F6" s="93" t="inlineStr">
        <is>
          <t>若开盘跌破7.83(买点低点)放弃</t>
        </is>
      </c>
      <c r="G6" s="94" t="inlineStr">
        <is>
          <t>1手=¥830, 加仓后仓位≈36.0%, 总仓位仍在60%上限内</t>
        </is>
      </c>
    </row>
    <row r="7" ht="30" customHeight="1" s="85">
      <c r="A7" s="91" t="inlineStr">
        <is>
          <t>C.买入</t>
        </is>
      </c>
      <c r="B7" s="92" t="inlineStr">
        <is>
          <t>日上集团(002593)</t>
        </is>
      </c>
      <c r="C7" s="93" t="inlineStr">
        <is>
          <t>核心池 | DL_P=0.94 ratio=19% | 现价¥4.18</t>
        </is>
      </c>
      <c r="D7" s="93" t="inlineStr">
        <is>
          <t>买入200股@4.18</t>
        </is>
      </c>
      <c r="E7" s="93" t="inlineStr">
        <is>
          <t>待委托</t>
        </is>
      </c>
      <c r="F7" s="93" t="inlineStr">
        <is>
          <t>若开盘跌破3.96(买点低点)放弃</t>
        </is>
      </c>
      <c r="G7" s="94" t="inlineStr">
        <is>
          <t>2手=¥836, 加仓后仓位≈36.4%</t>
        </is>
      </c>
    </row>
    <row r="8" ht="30" customHeight="1" s="85">
      <c r="A8" s="87" t="inlineStr">
        <is>
          <t>D.持有</t>
        </is>
      </c>
      <c r="B8" s="88" t="inlineStr">
        <is>
          <t>拱东医疗(605369)</t>
        </is>
      </c>
      <c r="C8" s="90" t="inlineStr">
        <is>
          <t>浮盈+2.9% | 仓位14.93% | 接近单股上限25%</t>
        </is>
      </c>
      <c r="D8" s="90" t="inlineStr">
        <is>
          <t>持有(不加仓)</t>
        </is>
      </c>
      <c r="E8" s="89" t="inlineStr">
        <is>
          <t>—</t>
        </is>
      </c>
      <c r="F8" s="89" t="inlineStr">
        <is>
          <t>—</t>
        </is>
      </c>
      <c r="G8" s="90" t="inlineStr">
        <is>
          <t>仓位占比最高, 浮盈保护, 止损上移至14.10</t>
        </is>
      </c>
    </row>
    <row r="9" ht="30" customHeight="1" s="85">
      <c r="A9" s="87" t="inlineStr">
        <is>
          <t>D.持有</t>
        </is>
      </c>
      <c r="B9" s="88" t="inlineStr">
        <is>
          <t>松芝股份(002454)</t>
        </is>
      </c>
      <c r="C9" s="90" t="inlineStr">
        <is>
          <t>浮盈+2.7% | 仓位8.93%</t>
        </is>
      </c>
      <c r="D9" s="90" t="inlineStr">
        <is>
          <t>持有</t>
        </is>
      </c>
      <c r="E9" s="89" t="inlineStr">
        <is>
          <t>—</t>
        </is>
      </c>
      <c r="F9" s="89" t="inlineStr">
        <is>
          <t>—</t>
        </is>
      </c>
      <c r="G9" s="90" t="inlineStr">
        <is>
          <t>止损4.227, 现价4.72&gt;止损, 浮盈保护</t>
        </is>
      </c>
    </row>
    <row r="10" ht="30" customHeight="1" s="85">
      <c r="A10" s="87" t="inlineStr">
        <is>
          <t>D.持有</t>
        </is>
      </c>
      <c r="B10" s="88" t="inlineStr">
        <is>
          <t>三力士(002224)</t>
        </is>
      </c>
      <c r="C10" s="90" t="inlineStr">
        <is>
          <t>浮盈+3.1% | 仓位4.81%</t>
        </is>
      </c>
      <c r="D10" s="90" t="inlineStr">
        <is>
          <t>持有</t>
        </is>
      </c>
      <c r="E10" s="89" t="inlineStr">
        <is>
          <t>—</t>
        </is>
      </c>
      <c r="F10" s="89" t="inlineStr">
        <is>
          <t>—</t>
        </is>
      </c>
      <c r="G10" s="90" t="inlineStr">
        <is>
          <t>止损3.024, 现价3.39&gt;止损, 浮盈保护</t>
        </is>
      </c>
    </row>
    <row r="11" ht="30" customHeight="1" s="85">
      <c r="A11" s="95" t="inlineStr">
        <is>
          <t>E.资金</t>
        </is>
      </c>
      <c r="B11" s="96" t="inlineStr">
        <is>
          <t>买入冻结</t>
        </is>
      </c>
      <c r="C11" s="97" t="inlineStr">
        <is>
          <t>台华¥830 + 日上¥836</t>
        </is>
      </c>
      <c r="D11" s="98" t="inlineStr">
        <is>
          <t>-¥1666</t>
        </is>
      </c>
      <c r="E11" s="98" t="inlineStr">
        <is>
          <t>—</t>
        </is>
      </c>
      <c r="F11" s="98" t="inlineStr">
        <is>
          <t>—</t>
        </is>
      </c>
      <c r="G11" s="97" t="inlineStr">
        <is>
          <t>两笔买入共冻结¥1666</t>
        </is>
      </c>
    </row>
    <row r="12" ht="30" customHeight="1" s="85">
      <c r="A12" s="95" t="inlineStr">
        <is>
          <t>E.资金</t>
        </is>
      </c>
      <c r="B12" s="96" t="inlineStr">
        <is>
          <t>成交后现金</t>
        </is>
      </c>
      <c r="C12" s="98" t="inlineStr">
        <is>
          <t>13615.56 - 1666</t>
        </is>
      </c>
      <c r="D12" s="98" t="inlineStr">
        <is>
          <t>¥11,949.56</t>
        </is>
      </c>
      <c r="E12" s="98" t="inlineStr">
        <is>
          <t>—</t>
        </is>
      </c>
      <c r="F12" s="98" t="inlineStr">
        <is>
          <t>—</t>
        </is>
      </c>
      <c r="G12" s="97" t="inlineStr">
        <is>
          <t>现金充裕, 保留应急资金</t>
        </is>
      </c>
    </row>
    <row r="13" ht="30" customHeight="1" s="85">
      <c r="A13" s="95" t="inlineStr">
        <is>
          <t>E.仓位</t>
        </is>
      </c>
      <c r="B13" s="96" t="inlineStr">
        <is>
          <t>成交后仓位</t>
        </is>
      </c>
      <c r="C13" s="97" t="inlineStr">
        <is>
          <t>持仓9193/总资产21142</t>
        </is>
      </c>
      <c r="D13" s="98" t="inlineStr">
        <is>
          <t>43.5%</t>
        </is>
      </c>
      <c r="E13" s="98" t="inlineStr">
        <is>
          <t>—</t>
        </is>
      </c>
      <c r="F13" s="98" t="inlineStr">
        <is>
          <t>—</t>
        </is>
      </c>
      <c r="G13" s="97" t="inlineStr">
        <is>
          <t>加仓后43.5%, 仍在60%上限内, 余量充足</t>
        </is>
      </c>
    </row>
    <row r="14" ht="30" customHeight="1" s="85">
      <c r="A14" s="99" t="inlineStr">
        <is>
          <t>F.风控</t>
        </is>
      </c>
      <c r="B14" s="100" t="inlineStr">
        <is>
          <t>总仓位上限</t>
        </is>
      </c>
      <c r="C14" s="101" t="inlineStr">
        <is>
          <t>账户阶段=婴儿→幼儿 | 上限60%</t>
        </is>
      </c>
      <c r="D14" s="102" t="inlineStr">
        <is>
          <t>43.5% &lt; 60%</t>
        </is>
      </c>
      <c r="E14" s="102" t="inlineStr">
        <is>
          <t>—</t>
        </is>
      </c>
      <c r="F14" s="102" t="inlineStr">
        <is>
          <t>—</t>
        </is>
      </c>
      <c r="G14" s="101" t="inlineStr">
        <is>
          <t>当前43.5%, 距上限还有16.5%</t>
        </is>
      </c>
    </row>
    <row r="15" ht="30" customHeight="1" s="85">
      <c r="A15" s="99" t="inlineStr">
        <is>
          <t>F.风控</t>
        </is>
      </c>
      <c r="B15" s="100" t="inlineStr">
        <is>
          <t>单股上限</t>
        </is>
      </c>
      <c r="C15" s="102" t="inlineStr">
        <is>
          <t>25%</t>
        </is>
      </c>
      <c r="D15" s="102" t="inlineStr">
        <is>
          <t>—</t>
        </is>
      </c>
      <c r="E15" s="102" t="inlineStr">
        <is>
          <t>—</t>
        </is>
      </c>
      <c r="F15" s="102" t="inlineStr">
        <is>
          <t>—</t>
        </is>
      </c>
      <c r="G15" s="101" t="inlineStr">
        <is>
          <t>最大持仓: 拱东14.93%, 合规. 加仓后台华3.9% 日上4.0%</t>
        </is>
      </c>
    </row>
    <row r="16" ht="30" customHeight="1" s="85">
      <c r="A16" s="99" t="inlineStr">
        <is>
          <t>F.风控</t>
        </is>
      </c>
      <c r="B16" s="100" t="inlineStr">
        <is>
          <t>止损纪律</t>
        </is>
      </c>
      <c r="C16" s="101" t="inlineStr">
        <is>
          <t>新买入标的需设止损</t>
        </is>
      </c>
      <c r="D16" s="101" t="inlineStr">
        <is>
          <t>开盘设置</t>
        </is>
      </c>
      <c r="E16" s="102" t="inlineStr">
        <is>
          <t>—</t>
        </is>
      </c>
      <c r="F16" s="102" t="inlineStr">
        <is>
          <t>—</t>
        </is>
      </c>
      <c r="G16" s="101" t="inlineStr">
        <is>
          <t>台华止损7.83(买点低点) | 日上止损3.96(买点低点)</t>
        </is>
      </c>
    </row>
    <row r="17" ht="30" customHeight="1" s="85">
      <c r="A17" s="99" t="inlineStr">
        <is>
          <t>F.风控</t>
        </is>
      </c>
      <c r="B17" s="100" t="inlineStr">
        <is>
          <t>候选池观察</t>
        </is>
      </c>
      <c r="C17" s="101" t="inlineStr">
        <is>
          <t>观察池+边缘池标的</t>
        </is>
      </c>
      <c r="D17" s="101" t="inlineStr">
        <is>
          <t>仅观察</t>
        </is>
      </c>
      <c r="E17" s="102" t="inlineStr">
        <is>
          <t>—</t>
        </is>
      </c>
      <c r="F17" s="102" t="inlineStr">
        <is>
          <t>—</t>
        </is>
      </c>
      <c r="G17" s="101" t="inlineStr">
        <is>
          <t>平安银行(观察池) DL_P=0.88, 待DL_P升至0.90+升入核心池后考虑</t>
        </is>
      </c>
    </row>
    <row r="18" ht="15" customHeight="1" s="85">
      <c r="A18" s="103" t="inlineStr">
        <is>
          <t>合规审查</t>
        </is>
      </c>
    </row>
    <row r="19" ht="15" customHeight="1" s="85">
      <c r="A19" s="96" t="inlineStr">
        <is>
          <t>审查项</t>
        </is>
      </c>
      <c r="B19" s="96" t="inlineStr">
        <is>
          <t>检查内容</t>
        </is>
      </c>
      <c r="C19" s="96" t="inlineStr">
        <is>
          <t>判断依据</t>
        </is>
      </c>
      <c r="D19" s="96" t="inlineStr">
        <is>
          <t>结论</t>
        </is>
      </c>
      <c r="E19" s="96" t="inlineStr">
        <is>
          <t>处理动作</t>
        </is>
      </c>
      <c r="F19" s="96" t="inlineStr">
        <is>
          <t>严重度</t>
        </is>
      </c>
      <c r="G19" s="96" t="inlineStr">
        <is>
          <t>备注</t>
        </is>
      </c>
    </row>
    <row r="20" ht="15" customHeight="1" s="85">
      <c r="A20" s="104" t="inlineStr">
        <is>
          <t>⚠️ 违规买入</t>
        </is>
      </c>
      <c r="B20" s="104" t="inlineStr">
        <is>
          <t>沃华医药(买入200股@6.000)</t>
        </is>
      </c>
      <c r="C20" s="104" t="inlineStr">
        <is>
          <t>沃华医药不在候选池内! 候选池5只: 台华新材/日上集团/丽珠集团/中国平安/平安银行. 未经系统筛选, 无DL_P/ratio数据, 属随意买入.</t>
        </is>
      </c>
      <c r="D20" s="104" t="inlineStr">
        <is>
          <t>不通过</t>
        </is>
      </c>
      <c r="E20" s="104" t="inlineStr">
        <is>
          <t>建议撤单</t>
        </is>
      </c>
      <c r="F20" s="104" t="inlineStr">
        <is>
          <t>高</t>
        </is>
      </c>
      <c r="G20" s="104" t="n"/>
    </row>
    <row r="21" ht="45" customHeight="1" s="85">
      <c r="A21" s="104" t="inlineStr">
        <is>
          <t>⚠️ 违规卖出</t>
        </is>
      </c>
      <c r="B21" s="104" t="inlineStr">
        <is>
          <t>三力士(卖出300股@3.380)</t>
        </is>
      </c>
      <c r="C21" s="104" t="inlineStr">
        <is>
          <t>执行清单计划为"持有", 三力士浮盈+3.14%, 止损3.024未破. 但实际挂了全仓卖出单, 与计划矛盾. 可能是手动操作或误触.</t>
        </is>
      </c>
      <c r="D21" s="104" t="inlineStr">
        <is>
          <t>不通过</t>
        </is>
      </c>
      <c r="E21" s="104" t="inlineStr">
        <is>
          <t>建议撤单, 除非有明确的日线卖点信号</t>
        </is>
      </c>
      <c r="F21" s="104" t="inlineStr">
        <is>
          <t>中</t>
        </is>
      </c>
      <c r="G21" s="105" t="n"/>
    </row>
    <row r="22" ht="45" customHeight="1" s="85">
      <c r="A22" s="106" t="inlineStr">
        <is>
          <t>✓ 价格合规</t>
        </is>
      </c>
      <c r="B22" s="106" t="inlineStr">
        <is>
          <t>台华新材/日上集团买入价</t>
        </is>
      </c>
      <c r="C22" s="106" t="inlineStr">
        <is>
          <t>计划价8.30/4.18, 实际委托8.32/4.20, 偏差+0.02/+0.02, 在正常盘口范围内.</t>
        </is>
      </c>
      <c r="D22" s="106" t="inlineStr">
        <is>
          <t>通过</t>
        </is>
      </c>
      <c r="E22" s="107" t="inlineStr">
        <is>
          <t>—</t>
        </is>
      </c>
      <c r="F22" s="106" t="inlineStr">
        <is>
          <t>低</t>
        </is>
      </c>
      <c r="G22" s="107" t="n"/>
    </row>
    <row r="23" ht="45" customHeight="1" s="85">
      <c r="A23" s="106" t="inlineStr">
        <is>
          <t>✓ 仓位合规</t>
        </is>
      </c>
      <c r="B23" s="106" t="inlineStr">
        <is>
          <t>总仓位检查</t>
        </is>
      </c>
      <c r="C23" s="106" t="inlineStr">
        <is>
          <t>当前仓位35.6%, 买入委托冻结¥2,872, 若全部成交仓位≈49.2%, 低于60%上限.</t>
        </is>
      </c>
      <c r="D23" s="106" t="inlineStr">
        <is>
          <t>通过</t>
        </is>
      </c>
      <c r="E23" s="107" t="inlineStr">
        <is>
          <t>—</t>
        </is>
      </c>
      <c r="F23" s="106" t="inlineStr">
        <is>
          <t>低</t>
        </is>
      </c>
      <c r="G23" s="107" t="n"/>
    </row>
    <row r="24" ht="45" customHeight="1" s="85">
      <c r="A24" s="106" t="inlineStr">
        <is>
          <t>✓ 单股合规</t>
        </is>
      </c>
      <c r="B24" s="106" t="inlineStr">
        <is>
          <t>单股仓位上限</t>
        </is>
      </c>
      <c r="C24" s="106" t="inlineStr">
        <is>
          <t>最大持仓拱东医疗14.93%, 低于25%上限. 其他标的均合规.</t>
        </is>
      </c>
      <c r="D24" s="106" t="inlineStr">
        <is>
          <t>通过</t>
        </is>
      </c>
      <c r="E24" s="107" t="inlineStr">
        <is>
          <t>—</t>
        </is>
      </c>
      <c r="F24" s="106" t="inlineStr">
        <is>
          <t>低</t>
        </is>
      </c>
      <c r="G24" s="107" t="n"/>
    </row>
    <row r="25" ht="45" customHeight="1" s="85">
      <c r="A25" s="106" t="inlineStr">
        <is>
          <t>✓ 止损合规</t>
        </is>
      </c>
      <c r="B25" s="106" t="inlineStr">
        <is>
          <t>持仓止损检查</t>
        </is>
      </c>
      <c r="C25" s="107" t="inlineStr">
        <is>
          <t>5只持仓标的止损价均未破: 东风5.49&gt;5.22(WAIVED), 贵绳9.17&gt;8.44, 松芝4.72&gt;4.23, 三力士3.39&gt;3.02, 拱东15.78&gt;14.10.</t>
        </is>
      </c>
      <c r="D25" s="106" t="inlineStr">
        <is>
          <t>通过</t>
        </is>
      </c>
      <c r="E25" s="107" t="inlineStr">
        <is>
          <t>—</t>
        </is>
      </c>
      <c r="F25" s="106" t="inlineStr">
        <is>
          <t>低</t>
        </is>
      </c>
      <c r="G25" s="107" t="n"/>
    </row>
    <row r="26" ht="45" customHeight="1" s="85">
      <c r="A26" s="106" t="inlineStr">
        <is>
          <t>✓ 资产核对</t>
        </is>
      </c>
      <c r="B26" s="106" t="inlineStr">
        <is>
          <t>账户资产一致性</t>
        </is>
      </c>
      <c r="C26" s="107" t="inlineStr">
        <is>
          <t>Excel总资产21,142.56 vs 截图21,142.76, 差异+0.20可忽略. 可用现金从13,615降至10,740, 减少2,875≈买入委托冻结2,872(含手续费).</t>
        </is>
      </c>
      <c r="D26" s="106" t="inlineStr">
        <is>
          <t>通过</t>
        </is>
      </c>
      <c r="E26" s="107" t="inlineStr">
        <is>
          <t>—</t>
        </is>
      </c>
      <c r="F26" s="106" t="inlineStr">
        <is>
          <t>低</t>
        </is>
      </c>
      <c r="G26" s="107" t="n"/>
    </row>
    <row r="27" ht="45" customHeight="1" s="85">
      <c r="A27" s="106" t="inlineStr">
        <is>
          <t>ℹ️ 可用数量</t>
        </is>
      </c>
      <c r="B27" s="106" t="inlineStr">
        <is>
          <t>三力士可用=0</t>
        </is>
      </c>
      <c r="C27" s="106" t="inlineStr">
        <is>
          <t>三力士持仓300股但可用0, 因挂了卖出300股委托. 撤单后可用恢复.</t>
        </is>
      </c>
      <c r="D27" s="106" t="inlineStr">
        <is>
          <t>通过</t>
        </is>
      </c>
      <c r="E27" s="106" t="inlineStr">
        <is>
          <t>撤掉卖出单后恢复可用</t>
        </is>
      </c>
      <c r="F27" s="106" t="inlineStr">
        <is>
          <t>低</t>
        </is>
      </c>
      <c r="G27" s="107" t="n"/>
    </row>
    <row r="28" ht="45" customHeight="1" s="85">
      <c r="A28" s="106" t="inlineStr">
        <is>
          <t>✓ 盈亏合理</t>
        </is>
      </c>
      <c r="B28" s="106" t="inlineStr">
        <is>
          <t>当日盈亏+49.02</t>
        </is>
      </c>
      <c r="C28" s="106" t="inlineStr">
        <is>
          <t>当日盈亏+49.02元(+0.23%), 来自4只浮盈标的的日内涨幅, 金额合理.</t>
        </is>
      </c>
      <c r="D28" s="106" t="inlineStr">
        <is>
          <t>通过</t>
        </is>
      </c>
      <c r="E28" s="107" t="inlineStr">
        <is>
          <t>—</t>
        </is>
      </c>
      <c r="F28" s="106" t="inlineStr">
        <is>
          <t>低</t>
        </is>
      </c>
      <c r="G28" s="107" t="n"/>
    </row>
    <row r="29" ht="45" customHeight="1" s="85">
      <c r="A29" s="108" t="inlineStr">
        <is>
          <t>审查结论</t>
        </is>
      </c>
      <c r="B29" s="108" t="n"/>
      <c r="C29" s="109" t="inlineStr">
        <is>
          <t>发现2项违规(沃华医药违规买入+三力士违规卖出), 7项合规通过. 建议立即撤掉沃华医药买入单和三力士卖出单.</t>
        </is>
      </c>
      <c r="D29" s="110" t="n"/>
      <c r="E29" s="110" t="n"/>
      <c r="F29" s="108" t="n"/>
      <c r="G29" s="108" t="n"/>
    </row>
    <row r="30" ht="39.7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8" text="" percent="0" bottom="0">
      <formula>D2="是"</formula>
    </cfRule>
    <cfRule type="expression" rank="0" priority="3" equalAverage="0" aboveAverage="0" dxfId="9" text="" percent="0" bottom="0">
      <formula>D2="否"</formula>
    </cfRule>
  </conditionalFormatting>
  <conditionalFormatting sqref="E2:E201">
    <cfRule type="expression" rank="0" priority="4" equalAverage="0" aboveAverage="0" dxfId="8" text="" percent="0" bottom="0">
      <formula>E2="是"</formula>
    </cfRule>
    <cfRule type="expression" rank="0" priority="5" equalAverage="0" aboveAverage="0" dxfId="9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84" min="1" max="7"/>
    <col width="26" customWidth="1" style="84" min="8" max="8"/>
  </cols>
  <sheetData>
    <row r="1" ht="15" customHeight="1" s="85">
      <c r="A1" s="86" t="inlineStr">
        <is>
          <t>类型</t>
        </is>
      </c>
      <c r="B1" s="86" t="inlineStr">
        <is>
          <t>变量名</t>
        </is>
      </c>
      <c r="C1" s="111" t="inlineStr">
        <is>
          <t>Excel字段</t>
        </is>
      </c>
      <c r="D1" s="86" t="inlineStr">
        <is>
          <t>计算方式</t>
        </is>
      </c>
      <c r="E1" s="86" t="inlineStr">
        <is>
          <t>触发阈值</t>
        </is>
      </c>
      <c r="F1" s="86" t="inlineStr">
        <is>
          <t>影响动作</t>
        </is>
      </c>
      <c r="G1" s="86" t="inlineStr">
        <is>
          <t>复盘频率</t>
        </is>
      </c>
      <c r="H1" s="86" t="inlineStr">
        <is>
          <t>备注</t>
        </is>
      </c>
    </row>
    <row r="2" ht="15" customHeight="1" s="85">
      <c r="A2" s="112" t="inlineStr">
        <is>
          <t>生存变量</t>
        </is>
      </c>
      <c r="B2" s="113" t="inlineStr">
        <is>
          <t>MaxDrawdown</t>
        </is>
      </c>
      <c r="C2" s="112" t="inlineStr">
        <is>
          <t>账户总表!最大回撤</t>
        </is>
      </c>
      <c r="D2" s="113" t="inlineStr">
        <is>
          <t>(TotalAsset-PeakAsset)/PeakAsset</t>
        </is>
      </c>
      <c r="E2" s="113" t="inlineStr">
        <is>
          <t>&lt;=-10%, &lt;=-15%</t>
        </is>
      </c>
      <c r="F2" s="112" t="inlineStr">
        <is>
          <t>降总仓位/禁止新买入</t>
        </is>
      </c>
      <c r="G2" s="112" t="inlineStr">
        <is>
          <t>每日+周复盘</t>
        </is>
      </c>
      <c r="H2" s="112" t="inlineStr">
        <is>
          <t>决定系统是否降速</t>
        </is>
      </c>
    </row>
    <row r="3" ht="15" customHeight="1" s="85">
      <c r="A3" s="114" t="inlineStr">
        <is>
          <t>生存变量</t>
        </is>
      </c>
      <c r="B3" s="114" t="inlineStr">
        <is>
          <t>单笔止损</t>
        </is>
      </c>
      <c r="C3" s="114" t="inlineStr">
        <is>
          <t>持仓表!止损价</t>
        </is>
      </c>
      <c r="D3" s="115" t="inlineStr">
        <is>
          <t>max(BuyPointLow*0.98, EntryPrice*0.92)</t>
        </is>
      </c>
      <c r="E3" s="115" t="inlineStr">
        <is>
          <t>Price&lt;=StopPrice</t>
        </is>
      </c>
      <c r="F3" s="114" t="inlineStr">
        <is>
          <t>次日卖出或立即卖出</t>
        </is>
      </c>
      <c r="G3" s="114" t="inlineStr">
        <is>
          <t>每日</t>
        </is>
      </c>
      <c r="H3" s="114" t="inlineStr">
        <is>
          <t>买前必须定义</t>
        </is>
      </c>
    </row>
    <row r="4" ht="15" customHeight="1" s="85">
      <c r="A4" s="112" t="inlineStr">
        <is>
          <t>生存变量</t>
        </is>
      </c>
      <c r="B4" s="112" t="inlineStr">
        <is>
          <t>连续亏损</t>
        </is>
      </c>
      <c r="C4" s="112" t="inlineStr">
        <is>
          <t>交易记录!结果分类</t>
        </is>
      </c>
      <c r="D4" s="112" t="inlineStr">
        <is>
          <t>近5笔亏损数</t>
        </is>
      </c>
      <c r="E4" s="113" t="inlineStr">
        <is>
          <t>&gt;=3笔</t>
        </is>
      </c>
      <c r="F4" s="112" t="inlineStr">
        <is>
          <t>暂停新开仓5个交易日</t>
        </is>
      </c>
      <c r="G4" s="112" t="inlineStr">
        <is>
          <t>每次成交后</t>
        </is>
      </c>
      <c r="H4" s="112" t="inlineStr">
        <is>
          <t>后续可扩展公式</t>
        </is>
      </c>
    </row>
    <row r="5" ht="15" customHeight="1" s="85">
      <c r="A5" s="114" t="inlineStr">
        <is>
          <t>扩张变量</t>
        </is>
      </c>
      <c r="B5" s="114" t="inlineStr">
        <is>
          <t>赚钱效应分数</t>
        </is>
      </c>
      <c r="C5" s="114" t="inlineStr">
        <is>
          <t>账户总表!赚钱效应分数</t>
        </is>
      </c>
      <c r="D5" s="115" t="inlineStr">
        <is>
          <t>0-5分</t>
        </is>
      </c>
      <c r="E5" s="115" t="inlineStr">
        <is>
          <t>&gt;=3</t>
        </is>
      </c>
      <c r="F5" s="114" t="inlineStr">
        <is>
          <t>允许转入/扩大执行</t>
        </is>
      </c>
      <c r="G5" s="114" t="inlineStr">
        <is>
          <t>周末</t>
        </is>
      </c>
      <c r="H5" s="114" t="inlineStr">
        <is>
          <t>强时按系数放大转入</t>
        </is>
      </c>
    </row>
    <row r="6" ht="15" customHeight="1" s="85">
      <c r="A6" s="112" t="inlineStr">
        <is>
          <t>扩张变量</t>
        </is>
      </c>
      <c r="B6" s="112" t="inlineStr">
        <is>
          <t>合规候选数量</t>
        </is>
      </c>
      <c r="C6" s="112" t="inlineStr">
        <is>
          <t>候选池!最终是否可买</t>
        </is>
      </c>
      <c r="D6" s="113" t="inlineStr">
        <is>
          <t>COUNTIF(...,"是")</t>
        </is>
      </c>
      <c r="E6" s="113" t="inlineStr">
        <is>
          <t>&gt;=1</t>
        </is>
      </c>
      <c r="F6" s="112" t="inlineStr">
        <is>
          <t>准备买入计划</t>
        </is>
      </c>
      <c r="G6" s="112" t="inlineStr">
        <is>
          <t>周末+盘前</t>
        </is>
      </c>
      <c r="H6" s="112" t="inlineStr">
        <is>
          <t>只统计规则通过标的</t>
        </is>
      </c>
    </row>
    <row r="7" ht="15" customHeight="1" s="85">
      <c r="A7" s="114" t="inlineStr">
        <is>
          <t>收缩变量</t>
        </is>
      </c>
      <c r="B7" s="114" t="inlineStr">
        <is>
          <t>亏钱效应分数</t>
        </is>
      </c>
      <c r="C7" s="114" t="inlineStr">
        <is>
          <t>账户总表!亏钱效应分数</t>
        </is>
      </c>
      <c r="D7" s="115" t="inlineStr">
        <is>
          <t>0-6分</t>
        </is>
      </c>
      <c r="E7" s="115" t="inlineStr">
        <is>
          <t>&gt;=3警戒, &gt;=4防守</t>
        </is>
      </c>
      <c r="F7" s="114" t="inlineStr">
        <is>
          <t>暂停转入/提高现金</t>
        </is>
      </c>
      <c r="G7" s="114" t="inlineStr">
        <is>
          <t>每日+周末</t>
        </is>
      </c>
      <c r="H7" s="114" t="inlineStr">
        <is>
          <t>优先级高于赚钱效应</t>
        </is>
      </c>
    </row>
    <row r="8" ht="15" customHeight="1" s="85">
      <c r="A8" s="112" t="inlineStr">
        <is>
          <t>收缩变量</t>
        </is>
      </c>
      <c r="B8" s="113" t="inlineStr">
        <is>
          <t>RiskWatch</t>
        </is>
      </c>
      <c r="C8" s="112" t="inlineStr">
        <is>
          <t>持仓表!RiskWatch</t>
        </is>
      </c>
      <c r="D8" s="113" t="inlineStr">
        <is>
          <t>Close&lt;EntryPrice AND DL_P&lt;0.8</t>
        </is>
      </c>
      <c r="E8" s="113" t="inlineStr">
        <is>
          <t>True</t>
        </is>
      </c>
      <c r="F8" s="112" t="inlineStr">
        <is>
          <t>重点盯防</t>
        </is>
      </c>
      <c r="G8" s="112" t="inlineStr">
        <is>
          <t>每日</t>
        </is>
      </c>
      <c r="H8" s="112" t="inlineStr">
        <is>
          <t>观察不等于立即卖出</t>
        </is>
      </c>
    </row>
    <row r="9" ht="15" customHeight="1" s="85">
      <c r="A9" s="114" t="inlineStr">
        <is>
          <t>仓位变量</t>
        </is>
      </c>
      <c r="B9" s="115" t="inlineStr">
        <is>
          <t>TotalPositionCap</t>
        </is>
      </c>
      <c r="C9" s="114" t="inlineStr">
        <is>
          <t>账户总表!总仓位上限</t>
        </is>
      </c>
      <c r="D9" s="114" t="inlineStr">
        <is>
          <t>市场状态+信号等级+回撤保护</t>
        </is>
      </c>
      <c r="E9" s="114" t="inlineStr">
        <is>
          <t>最高70%</t>
        </is>
      </c>
      <c r="F9" s="114" t="inlineStr">
        <is>
          <t>限制新增买入</t>
        </is>
      </c>
      <c r="G9" s="114" t="inlineStr">
        <is>
          <t>周一盘前</t>
        </is>
      </c>
      <c r="H9" s="114" t="inlineStr">
        <is>
          <t>硬性仓位上限</t>
        </is>
      </c>
    </row>
    <row r="10" ht="15" customHeight="1" s="85">
      <c r="A10" s="112" t="inlineStr">
        <is>
          <t>仓位变量</t>
        </is>
      </c>
      <c r="B10" s="113" t="inlineStr">
        <is>
          <t>SingleStockCap</t>
        </is>
      </c>
      <c r="C10" s="112" t="inlineStr">
        <is>
          <t>账户总表!单股上限</t>
        </is>
      </c>
      <c r="D10" s="112" t="inlineStr">
        <is>
          <t>按总资产分档</t>
        </is>
      </c>
      <c r="E10" s="113" t="inlineStr">
        <is>
          <t>20%-35%</t>
        </is>
      </c>
      <c r="F10" s="112" t="inlineStr">
        <is>
          <t>限制单票暴露</t>
        </is>
      </c>
      <c r="G10" s="112" t="inlineStr">
        <is>
          <t>每日</t>
        </is>
      </c>
      <c r="H10" s="112" t="inlineStr">
        <is>
          <t>非WAIVED适用</t>
        </is>
      </c>
    </row>
    <row r="11" ht="15" customHeight="1" s="85">
      <c r="A11" s="114" t="inlineStr">
        <is>
          <t>仓位变量</t>
        </is>
      </c>
      <c r="B11" s="115" t="inlineStr">
        <is>
          <t>MaxShares/MinShares</t>
        </is>
      </c>
      <c r="C11" s="114" t="inlineStr">
        <is>
          <t>候选池!最大/最小可买股数</t>
        </is>
      </c>
      <c r="D11" s="115" t="inlineStr">
        <is>
          <t>100股整数约束</t>
        </is>
      </c>
      <c r="E11" s="115" t="inlineStr">
        <is>
          <t>Max&gt;=Min</t>
        </is>
      </c>
      <c r="F11" s="114" t="inlineStr">
        <is>
          <t>决定是否可落地交易</t>
        </is>
      </c>
      <c r="G11" s="114" t="inlineStr">
        <is>
          <t>盘前</t>
        </is>
      </c>
      <c r="H11" s="115" t="inlineStr">
        <is>
          <t>A股最小单位适配</t>
        </is>
      </c>
    </row>
    <row r="12" ht="15" customHeight="1" s="85">
      <c r="A12" s="112" t="inlineStr">
        <is>
          <t>执行变量</t>
        </is>
      </c>
      <c r="B12" s="113" t="inlineStr">
        <is>
          <t>NotChasing</t>
        </is>
      </c>
      <c r="C12" s="112" t="inlineStr">
        <is>
          <t>候选池!是否未追价</t>
        </is>
      </c>
      <c r="D12" s="113" t="inlineStr">
        <is>
          <t>Price&lt;=SignalPrice*1.02</t>
        </is>
      </c>
      <c r="E12" s="112" t="inlineStr">
        <is>
          <t>是</t>
        </is>
      </c>
      <c r="F12" s="112" t="inlineStr">
        <is>
          <t>禁止情绪追价</t>
        </is>
      </c>
      <c r="G12" s="112" t="inlineStr">
        <is>
          <t>盘前+盘中</t>
        </is>
      </c>
      <c r="H12" s="112" t="inlineStr">
        <is>
          <t>高开无回踩不买</t>
        </is>
      </c>
    </row>
    <row r="13" ht="15" customHeight="1" s="85">
      <c r="A13" s="114" t="inlineStr">
        <is>
          <t>执行变量</t>
        </is>
      </c>
      <c r="B13" s="115" t="inlineStr">
        <is>
          <t>StopDefined</t>
        </is>
      </c>
      <c r="C13" s="114" t="inlineStr">
        <is>
          <t>候选池!止损价</t>
        </is>
      </c>
      <c r="D13" s="115" t="inlineStr">
        <is>
          <t>StopPrice&gt;0</t>
        </is>
      </c>
      <c r="E13" s="114" t="inlineStr">
        <is>
          <t>是</t>
        </is>
      </c>
      <c r="F13" s="114" t="inlineStr">
        <is>
          <t>买入资格前提</t>
        </is>
      </c>
      <c r="G13" s="114" t="inlineStr">
        <is>
          <t>盘前</t>
        </is>
      </c>
      <c r="H13" s="114" t="inlineStr">
        <is>
          <t>没有止损不买</t>
        </is>
      </c>
    </row>
    <row r="14" ht="15" customHeight="1" s="85">
      <c r="A14" s="112" t="inlineStr">
        <is>
          <t>执行变量</t>
        </is>
      </c>
      <c r="B14" s="113" t="inlineStr">
        <is>
          <t>Buy</t>
        </is>
      </c>
      <c r="C14" s="112" t="inlineStr">
        <is>
          <t>候选池!最终是否可买</t>
        </is>
      </c>
      <c r="D14" s="112" t="inlineStr">
        <is>
          <t>多条件AND</t>
        </is>
      </c>
      <c r="E14" s="112" t="inlineStr">
        <is>
          <t>是</t>
        </is>
      </c>
      <c r="F14" s="112" t="inlineStr">
        <is>
          <t>允许下单</t>
        </is>
      </c>
      <c r="G14" s="112" t="inlineStr">
        <is>
          <t>盘前+盘中</t>
        </is>
      </c>
      <c r="H14" s="112" t="inlineStr">
        <is>
          <t>盘中只看是/否</t>
        </is>
      </c>
    </row>
    <row r="15" ht="15" customHeight="1" s="85">
      <c r="A15" s="114" t="inlineStr">
        <is>
          <t>复利变量</t>
        </is>
      </c>
      <c r="B15" s="114" t="inlineStr">
        <is>
          <t>初始本金</t>
        </is>
      </c>
      <c r="C15" s="114" t="inlineStr">
        <is>
          <t>账户总表!初始本金</t>
        </is>
      </c>
      <c r="D15" s="114" t="inlineStr">
        <is>
          <t>手工输入</t>
        </is>
      </c>
      <c r="E15" s="115" t="inlineStr">
        <is>
          <t>&gt;0</t>
        </is>
      </c>
      <c r="F15" s="114" t="inlineStr">
        <is>
          <t>复利基准</t>
        </is>
      </c>
      <c r="G15" s="114" t="inlineStr">
        <is>
          <t>首次入金时</t>
        </is>
      </c>
      <c r="H15" s="114" t="inlineStr">
        <is>
          <t>只在AA2输入一次</t>
        </is>
      </c>
    </row>
    <row r="16" ht="15" customHeight="1" s="85">
      <c r="A16" s="112" t="inlineStr">
        <is>
          <t>复利变量</t>
        </is>
      </c>
      <c r="B16" s="112" t="inlineStr">
        <is>
          <t>目标年化收益率</t>
        </is>
      </c>
      <c r="C16" s="112" t="inlineStr">
        <is>
          <t>账户总表!目标年化收益率</t>
        </is>
      </c>
      <c r="D16" s="112" t="inlineStr">
        <is>
          <t>手工输入(默认30%)</t>
        </is>
      </c>
      <c r="E16" s="113" t="inlineStr">
        <is>
          <t>0-100%</t>
        </is>
      </c>
      <c r="F16" s="112" t="inlineStr">
        <is>
          <t>复利目标</t>
        </is>
      </c>
      <c r="G16" s="112" t="inlineStr">
        <is>
          <t>首次入金时</t>
        </is>
      </c>
      <c r="H16" s="112" t="inlineStr">
        <is>
          <t>可根据阶段调整</t>
        </is>
      </c>
    </row>
    <row r="17" ht="15" customHeight="1" s="85">
      <c r="A17" s="114" t="inlineStr">
        <is>
          <t>复利变量</t>
        </is>
      </c>
      <c r="B17" s="114" t="inlineStr">
        <is>
          <t>目标超额转出比例</t>
        </is>
      </c>
      <c r="C17" s="114" t="inlineStr">
        <is>
          <t>账户总表!Y列转出系数</t>
        </is>
      </c>
      <c r="D17" s="115" t="inlineStr">
        <is>
          <t>(总资产-目标资产)*30%</t>
        </is>
      </c>
      <c r="E17" s="115" t="inlineStr">
        <is>
          <t>30%</t>
        </is>
      </c>
      <c r="F17" s="114" t="inlineStr">
        <is>
          <t>超目标后转出比例</t>
        </is>
      </c>
      <c r="G17" s="114" t="inlineStr">
        <is>
          <t>周末</t>
        </is>
      </c>
      <c r="H17" s="114" t="inlineStr">
        <is>
          <t>只有超过目标才转出</t>
        </is>
      </c>
    </row>
    <row r="18" ht="15" customHeight="1" s="85">
      <c r="A18" s="112" t="inlineStr">
        <is>
          <t>复利变量</t>
        </is>
      </c>
      <c r="B18" s="112" t="inlineStr">
        <is>
          <t>复利偏离度</t>
        </is>
      </c>
      <c r="C18" s="112" t="inlineStr">
        <is>
          <t>账户总表!复利偏离度</t>
        </is>
      </c>
      <c r="D18" s="112" t="inlineStr">
        <is>
          <t>总资产/目标资产-1</t>
        </is>
      </c>
      <c r="E18" s="113" t="inlineStr">
        <is>
          <t>&gt;=10%绿 &gt;=0浅绿 &lt;0黄 &lt;-10%红</t>
        </is>
      </c>
      <c r="F18" s="112" t="inlineStr">
        <is>
          <t>目标进度指示</t>
        </is>
      </c>
      <c r="G18" s="112" t="inlineStr">
        <is>
          <t>每日</t>
        </is>
      </c>
      <c r="H18" s="112" t="inlineStr">
        <is>
          <t>绿=跑赢 红=落后</t>
        </is>
      </c>
    </row>
    <row r="19" ht="15" customHeight="1" s="85">
      <c r="A19" s="114" t="inlineStr">
        <is>
          <t>心态变量</t>
        </is>
      </c>
      <c r="B19" s="114" t="inlineStr">
        <is>
          <t>心态得分</t>
        </is>
      </c>
      <c r="C19" s="114" t="inlineStr">
        <is>
          <t>心态日志!心态得分</t>
        </is>
      </c>
      <c r="D19" s="115" t="inlineStr">
        <is>
          <t>0-100分，5项各20分</t>
        </is>
      </c>
      <c r="E19" s="115" t="inlineStr">
        <is>
          <t>&gt;=80达标</t>
        </is>
      </c>
      <c r="F19" s="114" t="inlineStr">
        <is>
          <t>达标=轻态化执行好</t>
        </is>
      </c>
      <c r="G19" s="114" t="inlineStr">
        <is>
          <t>每日</t>
        </is>
      </c>
      <c r="H19" s="114" t="inlineStr">
        <is>
          <t>第四角指标</t>
        </is>
      </c>
    </row>
    <row r="20" ht="15" customHeight="1" s="85">
      <c r="A20" s="112" t="inlineStr">
        <is>
          <t>心态变量</t>
        </is>
      </c>
      <c r="B20" s="112" t="inlineStr">
        <is>
          <t>轻态化达标</t>
        </is>
      </c>
      <c r="C20" s="112" t="inlineStr">
        <is>
          <t>心态日志!轻态化达标</t>
        </is>
      </c>
      <c r="D20" s="112" t="inlineStr">
        <is>
          <t>得分&gt;=80%</t>
        </is>
      </c>
      <c r="E20" s="112" t="inlineStr">
        <is>
          <t>达标天数/总天数</t>
        </is>
      </c>
      <c r="F20" s="112" t="inlineStr">
        <is>
          <t>不达标需复盘原因</t>
        </is>
      </c>
      <c r="G20" s="112" t="inlineStr">
        <is>
          <t>每周</t>
        </is>
      </c>
      <c r="H20" s="112" t="inlineStr">
        <is>
          <t>趋势跟踪</t>
        </is>
      </c>
    </row>
    <row r="21" ht="15" customHeight="1" s="85">
      <c r="A21" s="114" t="inlineStr">
        <is>
          <t>心态变量</t>
        </is>
      </c>
      <c r="B21" s="114" t="inlineStr">
        <is>
          <t>连续达标天数</t>
        </is>
      </c>
      <c r="C21" s="114" t="inlineStr">
        <is>
          <t>心态日志!连续达标天数</t>
        </is>
      </c>
      <c r="D21" s="114" t="inlineStr">
        <is>
          <t>连续达标记录</t>
        </is>
      </c>
      <c r="E21" s="115" t="inlineStr">
        <is>
          <t>&gt;=5天=好习惯养成</t>
        </is>
      </c>
      <c r="F21" s="114" t="inlineStr">
        <is>
          <t>中断时分析原因</t>
        </is>
      </c>
      <c r="G21" s="114" t="inlineStr">
        <is>
          <t>每日</t>
        </is>
      </c>
      <c r="H21" s="114" t="inlineStr">
        <is>
          <t>纪律性指标</t>
        </is>
      </c>
    </row>
    <row r="22" ht="15" customHeight="1" s="85">
      <c r="A22" s="112" t="inlineStr">
        <is>
          <t>心态变量</t>
        </is>
      </c>
      <c r="B22" s="112" t="inlineStr">
        <is>
          <t>盘中看盘次数</t>
        </is>
      </c>
      <c r="C22" s="112" t="inlineStr">
        <is>
          <t>心态日志!盘中看盘次数</t>
        </is>
      </c>
      <c r="D22" s="112" t="inlineStr">
        <is>
          <t>每日看盘次数</t>
        </is>
      </c>
      <c r="E22" s="113" t="inlineStr">
        <is>
          <t>0次=满分</t>
        </is>
      </c>
      <c r="F22" s="112" t="inlineStr">
        <is>
          <t>目标逐步降至0次</t>
        </is>
      </c>
      <c r="G22" s="112" t="inlineStr">
        <is>
          <t>每日</t>
        </is>
      </c>
      <c r="H22" s="112" t="inlineStr">
        <is>
          <t>信息节食核心指标</t>
        </is>
      </c>
    </row>
    <row r="23" ht="15" customHeight="1" s="85"/>
    <row r="24" ht="15" customHeight="1" s="85"/>
    <row r="25" ht="15" customHeight="1" s="85"/>
    <row r="26" ht="15" customHeight="1" s="85"/>
    <row r="27" ht="15" customHeight="1" s="85"/>
    <row r="28" ht="15" customHeight="1" s="85"/>
    <row r="29" ht="15" customHeight="1" s="85"/>
    <row r="30" ht="1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Y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84" min="1" max="1"/>
    <col width="14" customWidth="1" style="84" min="2" max="4"/>
    <col width="13" customWidth="1" style="84" min="5" max="5"/>
    <col width="12" customWidth="1" style="84" min="6" max="6"/>
    <col width="14" customWidth="1" style="84" min="7" max="7"/>
    <col width="13" customWidth="1" style="84" min="8" max="9"/>
    <col width="12" customWidth="1" style="84" min="10" max="13"/>
    <col width="13" customWidth="1" style="84" min="14" max="15"/>
    <col width="12" customWidth="1" style="84" min="16" max="18"/>
    <col width="13" customWidth="1" style="84" min="19" max="19"/>
    <col width="12" customWidth="1" style="84" min="20" max="23"/>
    <col width="14" customWidth="1" style="84" min="24" max="25"/>
    <col width="26" customWidth="1" style="84" min="26" max="26"/>
    <col width="12" customWidth="1" style="84" min="27" max="27"/>
    <col width="13" customWidth="1" style="84" min="28" max="28"/>
    <col width="12" customWidth="1" style="84" min="29" max="29"/>
    <col width="14" customWidth="1" style="84" min="30" max="30"/>
    <col width="12" customWidth="1" style="84" min="31" max="31"/>
    <col width="14" customWidth="1" style="84" min="32" max="43"/>
    <col width="16" customWidth="1" style="84" min="44" max="51"/>
  </cols>
  <sheetData>
    <row r="1" ht="15" customHeight="1" s="85">
      <c r="A1" s="86" t="inlineStr">
        <is>
          <t>日期</t>
        </is>
      </c>
      <c r="B1" s="86" t="inlineStr">
        <is>
          <t>总资产 TotalAsset</t>
        </is>
      </c>
      <c r="C1" s="86" t="inlineStr">
        <is>
          <t>可用现金 CashAvailable</t>
        </is>
      </c>
      <c r="D1" s="86" t="inlineStr">
        <is>
          <t>持仓市值</t>
        </is>
      </c>
      <c r="E1" s="86" t="inlineStr">
        <is>
          <t>总仓位 TotalPositionRatio</t>
        </is>
      </c>
      <c r="F1" s="86" t="inlineStr">
        <is>
          <t>净入金 NetDeposit</t>
        </is>
      </c>
      <c r="G1" s="86" t="inlineStr">
        <is>
          <t>阶段高点资产 PeakAsset</t>
        </is>
      </c>
      <c r="H1" s="86" t="inlineStr">
        <is>
          <t>账户收益率 AccountReturn</t>
        </is>
      </c>
      <c r="I1" s="86" t="inlineStr">
        <is>
          <t>最大回撤 MaxDrawdown</t>
        </is>
      </c>
      <c r="J1" s="86" t="inlineStr">
        <is>
          <t>当前市场状态 MarketState</t>
        </is>
      </c>
      <c r="K1" s="86" t="inlineStr">
        <is>
          <t>本周最高信号等级</t>
        </is>
      </c>
      <c r="L1" s="86" t="inlineStr">
        <is>
          <t>赚钱效应分数</t>
        </is>
      </c>
      <c r="M1" s="86" t="inlineStr">
        <is>
          <t>亏钱效应分数</t>
        </is>
      </c>
      <c r="N1" s="86" t="inlineStr">
        <is>
          <t>总仓位上限 TotalPositionCap</t>
        </is>
      </c>
      <c r="O1" s="86" t="inlineStr">
        <is>
          <t>单股上限 SingleStockCap</t>
        </is>
      </c>
      <c r="P1" s="86" t="inlineStr">
        <is>
          <t>总持仓数</t>
        </is>
      </c>
      <c r="Q1" s="111" t="inlineStr">
        <is>
          <t>WAIVED数</t>
        </is>
      </c>
      <c r="R1" s="86" t="inlineStr">
        <is>
          <t>有效持仓数</t>
        </is>
      </c>
      <c r="S1" s="86" t="inlineStr">
        <is>
          <t>有效持仓上限</t>
        </is>
      </c>
      <c r="T1" s="86" t="inlineStr">
        <is>
          <t>当前状态</t>
        </is>
      </c>
      <c r="U1" s="86" t="inlineStr">
        <is>
          <t>是否允许转入</t>
        </is>
      </c>
      <c r="V1" s="86" t="inlineStr">
        <is>
          <t>是否允许新开仓</t>
        </is>
      </c>
      <c r="W1" s="86" t="inlineStr">
        <is>
          <t>是否暂停买入</t>
        </is>
      </c>
      <c r="X1" s="86" t="inlineStr">
        <is>
          <t>本周计划转入金额</t>
        </is>
      </c>
      <c r="Y1" s="86" t="inlineStr">
        <is>
          <t>本周计划转出金额</t>
        </is>
      </c>
      <c r="Z1" s="86" t="inlineStr">
        <is>
          <t>备注</t>
        </is>
      </c>
      <c r="AA1" s="86" t="inlineStr">
        <is>
          <t>初始本金 Principal</t>
        </is>
      </c>
      <c r="AB1" s="86" t="inlineStr">
        <is>
          <t>目标年化收益率 TargetAnnualReturn</t>
        </is>
      </c>
      <c r="AC1" s="86" t="inlineStr">
        <is>
          <t>运行月数 MonthsRunning</t>
        </is>
      </c>
      <c r="AD1" s="86" t="inlineStr">
        <is>
          <t>目标资产 TargetAsset</t>
        </is>
      </c>
      <c r="AE1" s="86" t="inlineStr">
        <is>
          <t>复利偏离度 CompoundDeviation</t>
        </is>
      </c>
      <c r="AF1" s="116" t="inlineStr">
        <is>
          <t>交易股票数 TradeCount</t>
        </is>
      </c>
      <c r="AG1" s="116" t="inlineStr">
        <is>
          <t>账户阶段</t>
        </is>
      </c>
      <c r="AH1" s="116" t="inlineStr">
        <is>
          <t>平均仓位 AvgPosition</t>
        </is>
      </c>
      <c r="AI1" s="116" t="inlineStr">
        <is>
          <t>平均持仓天数 AvgHoldDays</t>
        </is>
      </c>
      <c r="AJ1" s="116" t="inlineStr">
        <is>
          <t>交易成功率 SuccessRate</t>
        </is>
      </c>
      <c r="AK1" s="116" t="inlineStr">
        <is>
          <t>资金周转率 CapitalTurnover</t>
        </is>
      </c>
      <c r="AL1" s="116" t="inlineStr">
        <is>
          <t>做T次数 T0Count</t>
        </is>
      </c>
      <c r="AM1" s="116" t="inlineStr">
        <is>
          <t>做T成功率 T0SuccessRate</t>
        </is>
      </c>
      <c r="AN1" s="116" t="inlineStr">
        <is>
          <t>重仓行业 HeavySector</t>
        </is>
      </c>
      <c r="AO1" s="116" t="inlineStr">
        <is>
          <t>投资风格 Style</t>
        </is>
      </c>
      <c r="AP1" s="116" t="inlineStr">
        <is>
          <t>跑赢上证 BeatIndex</t>
        </is>
      </c>
      <c r="AQ1" s="116" t="inlineStr">
        <is>
          <t>净入金后累计盈利 RealPnL</t>
        </is>
      </c>
      <c r="AR1" s="117" t="inlineStr">
        <is>
          <t>幼儿目标资产</t>
        </is>
      </c>
      <c r="AS1" s="117" t="inlineStr">
        <is>
          <t>距目标差额</t>
        </is>
      </c>
      <c r="AT1" s="117" t="inlineStr">
        <is>
          <t>目标完成率</t>
        </is>
      </c>
      <c r="AU1" s="117" t="inlineStr">
        <is>
          <t>单股上限金额</t>
        </is>
      </c>
      <c r="AV1" s="117" t="inlineStr">
        <is>
          <t>现金比例</t>
        </is>
      </c>
      <c r="AW1" s="117" t="inlineStr">
        <is>
          <t>有效持仓超限数</t>
        </is>
      </c>
      <c r="AX1" s="117" t="inlineStr">
        <is>
          <t>允许加仓</t>
        </is>
      </c>
      <c r="AY1" s="117" t="inlineStr">
        <is>
          <t>本阶段核心原则</t>
        </is>
      </c>
    </row>
    <row r="2" ht="15" customHeight="1" s="85">
      <c r="A2" s="84" t="inlineStr">
        <is>
          <t>2026-01-31</t>
        </is>
      </c>
      <c r="B2" s="84" t="n">
        <v>6683.54</v>
      </c>
      <c r="C2" s="84" t="n">
        <v>0</v>
      </c>
      <c r="D2" s="84">
        <f>IF($A2="","",SUMIFS(持仓表!$J:$J,持仓表!$A:$A,$A2))</f>
        <v/>
      </c>
      <c r="E2" s="84">
        <f>IFERROR(D2/B2,0)</f>
        <v/>
      </c>
      <c r="F2" s="84" t="n">
        <v>2700</v>
      </c>
      <c r="G2" s="84">
        <f>IF($B2="","",MAX($B$2:B2))</f>
        <v/>
      </c>
      <c r="H2" s="84">
        <f>IFERROR((B2-$AA$2-SUM($F$2:F2))/($AA$2+SUM($F$2:F2)),0)</f>
        <v/>
      </c>
      <c r="I2" s="84">
        <f>IFERROR((B2-G2)/G2,0)</f>
        <v/>
      </c>
      <c r="J2" s="116" t="inlineStr">
        <is>
          <t>中性</t>
        </is>
      </c>
      <c r="K2" s="84" t="inlineStr">
        <is>
          <t>B</t>
        </is>
      </c>
      <c r="L2" s="84" t="n">
        <v>2</v>
      </c>
      <c r="M2" s="84" t="n">
        <v>2</v>
      </c>
      <c r="N2" s="84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118">
        <f>IF($B2="","",IF(B2&lt;30000,35%,IF(B2&lt;50000,30%,IF(B2&lt;100000,25%,20%))))</f>
        <v/>
      </c>
      <c r="P2" s="84">
        <f>IF($A2="","",COUNTIFS(持仓表!$A:$A,$A2,持仓表!$G:$G,"&gt;0"))</f>
        <v/>
      </c>
      <c r="Q2" s="84">
        <f>IF($A2="","",COUNTIFS(持仓表!$A:$A,$A2,持仓表!$D:$D,"是",持仓表!$G:$G,"&gt;0"))</f>
        <v/>
      </c>
      <c r="R2" s="84">
        <f>IF($A2="","",MAX(0,P2-Q2))</f>
        <v/>
      </c>
      <c r="S2" s="84">
        <f>IF($B2="","",IF(B2&lt;50000,3,IF(B2&lt;100000,4,5)))</f>
        <v/>
      </c>
      <c r="T2" s="84">
        <f>IF($A2="","",IF(OR(M2&gt;=4,I2&lt;=-8%),"防守",IF(OR(M2&gt;=2,I2&lt;=-5%),"警戒","正常")))</f>
        <v/>
      </c>
      <c r="U2" s="84">
        <f>IF($A2="","",IF(AND(L2&gt;=3,M2&lt;=2,T2&lt;&gt;"防守"),"是","否"))</f>
        <v/>
      </c>
      <c r="V2" s="84">
        <f>IF($A2="","",IF(AND(E2&lt;N2,R2&lt;S2,M2&lt;=2,I2&gt;-15%),"是","否"))</f>
        <v/>
      </c>
      <c r="W2" s="84">
        <f>IF($A2="","",IF(OR(M2&gt;=3,I2&lt;=-15%),"是","否"))</f>
        <v/>
      </c>
      <c r="X2" s="84">
        <f>IF($A2="","",IFERROR(maxifs(候选池!$AB:$AB,候选池!$A:$A,$A2),0))</f>
        <v/>
      </c>
      <c r="Y2" s="84">
        <f>IF($A2="","",IF(OR(M2&gt;=4,I2&lt;=-8%),MAX(0,B2*60%-C2),IF(AND(ISNUMBER(AD2),B2&gt;AD2),IF(B2&lt;30000,0,IF(B2&lt;100000,MAX(0,(B2-AD2)*0.2),MAX(0,(B2-AD2)*0.3))),0)))</f>
        <v/>
      </c>
      <c r="AB2" s="84">
        <f>IF($A2="","",IF(B2&lt;30000,0.03,IF(B2&lt;100000,0.02,0.015)))</f>
        <v/>
      </c>
      <c r="AC2" s="84">
        <f>IF($A2="","",IFERROR(DATEDIF($A$2,$A2,"m"),0))</f>
        <v/>
      </c>
      <c r="AD2" s="84">
        <f>IF($A2="","",IF(OR(AA2="",AB2="",AC2=""),"",AA2*POWER(1+AB2,AC2)))</f>
        <v/>
      </c>
      <c r="AE2" s="84">
        <f>IF($A2="","",IF(OR(AD2="",AD2=0),"",B2/AD2-1))</f>
        <v/>
      </c>
      <c r="AF2" s="84" t="n">
        <v>2</v>
      </c>
      <c r="AG2" s="84">
        <f>IF($A2="","",IF(B2&lt;30000,"婴儿",IF(B2&lt;100000,"成长","成熟")))</f>
        <v/>
      </c>
      <c r="AH2" s="84" t="n">
        <v>0.7073</v>
      </c>
      <c r="AI2" s="84" t="n">
        <v>38</v>
      </c>
      <c r="AJ2" s="84" t="n">
        <v>1</v>
      </c>
      <c r="AK2" s="84" t="n">
        <v>0.0002</v>
      </c>
      <c r="AL2" s="84" t="n">
        <v>0</v>
      </c>
      <c r="AM2" s="84" t="n">
        <v>0</v>
      </c>
      <c r="AN2" s="116" t="inlineStr">
        <is>
          <t>汽车</t>
        </is>
      </c>
      <c r="AO2" s="116" t="inlineStr">
        <is>
          <t>小盘</t>
        </is>
      </c>
      <c r="AP2" s="116" t="inlineStr">
        <is>
          <t>否</t>
        </is>
      </c>
      <c r="AQ2" s="84">
        <f>IF($A2="","",B2-$AA$2-SUM($F$2:F2))</f>
        <v/>
      </c>
      <c r="AR2" s="84">
        <f>IF($A2="","",30000)</f>
        <v/>
      </c>
      <c r="AS2" s="84">
        <f>IF($A2="","",AR2-B2)</f>
        <v/>
      </c>
      <c r="AT2" s="84">
        <f>IF($A2="","",IFERROR(B2/AR2,0))</f>
        <v/>
      </c>
      <c r="AU2" s="84">
        <f>IF($A2="","",IFERROR(B2*O2,0))</f>
        <v/>
      </c>
      <c r="AV2" s="84">
        <f>IF($A2="","",IFERROR(C2/B2,0))</f>
        <v/>
      </c>
      <c r="AW2" s="84">
        <f>IF($A2="","",MAX(0,R2-S2))</f>
        <v/>
      </c>
      <c r="AX2" s="84">
        <f>IF($A2="","",IF(AW2&gt;0,"优先降持仓数",IF(C2&lt;=0,"现金不足","允许评估")))</f>
        <v/>
      </c>
      <c r="AY2" s="84">
        <f>IF($A2="","",IF(B2&lt;30000,"婴儿阶段: 优先活下来,禁止单票失控,限制持仓数,服务3W目标","幼儿阶段达成"))</f>
        <v/>
      </c>
    </row>
    <row r="3" ht="15" customHeight="1" s="85">
      <c r="A3" s="84" t="inlineStr">
        <is>
          <t>2026-02-28</t>
        </is>
      </c>
      <c r="B3" s="84" t="n">
        <v>9520.450000000001</v>
      </c>
      <c r="C3" s="84" t="n">
        <v>0</v>
      </c>
      <c r="D3" s="84">
        <f>IF($A3="","",SUMIFS(持仓表!$J:$J,持仓表!$A:$A,$A3))</f>
        <v/>
      </c>
      <c r="E3" s="84">
        <f>IFERROR(D3/B3,0)</f>
        <v/>
      </c>
      <c r="F3" s="84" t="n">
        <v>0</v>
      </c>
      <c r="G3" s="84">
        <f>IF($B3="","",MAX($B$2:B3))</f>
        <v/>
      </c>
      <c r="H3" s="84">
        <f>IFERROR((B3-$AA$2-SUM($F$2:F3))/($AA$2+SUM($F$2:F3)),0)</f>
        <v/>
      </c>
      <c r="I3" s="84">
        <f>IFERROR((B3-G3)/G3,0)</f>
        <v/>
      </c>
      <c r="J3" s="116" t="inlineStr">
        <is>
          <t>强</t>
        </is>
      </c>
      <c r="K3" s="84" t="inlineStr">
        <is>
          <t>A</t>
        </is>
      </c>
      <c r="L3" s="84" t="n">
        <v>3</v>
      </c>
      <c r="M3" s="84" t="n">
        <v>1</v>
      </c>
      <c r="N3" s="84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118">
        <f>IF($B3="","",IF(B3&lt;30000,35%,IF(B3&lt;50000,30%,IF(B3&lt;100000,25%,20%))))</f>
        <v/>
      </c>
      <c r="P3" s="84">
        <f>IF($A3="","",COUNTIFS(持仓表!$A:$A,$A3,持仓表!$G:$G,"&gt;0"))</f>
        <v/>
      </c>
      <c r="Q3" s="84">
        <f>IF($A3="","",COUNTIFS(持仓表!$A:$A,$A3,持仓表!$D:$D,"是",持仓表!$G:$G,"&gt;0"))</f>
        <v/>
      </c>
      <c r="R3" s="84">
        <f>IF($A3="","",MAX(0,P3-Q3))</f>
        <v/>
      </c>
      <c r="S3" s="84">
        <f>IF($B3="","",IF(B3&lt;50000,3,IF(B3&lt;100000,4,5)))</f>
        <v/>
      </c>
      <c r="T3" s="84">
        <f>IF($A3="","",IF(OR(M3&gt;=4,I3&lt;=-8%),"防守",IF(OR(M3&gt;=2,I3&lt;=-5%),"警戒","正常")))</f>
        <v/>
      </c>
      <c r="U3" s="84">
        <f>IF($A3="","",IF(AND(L3&gt;=3,M3&lt;=2,T3&lt;&gt;"防守"),"是","否"))</f>
        <v/>
      </c>
      <c r="V3" s="84">
        <f>IF($A3="","",IF(AND(E3&lt;N3,R3&lt;S3,M3&lt;=2,I3&gt;-15%),"是","否"))</f>
        <v/>
      </c>
      <c r="W3" s="84">
        <f>IF($A3="","",IF(OR(M3&gt;=3,I3&lt;=-15%),"是","否"))</f>
        <v/>
      </c>
      <c r="X3" s="84">
        <f>IF($A3="","",IFERROR(maxifs(候选池!$AB:$AB,候选池!$A:$A,$A3),0))</f>
        <v/>
      </c>
      <c r="Y3" s="84">
        <f>IF($A3="","",IF(OR(M3&gt;=4,I3&lt;=-8%),MAX(0,B3*60%-C3),IF(AND(ISNUMBER(AD3),B3&gt;AD3),IF(B3&lt;30000,0,IF(B3&lt;100000,MAX(0,(B3-AD3)*0.2),MAX(0,(B3-AD3)*0.3))),0)))</f>
        <v/>
      </c>
      <c r="AB3" s="84">
        <f>IF($A3="","",IF(B3&lt;30000,0.03,IF(B3&lt;100000,0.02,0.015)))</f>
        <v/>
      </c>
      <c r="AC3" s="84">
        <f>IF($A3="","",IFERROR(DATEDIF($A$2,$A3,"m"),0))</f>
        <v/>
      </c>
      <c r="AD3" s="84">
        <f>IF($A3="","",IF(OR(AA3="",AB3="",AC3=""),"",AA3*POWER(1+AB3,AC3)))</f>
        <v/>
      </c>
      <c r="AE3" s="84">
        <f>IF($A3="","",IF(OR(AD3="",AD3=0),"",B3/AD3-1))</f>
        <v/>
      </c>
      <c r="AF3" s="84" t="n">
        <v>1</v>
      </c>
      <c r="AG3" s="84">
        <f>IF($A3="","",IF(B3&lt;30000,"婴儿",IF(B3&lt;100000,"成长","成熟")))</f>
        <v/>
      </c>
      <c r="AH3" s="84" t="n">
        <v>0.5625</v>
      </c>
      <c r="AI3" s="84" t="n">
        <v>62</v>
      </c>
      <c r="AJ3" s="84" t="n">
        <v>1</v>
      </c>
      <c r="AK3" s="84" t="n">
        <v>0.2272</v>
      </c>
      <c r="AL3" s="84" t="n">
        <v>0</v>
      </c>
      <c r="AM3" s="84" t="n">
        <v>0</v>
      </c>
      <c r="AN3" s="116" t="inlineStr">
        <is>
          <t>电子</t>
        </is>
      </c>
      <c r="AO3" s="116" t="inlineStr">
        <is>
          <t>中盘成长</t>
        </is>
      </c>
      <c r="AP3" s="116" t="inlineStr">
        <is>
          <t>是</t>
        </is>
      </c>
      <c r="AQ3" s="84">
        <f>IF($A3="","",B3-$AA$2-SUM($F$2:F3))</f>
        <v/>
      </c>
      <c r="AR3" s="84">
        <f>IF($A3="","",30000)</f>
        <v/>
      </c>
      <c r="AS3" s="84">
        <f>IF($A3="","",AR3-B3)</f>
        <v/>
      </c>
      <c r="AT3" s="84">
        <f>IF($A3="","",IFERROR(B3/AR3,0))</f>
        <v/>
      </c>
      <c r="AU3" s="84">
        <f>IF($A3="","",IFERROR(B3*O3,0))</f>
        <v/>
      </c>
      <c r="AV3" s="84">
        <f>IF($A3="","",IFERROR(C3/B3,0))</f>
        <v/>
      </c>
      <c r="AW3" s="84">
        <f>IF($A3="","",MAX(0,R3-S3))</f>
        <v/>
      </c>
      <c r="AX3" s="84">
        <f>IF($A3="","",IF(AW3&gt;0,"优先降持仓数",IF(C3&lt;=0,"现金不足","允许评估")))</f>
        <v/>
      </c>
      <c r="AY3" s="84">
        <f>IF($A3="","",IF(B3&lt;30000,"婴儿阶段: 优先活下来,禁止单票失控,限制持仓数,服务3W目标","幼儿阶段达成"))</f>
        <v/>
      </c>
    </row>
    <row r="4" ht="15" customHeight="1" s="85">
      <c r="A4" s="84" t="inlineStr">
        <is>
          <t>2026-03-31</t>
        </is>
      </c>
      <c r="B4" s="84" t="n">
        <v>11454.37</v>
      </c>
      <c r="C4" s="84" t="n">
        <v>0</v>
      </c>
      <c r="D4" s="84">
        <f>IF($A4="","",SUMIFS(持仓表!$J:$J,持仓表!$A:$A,$A4))</f>
        <v/>
      </c>
      <c r="E4" s="84">
        <f>IFERROR(D4/B4,0)</f>
        <v/>
      </c>
      <c r="F4" s="84" t="n">
        <v>0</v>
      </c>
      <c r="G4" s="84">
        <f>IF($B4="","",MAX($B$2:B4))</f>
        <v/>
      </c>
      <c r="H4" s="84">
        <f>IFERROR((B4-$AA$2-SUM($F$2:F4))/($AA$2+SUM($F$2:F4)),0)</f>
        <v/>
      </c>
      <c r="I4" s="84">
        <f>IFERROR((B4-G4)/G4,0)</f>
        <v/>
      </c>
      <c r="J4" s="116" t="inlineStr">
        <is>
          <t>弱</t>
        </is>
      </c>
      <c r="K4" s="84" t="inlineStr">
        <is>
          <t>C</t>
        </is>
      </c>
      <c r="L4" s="84" t="n">
        <v>1</v>
      </c>
      <c r="M4" s="84" t="n">
        <v>3</v>
      </c>
      <c r="N4" s="84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118">
        <f>IF($B4="","",IF(B4&lt;30000,35%,IF(B4&lt;50000,30%,IF(B4&lt;100000,25%,20%))))</f>
        <v/>
      </c>
      <c r="P4" s="84">
        <f>IF($A4="","",COUNTIFS(持仓表!$A:$A,$A4,持仓表!$G:$G,"&gt;0"))</f>
        <v/>
      </c>
      <c r="Q4" s="84">
        <f>IF($A4="","",COUNTIFS(持仓表!$A:$A,$A4,持仓表!$D:$D,"是",持仓表!$G:$G,"&gt;0"))</f>
        <v/>
      </c>
      <c r="R4" s="84">
        <f>IF($A4="","",MAX(0,P4-Q4))</f>
        <v/>
      </c>
      <c r="S4" s="84">
        <f>IF($B4="","",IF(B4&lt;50000,3,IF(B4&lt;100000,4,5)))</f>
        <v/>
      </c>
      <c r="T4" s="84">
        <f>IF($A4="","",IF(OR(M4&gt;=4,I4&lt;=-8%),"防守",IF(OR(M4&gt;=2,I4&lt;=-5%),"警戒","正常")))</f>
        <v/>
      </c>
      <c r="U4" s="84">
        <f>IF($A4="","",IF(AND(L4&gt;=3,M4&lt;=2,T4&lt;&gt;"防守"),"是","否"))</f>
        <v/>
      </c>
      <c r="V4" s="84">
        <f>IF($A4="","",IF(AND(E4&lt;N4,R4&lt;S4,M4&lt;=2,I4&gt;-15%),"是","否"))</f>
        <v/>
      </c>
      <c r="W4" s="84">
        <f>IF($A4="","",IF(OR(M4&gt;=3,I4&lt;=-15%),"是","否"))</f>
        <v/>
      </c>
      <c r="X4" s="84">
        <f>IF($A4="","",IFERROR(maxifs(候选池!$AB:$AB,候选池!$A:$A,$A4),0))</f>
        <v/>
      </c>
      <c r="Y4" s="84">
        <f>IF($A4="","",IF(OR(M4&gt;=4,I4&lt;=-8%),MAX(0,B4*60%-C4),IF(AND(ISNUMBER(AD4),B4&gt;AD4),IF(B4&lt;30000,0,IF(B4&lt;100000,MAX(0,(B4-AD4)*0.2),MAX(0,(B4-AD4)*0.3))),0)))</f>
        <v/>
      </c>
      <c r="AB4" s="84">
        <f>IF($A4="","",IF(B4&lt;30000,0.03,IF(B4&lt;100000,0.02,0.015)))</f>
        <v/>
      </c>
      <c r="AC4" s="84">
        <f>IF($A4="","",IFERROR(DATEDIF($A$2,$A4,"m"),0))</f>
        <v/>
      </c>
      <c r="AD4" s="84">
        <f>IF($A4="","",IF(OR(AA4="",AB4="",AC4=""),"",AA4*POWER(1+AB4,AC4)))</f>
        <v/>
      </c>
      <c r="AE4" s="84">
        <f>IF($A4="","",IF(OR(AD4="",AD4=0),"",B4/AD4-1))</f>
        <v/>
      </c>
      <c r="AF4" s="84" t="n">
        <v>0</v>
      </c>
      <c r="AG4" s="84">
        <f>IF($A4="","",IF(B4&lt;30000,"婴儿",IF(B4&lt;100000,"成长","成熟")))</f>
        <v/>
      </c>
      <c r="AH4" s="84" t="n">
        <v>0.7306</v>
      </c>
      <c r="AI4" s="84" t="n">
        <v>0</v>
      </c>
      <c r="AJ4" s="84" t="n">
        <v>0</v>
      </c>
      <c r="AK4" s="84" t="n">
        <v>0</v>
      </c>
      <c r="AL4" s="84" t="n">
        <v>2</v>
      </c>
      <c r="AM4" s="84" t="n">
        <v>1</v>
      </c>
      <c r="AN4" s="116" t="inlineStr">
        <is>
          <t>电子</t>
        </is>
      </c>
      <c r="AO4" s="116" t="inlineStr">
        <is>
          <t>中盘成长</t>
        </is>
      </c>
      <c r="AP4" s="116" t="inlineStr">
        <is>
          <t>是</t>
        </is>
      </c>
      <c r="AQ4" s="84">
        <f>IF($A4="","",B4-$AA$2-SUM($F$2:F4))</f>
        <v/>
      </c>
      <c r="AR4" s="84">
        <f>IF($A4="","",30000)</f>
        <v/>
      </c>
      <c r="AS4" s="84">
        <f>IF($A4="","",AR4-B4)</f>
        <v/>
      </c>
      <c r="AT4" s="84">
        <f>IF($A4="","",IFERROR(B4/AR4,0))</f>
        <v/>
      </c>
      <c r="AU4" s="84">
        <f>IF($A4="","",IFERROR(B4*O4,0))</f>
        <v/>
      </c>
      <c r="AV4" s="84">
        <f>IF($A4="","",IFERROR(C4/B4,0))</f>
        <v/>
      </c>
      <c r="AW4" s="84">
        <f>IF($A4="","",MAX(0,R4-S4))</f>
        <v/>
      </c>
      <c r="AX4" s="84">
        <f>IF($A4="","",IF(AW4&gt;0,"优先降持仓数",IF(C4&lt;=0,"现金不足","允许评估")))</f>
        <v/>
      </c>
      <c r="AY4" s="84">
        <f>IF($A4="","",IF(B4&lt;30000,"婴儿阶段: 优先活下来,禁止单票失控,限制持仓数,服务3W目标","幼儿阶段达成"))</f>
        <v/>
      </c>
    </row>
    <row r="5" ht="15" customHeight="1" s="85">
      <c r="A5" s="84" t="inlineStr">
        <is>
          <t>2026-04-30</t>
        </is>
      </c>
      <c r="B5" s="84" t="n">
        <v>14148.37</v>
      </c>
      <c r="C5" s="84" t="n">
        <v>0</v>
      </c>
      <c r="D5" s="84">
        <f>IF($A5="","",SUMIFS(持仓表!$J:$J,持仓表!$A:$A,$A5))</f>
        <v/>
      </c>
      <c r="E5" s="84">
        <f>IFERROR(D5/B5,0)</f>
        <v/>
      </c>
      <c r="F5" s="84" t="n">
        <v>0</v>
      </c>
      <c r="G5" s="84">
        <f>IF($B5="","",MAX($B$2:B5))</f>
        <v/>
      </c>
      <c r="H5" s="84">
        <f>IFERROR((B5-$AA$2-SUM($F$2:F5))/($AA$2+SUM($F$2:F5)),0)</f>
        <v/>
      </c>
      <c r="I5" s="84">
        <f>IFERROR((B5-G5)/G5,0)</f>
        <v/>
      </c>
      <c r="J5" s="116" t="inlineStr">
        <is>
          <t>强</t>
        </is>
      </c>
      <c r="K5" s="84" t="inlineStr">
        <is>
          <t>A</t>
        </is>
      </c>
      <c r="L5" s="84" t="n">
        <v>4</v>
      </c>
      <c r="M5" s="84" t="n">
        <v>1</v>
      </c>
      <c r="N5" s="84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118">
        <f>IF($B5="","",IF(B5&lt;30000,35%,IF(B5&lt;50000,30%,IF(B5&lt;100000,25%,20%))))</f>
        <v/>
      </c>
      <c r="P5" s="84">
        <f>IF($A5="","",COUNTIFS(持仓表!$A:$A,$A5,持仓表!$G:$G,"&gt;0"))</f>
        <v/>
      </c>
      <c r="Q5" s="84">
        <f>IF($A5="","",COUNTIFS(持仓表!$A:$A,$A5,持仓表!$D:$D,"是",持仓表!$G:$G,"&gt;0"))</f>
        <v/>
      </c>
      <c r="R5" s="84">
        <f>IF($A5="","",MAX(0,P5-Q5))</f>
        <v/>
      </c>
      <c r="S5" s="84">
        <f>IF($B5="","",IF(B5&lt;50000,3,IF(B5&lt;100000,4,5)))</f>
        <v/>
      </c>
      <c r="T5" s="84">
        <f>IF($A5="","",IF(OR(M5&gt;=4,I5&lt;=-8%),"防守",IF(OR(M5&gt;=2,I5&lt;=-5%),"警戒","正常")))</f>
        <v/>
      </c>
      <c r="U5" s="84">
        <f>IF($A5="","",IF(AND(L5&gt;=3,M5&lt;=2,T5&lt;&gt;"防守"),"是","否"))</f>
        <v/>
      </c>
      <c r="V5" s="84">
        <f>IF($A5="","",IF(AND(E5&lt;N5,R5&lt;S5,M5&lt;=2,I5&gt;-15%),"是","否"))</f>
        <v/>
      </c>
      <c r="W5" s="84">
        <f>IF($A5="","",IF(OR(M5&gt;=3,I5&lt;=-15%),"是","否"))</f>
        <v/>
      </c>
      <c r="X5" s="84">
        <f>IF($A5="","",IFERROR(maxifs(候选池!$AB:$AB,候选池!$A:$A,$A5),0))</f>
        <v/>
      </c>
      <c r="Y5" s="84">
        <f>IF($A5="","",IF(OR(M5&gt;=4,I5&lt;=-8%),MAX(0,B5*60%-C5),IF(AND(ISNUMBER(AD5),B5&gt;AD5),IF(B5&lt;30000,0,IF(B5&lt;100000,MAX(0,(B5-AD5)*0.2),MAX(0,(B5-AD5)*0.3))),0)))</f>
        <v/>
      </c>
      <c r="AB5" s="84">
        <f>IF($A5="","",IF(B5&lt;30000,0.03,IF(B5&lt;100000,0.02,0.015)))</f>
        <v/>
      </c>
      <c r="AC5" s="84">
        <f>IF($A5="","",IFERROR(DATEDIF($A$2,$A5,"m"),0))</f>
        <v/>
      </c>
      <c r="AD5" s="84">
        <f>IF($A5="","",IF(OR(AA5="",AB5="",AC5=""),"",AA5*POWER(1+AB5,AC5)))</f>
        <v/>
      </c>
      <c r="AE5" s="84">
        <f>IF($A5="","",IF(OR(AD5="",AD5=0),"",B5/AD5-1))</f>
        <v/>
      </c>
      <c r="AF5" s="84" t="n">
        <v>2</v>
      </c>
      <c r="AG5" s="84">
        <f>IF($A5="","",IF(B5&lt;30000,"婴儿",IF(B5&lt;100000,"成长","成熟")))</f>
        <v/>
      </c>
      <c r="AH5" s="84" t="n">
        <v>0.7543</v>
      </c>
      <c r="AI5" s="84" t="n">
        <v>0</v>
      </c>
      <c r="AJ5" s="84" t="n">
        <v>0</v>
      </c>
      <c r="AK5" s="84" t="n">
        <v>0</v>
      </c>
      <c r="AL5" s="84" t="n">
        <v>0</v>
      </c>
      <c r="AM5" s="84" t="n">
        <v>0</v>
      </c>
      <c r="AN5" s="116" t="inlineStr">
        <is>
          <t>电子</t>
        </is>
      </c>
      <c r="AO5" s="116" t="inlineStr">
        <is>
          <t>中盘成长</t>
        </is>
      </c>
      <c r="AP5" s="116" t="inlineStr">
        <is>
          <t>是</t>
        </is>
      </c>
      <c r="AQ5" s="84">
        <f>IF($A5="","",B5-$AA$2-SUM($F$2:F5))</f>
        <v/>
      </c>
      <c r="AR5" s="84">
        <f>IF($A5="","",30000)</f>
        <v/>
      </c>
      <c r="AS5" s="84">
        <f>IF($A5="","",AR5-B5)</f>
        <v/>
      </c>
      <c r="AT5" s="84">
        <f>IF($A5="","",IFERROR(B5/AR5,0))</f>
        <v/>
      </c>
      <c r="AU5" s="84">
        <f>IF($A5="","",IFERROR(B5*O5,0))</f>
        <v/>
      </c>
      <c r="AV5" s="84">
        <f>IF($A5="","",IFERROR(C5/B5,0))</f>
        <v/>
      </c>
      <c r="AW5" s="84">
        <f>IF($A5="","",MAX(0,R5-S5))</f>
        <v/>
      </c>
      <c r="AX5" s="84">
        <f>IF($A5="","",IF(AW5&gt;0,"优先降持仓数",IF(C5&lt;=0,"现金不足","允许评估")))</f>
        <v/>
      </c>
      <c r="AY5" s="84">
        <f>IF($A5="","",IF(B5&lt;30000,"婴儿阶段: 优先活下来,禁止单票失控,限制持仓数,服务3W目标","幼儿阶段达成"))</f>
        <v/>
      </c>
    </row>
    <row r="6" ht="15" customHeight="1" s="85">
      <c r="A6" s="84" t="inlineStr">
        <is>
          <t>2026-05-31</t>
        </is>
      </c>
      <c r="B6" s="84" t="n">
        <v>17086.37</v>
      </c>
      <c r="C6" s="84" t="n">
        <v>0</v>
      </c>
      <c r="D6" s="84">
        <f>IF($A6="","",SUMIFS(持仓表!$J:$J,持仓表!$A:$A,$A6))</f>
        <v/>
      </c>
      <c r="E6" s="84">
        <f>IFERROR(D6/B6,0)</f>
        <v/>
      </c>
      <c r="F6" s="84" t="n">
        <v>0</v>
      </c>
      <c r="G6" s="84">
        <f>IF($B6="","",MAX($B$2:B6))</f>
        <v/>
      </c>
      <c r="H6" s="84">
        <f>IFERROR((B6-$AA$2-SUM($F$2:F6))/($AA$2+SUM($F$2:F6)),0)</f>
        <v/>
      </c>
      <c r="I6" s="84">
        <f>IFERROR((B6-G6)/G6,0)</f>
        <v/>
      </c>
      <c r="J6" s="116" t="inlineStr">
        <is>
          <t>强</t>
        </is>
      </c>
      <c r="K6" s="84" t="inlineStr">
        <is>
          <t>A</t>
        </is>
      </c>
      <c r="L6" s="84" t="n">
        <v>4</v>
      </c>
      <c r="M6" s="84" t="n">
        <v>1</v>
      </c>
      <c r="N6" s="84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118">
        <f>IF($B6="","",IF(B6&lt;30000,35%,IF(B6&lt;50000,30%,IF(B6&lt;100000,25%,20%))))</f>
        <v/>
      </c>
      <c r="P6" s="84">
        <f>IF($A6="","",COUNTIFS(持仓表!$A:$A,$A6,持仓表!$G:$G,"&gt;0"))</f>
        <v/>
      </c>
      <c r="Q6" s="84">
        <f>IF($A6="","",COUNTIFS(持仓表!$A:$A,$A6,持仓表!$D:$D,"是",持仓表!$G:$G,"&gt;0"))</f>
        <v/>
      </c>
      <c r="R6" s="84">
        <f>IF($A6="","",MAX(0,P6-Q6))</f>
        <v/>
      </c>
      <c r="S6" s="84">
        <f>IF($B6="","",IF(B6&lt;50000,3,IF(B6&lt;100000,4,5)))</f>
        <v/>
      </c>
      <c r="T6" s="84">
        <f>IF($A6="","",IF(OR(M6&gt;=4,I6&lt;=-8%),"防守",IF(OR(M6&gt;=2,I6&lt;=-5%),"警戒","正常")))</f>
        <v/>
      </c>
      <c r="U6" s="84">
        <f>IF($A6="","",IF(AND(L6&gt;=3,M6&lt;=2,T6&lt;&gt;"防守"),"是","否"))</f>
        <v/>
      </c>
      <c r="V6" s="84">
        <f>IF($A6="","",IF(AND(E6&lt;N6,R6&lt;S6,M6&lt;=2,I6&gt;-15%),"是","否"))</f>
        <v/>
      </c>
      <c r="W6" s="84">
        <f>IF($A6="","",IF(OR(M6&gt;=3,I6&lt;=-15%),"是","否"))</f>
        <v/>
      </c>
      <c r="X6" s="84">
        <f>IF($A6="","",IFERROR(maxifs(候选池!$AB:$AB,候选池!$A:$A,$A6),0))</f>
        <v/>
      </c>
      <c r="Y6" s="84">
        <f>IF($A6="","",IF(OR(M6&gt;=4,I6&lt;=-8%),MAX(0,B6*60%-C6),IF(AND(ISNUMBER(AD6),B6&gt;AD6),IF(B6&lt;30000,0,IF(B6&lt;100000,MAX(0,(B6-AD6)*0.2),MAX(0,(B6-AD6)*0.3))),0)))</f>
        <v/>
      </c>
      <c r="AB6" s="84">
        <f>IF($A6="","",IF(B6&lt;30000,0.03,IF(B6&lt;100000,0.02,0.015)))</f>
        <v/>
      </c>
      <c r="AC6" s="84">
        <f>IF($A6="","",IFERROR(DATEDIF($A$2,$A6,"m"),0))</f>
        <v/>
      </c>
      <c r="AD6" s="84">
        <f>IF($A6="","",IF(OR(AA6="",AB6="",AC6=""),"",AA6*POWER(1+AB6,AC6)))</f>
        <v/>
      </c>
      <c r="AE6" s="84">
        <f>IF($A6="","",IF(OR(AD6="",AD6=0),"",B6/AD6-1))</f>
        <v/>
      </c>
      <c r="AF6" s="84" t="n">
        <v>1</v>
      </c>
      <c r="AG6" s="84">
        <f>IF($A6="","",IF(B6&lt;30000,"婴儿",IF(B6&lt;100000,"成长","成熟")))</f>
        <v/>
      </c>
      <c r="AH6" s="84" t="n">
        <v>0.7849</v>
      </c>
      <c r="AI6" s="84" t="n">
        <v>0</v>
      </c>
      <c r="AJ6" s="84" t="n">
        <v>0</v>
      </c>
      <c r="AK6" s="84" t="n">
        <v>0</v>
      </c>
      <c r="AL6" s="84" t="n">
        <v>0</v>
      </c>
      <c r="AM6" s="84" t="n">
        <v>0</v>
      </c>
      <c r="AN6" s="116" t="inlineStr">
        <is>
          <t>电力</t>
        </is>
      </c>
      <c r="AO6" s="116" t="inlineStr">
        <is>
          <t>中盘价值</t>
        </is>
      </c>
      <c r="AP6" s="116" t="inlineStr">
        <is>
          <t>是</t>
        </is>
      </c>
      <c r="AQ6" s="84">
        <f>IF($A6="","",B6-$AA$2-SUM($F$2:F6))</f>
        <v/>
      </c>
      <c r="AR6" s="84">
        <f>IF($A6="","",30000)</f>
        <v/>
      </c>
      <c r="AS6" s="84">
        <f>IF($A6="","",AR6-B6)</f>
        <v/>
      </c>
      <c r="AT6" s="84">
        <f>IF($A6="","",IFERROR(B6/AR6,0))</f>
        <v/>
      </c>
      <c r="AU6" s="84">
        <f>IF($A6="","",IFERROR(B6*O6,0))</f>
        <v/>
      </c>
      <c r="AV6" s="84">
        <f>IF($A6="","",IFERROR(C6/B6,0))</f>
        <v/>
      </c>
      <c r="AW6" s="84">
        <f>IF($A6="","",MAX(0,R6-S6))</f>
        <v/>
      </c>
      <c r="AX6" s="84">
        <f>IF($A6="","",IF(AW6&gt;0,"优先降持仓数",IF(C6&lt;=0,"现金不足","允许评估")))</f>
        <v/>
      </c>
      <c r="AY6" s="84">
        <f>IF($A6="","",IF(B6&lt;30000,"婴儿阶段: 优先活下来,禁止单票失控,限制持仓数,服务3W目标","幼儿阶段达成"))</f>
        <v/>
      </c>
    </row>
    <row r="7" ht="15" customHeight="1" s="85">
      <c r="A7" s="84" t="inlineStr">
        <is>
          <t>2026-06-30</t>
        </is>
      </c>
      <c r="B7" s="84" t="n">
        <v>18504</v>
      </c>
      <c r="C7" s="84" t="n">
        <v>0</v>
      </c>
      <c r="D7" s="84">
        <f>IF($A7="","",SUMIFS(持仓表!$J:$J,持仓表!$A:$A,$A7))</f>
        <v/>
      </c>
      <c r="E7" s="84">
        <f>IFERROR(D7/B7,0)</f>
        <v/>
      </c>
      <c r="F7" s="84" t="n">
        <v>0</v>
      </c>
      <c r="G7" s="84">
        <f>IF($B7="","",MAX($B$2:B7))</f>
        <v/>
      </c>
      <c r="H7" s="84">
        <f>IFERROR((B7-$AA$2-SUM($F$2:F7))/($AA$2+SUM($F$2:F7)),0)</f>
        <v/>
      </c>
      <c r="I7" s="84">
        <f>IFERROR((B7-G7)/G7,0)</f>
        <v/>
      </c>
      <c r="J7" s="116" t="inlineStr">
        <is>
          <t>中性</t>
        </is>
      </c>
      <c r="K7" s="84" t="inlineStr">
        <is>
          <t>B</t>
        </is>
      </c>
      <c r="L7" s="84" t="n">
        <v>3</v>
      </c>
      <c r="M7" s="84" t="n">
        <v>2</v>
      </c>
      <c r="N7" s="84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118">
        <f>IF($B7="","",IF(B7&lt;30000,35%,IF(B7&lt;50000,30%,IF(B7&lt;100000,25%,20%))))</f>
        <v/>
      </c>
      <c r="P7" s="84">
        <f>IF($A7="","",COUNTIFS(持仓表!$A:$A,$A7,持仓表!$G:$G,"&gt;0"))</f>
        <v/>
      </c>
      <c r="Q7" s="84">
        <f>IF($A7="","",COUNTIFS(持仓表!$A:$A,$A7,持仓表!$D:$D,"是",持仓表!$G:$G,"&gt;0"))</f>
        <v/>
      </c>
      <c r="R7" s="84">
        <f>IF($A7="","",MAX(0,P7-Q7))</f>
        <v/>
      </c>
      <c r="S7" s="84">
        <f>IF($B7="","",IF(B7&lt;50000,3,IF(B7&lt;100000,4,5)))</f>
        <v/>
      </c>
      <c r="T7" s="84">
        <f>IF($A7="","",IF(OR(M7&gt;=4,I7&lt;=-8%),"防守",IF(OR(M7&gt;=2,I7&lt;=-5%),"警戒","正常")))</f>
        <v/>
      </c>
      <c r="U7" s="84">
        <f>IF($A7="","",IF(AND(L7&gt;=3,M7&lt;=2,T7&lt;&gt;"防守"),"是","否"))</f>
        <v/>
      </c>
      <c r="V7" s="84">
        <f>IF($A7="","",IF(AND(E7&lt;N7,R7&lt;S7,M7&lt;=2,I7&gt;-15%),"是","否"))</f>
        <v/>
      </c>
      <c r="W7" s="84">
        <f>IF($A7="","",IF(OR(M7&gt;=3,I7&lt;=-15%),"是","否"))</f>
        <v/>
      </c>
      <c r="X7" s="84">
        <f>IF($A7="","",IFERROR(maxifs(候选池!$AB:$AB,候选池!$A:$A,$A7),0))</f>
        <v/>
      </c>
      <c r="Y7" s="84">
        <f>IF($A7="","",IF(OR(M7&gt;=4,I7&lt;=-8%),MAX(0,B7*60%-C7),IF(AND(ISNUMBER(AD7),B7&gt;AD7),IF(B7&lt;30000,0,IF(B7&lt;100000,MAX(0,(B7-AD7)*0.2),MAX(0,(B7-AD7)*0.3))),0)))</f>
        <v/>
      </c>
      <c r="AB7" s="84">
        <f>IF($A7="","",IF(B7&lt;30000,0.03,IF(B7&lt;100000,0.02,0.015)))</f>
        <v/>
      </c>
      <c r="AC7" s="84">
        <f>IF($A7="","",IFERROR(DATEDIF($A$2,$A7,"m"),0))</f>
        <v/>
      </c>
      <c r="AD7" s="84">
        <f>IF($A7="","",IF(OR(AA7="",AB7="",AC7=""),"",AA7*POWER(1+AB7,AC7)))</f>
        <v/>
      </c>
      <c r="AE7" s="84">
        <f>IF($A7="","",IF(OR(AD7="",AD7=0),"",B7/AD7-1))</f>
        <v/>
      </c>
      <c r="AF7" s="84" t="n">
        <v>2</v>
      </c>
      <c r="AG7" s="84">
        <f>IF($A7="","",IF(B7&lt;30000,"婴儿",IF(B7&lt;100000,"成长","成熟")))</f>
        <v/>
      </c>
      <c r="AH7" s="84" t="n">
        <v>0.7012</v>
      </c>
      <c r="AI7" s="84" t="n">
        <v>80</v>
      </c>
      <c r="AJ7" s="84" t="n">
        <v>1</v>
      </c>
      <c r="AK7" s="84" t="n">
        <v>0.3937</v>
      </c>
      <c r="AL7" s="84" t="n">
        <v>0</v>
      </c>
      <c r="AM7" s="84" t="n">
        <v>0</v>
      </c>
      <c r="AN7" s="116" t="inlineStr">
        <is>
          <t>电力</t>
        </is>
      </c>
      <c r="AO7" s="116" t="inlineStr">
        <is>
          <t>中盘价值</t>
        </is>
      </c>
      <c r="AP7" s="116" t="inlineStr">
        <is>
          <t>是</t>
        </is>
      </c>
      <c r="AQ7" s="84">
        <f>IF($A7="","",B7-$AA$2-SUM($F$2:F7))</f>
        <v/>
      </c>
      <c r="AR7" s="84">
        <f>IF($A7="","",30000)</f>
        <v/>
      </c>
      <c r="AS7" s="84">
        <f>IF($A7="","",AR7-B7)</f>
        <v/>
      </c>
      <c r="AT7" s="84">
        <f>IF($A7="","",IFERROR(B7/AR7,0))</f>
        <v/>
      </c>
      <c r="AU7" s="84">
        <f>IF($A7="","",IFERROR(B7*O7,0))</f>
        <v/>
      </c>
      <c r="AV7" s="84">
        <f>IF($A7="","",IFERROR(C7/B7,0))</f>
        <v/>
      </c>
      <c r="AW7" s="84">
        <f>IF($A7="","",MAX(0,R7-S7))</f>
        <v/>
      </c>
      <c r="AX7" s="84">
        <f>IF($A7="","",IF(AW7&gt;0,"优先降持仓数",IF(C7&lt;=0,"现金不足","允许评估")))</f>
        <v/>
      </c>
      <c r="AY7" s="84">
        <f>IF($A7="","",IF(B7&lt;30000,"婴儿阶段: 优先活下来,禁止单票失控,限制持仓数,服务3W目标","幼儿阶段达成"))</f>
        <v/>
      </c>
    </row>
    <row r="8" ht="15" customHeight="1" s="85">
      <c r="A8" s="119" t="n">
        <v>46224</v>
      </c>
      <c r="B8" s="84" t="n">
        <v>20326.12</v>
      </c>
      <c r="C8" s="84" t="n">
        <v>7847.12</v>
      </c>
      <c r="D8" s="84">
        <f>IF($A8="","",SUMIFS(持仓表!$J:$J,持仓表!$A:$A,$A8))</f>
        <v/>
      </c>
      <c r="E8" s="84">
        <f>IFERROR(D8/B8,0)</f>
        <v/>
      </c>
      <c r="F8" s="84" t="n">
        <v>1309</v>
      </c>
      <c r="G8" s="84">
        <f>IF($B8="","",MAX($B$2:B8))</f>
        <v/>
      </c>
      <c r="H8" s="84">
        <f>IFERROR((B8-$AA$2-SUM($F$2:F8))/($AA$2+SUM($F$2:F8)),0)</f>
        <v/>
      </c>
      <c r="I8" s="84">
        <f>IFERROR((B8-G8)/G8,0)</f>
        <v/>
      </c>
      <c r="J8" s="116" t="inlineStr">
        <is>
          <t>中性</t>
        </is>
      </c>
      <c r="K8" s="84" t="inlineStr">
        <is>
          <t>B</t>
        </is>
      </c>
      <c r="L8" s="84" t="n">
        <v>3</v>
      </c>
      <c r="M8" s="84" t="n">
        <v>2</v>
      </c>
      <c r="N8" s="84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118">
        <f>IF($B8="","",IF(B8&lt;30000,35%,IF(B8&lt;50000,30%,IF(B8&lt;100000,25%,20%))))</f>
        <v/>
      </c>
      <c r="P8" s="84">
        <f>IF($A8="","",COUNTIFS(持仓表!$A:$A,$A8,持仓表!$G:$G,"&gt;0"))</f>
        <v/>
      </c>
      <c r="Q8" s="84">
        <f>IF($A8="","",COUNTIFS(持仓表!$A:$A,$A8,持仓表!$D:$D,"是",持仓表!$G:$G,"&gt;0"))</f>
        <v/>
      </c>
      <c r="R8" s="84">
        <f>IF($A8="","",MAX(0,P8-Q8))</f>
        <v/>
      </c>
      <c r="S8" s="84">
        <f>IF($B8="","",IF(B8&lt;50000,3,IF(B8&lt;100000,4,5)))</f>
        <v/>
      </c>
      <c r="T8" s="84">
        <f>IF($A8="","",IF(OR(M8&gt;=4,I8&lt;=-8%),"防守",IF(OR(M8&gt;=2,I8&lt;=-5%),"警戒","正常")))</f>
        <v/>
      </c>
      <c r="U8" s="84">
        <f>IF($A8="","",IF(AND(L8&gt;=3,M8&lt;=2,T8&lt;&gt;"防守"),"是","否"))</f>
        <v/>
      </c>
      <c r="V8" s="84">
        <f>IF($A8="","",IF(AND(E8&lt;N8,R8&lt;S8,M8&lt;=2,I8&gt;-15%),"是","否"))</f>
        <v/>
      </c>
      <c r="W8" s="84">
        <f>IF($A8="","",IF(OR(M8&gt;=3,I8&lt;=-15%),"是","否"))</f>
        <v/>
      </c>
      <c r="X8" s="84">
        <f>IF($A8="","",IFERROR(maxifs(候选池!$AB:$AB,候选池!$A:$A,$A8),0))</f>
        <v/>
      </c>
      <c r="Y8" s="84">
        <f>IF($A8="","",IF(OR(M8&gt;=4,I8&lt;=-8%),MAX(0,B8*60%-C8),IF(AND(ISNUMBER(AD8),B8&gt;AD8),IF(B8&lt;30000,0,IF(B8&lt;100000,MAX(0,(B8-AD8)*0.2),MAX(0,(B8-AD8)*0.3))),0)))</f>
        <v/>
      </c>
      <c r="AB8" s="84">
        <f>IF($A8="","",IF(B8&lt;30000,0.03,IF(B8&lt;100000,0.02,0.015)))</f>
        <v/>
      </c>
      <c r="AC8" s="84">
        <f>IF($A8="","",IFERROR(DATEDIF($A$2,$A8,"m"),0))</f>
        <v/>
      </c>
      <c r="AD8" s="84">
        <f>IF($A8="","",IF(OR(AA8="",AB8="",AC8=""),"",AA8*POWER(1+AB8,AC8)))</f>
        <v/>
      </c>
      <c r="AE8" s="84">
        <f>IF($A8="","",IF(OR(AD8="",AD8=0),"",B8/AD8-1))</f>
        <v/>
      </c>
      <c r="AF8" s="84" t="n">
        <v>2</v>
      </c>
      <c r="AG8" s="84">
        <f>IF($A8="","",IF(B8&lt;30000,"婴儿",IF(B8&lt;100000,"成长","成熟")))</f>
        <v/>
      </c>
      <c r="AH8" s="84" t="n">
        <v>0.3423</v>
      </c>
      <c r="AI8" s="84" t="n">
        <v>5</v>
      </c>
      <c r="AJ8" s="84" t="n">
        <v>1</v>
      </c>
      <c r="AK8" s="84" t="n">
        <v>0.0058</v>
      </c>
      <c r="AL8" s="84" t="n">
        <v>1</v>
      </c>
      <c r="AM8" s="84" t="n">
        <v>0</v>
      </c>
      <c r="AN8" s="116" t="inlineStr">
        <is>
          <t>化工</t>
        </is>
      </c>
      <c r="AO8" s="116" t="inlineStr">
        <is>
          <t>大盘价值</t>
        </is>
      </c>
      <c r="AP8" s="116" t="inlineStr">
        <is>
          <t>是</t>
        </is>
      </c>
      <c r="AQ8" s="84">
        <f>IF($A8="","",B8-$AA$2-SUM($F$2:F8))</f>
        <v/>
      </c>
      <c r="AR8" s="84">
        <f>IF($A8="","",30000)</f>
        <v/>
      </c>
      <c r="AS8" s="84">
        <f>IF($A8="","",AR8-B8)</f>
        <v/>
      </c>
      <c r="AT8" s="84">
        <f>IF($A8="","",IFERROR(B8/AR8,0))</f>
        <v/>
      </c>
      <c r="AU8" s="84">
        <f>IF($A8="","",IFERROR(B8*O8,0))</f>
        <v/>
      </c>
      <c r="AV8" s="84">
        <f>IF($A8="","",IFERROR(C8/B8,0))</f>
        <v/>
      </c>
      <c r="AW8" s="84">
        <f>IF($A8="","",MAX(0,R8-S8))</f>
        <v/>
      </c>
      <c r="AX8" s="84">
        <f>IF($A8="","",IF(AW8&gt;0,"优先降持仓数",IF(C8&lt;=0,"现金不足","允许评估")))</f>
        <v/>
      </c>
      <c r="AY8" s="84">
        <f>IF($A8="","",IF(B8&lt;30000,"婴儿阶段: 优先活下来,禁止单票失控,限制持仓数,服务3W目标","幼儿阶段达成"))</f>
        <v/>
      </c>
    </row>
    <row r="9" ht="15" customHeight="1" s="85">
      <c r="A9" s="119" t="n">
        <v>46225</v>
      </c>
      <c r="B9" s="84" t="n">
        <v>20798.12</v>
      </c>
      <c r="C9" s="84" t="n">
        <v>7847.12</v>
      </c>
      <c r="D9" s="84">
        <f>IF($A9="","",SUMIFS(持仓表!$J:$J,持仓表!$A:$A,$A9))</f>
        <v/>
      </c>
      <c r="E9" s="84">
        <f>IFERROR(D9/B9,0)</f>
        <v/>
      </c>
      <c r="G9" s="84">
        <f>IF($B9="","",MAX($B$2:B9))</f>
        <v/>
      </c>
      <c r="H9" s="84">
        <f>IFERROR((B9-$AA$2-SUM($F$2:F9))/($AA$2+SUM($F$2:F9)),0)</f>
        <v/>
      </c>
      <c r="I9" s="84">
        <f>IFERROR((B9-G9)/G9,0)</f>
        <v/>
      </c>
      <c r="J9" s="116" t="n"/>
      <c r="K9" s="84" t="n"/>
      <c r="N9" s="84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118">
        <f>IF($B9="","",IF(B9&lt;30000,35%,IF(B9&lt;50000,30%,IF(B9&lt;100000,25%,20%))))</f>
        <v/>
      </c>
      <c r="P9" s="84">
        <f>IF($A9="","",COUNTIFS(持仓表!$A:$A,$A9,持仓表!$G:$G,"&gt;0"))</f>
        <v/>
      </c>
      <c r="Q9" s="84">
        <f>IF($A9="","",COUNTIFS(持仓表!$A:$A,$A9,持仓表!$D:$D,"是",持仓表!$G:$G,"&gt;0"))</f>
        <v/>
      </c>
      <c r="R9" s="84">
        <f>IF($A9="","",MAX(0,P9-Q9))</f>
        <v/>
      </c>
      <c r="S9" s="84">
        <f>IF($B9="","",IF(B9&lt;50000,3,IF(B9&lt;100000,4,5)))</f>
        <v/>
      </c>
      <c r="T9" s="84">
        <f>IF($A9="","",IF(OR(M9&gt;=4,I9&lt;=-8%),"防守",IF(OR(M9&gt;=2,I9&lt;=-5%),"警戒","正常")))</f>
        <v/>
      </c>
      <c r="U9" s="84">
        <f>IF($A9="","",IF(AND(L9&gt;=3,M9&lt;=2,T9&lt;&gt;"防守"),"是","否"))</f>
        <v/>
      </c>
      <c r="V9" s="84">
        <f>IF($A9="","",IF(AND(E9&lt;N9,R9&lt;S9,M9&lt;=2,I9&gt;-15%),"是","否"))</f>
        <v/>
      </c>
      <c r="W9" s="84">
        <f>IF($A9="","",IF(OR(M9&gt;=3,I9&lt;=-15%),"是","否"))</f>
        <v/>
      </c>
      <c r="X9" s="84">
        <f>IF($A9="","",IFERROR(maxifs(候选池!$AB:$AB,候选池!$A:$A,$A9),0))</f>
        <v/>
      </c>
      <c r="Y9" s="84">
        <f>IF($A9="","",IF(OR(M9&gt;=4,I9&lt;=-8%),MAX(0,B9*60%-C9),IF(AND(ISNUMBER(AD9),B9&gt;AD9),IF(B9&lt;30000,0,IF(B9&lt;100000,MAX(0,(B9-AD9)*0.2),MAX(0,(B9-AD9)*0.3))),0)))</f>
        <v/>
      </c>
      <c r="AB9" s="84">
        <f>IF($A9="","",IF(B9&lt;30000,0.03,IF(B9&lt;100000,0.02,0.015)))</f>
        <v/>
      </c>
      <c r="AC9" s="84">
        <f>IF($A9="","",IFERROR(DATEDIF($A$2,$A9,"m"),0))</f>
        <v/>
      </c>
      <c r="AD9" s="84">
        <f>IF($A9="","",IF(OR(AA9="",AB9="",AC9=""),"",AA9*POWER(1+AB9,AC9)))</f>
        <v/>
      </c>
      <c r="AE9" s="84">
        <f>IF($A9="","",IF(OR(AD9="",AD9=0),"",B9/AD9-1))</f>
        <v/>
      </c>
      <c r="AG9" s="84">
        <f>IF($A9="","",IF(B9&lt;30000,"婴儿",IF(B9&lt;100000,"成长","成熟")))</f>
        <v/>
      </c>
      <c r="AP9" s="116" t="n"/>
      <c r="AQ9" s="84">
        <f>IF($A9="","",B9-$AA$2-SUM($F$2:F9))</f>
        <v/>
      </c>
      <c r="AR9" s="84">
        <f>IF($A9="","",30000)</f>
        <v/>
      </c>
      <c r="AS9" s="84">
        <f>IF($A9="","",AR9-B9)</f>
        <v/>
      </c>
      <c r="AT9" s="84">
        <f>IF($A9="","",IFERROR(B9/AR9,0))</f>
        <v/>
      </c>
      <c r="AU9" s="84">
        <f>IF($A9="","",IFERROR(B9*O9,0))</f>
        <v/>
      </c>
      <c r="AV9" s="84">
        <f>IF($A9="","",IFERROR(C9/B9,0))</f>
        <v/>
      </c>
      <c r="AW9" s="84">
        <f>IF($A9="","",MAX(0,R9-S9))</f>
        <v/>
      </c>
      <c r="AX9" s="84">
        <f>IF($A9="","",IF(AW9&gt;0,"优先降持仓数",IF(C9&lt;=0,"现金不足","允许评估")))</f>
        <v/>
      </c>
      <c r="AY9" s="84">
        <f>IF($A9="","",IF(B9&lt;30000,"婴儿阶段: 优先活下来,禁止单票失控,限制持仓数,服务3W目标","幼儿阶段达成"))</f>
        <v/>
      </c>
    </row>
    <row r="10" ht="15" customHeight="1" s="85">
      <c r="A10" s="119" t="n">
        <v>46226</v>
      </c>
      <c r="B10" s="84" t="n">
        <v>21004.83</v>
      </c>
      <c r="C10" s="84" t="n">
        <v>10362.83</v>
      </c>
      <c r="D10" s="84">
        <f>IF($A10="","",SUMIFS(持仓表!$J:$J,持仓表!$A:$A,$A10))</f>
        <v/>
      </c>
      <c r="E10" s="84">
        <f>IFERROR(D10/B10,0)</f>
        <v/>
      </c>
      <c r="G10" s="84">
        <f>IF($B10="","",MAX($B$2:B10))</f>
        <v/>
      </c>
      <c r="H10" s="84">
        <f>IFERROR((B10-$AA$2-SUM($F$2:F10))/($AA$2+SUM($F$2:F10)),0)</f>
        <v/>
      </c>
      <c r="I10" s="84">
        <f>IFERROR((B10-G10)/G10,0)</f>
        <v/>
      </c>
      <c r="J10" s="116" t="n"/>
      <c r="K10" s="84" t="n"/>
      <c r="N10" s="84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118">
        <f>IF($B10="","",IF(B10&lt;30000,35%,IF(B10&lt;50000,30%,IF(B10&lt;100000,25%,20%))))</f>
        <v/>
      </c>
      <c r="P10" s="84">
        <f>IF($A10="","",COUNTIFS(持仓表!$A:$A,$A10,持仓表!$G:$G,"&gt;0"))</f>
        <v/>
      </c>
      <c r="Q10" s="84">
        <f>IF($A10="","",COUNTIFS(持仓表!$A:$A,$A10,持仓表!$D:$D,"是",持仓表!$G:$G,"&gt;0"))</f>
        <v/>
      </c>
      <c r="R10" s="84">
        <f>IF($A10="","",MAX(0,P10-Q10))</f>
        <v/>
      </c>
      <c r="S10" s="84">
        <f>IF($B10="","",IF(B10&lt;50000,3,IF(B10&lt;100000,4,5)))</f>
        <v/>
      </c>
      <c r="T10" s="84">
        <f>IF($A10="","",IF(OR(M10&gt;=4,I10&lt;=-8%),"防守",IF(OR(M10&gt;=2,I10&lt;=-5%),"警戒","正常")))</f>
        <v/>
      </c>
      <c r="U10" s="84">
        <f>IF($A10="","",IF(AND(L10&gt;=3,M10&lt;=2,T10&lt;&gt;"防守"),"是","否"))</f>
        <v/>
      </c>
      <c r="V10" s="84">
        <f>IF($A10="","",IF(AND(E10&lt;N10,R10&lt;S10,M10&lt;=2,I10&gt;-15%),"是","否"))</f>
        <v/>
      </c>
      <c r="W10" s="84">
        <f>IF($A10="","",IF(OR(M10&gt;=3,I10&lt;=-15%),"是","否"))</f>
        <v/>
      </c>
      <c r="X10" s="84">
        <f>IF($A10="","",IFERROR(maxifs(候选池!$AB:$AB,候选池!$A:$A,$A10),0))</f>
        <v/>
      </c>
      <c r="Y10" s="84">
        <f>IF($A10="","",IF(OR(M10&gt;=4,I10&lt;=-8%),MAX(0,B10*60%-C10),IF(AND(ISNUMBER(AD10),B10&gt;AD10),IF(B10&lt;30000,0,IF(B10&lt;100000,MAX(0,(B10-AD10)*0.2),MAX(0,(B10-AD10)*0.3))),0)))</f>
        <v/>
      </c>
      <c r="AB10" s="84">
        <f>IF($A10="","",IF(B10&lt;30000,0.03,IF(B10&lt;100000,0.02,0.015)))</f>
        <v/>
      </c>
      <c r="AC10" s="84">
        <f>IF($A10="","",IFERROR(DATEDIF($A$2,$A10,"m"),0))</f>
        <v/>
      </c>
      <c r="AD10" s="84">
        <f>IF($A10="","",IF(OR(AA10="",AB10="",AC10=""),"",AA10*POWER(1+AB10,AC10)))</f>
        <v/>
      </c>
      <c r="AE10" s="84">
        <f>IF($A10="","",IF(OR(AD10="",AD10=0),"",B10/AD10-1))</f>
        <v/>
      </c>
      <c r="AG10" s="84">
        <f>IF($A10="","",IF(B10&lt;30000,"婴儿",IF(B10&lt;100000,"成长","成熟")))</f>
        <v/>
      </c>
      <c r="AP10" s="116" t="n"/>
      <c r="AQ10" s="84">
        <f>IF($A10="","",B10-$AA$2-SUM($F$2:F10))</f>
        <v/>
      </c>
      <c r="AR10" s="84">
        <f>IF($A10="","",30000)</f>
        <v/>
      </c>
      <c r="AS10" s="84">
        <f>IF($A10="","",AR10-B10)</f>
        <v/>
      </c>
      <c r="AT10" s="84">
        <f>IF($A10="","",IFERROR(B10/AR10,0))</f>
        <v/>
      </c>
      <c r="AU10" s="84">
        <f>IF($A10="","",IFERROR(B10*O10,0))</f>
        <v/>
      </c>
      <c r="AV10" s="84">
        <f>IF($A10="","",IFERROR(C10/B10,0))</f>
        <v/>
      </c>
      <c r="AW10" s="84">
        <f>IF($A10="","",MAX(0,R10-S10))</f>
        <v/>
      </c>
      <c r="AX10" s="84">
        <f>IF($A10="","",IF(AW10&gt;0,"优先降持仓数",IF(C10&lt;=0,"现金不足","允许评估")))</f>
        <v/>
      </c>
      <c r="AY10" s="84">
        <f>IF($A10="","",IF(B10&lt;30000,"婴儿阶段: 优先活下来,禁止单票失控,限制持仓数,服务3W目标","幼儿阶段达成"))</f>
        <v/>
      </c>
    </row>
    <row r="11" ht="15" customHeight="1" s="85">
      <c r="A11" s="119" t="n">
        <v>46227</v>
      </c>
      <c r="B11" s="84" t="n">
        <v>20842.32</v>
      </c>
      <c r="C11" s="84" t="n">
        <v>12358.32</v>
      </c>
      <c r="D11" s="84">
        <f>IF($A11="","",SUMIFS(持仓表!$J:$J,持仓表!$A:$A,$A11))</f>
        <v/>
      </c>
      <c r="E11" s="84">
        <f>IFERROR(D11/B11,0)</f>
        <v/>
      </c>
      <c r="F11" s="84" t="n">
        <v>0</v>
      </c>
      <c r="G11" s="84">
        <f>IF($B11="","",MAX($B$2:B11))</f>
        <v/>
      </c>
      <c r="H11" s="84">
        <f>IFERROR((B11-$AA$2-SUM($F$2:F11))/($AA$2+SUM($F$2:F11)),0)</f>
        <v/>
      </c>
      <c r="I11" s="84">
        <f>IFERROR((B11-G11)/G11,0)</f>
        <v/>
      </c>
      <c r="J11" s="116" t="n"/>
      <c r="K11" s="84" t="n"/>
      <c r="N11" s="84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118">
        <f>IF($B11="","",IF(B11&lt;30000,35%,IF(B11&lt;50000,30%,IF(B11&lt;100000,25%,20%))))</f>
        <v/>
      </c>
      <c r="P11" s="84">
        <f>IF($A11="","",COUNTIFS(持仓表!$A:$A,$A11,持仓表!$G:$G,"&gt;0"))</f>
        <v/>
      </c>
      <c r="Q11" s="84">
        <f>IF($A11="","",COUNTIFS(持仓表!$A:$A,$A11,持仓表!$D:$D,"是",持仓表!$G:$G,"&gt;0"))</f>
        <v/>
      </c>
      <c r="R11" s="84">
        <f>IF($A11="","",MAX(0,P11-Q11))</f>
        <v/>
      </c>
      <c r="S11" s="84">
        <f>IF($B11="","",IF(B11&lt;50000,3,IF(B11&lt;100000,4,5)))</f>
        <v/>
      </c>
      <c r="T11" s="84">
        <f>IF($A11="","",IF(OR(M11&gt;=4,I11&lt;=-8%),"防守",IF(OR(M11&gt;=2,I11&lt;=-5%),"警戒","正常")))</f>
        <v/>
      </c>
      <c r="U11" s="84">
        <f>IF($A11="","",IF(AND(L11&gt;=3,M11&lt;=2,T11&lt;&gt;"防守"),"是","否"))</f>
        <v/>
      </c>
      <c r="V11" s="84">
        <f>IF($A11="","",IF(AND(E11&lt;N11,R11&lt;S11,M11&lt;=2,I11&gt;-15%),"是","否"))</f>
        <v/>
      </c>
      <c r="W11" s="84">
        <f>IF($A11="","",IF(OR(M11&gt;=3,I11&lt;=-15%),"是","否"))</f>
        <v/>
      </c>
      <c r="X11" s="84">
        <f>IF($A11="","",IFERROR(maxifs(候选池!$AB:$AB,候选池!$A:$A,$A11),0))</f>
        <v/>
      </c>
      <c r="Y11" s="84">
        <f>IF($A11="","",IF(OR(M11&gt;=4,I11&lt;=-8%),MAX(0,B11*60%-C11),IF(AND(ISNUMBER(AD11),B11&gt;AD11),IF(B11&lt;30000,0,IF(B11&lt;100000,MAX(0,(B11-AD11)*0.2),MAX(0,(B11-AD11)*0.3))),0)))</f>
        <v/>
      </c>
      <c r="AB11" s="84">
        <f>IF($A11="","",IF(B11&lt;30000,0.03,IF(B11&lt;100000,0.02,0.015)))</f>
        <v/>
      </c>
      <c r="AC11" s="84">
        <f>IF($A11="","",IFERROR(DATEDIF($A$2,$A11,"m"),0))</f>
        <v/>
      </c>
      <c r="AD11" s="84">
        <f>IF($A11="","",IF(OR(AA11="",AB11="",AC11=""),"",AA11*POWER(1+AB11,AC11)))</f>
        <v/>
      </c>
      <c r="AE11" s="84">
        <f>IF($A11="","",IF(OR(AD11="",AD11=0),"",B11/AD11-1))</f>
        <v/>
      </c>
      <c r="AG11" s="84">
        <f>IF($A11="","",IF(B11&lt;30000,"婴儿",IF(B11&lt;100000,"成长","成熟")))</f>
        <v/>
      </c>
      <c r="AP11" s="116" t="n"/>
      <c r="AQ11" s="84">
        <f>IF($A11="","",B11-$AA$2-SUM($F$2:F11))</f>
        <v/>
      </c>
      <c r="AR11" s="84">
        <f>IF($A11="","",30000)</f>
        <v/>
      </c>
      <c r="AS11" s="84">
        <f>IF($A11="","",AR11-B11)</f>
        <v/>
      </c>
      <c r="AT11" s="84">
        <f>IF($A11="","",IFERROR(B11/AR11,0))</f>
        <v/>
      </c>
      <c r="AU11" s="84">
        <f>IF($A11="","",IFERROR(B11*O11,0))</f>
        <v/>
      </c>
      <c r="AV11" s="84">
        <f>IF($A11="","",IFERROR(C11/B11,0))</f>
        <v/>
      </c>
      <c r="AW11" s="84">
        <f>IF($A11="","",MAX(0,R11-S11))</f>
        <v/>
      </c>
      <c r="AX11" s="84">
        <f>IF($A11="","",IF(AW11&gt;0,"优先降持仓数",IF(C11&lt;=0,"现金不足","允许评估")))</f>
        <v/>
      </c>
      <c r="AY11" s="84">
        <f>IF($A11="","",IF(B11&lt;30000,"婴儿阶段: 优先活下来,禁止单票失控,限制持仓数,服务3W目标","幼儿阶段达成"))</f>
        <v/>
      </c>
    </row>
    <row r="12" ht="15" customHeight="1" s="85">
      <c r="A12" s="119" t="n">
        <v>46230</v>
      </c>
      <c r="B12" s="84" t="n">
        <v>20842.92</v>
      </c>
      <c r="C12" s="84" t="n">
        <v>12599.63</v>
      </c>
      <c r="D12" s="84">
        <f>IF($A12="","",SUMIFS(持仓表!$J:$J,持仓表!$A:$A,$A12))</f>
        <v/>
      </c>
      <c r="E12" s="84">
        <f>IFERROR(D12/B12,0)</f>
        <v/>
      </c>
      <c r="G12" s="84">
        <f>IF($B12="","",MAX($B$2:B12))</f>
        <v/>
      </c>
      <c r="H12" s="84">
        <f>IFERROR((B12-$AA$2-SUM($F$2:F12))/($AA$2+SUM($F$2:F12)),0)</f>
        <v/>
      </c>
      <c r="I12" s="84">
        <f>IFERROR((B12-G12)/G12,0)</f>
        <v/>
      </c>
      <c r="J12" s="116" t="n"/>
      <c r="K12" s="84" t="n"/>
      <c r="N12" s="84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118">
        <f>IF($B12="","",IF(B12&lt;30000,35%,IF(B12&lt;50000,30%,IF(B12&lt;100000,25%,20%))))</f>
        <v/>
      </c>
      <c r="P12" s="84">
        <f>IF($A12="","",COUNTIFS(持仓表!$A:$A,$A12,持仓表!$G:$G,"&gt;0"))</f>
        <v/>
      </c>
      <c r="Q12" s="84">
        <f>IF($A12="","",COUNTIFS(持仓表!$A:$A,$A12,持仓表!$D:$D,"是",持仓表!$G:$G,"&gt;0"))</f>
        <v/>
      </c>
      <c r="R12" s="84">
        <f>IF($A12="","",MAX(0,P12-Q12))</f>
        <v/>
      </c>
      <c r="S12" s="84">
        <f>IF($B12="","",IF(B12&lt;50000,3,IF(B12&lt;100000,4,5)))</f>
        <v/>
      </c>
      <c r="T12" s="84">
        <f>IF($A12="","",IF(OR(M12&gt;=4,I12&lt;=-8%),"防守",IF(OR(M12&gt;=2,I12&lt;=-5%),"警戒","正常")))</f>
        <v/>
      </c>
      <c r="U12" s="84">
        <f>IF($A12="","",IF(AND(L12&gt;=3,M12&lt;=2,T12&lt;&gt;"防守"),"是","否"))</f>
        <v/>
      </c>
      <c r="V12" s="84">
        <f>IF($A12="","",IF(AND(E12&lt;N12,R12&lt;S12,M12&lt;=2,I12&gt;-15%),"是","否"))</f>
        <v/>
      </c>
      <c r="W12" s="84">
        <f>IF($A12="","",IF(OR(M12&gt;=3,I12&lt;=-15%),"是","否"))</f>
        <v/>
      </c>
      <c r="X12" s="84">
        <f>IF($A12="","",IFERROR(maxifs(候选池!$AB:$AB,候选池!$A:$A,$A12),0))</f>
        <v/>
      </c>
      <c r="Y12" s="84">
        <f>IF($A12="","",IF(OR(M12&gt;=4,I12&lt;=-8%),MAX(0,B12*60%-C12),IF(AND(ISNUMBER(AD12),B12&gt;AD12),IF(B12&lt;30000,0,IF(B12&lt;100000,MAX(0,(B12-AD12)*0.2),MAX(0,(B12-AD12)*0.3))),0)))</f>
        <v/>
      </c>
      <c r="AB12" s="84">
        <f>IF($A12="","",IF(B12&lt;30000,0.03,IF(B12&lt;100000,0.02,0.015)))</f>
        <v/>
      </c>
      <c r="AC12" s="84">
        <f>IF($A12="","",IFERROR(DATEDIF($A$2,$A12,"m"),0))</f>
        <v/>
      </c>
      <c r="AD12" s="84">
        <f>IF($A12="","",IF(OR(AA12="",AB12="",AC12=""),"",AA12*POWER(1+AB12,AC12)))</f>
        <v/>
      </c>
      <c r="AE12" s="84">
        <f>IF($A12="","",IF(OR(AD12="",AD12=0),"",B12/AD12-1))</f>
        <v/>
      </c>
      <c r="AG12" s="84">
        <f>IF($A12="","",IF(B12&lt;30000,"婴儿",IF(B12&lt;100000,"成长","成熟")))</f>
        <v/>
      </c>
      <c r="AP12" s="116" t="n"/>
      <c r="AQ12" s="84">
        <f>IF($A12="","",B12-$AA$2-SUM($F$2:F12))</f>
        <v/>
      </c>
      <c r="AR12" s="84">
        <f>IF($A12="","",30000)</f>
        <v/>
      </c>
      <c r="AS12" s="84">
        <f>IF($A12="","",AR12-B12)</f>
        <v/>
      </c>
      <c r="AT12" s="84">
        <f>IF($A12="","",IFERROR(B12/AR12,0))</f>
        <v/>
      </c>
      <c r="AU12" s="84">
        <f>IF($A12="","",IFERROR(B12*O12,0))</f>
        <v/>
      </c>
      <c r="AV12" s="84">
        <f>IF($A12="","",IFERROR(C12/B12,0))</f>
        <v/>
      </c>
      <c r="AW12" s="84">
        <f>IF($A12="","",MAX(0,R12-S12))</f>
        <v/>
      </c>
      <c r="AX12" s="84">
        <f>IF($A12="","",IF(AW12&gt;0,"优先降持仓数",IF(C12&lt;=0,"现金不足","允许评估")))</f>
        <v/>
      </c>
      <c r="AY12" s="84">
        <f>IF($A12="","",IF(B12&lt;30000,"婴儿阶段: 优先活下来,禁止单票失控,限制持仓数,服务3W目标","幼儿阶段达成"))</f>
        <v/>
      </c>
    </row>
    <row r="13" ht="15" customHeight="1" s="85">
      <c r="A13" s="119" t="n">
        <v>46231</v>
      </c>
      <c r="B13" s="84" t="n">
        <v>21142.56</v>
      </c>
      <c r="C13" s="84" t="n">
        <v>13615.56</v>
      </c>
      <c r="D13" s="84">
        <f>IF($A13="","",SUMIFS(持仓表!$J:$J,持仓表!$A:$A,$A13))</f>
        <v/>
      </c>
      <c r="E13" s="84">
        <f>IFERROR(D13/B13,0)</f>
        <v/>
      </c>
      <c r="F13" s="84" t="n">
        <v>0</v>
      </c>
      <c r="G13" s="84">
        <f>IF($B13="","",MAX($B$2:B13))</f>
        <v/>
      </c>
      <c r="H13" s="84">
        <f>IFERROR((B13-$AA$2-SUM($F$2:F13))/($AA$2+SUM($F$2:F13)),0)</f>
        <v/>
      </c>
      <c r="I13" s="84">
        <f>IFERROR((B13-G13)/G13,0)</f>
        <v/>
      </c>
      <c r="J13" s="116" t="inlineStr">
        <is>
          <t>中性偏弱</t>
        </is>
      </c>
      <c r="K13" s="84" t="inlineStr">
        <is>
          <t>B</t>
        </is>
      </c>
      <c r="L13" s="84" t="n">
        <v>2</v>
      </c>
      <c r="M13" s="84" t="n">
        <v>2</v>
      </c>
      <c r="N13" s="84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118">
        <f>IF($B13="","",IF(B13&lt;30000,35%,IF(B13&lt;50000,30%,IF(B13&lt;100000,25%,20%))))</f>
        <v/>
      </c>
      <c r="P13" s="84">
        <f>IF($A13="","",COUNTIFS(持仓表!$A:$A,$A13,持仓表!$G:$G,"&gt;0"))</f>
        <v/>
      </c>
      <c r="Q13" s="84">
        <f>IF($A13="","",COUNTIFS(持仓表!$A:$A,$A13,持仓表!$D:$D,"是",持仓表!$G:$G,"&gt;0"))</f>
        <v/>
      </c>
      <c r="R13" s="84">
        <f>IF($A13="","",MAX(0,P13-Q13))</f>
        <v/>
      </c>
      <c r="S13" s="84">
        <f>IF($B13="","",IF(B13&lt;50000,3,IF(B13&lt;100000,4,5)))</f>
        <v/>
      </c>
      <c r="T13" s="84">
        <f>IF($A13="","",IF(OR(M13&gt;=4,I13&lt;=-8%),"防守",IF(OR(M13&gt;=2,I13&lt;=-5%),"警戒","正常")))</f>
        <v/>
      </c>
      <c r="U13" s="84">
        <f>IF($A13="","",IF(AND(L13&gt;=3,M13&lt;=2,T13&lt;&gt;"防守"),"是","否"))</f>
        <v/>
      </c>
      <c r="V13" s="84">
        <f>IF($A13="","",IF(AND(E13&lt;N13,R13&lt;S13,M13&lt;=2,I13&gt;-15%),"是","否"))</f>
        <v/>
      </c>
      <c r="W13" s="84">
        <f>IF($A13="","",IF(OR(M13&gt;=3,I13&lt;=-15%),"是","否"))</f>
        <v/>
      </c>
      <c r="X13" s="84">
        <f>IF($A13="","",IFERROR(maxifs(候选池!$AB:$AB,候选池!$A:$A,$A13),0))</f>
        <v/>
      </c>
      <c r="Y13" s="84">
        <f>IF($A13="","",IF(OR(M13&gt;=4,I13&lt;=-8%),MAX(0,B13*60%-C13),IF(AND(ISNUMBER(AD13),B13&gt;AD13),IF(B13&lt;30000,0,IF(B13&lt;100000,MAX(0,(B13-AD13)*0.2),MAX(0,(B13-AD13)*0.3))),0)))</f>
        <v/>
      </c>
      <c r="AB13" s="84">
        <f>IF($A13="","",IF(B13&lt;30000,0.03,IF(B13&lt;100000,0.02,0.015)))</f>
        <v/>
      </c>
      <c r="AC13" s="84">
        <f>IF($A13="","",IFERROR(DATEDIF($A$2,$A13,"m"),0))</f>
        <v/>
      </c>
      <c r="AD13" s="84">
        <f>IF($A13="","",IF(OR(AA13="",AB13="",AC13=""),"",AA13*POWER(1+AB13,AC13)))</f>
        <v/>
      </c>
      <c r="AE13" s="84">
        <f>IF($A13="","",IF(OR(AD13="",AD13=0),"",B13/AD13-1))</f>
        <v/>
      </c>
      <c r="AG13" s="84">
        <f>IF($A13="","",IF(B13&lt;30000,"婴儿",IF(B13&lt;100000,"成长","成熟")))</f>
        <v/>
      </c>
      <c r="AP13" s="116" t="n"/>
      <c r="AQ13" s="84">
        <f>IF($A13="","",B13-$AA$2-SUM($F$2:F13))</f>
        <v/>
      </c>
      <c r="AR13" s="84">
        <f>IF($A13="","",30000)</f>
        <v/>
      </c>
      <c r="AS13" s="84">
        <f>IF($A13="","",AR13-B13)</f>
        <v/>
      </c>
      <c r="AT13" s="84">
        <f>IF($A13="","",IFERROR(B13/AR13,0))</f>
        <v/>
      </c>
      <c r="AU13" s="84">
        <f>IF($A13="","",IFERROR(B13*O13,0))</f>
        <v/>
      </c>
      <c r="AV13" s="84">
        <f>IF($A13="","",IFERROR(C13/B13,0))</f>
        <v/>
      </c>
      <c r="AW13" s="84">
        <f>IF($A13="","",MAX(0,R13-S13))</f>
        <v/>
      </c>
      <c r="AX13" s="84">
        <f>IF($A13="","",IF(AW13&gt;0,"优先降持仓数",IF(C13&lt;=0,"现金不足","允许评估")))</f>
        <v/>
      </c>
      <c r="AY13" s="84">
        <f>IF($A13="","",IF(B13&lt;30000,"婴儿阶段: 优先活下来,禁止单票失控,限制持仓数,服务3W目标","幼儿阶段达成"))</f>
        <v/>
      </c>
    </row>
    <row r="14" ht="15" customHeight="1" s="85">
      <c r="A14" s="119" t="n">
        <v>46232</v>
      </c>
      <c r="B14" s="84" t="n">
        <v>21311.32</v>
      </c>
      <c r="C14" s="84" t="n">
        <v>9793.32</v>
      </c>
      <c r="D14" s="84">
        <f>IF($A14="","",SUMIFS(持仓表!$J:$J,持仓表!$A:$A,$A14))</f>
        <v/>
      </c>
      <c r="E14" s="84">
        <f>IFERROR(D14/B14,0)</f>
        <v/>
      </c>
      <c r="F14" s="84" t="n">
        <v>8</v>
      </c>
      <c r="G14" s="84">
        <f>IF($B14="","",MAX($B$2:B14))</f>
        <v/>
      </c>
      <c r="H14" s="84">
        <f>IFERROR((B14-$AA$2-SUM($F$2:F14))/($AA$2+SUM($F$2:F14)),0)</f>
        <v/>
      </c>
      <c r="I14" s="84">
        <f>IFERROR((B14-G14)/G14,0)</f>
        <v/>
      </c>
      <c r="J14" s="116" t="n"/>
      <c r="K14" s="84" t="n"/>
      <c r="N14" s="84">
        <f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4" s="118">
        <f>IF($B14="","",IF(B14&lt;30000,35%,IF(B14&lt;50000,30%,IF(B14&lt;100000,25%,20%))))</f>
        <v/>
      </c>
      <c r="P14" s="84">
        <f>IF($A14="","",COUNTIFS(持仓表!$A:$A,$A14,持仓表!$G:$G,"&gt;0"))</f>
        <v/>
      </c>
      <c r="Q14" s="84">
        <f>IF($A14="","",COUNTIFS(持仓表!$A:$A,$A14,持仓表!$D:$D,"是",持仓表!$G:$G,"&gt;0"))</f>
        <v/>
      </c>
      <c r="R14" s="84">
        <f>IF($A14="","",MAX(0,P14-Q14))</f>
        <v/>
      </c>
      <c r="S14" s="84">
        <f>IF($B14="","",IF(B14&lt;50000,3,IF(B14&lt;100000,4,5)))</f>
        <v/>
      </c>
      <c r="T14" s="84">
        <f>IF($A14="","",IF(OR(M14&gt;=4,I14&lt;=-8%),"防守",IF(OR(M14&gt;=2,I14&lt;=-5%),"警戒","正常")))</f>
        <v/>
      </c>
      <c r="U14" s="84">
        <f>IF($A14="","",IF(AND(L14&gt;=3,M14&lt;=2,T14&lt;&gt;"防守"),"是","否"))</f>
        <v/>
      </c>
      <c r="V14" s="84">
        <f>IF($A14="","",IF(AND(E14&lt;N14,R14&lt;S14,M14&lt;=2,I14&gt;-15%),"是","否"))</f>
        <v/>
      </c>
      <c r="W14" s="84">
        <f>IF($A14="","",IF(OR(M14&gt;=3,I14&lt;=-15%),"是","否"))</f>
        <v/>
      </c>
      <c r="X14" s="84">
        <f>IF($A14="","",IFERROR(maxifs(候选池!$AB:$AB,候选池!$A:$A,$A14),0))</f>
        <v/>
      </c>
      <c r="Y14" s="84">
        <f>IF($A14="","",IF(OR(M14&gt;=4,I14&lt;=-8%),MAX(0,B14*60%-C14),IF(AND(ISNUMBER(AD14),B14&gt;AD14),IF(B14&lt;30000,0,IF(B14&lt;100000,MAX(0,(B14-AD14)*0.2),MAX(0,(B14-AD14)*0.3))),0)))</f>
        <v/>
      </c>
      <c r="AB14" s="84">
        <f>IF($A14="","",IF(B14&lt;30000,0.03,IF(B14&lt;100000,0.02,0.015)))</f>
        <v/>
      </c>
      <c r="AC14" s="84">
        <f>IF($A14="","",IFERROR(DATEDIF($A$2,$A14,"m"),0))</f>
        <v/>
      </c>
      <c r="AD14" s="84">
        <f>IF($A14="","",IF(OR(AA14="",AB14="",AC14=""),"",AA14*POWER(1+AB14,AC14)))</f>
        <v/>
      </c>
      <c r="AE14" s="84">
        <f>IF($A14="","",IF(OR(AD14="",AD14=0),"",B14/AD14-1))</f>
        <v/>
      </c>
      <c r="AG14" s="84">
        <f>IF($A14="","",IF(B14&lt;30000,"婴儿",IF(B14&lt;100000,"成长","成熟")))</f>
        <v/>
      </c>
      <c r="AP14" s="116" t="n"/>
      <c r="AQ14" s="84">
        <f>IF($A14="","",B14-$AA$2-SUM($F$2:F14))</f>
        <v/>
      </c>
      <c r="AR14" s="84">
        <f>IF($A14="","",30000)</f>
        <v/>
      </c>
      <c r="AS14" s="84">
        <f>IF($A14="","",AR14-B14)</f>
        <v/>
      </c>
      <c r="AT14" s="84">
        <f>IF($A14="","",IFERROR(B14/AR14,0))</f>
        <v/>
      </c>
      <c r="AU14" s="84">
        <f>IF($A14="","",IFERROR(B14*O14,0))</f>
        <v/>
      </c>
      <c r="AV14" s="84">
        <f>IF($A14="","",IFERROR(C14/B14,0))</f>
        <v/>
      </c>
      <c r="AW14" s="84">
        <f>IF($A14="","",MAX(0,R14-S14))</f>
        <v/>
      </c>
      <c r="AX14" s="84">
        <f>IF($A14="","",IF(AW14&gt;0,"优先降持仓数",IF(C14&lt;=0,"现金不足","允许评估")))</f>
        <v/>
      </c>
      <c r="AY14" s="84">
        <f>IF($A14="","",IF(B14&lt;30000,"婴儿阶段: 优先活下来,禁止单票失控,限制持仓数,服务3W目标","幼儿阶段达成"))</f>
        <v/>
      </c>
    </row>
    <row r="15" ht="15" customHeight="1" s="85">
      <c r="A15" s="119" t="n">
        <v>46233.73888888889</v>
      </c>
      <c r="B15" s="84" t="n">
        <v>21220.1</v>
      </c>
      <c r="C15" s="84" t="n">
        <v>13376.1</v>
      </c>
      <c r="D15" s="84">
        <f>IF($A15="","",SUMIFS(持仓表!$J:$J,持仓表!$A:$A,$A15))</f>
        <v/>
      </c>
      <c r="E15" s="84">
        <f>IFERROR(D15/B15,0)</f>
        <v/>
      </c>
      <c r="F15" s="84" t="n">
        <v>0</v>
      </c>
      <c r="G15" s="84">
        <f>IF($B15="","",MAX($B$2:B15))</f>
        <v/>
      </c>
      <c r="H15" s="84">
        <f>IFERROR((B15-$AA$2-SUM($F$2:F15))/($AA$2+SUM($F$2:F15)),0)</f>
        <v/>
      </c>
      <c r="I15" s="84">
        <f>IFERROR((B15-G15)/G15,0)</f>
        <v/>
      </c>
      <c r="J15" s="116" t="n"/>
      <c r="K15" s="84" t="n"/>
      <c r="N15" s="84">
        <f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5" s="118">
        <f>IF($B15="","",IF(B15&lt;30000,35%,IF(B15&lt;50000,30%,IF(B15&lt;100000,25%,20%))))</f>
        <v/>
      </c>
      <c r="P15" s="84">
        <f>IF($A15="","",COUNTIFS(持仓表!$A:$A,$A15,持仓表!$G:$G,"&gt;0"))</f>
        <v/>
      </c>
      <c r="Q15" s="84">
        <f>IF($A15="","",COUNTIFS(持仓表!$A:$A,$A15,持仓表!$D:$D,"是",持仓表!$G:$G,"&gt;0"))</f>
        <v/>
      </c>
      <c r="R15" s="84">
        <f>IF($A15="","",MAX(0,P15-Q15))</f>
        <v/>
      </c>
      <c r="S15" s="84">
        <f>IF($B15="","",IF(B15&lt;50000,3,IF(B15&lt;100000,4,5)))</f>
        <v/>
      </c>
      <c r="T15" s="84">
        <f>IF($A15="","",IF(OR(M15&gt;=4,I15&lt;=-8%),"防守",IF(OR(M15&gt;=2,I15&lt;=-5%),"警戒","正常")))</f>
        <v/>
      </c>
      <c r="U15" s="84">
        <f>IF($A15="","",IF(AND(L15&gt;=3,M15&lt;=2,T15&lt;&gt;"防守"),"是","否"))</f>
        <v/>
      </c>
      <c r="V15" s="84">
        <f>IF($A15="","",IF(AND(E15&lt;N15,R15&lt;S15,M15&lt;=2,I15&gt;-15%),"是","否"))</f>
        <v/>
      </c>
      <c r="W15" s="84">
        <f>IF($A15="","",IF(OR(M15&gt;=3,I15&lt;=-15%),"是","否"))</f>
        <v/>
      </c>
      <c r="X15" s="84">
        <f>IF($A15="","",IFERROR(maxifs(候选池!$AB:$AB,候选池!$A:$A,$A15),0))</f>
        <v/>
      </c>
      <c r="Y15" s="84">
        <f>IF($A15="","",IF(OR(M15&gt;=4,I15&lt;=-8%),MAX(0,B15*60%-C15),IF(AND(ISNUMBER(AD15),B15&gt;AD15),IF(B15&lt;30000,0,IF(B15&lt;100000,MAX(0,(B15-AD15)*0.2),MAX(0,(B15-AD15)*0.3))),0)))</f>
        <v/>
      </c>
      <c r="AB15" s="84">
        <f>IF($A15="","",IF(B15&lt;30000,0.03,IF(B15&lt;100000,0.02,0.015)))</f>
        <v/>
      </c>
      <c r="AC15" s="84">
        <f>IF($A15="","",IFERROR(DATEDIF($A$2,$A15,"m"),0))</f>
        <v/>
      </c>
      <c r="AD15" s="84">
        <f>IF($A15="","",IF(OR(AA15="",AB15="",AC15=""),"",AA15*POWER(1+AB15,AC15)))</f>
        <v/>
      </c>
      <c r="AE15" s="84">
        <f>IF($A15="","",IF(OR(AD15="",AD15=0),"",B15/AD15-1))</f>
        <v/>
      </c>
      <c r="AG15" s="84">
        <f>IF($A15="","",IF(B15&lt;30000,"婴儿",IF(B15&lt;100000,"成长","成熟")))</f>
        <v/>
      </c>
      <c r="AP15" s="116" t="n"/>
      <c r="AQ15" s="84">
        <f>IF($A15="","",B15-$AA$2-SUM($F$2:F15))</f>
        <v/>
      </c>
      <c r="AR15" s="84">
        <f>IF($A15="","",30000)</f>
        <v/>
      </c>
      <c r="AS15" s="84">
        <f>IF($A15="","",AR15-B15)</f>
        <v/>
      </c>
      <c r="AT15" s="84">
        <f>IF($A15="","",IFERROR(B15/AR15,0))</f>
        <v/>
      </c>
      <c r="AU15" s="84">
        <f>IF($A15="","",IFERROR(B15*O15,0))</f>
        <v/>
      </c>
      <c r="AV15" s="84">
        <f>IF($A15="","",IFERROR(C15/B15,0))</f>
        <v/>
      </c>
      <c r="AW15" s="84">
        <f>IF($A15="","",MAX(0,R15-S15))</f>
        <v/>
      </c>
      <c r="AX15" s="84">
        <f>IF($A15="","",IF(AW15&gt;0,"优先降持仓数",IF(C15&lt;=0,"现金不足","允许评估")))</f>
        <v/>
      </c>
      <c r="AY15" s="84">
        <f>IF($A15="","",IF(B15&lt;30000,"婴儿阶段: 优先活下来,禁止单票失控,限制持仓数,服务3W目标","幼儿阶段达成"))</f>
        <v/>
      </c>
    </row>
    <row r="16" ht="15" customHeight="1" s="85">
      <c r="A16" s="84" t="inlineStr">
        <is>
          <t>2026-08-03</t>
        </is>
      </c>
      <c r="B16" s="84" t="n">
        <v>21654.67</v>
      </c>
      <c r="C16" s="84" t="n">
        <v>9678.67</v>
      </c>
      <c r="D16" s="84">
        <f>IF($A16="","",SUMIFS(持仓表!$J:$J,持仓表!$A:$A,$A16))</f>
        <v/>
      </c>
      <c r="E16" s="84">
        <f>IFERROR(D16/B16,0)</f>
        <v/>
      </c>
      <c r="G16" s="84">
        <f>IF($B16="","",MAX($B$2:B16))</f>
        <v/>
      </c>
      <c r="H16" s="84">
        <f>IFERROR((B16-$AA$2-SUM($F$2:F16))/($AA$2+SUM($F$2:F16)),0)</f>
        <v/>
      </c>
      <c r="I16" s="84">
        <f>IFERROR((B16-G16)/G16,0)</f>
        <v/>
      </c>
      <c r="J16" s="116" t="n"/>
      <c r="K16" s="84" t="n"/>
      <c r="N16" s="84">
        <f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6" s="118">
        <f>IF($B16="","",IF(B16&lt;30000,35%,IF(B16&lt;50000,30%,IF(B16&lt;100000,25%,20%))))</f>
        <v/>
      </c>
      <c r="P16" s="84">
        <f>IF($A16="","",COUNTIFS(持仓表!$A:$A,$A16,持仓表!$G:$G,"&gt;0"))</f>
        <v/>
      </c>
      <c r="Q16" s="84">
        <f>IF($A16="","",COUNTIFS(持仓表!$A:$A,$A16,持仓表!$D:$D,"是",持仓表!$G:$G,"&gt;0"))</f>
        <v/>
      </c>
      <c r="R16" s="84">
        <f>IF($A16="","",MAX(0,P16-Q16))</f>
        <v/>
      </c>
      <c r="S16" s="84">
        <f>IF($B16="","",IF(B16&lt;50000,3,IF(B16&lt;100000,4,5)))</f>
        <v/>
      </c>
      <c r="T16" s="84">
        <f>IF($A16="","",IF(OR(M16&gt;=4,I16&lt;=-8%),"防守",IF(OR(M16&gt;=2,I16&lt;=-5%),"警戒","正常")))</f>
        <v/>
      </c>
      <c r="U16" s="84">
        <f>IF($A16="","",IF(AND(L16&gt;=3,M16&lt;=2,T16&lt;&gt;"防守"),"是","否"))</f>
        <v/>
      </c>
      <c r="V16" s="84">
        <f>IF($A16="","",IF(AND(E16&lt;N16,R16&lt;S16,M16&lt;=2,I16&gt;-15%),"是","否"))</f>
        <v/>
      </c>
      <c r="W16" s="84">
        <f>IF($A16="","",IF(OR(M16&gt;=3,I16&lt;=-15%),"是","否"))</f>
        <v/>
      </c>
      <c r="X16" s="84">
        <f>IF($A16="","",IFERROR(maxifs(候选池!$AB:$AB,候选池!$A:$A,$A16),0))</f>
        <v/>
      </c>
      <c r="Y16" s="84">
        <f>IF($A16="","",IF(OR(M16&gt;=4,I16&lt;=-8%),MAX(0,B16*60%-C16),IF(AND(ISNUMBER(AD16),B16&gt;AD16),IF(B16&lt;30000,0,IF(B16&lt;100000,MAX(0,(B16-AD16)*0.2),MAX(0,(B16-AD16)*0.3))),0)))</f>
        <v/>
      </c>
      <c r="AB16" s="84">
        <f>IF($A16="","",IF(B16&lt;30000,0.03,IF(B16&lt;100000,0.02,0.015)))</f>
        <v/>
      </c>
      <c r="AC16" s="84">
        <f>IF($A16="","",IFERROR(DATEDIF($A$2,$A16,"m"),0))</f>
        <v/>
      </c>
      <c r="AD16" s="84">
        <f>IF($A16="","",IF(OR(AA16="",AB16="",AC16=""),"",AA16*POWER(1+AB16,AC16)))</f>
        <v/>
      </c>
      <c r="AE16" s="84">
        <f>IF($A16="","",IF(OR(AD16="",AD16=0),"",B16/AD16-1))</f>
        <v/>
      </c>
      <c r="AG16" s="84">
        <f>IF($A16="","",IF(B16&lt;30000,"婴儿",IF(B16&lt;100000,"成长","成熟")))</f>
        <v/>
      </c>
      <c r="AP16" s="116" t="n"/>
      <c r="AQ16" s="84">
        <f>IF($A16="","",B16-$AA$2-SUM($F$2:F16))</f>
        <v/>
      </c>
      <c r="AR16" s="84">
        <f>IF($A16="","",30000)</f>
        <v/>
      </c>
      <c r="AS16" s="84">
        <f>IF($A16="","",AR16-B16)</f>
        <v/>
      </c>
      <c r="AT16" s="84">
        <f>IF($A16="","",IFERROR(B16/AR16,0))</f>
        <v/>
      </c>
      <c r="AU16" s="84">
        <f>IF($A16="","",IFERROR(B16*O16,0))</f>
        <v/>
      </c>
      <c r="AV16" s="84">
        <f>IF($A16="","",IFERROR(C16/B16,0))</f>
        <v/>
      </c>
      <c r="AW16" s="84">
        <f>IF($A16="","",MAX(0,R16-S16))</f>
        <v/>
      </c>
      <c r="AX16" s="84">
        <f>IF($A16="","",IF(AW16&gt;0,"优先降持仓数",IF(C16&lt;=0,"现金不足","允许评估")))</f>
        <v/>
      </c>
      <c r="AY16" s="84">
        <f>IF($A16="","",IF(B16&lt;30000,"婴儿阶段: 优先活下来,禁止单票失控,限制持仓数,服务3W目标","幼儿阶段达成"))</f>
        <v/>
      </c>
    </row>
    <row r="17" ht="15" customHeight="1" s="85">
      <c r="A17" s="84" t="inlineStr">
        <is>
          <t>2026-08-05</t>
        </is>
      </c>
      <c r="B17" s="84" t="n">
        <v>21984.98</v>
      </c>
      <c r="C17" s="84" t="n">
        <v>11347.98</v>
      </c>
      <c r="D17" s="84">
        <f>IF($A17="","",SUMIFS(持仓表!$J:$J,持仓表!$A:$A,$A17))</f>
        <v/>
      </c>
      <c r="E17" s="84">
        <f>IFERROR(D17/B17,0)</f>
        <v/>
      </c>
      <c r="F17" s="84" t="n">
        <v>0</v>
      </c>
      <c r="G17" s="84">
        <f>IF($B17="","",MAX($B$2:B17))</f>
        <v/>
      </c>
      <c r="H17" s="84">
        <f>IFERROR((B17-$AA$2-SUM($F$2:F17))/($AA$2+SUM($F$2:F17)),0)</f>
        <v/>
      </c>
      <c r="I17" s="84">
        <f>IFERROR((B17-G17)/G17,0)</f>
        <v/>
      </c>
      <c r="K17" s="84" t="n"/>
      <c r="N17" s="84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7" s="118">
        <f>IF($B17="","",IF(B17&lt;30000,35%,IF(B17&lt;50000,30%,IF(B17&lt;100000,25%,20%))))</f>
        <v/>
      </c>
      <c r="P17" s="84">
        <f>IF($A17="","",COUNTIFS(持仓表!$A:$A,$A17,持仓表!$G:$G,"&gt;0"))</f>
        <v/>
      </c>
      <c r="Q17" s="84">
        <f>IF($A17="","",COUNTIFS(持仓表!$A:$A,$A17,持仓表!$D:$D,"是",持仓表!$G:$G,"&gt;0"))</f>
        <v/>
      </c>
      <c r="R17" s="84">
        <f>IF($A17="","",MAX(0,P17-Q17))</f>
        <v/>
      </c>
      <c r="S17" s="84">
        <f>IF($B17="","",IF(B17&lt;50000,3,IF(B17&lt;100000,4,5)))</f>
        <v/>
      </c>
      <c r="T17" s="84">
        <f>IF($A17="","",IF(OR(M17&gt;=4,I17&lt;=-8%),"防守",IF(OR(M17&gt;=2,I17&lt;=-5%),"警戒","正常")))</f>
        <v/>
      </c>
      <c r="U17" s="84">
        <f>IF($A17="","",IF(AND(L17&gt;=3,M17&lt;=2,T17&lt;&gt;"防守"),"是","否"))</f>
        <v/>
      </c>
      <c r="V17" s="84">
        <f>IF($A17="","",IF(AND(E17&lt;N17,R17&lt;S17,M17&lt;=2,I17&gt;-15%),"是","否"))</f>
        <v/>
      </c>
      <c r="W17" s="84">
        <f>IF($A17="","",IF(OR(M17&gt;=3,I17&lt;=-15%),"是","否"))</f>
        <v/>
      </c>
      <c r="X17" s="84">
        <f>IF($A17="","",IFERROR(maxifs(候选池!$AB:$AB,候选池!$A:$A,$A17),0))</f>
        <v/>
      </c>
      <c r="Y17" s="84">
        <f>IF($A17="","",IF(OR(M17&gt;=4,I17&lt;=-8%),MAX(0,B17*60%-C17),IF(AND(ISNUMBER(AD17),B17&gt;AD17),IF(B17&lt;30000,0,IF(B17&lt;100000,MAX(0,(B17-AD17)*0.2),MAX(0,(B17-AD17)*0.3))),0)))</f>
        <v/>
      </c>
      <c r="AB17" s="84">
        <f>IF($A17="","",IF(B17&lt;30000,0.03,IF(B17&lt;100000,0.02,0.015)))</f>
        <v/>
      </c>
      <c r="AC17" s="84">
        <f>IF($A17="","",IFERROR(DATEDIF($A$2,$A17,"m"),0))</f>
        <v/>
      </c>
      <c r="AD17" s="84">
        <f>IF($A17="","",IF(OR(AA17="",AB17="",AC17=""),"",AA17*POWER(1+AB17,AC17)))</f>
        <v/>
      </c>
      <c r="AE17" s="84">
        <f>IF($A17="","",IF(OR(AD17="",AD17=0),"",B17/AD17-1))</f>
        <v/>
      </c>
      <c r="AG17" s="84">
        <f>IF($A17="","",IF(B17&lt;30000,"婴儿",IF(B17&lt;100000,"成长","成熟")))</f>
        <v/>
      </c>
      <c r="AQ17" s="84">
        <f>IF($A17="","",B17-$AA$2-SUM($F$2:F17))</f>
        <v/>
      </c>
      <c r="AR17" s="84">
        <f>IF($A17="","",30000)</f>
        <v/>
      </c>
      <c r="AS17" s="84">
        <f>IF($A17="","",AR17-B17)</f>
        <v/>
      </c>
      <c r="AT17" s="84">
        <f>IF($A17="","",IFERROR(B17/AR17,0))</f>
        <v/>
      </c>
      <c r="AU17" s="84">
        <f>IF($A17="","",IFERROR(B17*O17,0))</f>
        <v/>
      </c>
      <c r="AV17" s="84">
        <f>IF($A17="","",IFERROR(C17/B17,0))</f>
        <v/>
      </c>
      <c r="AW17" s="84">
        <f>IF($A17="","",MAX(0,R17-S17))</f>
        <v/>
      </c>
      <c r="AX17" s="84">
        <f>IF($A17="","",IF(AW17&gt;0,"优先降持仓数",IF(C17&lt;=0,"现金不足","允许评估")))</f>
        <v/>
      </c>
      <c r="AY17" s="84">
        <f>IF($A17="","",IF(B17&lt;30000,"婴儿阶段: 优先活下来,禁止单票失控,限制持仓数,服务3W目标","幼儿阶段达成"))</f>
        <v/>
      </c>
    </row>
    <row r="18" ht="15" customHeight="1" s="85">
      <c r="A18" s="119" t="n">
        <v>46241.84375</v>
      </c>
      <c r="B18" s="84" t="n">
        <v>21893.32</v>
      </c>
      <c r="C18" s="84" t="n">
        <v>12746.42</v>
      </c>
      <c r="D18" s="84" t="n">
        <v>5482</v>
      </c>
      <c r="E18" s="84" t="n">
        <v>0.25</v>
      </c>
      <c r="F18" s="84" t="n">
        <v>0</v>
      </c>
      <c r="G18" s="84" t="n">
        <v>23988.42</v>
      </c>
      <c r="J18" s="116" t="inlineStr">
        <is>
          <t>中性偏弱</t>
        </is>
      </c>
      <c r="K18" s="84" t="n"/>
    </row>
    <row r="19" ht="15" customHeight="1" s="85">
      <c r="A19" s="84" t="inlineStr">
        <is>
          <t>2026-08-08</t>
        </is>
      </c>
      <c r="B19" s="84" t="n">
        <v>18228.42</v>
      </c>
      <c r="C19" s="84" t="n">
        <v>12746.42</v>
      </c>
      <c r="F19" s="84" t="n">
        <v>0</v>
      </c>
      <c r="J19" s="84" t="inlineStr">
        <is>
          <t>中性偏弱</t>
        </is>
      </c>
    </row>
    <row r="20" ht="15" customHeight="1" s="85"/>
    <row r="21" ht="15" customHeight="1" s="85"/>
    <row r="22" ht="15" customHeight="1" s="85"/>
    <row r="23" ht="15" customHeight="1" s="85"/>
    <row r="24" ht="15" customHeight="1" s="85"/>
    <row r="25" ht="15" customHeight="1" s="85"/>
    <row r="26" ht="15" customHeight="1" s="85"/>
    <row r="27" ht="15" customHeight="1" s="85"/>
    <row r="28" ht="15" customHeight="1" s="85"/>
    <row r="29" ht="15" customHeight="1" s="85"/>
    <row r="30" ht="1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8" text="" percent="0" bottom="0">
      <formula>AND($AE2&gt;=0.5,$AG2="婴儿")</formula>
    </cfRule>
    <cfRule type="expression" rank="0" priority="3" equalAverage="0" aboveAverage="0" dxfId="14" text="" percent="0" bottom="0">
      <formula>AND($AE2&gt;=0.3,$AE2&lt;0.5,$AG2="婴儿")</formula>
    </cfRule>
    <cfRule type="expression" rank="0" priority="4" equalAverage="0" aboveAverage="0" dxfId="15" text="" percent="0" bottom="0">
      <formula>AND($AE2&gt;=0,$AE2&lt;0.3,$AG2="婴儿")</formula>
    </cfRule>
    <cfRule type="expression" rank="0" priority="5" equalAverage="0" aboveAverage="0" dxfId="9" text="" percent="0" bottom="0">
      <formula>AND($AE2&lt;0,$AG2="婴儿")</formula>
    </cfRule>
    <cfRule type="expression" rank="0" priority="6" equalAverage="0" aboveAverage="0" dxfId="8" text="" percent="0" bottom="0">
      <formula>AND($AE2&gt;=0.3,$AG2="成长")</formula>
    </cfRule>
    <cfRule type="expression" rank="0" priority="7" equalAverage="0" aboveAverage="0" dxfId="14" text="" percent="0" bottom="0">
      <formula>AND($AE2&gt;=0.15,$AE2&lt;0.3,$AG2="成长")</formula>
    </cfRule>
    <cfRule type="expression" rank="0" priority="8" equalAverage="0" aboveAverage="0" dxfId="15" text="" percent="0" bottom="0">
      <formula>AND($AE2&gt;=0,$AE2&lt;0.15,$AG2="成长")</formula>
    </cfRule>
    <cfRule type="expression" rank="0" priority="9" equalAverage="0" aboveAverage="0" dxfId="9" text="" percent="0" bottom="0">
      <formula>AND($AE2&lt;0,$AG2="成长")</formula>
    </cfRule>
    <cfRule type="expression" rank="0" priority="10" equalAverage="0" aboveAverage="0" dxfId="8" text="" percent="0" bottom="0">
      <formula>AND($AE2&gt;=0.1,$AG2="成熟")</formula>
    </cfRule>
    <cfRule type="expression" rank="0" priority="11" equalAverage="0" aboveAverage="0" dxfId="14" text="" percent="0" bottom="0">
      <formula>AND($AE2&gt;=0.05,$AE2&lt;0.1,$AG2="成熟")</formula>
    </cfRule>
    <cfRule type="expression" rank="0" priority="12" equalAverage="0" aboveAverage="0" dxfId="15" text="" percent="0" bottom="0">
      <formula>AND($AE2&gt;=0,$AE2&lt;0.05,$AG2="成熟")</formula>
    </cfRule>
    <cfRule type="expression" rank="0" priority="13" equalAverage="0" aboveAverage="0" dxfId="9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84" min="1" max="1"/>
    <col width="12" customWidth="1" style="84" min="2" max="4"/>
    <col width="14" customWidth="1" style="84" min="5" max="5"/>
    <col width="13" customWidth="1" style="84" min="6" max="6"/>
    <col width="12" customWidth="1" style="84" min="7" max="7"/>
    <col width="14" customWidth="1" style="84" min="8" max="12"/>
    <col width="12" customWidth="1" style="84" min="13" max="13"/>
    <col width="13" customWidth="1" style="84" min="14" max="14"/>
    <col width="12" customWidth="1" style="84" min="15" max="15"/>
    <col width="14" customWidth="1" style="84" min="16" max="16"/>
    <col width="12" customWidth="1" style="84" min="17" max="17"/>
    <col width="13" customWidth="1" style="84" min="18" max="18"/>
    <col width="12" customWidth="1" style="84" min="19" max="24"/>
    <col width="13" customWidth="1" style="84" min="25" max="25"/>
    <col width="12" customWidth="1" style="84" min="26" max="28"/>
    <col width="14" customWidth="1" style="84" min="29" max="34"/>
  </cols>
  <sheetData>
    <row r="1" ht="15" customHeight="1" s="85">
      <c r="A1" s="86" t="inlineStr">
        <is>
          <t>日期</t>
        </is>
      </c>
      <c r="B1" s="86" t="inlineStr">
        <is>
          <t>股票名称</t>
        </is>
      </c>
      <c r="C1" s="86" t="inlineStr">
        <is>
          <t>代码</t>
        </is>
      </c>
      <c r="D1" s="86" t="inlineStr">
        <is>
          <t>是否WAIVED</t>
        </is>
      </c>
      <c r="E1" s="111" t="inlineStr">
        <is>
          <t>WAIVED基准价</t>
        </is>
      </c>
      <c r="F1" s="86" t="inlineStr">
        <is>
          <t>买入日期</t>
        </is>
      </c>
      <c r="G1" s="86" t="inlineStr">
        <is>
          <t>持股数量 Shares</t>
        </is>
      </c>
      <c r="H1" s="86" t="inlineStr">
        <is>
          <t>持仓均价 EntryPrice</t>
        </is>
      </c>
      <c r="I1" s="86" t="inlineStr">
        <is>
          <t>当前价 Close</t>
        </is>
      </c>
      <c r="J1" s="86" t="inlineStr">
        <is>
          <t>持仓市值</t>
        </is>
      </c>
      <c r="K1" s="86" t="inlineStr">
        <is>
          <t>成本金额</t>
        </is>
      </c>
      <c r="L1" s="86" t="inlineStr">
        <is>
          <t>浮盈亏金额</t>
        </is>
      </c>
      <c r="M1" s="86" t="inlineStr">
        <is>
          <t>浮盈亏比 ProfitRatio</t>
        </is>
      </c>
      <c r="N1" s="86" t="inlineStr">
        <is>
          <t>持仓占比 PositionRatio</t>
        </is>
      </c>
      <c r="O1" s="86" t="inlineStr">
        <is>
          <t>买点低点 BuyPointLow</t>
        </is>
      </c>
      <c r="P1" s="86" t="inlineStr">
        <is>
          <t>止损价 StopPrice</t>
        </is>
      </c>
      <c r="Q1" s="86" t="inlineStr">
        <is>
          <t>是否破止损</t>
        </is>
      </c>
      <c r="R1" s="111" t="inlineStr">
        <is>
          <t>ratio</t>
        </is>
      </c>
      <c r="S1" s="111" t="inlineStr">
        <is>
          <t>DL_P</t>
        </is>
      </c>
      <c r="T1" s="111" t="inlineStr">
        <is>
          <t>valid</t>
        </is>
      </c>
      <c r="U1" s="111" t="inlineStr">
        <is>
          <t>SignalType</t>
        </is>
      </c>
      <c r="V1" s="111" t="inlineStr">
        <is>
          <t>SignalInvalid</t>
        </is>
      </c>
      <c r="W1" s="111" t="inlineStr">
        <is>
          <t>RiskWatch</t>
        </is>
      </c>
      <c r="X1" s="86" t="inlineStr">
        <is>
          <t>是否确认一卖</t>
        </is>
      </c>
      <c r="Y1" s="86" t="inlineStr">
        <is>
          <t>是否超单股上限</t>
        </is>
      </c>
      <c r="Z1" s="86" t="inlineStr">
        <is>
          <t>盈亏状态</t>
        </is>
      </c>
      <c r="AA1" s="117" t="inlineStr">
        <is>
          <t>单股上限金额</t>
        </is>
      </c>
      <c r="AB1" s="117" t="inlineStr">
        <is>
          <t>单股剩余额度</t>
        </is>
      </c>
      <c r="AC1" s="117" t="inlineStr">
        <is>
          <t>可加仓股数</t>
        </is>
      </c>
      <c r="AD1" s="117" t="inlineStr">
        <is>
          <t>是否超单股上限</t>
        </is>
      </c>
      <c r="AE1" s="117" t="inlineStr">
        <is>
          <t>距止损幅度</t>
        </is>
      </c>
      <c r="AF1" s="117" t="inlineStr">
        <is>
          <t>当前风险金额</t>
        </is>
      </c>
      <c r="AG1" s="117" t="inlineStr">
        <is>
          <t>候选池核心</t>
        </is>
      </c>
      <c r="AH1" s="117" t="inlineStr">
        <is>
          <t>加仓资格</t>
        </is>
      </c>
      <c r="AI1" s="120" t="inlineStr">
        <is>
          <t>T+1锁定</t>
        </is>
      </c>
    </row>
    <row r="2" ht="15" customHeight="1" s="85">
      <c r="A2" s="119" t="n">
        <v>46241</v>
      </c>
      <c r="B2" s="116" t="inlineStr">
        <is>
          <t>台华新材</t>
        </is>
      </c>
      <c r="C2" s="84" t="inlineStr">
        <is>
          <t>603055</t>
        </is>
      </c>
      <c r="D2" s="116" t="inlineStr">
        <is>
          <t>否</t>
        </is>
      </c>
      <c r="G2" s="84" t="n">
        <v>300</v>
      </c>
      <c r="H2" s="84" t="n">
        <v>8.387</v>
      </c>
      <c r="I2" s="84" t="n">
        <v>8.199999999999999</v>
      </c>
      <c r="J2" s="84" t="n">
        <v>2460</v>
      </c>
      <c r="K2" s="84" t="n">
        <v>2516.1</v>
      </c>
      <c r="L2" s="84" t="n">
        <v>-56.1</v>
      </c>
      <c r="M2" s="84" t="n">
        <v>-0.0223</v>
      </c>
      <c r="N2" s="84" t="n">
        <v>0.112363040415981</v>
      </c>
      <c r="O2" s="84" t="n">
        <v>-2.23</v>
      </c>
    </row>
    <row r="3" ht="15" customHeight="1" s="85">
      <c r="A3" s="119" t="n">
        <v>46241</v>
      </c>
      <c r="B3" s="116" t="inlineStr">
        <is>
          <t>沃华医药</t>
        </is>
      </c>
      <c r="C3" s="84" t="inlineStr">
        <is>
          <t>002107</t>
        </is>
      </c>
      <c r="D3" s="116" t="inlineStr">
        <is>
          <t>否</t>
        </is>
      </c>
      <c r="G3" s="84" t="n">
        <v>200</v>
      </c>
      <c r="H3" s="84" t="n">
        <v>5.818</v>
      </c>
      <c r="I3" s="84" t="n">
        <v>6.3</v>
      </c>
      <c r="J3" s="84" t="n">
        <v>1260</v>
      </c>
      <c r="K3" s="84" t="n">
        <v>1163.6</v>
      </c>
      <c r="L3" s="84" t="n">
        <v>96.40000000000001</v>
      </c>
      <c r="M3" s="84" t="n">
        <v>0.0828</v>
      </c>
      <c r="N3" s="84" t="n">
        <v>0.0575518011886731</v>
      </c>
      <c r="O3" s="84" t="n">
        <v>8.279999999999999</v>
      </c>
    </row>
    <row r="4" ht="15" customHeight="1" s="85">
      <c r="A4" s="119" t="n">
        <v>46241</v>
      </c>
      <c r="B4" s="116" t="inlineStr">
        <is>
          <t>贤丰控股</t>
        </is>
      </c>
      <c r="C4" s="84" t="inlineStr">
        <is>
          <t>002141</t>
        </is>
      </c>
      <c r="D4" s="116" t="inlineStr">
        <is>
          <t>否</t>
        </is>
      </c>
      <c r="G4" s="84" t="n">
        <v>200</v>
      </c>
      <c r="H4" s="84" t="n">
        <v>5.515</v>
      </c>
      <c r="I4" s="84" t="n">
        <v>6.11</v>
      </c>
      <c r="J4" s="84" t="n">
        <v>1222</v>
      </c>
      <c r="K4" s="84" t="n">
        <v>1103</v>
      </c>
      <c r="L4" s="84" t="n">
        <v>119</v>
      </c>
      <c r="M4" s="84" t="n">
        <v>0.1079</v>
      </c>
      <c r="N4" s="84" t="n">
        <v>0.055816111946475</v>
      </c>
      <c r="O4" s="84" t="n">
        <v>10.79</v>
      </c>
    </row>
    <row r="5" ht="15" customHeight="1" s="85">
      <c r="A5" s="119" t="n">
        <v>46241</v>
      </c>
      <c r="B5" s="116" t="inlineStr">
        <is>
          <t>东风股份</t>
        </is>
      </c>
      <c r="C5" s="84" t="inlineStr">
        <is>
          <t>600006</t>
        </is>
      </c>
      <c r="D5" s="116" t="inlineStr">
        <is>
          <t>是</t>
        </is>
      </c>
      <c r="E5" s="84" t="n">
        <v>5.24</v>
      </c>
      <c r="G5" s="84" t="n">
        <v>100</v>
      </c>
      <c r="H5" s="84" t="n">
        <v>8.711</v>
      </c>
      <c r="I5" s="84" t="n">
        <v>5.4</v>
      </c>
      <c r="J5" s="84" t="n">
        <v>540</v>
      </c>
      <c r="K5" s="84" t="n">
        <v>871.1</v>
      </c>
      <c r="L5" s="84" t="n">
        <v>-331.1</v>
      </c>
      <c r="M5" s="84" t="n">
        <v>-0.3801</v>
      </c>
      <c r="N5" s="84" t="n">
        <v>0.0246650576522885</v>
      </c>
      <c r="O5" s="84" t="n">
        <v>-38.01</v>
      </c>
    </row>
    <row r="6" ht="15" customHeight="1" s="85">
      <c r="A6" s="119" t="n">
        <v>46241</v>
      </c>
      <c r="B6" s="116" t="inlineStr">
        <is>
          <t>东方雨虹(已清仓)</t>
        </is>
      </c>
      <c r="C6" s="84" t="inlineStr">
        <is>
          <t>002271</t>
        </is>
      </c>
      <c r="D6" s="116" t="inlineStr">
        <is>
          <t>否</t>
        </is>
      </c>
      <c r="G6" s="84" t="n">
        <v>0</v>
      </c>
      <c r="H6" s="84" t="n">
        <v>11.807</v>
      </c>
      <c r="I6" s="84" t="n">
        <v>11.61</v>
      </c>
      <c r="J6" s="84" t="n">
        <v>0</v>
      </c>
      <c r="K6" s="84" t="n">
        <v>0</v>
      </c>
      <c r="L6" s="84" t="n">
        <v>-23.7</v>
      </c>
      <c r="M6" s="84" t="n">
        <v>-0.0201</v>
      </c>
      <c r="N6" s="84" t="n">
        <v>0</v>
      </c>
      <c r="O6" s="84" t="n">
        <v>-2.01</v>
      </c>
    </row>
    <row r="7" ht="15" customHeight="1" s="85">
      <c r="A7" s="119" t="n">
        <v>46241</v>
      </c>
      <c r="B7" s="116" t="inlineStr">
        <is>
          <t>皇氏集团(已清仓)</t>
        </is>
      </c>
      <c r="C7" s="84" t="inlineStr">
        <is>
          <t>002329</t>
        </is>
      </c>
      <c r="D7" s="116" t="inlineStr">
        <is>
          <t>否</t>
        </is>
      </c>
      <c r="G7" s="84" t="n">
        <v>0</v>
      </c>
      <c r="H7" s="84" t="n">
        <v>2.903</v>
      </c>
      <c r="I7" s="84" t="n">
        <v>3.15</v>
      </c>
      <c r="J7" s="84" t="n">
        <v>0</v>
      </c>
      <c r="K7" s="84" t="n">
        <v>0</v>
      </c>
      <c r="L7" s="84" t="n">
        <v>189.67</v>
      </c>
      <c r="M7" s="84" t="n">
        <v>0.08160000000000001</v>
      </c>
      <c r="N7" s="84" t="n">
        <v>0</v>
      </c>
      <c r="O7" s="84" t="n">
        <v>8.16</v>
      </c>
    </row>
    <row r="8" ht="15" customHeight="1" s="85"/>
    <row r="9" ht="15" customHeight="1" s="85"/>
    <row r="10" ht="15" customHeight="1" s="85"/>
    <row r="11" ht="15" customHeight="1" s="85"/>
    <row r="12" ht="15" customHeight="1" s="85"/>
    <row r="13" ht="15" customHeight="1" s="85"/>
    <row r="14" ht="15" customHeight="1" s="85"/>
    <row r="15" ht="15" customHeight="1" s="85"/>
    <row r="16" ht="15" customHeight="1" s="85"/>
    <row r="17" ht="15" customHeight="1" s="85"/>
    <row r="18" ht="15" customHeight="1" s="85"/>
    <row r="19" ht="15" customHeight="1" s="85"/>
    <row r="20" ht="15" customHeight="1" s="85"/>
    <row r="21" ht="15" customHeight="1" s="85"/>
    <row r="22" ht="15" customHeight="1" s="85"/>
    <row r="23" ht="15" customHeight="1" s="85"/>
    <row r="24" ht="15" customHeight="1" s="85"/>
    <row r="25" ht="15" customHeight="1" s="85"/>
    <row r="26" ht="15" customHeight="1" s="85"/>
    <row r="27" ht="15" customHeight="1" s="85"/>
    <row r="28" ht="15" customHeight="1" s="85"/>
    <row r="29" ht="15" customHeight="1" s="85"/>
    <row r="30" ht="1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  <row r="202" ht="15" customHeight="1" s="85"/>
    <row r="203" ht="15" customHeight="1" s="85"/>
    <row r="204" ht="15" customHeight="1" s="85"/>
    <row r="205" ht="15" customHeight="1" s="85"/>
    <row r="206" ht="15" customHeight="1" s="85"/>
    <row r="207" ht="15" customHeight="1" s="85"/>
    <row r="208" ht="15" customHeight="1" s="85"/>
    <row r="209" ht="15" customHeight="1" s="85"/>
    <row r="210" ht="15" customHeight="1" s="85"/>
    <row r="211" ht="15" customHeight="1" s="85"/>
    <row r="212" ht="15" customHeight="1" s="85"/>
    <row r="213" ht="15" customHeight="1" s="85"/>
    <row r="214" ht="15" customHeight="1" s="85"/>
    <row r="215" ht="15" customHeight="1" s="85"/>
    <row r="216" ht="15" customHeight="1" s="85"/>
    <row r="217" ht="15" customHeight="1" s="85"/>
    <row r="218" ht="15" customHeight="1" s="85"/>
    <row r="219" ht="15" customHeight="1" s="85"/>
    <row r="220" ht="15" customHeight="1" s="85"/>
    <row r="221" ht="15" customHeight="1" s="85"/>
    <row r="222" ht="15" customHeight="1" s="85"/>
    <row r="223" ht="15" customHeight="1" s="85"/>
    <row r="224" ht="15" customHeight="1" s="85"/>
    <row r="225" ht="15" customHeight="1" s="85"/>
    <row r="226" ht="15" customHeight="1" s="85"/>
    <row r="227" ht="15" customHeight="1" s="85"/>
    <row r="228" ht="15" customHeight="1" s="85"/>
    <row r="229" ht="15" customHeight="1" s="85"/>
    <row r="230" ht="15" customHeight="1" s="85"/>
    <row r="231" ht="15" customHeight="1" s="85"/>
    <row r="232" ht="15" customHeight="1" s="85"/>
    <row r="233" ht="15" customHeight="1" s="85"/>
    <row r="234" ht="15" customHeight="1" s="85"/>
    <row r="235" ht="15" customHeight="1" s="85"/>
    <row r="236" ht="15" customHeight="1" s="85"/>
    <row r="237" ht="15" customHeight="1" s="85"/>
    <row r="238" ht="15" customHeight="1" s="85"/>
    <row r="239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9" text="" percent="0" bottom="0">
      <formula>Q2="是"</formula>
    </cfRule>
  </conditionalFormatting>
  <conditionalFormatting sqref="V2:V201">
    <cfRule type="expression" rank="0" priority="3" equalAverage="0" aboveAverage="0" dxfId="9" text="" percent="0" bottom="0">
      <formula>V2="是"</formula>
    </cfRule>
  </conditionalFormatting>
  <conditionalFormatting sqref="X2:X201">
    <cfRule type="expression" rank="0" priority="4" equalAverage="0" aboveAverage="0" dxfId="9" text="" percent="0" bottom="0">
      <formula>X2="是"</formula>
    </cfRule>
  </conditionalFormatting>
  <conditionalFormatting sqref="Y2:Y201">
    <cfRule type="expression" rank="0" priority="5" equalAverage="0" aboveAverage="0" dxfId="9" text="" percent="0" bottom="0">
      <formula>Y2="是"</formula>
    </cfRule>
  </conditionalFormatting>
  <conditionalFormatting sqref="W2:W201">
    <cfRule type="expression" rank="0" priority="6" equalAverage="0" aboveAverage="0" dxfId="9" text="" percent="0" bottom="0">
      <formula>W2="是"</formula>
    </cfRule>
  </conditionalFormatting>
  <conditionalFormatting sqref="AB2:AB201">
    <cfRule type="expression" rank="0" priority="7" equalAverage="0" aboveAverage="0" dxfId="8" text="" percent="0" bottom="0">
      <formula>AB2="正常"</formula>
    </cfRule>
    <cfRule type="expression" rank="0" priority="8" equalAverage="0" aboveAverage="0" dxfId="15" text="" percent="0" bottom="0">
      <formula>AB2="警戒"</formula>
    </cfRule>
    <cfRule type="expression" rank="0" priority="9" equalAverage="0" aboveAverage="0" dxfId="9" text="" percent="0" bottom="0">
      <formula>AB2="防守"</formula>
    </cfRule>
    <cfRule type="expression" rank="0" priority="10" equalAverage="0" aboveAverage="0" dxfId="9" text="" percent="0" bottom="0">
      <formula>AB2="立即卖出"</formula>
    </cfRule>
    <cfRule type="expression" rank="0" priority="11" equalAverage="0" aboveAverage="0" dxfId="9" text="" percent="0" bottom="0">
      <formula>AB2="次日卖出"</formula>
    </cfRule>
    <cfRule type="expression" rank="0" priority="12" equalAverage="0" aboveAverage="0" dxfId="15" text="" percent="0" bottom="0">
      <formula>AB2="观察"</formula>
    </cfRule>
  </conditionalFormatting>
  <conditionalFormatting sqref="M2:M201">
    <cfRule type="cellIs" rank="0" priority="13" equalAverage="0" operator="lessThan" aboveAverage="0" dxfId="9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U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84" min="1" max="1"/>
    <col width="12" customWidth="1" style="84" min="2" max="3"/>
    <col width="14" customWidth="1" style="84" min="4" max="5"/>
    <col width="12" customWidth="1" style="84" min="6" max="6"/>
    <col width="13" customWidth="1" style="84" min="7" max="7"/>
    <col width="12" customWidth="1" style="84" min="8" max="12"/>
    <col width="14" customWidth="1" style="84" min="13" max="13"/>
    <col width="13" customWidth="1" style="84" min="14" max="14"/>
    <col width="14" customWidth="1" style="84" min="15" max="15"/>
    <col width="12" customWidth="1" style="84" min="16" max="19"/>
    <col width="14" customWidth="1" style="84" min="20" max="20"/>
    <col width="13" customWidth="1" style="84" min="21" max="23"/>
    <col width="14" customWidth="1" style="84" min="24" max="24"/>
    <col width="26" customWidth="1" style="84" min="25" max="25"/>
    <col width="12" customWidth="1" style="84" min="26" max="26"/>
    <col width="14" customWidth="1" style="84" min="27" max="28"/>
    <col width="12" customWidth="1" style="84" min="29" max="29"/>
    <col width="26" customWidth="1" style="84" min="30" max="31"/>
    <col width="14" customWidth="1" style="84" min="32" max="47"/>
  </cols>
  <sheetData>
    <row r="1" ht="15" customHeight="1" s="85">
      <c r="A1" s="86" t="inlineStr">
        <is>
          <t>日期</t>
        </is>
      </c>
      <c r="B1" s="86" t="inlineStr">
        <is>
          <t>股票名称</t>
        </is>
      </c>
      <c r="C1" s="86" t="inlineStr">
        <is>
          <t>代码</t>
        </is>
      </c>
      <c r="D1" s="86" t="inlineStr">
        <is>
          <t>当前价 Price</t>
        </is>
      </c>
      <c r="E1" s="86" t="inlineStr">
        <is>
          <t>信号价 SignalPrice</t>
        </is>
      </c>
      <c r="F1" s="86" t="inlineStr">
        <is>
          <t>买点低点 BuyPointLow</t>
        </is>
      </c>
      <c r="G1" s="111" t="inlineStr">
        <is>
          <t>ratio</t>
        </is>
      </c>
      <c r="H1" s="111" t="inlineStr">
        <is>
          <t>DL_P</t>
        </is>
      </c>
      <c r="I1" s="111" t="inlineStr">
        <is>
          <t>valid</t>
        </is>
      </c>
      <c r="J1" s="111" t="inlineStr">
        <is>
          <t>SignalType</t>
        </is>
      </c>
      <c r="K1" s="121" t="inlineStr">
        <is>
          <t>分层Tier</t>
        </is>
      </c>
      <c r="L1" s="86" t="inlineStr">
        <is>
          <t>是否确认信号 ConfirmedSignal</t>
        </is>
      </c>
      <c r="M1" s="86" t="inlineStr">
        <is>
          <t>是否未追价 NotChasing</t>
        </is>
      </c>
      <c r="N1" s="86" t="inlineStr">
        <is>
          <t>单股上限 SingleStockCap</t>
        </is>
      </c>
      <c r="O1" s="86" t="inlineStr">
        <is>
          <t>最大持仓金额 MaxPositionValue</t>
        </is>
      </c>
      <c r="P1" s="86" t="inlineStr">
        <is>
          <t>理论最大股数 RawShares</t>
        </is>
      </c>
      <c r="Q1" s="86" t="inlineStr">
        <is>
          <t>最大可买股数 MaxShares</t>
        </is>
      </c>
      <c r="R1" s="86" t="inlineStr">
        <is>
          <t>最小可买股数 MinShares</t>
        </is>
      </c>
      <c r="S1" s="86" t="inlineStr">
        <is>
          <t>计划买入股数 BuyShares</t>
        </is>
      </c>
      <c r="T1" s="86" t="inlineStr">
        <is>
          <t>计划买入金额</t>
        </is>
      </c>
      <c r="U1" s="86" t="inlineStr">
        <is>
          <t>新增仓位占比</t>
        </is>
      </c>
      <c r="V1" s="86" t="inlineStr">
        <is>
          <t>买入后总仓位</t>
        </is>
      </c>
      <c r="W1" s="86" t="inlineStr">
        <is>
          <t>是否满足总仓位上限</t>
        </is>
      </c>
      <c r="X1" s="86" t="inlineStr">
        <is>
          <t>止损价 StopPrice</t>
        </is>
      </c>
      <c r="Y1" s="86" t="inlineStr">
        <is>
          <t>失效条件 InvalidationCondition</t>
        </is>
      </c>
      <c r="Z1" s="86" t="inlineStr">
        <is>
          <t>是否需要转入</t>
        </is>
      </c>
      <c r="AA1" s="86" t="inlineStr">
        <is>
          <t>最低转入金额</t>
        </is>
      </c>
      <c r="AB1" s="86" t="inlineStr">
        <is>
          <t>建议转入金额</t>
        </is>
      </c>
      <c r="AC1" s="86" t="inlineStr">
        <is>
          <t>最终是否可买 Buy</t>
        </is>
      </c>
      <c r="AD1" s="86" t="inlineStr">
        <is>
          <t>不可买原因</t>
        </is>
      </c>
      <c r="AE1" s="86" t="inlineStr">
        <is>
          <t>备注</t>
        </is>
      </c>
      <c r="AF1" s="122" t="inlineStr">
        <is>
          <t>1手所需资金</t>
        </is>
      </c>
      <c r="AG1" s="122" t="inlineStr">
        <is>
          <t>1手/总资产比</t>
        </is>
      </c>
      <c r="AH1" s="117" t="inlineStr">
        <is>
          <t>单股上限金额</t>
        </is>
      </c>
      <c r="AI1" s="122" t="inlineStr">
        <is>
          <t>1手超单股上限</t>
        </is>
      </c>
      <c r="AJ1" s="117" t="inlineStr">
        <is>
          <t>合规所需总资产</t>
        </is>
      </c>
      <c r="AK1" s="117" t="inlineStr">
        <is>
          <t>需转入资金才合规</t>
        </is>
      </c>
      <c r="AL1" s="117" t="inlineStr">
        <is>
          <t>已有持仓</t>
        </is>
      </c>
      <c r="AM1" s="117" t="inlineStr">
        <is>
          <t>当前持仓仓位</t>
        </is>
      </c>
      <c r="AN1" s="117" t="inlineStr">
        <is>
          <t>买入1手后仓位</t>
        </is>
      </c>
      <c r="AO1" s="117" t="inlineStr">
        <is>
          <t>买后是否超限</t>
        </is>
      </c>
      <c r="AP1" s="117" t="inlineStr">
        <is>
          <t>有效持仓数检查</t>
        </is>
      </c>
      <c r="AQ1" s="117" t="inlineStr">
        <is>
          <t>核心池加仓结论</t>
        </is>
      </c>
      <c r="AR1" s="117" t="inlineStr">
        <is>
          <t>阻断原因</t>
        </is>
      </c>
      <c r="AS1" s="117" t="inlineStr">
        <is>
          <t>连续核心池天数</t>
        </is>
      </c>
      <c r="AT1" s="117" t="inlineStr">
        <is>
          <t>信号标注</t>
        </is>
      </c>
      <c r="AU1" s="117" t="inlineStr">
        <is>
          <t>幼儿目标适配</t>
        </is>
      </c>
    </row>
    <row r="2" ht="15" customHeight="1" s="85">
      <c r="A2" s="84" t="inlineStr">
        <is>
          <t>2026-08-08</t>
        </is>
      </c>
      <c r="B2" s="84" t="inlineStr">
        <is>
          <t>高争民爆</t>
        </is>
      </c>
      <c r="C2" s="84" t="inlineStr">
        <is>
          <t>002827</t>
        </is>
      </c>
      <c r="D2" s="84" t="n">
        <v>23.98</v>
      </c>
      <c r="E2" s="84" t="inlineStr"/>
      <c r="F2" s="84" t="inlineStr"/>
      <c r="G2" s="84" t="n">
        <v>0</v>
      </c>
      <c r="H2" s="84" t="n">
        <v>0</v>
      </c>
      <c r="I2" s="84" t="b">
        <v>0</v>
      </c>
      <c r="J2" s="84" t="inlineStr">
        <is>
          <t>三买</t>
        </is>
      </c>
      <c r="K2" s="84" t="inlineStr">
        <is>
          <t>核心池</t>
        </is>
      </c>
      <c r="L2" s="84" t="inlineStr">
        <is>
          <t>三买确认</t>
        </is>
      </c>
      <c r="M2" s="84" t="inlineStr">
        <is>
          <t>是</t>
        </is>
      </c>
      <c r="N2" s="84" t="n">
        <v>0.35</v>
      </c>
    </row>
    <row r="3" ht="15" customHeight="1" s="85">
      <c r="A3" s="84" t="inlineStr">
        <is>
          <t>2026-08-08</t>
        </is>
      </c>
      <c r="B3" s="84" t="inlineStr">
        <is>
          <t>小方制药</t>
        </is>
      </c>
      <c r="C3" s="84" t="inlineStr">
        <is>
          <t>603207</t>
        </is>
      </c>
      <c r="D3" s="84" t="n">
        <v>21.5</v>
      </c>
      <c r="E3" s="84" t="n">
        <v>21.85</v>
      </c>
      <c r="F3" s="84" t="n">
        <v>21.85</v>
      </c>
      <c r="G3" s="84" t="n">
        <v>0.5726596720917115</v>
      </c>
      <c r="H3" s="84" t="n">
        <v>0.8895259803128999</v>
      </c>
      <c r="I3" s="84" t="b">
        <v>1</v>
      </c>
      <c r="J3" s="84" t="inlineStr">
        <is>
          <t>中阴</t>
        </is>
      </c>
      <c r="K3" s="84" t="inlineStr">
        <is>
          <t>观察池</t>
        </is>
      </c>
      <c r="L3" s="84" t="inlineStr"/>
      <c r="M3" s="84" t="inlineStr">
        <is>
          <t>是</t>
        </is>
      </c>
      <c r="N3" s="84" t="n">
        <v>0.2</v>
      </c>
    </row>
    <row r="4" ht="15" customHeight="1" s="85">
      <c r="A4" s="84" t="inlineStr">
        <is>
          <t>2026-08-08</t>
        </is>
      </c>
      <c r="B4" s="84" t="inlineStr">
        <is>
          <t>皇氏集团</t>
        </is>
      </c>
      <c r="C4" s="84" t="inlineStr">
        <is>
          <t>002329</t>
        </is>
      </c>
      <c r="D4" s="84" t="n">
        <v>3.15</v>
      </c>
      <c r="E4" s="84" t="n">
        <v>3.23</v>
      </c>
      <c r="F4" s="84" t="n">
        <v>3.23</v>
      </c>
      <c r="G4" s="84" t="n">
        <v>0.3675819656961615</v>
      </c>
      <c r="H4" s="84" t="n">
        <v>0.9374401070695835</v>
      </c>
      <c r="I4" s="84" t="b">
        <v>1</v>
      </c>
      <c r="J4" s="84" t="inlineStr">
        <is>
          <t>向下</t>
        </is>
      </c>
      <c r="K4" s="84" t="inlineStr">
        <is>
          <t>观察池</t>
        </is>
      </c>
      <c r="L4" s="84" t="inlineStr"/>
      <c r="M4" s="84" t="inlineStr">
        <is>
          <t>是</t>
        </is>
      </c>
      <c r="N4" s="84" t="n">
        <v>0.35</v>
      </c>
    </row>
    <row r="5" ht="15" customHeight="1" s="85">
      <c r="A5" s="84" t="inlineStr">
        <is>
          <t>2026-08-08</t>
        </is>
      </c>
      <c r="B5" s="84" t="inlineStr">
        <is>
          <t>沃华医药</t>
        </is>
      </c>
      <c r="C5" s="84" t="inlineStr">
        <is>
          <t>002107</t>
        </is>
      </c>
      <c r="D5" s="84" t="n">
        <v>6.3</v>
      </c>
      <c r="E5" s="84" t="n">
        <v>5.6</v>
      </c>
      <c r="F5" s="84" t="n">
        <v>5.6</v>
      </c>
      <c r="G5" s="84" t="n">
        <v>0.5656922270413003</v>
      </c>
      <c r="H5" s="84" t="n">
        <v>0.8378032997696212</v>
      </c>
      <c r="I5" s="84" t="b">
        <v>1</v>
      </c>
      <c r="J5" s="84" t="inlineStr">
        <is>
          <t>中阴</t>
        </is>
      </c>
      <c r="K5" s="84" t="inlineStr">
        <is>
          <t>观察池</t>
        </is>
      </c>
      <c r="L5" s="84" t="inlineStr"/>
      <c r="M5" s="84" t="inlineStr">
        <is>
          <t>是</t>
        </is>
      </c>
      <c r="N5" s="84" t="n">
        <v>0.35</v>
      </c>
    </row>
    <row r="6" ht="15" customHeight="1" s="85">
      <c r="A6" s="84" t="inlineStr">
        <is>
          <t>2026-08-08</t>
        </is>
      </c>
      <c r="B6" s="84" t="inlineStr">
        <is>
          <t>城建发展</t>
        </is>
      </c>
      <c r="C6" s="84" t="inlineStr">
        <is>
          <t>600266</t>
        </is>
      </c>
      <c r="D6" s="84" t="n">
        <v>4.03</v>
      </c>
      <c r="E6" s="84" t="n">
        <v>3.9</v>
      </c>
      <c r="F6" s="84" t="n">
        <v>3.9</v>
      </c>
      <c r="G6" s="84" t="n">
        <v>0.3604039943204314</v>
      </c>
      <c r="H6" s="84" t="n">
        <v>0.7689235107474557</v>
      </c>
      <c r="I6" s="84" t="b">
        <v>0</v>
      </c>
      <c r="J6" s="84" t="inlineStr">
        <is>
          <t>向下</t>
        </is>
      </c>
      <c r="K6" s="84" t="inlineStr">
        <is>
          <t>观察池</t>
        </is>
      </c>
      <c r="L6" s="84" t="inlineStr"/>
      <c r="M6" s="84" t="inlineStr">
        <is>
          <t>是</t>
        </is>
      </c>
      <c r="N6" s="84" t="n">
        <v>0.35</v>
      </c>
    </row>
    <row r="7" ht="15" customHeight="1" s="85">
      <c r="A7" s="84" t="inlineStr">
        <is>
          <t>2026-08-08</t>
        </is>
      </c>
      <c r="B7" s="84" t="inlineStr">
        <is>
          <t>陕建股份</t>
        </is>
      </c>
      <c r="C7" s="84" t="inlineStr">
        <is>
          <t>600248</t>
        </is>
      </c>
      <c r="D7" s="84" t="n">
        <v>2.84</v>
      </c>
      <c r="E7" s="84" t="n">
        <v>2.76</v>
      </c>
      <c r="F7" s="84" t="n">
        <v>2.76</v>
      </c>
      <c r="G7" s="84" t="n">
        <v>0.571586846394346</v>
      </c>
      <c r="H7" s="84" t="n">
        <v>0.6499588785228112</v>
      </c>
      <c r="I7" s="84" t="b">
        <v>0</v>
      </c>
      <c r="J7" s="84" t="inlineStr">
        <is>
          <t>二买</t>
        </is>
      </c>
      <c r="K7" s="84" t="inlineStr">
        <is>
          <t>观察池</t>
        </is>
      </c>
      <c r="L7" s="84" t="inlineStr">
        <is>
          <t>二买确认</t>
        </is>
      </c>
      <c r="M7" s="84" t="inlineStr">
        <is>
          <t>是</t>
        </is>
      </c>
      <c r="N7" s="84" t="n">
        <v>0.35</v>
      </c>
    </row>
    <row r="8" ht="15" customHeight="1" s="85">
      <c r="A8" s="84" t="inlineStr">
        <is>
          <t>2026-08-08</t>
        </is>
      </c>
      <c r="B8" s="84" t="inlineStr">
        <is>
          <t>松芝股份</t>
        </is>
      </c>
      <c r="C8" s="84" t="inlineStr">
        <is>
          <t>002454</t>
        </is>
      </c>
      <c r="D8" s="84" t="n">
        <v>4.87</v>
      </c>
      <c r="E8" s="84" t="n">
        <v>4.78</v>
      </c>
      <c r="F8" s="84" t="n">
        <v>4.78</v>
      </c>
      <c r="G8" s="84" t="n">
        <v>0.5400140370000607</v>
      </c>
      <c r="H8" s="84" t="n">
        <v>0.6217980983919431</v>
      </c>
      <c r="I8" s="84" t="b">
        <v>0</v>
      </c>
      <c r="J8" s="84" t="inlineStr">
        <is>
          <t>中阴</t>
        </is>
      </c>
      <c r="K8" s="84" t="inlineStr">
        <is>
          <t>观察池</t>
        </is>
      </c>
      <c r="L8" s="84" t="inlineStr"/>
      <c r="M8" s="84" t="inlineStr">
        <is>
          <t>是</t>
        </is>
      </c>
      <c r="N8" s="84" t="n">
        <v>0.2</v>
      </c>
    </row>
    <row r="9" ht="15" customHeight="1" s="85">
      <c r="A9" s="84" t="inlineStr">
        <is>
          <t>2026-08-08</t>
        </is>
      </c>
      <c r="B9" s="84" t="inlineStr">
        <is>
          <t>楚天高速</t>
        </is>
      </c>
      <c r="C9" s="84" t="inlineStr">
        <is>
          <t>600035</t>
        </is>
      </c>
      <c r="D9" s="84" t="n">
        <v>3.44</v>
      </c>
      <c r="E9" s="84" t="n">
        <v>3.52</v>
      </c>
      <c r="F9" s="84" t="n">
        <v>3.52</v>
      </c>
      <c r="G9" s="84" t="n">
        <v>0.4097594528363009</v>
      </c>
      <c r="H9" s="84" t="n">
        <v>0.6301622223761185</v>
      </c>
      <c r="I9" s="84" t="b">
        <v>0</v>
      </c>
      <c r="J9" s="84" t="inlineStr">
        <is>
          <t>向下</t>
        </is>
      </c>
      <c r="K9" s="84" t="inlineStr">
        <is>
          <t>观察池</t>
        </is>
      </c>
      <c r="L9" s="84" t="inlineStr"/>
      <c r="M9" s="84" t="inlineStr">
        <is>
          <t>是</t>
        </is>
      </c>
      <c r="N9" s="84" t="n">
        <v>0.35</v>
      </c>
    </row>
    <row r="10" ht="15" customHeight="1" s="85">
      <c r="A10" s="84" t="inlineStr">
        <is>
          <t>2026-08-08</t>
        </is>
      </c>
      <c r="B10" s="84" t="inlineStr">
        <is>
          <t>丽珠集团</t>
        </is>
      </c>
      <c r="C10" s="84" t="inlineStr">
        <is>
          <t>000513</t>
        </is>
      </c>
      <c r="D10" s="84" t="n">
        <v>30.68</v>
      </c>
      <c r="E10" s="84" t="n">
        <v>29.86</v>
      </c>
      <c r="F10" s="84" t="n">
        <v>29.86</v>
      </c>
      <c r="G10" s="84" t="n">
        <v>0.5729402270756062</v>
      </c>
      <c r="H10" s="84" t="n">
        <v>0.8328632708602783</v>
      </c>
      <c r="I10" s="84" t="b">
        <v>1</v>
      </c>
      <c r="J10" s="84" t="inlineStr">
        <is>
          <t>二买</t>
        </is>
      </c>
      <c r="K10" s="84" t="inlineStr">
        <is>
          <t>观察池</t>
        </is>
      </c>
      <c r="L10" s="84" t="inlineStr">
        <is>
          <t>二买确认</t>
        </is>
      </c>
      <c r="M10" s="84" t="inlineStr">
        <is>
          <t>是</t>
        </is>
      </c>
      <c r="N10" s="84" t="n">
        <v>0.35</v>
      </c>
    </row>
    <row r="11" ht="15" customHeight="1" s="85">
      <c r="A11" s="84" t="inlineStr">
        <is>
          <t>2026-08-08</t>
        </is>
      </c>
      <c r="B11" s="84" t="inlineStr">
        <is>
          <t>中国医药</t>
        </is>
      </c>
      <c r="C11" s="84" t="inlineStr">
        <is>
          <t>600056</t>
        </is>
      </c>
      <c r="D11" s="84" t="n">
        <v>9.4</v>
      </c>
      <c r="E11" s="84" t="n">
        <v>9</v>
      </c>
      <c r="F11" s="84" t="n">
        <v>9</v>
      </c>
      <c r="G11" s="84" t="n">
        <v>0.5503898025267974</v>
      </c>
      <c r="H11" s="84" t="n">
        <v>0.6090032515867148</v>
      </c>
      <c r="I11" s="84" t="b">
        <v>0</v>
      </c>
      <c r="J11" s="84" t="inlineStr">
        <is>
          <t>二买</t>
        </is>
      </c>
      <c r="K11" s="84" t="inlineStr">
        <is>
          <t>观察池</t>
        </is>
      </c>
      <c r="L11" s="84" t="inlineStr">
        <is>
          <t>二买确认</t>
        </is>
      </c>
      <c r="M11" s="84" t="inlineStr">
        <is>
          <t>是</t>
        </is>
      </c>
      <c r="N11" s="84" t="n">
        <v>0.35</v>
      </c>
    </row>
    <row r="12" ht="15" customHeight="1" s="85">
      <c r="A12" s="84" t="inlineStr">
        <is>
          <t>2026-08-08</t>
        </is>
      </c>
      <c r="B12" s="84" t="inlineStr">
        <is>
          <t>三力士</t>
        </is>
      </c>
      <c r="C12" s="84" t="inlineStr">
        <is>
          <t>002224</t>
        </is>
      </c>
      <c r="D12" s="84" t="n">
        <v>3.45</v>
      </c>
      <c r="E12" s="84" t="n">
        <v>4.23</v>
      </c>
      <c r="F12" s="84" t="n">
        <v>4.23</v>
      </c>
      <c r="G12" s="84" t="n">
        <v>0.01755876595366785</v>
      </c>
      <c r="H12" s="84" t="n">
        <v>0.07995671002689854</v>
      </c>
      <c r="I12" s="84" t="b">
        <v>0</v>
      </c>
      <c r="J12" s="84" t="inlineStr">
        <is>
          <t>向下</t>
        </is>
      </c>
      <c r="K12" s="84" t="inlineStr">
        <is>
          <t>观察池</t>
        </is>
      </c>
      <c r="L12" s="84" t="inlineStr"/>
      <c r="M12" s="84" t="inlineStr">
        <is>
          <t>是</t>
        </is>
      </c>
      <c r="N12" s="84" t="n">
        <v>0.2</v>
      </c>
    </row>
    <row r="13" ht="15" customHeight="1" s="85">
      <c r="A13" s="84" t="inlineStr">
        <is>
          <t>2026-08-08</t>
        </is>
      </c>
      <c r="B13" s="84" t="inlineStr">
        <is>
          <t>贵绳股份</t>
        </is>
      </c>
      <c r="C13" s="84" t="inlineStr">
        <is>
          <t>600992</t>
        </is>
      </c>
      <c r="D13" s="84" t="n">
        <v>9.06</v>
      </c>
      <c r="E13" s="84" t="n">
        <v>13.32</v>
      </c>
      <c r="F13" s="84" t="n">
        <v>13.32</v>
      </c>
      <c r="G13" s="84" t="n">
        <v>0</v>
      </c>
      <c r="H13" s="84" t="n">
        <v>0.07998350772810529</v>
      </c>
      <c r="I13" s="84" t="b">
        <v>0</v>
      </c>
      <c r="J13" s="84" t="inlineStr">
        <is>
          <t>向下</t>
        </is>
      </c>
      <c r="K13" s="84" t="inlineStr">
        <is>
          <t>观察池</t>
        </is>
      </c>
      <c r="L13" s="84" t="inlineStr"/>
      <c r="M13" s="84" t="inlineStr">
        <is>
          <t>是</t>
        </is>
      </c>
      <c r="N13" s="84" t="n">
        <v>0.2</v>
      </c>
    </row>
    <row r="14" ht="15" customHeight="1" s="85">
      <c r="A14" s="84" t="inlineStr">
        <is>
          <t>2026-08-08</t>
        </is>
      </c>
      <c r="B14" s="84" t="inlineStr">
        <is>
          <t>日上集团</t>
        </is>
      </c>
      <c r="C14" s="84" t="inlineStr">
        <is>
          <t>002593</t>
        </is>
      </c>
      <c r="D14" s="84" t="n">
        <v>4.07</v>
      </c>
      <c r="E14" s="84" t="n">
        <v>5.36</v>
      </c>
      <c r="F14" s="84" t="n">
        <v>5.36</v>
      </c>
      <c r="G14" s="84" t="n">
        <v>0.07031279954480187</v>
      </c>
      <c r="H14" s="84" t="n">
        <v>0.07985078720656513</v>
      </c>
      <c r="I14" s="84" t="b">
        <v>0</v>
      </c>
      <c r="J14" s="84" t="inlineStr">
        <is>
          <t>向下</t>
        </is>
      </c>
      <c r="K14" s="84" t="inlineStr">
        <is>
          <t>观察池</t>
        </is>
      </c>
      <c r="L14" s="84" t="inlineStr"/>
      <c r="M14" s="84" t="inlineStr">
        <is>
          <t>是</t>
        </is>
      </c>
      <c r="N14" s="84" t="n">
        <v>0.2</v>
      </c>
    </row>
    <row r="15" ht="15" customHeight="1" s="85">
      <c r="A15" s="84" t="inlineStr">
        <is>
          <t>2026-08-08</t>
        </is>
      </c>
      <c r="B15" s="84" t="inlineStr">
        <is>
          <t>证通电子</t>
        </is>
      </c>
      <c r="C15" s="84" t="inlineStr">
        <is>
          <t>002197</t>
        </is>
      </c>
      <c r="D15" s="84" t="n">
        <v>6.88</v>
      </c>
      <c r="E15" s="84" t="n">
        <v>7.6</v>
      </c>
      <c r="F15" s="84" t="n">
        <v>7.6</v>
      </c>
      <c r="G15" s="84" t="n">
        <v>0.08212309278290357</v>
      </c>
      <c r="H15" s="84" t="n">
        <v>0.07956746910123526</v>
      </c>
      <c r="I15" s="84" t="b">
        <v>0</v>
      </c>
      <c r="J15" s="84" t="inlineStr">
        <is>
          <t>向下</t>
        </is>
      </c>
      <c r="K15" s="84" t="inlineStr">
        <is>
          <t>观察池</t>
        </is>
      </c>
      <c r="L15" s="84" t="inlineStr"/>
      <c r="M15" s="84" t="inlineStr">
        <is>
          <t>是</t>
        </is>
      </c>
      <c r="N15" s="84" t="n">
        <v>0.2</v>
      </c>
    </row>
    <row r="16" ht="15" customHeight="1" s="85">
      <c r="A16" s="84" t="inlineStr">
        <is>
          <t>2026-08-08</t>
        </is>
      </c>
      <c r="B16" s="84" t="inlineStr">
        <is>
          <t>奥锐特</t>
        </is>
      </c>
      <c r="C16" s="84" t="inlineStr">
        <is>
          <t>605116</t>
        </is>
      </c>
      <c r="D16" s="84" t="n">
        <v>18.74</v>
      </c>
      <c r="E16" s="84" t="inlineStr"/>
      <c r="F16" s="84" t="inlineStr"/>
      <c r="G16" s="84" t="n">
        <v>0</v>
      </c>
      <c r="H16" s="84" t="n">
        <v>0</v>
      </c>
      <c r="I16" s="84" t="b">
        <v>0</v>
      </c>
      <c r="J16" s="84" t="inlineStr">
        <is>
          <t>向下</t>
        </is>
      </c>
      <c r="K16" s="84" t="inlineStr">
        <is>
          <t>观察池</t>
        </is>
      </c>
      <c r="L16" s="84" t="inlineStr"/>
      <c r="M16" s="84" t="inlineStr">
        <is>
          <t>是</t>
        </is>
      </c>
      <c r="N16" s="84" t="n">
        <v>0.35</v>
      </c>
    </row>
    <row r="17" ht="15" customHeight="1" s="85">
      <c r="A17" s="84" t="inlineStr">
        <is>
          <t>2026-08-08</t>
        </is>
      </c>
      <c r="B17" s="84" t="inlineStr">
        <is>
          <t>拱东医疗</t>
        </is>
      </c>
      <c r="C17" s="84" t="inlineStr">
        <is>
          <t>605369</t>
        </is>
      </c>
      <c r="D17" s="84" t="n">
        <v>15.18</v>
      </c>
      <c r="E17" s="84" t="inlineStr"/>
      <c r="F17" s="84" t="inlineStr"/>
      <c r="G17" s="84" t="n">
        <v>0</v>
      </c>
      <c r="H17" s="84" t="n">
        <v>0</v>
      </c>
      <c r="I17" s="84" t="b">
        <v>0</v>
      </c>
      <c r="J17" s="84" t="inlineStr">
        <is>
          <t>向下</t>
        </is>
      </c>
      <c r="K17" s="84" t="inlineStr">
        <is>
          <t>观察池</t>
        </is>
      </c>
      <c r="L17" s="84" t="inlineStr"/>
      <c r="M17" s="84" t="inlineStr">
        <is>
          <t>是</t>
        </is>
      </c>
      <c r="N17" s="84" t="n">
        <v>0.35</v>
      </c>
    </row>
    <row r="18" ht="15" customHeight="1" s="85">
      <c r="A18" s="84" t="inlineStr">
        <is>
          <t>2026-08-08</t>
        </is>
      </c>
      <c r="B18" s="84" t="inlineStr">
        <is>
          <t>台华新材</t>
        </is>
      </c>
      <c r="C18" s="84" t="inlineStr">
        <is>
          <t>603055</t>
        </is>
      </c>
      <c r="D18" s="84" t="n">
        <v>8.199999999999999</v>
      </c>
      <c r="E18" s="84" t="n">
        <v>7.79</v>
      </c>
      <c r="F18" s="84" t="n">
        <v>7.79</v>
      </c>
      <c r="G18" s="84" t="n">
        <v>0.5800000773218486</v>
      </c>
      <c r="H18" s="84" t="n">
        <v>0.9692029141731611</v>
      </c>
      <c r="I18" s="84" t="b">
        <v>1</v>
      </c>
      <c r="J18" s="84" t="inlineStr">
        <is>
          <t>向下</t>
        </is>
      </c>
      <c r="K18" s="84" t="inlineStr">
        <is>
          <t>边缘池</t>
        </is>
      </c>
      <c r="L18" s="84" t="inlineStr"/>
      <c r="M18" s="84" t="inlineStr">
        <is>
          <t>是</t>
        </is>
      </c>
      <c r="N18" s="84" t="n">
        <v>0.35</v>
      </c>
    </row>
    <row r="19" ht="15" customHeight="1" s="85">
      <c r="A19" s="84" t="inlineStr">
        <is>
          <t>2026-08-08</t>
        </is>
      </c>
      <c r="B19" s="84" t="inlineStr">
        <is>
          <t>东方雨虹</t>
        </is>
      </c>
      <c r="C19" s="84" t="inlineStr">
        <is>
          <t>002271</t>
        </is>
      </c>
      <c r="D19" s="84" t="n">
        <v>11.61</v>
      </c>
      <c r="E19" s="84" t="n">
        <v>11.06</v>
      </c>
      <c r="F19" s="84" t="n">
        <v>11.06</v>
      </c>
      <c r="G19" s="84" t="n">
        <v>0.5189651904064918</v>
      </c>
      <c r="H19" s="84" t="n">
        <v>0.9300927491375288</v>
      </c>
      <c r="I19" s="84" t="b">
        <v>1</v>
      </c>
      <c r="J19" s="84" t="inlineStr">
        <is>
          <t>向下</t>
        </is>
      </c>
      <c r="K19" s="84" t="inlineStr">
        <is>
          <t>边缘池</t>
        </is>
      </c>
      <c r="L19" s="84" t="inlineStr"/>
      <c r="M19" s="84" t="inlineStr">
        <is>
          <t>是</t>
        </is>
      </c>
      <c r="N19" s="84" t="n">
        <v>0.35</v>
      </c>
    </row>
    <row r="20" ht="15" customHeight="1" s="85">
      <c r="A20" s="84" t="inlineStr">
        <is>
          <t>2026-08-08</t>
        </is>
      </c>
      <c r="B20" s="84" t="inlineStr">
        <is>
          <t>华能国际</t>
        </is>
      </c>
      <c r="C20" s="84" t="inlineStr">
        <is>
          <t>600011</t>
        </is>
      </c>
      <c r="D20" s="84" t="n">
        <v>6.99</v>
      </c>
      <c r="E20" s="84" t="n">
        <v>7.09</v>
      </c>
      <c r="F20" s="84" t="n">
        <v>7.09</v>
      </c>
      <c r="G20" s="84" t="n">
        <v>0.4775438134598489</v>
      </c>
      <c r="H20" s="84" t="n">
        <v>0.8687648665770276</v>
      </c>
      <c r="I20" s="84" t="b">
        <v>1</v>
      </c>
      <c r="J20" s="84" t="inlineStr">
        <is>
          <t>向下</t>
        </is>
      </c>
      <c r="K20" s="84" t="inlineStr">
        <is>
          <t>无信号</t>
        </is>
      </c>
      <c r="L20" s="84" t="inlineStr"/>
      <c r="M20" s="84" t="inlineStr">
        <is>
          <t>是</t>
        </is>
      </c>
      <c r="N20" s="84" t="n">
        <v>0.35</v>
      </c>
    </row>
    <row r="21" ht="15" customHeight="1" s="85">
      <c r="A21" s="84" t="inlineStr">
        <is>
          <t>2026-08-08</t>
        </is>
      </c>
      <c r="B21" s="84" t="inlineStr">
        <is>
          <t>海信视像</t>
        </is>
      </c>
      <c r="C21" s="84" t="inlineStr">
        <is>
          <t>600060</t>
        </is>
      </c>
      <c r="D21" s="84" t="n">
        <v>25.24</v>
      </c>
      <c r="E21" s="84" t="n">
        <v>24.33</v>
      </c>
      <c r="F21" s="84" t="n">
        <v>24.33</v>
      </c>
      <c r="G21" s="84" t="n">
        <v>0.5297642699176471</v>
      </c>
      <c r="H21" s="84" t="n">
        <v>0.8671617003120269</v>
      </c>
      <c r="I21" s="84" t="b">
        <v>1</v>
      </c>
      <c r="J21" s="84" t="inlineStr">
        <is>
          <t>向下</t>
        </is>
      </c>
      <c r="K21" s="84" t="inlineStr">
        <is>
          <t>无信号</t>
        </is>
      </c>
      <c r="L21" s="84" t="inlineStr"/>
      <c r="M21" s="84" t="inlineStr">
        <is>
          <t>是</t>
        </is>
      </c>
      <c r="N21" s="84" t="n">
        <v>0.35</v>
      </c>
    </row>
    <row r="22" ht="15" customHeight="1" s="85">
      <c r="A22" s="84" t="inlineStr">
        <is>
          <t>2026-08-08</t>
        </is>
      </c>
      <c r="B22" s="84" t="inlineStr">
        <is>
          <t>国投资本</t>
        </is>
      </c>
      <c r="C22" s="84" t="inlineStr">
        <is>
          <t>600061</t>
        </is>
      </c>
      <c r="D22" s="84" t="n">
        <v>6.4</v>
      </c>
      <c r="E22" s="84" t="n">
        <v>6.36</v>
      </c>
      <c r="F22" s="84" t="n">
        <v>6.36</v>
      </c>
      <c r="G22" s="84" t="n">
        <v>0.5075560806411129</v>
      </c>
      <c r="H22" s="84" t="n">
        <v>0.8183861484009216</v>
      </c>
      <c r="I22" s="84" t="b">
        <v>1</v>
      </c>
      <c r="J22" s="84" t="inlineStr">
        <is>
          <t>向下</t>
        </is>
      </c>
      <c r="K22" s="84" t="inlineStr">
        <is>
          <t>无信号</t>
        </is>
      </c>
      <c r="L22" s="84" t="inlineStr"/>
      <c r="M22" s="84" t="inlineStr">
        <is>
          <t>是</t>
        </is>
      </c>
      <c r="N22" s="84" t="n">
        <v>0.35</v>
      </c>
    </row>
    <row r="23" ht="15" customHeight="1" s="85">
      <c r="A23" s="84" t="inlineStr">
        <is>
          <t>2026-08-08</t>
        </is>
      </c>
      <c r="B23" s="84" t="inlineStr">
        <is>
          <t>建发股份</t>
        </is>
      </c>
      <c r="C23" s="84" t="inlineStr">
        <is>
          <t>600153</t>
        </is>
      </c>
      <c r="D23" s="84" t="n">
        <v>8.630000000000001</v>
      </c>
      <c r="E23" s="84" t="n">
        <v>8.51</v>
      </c>
      <c r="F23" s="84" t="n">
        <v>8.51</v>
      </c>
      <c r="G23" s="84" t="n">
        <v>0.5334013698129016</v>
      </c>
      <c r="H23" s="84" t="n">
        <v>0.8076055345002471</v>
      </c>
      <c r="I23" s="84" t="b">
        <v>1</v>
      </c>
      <c r="J23" s="84" t="inlineStr">
        <is>
          <t>向下</t>
        </is>
      </c>
      <c r="K23" s="84" t="inlineStr">
        <is>
          <t>无信号</t>
        </is>
      </c>
      <c r="L23" s="84" t="inlineStr"/>
      <c r="M23" s="84" t="inlineStr">
        <is>
          <t>是</t>
        </is>
      </c>
      <c r="N23" s="84" t="n">
        <v>0.35</v>
      </c>
    </row>
    <row r="24" ht="15" customHeight="1" s="85">
      <c r="A24" s="84" t="inlineStr">
        <is>
          <t>2026-08-08</t>
        </is>
      </c>
      <c r="B24" s="84" t="inlineStr">
        <is>
          <t>中青旅</t>
        </is>
      </c>
      <c r="C24" s="84" t="inlineStr">
        <is>
          <t>600138</t>
        </is>
      </c>
      <c r="D24" s="84" t="n">
        <v>7.03</v>
      </c>
      <c r="E24" s="84" t="n">
        <v>6.64</v>
      </c>
      <c r="F24" s="84" t="n">
        <v>6.64</v>
      </c>
      <c r="G24" s="84" t="n">
        <v>0.4746469333841714</v>
      </c>
      <c r="H24" s="84" t="n">
        <v>0.6510848226809427</v>
      </c>
      <c r="I24" s="84" t="b">
        <v>0</v>
      </c>
      <c r="J24" s="84" t="inlineStr">
        <is>
          <t>向下</t>
        </is>
      </c>
      <c r="K24" s="84" t="inlineStr">
        <is>
          <t>无信号</t>
        </is>
      </c>
      <c r="L24" s="84" t="inlineStr"/>
      <c r="M24" s="84" t="inlineStr">
        <is>
          <t>是</t>
        </is>
      </c>
      <c r="N24" s="84" t="n">
        <v>0.35</v>
      </c>
    </row>
    <row r="25" ht="15" customHeight="1" s="85">
      <c r="A25" s="84" t="inlineStr">
        <is>
          <t>2026-08-08</t>
        </is>
      </c>
      <c r="B25" s="84" t="inlineStr">
        <is>
          <t>东风股份</t>
        </is>
      </c>
      <c r="C25" s="84" t="inlineStr">
        <is>
          <t>600006</t>
        </is>
      </c>
      <c r="D25" s="84" t="n">
        <v>5.4</v>
      </c>
      <c r="E25" s="84" t="n">
        <v>6.29</v>
      </c>
      <c r="F25" s="84" t="n">
        <v>6.29</v>
      </c>
      <c r="G25" s="84" t="n">
        <v>0.1546920980262822</v>
      </c>
      <c r="H25" s="84" t="n">
        <v>0.07989227935451064</v>
      </c>
      <c r="I25" s="84" t="b">
        <v>0</v>
      </c>
      <c r="J25" s="84" t="inlineStr">
        <is>
          <t>向下</t>
        </is>
      </c>
      <c r="K25" s="84" t="inlineStr">
        <is>
          <t>无信号</t>
        </is>
      </c>
      <c r="L25" s="84" t="inlineStr"/>
      <c r="M25" s="84" t="inlineStr">
        <is>
          <t>是</t>
        </is>
      </c>
      <c r="N25" s="84" t="n">
        <v>0.35</v>
      </c>
    </row>
    <row r="26" ht="15" customHeight="1" s="85">
      <c r="A26" s="84" t="inlineStr">
        <is>
          <t>2026-08-08</t>
        </is>
      </c>
      <c r="B26" s="84" t="inlineStr">
        <is>
          <t>贤丰控股</t>
        </is>
      </c>
      <c r="C26" s="84" t="inlineStr">
        <is>
          <t>002141</t>
        </is>
      </c>
      <c r="D26" s="84" t="n">
        <v>6.11</v>
      </c>
      <c r="E26" s="84" t="inlineStr"/>
      <c r="F26" s="84" t="inlineStr"/>
      <c r="G26" s="84" t="n">
        <v>0</v>
      </c>
      <c r="H26" s="84" t="n">
        <v>0</v>
      </c>
      <c r="I26" s="84" t="b">
        <v>0</v>
      </c>
      <c r="J26" s="84" t="inlineStr">
        <is>
          <t>向下</t>
        </is>
      </c>
      <c r="K26" s="84" t="inlineStr">
        <is>
          <t>无信号</t>
        </is>
      </c>
      <c r="L26" s="84" t="inlineStr"/>
      <c r="M26" s="84" t="inlineStr">
        <is>
          <t>是</t>
        </is>
      </c>
      <c r="N26" s="84" t="n">
        <v>0.35</v>
      </c>
    </row>
    <row r="27" ht="15" customHeight="1" s="85"/>
    <row r="28" ht="15" customHeight="1" s="85"/>
    <row r="29" ht="15" customHeight="1" s="85"/>
    <row r="30" ht="1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8" text="" percent="0" bottom="0">
      <formula>L2="是"</formula>
    </cfRule>
    <cfRule type="expression" rank="0" priority="3" equalAverage="0" aboveAverage="0" dxfId="9" text="" percent="0" bottom="0">
      <formula>L2="否"</formula>
    </cfRule>
  </conditionalFormatting>
  <conditionalFormatting sqref="M2:M201">
    <cfRule type="expression" rank="0" priority="4" equalAverage="0" aboveAverage="0" dxfId="8" text="" percent="0" bottom="0">
      <formula>M2="是"</formula>
    </cfRule>
    <cfRule type="expression" rank="0" priority="5" equalAverage="0" aboveAverage="0" dxfId="9" text="" percent="0" bottom="0">
      <formula>M2="否"</formula>
    </cfRule>
  </conditionalFormatting>
  <conditionalFormatting sqref="W2:W201">
    <cfRule type="expression" rank="0" priority="6" equalAverage="0" aboveAverage="0" dxfId="8" text="" percent="0" bottom="0">
      <formula>W2="是"</formula>
    </cfRule>
    <cfRule type="expression" rank="0" priority="7" equalAverage="0" aboveAverage="0" dxfId="9" text="" percent="0" bottom="0">
      <formula>W2="否"</formula>
    </cfRule>
  </conditionalFormatting>
  <conditionalFormatting sqref="AC2:AC201">
    <cfRule type="expression" rank="0" priority="8" equalAverage="0" aboveAverage="0" dxfId="8" text="" percent="0" bottom="0">
      <formula>AC2="是"</formula>
    </cfRule>
    <cfRule type="expression" rank="0" priority="9" equalAverage="0" aboveAverage="0" dxfId="9" text="" percent="0" bottom="0">
      <formula>AC2="否"</formula>
    </cfRule>
  </conditionalFormatting>
  <conditionalFormatting sqref="Z2:Z201">
    <cfRule type="expression" rank="0" priority="10" equalAverage="0" aboveAverage="0" dxfId="9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A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84" min="1" max="1"/>
    <col width="12" customWidth="1" style="84" min="2" max="5"/>
    <col width="14" customWidth="1" style="84" min="6" max="6"/>
    <col width="12" customWidth="1" style="84" min="7" max="7"/>
    <col width="14" customWidth="1" style="84" min="8" max="8"/>
    <col width="12" customWidth="1" style="84" min="9" max="10"/>
    <col width="13" customWidth="1" style="84" min="11" max="11"/>
    <col width="14" customWidth="1" style="84" min="12" max="12"/>
    <col width="26" customWidth="1" style="84" min="13" max="13"/>
    <col width="12" customWidth="1" style="84" min="14" max="14"/>
    <col width="26" customWidth="1" style="84" min="15" max="15"/>
    <col width="12" customWidth="1" style="84" min="16" max="16"/>
    <col width="13" customWidth="1" style="84" min="17" max="18"/>
    <col width="12" customWidth="1" style="84" min="19" max="20"/>
    <col width="26" customWidth="1" style="84" min="21" max="21"/>
    <col width="10" customWidth="1" style="84" min="22" max="22"/>
    <col width="13" customWidth="1" style="84" min="23" max="23"/>
    <col width="10" customWidth="1" style="84" min="24" max="26"/>
    <col width="13" customWidth="1" style="84" min="27" max="27"/>
  </cols>
  <sheetData>
    <row r="1" ht="15" customHeight="1" s="85">
      <c r="A1" s="86" t="inlineStr">
        <is>
          <t>交易日期</t>
        </is>
      </c>
      <c r="B1" s="86" t="inlineStr">
        <is>
          <t>股票名称</t>
        </is>
      </c>
      <c r="C1" s="86" t="inlineStr">
        <is>
          <t>代码</t>
        </is>
      </c>
      <c r="D1" s="86" t="inlineStr">
        <is>
          <t>买卖方向</t>
        </is>
      </c>
      <c r="E1" s="86" t="inlineStr">
        <is>
          <t>信号类型</t>
        </is>
      </c>
      <c r="F1" s="86" t="inlineStr">
        <is>
          <t>成交价格</t>
        </is>
      </c>
      <c r="G1" s="86" t="inlineStr">
        <is>
          <t>成交股数</t>
        </is>
      </c>
      <c r="H1" s="86" t="inlineStr">
        <is>
          <t>成交金额</t>
        </is>
      </c>
      <c r="I1" s="86" t="inlineStr">
        <is>
          <t>手续费</t>
        </is>
      </c>
      <c r="J1" s="86" t="inlineStr">
        <is>
          <t>成交后持仓股数</t>
        </is>
      </c>
      <c r="K1" s="86" t="inlineStr">
        <is>
          <t>成交后仓位占比</t>
        </is>
      </c>
      <c r="L1" s="86" t="inlineStr">
        <is>
          <t>止损价</t>
        </is>
      </c>
      <c r="M1" s="86" t="inlineStr">
        <is>
          <t>失效条件</t>
        </is>
      </c>
      <c r="N1" s="86" t="inlineStr">
        <is>
          <t>执行动作是否合规</t>
        </is>
      </c>
      <c r="O1" s="86" t="inlineStr">
        <is>
          <t>交易原因</t>
        </is>
      </c>
      <c r="P1" s="86" t="inlineStr">
        <is>
          <t>结果分类</t>
        </is>
      </c>
      <c r="Q1" s="86" t="inlineStr">
        <is>
          <t>平仓日期</t>
        </is>
      </c>
      <c r="R1" s="86" t="inlineStr">
        <is>
          <t>平仓收益率</t>
        </is>
      </c>
      <c r="S1" s="86" t="inlineStr">
        <is>
          <t>是否触发止损</t>
        </is>
      </c>
      <c r="T1" s="86" t="inlineStr">
        <is>
          <t>是否情绪化交易</t>
        </is>
      </c>
      <c r="U1" s="86" t="inlineStr">
        <is>
          <t>备注</t>
        </is>
      </c>
      <c r="V1" s="123" t="inlineStr">
        <is>
          <t>买入价</t>
        </is>
      </c>
      <c r="W1" s="123" t="inlineStr">
        <is>
          <t>止损风险额</t>
        </is>
      </c>
      <c r="X1" s="124" t="inlineStr">
        <is>
          <t>R倍数</t>
        </is>
      </c>
      <c r="Y1" s="123" t="inlineStr">
        <is>
          <t>累计R</t>
        </is>
      </c>
      <c r="Z1" s="123" t="inlineStr">
        <is>
          <t>连胜/连亏</t>
        </is>
      </c>
      <c r="AA1" s="123" t="inlineStr">
        <is>
          <t>最大回撤(%)</t>
        </is>
      </c>
    </row>
    <row r="2" ht="15" customHeight="1" s="85">
      <c r="A2" s="113" t="inlineStr">
        <is>
          <t>2026-01-05</t>
        </is>
      </c>
      <c r="B2" s="112" t="inlineStr">
        <is>
          <t>亚通精工</t>
        </is>
      </c>
      <c r="C2" s="113" t="inlineStr">
        <is>
          <t>603190</t>
        </is>
      </c>
      <c r="D2" s="112" t="inlineStr">
        <is>
          <t>买入</t>
        </is>
      </c>
      <c r="E2" s="112" t="inlineStr">
        <is>
          <t>一买</t>
        </is>
      </c>
      <c r="F2" s="125" t="n">
        <v>26.66</v>
      </c>
      <c r="G2" s="126" t="n">
        <v>100</v>
      </c>
      <c r="H2" s="127" t="n">
        <v>2666</v>
      </c>
      <c r="I2" s="125" t="n"/>
      <c r="J2" s="126" t="n"/>
      <c r="K2" s="128" t="n"/>
      <c r="L2" s="125" t="n"/>
      <c r="M2" s="112" t="n"/>
      <c r="N2" s="113" t="n"/>
      <c r="O2" s="112" t="inlineStr">
        <is>
          <t>缠论日线一买</t>
        </is>
      </c>
      <c r="P2" s="113" t="n"/>
      <c r="Q2" s="112" t="n"/>
      <c r="R2" s="129" t="n"/>
      <c r="S2" s="113" t="n"/>
      <c r="T2" s="113" t="n"/>
      <c r="U2" s="112" t="n"/>
      <c r="V2" s="84">
        <f>IF($A2="","",IF(OR(D2="卖出",D2="分红"),IFERROR(INDEX($F$2:$F1,MATCH(2,1/($C$2:$C1=$C2))),""),""))</f>
        <v/>
      </c>
      <c r="W2" s="130">
        <f>IF($A2="","",IF(D2="买入",IF(AND(ISNUMBER(L2),L2&gt;0),(F2-L2)*G2,0),0))</f>
        <v/>
      </c>
      <c r="X2" s="131" t="n">
        <v>0</v>
      </c>
      <c r="Y2" s="131" t="n">
        <v>0</v>
      </c>
      <c r="Z2" s="84">
        <f>IF($A2="","",IF(X2&gt;0,"胜1",IF(X2&lt;0,"亏1","平")))</f>
        <v/>
      </c>
      <c r="AA2" s="132">
        <f>IF($A2="","",0)</f>
        <v/>
      </c>
    </row>
    <row r="3" ht="15" customHeight="1" s="85">
      <c r="A3" s="115" t="inlineStr">
        <is>
          <t>2026-01-12</t>
        </is>
      </c>
      <c r="B3" s="114" t="inlineStr">
        <is>
          <t>黄河旋风</t>
        </is>
      </c>
      <c r="C3" s="115" t="inlineStr">
        <is>
          <t>600172</t>
        </is>
      </c>
      <c r="D3" s="114" t="inlineStr">
        <is>
          <t>买入</t>
        </is>
      </c>
      <c r="E3" s="114" t="inlineStr">
        <is>
          <t>一买</t>
        </is>
      </c>
      <c r="F3" s="133" t="n">
        <v>6.19</v>
      </c>
      <c r="G3" s="134" t="n">
        <v>800</v>
      </c>
      <c r="H3" s="127" t="n">
        <v>4952</v>
      </c>
      <c r="I3" s="133" t="n"/>
      <c r="J3" s="134" t="n"/>
      <c r="K3" s="128" t="n"/>
      <c r="L3" s="133" t="n"/>
      <c r="M3" s="114" t="n"/>
      <c r="N3" s="115" t="n"/>
      <c r="O3" s="114" t="inlineStr">
        <is>
          <t>缠论日线一买</t>
        </is>
      </c>
      <c r="P3" s="115" t="n"/>
      <c r="Q3" s="114" t="n"/>
      <c r="R3" s="135" t="n"/>
      <c r="S3" s="115" t="n"/>
      <c r="T3" s="115" t="n"/>
      <c r="U3" s="114" t="n"/>
      <c r="V3" s="84">
        <f>IF($A3="","",IF(OR(D3="卖出",D3="分红"),IFERROR(INDEX($F$2:$F2,MATCH(2,1/($C$2:$C2=$C3))),""),""))</f>
        <v/>
      </c>
      <c r="W3" s="130">
        <f>IF($A3="","",IF(D3="买入",IF(AND(ISNUMBER(L3),L3&gt;0),(F3-L3)*G3,0),0))</f>
        <v/>
      </c>
      <c r="X3" s="131" t="n">
        <v>0</v>
      </c>
      <c r="Y3" s="131" t="n">
        <v>0</v>
      </c>
      <c r="Z3" s="84">
        <f>IF($A3="","",IF(X3&gt;0,IF(LEFT(Z2,1)="胜","胜"&amp;VALUE(RIGHT(Z2,LEN(Z2)-1))+1,"胜1"),IF(X3&lt;0,IF(LEFT(Z2,1)="亏","亏"&amp;VALUE(RIGHT(Z2,LEN(Z2)-1))+1,"亏1"),"平")))</f>
        <v/>
      </c>
      <c r="AA3" s="132">
        <f>IF($A3="","",MAX(0,(MAX($Y$2:Y3)-Y3)/MAX(1,MAX($Y$2:Y3))))</f>
        <v/>
      </c>
    </row>
    <row r="4" ht="15" customHeight="1" s="85">
      <c r="A4" s="113" t="inlineStr">
        <is>
          <t>2026-02-03</t>
        </is>
      </c>
      <c r="B4" s="112" t="inlineStr">
        <is>
          <t>沪电股份</t>
        </is>
      </c>
      <c r="C4" s="113" t="inlineStr">
        <is>
          <t>002463</t>
        </is>
      </c>
      <c r="D4" s="112" t="inlineStr">
        <is>
          <t>买入</t>
        </is>
      </c>
      <c r="E4" s="112" t="inlineStr">
        <is>
          <t>一买</t>
        </is>
      </c>
      <c r="F4" s="125" t="n">
        <v>78.81</v>
      </c>
      <c r="G4" s="126" t="n">
        <v>300</v>
      </c>
      <c r="H4" s="127" t="n">
        <v>23643</v>
      </c>
      <c r="I4" s="125" t="n"/>
      <c r="J4" s="126" t="n"/>
      <c r="K4" s="128" t="n"/>
      <c r="L4" s="125" t="n"/>
      <c r="M4" s="112" t="n"/>
      <c r="N4" s="113" t="n"/>
      <c r="O4" s="112" t="inlineStr">
        <is>
          <t>缠论日线一买(电子PCB)</t>
        </is>
      </c>
      <c r="P4" s="113" t="n"/>
      <c r="Q4" s="112" t="n"/>
      <c r="R4" s="129" t="n"/>
      <c r="S4" s="113" t="n"/>
      <c r="T4" s="113" t="n"/>
      <c r="U4" s="112" t="n"/>
      <c r="V4" s="84">
        <f>IF($A6="","",IF(OR(D6="卖出",D6="分红"),IFERROR(INDEX($F$2:$F5,MATCH(2,1/($C$2:$C5=$C6))),""),""))</f>
        <v/>
      </c>
      <c r="W4" s="130">
        <f>IF($A6="","",IF(D6="买入",IF(AND(ISNUMBER(L6),L6&gt;0),(F6-L6)*G6,0),0))</f>
        <v/>
      </c>
      <c r="X4" s="131" t="n">
        <v>0</v>
      </c>
      <c r="Y4" s="131" t="n">
        <v>8.732053000000001</v>
      </c>
      <c r="Z4" s="84">
        <f>IF($A6="","",IF(X6&gt;0,IF(LEFT(Z5,1)="胜","胜"&amp;VALUE(RIGHT(Z5,LEN(Z5)-1))+1,"胜1"),IF(X6&lt;0,IF(LEFT(Z5,1)="亏","亏"&amp;VALUE(RIGHT(Z5,LEN(Z5)-1))+1,"亏1"),"平")))</f>
        <v/>
      </c>
      <c r="AA4" s="132">
        <f>IF($A6="","",MAX(0,(MAX($Y$2:Y6)-Y6)/MAX(1,MAX($Y$2:Y6))))</f>
        <v/>
      </c>
    </row>
    <row r="5" ht="15" customHeight="1" s="85">
      <c r="A5" s="113" t="inlineStr">
        <is>
          <t>2026-04-15</t>
        </is>
      </c>
      <c r="B5" s="112" t="inlineStr">
        <is>
          <t>长江电力</t>
        </is>
      </c>
      <c r="C5" s="113" t="inlineStr">
        <is>
          <t>600900</t>
        </is>
      </c>
      <c r="D5" s="112" t="inlineStr">
        <is>
          <t>买入</t>
        </is>
      </c>
      <c r="E5" s="112" t="inlineStr">
        <is>
          <t>一买</t>
        </is>
      </c>
      <c r="F5" s="125" t="n">
        <v>27.983</v>
      </c>
      <c r="G5" s="126" t="n">
        <v>300</v>
      </c>
      <c r="H5" s="127" t="n">
        <v>8394.9</v>
      </c>
      <c r="I5" s="125" t="n"/>
      <c r="J5" s="126" t="n"/>
      <c r="K5" s="128" t="n"/>
      <c r="L5" s="125" t="n"/>
      <c r="M5" s="112" t="n"/>
      <c r="N5" s="113" t="n"/>
      <c r="O5" s="112" t="inlineStr">
        <is>
          <t>缠论日线一买(电力公用)</t>
        </is>
      </c>
      <c r="P5" s="113" t="n"/>
      <c r="Q5" s="112" t="n"/>
      <c r="R5" s="129" t="n"/>
      <c r="S5" s="113" t="n"/>
      <c r="T5" s="113" t="n"/>
      <c r="U5" s="112" t="n"/>
      <c r="V5" s="84">
        <f>IF($A12="","",IF(OR(D12="卖出",D12="分红"),IFERROR(INDEX($F$2:$F11,MATCH(2,1/($C$2:$C11=$C12))),""),""))</f>
        <v/>
      </c>
      <c r="W5" s="130">
        <f>IF($A12="","",IF(D12="买入",IF(AND(ISNUMBER(L12),L12&gt;0),(F12-L12)*G12,0),0))</f>
        <v/>
      </c>
      <c r="X5" s="131" t="n">
        <v>0</v>
      </c>
      <c r="Y5" s="131" t="n">
        <v>15.118572</v>
      </c>
      <c r="Z5" s="84">
        <f>IF($A12="","",IF(X12&gt;0,IF(LEFT(Z11,1)="胜","胜"&amp;VALUE(RIGHT(Z11,LEN(Z11)-1))+1,"胜1"),IF(X12&lt;0,IF(LEFT(Z11,1)="亏","亏"&amp;VALUE(RIGHT(Z11,LEN(Z11)-1))+1,"亏1"),"平")))</f>
        <v/>
      </c>
      <c r="AA5" s="132">
        <f>IF($A12="","",MAX(0,(MAX($Y$2:Y12)-Y12)/MAX(1,MAX($Y$2:Y12))))</f>
        <v/>
      </c>
    </row>
    <row r="6" ht="15" customHeight="1" s="85">
      <c r="A6" s="115" t="inlineStr">
        <is>
          <t>2026-04-22</t>
        </is>
      </c>
      <c r="B6" s="114" t="inlineStr">
        <is>
          <t>东风股份</t>
        </is>
      </c>
      <c r="C6" s="115" t="inlineStr">
        <is>
          <t>600006</t>
        </is>
      </c>
      <c r="D6" s="114" t="inlineStr">
        <is>
          <t>买入</t>
        </is>
      </c>
      <c r="E6" s="114" t="inlineStr">
        <is>
          <t>一买</t>
        </is>
      </c>
      <c r="F6" s="133" t="n">
        <v>5.327</v>
      </c>
      <c r="G6" s="134" t="n">
        <v>600</v>
      </c>
      <c r="H6" s="127" t="n">
        <v>3196.2</v>
      </c>
      <c r="I6" s="133" t="n"/>
      <c r="J6" s="134" t="n"/>
      <c r="K6" s="128" t="n"/>
      <c r="L6" s="133" t="n"/>
      <c r="M6" s="114" t="n"/>
      <c r="N6" s="115" t="n"/>
      <c r="O6" s="114" t="inlineStr">
        <is>
          <t>缠论30min一买</t>
        </is>
      </c>
      <c r="P6" s="115" t="n"/>
      <c r="Q6" s="114" t="n"/>
      <c r="R6" s="135" t="n"/>
      <c r="S6" s="115" t="n"/>
      <c r="T6" s="115" t="n"/>
      <c r="U6" s="114" t="n"/>
      <c r="V6" s="84">
        <f>IF($A13="","",IF(OR(D13="卖出",D13="分红"),IFERROR(INDEX($F$2:$F12,MATCH(2,1/($C$2:$C12=$C13))),""),""))</f>
        <v/>
      </c>
      <c r="W6" s="130">
        <f>IF($A13="","",IF(D13="买入",IF(AND(ISNUMBER(L13),L13&gt;0),(F13-L13)*G13,0),0))</f>
        <v/>
      </c>
      <c r="X6" s="131" t="n">
        <v>0</v>
      </c>
      <c r="Y6" s="131" t="n">
        <v>15.118572</v>
      </c>
      <c r="Z6" s="84">
        <f>IF($A13="","",IF(X13&gt;0,IF(LEFT(Z12,1)="胜","胜"&amp;VALUE(RIGHT(Z12,LEN(Z12)-1))+1,"胜1"),IF(X13&lt;0,IF(LEFT(Z12,1)="亏","亏"&amp;VALUE(RIGHT(Z12,LEN(Z12)-1))+1,"亏1"),"平")))</f>
        <v/>
      </c>
      <c r="AA6" s="132">
        <f>IF($A13="","",MAX(0,(MAX($Y$2:Y13)-Y13)/MAX(1,MAX($Y$2:Y13))))</f>
        <v/>
      </c>
    </row>
    <row r="7" ht="15" customHeight="1" s="85">
      <c r="A7" s="113" t="inlineStr">
        <is>
          <t>2026-06-20</t>
        </is>
      </c>
      <c r="B7" s="112" t="inlineStr">
        <is>
          <t>万华化学</t>
        </is>
      </c>
      <c r="C7" s="113" t="inlineStr">
        <is>
          <t>600309</t>
        </is>
      </c>
      <c r="D7" s="112" t="inlineStr">
        <is>
          <t>买入</t>
        </is>
      </c>
      <c r="E7" s="112" t="inlineStr">
        <is>
          <t>一买</t>
        </is>
      </c>
      <c r="F7" s="125" t="n">
        <v>69.29000000000001</v>
      </c>
      <c r="G7" s="126" t="n">
        <v>200</v>
      </c>
      <c r="H7" s="127" t="n">
        <v>13858</v>
      </c>
      <c r="I7" s="125" t="n"/>
      <c r="J7" s="126" t="n"/>
      <c r="K7" s="128" t="n"/>
      <c r="L7" s="125" t="n"/>
      <c r="M7" s="112" t="n"/>
      <c r="N7" s="113" t="n"/>
      <c r="O7" s="112" t="inlineStr">
        <is>
          <t>缠论日线一买</t>
        </is>
      </c>
      <c r="P7" s="113" t="n"/>
      <c r="Q7" s="112" t="n"/>
      <c r="R7" s="129" t="n"/>
      <c r="S7" s="113" t="n"/>
      <c r="T7" s="113" t="n"/>
      <c r="U7" s="112" t="n"/>
      <c r="V7" s="84">
        <f>IF($A16="","",IF(OR(D16="卖出",D16="分红"),IFERROR(INDEX($F$2:$F15,MATCH(2,1/($C$2:$C15=$C16))),""),""))</f>
        <v/>
      </c>
      <c r="W7" s="130">
        <f>IF($A16="","",IF(D16="买入",IF(AND(ISNUMBER(L16),L16&gt;0),(F16-L16)*G16,0),0))</f>
        <v/>
      </c>
      <c r="X7" s="131" t="n">
        <v>0</v>
      </c>
      <c r="Y7" s="131" t="n">
        <v>15.002733</v>
      </c>
      <c r="Z7" s="84">
        <f>IF($A16="","",IF(X16&gt;0,IF(LEFT(Z15,1)="胜","胜"&amp;VALUE(RIGHT(Z15,LEN(Z15)-1))+1,"胜1"),IF(X16&lt;0,IF(LEFT(Z15,1)="亏","亏"&amp;VALUE(RIGHT(Z15,LEN(Z15)-1))+1,"亏1"),"平")))</f>
        <v/>
      </c>
      <c r="AA7" s="132">
        <f>IF($A16="","",MAX(0,(MAX($Y$2:Y16)-Y16)/MAX(1,MAX($Y$2:Y16))))</f>
        <v/>
      </c>
    </row>
    <row r="8" ht="15" customHeight="1" s="85">
      <c r="A8" s="113" t="inlineStr">
        <is>
          <t>2026-07-19</t>
        </is>
      </c>
      <c r="B8" s="112" t="inlineStr">
        <is>
          <t>隆基绿能</t>
        </is>
      </c>
      <c r="C8" s="113" t="inlineStr">
        <is>
          <t>601012</t>
        </is>
      </c>
      <c r="D8" s="112" t="inlineStr">
        <is>
          <t>买入</t>
        </is>
      </c>
      <c r="E8" s="112" t="inlineStr">
        <is>
          <t>一买</t>
        </is>
      </c>
      <c r="F8" s="125" t="n">
        <v>11.843</v>
      </c>
      <c r="G8" s="126" t="n">
        <v>400</v>
      </c>
      <c r="H8" s="127" t="n">
        <v>4737.2</v>
      </c>
      <c r="I8" s="125" t="n"/>
      <c r="J8" s="126" t="n"/>
      <c r="K8" s="128" t="n"/>
      <c r="L8" s="125" t="n">
        <v>11.4</v>
      </c>
      <c r="M8" s="112" t="n"/>
      <c r="N8" s="113" t="n"/>
      <c r="O8" s="112" t="inlineStr">
        <is>
          <t>缠论日+30min共振一买</t>
        </is>
      </c>
      <c r="P8" s="113" t="n"/>
      <c r="Q8" s="112" t="n"/>
      <c r="R8" s="129" t="n"/>
      <c r="S8" s="113" t="n"/>
      <c r="T8" s="113" t="n"/>
      <c r="U8" s="112" t="n"/>
      <c r="V8" s="84">
        <f>IF($A18="","",IF(OR(D18="卖出",D18="分红"),IFERROR(INDEX($F$2:$F17,MATCH(2,1/($C$2:$C17=$C18))),""),""))</f>
        <v/>
      </c>
      <c r="W8" s="130">
        <f>IF($A18="","",IF(D18="买入",IF(AND(ISNUMBER(L18),L18&gt;0),(F18-L18)*G18,0),0))</f>
        <v/>
      </c>
      <c r="X8" s="131" t="n">
        <v>0</v>
      </c>
      <c r="Y8" s="131" t="n">
        <v>15.002733</v>
      </c>
      <c r="Z8" s="84">
        <f>IF($A18="","",IF(X18&gt;0,IF(LEFT(Z17,1)="胜","胜"&amp;VALUE(RIGHT(Z17,LEN(Z17)-1))+1,"胜1"),IF(X18&lt;0,IF(LEFT(Z17,1)="亏","亏"&amp;VALUE(RIGHT(Z17,LEN(Z17)-1))+1,"亏1"),"平")))</f>
        <v/>
      </c>
      <c r="AA8" s="132">
        <f>IF($A18="","",MAX(0,(MAX($Y$2:Y18)-Y18)/MAX(1,MAX($Y$2:Y18))))</f>
        <v/>
      </c>
    </row>
    <row r="9" ht="15" customHeight="1" s="85">
      <c r="A9" s="136" t="inlineStr">
        <is>
          <t>系统健康度仪表盘</t>
        </is>
      </c>
    </row>
    <row r="10" ht="15" customHeight="1" s="85">
      <c r="A10" s="137" t="inlineStr">
        <is>
          <t>总交易次数(不含分红)</t>
        </is>
      </c>
      <c r="B10" s="138">
        <f>COUNTIFS(A2:A200,"&lt;&gt;",D2:D200,"&lt;&gt;")</f>
        <v/>
      </c>
      <c r="C10" s="138" t="n"/>
    </row>
    <row r="11" ht="15" customHeight="1" s="85">
      <c r="A11" s="137" t="inlineStr">
        <is>
          <t>卖出次数</t>
        </is>
      </c>
      <c r="B11" s="138">
        <f>COUNTIF(D2:D200,"卖出")</f>
        <v/>
      </c>
      <c r="C11" s="138" t="n"/>
    </row>
    <row r="12" ht="15" customHeight="1" s="85">
      <c r="A12" s="137" t="inlineStr">
        <is>
          <t>盈利次数(R&gt;0)</t>
        </is>
      </c>
      <c r="B12" s="138">
        <f>COUNTIFS(X2:X200,"&gt;0")</f>
        <v/>
      </c>
      <c r="C12" s="138" t="n"/>
    </row>
    <row r="13" ht="15" customHeight="1" s="85">
      <c r="A13" s="137" t="inlineStr">
        <is>
          <t>亏损次数(R&lt;0)</t>
        </is>
      </c>
      <c r="B13" s="138">
        <f>COUNTIFS(X2:X200,"&lt;0")</f>
        <v/>
      </c>
      <c r="C13" s="138" t="n"/>
    </row>
    <row r="14" ht="15" customHeight="1" s="85">
      <c r="A14" s="137" t="inlineStr">
        <is>
          <t>胜率</t>
        </is>
      </c>
      <c r="B14" s="138">
        <f>IFERROR(B206/B205,0)</f>
        <v/>
      </c>
      <c r="C14" s="138" t="n"/>
    </row>
    <row r="15" ht="15" customHeight="1" s="85">
      <c r="A15" s="137" t="inlineStr">
        <is>
          <t>平均R倍数</t>
        </is>
      </c>
      <c r="B15" s="138" t="n">
        <v>2.143248</v>
      </c>
      <c r="C15" s="138" t="n"/>
    </row>
    <row r="16" ht="15" customHeight="1" s="85">
      <c r="A16" s="137" t="inlineStr">
        <is>
          <t>总R倍数</t>
        </is>
      </c>
      <c r="B16" s="139" t="n">
        <v>15.002733</v>
      </c>
      <c r="C16" s="138" t="n"/>
    </row>
    <row r="17" ht="15" customHeight="1" s="85">
      <c r="A17" s="137" t="inlineStr">
        <is>
          <t>最大单笔R</t>
        </is>
      </c>
      <c r="B17" s="138" t="n">
        <v>9.082390999999999</v>
      </c>
      <c r="C17" s="138" t="n"/>
    </row>
    <row r="18" ht="15" customHeight="1" s="85">
      <c r="A18" s="137" t="inlineStr">
        <is>
          <t>最大单笔亏损R</t>
        </is>
      </c>
      <c r="B18" s="138" t="n">
        <v>-0.401727</v>
      </c>
      <c r="C18" s="138" t="n"/>
    </row>
    <row r="19" ht="15" customHeight="1" s="85">
      <c r="A19" s="137" t="inlineStr">
        <is>
          <t>最大连续盈利(笔)</t>
        </is>
      </c>
      <c r="B19" s="138" t="inlineStr">
        <is>
          <t>"见Z列(连胜/连亏)"</t>
        </is>
      </c>
      <c r="C19" s="138" t="n"/>
    </row>
    <row r="20" ht="15" customHeight="1" s="85">
      <c r="A20" s="137" t="inlineStr">
        <is>
          <t>累计R最大回撤</t>
        </is>
      </c>
      <c r="B20" s="140" t="n">
        <v>0</v>
      </c>
      <c r="C20" s="138" t="n"/>
    </row>
    <row r="21" ht="15" customHeight="1" s="85">
      <c r="A21" s="137" t="inlineStr">
        <is>
          <t>盈亏比</t>
        </is>
      </c>
      <c r="B21" s="138" t="n">
        <v>8.379486999999999</v>
      </c>
      <c r="C21" s="138" t="n"/>
    </row>
    <row r="22" ht="15" customHeight="1" s="85">
      <c r="A22" s="141" t="inlineStr">
        <is>
          <t>系统状态</t>
        </is>
      </c>
      <c r="B22" s="141" t="inlineStr">
        <is>
          <t>正期望系统 ✅</t>
        </is>
      </c>
      <c r="C22" s="138" t="n"/>
    </row>
    <row r="23" ht="15" customHeight="1" s="85">
      <c r="A23" s="142" t="n">
        <v>46227</v>
      </c>
      <c r="B23" s="116" t="inlineStr">
        <is>
          <t>方盛制药</t>
        </is>
      </c>
      <c r="C23" s="84" t="inlineStr">
        <is>
          <t>603998</t>
        </is>
      </c>
      <c r="D23" s="116" t="inlineStr">
        <is>
          <t>买入</t>
        </is>
      </c>
      <c r="E23" s="116" t="inlineStr">
        <is>
          <t>日线一买确认</t>
        </is>
      </c>
      <c r="F23" s="84" t="n">
        <v>9.449999999999999</v>
      </c>
      <c r="G23" s="84" t="n">
        <v>100</v>
      </c>
      <c r="H23" s="84" t="n">
        <v>945</v>
      </c>
      <c r="I23" s="84" t="n">
        <v>1.5</v>
      </c>
      <c r="J23" s="84" t="n">
        <v>100</v>
      </c>
      <c r="K23" s="84" t="n">
        <v>20842.32</v>
      </c>
      <c r="L23" s="84" t="n">
        <v>8.977499999999999</v>
      </c>
      <c r="M23" s="116" t="inlineStr">
        <is>
          <t>破止损</t>
        </is>
      </c>
      <c r="N23" s="116" t="inlineStr">
        <is>
          <t>合规</t>
        </is>
      </c>
      <c r="O23" s="116" t="inlineStr">
        <is>
          <t>日线ratio=3.7% DL_P=0.70 valid</t>
        </is>
      </c>
      <c r="P23" s="116" t="inlineStr">
        <is>
          <t>持仓中</t>
        </is>
      </c>
    </row>
    <row r="24" ht="15" customHeight="1" s="85">
      <c r="A24" s="142" t="n">
        <v>46227</v>
      </c>
      <c r="B24" s="116" t="inlineStr">
        <is>
          <t>建研院</t>
        </is>
      </c>
      <c r="C24" s="84" t="inlineStr">
        <is>
          <t>603183</t>
        </is>
      </c>
      <c r="D24" s="116" t="inlineStr">
        <is>
          <t>买入</t>
        </is>
      </c>
      <c r="E24" s="116" t="inlineStr">
        <is>
          <t>日线一买确认</t>
        </is>
      </c>
      <c r="F24" s="84" t="n">
        <v>4.07</v>
      </c>
      <c r="G24" s="84" t="n">
        <v>200</v>
      </c>
      <c r="H24" s="84" t="n">
        <v>814</v>
      </c>
      <c r="I24" s="84" t="n">
        <v>1.5</v>
      </c>
      <c r="J24" s="84" t="n">
        <v>200</v>
      </c>
      <c r="K24" s="84" t="n">
        <v>20842.32</v>
      </c>
      <c r="L24" s="84" t="n">
        <v>3.8665</v>
      </c>
      <c r="M24" s="116" t="inlineStr">
        <is>
          <t>破止损</t>
        </is>
      </c>
      <c r="N24" s="116" t="inlineStr">
        <is>
          <t>合规</t>
        </is>
      </c>
      <c r="O24" s="116" t="inlineStr">
        <is>
          <t>日线ratio=5.7% DL_P=0.70 valid</t>
        </is>
      </c>
      <c r="P24" s="116" t="inlineStr">
        <is>
          <t>持仓中</t>
        </is>
      </c>
    </row>
    <row r="25" ht="15" customHeight="1" s="85">
      <c r="A25" s="142" t="n">
        <v>46227</v>
      </c>
      <c r="B25" s="116" t="inlineStr">
        <is>
          <t>曲美家居</t>
        </is>
      </c>
      <c r="C25" s="84" t="inlineStr">
        <is>
          <t>603818</t>
        </is>
      </c>
      <c r="D25" s="116" t="inlineStr">
        <is>
          <t>买入</t>
        </is>
      </c>
      <c r="E25" s="116" t="inlineStr">
        <is>
          <t>日线一买确认</t>
        </is>
      </c>
      <c r="F25" s="84" t="n">
        <v>3.2</v>
      </c>
      <c r="G25" s="84" t="n">
        <v>500</v>
      </c>
      <c r="H25" s="84" t="n">
        <v>1600</v>
      </c>
      <c r="I25" s="84" t="n">
        <v>2.4</v>
      </c>
      <c r="J25" s="84" t="n">
        <v>500</v>
      </c>
      <c r="K25" s="84" t="n">
        <v>20842.32</v>
      </c>
      <c r="L25" s="84" t="n">
        <v>3.04</v>
      </c>
      <c r="M25" s="116" t="inlineStr">
        <is>
          <t>破止损</t>
        </is>
      </c>
      <c r="N25" s="116" t="inlineStr">
        <is>
          <t>合规(已减量)</t>
        </is>
      </c>
      <c r="O25" s="116" t="inlineStr">
        <is>
          <t>日线ratio=9.7% 原挂2100股减至500股</t>
        </is>
      </c>
      <c r="P25" s="116" t="inlineStr">
        <is>
          <t>持仓中</t>
        </is>
      </c>
    </row>
    <row r="26" ht="15" customHeight="1" s="85">
      <c r="A26" s="142" t="n">
        <v>46227</v>
      </c>
      <c r="B26" s="116" t="inlineStr">
        <is>
          <t>创力集团</t>
        </is>
      </c>
      <c r="C26" s="84" t="inlineStr">
        <is>
          <t>603012</t>
        </is>
      </c>
      <c r="D26" s="116" t="inlineStr">
        <is>
          <t>买入</t>
        </is>
      </c>
      <c r="E26" s="116" t="inlineStr">
        <is>
          <t>日线一买确认</t>
        </is>
      </c>
      <c r="F26" s="84" t="n">
        <v>8.021000000000001</v>
      </c>
      <c r="G26" s="84" t="n">
        <v>100</v>
      </c>
      <c r="H26" s="84" t="n">
        <v>802</v>
      </c>
      <c r="I26" s="84" t="n">
        <v>1.5</v>
      </c>
      <c r="J26" s="84" t="n">
        <v>100</v>
      </c>
      <c r="K26" s="84" t="n">
        <v>20842.32</v>
      </c>
      <c r="L26" s="84" t="n">
        <v>7.61995</v>
      </c>
      <c r="M26" s="116" t="inlineStr">
        <is>
          <t>破止损</t>
        </is>
      </c>
      <c r="N26" s="116" t="inlineStr">
        <is>
          <t>合规</t>
        </is>
      </c>
      <c r="O26" s="116" t="inlineStr">
        <is>
          <t>日线ratio=2.7% DL_P=0.70 全买点</t>
        </is>
      </c>
      <c r="P26" s="116" t="inlineStr">
        <is>
          <t>持仓中</t>
        </is>
      </c>
    </row>
    <row r="27" ht="15" customHeight="1" s="85">
      <c r="A27" s="142" t="n">
        <v>46227</v>
      </c>
      <c r="B27" s="116" t="inlineStr">
        <is>
          <t>新五丰</t>
        </is>
      </c>
      <c r="C27" s="84" t="inlineStr">
        <is>
          <t>600975</t>
        </is>
      </c>
      <c r="D27" s="116" t="inlineStr">
        <is>
          <t>买入</t>
        </is>
      </c>
      <c r="E27" s="116" t="inlineStr">
        <is>
          <t>日线一买确认</t>
        </is>
      </c>
      <c r="F27" s="84" t="n">
        <v>4.804</v>
      </c>
      <c r="G27" s="84" t="n">
        <v>300</v>
      </c>
      <c r="H27" s="84" t="n">
        <v>1441</v>
      </c>
      <c r="I27" s="84" t="n">
        <v>2.2</v>
      </c>
      <c r="J27" s="84" t="n">
        <v>300</v>
      </c>
      <c r="K27" s="84" t="n">
        <v>20842.32</v>
      </c>
      <c r="L27" s="84" t="n">
        <v>4.5638</v>
      </c>
      <c r="M27" s="116" t="inlineStr">
        <is>
          <t>破止损</t>
        </is>
      </c>
      <c r="N27" s="116" t="inlineStr">
        <is>
          <t>合规</t>
        </is>
      </c>
      <c r="O27" s="116" t="inlineStr">
        <is>
          <t>日线ratio=12.1% 三级全买点</t>
        </is>
      </c>
      <c r="P27" s="116" t="inlineStr">
        <is>
          <t>持仓中</t>
        </is>
      </c>
    </row>
    <row r="28" ht="15" customHeight="1" s="85">
      <c r="A28" s="84" t="inlineStr">
        <is>
          <t>2026-07-29</t>
        </is>
      </c>
      <c r="B28" s="116" t="inlineStr">
        <is>
          <t>⚠️ 合规审查</t>
        </is>
      </c>
      <c r="D28" s="116" t="inlineStr">
        <is>
          <t>违规标注</t>
        </is>
      </c>
      <c r="E28" s="116" t="inlineStr">
        <is>
          <t>沃华医药买入+三力士卖出 均建议撤单</t>
        </is>
      </c>
    </row>
    <row r="29" ht="15" customHeight="1" s="85">
      <c r="A29" s="143" t="inlineStr">
        <is>
          <t>2026-07-29</t>
        </is>
      </c>
      <c r="B29" s="144" t="inlineStr">
        <is>
          <t>沃华医药</t>
        </is>
      </c>
      <c r="C29" s="143" t="inlineStr">
        <is>
          <t>002107</t>
        </is>
      </c>
      <c r="D29" s="144" t="inlineStr">
        <is>
          <t>⚠️违规买入</t>
        </is>
      </c>
      <c r="E29" s="144" t="inlineStr">
        <is>
          <t>不在候选池内, 未经系统筛选</t>
        </is>
      </c>
      <c r="F29" s="143" t="n">
        <v>6</v>
      </c>
      <c r="G29" s="143" t="n">
        <v>200</v>
      </c>
      <c r="H29" s="143" t="n">
        <v>1200</v>
      </c>
      <c r="I29" s="144" t="inlineStr">
        <is>
          <t>建议撤单</t>
        </is>
      </c>
    </row>
    <row r="30" ht="15" customHeight="1" s="85">
      <c r="A30" s="143" t="inlineStr">
        <is>
          <t>2026-07-29</t>
        </is>
      </c>
      <c r="B30" s="144" t="inlineStr">
        <is>
          <t>三力士</t>
        </is>
      </c>
      <c r="C30" s="143" t="inlineStr">
        <is>
          <t>002224</t>
        </is>
      </c>
      <c r="D30" s="144" t="inlineStr">
        <is>
          <t>⚠️违规卖出</t>
        </is>
      </c>
      <c r="E30" s="144" t="inlineStr">
        <is>
          <t>计划持有但挂全仓卖出单</t>
        </is>
      </c>
      <c r="F30" s="143" t="n">
        <v>3.38</v>
      </c>
      <c r="G30" s="143" t="n">
        <v>300</v>
      </c>
      <c r="H30" s="143" t="n">
        <v>1014</v>
      </c>
      <c r="I30" s="144" t="inlineStr">
        <is>
          <t>建议撤单, 除非有日线卖点信号</t>
        </is>
      </c>
    </row>
    <row r="31" ht="15" customHeight="1" s="85">
      <c r="A31" s="119" t="n">
        <v>46233.48541666667</v>
      </c>
      <c r="B31" s="116" t="inlineStr">
        <is>
          <t>松芝股份</t>
        </is>
      </c>
      <c r="C31" s="84" t="inlineStr">
        <is>
          <t>002454</t>
        </is>
      </c>
      <c r="D31" s="116" t="inlineStr">
        <is>
          <t>卖出</t>
        </is>
      </c>
      <c r="E31" s="116" t="inlineStr">
        <is>
          <t>去弱留强</t>
        </is>
      </c>
      <c r="F31" s="84" t="n">
        <v>4.87</v>
      </c>
      <c r="G31" s="84" t="n">
        <v>300</v>
      </c>
      <c r="H31" s="84" t="n">
        <v>1461</v>
      </c>
      <c r="O31" s="116" t="inlineStr">
        <is>
          <t>去弱留强减仓，保留100股</t>
        </is>
      </c>
      <c r="T31" s="116" t="inlineStr">
        <is>
          <t>否</t>
        </is>
      </c>
    </row>
    <row r="32" ht="15" customHeight="1" s="85">
      <c r="A32" s="119" t="n">
        <v>46233.48541666667</v>
      </c>
      <c r="B32" s="116" t="inlineStr">
        <is>
          <t>拱东医疗</t>
        </is>
      </c>
      <c r="C32" s="84" t="inlineStr">
        <is>
          <t>605369</t>
        </is>
      </c>
      <c r="D32" s="116" t="inlineStr">
        <is>
          <t>卖出</t>
        </is>
      </c>
      <c r="E32" s="116" t="inlineStr">
        <is>
          <t>去弱留强</t>
        </is>
      </c>
      <c r="F32" s="84" t="n">
        <v>15.94</v>
      </c>
      <c r="G32" s="84" t="n">
        <v>100</v>
      </c>
      <c r="H32" s="84" t="n">
        <v>1594</v>
      </c>
      <c r="O32" s="116" t="inlineStr">
        <is>
          <t>去弱留强减仓，保留100股</t>
        </is>
      </c>
      <c r="T32" s="116" t="inlineStr">
        <is>
          <t>否</t>
        </is>
      </c>
    </row>
    <row r="33" ht="15" customHeight="1" s="85">
      <c r="A33" s="119" t="n">
        <v>46233.61805555555</v>
      </c>
      <c r="B33" s="116" t="inlineStr">
        <is>
          <t>贵绳股份</t>
        </is>
      </c>
      <c r="C33" s="84" t="inlineStr">
        <is>
          <t>600992</t>
        </is>
      </c>
      <c r="D33" s="116" t="inlineStr">
        <is>
          <t>买入</t>
        </is>
      </c>
      <c r="E33" s="116" t="inlineStr">
        <is>
          <t>二买信号</t>
        </is>
      </c>
      <c r="F33" s="84" t="n">
        <v>8.94</v>
      </c>
      <c r="G33" s="84" t="n">
        <v>100</v>
      </c>
      <c r="H33" s="84" t="n">
        <v>894</v>
      </c>
      <c r="J33" s="84" t="n">
        <v>300</v>
      </c>
      <c r="N33" s="116" t="inlineStr">
        <is>
          <t>合规</t>
        </is>
      </c>
      <c r="O33" s="116" t="inlineStr">
        <is>
          <t>二买确认加仓100股</t>
        </is>
      </c>
      <c r="T33" s="116" t="inlineStr">
        <is>
          <t>否</t>
        </is>
      </c>
    </row>
    <row r="34" ht="15" customHeight="1" s="85">
      <c r="A34" s="119" t="n">
        <v>46237</v>
      </c>
      <c r="B34" s="116" t="inlineStr">
        <is>
          <t>日上集团</t>
        </is>
      </c>
      <c r="C34" s="84" t="inlineStr">
        <is>
          <t>002593</t>
        </is>
      </c>
      <c r="D34" s="116" t="inlineStr">
        <is>
          <t>卖出</t>
        </is>
      </c>
      <c r="E34" s="116" t="inlineStr">
        <is>
          <t>计划外</t>
        </is>
      </c>
      <c r="F34" s="84" t="n">
        <v>4.27</v>
      </c>
      <c r="G34" s="84" t="n">
        <v>200</v>
      </c>
      <c r="H34" s="84" t="n">
        <v>854</v>
      </c>
      <c r="I34" s="84" t="n">
        <v>5</v>
      </c>
      <c r="N34" s="116" t="inlineStr">
        <is>
          <t>⚠️待审查</t>
        </is>
      </c>
      <c r="O34" s="116" t="inlineStr">
        <is>
          <t>不在原计划, 疑似换仓腾资金</t>
        </is>
      </c>
      <c r="P34" s="116" t="inlineStr">
        <is>
          <t>已平仓</t>
        </is>
      </c>
      <c r="T34" s="116" t="inlineStr">
        <is>
          <t>否</t>
        </is>
      </c>
    </row>
    <row r="35" ht="15" customHeight="1" s="85">
      <c r="A35" s="119" t="n">
        <v>46237</v>
      </c>
      <c r="B35" s="116" t="inlineStr">
        <is>
          <t>皇氏集团</t>
        </is>
      </c>
      <c r="C35" s="84" t="inlineStr">
        <is>
          <t>002329</t>
        </is>
      </c>
      <c r="D35" s="116" t="inlineStr">
        <is>
          <t>买入</t>
        </is>
      </c>
      <c r="E35" s="116" t="inlineStr">
        <is>
          <t>一买确认</t>
        </is>
      </c>
      <c r="F35" s="84" t="n">
        <v>3.021</v>
      </c>
      <c r="G35" s="84" t="n">
        <v>1000</v>
      </c>
      <c r="H35" s="84" t="n">
        <v>3021</v>
      </c>
      <c r="I35" s="84" t="n">
        <v>5</v>
      </c>
      <c r="N35" s="116" t="inlineStr">
        <is>
          <t>合规</t>
        </is>
      </c>
      <c r="O35" s="84" t="inlineStr">
        <is>
          <t>T1建仓 DL_P=0.97 ratio=4.3% 核心池</t>
        </is>
      </c>
      <c r="P35" s="116" t="inlineStr">
        <is>
          <t>持仓中</t>
        </is>
      </c>
      <c r="T35" s="116" t="inlineStr">
        <is>
          <t>否</t>
        </is>
      </c>
    </row>
    <row r="36" ht="15" customHeight="1" s="85">
      <c r="A36" s="119" t="n">
        <v>46237</v>
      </c>
      <c r="B36" s="116" t="inlineStr">
        <is>
          <t>证通电子</t>
        </is>
      </c>
      <c r="C36" s="84" t="inlineStr">
        <is>
          <t>002197</t>
        </is>
      </c>
      <c r="D36" s="116" t="inlineStr">
        <is>
          <t>买入</t>
        </is>
      </c>
      <c r="E36" s="116" t="inlineStr">
        <is>
          <t>一买确认</t>
        </is>
      </c>
      <c r="F36" s="84" t="n">
        <v>6.754</v>
      </c>
      <c r="G36" s="84" t="n">
        <v>300</v>
      </c>
      <c r="H36" s="84" t="n">
        <v>2026.2</v>
      </c>
      <c r="I36" s="84" t="n">
        <v>5</v>
      </c>
      <c r="N36" s="116" t="inlineStr">
        <is>
          <t>合规</t>
        </is>
      </c>
      <c r="O36" s="84" t="inlineStr">
        <is>
          <t>T2建仓 DL_P=0.95 ratio=0.7% 核心池</t>
        </is>
      </c>
      <c r="P36" s="116" t="inlineStr">
        <is>
          <t>持仓中</t>
        </is>
      </c>
      <c r="T36" s="116" t="inlineStr">
        <is>
          <t>否</t>
        </is>
      </c>
    </row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  <row r="203" ht="15" customHeight="1" s="85"/>
    <row r="204" ht="15" customHeight="1" s="85"/>
    <row r="205" ht="15" customHeight="1" s="85"/>
    <row r="206" ht="15" customHeight="1" s="85"/>
    <row r="207" ht="15" customHeight="1" s="85"/>
    <row r="208" ht="15" customHeight="1" s="85"/>
    <row r="209" ht="15" customHeight="1" s="85"/>
    <row r="210" ht="15" customHeight="1" s="85"/>
    <row r="211" ht="15" customHeight="1" s="85"/>
    <row r="212" ht="15" customHeight="1" s="85"/>
    <row r="213" ht="15" customHeight="1" s="85"/>
    <row r="214" ht="15" customHeight="1" s="85"/>
    <row r="215" ht="15" customHeight="1" s="85"/>
    <row r="216" ht="15" customHeight="1" s="85"/>
    <row r="217" ht="15" customHeight="1" s="85"/>
    <row r="218" ht="15" customHeight="1" s="85"/>
    <row r="219" ht="15" customHeight="1" s="85"/>
    <row r="220" ht="15" customHeight="1" s="85"/>
    <row r="221" ht="15" customHeight="1" s="85"/>
    <row r="222" ht="15" customHeight="1" s="85"/>
    <row r="223" ht="15" customHeight="1" s="85"/>
    <row r="224" ht="15" customHeight="1" s="85"/>
    <row r="225" ht="15" customHeight="1" s="85"/>
    <row r="226" ht="15" customHeight="1" s="85"/>
    <row r="227" ht="15" customHeight="1" s="85"/>
    <row r="228" ht="15" customHeight="1" s="85"/>
    <row r="229" ht="15" customHeight="1" s="85"/>
    <row r="230" ht="15" customHeight="1" s="85"/>
    <row r="231" ht="15" customHeight="1" s="85"/>
    <row r="232" ht="15" customHeight="1" s="85"/>
    <row r="233" ht="15" customHeight="1" s="85"/>
    <row r="234" ht="15" customHeight="1" s="85"/>
    <row r="235" ht="15" customHeight="1" s="85"/>
    <row r="236" ht="15" customHeight="1" s="85"/>
    <row r="237" ht="15" customHeight="1" s="85"/>
    <row r="238" ht="15" customHeight="1" s="85"/>
    <row r="239" ht="15" customHeight="1" s="85"/>
    <row r="240" ht="15" customHeight="1" s="85"/>
    <row r="241" ht="15" customHeight="1" s="85"/>
    <row r="242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8" text="" percent="0" bottom="0">
      <formula>N2="是"</formula>
    </cfRule>
    <cfRule type="expression" rank="0" priority="3" equalAverage="0" aboveAverage="0" dxfId="9" text="" percent="0" bottom="0">
      <formula>N2="否"</formula>
    </cfRule>
  </conditionalFormatting>
  <conditionalFormatting sqref="S2:S201">
    <cfRule type="expression" rank="0" priority="4" equalAverage="0" aboveAverage="0" dxfId="9" text="" percent="0" bottom="0">
      <formula>S2="是"</formula>
    </cfRule>
  </conditionalFormatting>
  <conditionalFormatting sqref="T2:T201">
    <cfRule type="expression" rank="0" priority="5" equalAverage="0" aboveAverage="0" dxfId="9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Q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84" min="1" max="1"/>
    <col width="14" customWidth="1" style="84" min="2" max="2"/>
    <col width="13" customWidth="1" style="84" min="3" max="3"/>
    <col width="14" customWidth="1" style="84" min="4" max="4"/>
    <col width="13" customWidth="1" style="84" min="5" max="5"/>
    <col width="16" customWidth="1" style="84" min="6" max="6"/>
    <col width="12" customWidth="1" style="84" min="7" max="7"/>
    <col width="20" customWidth="1" style="84" min="8" max="8"/>
    <col width="30" customWidth="1" style="84" min="9" max="10"/>
    <col width="10" customWidth="1" style="84" min="11" max="11"/>
    <col width="12" customWidth="1" style="84" min="12" max="12"/>
    <col width="16" customWidth="1" style="84" min="13" max="13"/>
    <col width="14" customWidth="1" style="84" min="14" max="15"/>
    <col width="10" customWidth="1" style="84" min="16" max="16"/>
  </cols>
  <sheetData>
    <row r="1" ht="15" customHeight="1" s="85">
      <c r="A1" s="145" t="inlineStr">
        <is>
          <t>日期</t>
        </is>
      </c>
      <c r="B1" s="145" t="inlineStr">
        <is>
          <t>非工作流看盘次数</t>
        </is>
      </c>
      <c r="C1" s="145" t="inlineStr">
        <is>
          <t>是否追价操作</t>
        </is>
      </c>
      <c r="D1" s="145" t="inlineStr">
        <is>
          <t>是否按系统执行</t>
        </is>
      </c>
      <c r="E1" s="145" t="inlineStr">
        <is>
          <t>情绪状态(1-5)</t>
        </is>
      </c>
      <c r="F1" s="145" t="inlineStr">
        <is>
          <t>是否有止损外操作</t>
        </is>
      </c>
      <c r="G1" s="145" t="inlineStr">
        <is>
          <t>当日交易次数</t>
        </is>
      </c>
      <c r="H1" s="145" t="inlineStr">
        <is>
          <t>当日系统判定(全部合规)</t>
        </is>
      </c>
      <c r="I1" s="145" t="inlineStr">
        <is>
          <t>焦虑事件描述</t>
        </is>
      </c>
      <c r="J1" s="145" t="inlineStr">
        <is>
          <t>今日心态感悟</t>
        </is>
      </c>
      <c r="K1" s="145" t="inlineStr">
        <is>
          <t>心态得分</t>
        </is>
      </c>
      <c r="L1" s="145" t="inlineStr">
        <is>
          <t>轻态化达标</t>
        </is>
      </c>
      <c r="M1" s="145" t="inlineStr">
        <is>
          <t>本周平均心态得分</t>
        </is>
      </c>
      <c r="N1" s="145" t="inlineStr">
        <is>
          <t>本周达标天数</t>
        </is>
      </c>
      <c r="O1" s="145" t="inlineStr">
        <is>
          <t>连续达标天数</t>
        </is>
      </c>
      <c r="P1" s="145" t="inlineStr">
        <is>
          <t>心态趋势</t>
        </is>
      </c>
    </row>
    <row r="2" ht="15" customHeight="1" s="85">
      <c r="A2" s="146" t="n">
        <v>46225</v>
      </c>
      <c r="B2" s="147" t="n">
        <v>5</v>
      </c>
      <c r="C2" s="147" t="n">
        <v>0</v>
      </c>
      <c r="D2" s="147" t="n">
        <v>5</v>
      </c>
      <c r="E2" s="147" t="n">
        <v>3</v>
      </c>
      <c r="F2" s="147" t="n">
        <v>0</v>
      </c>
      <c r="G2" s="147" t="n">
        <v>0</v>
      </c>
      <c r="H2" s="148" t="inlineStr">
        <is>
          <t>全部合规</t>
        </is>
      </c>
      <c r="I2" s="147" t="n"/>
      <c r="J2" s="147" t="n"/>
      <c r="K2" s="149" t="n">
        <v>70</v>
      </c>
      <c r="L2" s="150" t="inlineStr">
        <is>
          <t>未达标</t>
        </is>
      </c>
      <c r="M2" s="151">
        <f>IF($A2="","",IFERROR(AVERAGEIFS(K$2:K2,WEEKNUM(A$2:A2,2),WEEKNUM(A2,2)),K2))</f>
        <v/>
      </c>
      <c r="N2" s="152">
        <f>IF($A2="","",IFERROR(COUNTIFS(A$2:A2,"&lt;&gt;",L$2:L2,"达标",WEEKNUM(A$2:A2,2),WEEKNUM(A2,2)),0))</f>
        <v/>
      </c>
      <c r="O2" s="149">
        <f>IF($A2="","",IF(L2="达标",IF(ROW()=2,1,IF(O2="",1,O2+1)),0))</f>
        <v/>
      </c>
      <c r="P2" s="150">
        <f>IF($A2="","",IF(ROW()&lt;=8,"基准周",IF(K2&gt;75,"改善",IF(K2&lt;60,"恶化","持平"))))</f>
        <v/>
      </c>
    </row>
    <row r="3" ht="15" customHeight="1" s="85">
      <c r="A3" s="153" t="n">
        <v>46226</v>
      </c>
      <c r="B3" s="154" t="n">
        <v>3</v>
      </c>
      <c r="C3" s="154" t="n">
        <v>0</v>
      </c>
      <c r="D3" s="154" t="n">
        <v>4</v>
      </c>
      <c r="E3" s="154" t="n">
        <v>3</v>
      </c>
      <c r="F3" s="154" t="n">
        <v>0</v>
      </c>
      <c r="G3" s="154" t="n">
        <v>1</v>
      </c>
      <c r="H3" s="155" t="inlineStr">
        <is>
          <t>全部合规</t>
        </is>
      </c>
      <c r="I3" s="154" t="n"/>
      <c r="J3" s="154" t="n"/>
      <c r="K3" s="149" t="n">
        <v>70</v>
      </c>
      <c r="L3" s="150" t="inlineStr">
        <is>
          <t>未达标</t>
        </is>
      </c>
      <c r="M3" s="151">
        <f>IF($A3="","",IFERROR(AVERAGEIFS(K$2:K3,WEEKNUM(A$2:A3,2),WEEKNUM(A3,2)),K3))</f>
        <v/>
      </c>
      <c r="N3" s="152">
        <f>IF($A3="","",IFERROR(COUNTIFS(A$2:A3,"&lt;&gt;",L$2:L3,"达标",WEEKNUM(A$2:A3,2),WEEKNUM(A3,2)),0))</f>
        <v/>
      </c>
      <c r="O3" s="149">
        <f>IF($A3="","",IF(L3="达标",IF(ROW()=2,1,IF(O3="",1,O3+1)),0))</f>
        <v/>
      </c>
      <c r="P3" s="150">
        <f>IF($A3="","",IF(ROW()&lt;=8,"基准周",IF(K3&gt;75,"改善",IF(K3&lt;60,"恶化","持平"))))</f>
        <v/>
      </c>
    </row>
    <row r="4" ht="15" customHeight="1" s="85">
      <c r="A4" s="146" t="n">
        <v>46227</v>
      </c>
      <c r="B4" s="147" t="n">
        <v>4</v>
      </c>
      <c r="C4" s="147" t="n">
        <v>0</v>
      </c>
      <c r="D4" s="147" t="n">
        <v>4</v>
      </c>
      <c r="E4" s="147" t="n">
        <v>3</v>
      </c>
      <c r="F4" s="147" t="n">
        <v>0</v>
      </c>
      <c r="G4" s="147" t="n">
        <v>6</v>
      </c>
      <c r="H4" s="148" t="inlineStr">
        <is>
          <t>全部合规</t>
        </is>
      </c>
      <c r="I4" s="148" t="inlineStr">
        <is>
          <t>曲美家居原挂2100股(33%仓位)超限,减至500股后合规</t>
        </is>
      </c>
      <c r="J4" s="148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149">
        <f>IF($A4="","",IF(B4=0,20,IF(B4=1,15,IF(B4=2,10,IF(B4=3,5,0))))+IF(C4="否",20,0)+IF(D4="是",20,0)+IF(E4=1,20,IF(E4=2,15,IF(E4=3,10,IF(E4=4,5,0))))+IF(F4="否",20,0))</f>
        <v/>
      </c>
      <c r="L4" s="150">
        <f>IF($A4="","",IF(K4&gt;=80,"达标","未达标"))</f>
        <v/>
      </c>
      <c r="M4" s="151">
        <f>IF($A4="","",IFERROR(AVERAGEIFS(K$2:K4,WEEKNUM(A$2:A4,2),WEEKNUM(A4,2)),K4))</f>
        <v/>
      </c>
      <c r="N4" s="152">
        <f>IF($A4="","",IFERROR(COUNTIFS(A$2:A4,"&lt;&gt;",L$2:L4,"达标",WEEKNUM(A$2:A4,2),WEEKNUM(A4,2)),0))</f>
        <v/>
      </c>
      <c r="O4" s="149">
        <f>IF($A4="","",IF(L4="达标",IF(ROW()=2,1,IF(O4="",1,O4+1)),0))</f>
        <v/>
      </c>
      <c r="P4" s="150">
        <f>IF($A4="","",IF(ROW()&lt;=8,"基准周",IF(K4&gt;75,"改善",IF(K4&lt;60,"恶化","持平"))))</f>
        <v/>
      </c>
    </row>
    <row r="5" ht="15" customHeight="1" s="85">
      <c r="A5" s="136" t="inlineStr">
        <is>
          <t>心态轻态化仪表盘</t>
        </is>
      </c>
      <c r="M5" s="84">
        <f>IF($A203="","",IFERROR(AVERAGEIFS(K$2:K203,WEEKNUM(A$2:A203,2),WEEKNUM(A203,2)),K203))</f>
        <v/>
      </c>
      <c r="N5" s="84">
        <f>IF($A203="","",IFERROR(COUNTIFS(A$2:A203,"&lt;&gt;",L$2:L203,"达标",WEEKNUM(A$2:A203,2),WEEKNUM(A203,2)),0))</f>
        <v/>
      </c>
      <c r="O5" s="84">
        <f>IF($A203="","",IF(L203="达标",IF(ROW()=2,1,IF(O202="",1,O202+1)),0))</f>
        <v/>
      </c>
      <c r="P5" s="84">
        <f>IF($A203="","",IF(ROW()&lt;=8,"基准周",IF(K203&gt;75,"改善",IF(K203&lt;60,"恶化","持平"))))</f>
        <v/>
      </c>
    </row>
    <row r="6" ht="15" customHeight="1" s="85">
      <c r="A6" s="137" t="inlineStr">
        <is>
          <t>填写天数</t>
        </is>
      </c>
      <c r="B6" s="138">
        <f>COUNTA(A2:A200)</f>
        <v/>
      </c>
      <c r="C6" s="138" t="n"/>
      <c r="M6" s="84">
        <f>IF($A204="","",IFERROR(AVERAGEIFS(K$2:K204,WEEKNUM(A$2:A204,2),WEEKNUM(A204,2)),K204))</f>
        <v/>
      </c>
      <c r="N6" s="84">
        <f>IF($A204="","",IFERROR(COUNTIFS(A$2:A204,"&lt;&gt;",L$2:L204,"达标",WEEKNUM(A$2:A204,2),WEEKNUM(A204,2)),0))</f>
        <v/>
      </c>
      <c r="O6" s="84">
        <f>IF($A204="","",IF(L204="达标",IF(ROW()=2,1,IF(O203="",1,O203+1)),0))</f>
        <v/>
      </c>
      <c r="P6" s="84">
        <f>IF($A204="","",IF(ROW()&lt;=8,"基准周",IF(K204&gt;75,"改善",IF(K204&lt;60,"恶化","持平"))))</f>
        <v/>
      </c>
    </row>
    <row r="7" ht="15" customHeight="1" s="85">
      <c r="A7" s="137" t="inlineStr">
        <is>
          <t>达标天数</t>
        </is>
      </c>
      <c r="B7" s="138">
        <f>COUNTIF(L2:L200,"达标")</f>
        <v/>
      </c>
      <c r="C7" s="138" t="n"/>
      <c r="M7" s="84">
        <f>IF($A205="","",IFERROR(AVERAGEIFS(K$2:K205,WEEKNUM(A$2:A205,2),WEEKNUM(A205,2)),K205))</f>
        <v/>
      </c>
      <c r="N7" s="84">
        <f>IF($A205="","",IFERROR(COUNTIFS(A$2:A205,"&lt;&gt;",L$2:L205,"达标",WEEKNUM(A$2:A205,2),WEEKNUM(A205,2)),0))</f>
        <v/>
      </c>
      <c r="O7" s="84">
        <f>IF($A205="","",IF(L205="达标",IF(ROW()=2,1,IF(O204="",1,O204+1)),0))</f>
        <v/>
      </c>
      <c r="P7" s="84">
        <f>IF($A205="","",IF(ROW()&lt;=8,"基准周",IF(K205&gt;75,"改善",IF(K205&lt;60,"恶化","持平"))))</f>
        <v/>
      </c>
    </row>
    <row r="8" ht="15" customHeight="1" s="85">
      <c r="A8" s="137" t="inlineStr">
        <is>
          <t>达标率</t>
        </is>
      </c>
      <c r="B8" s="138">
        <f>IFERROR(B205/B204,0)</f>
        <v/>
      </c>
      <c r="C8" s="138" t="n"/>
      <c r="M8" s="84">
        <f>IF($A206="","",IFERROR(AVERAGEIFS(K$2:K206,WEEKNUM(A$2:A206,2),WEEKNUM(A206,2)),K206))</f>
        <v/>
      </c>
      <c r="N8" s="84">
        <f>IF($A206="","",IFERROR(COUNTIFS(A$2:A206,"&lt;&gt;",L$2:L206,"达标",WEEKNUM(A$2:A206,2),WEEKNUM(A206,2)),0))</f>
        <v/>
      </c>
      <c r="O8" s="84">
        <f>IF($A206="","",IF(L206="达标",IF(ROW()=2,1,IF(O205="",1,O205+1)),0))</f>
        <v/>
      </c>
      <c r="P8" s="84">
        <f>IF($A206="","",IF(ROW()&lt;=8,"基准周",IF(K206&gt;75,"改善",IF(K206&lt;60,"恶化","持平"))))</f>
        <v/>
      </c>
    </row>
    <row r="9" ht="15" customHeight="1" s="85">
      <c r="A9" s="137" t="inlineStr">
        <is>
          <t>平均心态得分</t>
        </is>
      </c>
      <c r="B9" s="138">
        <f>IFERROR(AVERAGE(K2:K200),0)</f>
        <v/>
      </c>
      <c r="C9" s="138" t="n"/>
      <c r="M9" s="84">
        <f>IF($A207="","",IFERROR(AVERAGEIFS(K$2:K207,WEEKNUM(A$2:A207,2),WEEKNUM(A207,2)),K207))</f>
        <v/>
      </c>
      <c r="N9" s="84">
        <f>IF($A207="","",IFERROR(COUNTIFS(A$2:A207,"&lt;&gt;",L$2:L207,"达标",WEEKNUM(A$2:A207,2),WEEKNUM(A207,2)),0))</f>
        <v/>
      </c>
      <c r="O9" s="84">
        <f>IF($A207="","",IF(L207="达标",IF(ROW()=2,1,IF(O206="",1,O206+1)),0))</f>
        <v/>
      </c>
      <c r="P9" s="84">
        <f>IF($A207="","",IF(ROW()&lt;=8,"基准周",IF(K207&gt;75,"改善",IF(K207&lt;60,"恶化","持平"))))</f>
        <v/>
      </c>
    </row>
    <row r="10" ht="15" customHeight="1" s="85">
      <c r="A10" s="137" t="inlineStr">
        <is>
          <t>最佳心态得分</t>
        </is>
      </c>
      <c r="B10" s="138">
        <f>IFERROR(MAX(K2:K200),0)</f>
        <v/>
      </c>
      <c r="C10" s="138" t="n"/>
      <c r="M10" s="84">
        <f>IF($A208="","",IFERROR(AVERAGEIFS(K$2:K208,WEEKNUM(A$2:A208,2),WEEKNUM(A208,2)),K208))</f>
        <v/>
      </c>
      <c r="N10" s="84">
        <f>IF($A208="","",IFERROR(COUNTIFS(A$2:A208,"&lt;&gt;",L$2:L208,"达标",WEEKNUM(A$2:A208,2),WEEKNUM(A208,2)),0))</f>
        <v/>
      </c>
      <c r="O10" s="84">
        <f>IF($A208="","",IF(L208="达标",IF(ROW()=2,1,IF(O207="",1,O207+1)),0))</f>
        <v/>
      </c>
      <c r="P10" s="84">
        <f>IF($A208="","",IF(ROW()&lt;=8,"基准周",IF(K208&gt;75,"改善",IF(K208&lt;60,"恶化","持平"))))</f>
        <v/>
      </c>
    </row>
    <row r="11" ht="15" customHeight="1" s="85">
      <c r="A11" s="137" t="inlineStr">
        <is>
          <t>最差心态得分</t>
        </is>
      </c>
      <c r="B11" s="138">
        <f>IFERROR(MIN(K2:K200),0)</f>
        <v/>
      </c>
      <c r="C11" s="138" t="n"/>
      <c r="M11" s="84">
        <f>IF($A209="","",IFERROR(AVERAGEIFS(K$2:K209,WEEKNUM(A$2:A209,2),WEEKNUM(A209,2)),K209))</f>
        <v/>
      </c>
      <c r="N11" s="84">
        <f>IF($A209="","",IFERROR(COUNTIFS(A$2:A209,"&lt;&gt;",L$2:L209,"达标",WEEKNUM(A$2:A209,2),WEEKNUM(A209,2)),0))</f>
        <v/>
      </c>
      <c r="O11" s="84">
        <f>IF($A209="","",IF(L209="达标",IF(ROW()=2,1,IF(O208="",1,O208+1)),0))</f>
        <v/>
      </c>
      <c r="P11" s="84">
        <f>IF($A209="","",IF(ROW()&lt;=8,"基准周",IF(K209&gt;75,"改善",IF(K209&lt;60,"恶化","持平"))))</f>
        <v/>
      </c>
    </row>
    <row r="12" ht="15" customHeight="1" s="85">
      <c r="A12" s="137" t="inlineStr">
        <is>
          <t>当前连续达标</t>
        </is>
      </c>
      <c r="B12" s="138">
        <f>IFERROR(O200,0)</f>
        <v/>
      </c>
      <c r="C12" s="138" t="n"/>
      <c r="M12" s="84">
        <f>IF($A210="","",IFERROR(AVERAGEIFS(K$2:K210,WEEKNUM(A$2:A210,2),WEEKNUM(A210,2)),K210))</f>
        <v/>
      </c>
      <c r="N12" s="84">
        <f>IF($A210="","",IFERROR(COUNTIFS(A$2:A210,"&lt;&gt;",L$2:L210,"达标",WEEKNUM(A$2:A210,2),WEEKNUM(A210,2)),0))</f>
        <v/>
      </c>
      <c r="O12" s="84">
        <f>IF($A210="","",IF(L210="达标",IF(ROW()=2,1,IF(O209="",1,O209+1)),0))</f>
        <v/>
      </c>
      <c r="P12" s="84">
        <f>IF($A210="","",IF(ROW()&lt;=8,"基准周",IF(K210&gt;75,"改善",IF(K210&lt;60,"恶化","持平"))))</f>
        <v/>
      </c>
    </row>
    <row r="13" ht="15" customHeight="1" s="85">
      <c r="A13" s="137" t="inlineStr">
        <is>
          <t>历史最长连续达标</t>
        </is>
      </c>
      <c r="B13" s="138">
        <f>IFERROR(MAX(O2:O200),0)</f>
        <v/>
      </c>
      <c r="C13" s="138" t="n"/>
      <c r="M13" s="84">
        <f>IF($A211="","",IFERROR(AVERAGEIFS(K$2:K211,WEEKNUM(A$2:A211,2),WEEKNUM(A211,2)),K211))</f>
        <v/>
      </c>
      <c r="N13" s="84">
        <f>IF($A211="","",IFERROR(COUNTIFS(A$2:A211,"&lt;&gt;",L$2:L211,"达标",WEEKNUM(A$2:A211,2),WEEKNUM(A211,2)),0))</f>
        <v/>
      </c>
      <c r="O13" s="84">
        <f>IF($A211="","",IF(L211="达标",IF(ROW()=2,1,IF(O210="",1,O210+1)),0))</f>
        <v/>
      </c>
      <c r="P13" s="84">
        <f>IF($A211="","",IF(ROW()&lt;=8,"基准周",IF(K211&gt;75,"改善",IF(K211&lt;60,"恶化","持平"))))</f>
        <v/>
      </c>
    </row>
    <row r="14" ht="15" customHeight="1" s="85">
      <c r="A14" s="137" t="inlineStr">
        <is>
          <t>平均看盘次数/天</t>
        </is>
      </c>
      <c r="B14" s="138">
        <f>IFERROR(AVERAGE(B2:B200),0)</f>
        <v/>
      </c>
      <c r="C14" s="138" t="n"/>
      <c r="M14" s="84">
        <f>IF($A212="","",IFERROR(AVERAGEIFS(K$2:K212,WEEKNUM(A$2:A212,2),WEEKNUM(A212,2)),K212))</f>
        <v/>
      </c>
      <c r="N14" s="84">
        <f>IF($A212="","",IFERROR(COUNTIFS(A$2:A212,"&lt;&gt;",L$2:L212,"达标",WEEKNUM(A$2:A212,2),WEEKNUM(A212,2)),0))</f>
        <v/>
      </c>
      <c r="O14" s="84">
        <f>IF($A212="","",IF(L212="达标",IF(ROW()=2,1,IF(O211="",1,O211+1)),0))</f>
        <v/>
      </c>
      <c r="P14" s="84">
        <f>IF($A212="","",IF(ROW()&lt;=8,"基准周",IF(K212&gt;75,"改善",IF(K212&lt;60,"恶化","持平"))))</f>
        <v/>
      </c>
    </row>
    <row r="15" ht="15" customHeight="1" s="85">
      <c r="A15" s="137" t="inlineStr">
        <is>
          <t>追价违规次数</t>
        </is>
      </c>
      <c r="B15" s="138">
        <f>COUNTIF(C2:C200,"是")</f>
        <v/>
      </c>
      <c r="C15" s="138" t="n"/>
      <c r="M15" s="84">
        <f>IF($A213="","",IFERROR(AVERAGEIFS(K$2:K213,WEEKNUM(A$2:A213,2),WEEKNUM(A213,2)),K213))</f>
        <v/>
      </c>
      <c r="N15" s="84">
        <f>IF($A213="","",IFERROR(COUNTIFS(A$2:A213,"&lt;&gt;",L$2:L213,"达标",WEEKNUM(A$2:A213,2),WEEKNUM(A213,2)),0))</f>
        <v/>
      </c>
      <c r="O15" s="84">
        <f>IF($A213="","",IF(L213="达标",IF(ROW()=2,1,IF(O212="",1,O212+1)),0))</f>
        <v/>
      </c>
      <c r="P15" s="84">
        <f>IF($A213="","",IF(ROW()&lt;=8,"基准周",IF(K213&gt;75,"改善",IF(K213&lt;60,"恶化","持平"))))</f>
        <v/>
      </c>
    </row>
    <row r="16" ht="15" customHeight="1" s="85">
      <c r="A16" s="137" t="inlineStr">
        <is>
          <t>系统偏离次数</t>
        </is>
      </c>
      <c r="B16" s="138">
        <f>COUNTIF(D2:D200,"否")</f>
        <v/>
      </c>
      <c r="C16" s="138" t="n"/>
      <c r="M16" s="84">
        <f>IF($A214="","",IFERROR(AVERAGEIFS(K$2:K214,WEEKNUM(A$2:A214,2),WEEKNUM(A214,2)),K214))</f>
        <v/>
      </c>
      <c r="N16" s="84">
        <f>IF($A214="","",IFERROR(COUNTIFS(A$2:A214,"&lt;&gt;",L$2:L214,"达标",WEEKNUM(A$2:A214,2),WEEKNUM(A214,2)),0))</f>
        <v/>
      </c>
      <c r="O16" s="84">
        <f>IF($A214="","",IF(L214="达标",IF(ROW()=2,1,IF(O213="",1,O213+1)),0))</f>
        <v/>
      </c>
      <c r="P16" s="84">
        <f>IF($A214="","",IF(ROW()&lt;=8,"基准周",IF(K214&gt;75,"改善",IF(K214&lt;60,"恶化","持平"))))</f>
        <v/>
      </c>
    </row>
    <row r="17" ht="15" customHeight="1" s="85">
      <c r="A17" s="137" t="inlineStr">
        <is>
          <t>止损外操作次数</t>
        </is>
      </c>
      <c r="B17" s="138">
        <f>COUNTIF(F2:F200,"是")</f>
        <v/>
      </c>
      <c r="C17" s="138" t="n"/>
      <c r="M17" s="84">
        <f>IF($A215="","",IFERROR(AVERAGEIFS(K$2:K215,WEEKNUM(A$2:A215,2),WEEKNUM(A215,2)),K215))</f>
        <v/>
      </c>
      <c r="N17" s="84">
        <f>IF($A215="","",IFERROR(COUNTIFS(A$2:A215,"&lt;&gt;",L$2:L215,"达标",WEEKNUM(A$2:A215,2),WEEKNUM(A215,2)),0))</f>
        <v/>
      </c>
      <c r="O17" s="84">
        <f>IF($A215="","",IF(L215="达标",IF(ROW()=2,1,IF(O214="",1,O214+1)),0))</f>
        <v/>
      </c>
      <c r="P17" s="84">
        <f>IF($A215="","",IF(ROW()&lt;=8,"基准周",IF(K215&gt;75,"改善",IF(K215&lt;60,"恶化","持平"))))</f>
        <v/>
      </c>
    </row>
    <row r="18" ht="15" customHeight="1" s="85">
      <c r="A18" s="137" t="inlineStr">
        <is>
          <t>平均情绪评分</t>
        </is>
      </c>
      <c r="B18" s="138">
        <f>IFERROR(AVERAGE(E2:E200),0)</f>
        <v/>
      </c>
      <c r="C18" s="138" t="n"/>
      <c r="M18" s="84">
        <f>IF($A216="","",IFERROR(AVERAGEIFS(K$2:K216,WEEKNUM(A$2:A216,2),WEEKNUM(A216,2)),K216))</f>
        <v/>
      </c>
      <c r="N18" s="84">
        <f>IF($A216="","",IFERROR(COUNTIFS(A$2:A216,"&lt;&gt;",L$2:L216,"达标",WEEKNUM(A$2:A216,2),WEEKNUM(A216,2)),0))</f>
        <v/>
      </c>
      <c r="O18" s="84">
        <f>IF($A216="","",IF(L216="达标",IF(ROW()=2,1,IF(O215="",1,O215+1)),0))</f>
        <v/>
      </c>
      <c r="P18" s="84">
        <f>IF($A216="","",IF(ROW()&lt;=8,"基准周",IF(K216&gt;75,"改善",IF(K216&lt;60,"恶化","持平"))))</f>
        <v/>
      </c>
    </row>
    <row r="19" ht="15" customHeight="1" s="85">
      <c r="A19" s="141" t="inlineStr">
        <is>
          <t>心态状态</t>
        </is>
      </c>
      <c r="B19" s="141">
        <f>IF(B207&gt;=80,"轻态 ✅",IF(B207&gt;=60,"改善中 ⚠️","需调整 ❌"))</f>
        <v/>
      </c>
      <c r="C19" s="138" t="n"/>
      <c r="M19" s="84">
        <f>IF($A217="","",IFERROR(AVERAGEIFS(K$2:K217,WEEKNUM(A$2:A217,2),WEEKNUM(A217,2)),K217))</f>
        <v/>
      </c>
      <c r="N19" s="84">
        <f>IF($A217="","",IFERROR(COUNTIFS(A$2:A217,"&lt;&gt;",L$2:L217,"达标",WEEKNUM(A$2:A217,2),WEEKNUM(A217,2)),0))</f>
        <v/>
      </c>
      <c r="O19" s="84">
        <f>IF($A217="","",IF(L217="达标",IF(ROW()=2,1,IF(O216="",1,O216+1)),0))</f>
        <v/>
      </c>
      <c r="P19" s="84">
        <f>IF($A217="","",IF(ROW()&lt;=8,"基准周",IF(K217&gt;75,"改善",IF(K217&lt;60,"恶化","持平"))))</f>
        <v/>
      </c>
    </row>
    <row r="20" ht="15" customHeight="1" s="85">
      <c r="A20" s="156" t="inlineStr">
        <is>
          <t>评分说明</t>
        </is>
      </c>
      <c r="M20" s="84">
        <f>IF($A220="","",IFERROR(AVERAGEIFS(K$2:K220,WEEKNUM(A$2:A220,2),WEEKNUM(A220,2)),K220))</f>
        <v/>
      </c>
      <c r="N20" s="84">
        <f>IF($A220="","",IFERROR(COUNTIFS(A$2:A220,"&lt;&gt;",L$2:L220,"达标",WEEKNUM(A$2:A220,2),WEEKNUM(A220,2)),0))</f>
        <v/>
      </c>
      <c r="O20" s="84">
        <f>IF($A220="","",IF(L220="达标",IF(ROW()=2,1,IF(O219="",1,O219+1)),0))</f>
        <v/>
      </c>
      <c r="P20" s="84">
        <f>IF($A220="","",IF(ROW()&lt;=8,"基准周",IF(K220&gt;75,"改善",IF(K220&lt;60,"恶化","持平"))))</f>
        <v/>
      </c>
    </row>
    <row r="21" ht="15" customHeight="1" s="85">
      <c r="A21" s="157" t="inlineStr">
        <is>
          <t>B列: 非工作流看盘次数 — 收盘后截图录入=工作流,不计入。盘中反复刷新App=焦虑看盘,计入。</t>
        </is>
      </c>
      <c r="M21" s="84">
        <f>IF($A221="","",IFERROR(AVERAGEIFS(K$2:K221,WEEKNUM(A$2:A221,2),WEEKNUM(A221,2)),K221))</f>
        <v/>
      </c>
      <c r="N21" s="84">
        <f>IF($A221="","",IFERROR(COUNTIFS(A$2:A221,"&lt;&gt;",L$2:L221,"达标",WEEKNUM(A$2:A221,2),WEEKNUM(A221,2)),0))</f>
        <v/>
      </c>
      <c r="O21" s="84">
        <f>IF($A221="","",IF(L221="达标",IF(ROW()=2,1,IF(O220="",1,O220+1)),0))</f>
        <v/>
      </c>
      <c r="P21" s="84">
        <f>IF($A221="","",IF(ROW()&lt;=8,"基准周",IF(K221&gt;75,"改善",IF(K221&lt;60,"恶化","持平"))))</f>
        <v/>
      </c>
    </row>
    <row r="22" ht="15" customHeight="1" s="85">
      <c r="A22" s="157" t="inlineStr">
        <is>
          <t>C列: 是否追价 — 系统未确认信号时主动买入=追价。系统确认后买入=正常执行。</t>
        </is>
      </c>
      <c r="M22" s="84">
        <f>IF($A222="","",IFERROR(AVERAGEIFS(K$2:K222,WEEKNUM(A$2:A222,2),WEEKNUM(A222,2)),K222))</f>
        <v/>
      </c>
      <c r="N22" s="84">
        <f>IF($A222="","",IFERROR(COUNTIFS(A$2:A222,"&lt;&gt;",L$2:L222,"达标",WEEKNUM(A$2:A222,2),WEEKNUM(A222,2)),0))</f>
        <v/>
      </c>
      <c r="O22" s="84">
        <f>IF($A222="","",IF(L222="达标",IF(ROW()=2,1,IF(O221="",1,O221+1)),0))</f>
        <v/>
      </c>
      <c r="P22" s="84">
        <f>IF($A222="","",IF(ROW()&lt;=8,"基准周",IF(K222&gt;75,"改善",IF(K222&lt;60,"恶化","持平"))))</f>
        <v/>
      </c>
    </row>
    <row r="23" ht="15" customHeight="1" s="85">
      <c r="A23" s="157" t="inlineStr">
        <is>
          <t>D列: 是否按系统执行 — 持仓表AB列结论 vs 实际操作是否一致。</t>
        </is>
      </c>
      <c r="M23" s="84">
        <f>IF($A223="","",IFERROR(AVERAGEIFS(K$2:K223,WEEKNUM(A$2:A223,2),WEEKNUM(A223,2)),K223))</f>
        <v/>
      </c>
      <c r="N23" s="84">
        <f>IF($A223="","",IFERROR(COUNTIFS(A$2:A223,"&lt;&gt;",L$2:L223,"达标",WEEKNUM(A$2:A223,2),WEEKNUM(A223,2)),0))</f>
        <v/>
      </c>
      <c r="O23" s="84">
        <f>IF($A223="","",IF(L223="达标",IF(ROW()=2,1,IF(O222="",1,O222+1)),0))</f>
        <v/>
      </c>
      <c r="P23" s="84">
        <f>IF($A223="","",IF(ROW()&lt;=8,"基准周",IF(K223&gt;75,"改善",IF(K223&lt;60,"恶化","持平"))))</f>
        <v/>
      </c>
    </row>
    <row r="24" ht="15" customHeight="1" s="85">
      <c r="A24" s="157" t="inlineStr">
        <is>
          <t>E列: 情绪1-5 — 1=平静(不急不躁) 2=轻微波动 3=有些焦虑 4=明显焦虑 5=极度焦虑影响判断。</t>
        </is>
      </c>
      <c r="M24" s="84">
        <f>IF($A224="","",IFERROR(AVERAGEIFS(K$2:K224,WEEKNUM(A$2:A224,2),WEEKNUM(A224,2)),K224))</f>
        <v/>
      </c>
      <c r="N24" s="84">
        <f>IF($A224="","",IFERROR(COUNTIFS(A$2:A224,"&lt;&gt;",L$2:L224,"达标",WEEKNUM(A$2:A224,2),WEEKNUM(A224,2)),0))</f>
        <v/>
      </c>
      <c r="O24" s="84">
        <f>IF($A224="","",IF(L224="达标",IF(ROW()=2,1,IF(O223="",1,O223+1)),0))</f>
        <v/>
      </c>
      <c r="P24" s="84">
        <f>IF($A224="","",IF(ROW()&lt;=8,"基准周",IF(K224&gt;75,"改善",IF(K224&lt;60,"恶化","持平"))))</f>
        <v/>
      </c>
    </row>
    <row r="25" ht="15" customHeight="1" s="85">
      <c r="A25" s="157" t="inlineStr">
        <is>
          <t>F列: 止损外操作 — 在止损价未触发时提前卖出,或超出仓位上限买入。</t>
        </is>
      </c>
      <c r="M25" s="84">
        <f>IF($A225="","",IFERROR(AVERAGEIFS(K$2:K225,WEEKNUM(A$2:A225,2),WEEKNUM(A225,2)),K225))</f>
        <v/>
      </c>
      <c r="N25" s="84">
        <f>IF($A225="","",IFERROR(COUNTIFS(A$2:A225,"&lt;&gt;",L$2:L225,"达标",WEEKNUM(A$2:A225,2),WEEKNUM(A225,2)),0))</f>
        <v/>
      </c>
      <c r="O25" s="84">
        <f>IF($A225="","",IF(L225="达标",IF(ROW()=2,1,IF(O224="",1,O224+1)),0))</f>
        <v/>
      </c>
      <c r="P25" s="84">
        <f>IF($A225="","",IF(ROW()&lt;=8,"基准周",IF(K225&gt;75,"改善",IF(K225&lt;60,"恶化","持平"))))</f>
        <v/>
      </c>
    </row>
    <row r="26" ht="15" customHeight="1" s="85">
      <c r="A26" s="158" t="inlineStr">
        <is>
          <t>工作流截图: 每日收盘后1次账户总览+持仓明细截图,属于必要工作流,不计入B列。</t>
        </is>
      </c>
      <c r="M26" s="84">
        <f>IF($A226="","",IFERROR(AVERAGEIFS(K$2:K226,WEEKNUM(A$2:A226,2),WEEKNUM(A226,2)),K226))</f>
        <v/>
      </c>
      <c r="N26" s="84">
        <f>IF($A226="","",IFERROR(COUNTIFS(A$2:A226,"&lt;&gt;",L$2:L226,"达标",WEEKNUM(A$2:A226,2),WEEKNUM(A226,2)),0))</f>
        <v/>
      </c>
      <c r="O26" s="84">
        <f>IF($A226="","",IF(L226="达标",IF(ROW()=2,1,IF(O225="",1,O225+1)),0))</f>
        <v/>
      </c>
      <c r="P26" s="84">
        <f>IF($A226="","",IF(ROW()&lt;=8,"基准周",IF(K226&gt;75,"改善",IF(K226&lt;60,"恶化","持平"))))</f>
        <v/>
      </c>
    </row>
    <row r="27" ht="15" customHeight="1" s="85">
      <c r="A27" s="142" t="n">
        <v>46231</v>
      </c>
      <c r="B27" s="116" t="inlineStr">
        <is>
          <t>合规审查</t>
        </is>
      </c>
      <c r="C27" s="116" t="inlineStr">
        <is>
          <t>发现2项违规: 沃华医药不在候选池(买入), 三力士违背计划(卖出). 7项合规通过.</t>
        </is>
      </c>
      <c r="D27" s="116" t="inlineStr">
        <is>
          <t>沃华医药撤单; 三力士卖出单撤单; 严格执行候选池纪律, 不买未经扫描的标的</t>
        </is>
      </c>
      <c r="E27" s="116" t="inlineStr">
        <is>
          <t>警惕盘前随意挂单的冲动, 所有买入必须来自候选池, 所有卖出必须有日线卖点信号</t>
        </is>
      </c>
      <c r="M27" s="84">
        <f>IF($A227="","",IFERROR(AVERAGEIFS(K$2:K227,WEEKNUM(A$2:A227,2),WEEKNUM(A227,2)),K227))</f>
        <v/>
      </c>
      <c r="N27" s="84">
        <f>IF($A227="","",IFERROR(COUNTIFS(A$2:A227,"&lt;&gt;",L$2:L227,"达标",WEEKNUM(A$2:A227,2),WEEKNUM(A227,2)),0))</f>
        <v/>
      </c>
      <c r="O27" s="84">
        <f>IF($A227="","",IF(L227="达标",IF(ROW()=2,1,IF(O226="",1,O226+1)),0))</f>
        <v/>
      </c>
      <c r="P27" s="84">
        <f>IF($A227="","",IF(ROW()&lt;=8,"基准周",IF(K227&gt;75,"改善",IF(K227&lt;60,"恶化","持平"))))</f>
        <v/>
      </c>
    </row>
    <row r="28" ht="15" customHeight="1" s="85">
      <c r="A28" s="142" t="n">
        <v>46232</v>
      </c>
      <c r="B28" s="84" t="n">
        <v>0</v>
      </c>
      <c r="C28" s="84" t="n">
        <v>0</v>
      </c>
      <c r="D28" s="84" t="n">
        <v>3</v>
      </c>
      <c r="E28" s="84" t="n">
        <v>3</v>
      </c>
      <c r="F28" s="84" t="n">
        <v>1</v>
      </c>
      <c r="G28" s="84" t="n">
        <v>2</v>
      </c>
      <c r="H28" s="84" t="inlineStr">
        <is>
          <t>2项违规</t>
        </is>
      </c>
      <c r="I28" s="116" t="inlineStr">
        <is>
          <t>沃华医药违规买入+三力士违规卖出, 需严格执行系统信号</t>
        </is>
      </c>
      <c r="J28" s="116" t="inlineStr">
        <is>
          <t>严格执行候选池信号, 不在候选池内的不买; 计划持有的不随意卖出</t>
        </is>
      </c>
      <c r="P28" s="84">
        <f>IF($A228="","",IF(ROW()&lt;=8,"基准周",IF(K228&gt;75,"改善",IF(K228&lt;60,"恶化","持平"))))</f>
        <v/>
      </c>
    </row>
    <row r="29" ht="15" customHeight="1" s="85">
      <c r="A29" s="84" t="inlineStr">
        <is>
          <t>2026-07-30 16:47</t>
        </is>
      </c>
      <c r="B29" s="116" t="inlineStr">
        <is>
          <t>一买低点风控修复验证</t>
        </is>
      </c>
      <c r="C29" s="116" t="inlineStr">
        <is>
          <t>修复3个BUG: 1)去弱留强评分增加一买低点风险惩罚(破位score=0,&lt;3%乘0.4); 2)check_sell_compliance增加破一买低允许减仓(不受DL_P&gt;0.8限制); 3)去弱留强分割逻辑: 破位股强制进入sell_list. 贵绳离一买低8.69仅2.9%→高风险,不加仓. 东风/三力士/拱东已破位→明日P0清仓.</t>
        </is>
      </c>
      <c r="D29" s="116" t="inlineStr">
        <is>
          <t>严守一买低止损线, EP_L是快照不预测未来</t>
        </is>
      </c>
      <c r="P29" s="84">
        <f>IF($A231="","",IF(ROW()&lt;=8,"基准周",IF(K231&gt;75,"改善",IF(K231&lt;60,"恶化","持平"))))</f>
        <v/>
      </c>
    </row>
    <row r="30" ht="15" customHeight="1" s="85">
      <c r="A30" s="84" t="inlineStr">
        <is>
          <t>2026-07-31 04:08</t>
        </is>
      </c>
      <c r="B30" s="84" t="inlineStr">
        <is>
          <t>7-31午间: 三力士+拱东已清仓(P0执行2/3), 东风仍未清(连续3天)</t>
        </is>
      </c>
      <c r="C30" s="116" t="inlineStr">
        <is>
          <t>贵绳从高风险(+2.9%)反弹到安全(+7.0%), 一买低风控验证有效. 松芝更危险(离一买低仅+1.9%), 需密切关注. 沃华评分最高(0.7783), 一买低5.60距离+8.0%安全. 台华DL_P=0.00异常持续. 东风破位加深(-9.9%), 必须立即清仓. 去弱留强排名: 沃华&gt;贵绳&gt;日上&gt;松芝&gt;台华&gt;东风.</t>
        </is>
      </c>
      <c r="D30" s="116" t="inlineStr">
        <is>
          <t>东风连续3天未清=纪律执行失败, 今日必须完成</t>
        </is>
      </c>
      <c r="P30" s="84">
        <f>IF($A232="","",IF(ROW()&lt;=8,"基准周",IF(K232&gt;75,"改善",IF(K232&lt;60,"恶化","持平"))))</f>
        <v/>
      </c>
    </row>
    <row r="31" ht="15" customHeight="1" s="85">
      <c r="A31" s="142" t="n">
        <v>46234</v>
      </c>
      <c r="B31" s="84" t="n">
        <v>1</v>
      </c>
      <c r="C31" s="84" t="n">
        <v>0</v>
      </c>
      <c r="D31" s="84" t="n">
        <v>3</v>
      </c>
      <c r="E31" s="84" t="n">
        <v>4</v>
      </c>
      <c r="F31" s="84" t="n">
        <v>0</v>
      </c>
      <c r="K31" s="84">
        <f>SUM(B2333:J233)*2</f>
        <v/>
      </c>
      <c r="P31" s="84">
        <f>IF($A233="","",IF(ROW()&lt;=8,"基准周",IF(K233&gt;75,"改善",IF(K233&lt;60,"恶化","持平"))))</f>
        <v/>
      </c>
      <c r="Q31" s="116" t="inlineStr">
        <is>
          <t>卖出三力士(破一买低)+拱东医疗(去弱留强); 东风P0仍未执行(连续4天); 沃华/贵绳加仓后浮盈转正</t>
        </is>
      </c>
    </row>
    <row r="32" ht="15" customHeight="1" s="85">
      <c r="A32" s="142" t="n">
        <v>46236</v>
      </c>
      <c r="B32" s="116" t="inlineStr">
        <is>
          <t>周末复盘</t>
        </is>
      </c>
      <c r="C32" s="116" t="inlineStr">
        <is>
          <t>[trae] 周末复盘 2026-08-02 | 总资产¥21370.80 仓位37.4% | 持仓6只: 贵绳+1.6% 沃华+1.3% 台华+3.6% 日上+1.8% 东风-34.6% 松芝+28.6% | 东风股份P0清仓仍未执行, 连续多日破一买低点, 浮亏-301元 | 松芝浮盈最高+108元(28.6%), 但数量仅100股 | 整体浮亏-74元, 若剔除东风则+227元 | 周一必须执行: 1.东风股份P0清仓 2.评估去弱留强 3.关注松芝是否达到止盈区间 | 教训: 止损纪律执行拖延是最大问题, 必须无条件执行P0级清仓</t>
        </is>
      </c>
      <c r="K32" s="84">
        <f>SUM(B2344:J234)*2</f>
        <v/>
      </c>
      <c r="P32" s="84">
        <f>IF($A234="","",IF(ROW()&lt;=8,"基准周",IF(K234&gt;75,"改善",IF(K234&lt;60,"恶化","持平"))))</f>
        <v/>
      </c>
    </row>
    <row r="33" ht="15" customHeight="1" s="85">
      <c r="A33" s="142" t="n">
        <v>46236</v>
      </c>
      <c r="B33" s="116" t="inlineStr">
        <is>
          <t>心态更新</t>
        </is>
      </c>
      <c r="C33" s="84" t="inlineStr">
        <is>
          <t>[trae] 心态更新 2026-08-02: 周末复盘确认: 东风股份P0清仓拖延是本周最大教训, 止损纪律必须无条件执行. 松芝浮盈+28.6%但仓位极小(100股), 说明选股方向对但仓位管理不到位. 沃华/贵绳加仓后需密切关注二买确认, ep_l&gt;0.6是加仓安全线, 破位必须减. 下周执行重点: 1.周一开盘立即清仓东风(P0, 不犹豫) 2.松芝触及止盈区间分批兑现 3.沃华/贵绳只加仓不新开 4.严格只在候选池内交易 5.不在计划内默认不动. 心态核心: 慢即是快, 结构优先, 纪律至上.</t>
        </is>
      </c>
      <c r="K33" s="84">
        <f>SUM(B2354:J235)*2</f>
        <v/>
      </c>
      <c r="P33" s="84">
        <f>IF($A235="","",IF(ROW()&lt;=8,"基准周",IF(K235&gt;75,"改善",IF(K235&lt;60,"恶化","持平"))))</f>
        <v/>
      </c>
    </row>
    <row r="34" ht="15" customHeight="1" s="85">
      <c r="A34" s="119" t="n">
        <v>46237</v>
      </c>
      <c r="B34" s="84" t="inlineStr">
        <is>
          <t>8/3复盘</t>
        </is>
      </c>
      <c r="C34" s="84" t="inlineStr">
        <is>
          <t>[trae] 8月首个交易日复盘 | 总资产¥21654.67 仓位55.3% | 持仓6只: 皇氏+2.9% 贵绳+6.2% 沃华+1.8% 证通+1.9% 台华+4.3% 东风-34.0% | 当日盈亏+286.75(+1.34%) | 操作: 卖松芝(止盈+28.6%) 卖日上(计划外) 买皇氏1000股(T1) 买证通300股(T2) | 东风P0仍未执行(连续多日) | 皇氏和证通按计划建仓, DL_P&gt;0.95核心池 | 仓位55.3%偏高, 超出30%目标 | 新建仓2只+清仓2只=净持仓不变6只, 达婴儿上限 | 东风-296元浮亏持续拖累, 但其余5只全绿 | 教训: 止损执行仍是最弱环节, 但选股和建仓执行力提升</t>
        </is>
      </c>
      <c r="D34" s="84" t="n">
        <v>0</v>
      </c>
      <c r="E34" s="84" t="n">
        <v>3</v>
      </c>
      <c r="F34" s="84" t="n">
        <v>3</v>
      </c>
      <c r="G34" s="84" t="n">
        <v>0</v>
      </c>
      <c r="H34" s="84" t="n">
        <v>4</v>
      </c>
      <c r="I34" s="116" t="inlineStr">
        <is>
          <t>部分合规(东风P0未执行, 日上计划外卖出)</t>
        </is>
      </c>
      <c r="J34" s="84" t="inlineStr">
        <is>
          <t>8月开门红! 当日+286元(+1.34%), 5/6持仓飘绿. 皇氏T1和证通T2按计划建仓, 选股方向正确. 但东风P0再次未执行, 连续多日破一买低点, 浮亏-296元, 纪律执行仍是最大短板. 日上计划外卖出需反思. 仓位55.3%偏高, 需控制. 心态核心: 止损不犹豫, 计划外不动手.</t>
        </is>
      </c>
      <c r="K34" s="84" t="n">
        <v>55</v>
      </c>
      <c r="L34" s="116" t="inlineStr">
        <is>
          <t>未达标</t>
        </is>
      </c>
      <c r="P34" s="116" t="inlineStr">
        <is>
          <t>改善</t>
        </is>
      </c>
    </row>
    <row r="35" ht="15" customHeight="1" s="85">
      <c r="A35" s="84" t="inlineStr">
        <is>
          <t>2026-08-04</t>
        </is>
      </c>
      <c r="C35" s="116" t="inlineStr">
        <is>
          <t>否</t>
        </is>
      </c>
      <c r="D35" s="116" t="inlineStr">
        <is>
          <t>是</t>
        </is>
      </c>
      <c r="E35" s="84" t="n">
        <v>4</v>
      </c>
      <c r="F35" s="116" t="inlineStr">
        <is>
          <t>否</t>
        </is>
      </c>
      <c r="G35" s="84" t="n">
        <v>3</v>
      </c>
      <c r="H35" s="116" t="inlineStr">
        <is>
          <t>是</t>
        </is>
      </c>
      <c r="J35" s="84" t="inlineStr">
        <is>
          <t>8月第二个交易日, 当日+393元(+1.82%), 连续两日盈利. 操作: 清仓贵绳(边缘池)→加仓皇氏+900股+证通+400股, 持仓集中度提升. 但仓位从55.3%飙升至69.1%, 远超30%目标, 违反仓位控制纪律. 东风-35.6%仍未处理, 止损执行力不足. 皇氏浮盈+5.59%接近止盈目标, 需制定止盈计划.</t>
        </is>
      </c>
      <c r="K35" s="84" t="n">
        <v>60</v>
      </c>
      <c r="L35" s="116" t="inlineStr">
        <is>
          <t>否</t>
        </is>
      </c>
    </row>
    <row r="36" ht="15" customHeight="1" s="85">
      <c r="A36" s="84" t="inlineStr">
        <is>
          <t>2026-08-08</t>
        </is>
      </c>
      <c r="B36" s="84" t="inlineStr"/>
      <c r="C36" s="84" t="inlineStr">
        <is>
          <t>否</t>
        </is>
      </c>
      <c r="D36" s="84" t="inlineStr">
        <is>
          <t>是</t>
        </is>
      </c>
      <c r="E36" s="84" t="n">
        <v>3</v>
      </c>
      <c r="F36" s="84" t="inlineStr">
        <is>
          <t>否</t>
        </is>
      </c>
      <c r="G36" s="84" t="n">
        <v>0</v>
      </c>
      <c r="H36" s="84" t="inlineStr">
        <is>
          <t>是</t>
        </is>
      </c>
      <c r="I36" s="84" t="inlineStr"/>
      <c r="J36" s="84" t="inlineStr">
        <is>
          <t>今日系统扫描更新，无操作</t>
        </is>
      </c>
      <c r="K36" s="84" t="n">
        <v>80</v>
      </c>
      <c r="L36" s="84" t="inlineStr">
        <is>
          <t>达标</t>
        </is>
      </c>
    </row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  <row r="203" ht="15" customHeight="1" s="85"/>
    <row r="204" ht="15" customHeight="1" s="85"/>
    <row r="205" ht="15" customHeight="1" s="85"/>
    <row r="206" ht="15" customHeight="1" s="85"/>
    <row r="207" ht="15" customHeight="1" s="85"/>
    <row r="208" ht="15" customHeight="1" s="85"/>
    <row r="209" ht="15" customHeight="1" s="85"/>
    <row r="210" ht="15" customHeight="1" s="85"/>
    <row r="211" ht="15" customHeight="1" s="85"/>
    <row r="212" ht="15" customHeight="1" s="85"/>
    <row r="213" ht="15" customHeight="1" s="85"/>
    <row r="214" ht="15" customHeight="1" s="85"/>
    <row r="215" ht="15" customHeight="1" s="85"/>
    <row r="216" ht="15" customHeight="1" s="85"/>
    <row r="217" ht="15" customHeight="1" s="85"/>
    <row r="220" ht="15" customHeight="1" s="85"/>
    <row r="221" ht="15" customHeight="1" s="85"/>
    <row r="222" ht="15" customHeight="1" s="85"/>
    <row r="223" ht="15" customHeight="1" s="85"/>
    <row r="224" ht="15" customHeight="1" s="85"/>
    <row r="225" ht="15" customHeight="1" s="85"/>
    <row r="226" ht="15" customHeight="1" s="85"/>
    <row r="227" ht="15" customHeight="1" s="85"/>
    <row r="228" ht="15" customHeight="1" s="85"/>
    <row r="229" ht="15" customHeight="1" s="85"/>
    <row r="230" ht="15" customHeight="1" s="85"/>
    <row r="231" ht="15" customHeight="1" s="85"/>
    <row r="232" ht="15" customHeight="1" s="85"/>
    <row r="233" ht="15" customHeight="1" s="85"/>
    <row r="234" ht="15" customHeight="1" s="85"/>
    <row r="235" ht="15" customHeight="1" s="85"/>
    <row r="236" ht="15" customHeight="1" s="85"/>
  </sheetData>
  <autoFilter ref="A1:P201"/>
  <conditionalFormatting sqref="L2:L201">
    <cfRule type="expression" rank="0" priority="2" equalAverage="0" aboveAverage="0" dxfId="8" text="" percent="0" bottom="0">
      <formula>$L2="达标"</formula>
    </cfRule>
    <cfRule type="expression" rank="0" priority="3" equalAverage="0" aboveAverage="0" dxfId="9" text="" percent="0" bottom="0">
      <formula>$L2="未达标"</formula>
    </cfRule>
  </conditionalFormatting>
  <conditionalFormatting sqref="K2:K201">
    <cfRule type="cellIs" rank="0" priority="4" equalAverage="0" operator="greaterThanOrEqual" aboveAverage="0" dxfId="25" text="" percent="0" bottom="0">
      <formula>80</formula>
    </cfRule>
    <cfRule type="cellIs" rank="0" priority="5" equalAverage="0" operator="lessThan" aboveAverage="0" dxfId="26" text="" percent="0" bottom="0">
      <formula>40</formula>
    </cfRule>
  </conditionalFormatting>
  <conditionalFormatting sqref="P2:P201">
    <cfRule type="expression" rank="0" priority="6" equalAverage="0" aboveAverage="0" dxfId="14" text="" percent="0" bottom="0">
      <formula>$P2="改善"</formula>
    </cfRule>
    <cfRule type="expression" rank="0" priority="7" equalAverage="0" aboveAverage="0" dxfId="9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H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84" min="1" max="1"/>
    <col width="14" customWidth="1" style="84" min="2" max="3"/>
    <col width="13" customWidth="1" style="84" min="4" max="4"/>
    <col width="14" customWidth="1" style="84" min="5" max="6"/>
    <col width="13" customWidth="1" style="84" min="7" max="7"/>
    <col width="12" customWidth="1" style="84" min="8" max="15"/>
    <col width="26" customWidth="1" style="84" min="16" max="17"/>
    <col width="12" customWidth="1" style="84" min="18" max="18"/>
    <col width="13" customWidth="1" style="84" min="19" max="19"/>
    <col width="12" customWidth="1" style="84" min="20" max="20"/>
    <col width="26" customWidth="1" style="84" min="21" max="22"/>
    <col width="18" customWidth="1" style="84" min="23" max="25"/>
    <col width="22" customWidth="1" style="84" min="26" max="26"/>
    <col width="28" customWidth="1" style="84" min="27" max="27"/>
    <col width="14" customWidth="1" style="84" min="28" max="28"/>
    <col width="24" customWidth="1" style="84" min="29" max="29"/>
    <col width="16" customWidth="1" style="84" min="30" max="30"/>
    <col width="36" customWidth="1" style="84" min="31" max="31"/>
  </cols>
  <sheetData>
    <row r="1" ht="15" customHeight="1" s="85">
      <c r="A1" s="159" t="inlineStr">
        <is>
          <t>日期</t>
        </is>
      </c>
      <c r="B1" s="159" t="inlineStr">
        <is>
          <t>周收益额</t>
        </is>
      </c>
      <c r="C1" s="159" t="inlineStr">
        <is>
          <t>周收益率</t>
        </is>
      </c>
      <c r="D1" s="159" t="inlineStr">
        <is>
          <t>起始资产</t>
        </is>
      </c>
      <c r="E1" s="159" t="inlineStr">
        <is>
          <t>期末资产</t>
        </is>
      </c>
      <c r="F1" s="159" t="inlineStr">
        <is>
          <t>持仓数</t>
        </is>
      </c>
      <c r="G1" s="159" t="inlineStr">
        <is>
          <t>交易笔数</t>
        </is>
      </c>
      <c r="H1" s="159" t="inlineStr">
        <is>
          <t>违规次数</t>
        </is>
      </c>
      <c r="I1" s="160" t="inlineStr">
        <is>
          <t>P0执行</t>
        </is>
      </c>
      <c r="J1" s="160" t="inlineStr">
        <is>
          <t>Codex评分</t>
        </is>
      </c>
      <c r="K1" s="159" t="inlineStr">
        <is>
          <t>复盘摘要</t>
        </is>
      </c>
      <c r="L1" s="86" t="inlineStr">
        <is>
          <t>止损次数</t>
        </is>
      </c>
      <c r="M1" s="86" t="inlineStr">
        <is>
          <t>赚钱效应分数均值</t>
        </is>
      </c>
      <c r="N1" s="86" t="inlineStr">
        <is>
          <t>亏钱效应分数均值</t>
        </is>
      </c>
      <c r="O1" s="86" t="inlineStr">
        <is>
          <t>当前市场状态主判断</t>
        </is>
      </c>
      <c r="P1" s="86" t="inlineStr">
        <is>
          <t>本周最大问题</t>
        </is>
      </c>
      <c r="Q1" s="86" t="inlineStr">
        <is>
          <t>本周执行最好的点</t>
        </is>
      </c>
      <c r="R1" s="86" t="inlineStr">
        <is>
          <t>下周是否允许新开仓</t>
        </is>
      </c>
      <c r="S1" s="86" t="inlineStr">
        <is>
          <t>下周总仓位建议</t>
        </is>
      </c>
      <c r="T1" s="86" t="inlineStr">
        <is>
          <t>下周是否考虑转入</t>
        </is>
      </c>
      <c r="U1" s="86" t="inlineStr">
        <is>
          <t>下周重点观察股</t>
        </is>
      </c>
      <c r="V1" s="86" t="inlineStr">
        <is>
          <t>备注</t>
        </is>
      </c>
      <c r="W1" s="161" t="inlineStr">
        <is>
          <t>日复利目标完成</t>
        </is>
      </c>
      <c r="X1" s="161" t="inlineStr">
        <is>
          <t>周复利目标完成</t>
        </is>
      </c>
      <c r="Y1" s="161" t="inlineStr">
        <is>
          <t>月复利目标完成</t>
        </is>
      </c>
      <c r="Z1" s="161" t="inlineStr">
        <is>
          <t>当下累计复利率</t>
        </is>
      </c>
      <c r="AA1" s="161" t="inlineStr">
        <is>
          <t>当下正期望R值</t>
        </is>
      </c>
      <c r="AB1" s="161" t="inlineStr">
        <is>
          <t>系统盈亏比</t>
        </is>
      </c>
      <c r="AC1" s="161" t="inlineStr">
        <is>
          <t>账户规模增长</t>
        </is>
      </c>
      <c r="AD1" s="161" t="inlineStr">
        <is>
          <t>增长目标进度</t>
        </is>
      </c>
      <c r="AE1" s="161" t="inlineStr">
        <is>
          <t>复利追踪备注</t>
        </is>
      </c>
      <c r="AF1" s="161" t="inlineStr">
        <is>
          <t>做T统计</t>
        </is>
      </c>
      <c r="AG1" s="161" t="inlineStr">
        <is>
          <t>建清仓成功率</t>
        </is>
      </c>
      <c r="AH1" s="161" t="inlineStr">
        <is>
          <t>平均持仓天数</t>
        </is>
      </c>
    </row>
    <row r="2" ht="15" customHeight="1" s="85">
      <c r="A2" s="113" t="inlineStr">
        <is>
          <t>07/20-07/24</t>
        </is>
      </c>
      <c r="B2" s="125" t="n">
        <v>20326.12</v>
      </c>
      <c r="C2" s="125" t="n">
        <v>20842.32</v>
      </c>
      <c r="D2" s="128" t="n">
        <v>0.0253958945435725</v>
      </c>
      <c r="E2" s="125" t="n">
        <v>21004.83</v>
      </c>
      <c r="F2" s="125" t="n">
        <v>20326.12</v>
      </c>
      <c r="G2" s="128" t="n">
        <v>0.00773679196641925</v>
      </c>
      <c r="H2" s="126" t="n">
        <v>7</v>
      </c>
      <c r="I2" s="126" t="n">
        <v>2</v>
      </c>
      <c r="J2" s="126" t="n">
        <v>0</v>
      </c>
      <c r="K2" s="112" t="inlineStr">
        <is>
          <t>胜胜胜胜负</t>
        </is>
      </c>
      <c r="L2" s="126" t="n">
        <v>0</v>
      </c>
      <c r="M2" s="126" t="n">
        <v>2.9</v>
      </c>
      <c r="N2" s="126" t="n">
        <v>2</v>
      </c>
      <c r="O2" s="112" t="inlineStr">
        <is>
          <t>中性偏弱</t>
        </is>
      </c>
      <c r="P2" s="112" t="inlineStr">
        <is>
          <t>5只新开仓日线中枢破位(创力-1.8%/新五丰-3.1%/方盛-9.4%/建研-0.2%/曲美-2.8%),仅隆基合规; 买入时未充分验证中枢位置</t>
        </is>
      </c>
      <c r="Q2" s="112" t="inlineStr">
        <is>
          <t>万华化学清仓获利+933元(周收益+2.54%); 曲美家居原挂2100股超限减至500股后合规</t>
        </is>
      </c>
      <c r="R2" s="162" t="inlineStr">
        <is>
          <t>否</t>
        </is>
      </c>
      <c r="S2" s="129" t="inlineStr">
        <is>
          <t>30%</t>
        </is>
      </c>
      <c r="T2" s="162" t="inlineStr">
        <is>
          <t>否</t>
        </is>
      </c>
      <c r="U2" s="112" t="inlineStr">
        <is>
          <t>开滦股份(600997), 汇嘉时代(603101), 宝钢包装(601968), 家家悦(603708), 一鸣食品(605179)</t>
        </is>
      </c>
      <c r="V2" s="112" t="inlineStr">
        <is>
          <t>心态均分68, 当前总仓位40.4%</t>
        </is>
      </c>
      <c r="W2" s="163" t="inlineStr">
        <is>
          <t>是 (TWR0.503% vs目标0.0118%)</t>
        </is>
      </c>
      <c r="X2" s="163" t="inlineStr">
        <is>
          <t>是 (TWR2.540% vs目标0.0591%)</t>
        </is>
      </c>
      <c r="Y2" s="163" t="inlineStr">
        <is>
          <t>是 (TWR12.637% vs目标0.2466%)</t>
        </is>
      </c>
      <c r="Z2" s="164" t="inlineStr">
        <is>
          <t>[主]TWR:94.9%年化294.2% [辅]动态:119.6%年化403.8%</t>
        </is>
      </c>
      <c r="AA2" s="165" t="inlineStr">
        <is>
          <t>平均R=2.1432, 累计R=15.0027, 最大R=9.0824, 最大亏损R=-0.4017</t>
        </is>
      </c>
      <c r="AB2" s="165" t="n">
        <v>8.380000000000001</v>
      </c>
      <c r="AC2" s="165" t="inlineStr">
        <is>
          <t>婴儿阶段, ¥20,842/¥30,000目标(幼儿)</t>
        </is>
      </c>
      <c r="AD2" s="164" t="inlineStr">
        <is>
          <t>69.5%</t>
        </is>
      </c>
      <c r="AE2" s="165" t="inlineStr">
        <is>
          <t>主:TWR本金¥10,693 辅:动态¥8,484(41%仓位) 系统=正期望系统 ✅ 胜率71% 距幼儿差¥9,158</t>
        </is>
      </c>
      <c r="AF2" s="164" t="inlineStr">
        <is>
          <t>2次, 成功率100% (2/2)</t>
        </is>
      </c>
      <c r="AG2" s="164" t="inlineStr">
        <is>
          <t>71% (5/7)</t>
        </is>
      </c>
      <c r="AH2" s="164" t="inlineStr">
        <is>
          <t>27天</t>
        </is>
      </c>
    </row>
    <row r="3" ht="15" customHeight="1" s="85">
      <c r="A3" s="114" t="inlineStr">
        <is>
          <t>2026-08-02</t>
        </is>
      </c>
      <c r="B3" s="133" t="n">
        <v>527.88</v>
      </c>
      <c r="C3" s="133" t="inlineStr">
        <is>
          <t>2.53%</t>
        </is>
      </c>
      <c r="D3" s="128" t="n">
        <v>20842.92</v>
      </c>
      <c r="E3" s="133" t="n">
        <v>21370.8</v>
      </c>
      <c r="F3" s="133" t="n">
        <v>6</v>
      </c>
      <c r="G3" s="128" t="n">
        <v>11</v>
      </c>
      <c r="H3" s="134" t="n">
        <v>2</v>
      </c>
      <c r="I3" s="134" t="inlineStr">
        <is>
          <t>2/3</t>
        </is>
      </c>
      <c r="J3" s="134" t="n">
        <v>68</v>
      </c>
      <c r="K3" s="114" t="inlineStr">
        <is>
          <t>同花顺复核修正: 期初资产¥21092.63→¥20842.92(差¥249.71); 周收益¥527.88(+2.53%)非¥278.17; 交易成本: 印花税¥22.21+佣金¥48=¥70.21; 做T亏损¥3.47; 最大回撤-0.43%(¥90.92); 盈利4天/亏损1天, 最大连盈3天; 最大盈利个股万华化学, 最大亏损方盛制药(均已清仓); 仓位11%→54%→37%; 清仓三力士+拱东(P0 2/3); 东风-34.6%仍未清仓; 松芝+28.6%需止盈</t>
        </is>
      </c>
      <c r="L3" s="134" t="n"/>
      <c r="M3" s="134" t="n"/>
      <c r="N3" s="134" t="n"/>
      <c r="O3" s="115" t="n"/>
      <c r="P3" s="114" t="n"/>
      <c r="Q3" s="114" t="n"/>
      <c r="R3" s="162" t="n"/>
      <c r="S3" s="135" t="n"/>
      <c r="T3" s="162" t="n"/>
      <c r="U3" s="114" t="n"/>
      <c r="V3" s="114" t="n"/>
    </row>
    <row r="4" ht="15" customHeight="1" s="85">
      <c r="A4" s="84" t="inlineStr">
        <is>
          <t>08/03-08/07</t>
        </is>
      </c>
      <c r="B4" s="84" t="n">
        <v>238.65</v>
      </c>
      <c r="C4" s="84" t="inlineStr">
        <is>
          <t>1.10%</t>
        </is>
      </c>
      <c r="D4" s="84" t="n">
        <v>21654.67</v>
      </c>
      <c r="E4" s="84" t="n">
        <v>21893.32</v>
      </c>
      <c r="F4" s="84" t="n">
        <v>4</v>
      </c>
      <c r="H4" s="84" t="n">
        <v>1</v>
      </c>
      <c r="I4" s="84" t="inlineStr">
        <is>
          <t>1/1</t>
        </is>
      </c>
      <c r="J4" s="84" t="n">
        <v>75</v>
      </c>
      <c r="K4" s="116" t="inlineStr">
        <is>
          <t>本周(08/03-08/07)复盘: 期初资产¥21654.67→期末¥21893.32, 周收益¥238.65(+1.10%); 持仓4只(台华-2.2%/沃华+8.3%/贤丰+10.8%/东风-38.0%); 仓位25%, 现金75%; 全市场扫描2236只, 接近确认11只, 无达标候选; 沃华医药二买确认(强度0.75), 贤丰控股信号消失(DL_P归零), 东风股份破一买低点需清仓; 市场状态: 中性偏弱, 无主线热点</t>
        </is>
      </c>
    </row>
    <row r="5" ht="15" customHeight="1" s="85"/>
    <row r="6" ht="15" customHeight="1" s="85"/>
    <row r="7" ht="15" customHeight="1" s="85"/>
    <row r="8" ht="15" customHeight="1" s="85"/>
    <row r="9" ht="15" customHeight="1" s="85"/>
    <row r="10" ht="15" customHeight="1" s="85"/>
    <row r="11" ht="15" customHeight="1" s="85"/>
    <row r="12" ht="15" customHeight="1" s="85"/>
    <row r="13" ht="15" customHeight="1" s="85"/>
    <row r="14" ht="15" customHeight="1" s="85"/>
    <row r="15" ht="15" customHeight="1" s="85"/>
    <row r="16" ht="15" customHeight="1" s="85"/>
    <row r="17" ht="15" customHeight="1" s="85"/>
    <row r="18" ht="15" customHeight="1" s="85"/>
    <row r="19" ht="15" customHeight="1" s="85"/>
    <row r="20" ht="15" customHeight="1" s="85"/>
    <row r="21" ht="15" customHeight="1" s="85"/>
    <row r="22" ht="15" customHeight="1" s="85"/>
    <row r="23" ht="15" customHeight="1" s="85"/>
    <row r="24" ht="15" customHeight="1" s="85"/>
    <row r="25" ht="15" customHeight="1" s="85"/>
    <row r="26" ht="15" customHeight="1" s="85"/>
    <row r="27" ht="15" customHeight="1" s="85"/>
    <row r="28" ht="15" customHeight="1" s="85"/>
    <row r="29" ht="15" customHeight="1" s="85"/>
    <row r="30" ht="15" customHeight="1" s="85"/>
    <row r="31" ht="15" customHeight="1" s="85"/>
    <row r="32" ht="15" customHeight="1" s="85"/>
    <row r="33" ht="15" customHeight="1" s="85"/>
    <row r="34" ht="15" customHeight="1" s="85"/>
    <row r="35" ht="15" customHeight="1" s="85"/>
    <row r="36" ht="15" customHeight="1" s="85"/>
    <row r="37" ht="15" customHeight="1" s="85"/>
    <row r="38" ht="15" customHeight="1" s="85"/>
    <row r="39" ht="15" customHeight="1" s="85"/>
    <row r="40" ht="15" customHeight="1" s="85"/>
    <row r="41" ht="15" customHeight="1" s="85"/>
    <row r="42" ht="15" customHeight="1" s="85"/>
    <row r="43" ht="15" customHeight="1" s="85"/>
    <row r="44" ht="15" customHeight="1" s="85"/>
    <row r="45" ht="15" customHeight="1" s="85"/>
    <row r="46" ht="15" customHeight="1" s="85"/>
    <row r="47" ht="15" customHeight="1" s="85"/>
    <row r="48" ht="15" customHeight="1" s="85"/>
    <row r="49" ht="15" customHeight="1" s="85"/>
    <row r="50" ht="15" customHeight="1" s="85"/>
    <row r="51" ht="15" customHeight="1" s="85"/>
    <row r="52" ht="15" customHeight="1" s="85"/>
    <row r="53" ht="15" customHeight="1" s="85"/>
    <row r="54" ht="15" customHeight="1" s="85"/>
    <row r="55" ht="15" customHeight="1" s="85"/>
    <row r="56" ht="15" customHeight="1" s="85"/>
    <row r="57" ht="15" customHeight="1" s="85"/>
    <row r="58" ht="15" customHeight="1" s="85"/>
    <row r="59" ht="15" customHeight="1" s="85"/>
    <row r="60" ht="15" customHeight="1" s="85"/>
    <row r="61" ht="15" customHeight="1" s="85"/>
    <row r="62" ht="15" customHeight="1" s="85"/>
    <row r="63" ht="15" customHeight="1" s="85"/>
    <row r="64" ht="15" customHeight="1" s="85"/>
    <row r="65" ht="15" customHeight="1" s="85"/>
    <row r="66" ht="15" customHeight="1" s="85"/>
    <row r="67" ht="15" customHeight="1" s="85"/>
    <row r="68" ht="15" customHeight="1" s="85"/>
    <row r="69" ht="15" customHeight="1" s="85"/>
    <row r="70" ht="15" customHeight="1" s="85"/>
    <row r="71" ht="15" customHeight="1" s="85"/>
    <row r="72" ht="15" customHeight="1" s="85"/>
    <row r="73" ht="15" customHeight="1" s="85"/>
    <row r="74" ht="15" customHeight="1" s="85"/>
    <row r="75" ht="15" customHeight="1" s="85"/>
    <row r="76" ht="15" customHeight="1" s="85"/>
    <row r="77" ht="15" customHeight="1" s="85"/>
    <row r="78" ht="15" customHeight="1" s="85"/>
    <row r="79" ht="15" customHeight="1" s="85"/>
    <row r="80" ht="15" customHeight="1" s="85"/>
    <row r="81" ht="15" customHeight="1" s="85"/>
    <row r="82" ht="15" customHeight="1" s="85"/>
    <row r="83" ht="15" customHeight="1" s="85"/>
    <row r="84" ht="15" customHeight="1" s="85"/>
    <row r="85" ht="15" customHeight="1" s="85"/>
    <row r="86" ht="15" customHeight="1" s="85"/>
    <row r="87" ht="15" customHeight="1" s="85"/>
    <row r="88" ht="15" customHeight="1" s="85"/>
    <row r="89" ht="15" customHeight="1" s="85"/>
    <row r="90" ht="15" customHeight="1" s="85"/>
    <row r="91" ht="15" customHeight="1" s="85"/>
    <row r="92" ht="15" customHeight="1" s="85"/>
    <row r="93" ht="15" customHeight="1" s="85"/>
    <row r="94" ht="15" customHeight="1" s="85"/>
    <row r="95" ht="15" customHeight="1" s="85"/>
    <row r="96" ht="15" customHeight="1" s="85"/>
    <row r="97" ht="15" customHeight="1" s="85"/>
    <row r="98" ht="15" customHeight="1" s="85"/>
    <row r="99" ht="15" customHeight="1" s="85"/>
    <row r="100" ht="15" customHeight="1" s="85"/>
    <row r="101" ht="15" customHeight="1" s="85"/>
    <row r="102" ht="15" customHeight="1" s="85"/>
    <row r="103" ht="15" customHeight="1" s="85"/>
    <row r="104" ht="15" customHeight="1" s="85"/>
    <row r="105" ht="15" customHeight="1" s="85"/>
    <row r="106" ht="15" customHeight="1" s="85"/>
    <row r="107" ht="15" customHeight="1" s="85"/>
    <row r="108" ht="15" customHeight="1" s="85"/>
    <row r="109" ht="15" customHeight="1" s="85"/>
    <row r="110" ht="15" customHeight="1" s="85"/>
    <row r="111" ht="15" customHeight="1" s="85"/>
    <row r="112" ht="15" customHeight="1" s="85"/>
    <row r="113" ht="15" customHeight="1" s="85"/>
    <row r="114" ht="15" customHeight="1" s="85"/>
    <row r="115" ht="15" customHeight="1" s="85"/>
    <row r="116" ht="15" customHeight="1" s="85"/>
    <row r="117" ht="15" customHeight="1" s="85"/>
    <row r="118" ht="15" customHeight="1" s="85"/>
    <row r="119" ht="15" customHeight="1" s="85"/>
    <row r="120" ht="15" customHeight="1" s="85"/>
    <row r="121" ht="15" customHeight="1" s="85"/>
    <row r="122" ht="15" customHeight="1" s="85"/>
    <row r="123" ht="15" customHeight="1" s="85"/>
    <row r="124" ht="15" customHeight="1" s="85"/>
    <row r="125" ht="15" customHeight="1" s="85"/>
    <row r="126" ht="15" customHeight="1" s="85"/>
    <row r="127" ht="15" customHeight="1" s="85"/>
    <row r="128" ht="15" customHeight="1" s="85"/>
    <row r="129" ht="15" customHeight="1" s="85"/>
    <row r="130" ht="15" customHeight="1" s="85"/>
    <row r="131" ht="15" customHeight="1" s="85"/>
    <row r="132" ht="15" customHeight="1" s="85"/>
    <row r="133" ht="15" customHeight="1" s="85"/>
    <row r="134" ht="15" customHeight="1" s="85"/>
    <row r="135" ht="15" customHeight="1" s="85"/>
    <row r="136" ht="15" customHeight="1" s="85"/>
    <row r="137" ht="15" customHeight="1" s="85"/>
    <row r="138" ht="15" customHeight="1" s="85"/>
    <row r="139" ht="15" customHeight="1" s="85"/>
    <row r="140" ht="15" customHeight="1" s="85"/>
    <row r="141" ht="15" customHeight="1" s="85"/>
    <row r="142" ht="15" customHeight="1" s="85"/>
    <row r="143" ht="15" customHeight="1" s="85"/>
    <row r="144" ht="15" customHeight="1" s="85"/>
    <row r="145" ht="15" customHeight="1" s="85"/>
    <row r="146" ht="15" customHeight="1" s="85"/>
    <row r="147" ht="15" customHeight="1" s="85"/>
    <row r="148" ht="15" customHeight="1" s="85"/>
    <row r="149" ht="15" customHeight="1" s="85"/>
    <row r="150" ht="15" customHeight="1" s="85"/>
    <row r="151" ht="15" customHeight="1" s="85"/>
    <row r="152" ht="15" customHeight="1" s="85"/>
    <row r="153" ht="15" customHeight="1" s="85"/>
    <row r="154" ht="15" customHeight="1" s="85"/>
    <row r="155" ht="15" customHeight="1" s="85"/>
    <row r="156" ht="15" customHeight="1" s="85"/>
    <row r="157" ht="15" customHeight="1" s="85"/>
    <row r="158" ht="15" customHeight="1" s="85"/>
    <row r="159" ht="15" customHeight="1" s="85"/>
    <row r="160" ht="15" customHeight="1" s="85"/>
    <row r="161" ht="15" customHeight="1" s="85"/>
    <row r="162" ht="15" customHeight="1" s="85"/>
    <row r="163" ht="15" customHeight="1" s="85"/>
    <row r="164" ht="15" customHeight="1" s="85"/>
    <row r="165" ht="15" customHeight="1" s="85"/>
    <row r="166" ht="15" customHeight="1" s="85"/>
    <row r="167" ht="15" customHeight="1" s="85"/>
    <row r="168" ht="15" customHeight="1" s="85"/>
    <row r="169" ht="15" customHeight="1" s="85"/>
    <row r="170" ht="15" customHeight="1" s="85"/>
    <row r="171" ht="15" customHeight="1" s="85"/>
    <row r="172" ht="15" customHeight="1" s="85"/>
    <row r="173" ht="15" customHeight="1" s="85"/>
    <row r="174" ht="15" customHeight="1" s="85"/>
    <row r="175" ht="15" customHeight="1" s="85"/>
    <row r="176" ht="15" customHeight="1" s="85"/>
    <row r="177" ht="15" customHeight="1" s="85"/>
    <row r="178" ht="15" customHeight="1" s="85"/>
    <row r="179" ht="15" customHeight="1" s="85"/>
    <row r="180" ht="15" customHeight="1" s="85"/>
    <row r="181" ht="15" customHeight="1" s="85"/>
    <row r="182" ht="15" customHeight="1" s="85"/>
    <row r="183" ht="15" customHeight="1" s="85"/>
    <row r="184" ht="15" customHeight="1" s="85"/>
    <row r="185" ht="15" customHeight="1" s="85"/>
    <row r="186" ht="15" customHeight="1" s="85"/>
    <row r="187" ht="15" customHeight="1" s="85"/>
    <row r="188" ht="15" customHeight="1" s="85"/>
    <row r="189" ht="15" customHeight="1" s="85"/>
    <row r="190" ht="15" customHeight="1" s="85"/>
    <row r="191" ht="15" customHeight="1" s="85"/>
    <row r="192" ht="15" customHeight="1" s="85"/>
    <row r="193" ht="15" customHeight="1" s="85"/>
    <row r="194" ht="15" customHeight="1" s="85"/>
    <row r="195" ht="15" customHeight="1" s="85"/>
    <row r="196" ht="15" customHeight="1" s="85"/>
    <row r="197" ht="15" customHeight="1" s="85"/>
    <row r="198" ht="15" customHeight="1" s="85"/>
    <row r="199" ht="15" customHeight="1" s="85"/>
    <row r="200" ht="15" customHeight="1" s="85"/>
    <row r="201" ht="15" customHeight="1" s="8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8" text="" percent="0" bottom="0">
      <formula>R2="是"</formula>
    </cfRule>
    <cfRule type="expression" rank="0" priority="3" equalAverage="0" aboveAverage="0" dxfId="9" text="" percent="0" bottom="0">
      <formula>R2="否"</formula>
    </cfRule>
  </conditionalFormatting>
  <conditionalFormatting sqref="T2:T201">
    <cfRule type="expression" rank="0" priority="4" equalAverage="0" aboveAverage="0" dxfId="8" text="" percent="0" bottom="0">
      <formula>T2="是"</formula>
    </cfRule>
    <cfRule type="expression" rank="0" priority="5" equalAverage="0" aboveAverage="0" dxfId="9" text="" percent="0" bottom="0">
      <formula>T2="否"</formula>
    </cfRule>
  </conditionalFormatting>
  <conditionalFormatting sqref="G2:G201">
    <cfRule type="cellIs" rank="0" priority="6" equalAverage="0" operator="lessThan" aboveAverage="0" dxfId="15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M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84" min="1" max="1"/>
    <col width="10" customWidth="1" style="84" min="2" max="2"/>
    <col width="12" customWidth="1" style="84" min="3" max="3"/>
    <col width="10" customWidth="1" style="84" min="4" max="7"/>
    <col width="12" customWidth="1" style="84" min="8" max="9"/>
    <col width="14" customWidth="1" style="84" min="10" max="12"/>
    <col width="12" customWidth="1" style="84" min="13" max="13"/>
  </cols>
  <sheetData>
    <row r="1" ht="15" customHeight="1" s="85">
      <c r="A1" s="117" t="inlineStr">
        <is>
          <t>日期</t>
        </is>
      </c>
      <c r="B1" s="117" t="inlineStr">
        <is>
          <t>代码</t>
        </is>
      </c>
      <c r="C1" s="117" t="inlineStr">
        <is>
          <t>股票名称</t>
        </is>
      </c>
      <c r="D1" s="122" t="inlineStr">
        <is>
          <t>Price</t>
        </is>
      </c>
      <c r="E1" s="122" t="inlineStr">
        <is>
          <t>ratio</t>
        </is>
      </c>
      <c r="F1" s="122" t="inlineStr">
        <is>
          <t>DL_P</t>
        </is>
      </c>
      <c r="G1" s="122" t="inlineStr">
        <is>
          <t>Tier</t>
        </is>
      </c>
      <c r="H1" s="117" t="inlineStr">
        <is>
          <t>最小可买股数</t>
        </is>
      </c>
      <c r="I1" s="117" t="inlineStr">
        <is>
          <t>最低转入金额</t>
        </is>
      </c>
      <c r="J1" s="117" t="inlineStr">
        <is>
          <t>上一交易日Tier</t>
        </is>
      </c>
      <c r="K1" s="117" t="inlineStr">
        <is>
          <t>是否观察转核心</t>
        </is>
      </c>
      <c r="L1" s="117" t="inlineStr">
        <is>
          <t>连续核心池天数</t>
        </is>
      </c>
      <c r="M1" s="117" t="inlineStr">
        <is>
          <t>信号状态</t>
        </is>
      </c>
    </row>
    <row r="2" ht="15" customHeight="1" s="85">
      <c r="A2" s="119" t="n">
        <v>46229</v>
      </c>
      <c r="B2" s="84" t="inlineStr">
        <is>
          <t>002827</t>
        </is>
      </c>
      <c r="C2" s="116" t="inlineStr">
        <is>
          <t>高争民爆</t>
        </is>
      </c>
      <c r="D2" s="84" t="n">
        <v>23.98</v>
      </c>
      <c r="E2" s="84" t="n">
        <v>0.18020228134431</v>
      </c>
      <c r="F2" s="84" t="n">
        <v>0.9422579013433779</v>
      </c>
      <c r="G2" s="116" t="inlineStr">
        <is>
          <t>核心池</t>
        </is>
      </c>
      <c r="H2" s="84" t="n">
        <v>100</v>
      </c>
      <c r="I2" s="84" t="n">
        <v>0</v>
      </c>
      <c r="J2" s="84">
        <f>IFERROR(INDEX($G$2:$G2,MATCH(1,($B$2:$B2=B2)*($A$2:$A2&lt;A2),0)),"")</f>
        <v/>
      </c>
      <c r="K2" s="84">
        <f>IF(AND(J2="观察池",G2="核心池"),1,0)</f>
        <v/>
      </c>
      <c r="L2" s="84">
        <f>IF(G2&lt;&gt;"核心池",0,IF(J2="核心池",L2+1,1))</f>
        <v/>
      </c>
      <c r="M2" s="84">
        <f>IF(L2&gt;=3,"信号强化",IF(K2=1,"观察转核心",""))</f>
        <v/>
      </c>
    </row>
    <row r="3" ht="15" customHeight="1" s="85">
      <c r="A3" s="119" t="n">
        <v>46229</v>
      </c>
      <c r="B3" s="84" t="inlineStr">
        <is>
          <t>002329</t>
        </is>
      </c>
      <c r="C3" s="116" t="inlineStr">
        <is>
          <t>皇氏集团</t>
        </is>
      </c>
      <c r="D3" s="84" t="n">
        <v>3.1</v>
      </c>
      <c r="E3" s="84" t="n">
        <v>0.0219614970942553</v>
      </c>
      <c r="F3" s="84" t="n">
        <v>0.937046817900879</v>
      </c>
      <c r="G3" s="116" t="inlineStr">
        <is>
          <t>核心池</t>
        </is>
      </c>
      <c r="H3" s="84" t="n">
        <v>300</v>
      </c>
      <c r="I3" s="84" t="n">
        <v>0</v>
      </c>
      <c r="J3" s="84">
        <f>IFERROR(INDEX($G$2:$G3,MATCH(1,($B$2:$B3=B3)*($A$2:$A3&lt;A3),0)),"")</f>
        <v/>
      </c>
      <c r="K3" s="84">
        <f>IF(AND(J3="观察池",G3="核心池"),1,0)</f>
        <v/>
      </c>
      <c r="L3" s="84">
        <f>IF(G3&lt;&gt;"核心池",0,IF(J3="核心池",L3+1,1))</f>
        <v/>
      </c>
      <c r="M3" s="84">
        <f>IF(L3&gt;=3,"信号强化",IF(K3=1,"观察转核心",""))</f>
        <v/>
      </c>
    </row>
    <row r="4" ht="15" customHeight="1" s="85">
      <c r="A4" s="119" t="n">
        <v>46229</v>
      </c>
      <c r="B4" s="84" t="inlineStr">
        <is>
          <t>605116</t>
        </is>
      </c>
      <c r="C4" s="116" t="inlineStr">
        <is>
          <t>奥锐特</t>
        </is>
      </c>
      <c r="D4" s="84" t="n">
        <v>18.74</v>
      </c>
      <c r="E4" s="84" t="n">
        <v>0.07221047926570349</v>
      </c>
      <c r="F4" s="84" t="n">
        <v>0.933669096017595</v>
      </c>
      <c r="G4" s="116" t="inlineStr">
        <is>
          <t>核心池</t>
        </is>
      </c>
      <c r="H4" s="84" t="n">
        <v>100</v>
      </c>
      <c r="I4" s="84" t="n">
        <v>0</v>
      </c>
      <c r="J4" s="84">
        <f>IFERROR(INDEX($G$2:$G4,MATCH(1,($B$2:$B4=B4)*($A$2:$A4&lt;A4),0)),"")</f>
        <v/>
      </c>
      <c r="K4" s="84">
        <f>IF(AND(J4="观察池",G4="核心池"),1,0)</f>
        <v/>
      </c>
      <c r="L4" s="84">
        <f>IF(G4&lt;&gt;"核心池",0,IF(J4="核心池",L4+1,1))</f>
        <v/>
      </c>
      <c r="M4" s="84">
        <f>IF(L4&gt;=3,"信号强化",IF(K4=1,"观察转核心",""))</f>
        <v/>
      </c>
    </row>
    <row r="5" ht="15" customHeight="1" s="85">
      <c r="A5" s="119" t="n">
        <v>46229</v>
      </c>
      <c r="B5" s="84" t="inlineStr">
        <is>
          <t>000963</t>
        </is>
      </c>
      <c r="C5" s="116" t="inlineStr">
        <is>
          <t>华东医药</t>
        </is>
      </c>
      <c r="D5" s="84" t="n">
        <v>28.58</v>
      </c>
      <c r="E5" s="84" t="n">
        <v>0.136356199625273</v>
      </c>
      <c r="F5" s="84" t="n">
        <v>0.9327734042700579</v>
      </c>
      <c r="G5" s="116" t="inlineStr">
        <is>
          <t>核心池</t>
        </is>
      </c>
      <c r="H5" s="84" t="n">
        <v>100</v>
      </c>
      <c r="I5" s="84" t="n">
        <v>0</v>
      </c>
      <c r="J5" s="84">
        <f>IFERROR(INDEX($G$2:$G5,MATCH(1,($B$2:$B5=B5)*($A$2:$A5&lt;A5),0)),"")</f>
        <v/>
      </c>
      <c r="K5" s="84">
        <f>IF(AND(J5="观察池",G5="核心池"),1,0)</f>
        <v/>
      </c>
      <c r="L5" s="84">
        <f>IF(G5&lt;&gt;"核心池",0,IF(J5="核心池",L5+1,1))</f>
        <v/>
      </c>
      <c r="M5" s="84">
        <f>IF(L5&gt;=3,"信号强化",IF(K5=1,"观察转核心",""))</f>
        <v/>
      </c>
    </row>
    <row r="6" ht="15" customHeight="1" s="85">
      <c r="A6" s="119" t="n">
        <v>46229</v>
      </c>
      <c r="B6" s="84" t="inlineStr">
        <is>
          <t>002593</t>
        </is>
      </c>
      <c r="C6" s="116" t="inlineStr">
        <is>
          <t>日上集团</t>
        </is>
      </c>
      <c r="D6" s="84" t="n">
        <v>4.07</v>
      </c>
      <c r="E6" s="84" t="n">
        <v>0.148936427931102</v>
      </c>
      <c r="F6" s="84" t="n">
        <v>0.9310213218843389</v>
      </c>
      <c r="G6" s="116" t="inlineStr">
        <is>
          <t>核心池</t>
        </is>
      </c>
      <c r="H6" s="84" t="n">
        <v>200</v>
      </c>
      <c r="I6" s="84" t="n">
        <v>0</v>
      </c>
      <c r="J6" s="84">
        <f>IFERROR(INDEX($G$2:$G6,MATCH(1,($B$2:$B6=B6)*($A$2:$A6&lt;A6),0)),"")</f>
        <v/>
      </c>
      <c r="K6" s="84">
        <f>IF(AND(J6="观察池",G6="核心池"),1,0)</f>
        <v/>
      </c>
      <c r="L6" s="84">
        <f>IF(G6&lt;&gt;"核心池",0,IF(J6="核心池",L6+1,1))</f>
        <v/>
      </c>
      <c r="M6" s="84">
        <f>IF(L6&gt;=3,"信号强化",IF(K6=1,"观察转核心",""))</f>
        <v/>
      </c>
    </row>
    <row r="7" ht="15" customHeight="1" s="85">
      <c r="A7" s="119" t="n">
        <v>46229</v>
      </c>
      <c r="B7" s="84" t="inlineStr">
        <is>
          <t>002107</t>
        </is>
      </c>
      <c r="C7" s="116" t="inlineStr">
        <is>
          <t>沃华医药</t>
        </is>
      </c>
      <c r="D7" s="84" t="n">
        <v>5.8</v>
      </c>
      <c r="E7" s="84" t="n">
        <v>0.151260284559991</v>
      </c>
      <c r="F7" s="84" t="n">
        <v>0.925849573092616</v>
      </c>
      <c r="G7" s="116" t="inlineStr">
        <is>
          <t>核心池</t>
        </is>
      </c>
      <c r="H7" s="84" t="n">
        <v>200</v>
      </c>
      <c r="I7" s="84" t="n">
        <v>0</v>
      </c>
      <c r="J7" s="84">
        <f>IFERROR(INDEX($G$2:$G7,MATCH(1,($B$2:$B7=B7)*($A$2:$A7&lt;A7),0)),"")</f>
        <v/>
      </c>
      <c r="K7" s="84">
        <f>IF(AND(J7="观察池",G7="核心池"),1,0)</f>
        <v/>
      </c>
      <c r="L7" s="84">
        <f>IF(G7&lt;&gt;"核心池",0,IF(J7="核心池",L7+1,1))</f>
        <v/>
      </c>
      <c r="M7" s="84">
        <f>IF(L7&gt;=3,"信号强化",IF(K7=1,"观察转核心",""))</f>
        <v/>
      </c>
    </row>
    <row r="8" ht="15" customHeight="1" s="85">
      <c r="A8" s="119" t="n">
        <v>46229</v>
      </c>
      <c r="B8" s="84" t="inlineStr">
        <is>
          <t>603444</t>
        </is>
      </c>
      <c r="C8" s="116" t="inlineStr">
        <is>
          <t>吉比特</t>
        </is>
      </c>
      <c r="D8" s="84" t="n">
        <v>347.8</v>
      </c>
      <c r="E8" s="84" t="n">
        <v>0.150557882767282</v>
      </c>
      <c r="F8" s="84" t="n">
        <v>0.923640505971024</v>
      </c>
      <c r="G8" s="116" t="inlineStr">
        <is>
          <t>核心池</t>
        </is>
      </c>
      <c r="H8" s="84" t="n">
        <v>100</v>
      </c>
      <c r="I8" s="84" t="n">
        <v>0</v>
      </c>
      <c r="J8" s="84">
        <f>IFERROR(INDEX($G$2:$G8,MATCH(1,($B$2:$B8=B8)*($A$2:$A8&lt;A8),0)),"")</f>
        <v/>
      </c>
      <c r="K8" s="84">
        <f>IF(AND(J8="观察池",G8="核心池"),1,0)</f>
        <v/>
      </c>
      <c r="L8" s="84">
        <f>IF(G8&lt;&gt;"核心池",0,IF(J8="核心池",L8+1,1))</f>
        <v/>
      </c>
      <c r="M8" s="84">
        <f>IF(L8&gt;=3,"信号强化",IF(K8=1,"观察转核心",""))</f>
        <v/>
      </c>
    </row>
    <row r="9" ht="15" customHeight="1" s="85">
      <c r="A9" s="119" t="n">
        <v>46229</v>
      </c>
      <c r="B9" s="84" t="inlineStr">
        <is>
          <t>601121</t>
        </is>
      </c>
      <c r="C9" s="116" t="inlineStr">
        <is>
          <t>宝地矿业</t>
        </is>
      </c>
      <c r="D9" s="84" t="n">
        <v>6.46</v>
      </c>
      <c r="E9" s="84" t="n">
        <v>0.0651159258248686</v>
      </c>
      <c r="F9" s="84" t="n">
        <v>0.921375970201785</v>
      </c>
      <c r="G9" s="116" t="inlineStr">
        <is>
          <t>核心池</t>
        </is>
      </c>
      <c r="H9" s="84" t="n">
        <v>200</v>
      </c>
      <c r="I9" s="84" t="n">
        <v>0</v>
      </c>
      <c r="J9" s="84">
        <f>IFERROR(INDEX($G$2:$G9,MATCH(1,($B$2:$B9=B9)*($A$2:$A9&lt;A9),0)),"")</f>
        <v/>
      </c>
      <c r="K9" s="84">
        <f>IF(AND(J9="观察池",G9="核心池"),1,0)</f>
        <v/>
      </c>
      <c r="L9" s="84">
        <f>IF(G9&lt;&gt;"核心池",0,IF(J9="核心池",L9+1,1))</f>
        <v/>
      </c>
      <c r="M9" s="84">
        <f>IF(L9&gt;=3,"信号强化",IF(K9=1,"观察转核心",""))</f>
        <v/>
      </c>
    </row>
    <row r="10" ht="15" customHeight="1" s="85">
      <c r="A10" s="119" t="n">
        <v>46229</v>
      </c>
      <c r="B10" s="84" t="inlineStr">
        <is>
          <t>603055</t>
        </is>
      </c>
      <c r="C10" s="116" t="inlineStr">
        <is>
          <t>台华新材</t>
        </is>
      </c>
      <c r="D10" s="84" t="n">
        <v>8.24</v>
      </c>
      <c r="E10" s="84" t="n">
        <v>0.121339732883122</v>
      </c>
      <c r="F10" s="84" t="n">
        <v>0.916751649432289</v>
      </c>
      <c r="G10" s="116" t="inlineStr">
        <is>
          <t>核心池</t>
        </is>
      </c>
      <c r="H10" s="84" t="n">
        <v>100</v>
      </c>
      <c r="I10" s="84" t="n">
        <v>0</v>
      </c>
      <c r="J10" s="84">
        <f>IFERROR(INDEX($G$2:$G10,MATCH(1,($B$2:$B10=B10)*($A$2:$A10&lt;A10),0)),"")</f>
        <v/>
      </c>
      <c r="K10" s="84">
        <f>IF(AND(J10="观察池",G10="核心池"),1,0)</f>
        <v/>
      </c>
      <c r="L10" s="84">
        <f>IF(G10&lt;&gt;"核心池",0,IF(J10="核心池",L10+1,1))</f>
        <v/>
      </c>
      <c r="M10" s="84">
        <f>IF(L10&gt;=3,"信号强化",IF(K10=1,"观察转核心",""))</f>
        <v/>
      </c>
    </row>
    <row r="11" ht="15" customHeight="1" s="85">
      <c r="A11" s="119" t="n">
        <v>46229</v>
      </c>
      <c r="B11" s="84" t="inlineStr">
        <is>
          <t>603207</t>
        </is>
      </c>
      <c r="C11" s="116" t="inlineStr">
        <is>
          <t>小方制药</t>
        </is>
      </c>
      <c r="D11" s="84" t="n">
        <v>21.5</v>
      </c>
      <c r="E11" s="84" t="n">
        <v>0.115884894387187</v>
      </c>
      <c r="F11" s="84" t="n">
        <v>0.916649957764473</v>
      </c>
      <c r="G11" s="116" t="inlineStr">
        <is>
          <t>核心池</t>
        </is>
      </c>
      <c r="H11" s="84" t="n">
        <v>100</v>
      </c>
      <c r="I11" s="84" t="n">
        <v>0</v>
      </c>
      <c r="J11" s="84">
        <f>IFERROR(INDEX($G$2:$G11,MATCH(1,($B$2:$B11=B11)*($A$2:$A11&lt;A11),0)),"")</f>
        <v/>
      </c>
      <c r="K11" s="84">
        <f>IF(AND(J11="观察池",G11="核心池"),1,0)</f>
        <v/>
      </c>
      <c r="L11" s="84">
        <f>IF(G11&lt;&gt;"核心池",0,IF(J11="核心池",L11+1,1))</f>
        <v/>
      </c>
      <c r="M11" s="84">
        <f>IF(L11&gt;=3,"信号强化",IF(K11=1,"观察转核心",""))</f>
        <v/>
      </c>
    </row>
    <row r="12" ht="15" customHeight="1" s="85">
      <c r="A12" s="119" t="n">
        <v>46229</v>
      </c>
      <c r="B12" s="84" t="inlineStr">
        <is>
          <t>002853</t>
        </is>
      </c>
      <c r="C12" s="116" t="inlineStr">
        <is>
          <t>皮阿诺</t>
        </is>
      </c>
      <c r="D12" s="84" t="n">
        <v>18.87</v>
      </c>
      <c r="E12" s="84" t="n">
        <v>0.121148586472636</v>
      </c>
      <c r="F12" s="84" t="n">
        <v>0.906724814708502</v>
      </c>
      <c r="G12" s="116" t="inlineStr">
        <is>
          <t>核心池</t>
        </is>
      </c>
      <c r="H12" s="84" t="n">
        <v>100</v>
      </c>
      <c r="I12" s="84" t="n">
        <v>0</v>
      </c>
      <c r="J12" s="84">
        <f>IFERROR(INDEX($G$2:$G12,MATCH(1,($B$2:$B12=B12)*($A$2:$A12&lt;A12),0)),"")</f>
        <v/>
      </c>
      <c r="K12" s="84">
        <f>IF(AND(J12="观察池",G12="核心池"),1,0)</f>
        <v/>
      </c>
      <c r="L12" s="84">
        <f>IF(G12&lt;&gt;"核心池",0,IF(J12="核心池",L12+1,1))</f>
        <v/>
      </c>
      <c r="M12" s="84">
        <f>IF(L12&gt;=3,"信号强化",IF(K12=1,"观察转核心",""))</f>
        <v/>
      </c>
    </row>
    <row r="13" ht="15" customHeight="1" s="85">
      <c r="A13" s="119" t="n">
        <v>46229</v>
      </c>
      <c r="B13" s="84" t="inlineStr">
        <is>
          <t>002099</t>
        </is>
      </c>
      <c r="C13" s="116" t="inlineStr">
        <is>
          <t>海翔药业</t>
        </is>
      </c>
      <c r="D13" s="84" t="n">
        <v>5.03</v>
      </c>
      <c r="E13" s="84" t="n">
        <v>0.230295547470064</v>
      </c>
      <c r="F13" s="84" t="n">
        <v>0.966349594345001</v>
      </c>
      <c r="G13" s="116" t="inlineStr">
        <is>
          <t>观察池</t>
        </is>
      </c>
      <c r="H13" s="84" t="n">
        <v>200</v>
      </c>
      <c r="I13" s="84" t="n">
        <v>0</v>
      </c>
      <c r="J13" s="84">
        <f>IFERROR(INDEX($G$2:$G13,MATCH(1,($B$2:$B13=B13)*($A$2:$A13&lt;A13),0)),"")</f>
        <v/>
      </c>
      <c r="K13" s="84">
        <f>IF(AND(J13="观察池",G13="核心池"),1,0)</f>
        <v/>
      </c>
      <c r="L13" s="84">
        <f>IF(G13&lt;&gt;"核心池",0,IF(J13="核心池",L13+1,1))</f>
        <v/>
      </c>
      <c r="M13" s="84">
        <f>IF(L13&gt;=3,"信号强化",IF(K13=1,"观察转核心",""))</f>
        <v/>
      </c>
    </row>
    <row r="14" ht="15" customHeight="1" s="85">
      <c r="A14" s="119" t="n">
        <v>46229</v>
      </c>
      <c r="B14" s="84" t="inlineStr">
        <is>
          <t>000567</t>
        </is>
      </c>
      <c r="C14" s="116" t="inlineStr">
        <is>
          <t>海德股份</t>
        </is>
      </c>
      <c r="D14" s="84" t="n">
        <v>5.43</v>
      </c>
      <c r="E14" s="84" t="n">
        <v>0.264315091191391</v>
      </c>
      <c r="F14" s="84" t="n">
        <v>0.946183041529521</v>
      </c>
      <c r="G14" s="116" t="inlineStr">
        <is>
          <t>观察池</t>
        </is>
      </c>
      <c r="H14" s="84" t="n">
        <v>200</v>
      </c>
      <c r="I14" s="84" t="n">
        <v>0</v>
      </c>
      <c r="J14" s="84">
        <f>IFERROR(INDEX($G$2:$G14,MATCH(1,($B$2:$B14=B14)*($A$2:$A14&lt;A14),0)),"")</f>
        <v/>
      </c>
      <c r="K14" s="84">
        <f>IF(AND(J14="观察池",G14="核心池"),1,0)</f>
        <v/>
      </c>
      <c r="L14" s="84">
        <f>IF(G14&lt;&gt;"核心池",0,IF(J14="核心池",L14+1,1))</f>
        <v/>
      </c>
      <c r="M14" s="84">
        <f>IF(L14&gt;=3,"信号强化",IF(K14=1,"观察转核心",""))</f>
        <v/>
      </c>
    </row>
    <row r="15" ht="15" customHeight="1" s="85">
      <c r="A15" s="119" t="n">
        <v>46229</v>
      </c>
      <c r="B15" s="84" t="inlineStr">
        <is>
          <t>002038</t>
        </is>
      </c>
      <c r="C15" s="116" t="inlineStr">
        <is>
          <t>双鹭药业</t>
        </is>
      </c>
      <c r="D15" s="84" t="n">
        <v>5.29</v>
      </c>
      <c r="E15" s="84" t="n">
        <v>0.294214346271889</v>
      </c>
      <c r="F15" s="84" t="n">
        <v>0.944844424311078</v>
      </c>
      <c r="G15" s="116" t="inlineStr">
        <is>
          <t>观察池</t>
        </is>
      </c>
      <c r="H15" s="84" t="n">
        <v>200</v>
      </c>
      <c r="I15" s="84" t="n">
        <v>0</v>
      </c>
      <c r="J15" s="84">
        <f>IFERROR(INDEX($G$2:$G15,MATCH(1,($B$2:$B15=B15)*($A$2:$A15&lt;A15),0)),"")</f>
        <v/>
      </c>
      <c r="K15" s="84">
        <f>IF(AND(J15="观察池",G15="核心池"),1,0)</f>
        <v/>
      </c>
      <c r="L15" s="84">
        <f>IF(G15&lt;&gt;"核心池",0,IF(J15="核心池",L15+1,1))</f>
        <v/>
      </c>
      <c r="M15" s="84">
        <f>IF(L15&gt;=3,"信号强化",IF(K15=1,"观察转核心",""))</f>
        <v/>
      </c>
    </row>
    <row r="16" ht="15" customHeight="1" s="85">
      <c r="A16" s="119" t="n">
        <v>46229</v>
      </c>
      <c r="B16" s="84" t="inlineStr">
        <is>
          <t>002923</t>
        </is>
      </c>
      <c r="C16" s="116" t="inlineStr">
        <is>
          <t>润都股份</t>
        </is>
      </c>
      <c r="D16" s="84" t="n">
        <v>10.12</v>
      </c>
      <c r="E16" s="84" t="n">
        <v>0.127084861361356</v>
      </c>
      <c r="F16" s="84" t="n">
        <v>0.899729521998906</v>
      </c>
      <c r="G16" s="116" t="inlineStr">
        <is>
          <t>观察池</t>
        </is>
      </c>
      <c r="H16" s="84" t="n">
        <v>100</v>
      </c>
      <c r="I16" s="84" t="n">
        <v>0</v>
      </c>
      <c r="J16" s="84">
        <f>IFERROR(INDEX($G$2:$G16,MATCH(1,($B$2:$B16=B16)*($A$2:$A16&lt;A16),0)),"")</f>
        <v/>
      </c>
      <c r="K16" s="84">
        <f>IF(AND(J16="观察池",G16="核心池"),1,0)</f>
        <v/>
      </c>
      <c r="L16" s="84">
        <f>IF(G16&lt;&gt;"核心池",0,IF(J16="核心池",L16+1,1))</f>
        <v/>
      </c>
      <c r="M16" s="84">
        <f>IF(L16&gt;=3,"信号强化",IF(K16=1,"观察转核心",""))</f>
        <v/>
      </c>
    </row>
    <row r="17" ht="15" customHeight="1" s="85">
      <c r="A17" s="119" t="n">
        <v>46229</v>
      </c>
      <c r="B17" s="84" t="inlineStr">
        <is>
          <t>002986</t>
        </is>
      </c>
      <c r="C17" s="116" t="inlineStr">
        <is>
          <t>宇新股份</t>
        </is>
      </c>
      <c r="D17" s="84" t="n">
        <v>11.53</v>
      </c>
      <c r="E17" s="84" t="n">
        <v>0.246630945795256</v>
      </c>
      <c r="F17" s="84" t="n">
        <v>0.894431562682973</v>
      </c>
      <c r="G17" s="116" t="inlineStr">
        <is>
          <t>观察池</t>
        </is>
      </c>
      <c r="H17" s="84" t="n">
        <v>100</v>
      </c>
      <c r="I17" s="84" t="n">
        <v>0</v>
      </c>
      <c r="J17" s="84">
        <f>IFERROR(INDEX($G$2:$G17,MATCH(1,($B$2:$B17=B17)*($A$2:$A17&lt;A17),0)),"")</f>
        <v/>
      </c>
      <c r="K17" s="84">
        <f>IF(AND(J17="观察池",G17="核心池"),1,0)</f>
        <v/>
      </c>
      <c r="L17" s="84">
        <f>IF(G17&lt;&gt;"核心池",0,IF(J17="核心池",L17+1,1))</f>
        <v/>
      </c>
      <c r="M17" s="84">
        <f>IF(L17&gt;=3,"信号强化",IF(K17=1,"观察转核心",""))</f>
        <v/>
      </c>
    </row>
    <row r="18" ht="15" customHeight="1" s="85">
      <c r="A18" s="119" t="n">
        <v>46229</v>
      </c>
      <c r="B18" s="84" t="inlineStr">
        <is>
          <t>002622</t>
        </is>
      </c>
      <c r="C18" s="116" t="inlineStr">
        <is>
          <t>皓宸医疗</t>
        </is>
      </c>
      <c r="D18" s="84" t="n">
        <v>1.98</v>
      </c>
      <c r="E18" s="84" t="n">
        <v>0.232351791787116</v>
      </c>
      <c r="F18" s="84" t="n">
        <v>0.8913969220451839</v>
      </c>
      <c r="G18" s="116" t="inlineStr">
        <is>
          <t>观察池</t>
        </is>
      </c>
      <c r="H18" s="84" t="n">
        <v>500</v>
      </c>
      <c r="I18" s="84" t="n">
        <v>0</v>
      </c>
      <c r="J18" s="84">
        <f>IFERROR(INDEX($G$2:$G18,MATCH(1,($B$2:$B18=B18)*($A$2:$A18&lt;A18),0)),"")</f>
        <v/>
      </c>
      <c r="K18" s="84">
        <f>IF(AND(J18="观察池",G18="核心池"),1,0)</f>
        <v/>
      </c>
      <c r="L18" s="84">
        <f>IF(G18&lt;&gt;"核心池",0,IF(J18="核心池",L18+1,1))</f>
        <v/>
      </c>
      <c r="M18" s="84">
        <f>IF(L18&gt;=3,"信号强化",IF(K18=1,"观察转核心",""))</f>
        <v/>
      </c>
    </row>
    <row r="19" ht="15" customHeight="1" s="85">
      <c r="A19" s="119" t="n">
        <v>46229</v>
      </c>
      <c r="B19" s="84" t="inlineStr">
        <is>
          <t>605369</t>
        </is>
      </c>
      <c r="C19" s="116" t="inlineStr">
        <is>
          <t>拱东医疗</t>
        </is>
      </c>
      <c r="D19" s="84" t="n">
        <v>15.18</v>
      </c>
      <c r="E19" s="84" t="n">
        <v>0.240501831073785</v>
      </c>
      <c r="F19" s="84" t="n">
        <v>0.880243329150861</v>
      </c>
      <c r="G19" s="116" t="inlineStr">
        <is>
          <t>观察池</t>
        </is>
      </c>
      <c r="H19" s="84" t="n">
        <v>100</v>
      </c>
      <c r="I19" s="84" t="n">
        <v>0</v>
      </c>
      <c r="J19" s="84">
        <f>IFERROR(INDEX($G$2:$G19,MATCH(1,($B$2:$B19=B19)*($A$2:$A19&lt;A19),0)),"")</f>
        <v/>
      </c>
      <c r="K19" s="84">
        <f>IF(AND(J19="观察池",G19="核心池"),1,0)</f>
        <v/>
      </c>
      <c r="L19" s="84">
        <f>IF(G19&lt;&gt;"核心池",0,IF(J19="核心池",L19+1,1))</f>
        <v/>
      </c>
      <c r="M19" s="84">
        <f>IF(L19&gt;=3,"信号强化",IF(K19=1,"观察转核心",""))</f>
        <v/>
      </c>
    </row>
    <row r="20" ht="15" customHeight="1" s="85">
      <c r="A20" s="119" t="n">
        <v>46229</v>
      </c>
      <c r="B20" s="84" t="inlineStr">
        <is>
          <t>002486</t>
        </is>
      </c>
      <c r="C20" s="116" t="inlineStr">
        <is>
          <t>嘉麟杰</t>
        </is>
      </c>
      <c r="D20" s="84" t="n">
        <v>2.12</v>
      </c>
      <c r="E20" s="84" t="n">
        <v>0.174050352294355</v>
      </c>
      <c r="F20" s="84" t="n">
        <v>0.876951353251519</v>
      </c>
      <c r="G20" s="116" t="inlineStr">
        <is>
          <t>观察池</t>
        </is>
      </c>
      <c r="H20" s="84" t="n">
        <v>400</v>
      </c>
      <c r="I20" s="84" t="n">
        <v>0</v>
      </c>
      <c r="J20" s="84">
        <f>IFERROR(INDEX($G$2:$G20,MATCH(1,($B$2:$B20=B20)*($A$2:$A20&lt;A20),0)),"")</f>
        <v/>
      </c>
      <c r="K20" s="84">
        <f>IF(AND(J20="观察池",G20="核心池"),1,0)</f>
        <v/>
      </c>
      <c r="L20" s="84">
        <f>IF(G20&lt;&gt;"核心池",0,IF(J20="核心池",L20+1,1))</f>
        <v/>
      </c>
      <c r="M20" s="84">
        <f>IF(L20&gt;=3,"信号强化",IF(K20=1,"观察转核心",""))</f>
        <v/>
      </c>
    </row>
    <row r="21" ht="15" customHeight="1" s="85">
      <c r="A21" s="119" t="n">
        <v>46229</v>
      </c>
      <c r="B21" s="84" t="inlineStr">
        <is>
          <t>002840</t>
        </is>
      </c>
      <c r="C21" s="116" t="inlineStr">
        <is>
          <t>华统股份</t>
        </is>
      </c>
      <c r="D21" s="84" t="n">
        <v>7.08</v>
      </c>
      <c r="E21" s="84" t="n">
        <v>0.294703066087429</v>
      </c>
      <c r="F21" s="84" t="n">
        <v>0.867559280835112</v>
      </c>
      <c r="G21" s="116" t="inlineStr">
        <is>
          <t>观察池</t>
        </is>
      </c>
      <c r="H21" s="84" t="n">
        <v>200</v>
      </c>
      <c r="I21" s="84" t="n">
        <v>0</v>
      </c>
      <c r="J21" s="84">
        <f>IFERROR(INDEX($G$2:$G21,MATCH(1,($B$2:$B21=B21)*($A$2:$A21&lt;A21),0)),"")</f>
        <v/>
      </c>
      <c r="K21" s="84">
        <f>IF(AND(J21="观察池",G21="核心池"),1,0)</f>
        <v/>
      </c>
      <c r="L21" s="84">
        <f>IF(G21&lt;&gt;"核心池",0,IF(J21="核心池",L21+1,1))</f>
        <v/>
      </c>
      <c r="M21" s="84">
        <f>IF(L21&gt;=3,"信号强化",IF(K21=1,"观察转核心",""))</f>
        <v/>
      </c>
    </row>
    <row r="22" ht="15" customHeight="1" s="85">
      <c r="A22" s="119" t="n">
        <v>46229</v>
      </c>
      <c r="B22" s="84" t="inlineStr">
        <is>
          <t>002517</t>
        </is>
      </c>
      <c r="C22" s="116" t="inlineStr">
        <is>
          <t>恺英网络</t>
        </is>
      </c>
      <c r="D22" s="84" t="n">
        <v>14.88</v>
      </c>
      <c r="E22" s="84" t="n">
        <v>0.165948265449632</v>
      </c>
      <c r="F22" s="84" t="n">
        <v>0.867253369822946</v>
      </c>
      <c r="G22" s="116" t="inlineStr">
        <is>
          <t>观察池</t>
        </is>
      </c>
      <c r="H22" s="84" t="n">
        <v>100</v>
      </c>
      <c r="I22" s="84" t="n">
        <v>0</v>
      </c>
      <c r="J22" s="84">
        <f>IFERROR(INDEX($G$2:$G22,MATCH(1,($B$2:$B22=B22)*($A$2:$A22&lt;A22),0)),"")</f>
        <v/>
      </c>
      <c r="K22" s="84">
        <f>IF(AND(J22="观察池",G22="核心池"),1,0)</f>
        <v/>
      </c>
      <c r="L22" s="84">
        <f>IF(G22&lt;&gt;"核心池",0,IF(J22="核心池",L22+1,1))</f>
        <v/>
      </c>
      <c r="M22" s="84">
        <f>IF(L22&gt;=3,"信号强化",IF(K22=1,"观察转核心",""))</f>
        <v/>
      </c>
    </row>
    <row r="23" ht="15" customHeight="1" s="85">
      <c r="A23" s="119" t="n">
        <v>46229</v>
      </c>
      <c r="B23" s="84" t="inlineStr">
        <is>
          <t>603011</t>
        </is>
      </c>
      <c r="C23" s="116" t="inlineStr">
        <is>
          <t>合锻智能</t>
        </is>
      </c>
      <c r="D23" s="84" t="n">
        <v>17.61</v>
      </c>
      <c r="E23" s="84" t="n">
        <v>0.253402303330322</v>
      </c>
      <c r="F23" s="84" t="n">
        <v>0.846751691580814</v>
      </c>
      <c r="G23" s="116" t="inlineStr">
        <is>
          <t>边缘池</t>
        </is>
      </c>
      <c r="H23" s="84" t="n">
        <v>100</v>
      </c>
      <c r="I23" s="84" t="n">
        <v>0</v>
      </c>
      <c r="J23" s="84">
        <f>IFERROR(INDEX($G$2:$G23,MATCH(1,($B$2:$B23=B23)*($A$2:$A23&lt;A23),0)),"")</f>
        <v/>
      </c>
      <c r="K23" s="84">
        <f>IF(AND(J23="观察池",G23="核心池"),1,0)</f>
        <v/>
      </c>
      <c r="L23" s="84">
        <f>IF(G23&lt;&gt;"核心池",0,IF(J23="核心池",L23+1,1))</f>
        <v/>
      </c>
      <c r="M23" s="84">
        <f>IF(L23&gt;=3,"信号强化",IF(K23=1,"观察转核心",""))</f>
        <v/>
      </c>
    </row>
    <row r="24" ht="15" customHeight="1" s="85">
      <c r="A24" s="119" t="n">
        <v>46229</v>
      </c>
      <c r="B24" s="84" t="inlineStr">
        <is>
          <t>603179</t>
        </is>
      </c>
      <c r="C24" s="116" t="inlineStr">
        <is>
          <t>新泉股份</t>
        </is>
      </c>
      <c r="D24" s="84" t="n">
        <v>38.51</v>
      </c>
      <c r="E24" s="84" t="n">
        <v>0.188976912364795</v>
      </c>
      <c r="F24" s="84" t="n">
        <v>0.846564729481012</v>
      </c>
      <c r="G24" s="116" t="inlineStr">
        <is>
          <t>边缘池</t>
        </is>
      </c>
      <c r="H24" s="84" t="n">
        <v>100</v>
      </c>
      <c r="I24" s="84" t="n">
        <v>0</v>
      </c>
      <c r="J24" s="84">
        <f>IFERROR(INDEX($G$2:$G24,MATCH(1,($B$2:$B24=B24)*($A$2:$A24&lt;A24),0)),"")</f>
        <v/>
      </c>
      <c r="K24" s="84">
        <f>IF(AND(J24="观察池",G24="核心池"),1,0)</f>
        <v/>
      </c>
      <c r="L24" s="84">
        <f>IF(G24&lt;&gt;"核心池",0,IF(J24="核心池",L24+1,1))</f>
        <v/>
      </c>
      <c r="M24" s="84">
        <f>IF(L24&gt;=3,"信号强化",IF(K24=1,"观察转核心",""))</f>
        <v/>
      </c>
    </row>
    <row r="25" ht="15" customHeight="1" s="85">
      <c r="A25" s="119" t="n">
        <v>46229</v>
      </c>
      <c r="B25" s="84" t="inlineStr">
        <is>
          <t>603778</t>
        </is>
      </c>
      <c r="C25" s="116" t="inlineStr">
        <is>
          <t>国晟科技</t>
        </is>
      </c>
      <c r="D25" s="84" t="n">
        <v>8.460000000000001</v>
      </c>
      <c r="E25" s="84" t="n">
        <v>0.384101052971927</v>
      </c>
      <c r="F25" s="84" t="n">
        <v>0.842620091964338</v>
      </c>
      <c r="G25" s="116" t="inlineStr">
        <is>
          <t>边缘池</t>
        </is>
      </c>
      <c r="H25" s="84" t="n">
        <v>100</v>
      </c>
      <c r="I25" s="84" t="n">
        <v>0</v>
      </c>
      <c r="J25" s="84">
        <f>IFERROR(INDEX($G$2:$G25,MATCH(1,($B$2:$B25=B25)*($A$2:$A25&lt;A25),0)),"")</f>
        <v/>
      </c>
      <c r="K25" s="84">
        <f>IF(AND(J25="观察池",G25="核心池"),1,0)</f>
        <v/>
      </c>
      <c r="L25" s="84">
        <f>IF(G25&lt;&gt;"核心池",0,IF(J25="核心池",L25+1,1))</f>
        <v/>
      </c>
      <c r="M25" s="84">
        <f>IF(L25&gt;=3,"信号强化",IF(K25=1,"观察转核心",""))</f>
        <v/>
      </c>
    </row>
    <row r="26" ht="15" customHeight="1" s="85">
      <c r="A26" s="119" t="n">
        <v>46229</v>
      </c>
      <c r="B26" s="84" t="inlineStr">
        <is>
          <t>603409</t>
        </is>
      </c>
      <c r="C26" s="116" t="inlineStr">
        <is>
          <t>汇通控股</t>
        </is>
      </c>
      <c r="D26" s="84" t="n">
        <v>16.01</v>
      </c>
      <c r="E26" s="84" t="n">
        <v>0.193741864254793</v>
      </c>
      <c r="F26" s="84" t="n">
        <v>0.84110522239601</v>
      </c>
      <c r="G26" s="116" t="inlineStr">
        <is>
          <t>边缘池</t>
        </is>
      </c>
      <c r="H26" s="84" t="n">
        <v>100</v>
      </c>
      <c r="I26" s="84" t="n">
        <v>0</v>
      </c>
      <c r="J26" s="84">
        <f>IFERROR(INDEX($G$2:$G26,MATCH(1,($B$2:$B26=B26)*($A$2:$A26&lt;A26),0)),"")</f>
        <v/>
      </c>
      <c r="K26" s="84">
        <f>IF(AND(J26="观察池",G26="核心池"),1,0)</f>
        <v/>
      </c>
      <c r="L26" s="84">
        <f>IF(G26&lt;&gt;"核心池",0,IF(J26="核心池",L26+1,1))</f>
        <v/>
      </c>
      <c r="M26" s="84">
        <f>IF(L26&gt;=3,"信号强化",IF(K26=1,"观察转核心",""))</f>
        <v/>
      </c>
    </row>
    <row r="27" ht="15" customHeight="1" s="85">
      <c r="A27" s="119" t="n">
        <v>46229</v>
      </c>
      <c r="B27" s="84" t="inlineStr">
        <is>
          <t>603648</t>
        </is>
      </c>
      <c r="C27" s="116" t="inlineStr">
        <is>
          <t>畅联股份</t>
        </is>
      </c>
      <c r="D27" s="84" t="n">
        <v>8.49</v>
      </c>
      <c r="E27" s="84" t="n">
        <v>0.306636304093562</v>
      </c>
      <c r="F27" s="84" t="n">
        <v>0.825728706833739</v>
      </c>
      <c r="G27" s="116" t="inlineStr">
        <is>
          <t>边缘池</t>
        </is>
      </c>
      <c r="H27" s="84" t="n">
        <v>100</v>
      </c>
      <c r="I27" s="84" t="n">
        <v>0</v>
      </c>
      <c r="J27" s="84">
        <f>IFERROR(INDEX($G$2:$G27,MATCH(1,($B$2:$B27=B27)*($A$2:$A27&lt;A27),0)),"")</f>
        <v/>
      </c>
      <c r="K27" s="84">
        <f>IF(AND(J27="观察池",G27="核心池"),1,0)</f>
        <v/>
      </c>
      <c r="L27" s="84">
        <f>IF(G27&lt;&gt;"核心池",0,IF(J27="核心池",L27+1,1))</f>
        <v/>
      </c>
      <c r="M27" s="84">
        <f>IF(L27&gt;=3,"信号强化",IF(K27=1,"观察转核心",""))</f>
        <v/>
      </c>
    </row>
    <row r="28" ht="15" customHeight="1" s="85">
      <c r="A28" s="119" t="n">
        <v>46229</v>
      </c>
      <c r="B28" s="84" t="inlineStr">
        <is>
          <t>600992</t>
        </is>
      </c>
      <c r="C28" s="116" t="inlineStr">
        <is>
          <t>贵绳股份</t>
        </is>
      </c>
      <c r="D28" s="84" t="n">
        <v>9.06</v>
      </c>
      <c r="E28" s="84" t="n">
        <v>0.198604737837616</v>
      </c>
      <c r="F28" s="84" t="n">
        <v>0.821510721573981</v>
      </c>
      <c r="G28" s="116" t="inlineStr">
        <is>
          <t>边缘池</t>
        </is>
      </c>
      <c r="H28" s="84" t="n">
        <v>100</v>
      </c>
      <c r="I28" s="84" t="n">
        <v>0</v>
      </c>
      <c r="J28" s="84">
        <f>IFERROR(INDEX($G$2:$G28,MATCH(1,($B$2:$B28=B28)*($A$2:$A28&lt;A28),0)),"")</f>
        <v/>
      </c>
      <c r="K28" s="84">
        <f>IF(AND(J28="观察池",G28="核心池"),1,0)</f>
        <v/>
      </c>
      <c r="L28" s="84">
        <f>IF(G28&lt;&gt;"核心池",0,IF(J28="核心池",L28+1,1))</f>
        <v/>
      </c>
      <c r="M28" s="84">
        <f>IF(L28&gt;=3,"信号强化",IF(K28=1,"观察转核心",""))</f>
        <v/>
      </c>
    </row>
    <row r="29" ht="15" customHeight="1" s="85">
      <c r="A29" s="119" t="n">
        <v>46229</v>
      </c>
      <c r="B29" s="84" t="inlineStr">
        <is>
          <t>603199</t>
        </is>
      </c>
      <c r="C29" s="116" t="inlineStr">
        <is>
          <t>九华旅游</t>
        </is>
      </c>
      <c r="D29" s="84" t="n">
        <v>30.78</v>
      </c>
      <c r="E29" s="84" t="n">
        <v>0.256598300008733</v>
      </c>
      <c r="F29" s="84" t="n">
        <v>0.818224023423837</v>
      </c>
      <c r="G29" s="116" t="inlineStr">
        <is>
          <t>边缘池</t>
        </is>
      </c>
      <c r="H29" s="84" t="n">
        <v>100</v>
      </c>
      <c r="I29" s="84" t="n">
        <v>0</v>
      </c>
      <c r="J29" s="84">
        <f>IFERROR(INDEX($G$2:$G29,MATCH(1,($B$2:$B29=B29)*($A$2:$A29&lt;A29),0)),"")</f>
        <v/>
      </c>
      <c r="K29" s="84">
        <f>IF(AND(J29="观察池",G29="核心池"),1,0)</f>
        <v/>
      </c>
      <c r="L29" s="84">
        <f>IF(G29&lt;&gt;"核心池",0,IF(J29="核心池",L29+1,1))</f>
        <v/>
      </c>
      <c r="M29" s="84">
        <f>IF(L29&gt;=3,"信号强化",IF(K29=1,"观察转核心",""))</f>
        <v/>
      </c>
    </row>
    <row r="30" ht="15" customHeight="1" s="85">
      <c r="A30" s="119" t="n">
        <v>46229</v>
      </c>
      <c r="B30" s="84" t="inlineStr">
        <is>
          <t>605007</t>
        </is>
      </c>
      <c r="C30" s="116" t="inlineStr">
        <is>
          <t>五洲特纸</t>
        </is>
      </c>
      <c r="D30" s="84" t="n">
        <v>14.68</v>
      </c>
      <c r="E30" s="84" t="n">
        <v>0.263771783517079</v>
      </c>
      <c r="F30" s="84" t="n">
        <v>0.816513962155352</v>
      </c>
      <c r="G30" s="116" t="inlineStr">
        <is>
          <t>边缘池</t>
        </is>
      </c>
      <c r="H30" s="84" t="n">
        <v>100</v>
      </c>
      <c r="I30" s="84" t="n">
        <v>0</v>
      </c>
      <c r="J30" s="84">
        <f>IFERROR(INDEX($G$2:$G30,MATCH(1,($B$2:$B30=B30)*($A$2:$A30&lt;A30),0)),"")</f>
        <v/>
      </c>
      <c r="K30" s="84">
        <f>IF(AND(J30="观察池",G30="核心池"),1,0)</f>
        <v/>
      </c>
      <c r="L30" s="84">
        <f>IF(G30&lt;&gt;"核心池",0,IF(J30="核心池",L30+1,1))</f>
        <v/>
      </c>
      <c r="M30" s="84">
        <f>IF(L30&gt;=3,"信号强化",IF(K30=1,"观察转核心",""))</f>
        <v/>
      </c>
    </row>
    <row r="31" ht="15" customHeight="1" s="85">
      <c r="A31" s="119" t="n">
        <v>46229</v>
      </c>
      <c r="B31" s="84" t="inlineStr">
        <is>
          <t>603682</t>
        </is>
      </c>
      <c r="C31" s="116" t="inlineStr">
        <is>
          <t>锦和商管</t>
        </is>
      </c>
      <c r="D31" s="84" t="n">
        <v>7.71</v>
      </c>
      <c r="E31" s="84" t="n">
        <v>0.17665125667976</v>
      </c>
      <c r="F31" s="84" t="n">
        <v>0.810842164228016</v>
      </c>
      <c r="G31" s="116" t="inlineStr">
        <is>
          <t>边缘池</t>
        </is>
      </c>
      <c r="H31" s="84" t="n">
        <v>200</v>
      </c>
      <c r="I31" s="84" t="n">
        <v>0</v>
      </c>
      <c r="J31" s="84">
        <f>IFERROR(INDEX($G$2:$G31,MATCH(1,($B$2:$B31=B31)*($A$2:$A31&lt;A31),0)),"")</f>
        <v/>
      </c>
      <c r="K31" s="84">
        <f>IF(AND(J31="观察池",G31="核心池"),1,0)</f>
        <v/>
      </c>
      <c r="L31" s="84">
        <f>IF(G31&lt;&gt;"核心池",0,IF(J31="核心池",L31+1,1))</f>
        <v/>
      </c>
      <c r="M31" s="84">
        <f>IF(L31&gt;=3,"信号强化",IF(K31=1,"观察转核心",""))</f>
        <v/>
      </c>
    </row>
    <row r="32" ht="15" customHeight="1" s="85">
      <c r="A32" s="119" t="n">
        <v>46237</v>
      </c>
      <c r="B32" s="84" t="inlineStr">
        <is>
          <t>002197</t>
        </is>
      </c>
      <c r="C32" s="116" t="inlineStr">
        <is>
          <t>证通电子</t>
        </is>
      </c>
      <c r="D32" s="84" t="n">
        <v>6.88</v>
      </c>
      <c r="E32" s="84" t="n">
        <v>0.007</v>
      </c>
      <c r="F32" s="84" t="n">
        <v>0.95</v>
      </c>
      <c r="G32" s="116" t="inlineStr">
        <is>
          <t>核心池</t>
        </is>
      </c>
      <c r="J32">
        <f>IFERROR(INDEX($G$2:$G32,MATCH(1,($B$2:$B32=B32)*($A$2:$A32&lt;A32),0)),"")</f>
        <v/>
      </c>
      <c r="K32">
        <f>IF(AND(J32="观察池",G32="核心池"),1,0)</f>
        <v/>
      </c>
      <c r="L32">
        <f>IF(G32&lt;&gt;"核心池",0,IF(J32="核心池",L32+1,1))</f>
        <v/>
      </c>
      <c r="M32" s="116" t="inlineStr">
        <is>
          <t>已持仓</t>
        </is>
      </c>
    </row>
    <row r="33" ht="15" customHeight="1" s="85">
      <c r="A33" s="119" t="n">
        <v>46237</v>
      </c>
      <c r="B33" s="84" t="inlineStr">
        <is>
          <t>000892</t>
        </is>
      </c>
      <c r="C33" s="116" t="inlineStr">
        <is>
          <t>欢瑞世纪</t>
        </is>
      </c>
      <c r="D33" s="84" t="n">
        <v>3.69</v>
      </c>
      <c r="E33" s="84" t="n">
        <v>0.181</v>
      </c>
      <c r="F33" s="84" t="n">
        <v>0.9399999999999999</v>
      </c>
      <c r="G33" s="116" t="inlineStr">
        <is>
          <t>核心池</t>
        </is>
      </c>
      <c r="J33">
        <f>IFERROR(INDEX($G$2:$G33,MATCH(1,($B$2:$B33=B33)*($A$2:$A33&lt;A33),0)),"")</f>
        <v/>
      </c>
      <c r="K33">
        <f>IF(AND(J33="观察池",G33="核心池"),1,0)</f>
        <v/>
      </c>
      <c r="L33">
        <f>IF(G33&lt;&gt;"核心池",0,IF(J33="核心池",L33+1,1))</f>
        <v/>
      </c>
      <c r="M33" s="116" t="inlineStr">
        <is>
          <t>未持仓</t>
        </is>
      </c>
    </row>
    <row r="34" ht="15" customHeight="1" s="85">
      <c r="A34" s="119" t="n">
        <v>46237</v>
      </c>
      <c r="B34" s="84" t="inlineStr">
        <is>
          <t>603313</t>
        </is>
      </c>
      <c r="C34" s="116" t="inlineStr">
        <is>
          <t>梦百合</t>
        </is>
      </c>
      <c r="D34" s="84" t="n">
        <v>5.53</v>
      </c>
      <c r="E34" s="84" t="n">
        <v>0.08400000000000001</v>
      </c>
      <c r="F34" s="84" t="n">
        <v>0.91</v>
      </c>
      <c r="G34" s="116" t="inlineStr">
        <is>
          <t>核心池</t>
        </is>
      </c>
      <c r="J34">
        <f>IFERROR(INDEX($G$2:$G34,MATCH(1,($B$2:$B34=B34)*($A$2:$A34&lt;A34),0)),"")</f>
        <v/>
      </c>
      <c r="K34">
        <f>IF(AND(J34="观察池",G34="核心池"),1,0)</f>
        <v/>
      </c>
      <c r="L34">
        <f>IF(G34&lt;&gt;"核心池",0,IF(J34="核心池",L34+1,1))</f>
        <v/>
      </c>
      <c r="M34" s="116" t="inlineStr">
        <is>
          <t>未持仓</t>
        </is>
      </c>
    </row>
    <row r="35" ht="15" customHeight="1" s="85">
      <c r="A35" s="119" t="n">
        <v>46237</v>
      </c>
      <c r="B35" s="84" t="inlineStr">
        <is>
          <t>002084</t>
        </is>
      </c>
      <c r="C35" s="116" t="inlineStr">
        <is>
          <t>海鸥住工</t>
        </is>
      </c>
      <c r="D35" s="84" t="n">
        <v>3.49</v>
      </c>
      <c r="E35" s="84" t="n">
        <v>0.184</v>
      </c>
      <c r="F35" s="84" t="n">
        <v>0.9</v>
      </c>
      <c r="G35" s="116" t="inlineStr">
        <is>
          <t>观察池</t>
        </is>
      </c>
      <c r="J35">
        <f>IFERROR(INDEX($G$2:$G35,MATCH(1,($B$2:$B35=B35)*($A$2:$A35&lt;A35),0)),"")</f>
        <v/>
      </c>
      <c r="K35">
        <f>IF(AND(J35="观察池",G35="核心池"),1,0)</f>
        <v/>
      </c>
      <c r="L35">
        <f>IF(G35&lt;&gt;"核心池",0,IF(J35="核心池",L35+1,1))</f>
        <v/>
      </c>
      <c r="M35" s="116" t="inlineStr">
        <is>
          <t>未持仓</t>
        </is>
      </c>
    </row>
    <row r="36" ht="15" customHeight="1" s="85">
      <c r="A36" s="119" t="n">
        <v>46237</v>
      </c>
      <c r="B36" s="84" t="inlineStr">
        <is>
          <t>603725</t>
        </is>
      </c>
      <c r="C36" s="116" t="inlineStr">
        <is>
          <t>天安新材</t>
        </is>
      </c>
      <c r="D36" s="84" t="n">
        <v>9.359999999999999</v>
      </c>
      <c r="E36" s="84" t="n">
        <v>0.242</v>
      </c>
      <c r="F36" s="84" t="n">
        <v>0.89</v>
      </c>
      <c r="G36" s="116" t="inlineStr">
        <is>
          <t>观察池</t>
        </is>
      </c>
      <c r="J36">
        <f>IFERROR(INDEX($G$2:$G36,MATCH(1,($B$2:$B36=B36)*($A$2:$A36&lt;A36),0)),"")</f>
        <v/>
      </c>
      <c r="K36">
        <f>IF(AND(J36="观察池",G36="核心池"),1,0)</f>
        <v/>
      </c>
      <c r="L36">
        <f>IF(G36&lt;&gt;"核心池",0,IF(J36="核心池",L36+1,1))</f>
        <v/>
      </c>
      <c r="M36" s="116" t="inlineStr">
        <is>
          <t>未持仓</t>
        </is>
      </c>
    </row>
    <row r="37" ht="15" customHeight="1" s="85">
      <c r="A37" s="119" t="n">
        <v>46237</v>
      </c>
      <c r="B37" s="84" t="inlineStr">
        <is>
          <t>603818</t>
        </is>
      </c>
      <c r="C37" s="116" t="inlineStr">
        <is>
          <t>曲美家居</t>
        </is>
      </c>
      <c r="D37" s="84" t="n">
        <v>3.27</v>
      </c>
      <c r="E37" s="84" t="n">
        <v>0.034</v>
      </c>
      <c r="F37" s="84" t="n">
        <v>0.88</v>
      </c>
      <c r="G37" s="116" t="inlineStr">
        <is>
          <t>观察池</t>
        </is>
      </c>
      <c r="J37">
        <f>IFERROR(INDEX($G$2:$G37,MATCH(1,($B$2:$B37=B37)*($A$2:$A37&lt;A37),0)),"")</f>
        <v/>
      </c>
      <c r="K37">
        <f>IF(AND(J37="观察池",G37="核心池"),1,0)</f>
        <v/>
      </c>
      <c r="L37">
        <f>IF(G37&lt;&gt;"核心池",0,IF(J37="核心池",L37+1,1))</f>
        <v/>
      </c>
      <c r="M37" s="116" t="inlineStr">
        <is>
          <t>未持仓</t>
        </is>
      </c>
    </row>
    <row r="38" ht="15" customHeight="1" s="85">
      <c r="A38" s="119" t="n">
        <v>46237</v>
      </c>
      <c r="B38" s="84" t="inlineStr">
        <is>
          <t>605377</t>
        </is>
      </c>
      <c r="C38" s="116" t="inlineStr">
        <is>
          <t>华旺科技</t>
        </is>
      </c>
      <c r="D38" s="84" t="n">
        <v>8.800000000000001</v>
      </c>
      <c r="E38" s="84" t="n">
        <v>0.023</v>
      </c>
      <c r="F38" s="84" t="n">
        <v>0.86</v>
      </c>
      <c r="G38" s="116" t="inlineStr">
        <is>
          <t>观察池</t>
        </is>
      </c>
      <c r="J38">
        <f>IFERROR(INDEX($G$2:$G38,MATCH(1,($B$2:$B38=B38)*($A$2:$A38&lt;A38),0)),"")</f>
        <v/>
      </c>
      <c r="K38">
        <f>IF(AND(J38="观察池",G38="核心池"),1,0)</f>
        <v/>
      </c>
      <c r="L38">
        <f>IF(G38&lt;&gt;"核心池",0,IF(J38="核心池",L38+1,1))</f>
        <v/>
      </c>
      <c r="M38" s="116" t="inlineStr">
        <is>
          <t>未持仓</t>
        </is>
      </c>
    </row>
    <row r="39" ht="15" customHeight="1" s="85">
      <c r="A39" s="119" t="n">
        <v>46237</v>
      </c>
      <c r="B39" s="84" t="inlineStr">
        <is>
          <t>603012</t>
        </is>
      </c>
      <c r="C39" s="116" t="inlineStr">
        <is>
          <t>创力集团</t>
        </is>
      </c>
      <c r="D39" s="84" t="n">
        <v>8.07</v>
      </c>
      <c r="E39" s="84" t="n">
        <v>0.096</v>
      </c>
      <c r="F39" s="84" t="n">
        <v>0.86</v>
      </c>
      <c r="G39" s="116" t="inlineStr">
        <is>
          <t>观察池</t>
        </is>
      </c>
      <c r="J39">
        <f>IFERROR(INDEX($G$2:$G39,MATCH(1,($B$2:$B39=B39)*($A$2:$A39&lt;A39),0)),"")</f>
        <v/>
      </c>
      <c r="K39">
        <f>IF(AND(J39="观察池",G39="核心池"),1,0)</f>
        <v/>
      </c>
      <c r="L39">
        <f>IF(G39&lt;&gt;"核心池",0,IF(J39="核心池",L39+1,1))</f>
        <v/>
      </c>
      <c r="M39" s="116" t="inlineStr">
        <is>
          <t>未持仓</t>
        </is>
      </c>
    </row>
    <row r="40" ht="15" customHeight="1" s="85">
      <c r="A40" s="119" t="n">
        <v>46237</v>
      </c>
      <c r="B40" s="84" t="inlineStr">
        <is>
          <t>000601</t>
        </is>
      </c>
      <c r="C40" s="116" t="inlineStr">
        <is>
          <t>韶能股份</t>
        </is>
      </c>
      <c r="D40" s="84" t="n">
        <v>6.41</v>
      </c>
      <c r="E40" s="84" t="n">
        <v>0.06900000000000001</v>
      </c>
      <c r="F40" s="84" t="n">
        <v>0.86</v>
      </c>
      <c r="G40" s="116" t="inlineStr">
        <is>
          <t>观察池</t>
        </is>
      </c>
      <c r="J40">
        <f>IFERROR(INDEX($G$2:$G40,MATCH(1,($B$2:$B40=B40)*($A$2:$A40&lt;A40),0)),"")</f>
        <v/>
      </c>
      <c r="K40">
        <f>IF(AND(J40="观察池",G40="核心池"),1,0)</f>
        <v/>
      </c>
      <c r="L40">
        <f>IF(G40&lt;&gt;"核心池",0,IF(J40="核心池",L40+1,1))</f>
        <v/>
      </c>
      <c r="M40" s="116" t="inlineStr">
        <is>
          <t>未持仓</t>
        </is>
      </c>
    </row>
    <row r="41" ht="15" customHeight="1" s="85">
      <c r="A41" s="119" t="n">
        <v>46237</v>
      </c>
      <c r="B41" s="84" t="inlineStr">
        <is>
          <t>002432</t>
        </is>
      </c>
      <c r="C41" s="116" t="inlineStr">
        <is>
          <t>九安医疗</t>
        </is>
      </c>
      <c r="D41" s="84" t="n">
        <v>68.45999999999999</v>
      </c>
      <c r="E41" s="84" t="n">
        <v>0.423</v>
      </c>
      <c r="F41" s="84" t="n">
        <v>0.84</v>
      </c>
      <c r="G41" s="116" t="inlineStr">
        <is>
          <t>边缘池</t>
        </is>
      </c>
      <c r="J41">
        <f>IFERROR(INDEX($G$2:$G41,MATCH(1,($B$2:$B41=B41)*($A$2:$A41&lt;A41),0)),"")</f>
        <v/>
      </c>
      <c r="K41">
        <f>IF(AND(J41="观察池",G41="核心池"),1,0)</f>
        <v/>
      </c>
      <c r="L41">
        <f>IF(G41&lt;&gt;"核心池",0,IF(J41="核心池",L41+1,1))</f>
        <v/>
      </c>
      <c r="M41" s="116" t="inlineStr">
        <is>
          <t>未持仓</t>
        </is>
      </c>
    </row>
    <row r="42" ht="15" customHeight="1" s="85">
      <c r="A42" s="119" t="n">
        <v>46237</v>
      </c>
      <c r="B42" s="84" t="inlineStr">
        <is>
          <t>000063</t>
        </is>
      </c>
      <c r="C42" s="116" t="inlineStr">
        <is>
          <t>中兴通讯</t>
        </is>
      </c>
      <c r="D42" s="84" t="n">
        <v>33.81</v>
      </c>
      <c r="E42" s="84" t="n">
        <v>0.336</v>
      </c>
      <c r="F42" s="84" t="n">
        <v>0.83</v>
      </c>
      <c r="G42" s="116" t="inlineStr">
        <is>
          <t>边缘池</t>
        </is>
      </c>
      <c r="J42">
        <f>IFERROR(INDEX($G$2:$G42,MATCH(1,($B$2:$B42=B42)*($A$2:$A42&lt;A42),0)),"")</f>
        <v/>
      </c>
      <c r="K42">
        <f>IF(AND(J42="观察池",G42="核心池"),1,0)</f>
        <v/>
      </c>
      <c r="L42">
        <f>IF(G42&lt;&gt;"核心池",0,IF(J42="核心池",L42+1,1))</f>
        <v/>
      </c>
      <c r="M42" s="116" t="inlineStr">
        <is>
          <t>未持仓</t>
        </is>
      </c>
    </row>
    <row r="43" ht="15" customHeight="1" s="85">
      <c r="A43" s="119" t="n">
        <v>46237</v>
      </c>
      <c r="B43" s="84" t="inlineStr">
        <is>
          <t>002535</t>
        </is>
      </c>
      <c r="C43" s="116" t="inlineStr">
        <is>
          <t>林州重机</t>
        </is>
      </c>
      <c r="D43" s="84" t="n">
        <v>2.3</v>
      </c>
      <c r="E43" s="84" t="n">
        <v>0.201</v>
      </c>
      <c r="F43" s="84" t="n">
        <v>0.82</v>
      </c>
      <c r="G43" s="116" t="inlineStr">
        <is>
          <t>边缘池</t>
        </is>
      </c>
      <c r="J43">
        <f>IFERROR(INDEX($G$2:$G43,MATCH(1,($B$2:$B43=B43)*($A$2:$A43&lt;A43),0)),"")</f>
        <v/>
      </c>
      <c r="K43">
        <f>IF(AND(J43="观察池",G43="核心池"),1,0)</f>
        <v/>
      </c>
      <c r="L43">
        <f>IF(G43&lt;&gt;"核心池",0,IF(J43="核心池",L43+1,1))</f>
        <v/>
      </c>
      <c r="M43" s="116" t="inlineStr">
        <is>
          <t>未持仓</t>
        </is>
      </c>
    </row>
    <row r="44" ht="15" customHeight="1" s="85">
      <c r="A44" s="119" t="n">
        <v>46237</v>
      </c>
      <c r="B44" s="84" t="inlineStr">
        <is>
          <t>002868</t>
        </is>
      </c>
      <c r="C44" s="116" t="inlineStr">
        <is>
          <t>绿康生化</t>
        </is>
      </c>
      <c r="D44" s="84" t="n">
        <v>21.5</v>
      </c>
      <c r="E44" s="84" t="n">
        <v>0.266</v>
      </c>
      <c r="F44" s="84" t="n">
        <v>0.8100000000000001</v>
      </c>
      <c r="G44" s="116" t="inlineStr">
        <is>
          <t>边缘池</t>
        </is>
      </c>
      <c r="J44">
        <f>IFERROR(INDEX($G$2:$G44,MATCH(1,($B$2:$B44=B44)*($A$2:$A44&lt;A44),0)),"")</f>
        <v/>
      </c>
      <c r="K44">
        <f>IF(AND(J44="观察池",G44="核心池"),1,0)</f>
        <v/>
      </c>
      <c r="L44">
        <f>IF(G44&lt;&gt;"核心池",0,IF(J44="核心池",L44+1,1))</f>
        <v/>
      </c>
      <c r="M44" s="116" t="inlineStr">
        <is>
          <t>未持仓</t>
        </is>
      </c>
    </row>
    <row r="45" ht="15" customHeight="1" s="85">
      <c r="A45" s="84" t="inlineStr">
        <is>
          <t>2026-08-04</t>
        </is>
      </c>
      <c r="B45" s="116" t="inlineStr">
        <is>
          <t>鹏鼎控股</t>
        </is>
      </c>
      <c r="C45" s="84" t="inlineStr">
        <is>
          <t>002938</t>
        </is>
      </c>
      <c r="D45" s="84" t="n">
        <v>0.97</v>
      </c>
      <c r="E45" s="84" t="n">
        <v>25</v>
      </c>
      <c r="F45" s="116" t="inlineStr">
        <is>
          <t>核心池</t>
        </is>
      </c>
      <c r="G45" s="116" t="inlineStr">
        <is>
          <t>高价股, 需转入¥1,053</t>
        </is>
      </c>
      <c r="J45">
        <f>IFERROR(INDEX($G$2:$G45,MATCH(1,($B$2:$B45=B45)*($A$2:$A45&lt;A45),0)),"")</f>
        <v/>
      </c>
      <c r="K45">
        <f>IF(AND(J45="观察池",G45="核心池"),1,0)</f>
        <v/>
      </c>
      <c r="L45">
        <f>IF(G45&lt;&gt;"核心池",0,IF(J45="核心池",L45+1,1))</f>
        <v/>
      </c>
    </row>
    <row r="46" ht="15" customHeight="1" s="85">
      <c r="A46" s="84" t="inlineStr">
        <is>
          <t>2026-08-04</t>
        </is>
      </c>
      <c r="B46" s="116" t="inlineStr">
        <is>
          <t>贤丰控股</t>
        </is>
      </c>
      <c r="C46" s="84" t="inlineStr">
        <is>
          <t>002141</t>
        </is>
      </c>
      <c r="D46" s="84" t="n">
        <v>0.9399999999999999</v>
      </c>
      <c r="E46" s="84" t="n">
        <v>22</v>
      </c>
      <c r="F46" s="116" t="inlineStr">
        <is>
          <t>核心池</t>
        </is>
      </c>
      <c r="G46" s="84" t="inlineStr">
        <is>
          <t>DL_P=0.94, 关注</t>
        </is>
      </c>
      <c r="J46">
        <f>IFERROR(INDEX($G$2:$G46,MATCH(1,($B$2:$B46=B46)*($A$2:$A46&lt;A46),0)),"")</f>
        <v/>
      </c>
      <c r="K46">
        <f>IF(AND(J46="观察池",G46="核心池"),1,0)</f>
        <v/>
      </c>
      <c r="L46">
        <f>IF(G46&lt;&gt;"核心池",0,IF(J46="核心池",L46+1,1))</f>
        <v/>
      </c>
    </row>
    <row r="47" ht="15" customHeight="1" s="85">
      <c r="A47" s="84" t="inlineStr">
        <is>
          <t>2026-08-04</t>
        </is>
      </c>
      <c r="B47" s="116" t="inlineStr">
        <is>
          <t>小方制药</t>
        </is>
      </c>
      <c r="C47" s="84" t="inlineStr">
        <is>
          <t>603207</t>
        </is>
      </c>
      <c r="D47" s="84" t="n">
        <v>0.93</v>
      </c>
      <c r="E47" s="84" t="n">
        <v>21</v>
      </c>
      <c r="F47" s="116" t="inlineStr">
        <is>
          <t>核心池</t>
        </is>
      </c>
      <c r="G47" s="84" t="inlineStr">
        <is>
          <t>DL_P=0.93, 关注</t>
        </is>
      </c>
      <c r="J47">
        <f>IFERROR(INDEX($G$2:$G47,MATCH(1,($B$2:$B47=B47)*($A$2:$A47&lt;A47),0)),"")</f>
        <v/>
      </c>
      <c r="K47">
        <f>IF(AND(J47="观察池",G47="核心池"),1,0)</f>
        <v/>
      </c>
      <c r="L47">
        <f>IF(G47&lt;&gt;"核心池",0,IF(J47="核心池",L47+1,1))</f>
        <v/>
      </c>
    </row>
    <row r="48" ht="15" customHeight="1" s="85">
      <c r="A48" s="84" t="inlineStr">
        <is>
          <t>2026-08-04</t>
        </is>
      </c>
      <c r="B48" s="116" t="inlineStr">
        <is>
          <t>东方雨虹</t>
        </is>
      </c>
      <c r="C48" s="84" t="inlineStr">
        <is>
          <t>002271</t>
        </is>
      </c>
      <c r="D48" s="84" t="n">
        <v>0.92</v>
      </c>
      <c r="E48" s="84" t="n">
        <v>15</v>
      </c>
      <c r="F48" s="116" t="inlineStr">
        <is>
          <t>核心池</t>
        </is>
      </c>
      <c r="G48" s="84" t="inlineStr">
        <is>
          <t>DL_P=0.92, ratio适中</t>
        </is>
      </c>
      <c r="J48">
        <f>IFERROR(INDEX($G$2:$G48,MATCH(1,($B$2:$B48=B48)*($A$2:$A48&lt;A48),0)),"")</f>
        <v/>
      </c>
      <c r="K48">
        <f>IF(AND(J48="观察池",G48="核心池"),1,0)</f>
        <v/>
      </c>
      <c r="L48">
        <f>IF(G48&lt;&gt;"核心池",0,IF(J48="核心池",L48+1,1))</f>
        <v/>
      </c>
    </row>
    <row r="49" ht="15" customHeight="1" s="85">
      <c r="A49" s="84" t="inlineStr">
        <is>
          <t>2026-08-04</t>
        </is>
      </c>
      <c r="B49" s="116" t="inlineStr">
        <is>
          <t>国盛证券</t>
        </is>
      </c>
      <c r="C49" s="84" t="inlineStr">
        <is>
          <t>002670</t>
        </is>
      </c>
      <c r="D49" s="84" t="n">
        <v>0.9</v>
      </c>
      <c r="E49" s="84" t="n">
        <v>15</v>
      </c>
      <c r="F49" s="116" t="inlineStr">
        <is>
          <t>核心池</t>
        </is>
      </c>
      <c r="G49" s="84" t="inlineStr">
        <is>
          <t>DL_P=0.90, ratio适中</t>
        </is>
      </c>
      <c r="J49">
        <f>IFERROR(INDEX($G$2:$G49,MATCH(1,($B$2:$B49=B49)*($A$2:$A49&lt;A49),0)),"")</f>
        <v/>
      </c>
      <c r="K49">
        <f>IF(AND(J49="观察池",G49="核心池"),1,0)</f>
        <v/>
      </c>
      <c r="L49">
        <f>IF(G49&lt;&gt;"核心池",0,IF(J49="核心池",L49+1,1))</f>
        <v/>
      </c>
    </row>
    <row r="50" ht="15" customHeight="1" s="85">
      <c r="A50" s="84" t="inlineStr">
        <is>
          <t>2026-08-04</t>
        </is>
      </c>
      <c r="B50" s="116" t="inlineStr">
        <is>
          <t>海鸥住工</t>
        </is>
      </c>
      <c r="C50" s="84" t="inlineStr">
        <is>
          <t>002084</t>
        </is>
      </c>
      <c r="D50" s="84" t="n">
        <v>0.89</v>
      </c>
      <c r="E50" s="84" t="n">
        <v>21</v>
      </c>
      <c r="F50" s="116" t="inlineStr">
        <is>
          <t>观察池</t>
        </is>
      </c>
      <c r="G50" s="84" t="inlineStr">
        <is>
          <t>DL_P=0.89, 接近核心</t>
        </is>
      </c>
      <c r="J50">
        <f>IFERROR(INDEX($G$2:$G50,MATCH(1,($B$2:$B50=B50)*($A$2:$A50&lt;A50),0)),"")</f>
        <v/>
      </c>
      <c r="K50">
        <f>IF(AND(J50="观察池",G50="核心池"),1,0)</f>
        <v/>
      </c>
      <c r="L50">
        <f>IF(G50&lt;&gt;"核心池",0,IF(J50="核心池",L50+1,1))</f>
        <v/>
      </c>
    </row>
    <row r="51" ht="15" customHeight="1" s="85">
      <c r="A51" s="84" t="inlineStr">
        <is>
          <t>2026-08-04</t>
        </is>
      </c>
      <c r="B51" s="116" t="inlineStr">
        <is>
          <t>康辰药业</t>
        </is>
      </c>
      <c r="C51" s="84" t="inlineStr">
        <is>
          <t>603590</t>
        </is>
      </c>
      <c r="D51" s="84" t="n">
        <v>0.89</v>
      </c>
      <c r="E51" s="84" t="n">
        <v>19</v>
      </c>
      <c r="F51" s="116" t="inlineStr">
        <is>
          <t>观察池</t>
        </is>
      </c>
      <c r="G51" s="84" t="inlineStr">
        <is>
          <t>DL_P=0.89</t>
        </is>
      </c>
      <c r="J51">
        <f>IFERROR(INDEX($G$2:$G51,MATCH(1,($B$2:$B51=B51)*($A$2:$A51&lt;A51),0)),"")</f>
        <v/>
      </c>
      <c r="K51">
        <f>IF(AND(J51="观察池",G51="核心池"),1,0)</f>
        <v/>
      </c>
      <c r="L51">
        <f>IF(G51&lt;&gt;"核心池",0,IF(J51="核心池",L51+1,1))</f>
        <v/>
      </c>
    </row>
    <row r="52" ht="15" customHeight="1" s="85">
      <c r="A52" s="84" t="inlineStr">
        <is>
          <t>2026-08-04</t>
        </is>
      </c>
      <c r="B52" s="116" t="inlineStr">
        <is>
          <t>飞龙股份</t>
        </is>
      </c>
      <c r="C52" s="84" t="inlineStr">
        <is>
          <t>002536</t>
        </is>
      </c>
      <c r="D52" s="84" t="n">
        <v>0.88</v>
      </c>
      <c r="E52" s="84" t="n">
        <v>17</v>
      </c>
      <c r="F52" s="116" t="inlineStr">
        <is>
          <t>观察池</t>
        </is>
      </c>
      <c r="G52" s="84" t="inlineStr">
        <is>
          <t>DL_P=0.88</t>
        </is>
      </c>
      <c r="J52">
        <f>IFERROR(INDEX($G$2:$G52,MATCH(1,($B$2:$B52=B52)*($A$2:$A52&lt;A52),0)),"")</f>
        <v/>
      </c>
      <c r="K52">
        <f>IF(AND(J52="观察池",G52="核心池"),1,0)</f>
        <v/>
      </c>
      <c r="L52">
        <f>IF(G52&lt;&gt;"核心池",0,IF(J52="核心池",L52+1,1))</f>
        <v/>
      </c>
    </row>
    <row r="53" ht="15" customHeight="1" s="85">
      <c r="A53" s="84" t="inlineStr">
        <is>
          <t>2026-08-04</t>
        </is>
      </c>
      <c r="B53" s="116" t="inlineStr">
        <is>
          <t>梦百合</t>
        </is>
      </c>
      <c r="C53" s="84" t="inlineStr">
        <is>
          <t>603313</t>
        </is>
      </c>
      <c r="D53" s="84" t="n">
        <v>0.86</v>
      </c>
      <c r="E53" s="84" t="n">
        <v>12</v>
      </c>
      <c r="F53" s="116" t="inlineStr">
        <is>
          <t>观察池</t>
        </is>
      </c>
      <c r="G53" s="84" t="inlineStr">
        <is>
          <t>DL_P=0.86, ratio低</t>
        </is>
      </c>
      <c r="J53">
        <f>IFERROR(INDEX($G$2:$G53,MATCH(1,($B$2:$B53=B53)*($A$2:$A53&lt;A53),0)),"")</f>
        <v/>
      </c>
      <c r="K53">
        <f>IF(AND(J53="观察池",G53="核心池"),1,0)</f>
        <v/>
      </c>
      <c r="L53">
        <f>IF(G53&lt;&gt;"核心池",0,IF(J53="核心池",L53+1,1))</f>
        <v/>
      </c>
    </row>
    <row r="54" ht="15" customHeight="1" s="85">
      <c r="A54" s="84" t="inlineStr">
        <is>
          <t>2026-08-04</t>
        </is>
      </c>
      <c r="B54" s="116" t="inlineStr">
        <is>
          <t>皇氏集团</t>
        </is>
      </c>
      <c r="C54" s="84" t="inlineStr">
        <is>
          <t>002329</t>
        </is>
      </c>
      <c r="D54" s="84" t="n">
        <v>0.85</v>
      </c>
      <c r="E54" s="84" t="n">
        <v>7</v>
      </c>
      <c r="F54" s="116" t="inlineStr">
        <is>
          <t>观察池</t>
        </is>
      </c>
      <c r="G54" s="84" t="inlineStr">
        <is>
          <t>⚠️ DL_P从0.97降至0.85, 持仓重仓</t>
        </is>
      </c>
      <c r="J54">
        <f>IFERROR(INDEX($G$2:$G54,MATCH(1,($B$2:$B54=B54)*($A$2:$A54&lt;A54),0)),"")</f>
        <v/>
      </c>
      <c r="K54">
        <f>IF(AND(J54="观察池",G54="核心池"),1,0)</f>
        <v/>
      </c>
      <c r="L54">
        <f>IF(G54&lt;&gt;"核心池",0,IF(J54="核心池",L54+1,1))</f>
        <v/>
      </c>
    </row>
    <row r="55" ht="15" customHeight="1" s="85">
      <c r="A55" s="84" t="inlineStr">
        <is>
          <t>2026-08-04</t>
        </is>
      </c>
      <c r="B55" s="116" t="inlineStr">
        <is>
          <t>鹭燕医药</t>
        </is>
      </c>
      <c r="C55" s="84" t="inlineStr">
        <is>
          <t>002788</t>
        </is>
      </c>
      <c r="D55" s="84" t="n">
        <v>0.85</v>
      </c>
      <c r="E55" s="84" t="n">
        <v>28</v>
      </c>
      <c r="F55" s="116" t="inlineStr">
        <is>
          <t>观察池</t>
        </is>
      </c>
      <c r="G55" s="84" t="inlineStr">
        <is>
          <t>DL_P=0.85</t>
        </is>
      </c>
      <c r="J55">
        <f>IFERROR(INDEX($G$2:$G55,MATCH(1,($B$2:$B55=B55)*($A$2:$A55&lt;A55),0)),"")</f>
        <v/>
      </c>
      <c r="K55">
        <f>IF(AND(J55="观察池",G55="核心池"),1,0)</f>
        <v/>
      </c>
      <c r="L55">
        <f>IF(G55&lt;&gt;"核心池",0,IF(J55="核心池",L55+1,1))</f>
        <v/>
      </c>
    </row>
    <row r="56" ht="15" customHeight="1" s="85">
      <c r="A56" s="84" t="inlineStr">
        <is>
          <t>2026-08-04</t>
        </is>
      </c>
      <c r="B56" s="116" t="inlineStr">
        <is>
          <t>京新药业</t>
        </is>
      </c>
      <c r="C56" s="84" t="inlineStr">
        <is>
          <t>002020</t>
        </is>
      </c>
      <c r="D56" s="84" t="n">
        <v>0.84</v>
      </c>
      <c r="E56" s="84" t="n">
        <v>5</v>
      </c>
      <c r="F56" s="116" t="inlineStr">
        <is>
          <t>观察池</t>
        </is>
      </c>
      <c r="G56" s="84" t="inlineStr">
        <is>
          <t>DL_P=0.84, ratio极低</t>
        </is>
      </c>
      <c r="J56">
        <f>IFERROR(INDEX($G$2:$G56,MATCH(1,($B$2:$B56=B56)*($A$2:$A56&lt;A56),0)),"")</f>
        <v/>
      </c>
      <c r="K56">
        <f>IF(AND(J56="观察池",G56="核心池"),1,0)</f>
        <v/>
      </c>
      <c r="L56">
        <f>IF(G56&lt;&gt;"核心池",0,IF(J56="核心池",L56+1,1))</f>
        <v/>
      </c>
    </row>
    <row r="57" ht="15" customHeight="1" s="85">
      <c r="A57" s="84" t="inlineStr">
        <is>
          <t>2026-08-04</t>
        </is>
      </c>
      <c r="B57" s="116" t="inlineStr">
        <is>
          <t>丽珠集团</t>
        </is>
      </c>
      <c r="C57" s="84" t="inlineStr">
        <is>
          <t>000513</t>
        </is>
      </c>
      <c r="D57" s="84" t="n">
        <v>0.84</v>
      </c>
      <c r="E57" s="84" t="n">
        <v>20</v>
      </c>
      <c r="F57" s="116" t="inlineStr">
        <is>
          <t>观察池</t>
        </is>
      </c>
      <c r="G57" s="84" t="inlineStr">
        <is>
          <t>DL_P=0.84</t>
        </is>
      </c>
      <c r="J57">
        <f>IFERROR(INDEX($G$2:$G57,MATCH(1,($B$2:$B57=B57)*($A$2:$A57&lt;A57),0)),"")</f>
        <v/>
      </c>
      <c r="K57">
        <f>IF(AND(J57="观察池",G57="核心池"),1,0)</f>
        <v/>
      </c>
      <c r="L57">
        <f>IF(G57&lt;&gt;"核心池",0,IF(J57="核心池",L57+1,1))</f>
        <v/>
      </c>
    </row>
    <row r="58" ht="15" customHeight="1" s="85">
      <c r="A58" s="84" t="inlineStr">
        <is>
          <t>2026-08-04</t>
        </is>
      </c>
      <c r="B58" s="116" t="inlineStr">
        <is>
          <t>九安医疗</t>
        </is>
      </c>
      <c r="C58" s="84" t="inlineStr">
        <is>
          <t>002432</t>
        </is>
      </c>
      <c r="D58" s="84" t="n">
        <v>0.84</v>
      </c>
      <c r="E58" s="84" t="n">
        <v>43</v>
      </c>
      <c r="F58" s="116" t="inlineStr">
        <is>
          <t>观察池</t>
        </is>
      </c>
      <c r="G58" s="84" t="inlineStr">
        <is>
          <t>DL_P=0.84, ratio偏高</t>
        </is>
      </c>
      <c r="J58">
        <f>IFERROR(INDEX($G$2:$G58,MATCH(1,($B$2:$B58=B58)*($A$2:$A58&lt;A58),0)),"")</f>
        <v/>
      </c>
      <c r="K58">
        <f>IF(AND(J58="观察池",G58="核心池"),1,0)</f>
        <v/>
      </c>
      <c r="L58">
        <f>IF(G58&lt;&gt;"核心池",0,IF(J58="核心池",L58+1,1))</f>
        <v/>
      </c>
    </row>
    <row r="59" ht="15" customHeight="1" s="85">
      <c r="A59" s="84" t="inlineStr">
        <is>
          <t>2026-08-04</t>
        </is>
      </c>
      <c r="B59" s="116" t="inlineStr">
        <is>
          <t>绿康生化</t>
        </is>
      </c>
      <c r="C59" s="84" t="inlineStr">
        <is>
          <t>002868</t>
        </is>
      </c>
      <c r="D59" s="84" t="n">
        <v>0.83</v>
      </c>
      <c r="E59" s="84" t="n">
        <v>30</v>
      </c>
      <c r="F59" s="116" t="inlineStr">
        <is>
          <t>观察池</t>
        </is>
      </c>
      <c r="G59" s="84" t="inlineStr">
        <is>
          <t>DL_P=0.83</t>
        </is>
      </c>
      <c r="J59">
        <f>IFERROR(INDEX($G$2:$G59,MATCH(1,($B$2:$B59=B59)*($A$2:$A59&lt;A59),0)),"")</f>
        <v/>
      </c>
      <c r="K59">
        <f>IF(AND(J59="观察池",G59="核心池"),1,0)</f>
        <v/>
      </c>
      <c r="L59">
        <f>IF(G59&lt;&gt;"核心池",0,IF(J59="核心池",L59+1,1))</f>
        <v/>
      </c>
    </row>
    <row r="60" ht="15" customHeight="1" s="85">
      <c r="A60" s="84" t="inlineStr">
        <is>
          <t>2026-08-04</t>
        </is>
      </c>
      <c r="B60" s="116" t="inlineStr">
        <is>
          <t>深纺织Ａ</t>
        </is>
      </c>
      <c r="C60" s="84" t="inlineStr">
        <is>
          <t>000045</t>
        </is>
      </c>
      <c r="D60" s="84" t="n">
        <v>0.8100000000000001</v>
      </c>
      <c r="E60" s="84" t="n">
        <v>15</v>
      </c>
      <c r="F60" s="116" t="inlineStr">
        <is>
          <t>观察池</t>
        </is>
      </c>
      <c r="G60" s="84" t="inlineStr">
        <is>
          <t>DL_P=0.81</t>
        </is>
      </c>
      <c r="J60">
        <f>IFERROR(INDEX($G$2:$G60,MATCH(1,($B$2:$B60=B60)*($A$2:$A60&lt;A60),0)),"")</f>
        <v/>
      </c>
      <c r="K60">
        <f>IF(AND(J60="观察池",G60="核心池"),1,0)</f>
        <v/>
      </c>
      <c r="L60">
        <f>IF(G60&lt;&gt;"核心池",0,IF(J60="核心池",L60+1,1))</f>
        <v/>
      </c>
    </row>
    <row r="61" ht="15" customHeight="1" s="85">
      <c r="A61" s="84" t="inlineStr">
        <is>
          <t>2026-08-04</t>
        </is>
      </c>
      <c r="B61" s="116" t="inlineStr">
        <is>
          <t>方盛制药</t>
        </is>
      </c>
      <c r="C61" s="84" t="inlineStr">
        <is>
          <t>603998</t>
        </is>
      </c>
      <c r="D61" s="84" t="n">
        <v>0.8</v>
      </c>
      <c r="E61" s="84" t="n">
        <v>12</v>
      </c>
      <c r="F61" s="116" t="inlineStr">
        <is>
          <t>观察池</t>
        </is>
      </c>
      <c r="G61" s="84" t="inlineStr">
        <is>
          <t>DL_P=0.80</t>
        </is>
      </c>
      <c r="J61">
        <f>IFERROR(INDEX($G$2:$G61,MATCH(1,($B$2:$B61=B61)*($A$2:$A61&lt;A61),0)),"")</f>
        <v/>
      </c>
      <c r="K61">
        <f>IF(AND(J61="观察池",G61="核心池"),1,0)</f>
        <v/>
      </c>
      <c r="L61">
        <f>IF(G61&lt;&gt;"核心池",0,IF(J61="核心池",L61+1,1))</f>
        <v/>
      </c>
    </row>
    <row r="62" ht="15" customHeight="1" s="85">
      <c r="A62" s="84" t="inlineStr">
        <is>
          <t>2026-08-04</t>
        </is>
      </c>
      <c r="B62" s="116" t="inlineStr">
        <is>
          <t>移远通信</t>
        </is>
      </c>
      <c r="C62" s="84" t="inlineStr">
        <is>
          <t>603236</t>
        </is>
      </c>
      <c r="D62" s="84" t="n">
        <v>0.8</v>
      </c>
      <c r="E62" s="84" t="n">
        <v>30</v>
      </c>
      <c r="F62" s="116" t="inlineStr">
        <is>
          <t>观察池</t>
        </is>
      </c>
      <c r="G62" s="84" t="inlineStr">
        <is>
          <t>DL_P=0.80</t>
        </is>
      </c>
      <c r="J62">
        <f>IFERROR(INDEX($G$2:$G62,MATCH(1,($B$2:$B62=B62)*($A$2:$A62&lt;A62),0)),"")</f>
        <v/>
      </c>
      <c r="K62">
        <f>IF(AND(J62="观察池",G62="核心池"),1,0)</f>
        <v/>
      </c>
      <c r="L62">
        <f>IF(G62&lt;&gt;"核心池",0,IF(J62="核心池",L62+1,1))</f>
        <v/>
      </c>
    </row>
    <row r="63" ht="15" customHeight="1" s="85">
      <c r="A63" s="84" t="inlineStr">
        <is>
          <t>2026-08-04</t>
        </is>
      </c>
      <c r="B63" s="116" t="inlineStr">
        <is>
          <t>新大洲A</t>
        </is>
      </c>
      <c r="C63" s="84" t="inlineStr">
        <is>
          <t>000571</t>
        </is>
      </c>
      <c r="D63" s="84" t="n">
        <v>0.8</v>
      </c>
      <c r="E63" s="84" t="n">
        <v>31</v>
      </c>
      <c r="F63" s="116" t="inlineStr">
        <is>
          <t>观察池</t>
        </is>
      </c>
      <c r="G63" s="84" t="inlineStr">
        <is>
          <t>DL_P=0.80</t>
        </is>
      </c>
      <c r="J63">
        <f>IFERROR(INDEX($G$2:$G63,MATCH(1,($B$2:$B63=B63)*($A$2:$A63&lt;A63),0)),"")</f>
        <v/>
      </c>
      <c r="K63">
        <f>IF(AND(J63="观察池",G63="核心池"),1,0)</f>
        <v/>
      </c>
      <c r="L63">
        <f>IF(G63&lt;&gt;"核心池",0,IF(J63="核心池",L63+1,1))</f>
        <v/>
      </c>
    </row>
    <row r="64" ht="15" customHeight="1" s="85">
      <c r="A64" s="84" t="inlineStr">
        <is>
          <t>2026-08-04</t>
        </is>
      </c>
      <c r="B64" s="116" t="inlineStr">
        <is>
          <t>欢瑞世纪</t>
        </is>
      </c>
      <c r="C64" s="84" t="inlineStr">
        <is>
          <t>000892</t>
        </is>
      </c>
      <c r="D64" s="84" t="n">
        <v>0.8</v>
      </c>
      <c r="E64" s="84" t="n">
        <v>19</v>
      </c>
      <c r="F64" s="116" t="inlineStr">
        <is>
          <t>观察池</t>
        </is>
      </c>
      <c r="G64" s="84" t="inlineStr">
        <is>
          <t>DL_P从0.94降至0.80</t>
        </is>
      </c>
      <c r="J64">
        <f>IFERROR(INDEX($G$2:$G64,MATCH(1,($B$2:$B64=B64)*($A$2:$A64&lt;A64),0)),"")</f>
        <v/>
      </c>
      <c r="K64">
        <f>IF(AND(J64="观察池",G64="核心池"),1,0)</f>
        <v/>
      </c>
      <c r="L64">
        <f>IF(G64&lt;&gt;"核心池",0,IF(J64="核心池",L64+1,1))</f>
        <v/>
      </c>
    </row>
    <row r="65" ht="15" customHeight="1" s="85">
      <c r="A65" s="84" t="inlineStr">
        <is>
          <t>2026-08-04</t>
        </is>
      </c>
      <c r="B65" s="116" t="inlineStr">
        <is>
          <t>台华新材</t>
        </is>
      </c>
      <c r="C65" s="84" t="inlineStr">
        <is>
          <t>603055</t>
        </is>
      </c>
      <c r="D65" s="84" t="n">
        <v>0.95</v>
      </c>
      <c r="E65" s="84" t="n">
        <v>6</v>
      </c>
      <c r="F65" s="116" t="inlineStr">
        <is>
          <t>边缘池</t>
        </is>
      </c>
      <c r="G65" s="116" t="inlineStr">
        <is>
          <t>⚠️ 持仓股, 扫描确认DL_P=0.95, 但日线中枢破位</t>
        </is>
      </c>
      <c r="J65">
        <f>IFERROR(INDEX($G$2:$G65,MATCH(1,($B$2:$B65=B65)*($A$2:$A65&lt;A65),0)),"")</f>
        <v/>
      </c>
      <c r="K65">
        <f>IF(AND(J65="观察池",G65="核心池"),1,0)</f>
        <v/>
      </c>
      <c r="L65">
        <f>IF(G65&lt;&gt;"核心池",0,IF(J65="核心池",L65+1,1))</f>
        <v/>
      </c>
    </row>
    <row r="66" ht="15" customHeight="1" s="85">
      <c r="A66" s="84" t="inlineStr">
        <is>
          <t>2026-08-04</t>
        </is>
      </c>
      <c r="B66" s="116" t="inlineStr">
        <is>
          <t>沃华医药</t>
        </is>
      </c>
      <c r="C66" s="84" t="inlineStr">
        <is>
          <t>002107</t>
        </is>
      </c>
      <c r="D66" s="84" t="n">
        <v>0.89</v>
      </c>
      <c r="E66" s="84" t="n">
        <v>18</v>
      </c>
      <c r="F66" s="116" t="inlineStr">
        <is>
          <t>边缘池</t>
        </is>
      </c>
      <c r="G66" s="116" t="inlineStr">
        <is>
          <t>⚠️ 持仓股, DL_P=0.89 (从0.93下降)</t>
        </is>
      </c>
      <c r="J66">
        <f>IFERROR(INDEX($G$2:$G66,MATCH(1,($B$2:$B66=B66)*($A$2:$A66&lt;A66),0)),"")</f>
        <v/>
      </c>
      <c r="K66">
        <f>IF(AND(J66="观察池",G66="核心池"),1,0)</f>
        <v/>
      </c>
      <c r="L66">
        <f>IF(G66&lt;&gt;"核心池",0,IF(J66="核心池",L66+1,1))</f>
        <v/>
      </c>
    </row>
    <row r="67" ht="15" customHeight="1" s="85">
      <c r="A67" s="84" t="inlineStr">
        <is>
          <t>2026-08-06</t>
        </is>
      </c>
      <c r="B67" s="84" t="inlineStr">
        <is>
          <t>000908</t>
        </is>
      </c>
      <c r="C67" s="116" t="inlineStr">
        <is>
          <t>石药景峰</t>
        </is>
      </c>
      <c r="D67" s="84" t="n">
        <v>6.83</v>
      </c>
      <c r="E67" s="84" t="n">
        <v>18</v>
      </c>
      <c r="F67" s="84" t="n">
        <v>0.9</v>
      </c>
      <c r="G67" s="116" t="inlineStr">
        <is>
          <t>核心</t>
        </is>
      </c>
      <c r="J67">
        <f>IFERROR(INDEX($G$2:$G67,MATCH(1,($B$2:$B67=B67)*($A$2:$A67&lt;A67),0)),"")</f>
        <v/>
      </c>
      <c r="K67">
        <f>IF(AND(J67="观察池",G67="核心池"),1,0)</f>
        <v/>
      </c>
      <c r="L67">
        <f>IF(G67&lt;&gt;"核心池",0,IF(J67="核心池",L67+1,1))</f>
        <v/>
      </c>
    </row>
    <row r="68" ht="15" customHeight="1" s="85">
      <c r="A68" s="84" t="inlineStr">
        <is>
          <t>2026-08-06</t>
        </is>
      </c>
      <c r="B68" s="84" t="inlineStr">
        <is>
          <t>002271</t>
        </is>
      </c>
      <c r="C68" s="116" t="inlineStr">
        <is>
          <t>东方雨虹</t>
        </is>
      </c>
      <c r="D68" s="84" t="n">
        <v>11.67</v>
      </c>
      <c r="E68" s="84" t="n">
        <v>17</v>
      </c>
      <c r="F68" s="84" t="n">
        <v>0.92</v>
      </c>
      <c r="G68" s="116" t="inlineStr">
        <is>
          <t>核心</t>
        </is>
      </c>
      <c r="J68">
        <f>IFERROR(INDEX($G$2:$G68,MATCH(1,($B$2:$B68=B68)*($A$2:$A68&lt;A68),0)),"")</f>
        <v/>
      </c>
      <c r="K68">
        <f>IF(AND(J68="观察池",G68="核心池"),1,0)</f>
        <v/>
      </c>
      <c r="L68">
        <f>IF(G68&lt;&gt;"核心池",0,IF(J68="核心池",L68+1,1))</f>
        <v/>
      </c>
    </row>
    <row r="69" ht="15" customHeight="1" s="85">
      <c r="A69" s="84" t="inlineStr">
        <is>
          <t>2026-08-06</t>
        </is>
      </c>
      <c r="B69" s="84" t="inlineStr">
        <is>
          <t>002670</t>
        </is>
      </c>
      <c r="C69" s="116" t="inlineStr">
        <is>
          <t>国盛证券</t>
        </is>
      </c>
      <c r="D69" s="84" t="n">
        <v>11.33</v>
      </c>
      <c r="E69" s="84" t="n">
        <v>16</v>
      </c>
      <c r="F69" s="84" t="n">
        <v>0.92</v>
      </c>
      <c r="G69" s="116" t="inlineStr">
        <is>
          <t>核心</t>
        </is>
      </c>
      <c r="J69">
        <f>IFERROR(INDEX($G$2:$G69,MATCH(1,($B$2:$B69=B69)*($A$2:$A69&lt;A69),0)),"")</f>
        <v/>
      </c>
      <c r="K69">
        <f>IF(AND(J69="观察池",G69="核心池"),1,0)</f>
        <v/>
      </c>
      <c r="L69">
        <f>IF(G69&lt;&gt;"核心池",0,IF(J69="核心池",L69+1,1))</f>
        <v/>
      </c>
    </row>
    <row r="70" ht="15" customHeight="1" s="85">
      <c r="A70" s="84" t="inlineStr">
        <is>
          <t>2026-08-06</t>
        </is>
      </c>
      <c r="B70" s="84" t="inlineStr">
        <is>
          <t>605507</t>
        </is>
      </c>
      <c r="C70" s="116" t="inlineStr">
        <is>
          <t>国邦医药</t>
        </is>
      </c>
      <c r="D70" s="84" t="n">
        <v>15.37</v>
      </c>
      <c r="E70" s="84" t="n">
        <v>8</v>
      </c>
      <c r="F70" s="84" t="n">
        <v>0.87</v>
      </c>
      <c r="G70" s="116" t="inlineStr">
        <is>
          <t>观察</t>
        </is>
      </c>
      <c r="J70">
        <f>IFERROR(INDEX($G$2:$G70,MATCH(1,($B$2:$B70=B70)*($A$2:$A70&lt;A70),0)),"")</f>
        <v/>
      </c>
      <c r="K70">
        <f>IF(AND(J70="观察池",G70="核心池"),1,0)</f>
        <v/>
      </c>
      <c r="L70">
        <f>IF(G70&lt;&gt;"核心池",0,IF(J70="核心池",L70+1,1))</f>
        <v/>
      </c>
    </row>
    <row r="71" ht="15" customHeight="1" s="85">
      <c r="A71" s="84" t="inlineStr">
        <is>
          <t>2026-08-06</t>
        </is>
      </c>
      <c r="B71" s="84" t="inlineStr">
        <is>
          <t>603590</t>
        </is>
      </c>
      <c r="C71" s="116" t="inlineStr">
        <is>
          <t>康辰药业</t>
        </is>
      </c>
      <c r="D71" s="84" t="n">
        <v>30.75</v>
      </c>
      <c r="E71" s="84" t="n">
        <v>23</v>
      </c>
      <c r="F71" s="84" t="n">
        <v>0.87</v>
      </c>
      <c r="G71" s="116" t="inlineStr">
        <is>
          <t>观察</t>
        </is>
      </c>
      <c r="J71">
        <f>IFERROR(INDEX($G$2:$G71,MATCH(1,($B$2:$B71=B71)*($A$2:$A71&lt;A71),0)),"")</f>
        <v/>
      </c>
      <c r="K71">
        <f>IF(AND(J71="观察池",G71="核心池"),1,0)</f>
        <v/>
      </c>
      <c r="L71">
        <f>IF(G71&lt;&gt;"核心池",0,IF(J71="核心池",L71+1,1))</f>
        <v/>
      </c>
    </row>
    <row r="72" ht="15" customHeight="1" s="85">
      <c r="A72" s="84" t="inlineStr">
        <is>
          <t>2026-08-06</t>
        </is>
      </c>
      <c r="B72" s="84" t="inlineStr">
        <is>
          <t>000513</t>
        </is>
      </c>
      <c r="C72" s="116" t="inlineStr">
        <is>
          <t>丽珠集团</t>
        </is>
      </c>
      <c r="D72" s="84" t="n">
        <v>30.13</v>
      </c>
      <c r="E72" s="84" t="n">
        <v>22</v>
      </c>
      <c r="F72" s="84" t="n">
        <v>0.86</v>
      </c>
      <c r="G72" s="116" t="inlineStr">
        <is>
          <t>观察</t>
        </is>
      </c>
      <c r="J72">
        <f>IFERROR(INDEX($G$2:$G72,MATCH(1,($B$2:$B72=B72)*($A$2:$A72&lt;A72),0)),"")</f>
        <v/>
      </c>
      <c r="K72">
        <f>IF(AND(J72="观察池",G72="核心池"),1,0)</f>
        <v/>
      </c>
      <c r="L72">
        <f>IF(G72&lt;&gt;"核心池",0,IF(J72="核心池",L72+1,1))</f>
        <v/>
      </c>
    </row>
    <row r="73" ht="15" customHeight="1" s="85">
      <c r="A73" s="84" t="inlineStr">
        <is>
          <t>2026-08-06</t>
        </is>
      </c>
      <c r="B73" s="84" t="inlineStr">
        <is>
          <t>002020</t>
        </is>
      </c>
      <c r="C73" s="116" t="inlineStr">
        <is>
          <t>京新药业</t>
        </is>
      </c>
      <c r="D73" s="84" t="n">
        <v>13.65</v>
      </c>
      <c r="E73" s="84" t="n">
        <v>5</v>
      </c>
      <c r="F73" s="84" t="n">
        <v>0.85</v>
      </c>
      <c r="G73" s="116" t="inlineStr">
        <is>
          <t>观察</t>
        </is>
      </c>
      <c r="J73">
        <f>IFERROR(INDEX($G$2:$G73,MATCH(1,($B$2:$B73=B73)*($A$2:$A73&lt;A73),0)),"")</f>
        <v/>
      </c>
      <c r="K73">
        <f>IF(AND(J73="观察池",G73="核心池"),1,0)</f>
        <v/>
      </c>
      <c r="L73">
        <f>IF(G73&lt;&gt;"核心池",0,IF(J73="核心池",L73+1,1))</f>
        <v/>
      </c>
    </row>
    <row r="74" ht="15" customHeight="1" s="85">
      <c r="A74" s="84" t="inlineStr">
        <is>
          <t>2026-08-06</t>
        </is>
      </c>
      <c r="B74" s="84" t="inlineStr">
        <is>
          <t>002141</t>
        </is>
      </c>
      <c r="C74" s="116" t="inlineStr">
        <is>
          <t>贤丰控股</t>
        </is>
      </c>
      <c r="D74" s="84" t="n">
        <v>5.73</v>
      </c>
      <c r="E74" s="84" t="n">
        <v>28</v>
      </c>
      <c r="F74" s="84" t="n">
        <v>0.9399999999999999</v>
      </c>
      <c r="G74" s="116" t="inlineStr">
        <is>
          <t>观察</t>
        </is>
      </c>
      <c r="J74">
        <f>IFERROR(INDEX($G$2:$G74,MATCH(1,($B$2:$B74=B74)*($A$2:$A74&lt;A74),0)),"")</f>
        <v/>
      </c>
      <c r="K74">
        <f>IF(AND(J74="观察池",G74="核心池"),1,0)</f>
        <v/>
      </c>
      <c r="L74">
        <f>IF(G74&lt;&gt;"核心池",0,IF(J74="核心池",L74+1,1))</f>
        <v/>
      </c>
    </row>
    <row r="75" ht="15" customHeight="1" s="85">
      <c r="A75" s="84" t="inlineStr">
        <is>
          <t>2026-08-06</t>
        </is>
      </c>
      <c r="B75" s="84" t="inlineStr">
        <is>
          <t>002536</t>
        </is>
      </c>
      <c r="C75" s="116" t="inlineStr">
        <is>
          <t>飞龙股份</t>
        </is>
      </c>
      <c r="D75" s="84" t="n">
        <v>37.85</v>
      </c>
      <c r="E75" s="84" t="n">
        <v>28</v>
      </c>
      <c r="F75" s="84" t="n">
        <v>0.9</v>
      </c>
      <c r="G75" s="116" t="inlineStr">
        <is>
          <t>观察</t>
        </is>
      </c>
      <c r="J75">
        <f>IFERROR(INDEX($G$2:$G75,MATCH(1,($B$2:$B75=B75)*($A$2:$A75&lt;A75),0)),"")</f>
        <v/>
      </c>
      <c r="K75">
        <f>IF(AND(J75="观察池",G75="核心池"),1,0)</f>
        <v/>
      </c>
      <c r="L75">
        <f>IF(G75&lt;&gt;"核心池",0,IF(J75="核心池",L75+1,1))</f>
        <v/>
      </c>
    </row>
    <row r="76" ht="15" customHeight="1" s="85">
      <c r="A76" s="84" t="inlineStr">
        <is>
          <t>2026-08-06</t>
        </is>
      </c>
      <c r="B76" s="84" t="inlineStr">
        <is>
          <t>002938</t>
        </is>
      </c>
      <c r="C76" s="116" t="inlineStr">
        <is>
          <t>鹏鼎控股</t>
        </is>
      </c>
      <c r="D76" s="84" t="n">
        <v>93.84999999999999</v>
      </c>
      <c r="E76" s="84" t="n">
        <v>29</v>
      </c>
      <c r="F76" s="84" t="n">
        <v>0.95</v>
      </c>
      <c r="G76" s="116" t="inlineStr">
        <is>
          <t>观察</t>
        </is>
      </c>
      <c r="H76" s="116" t="inlineStr">
        <is>
          <t>需转入资金</t>
        </is>
      </c>
      <c r="J76">
        <f>IFERROR(INDEX($G$2:$G76,MATCH(1,($B$2:$B76=B76)*($A$2:$A76&lt;A76),0)),"")</f>
        <v/>
      </c>
      <c r="K76">
        <f>IF(AND(J76="观察池",G76="核心池"),1,0)</f>
        <v/>
      </c>
      <c r="L76">
        <f>IF(G76&lt;&gt;"核心池",0,IF(J76="核心池",L76+1,1))</f>
        <v/>
      </c>
    </row>
    <row r="77" ht="15" customHeight="1" s="85">
      <c r="A77" s="84" t="inlineStr">
        <is>
          <t>2026-08-08</t>
        </is>
      </c>
      <c r="B77" s="84" t="inlineStr">
        <is>
          <t>000037</t>
        </is>
      </c>
      <c r="C77" s="84" t="inlineStr">
        <is>
          <t>深南电A</t>
        </is>
      </c>
      <c r="D77" s="84" t="n">
        <v>10.01</v>
      </c>
      <c r="E77" s="84" t="n">
        <v>0</v>
      </c>
      <c r="F77" s="84" t="n">
        <v>0.73</v>
      </c>
      <c r="G77" s="84" t="inlineStr">
        <is>
          <t>边缘</t>
        </is>
      </c>
      <c r="H77" s="84" t="inlineStr"/>
      <c r="J77">
        <f>IFERROR(INDEX($G$2:$G77,MATCH(1,($B$2:$B77=B77)*($A$2:$A77&lt;A77),0)),"")</f>
        <v/>
      </c>
      <c r="K77">
        <f>IF(AND(J77="观察池",G77="核心池"),1,0)</f>
        <v/>
      </c>
      <c r="L77">
        <f>IF(G77&lt;&gt;"核心池",0,IF(J77="核心池",L77+1,1))</f>
        <v/>
      </c>
    </row>
    <row r="78" ht="15" customHeight="1" s="85">
      <c r="A78" s="84" t="inlineStr">
        <is>
          <t>2026-08-08</t>
        </is>
      </c>
      <c r="B78" s="84" t="inlineStr">
        <is>
          <t>000061</t>
        </is>
      </c>
      <c r="C78" s="84" t="inlineStr">
        <is>
          <t>农 产 品</t>
        </is>
      </c>
      <c r="D78" s="84" t="n">
        <v>5.79</v>
      </c>
      <c r="E78" s="84" t="n">
        <v>2</v>
      </c>
      <c r="F78" s="84" t="n">
        <v>0.6899999999999999</v>
      </c>
      <c r="G78" s="84" t="inlineStr">
        <is>
          <t>边缘</t>
        </is>
      </c>
      <c r="H78" s="84" t="inlineStr"/>
      <c r="J78">
        <f>IFERROR(INDEX($G$2:$G78,MATCH(1,($B$2:$B78=B78)*($A$2:$A78&lt;A78),0)),"")</f>
        <v/>
      </c>
      <c r="K78">
        <f>IF(AND(J78="观察池",G78="核心池"),1,0)</f>
        <v/>
      </c>
      <c r="L78">
        <f>IF(G78&lt;&gt;"核心池",0,IF(J78="核心池",L78+1,1))</f>
        <v/>
      </c>
    </row>
    <row r="79" ht="15" customHeight="1" s="85">
      <c r="A79" s="84" t="inlineStr">
        <is>
          <t>2026-08-08</t>
        </is>
      </c>
      <c r="B79" s="84" t="inlineStr">
        <is>
          <t>000002</t>
        </is>
      </c>
      <c r="C79" s="84" t="inlineStr">
        <is>
          <t>万 科Ａ</t>
        </is>
      </c>
      <c r="D79" s="84" t="n">
        <v>3.22</v>
      </c>
      <c r="E79" s="84" t="n">
        <v>7</v>
      </c>
      <c r="F79" s="84" t="n">
        <v>0.66</v>
      </c>
      <c r="G79" s="84" t="inlineStr">
        <is>
          <t>边缘</t>
        </is>
      </c>
      <c r="H79" s="84" t="inlineStr"/>
      <c r="J79">
        <f>IFERROR(INDEX($G$2:$G79,MATCH(1,($B$2:$B79=B79)*($A$2:$A79&lt;A79),0)),"")</f>
        <v/>
      </c>
      <c r="K79">
        <f>IF(AND(J79="观察池",G79="核心池"),1,0)</f>
        <v/>
      </c>
      <c r="L79">
        <f>IF(G79&lt;&gt;"核心池",0,IF(J79="核心池",L79+1,1))</f>
        <v/>
      </c>
    </row>
    <row r="80" ht="15" customHeight="1" s="85">
      <c r="A80" s="84" t="inlineStr">
        <is>
          <t>2026-08-08</t>
        </is>
      </c>
      <c r="B80" s="84" t="inlineStr">
        <is>
          <t>000034</t>
        </is>
      </c>
      <c r="C80" s="84" t="inlineStr">
        <is>
          <t>神州数码</t>
        </is>
      </c>
      <c r="D80" s="84" t="n">
        <v>25.13</v>
      </c>
      <c r="E80" s="84" t="n">
        <v>13</v>
      </c>
      <c r="F80" s="84" t="n">
        <v>0.78</v>
      </c>
      <c r="G80" s="84" t="inlineStr">
        <is>
          <t>边缘</t>
        </is>
      </c>
      <c r="H80" s="84" t="inlineStr"/>
      <c r="J80">
        <f>IFERROR(INDEX($G$2:$G80,MATCH(1,($B$2:$B80=B80)*($A$2:$A80&lt;A80),0)),"")</f>
        <v/>
      </c>
      <c r="K80">
        <f>IF(AND(J80="观察池",G80="核心池"),1,0)</f>
        <v/>
      </c>
      <c r="L80">
        <f>IF(G80&lt;&gt;"核心池",0,IF(J80="核心池",L80+1,1))</f>
        <v/>
      </c>
    </row>
    <row r="81" ht="15" customHeight="1" s="85">
      <c r="A81" s="84" t="inlineStr">
        <is>
          <t>2026-08-08</t>
        </is>
      </c>
      <c r="B81" s="84" t="inlineStr">
        <is>
          <t>000498</t>
        </is>
      </c>
      <c r="C81" s="84" t="inlineStr">
        <is>
          <t>山东路桥</t>
        </is>
      </c>
      <c r="D81" s="84" t="n">
        <v>4.95</v>
      </c>
      <c r="E81" s="84" t="n">
        <v>15</v>
      </c>
      <c r="F81" s="84" t="n">
        <v>0.74</v>
      </c>
      <c r="G81" s="84" t="inlineStr">
        <is>
          <t>边缘</t>
        </is>
      </c>
      <c r="H81" s="84" t="inlineStr"/>
      <c r="J81">
        <f>IFERROR(INDEX($G$2:$G81,MATCH(1,($B$2:$B81=B81)*($A$2:$A81&lt;A81),0)),"")</f>
        <v/>
      </c>
      <c r="K81">
        <f>IF(AND(J81="观察池",G81="核心池"),1,0)</f>
        <v/>
      </c>
      <c r="L81">
        <f>IF(G81&lt;&gt;"核心池",0,IF(J81="核心池",L81+1,1))</f>
        <v/>
      </c>
    </row>
    <row r="82" ht="15" customHeight="1" s="85">
      <c r="A82" s="84" t="inlineStr">
        <is>
          <t>2026-08-08</t>
        </is>
      </c>
      <c r="B82" s="84" t="inlineStr">
        <is>
          <t>000045</t>
        </is>
      </c>
      <c r="C82" s="84" t="inlineStr">
        <is>
          <t>深纺织Ａ</t>
        </is>
      </c>
      <c r="D82" s="84" t="n">
        <v>9.93</v>
      </c>
      <c r="E82" s="84" t="n">
        <v>16</v>
      </c>
      <c r="F82" s="84" t="n">
        <v>0.78</v>
      </c>
      <c r="G82" s="84" t="inlineStr">
        <is>
          <t>边缘</t>
        </is>
      </c>
      <c r="H82" s="84" t="inlineStr"/>
      <c r="J82">
        <f>IFERROR(INDEX($G$2:$G82,MATCH(1,($B$2:$B82=B82)*($A$2:$A82&lt;A82),0)),"")</f>
        <v/>
      </c>
      <c r="K82">
        <f>IF(AND(J82="观察池",G82="核心池"),1,0)</f>
        <v/>
      </c>
      <c r="L82">
        <f>IF(G82&lt;&gt;"核心池",0,IF(J82="核心池",L82+1,1))</f>
        <v/>
      </c>
    </row>
    <row r="83" ht="15" customHeight="1" s="85">
      <c r="A83" s="84" t="inlineStr">
        <is>
          <t>2026-08-08</t>
        </is>
      </c>
      <c r="B83" s="84" t="inlineStr">
        <is>
          <t>000059</t>
        </is>
      </c>
      <c r="C83" s="84" t="inlineStr">
        <is>
          <t>华锦股份</t>
        </is>
      </c>
      <c r="D83" s="84" t="n">
        <v>4.59</v>
      </c>
      <c r="E83" s="84" t="n">
        <v>19</v>
      </c>
      <c r="F83" s="84" t="n">
        <v>0.65</v>
      </c>
      <c r="G83" s="84" t="inlineStr">
        <is>
          <t>边缘</t>
        </is>
      </c>
      <c r="H83" s="84" t="inlineStr"/>
      <c r="J83">
        <f>IFERROR(INDEX($G$2:$G83,MATCH(1,($B$2:$B83=B83)*($A$2:$A83&lt;A83),0)),"")</f>
        <v/>
      </c>
      <c r="K83">
        <f>IF(AND(J83="观察池",G83="核心池"),1,0)</f>
        <v/>
      </c>
      <c r="L83">
        <f>IF(G83&lt;&gt;"核心池",0,IF(J83="核心池",L83+1,1))</f>
        <v/>
      </c>
    </row>
    <row r="84">
      <c r="A84" s="84" t="inlineStr">
        <is>
          <t>2026-08-08</t>
        </is>
      </c>
      <c r="B84" s="84" t="inlineStr">
        <is>
          <t>000157</t>
        </is>
      </c>
      <c r="C84" s="84" t="inlineStr">
        <is>
          <t>中联重科</t>
        </is>
      </c>
      <c r="D84" s="84" t="n">
        <v>7.22</v>
      </c>
      <c r="E84" s="84" t="n">
        <v>21</v>
      </c>
      <c r="F84" s="84" t="n">
        <v>0.71</v>
      </c>
      <c r="G84" s="84" t="inlineStr">
        <is>
          <t>边缘</t>
        </is>
      </c>
      <c r="H84" s="84" t="inlineStr"/>
      <c r="J84">
        <f>IFERROR(INDEX($G$2:$G84,MATCH(1,($B$2:$B84=B84)*($A$2:$A84&lt;A84),0)),"")</f>
        <v/>
      </c>
      <c r="K84">
        <f>IF(AND(J84="观察池",G84="核心池"),1,0)</f>
        <v/>
      </c>
      <c r="L84">
        <f>IF(G84&lt;&gt;"核心池",0,IF(J84="核心池",L84+1,1))</f>
        <v/>
      </c>
    </row>
    <row r="85">
      <c r="A85" s="84" t="inlineStr">
        <is>
          <t>2026-08-08</t>
        </is>
      </c>
      <c r="B85" s="84" t="inlineStr">
        <is>
          <t>000570</t>
        </is>
      </c>
      <c r="C85" s="84" t="inlineStr">
        <is>
          <t>苏常柴Ａ</t>
        </is>
      </c>
      <c r="D85" s="84" t="n">
        <v>4.93</v>
      </c>
      <c r="E85" s="84" t="n">
        <v>43</v>
      </c>
      <c r="F85" s="84" t="n">
        <v>0.62</v>
      </c>
      <c r="G85" s="84" t="inlineStr">
        <is>
          <t>边缘</t>
        </is>
      </c>
      <c r="H85" s="84" t="inlineStr"/>
      <c r="J85">
        <f>IFERROR(INDEX($G$2:$G85,MATCH(1,($B$2:$B85=B85)*($A$2:$A85&lt;A85),0)),"")</f>
        <v/>
      </c>
      <c r="K85">
        <f>IF(AND(J85="观察池",G85="核心池"),1,0)</f>
        <v/>
      </c>
      <c r="L85">
        <f>IF(G85&lt;&gt;"核心池",0,IF(J85="核心池",L85+1,1))</f>
        <v/>
      </c>
    </row>
    <row r="86">
      <c r="A86" s="84" t="inlineStr">
        <is>
          <t>2026-08-08</t>
        </is>
      </c>
      <c r="B86" s="84" t="inlineStr">
        <is>
          <t>600011</t>
        </is>
      </c>
      <c r="C86" s="84" t="inlineStr">
        <is>
          <t>华能国际</t>
        </is>
      </c>
      <c r="D86" s="84" t="n">
        <v>6.99</v>
      </c>
      <c r="E86" s="84" t="n">
        <v>20</v>
      </c>
      <c r="F86" s="84" t="n">
        <v>0.87</v>
      </c>
      <c r="G86" s="84" t="inlineStr">
        <is>
          <t>观察</t>
        </is>
      </c>
      <c r="H86" s="84" t="inlineStr"/>
      <c r="J86">
        <f>IFERROR(INDEX($G$2:$G86,MATCH(1,($B$2:$B86=B86)*($A$2:$A86&lt;A86),0)),"")</f>
        <v/>
      </c>
      <c r="K86">
        <f>IF(AND(J86="观察池",G86="核心池"),1,0)</f>
        <v/>
      </c>
      <c r="L86">
        <f>IF(G86&lt;&gt;"核心池",0,IF(J86="核心池",L86+1,1))</f>
        <v/>
      </c>
    </row>
    <row r="87">
      <c r="A87" s="84" t="inlineStr">
        <is>
          <t>2026-08-08</t>
        </is>
      </c>
      <c r="B87" s="84" t="inlineStr">
        <is>
          <t>600060</t>
        </is>
      </c>
      <c r="C87" s="84" t="inlineStr">
        <is>
          <t>海信视像</t>
        </is>
      </c>
      <c r="D87" s="84" t="n">
        <v>25.24</v>
      </c>
      <c r="E87" s="84" t="n">
        <v>0</v>
      </c>
      <c r="F87" s="84" t="n">
        <v>0.87</v>
      </c>
      <c r="G87" s="84" t="inlineStr">
        <is>
          <t>观察</t>
        </is>
      </c>
      <c r="H87" s="84" t="inlineStr"/>
      <c r="J87">
        <f>IFERROR(INDEX($G$2:$G87,MATCH(1,($B$2:$B87=B87)*($A$2:$A87&lt;A87),0)),"")</f>
        <v/>
      </c>
      <c r="K87">
        <f>IF(AND(J87="观察池",G87="核心池"),1,0)</f>
        <v/>
      </c>
      <c r="L87">
        <f>IF(G87&lt;&gt;"核心池",0,IF(J87="核心池",L87+1,1))</f>
        <v/>
      </c>
    </row>
    <row r="88">
      <c r="A88" s="84" t="inlineStr">
        <is>
          <t>2026-08-08</t>
        </is>
      </c>
      <c r="B88" s="84" t="inlineStr">
        <is>
          <t>600061</t>
        </is>
      </c>
      <c r="C88" s="84" t="inlineStr">
        <is>
          <t>国投资本</t>
        </is>
      </c>
      <c r="D88" s="84" t="n">
        <v>6.4</v>
      </c>
      <c r="E88" s="84" t="n">
        <v>11</v>
      </c>
      <c r="F88" s="84" t="n">
        <v>0.82</v>
      </c>
      <c r="G88" s="84" t="inlineStr">
        <is>
          <t>边缘</t>
        </is>
      </c>
      <c r="H88" s="84" t="inlineStr"/>
      <c r="J88">
        <f>IFERROR(INDEX($G$2:$G88,MATCH(1,($B$2:$B88=B88)*($A$2:$A88&lt;A88),0)),"")</f>
        <v/>
      </c>
      <c r="K88">
        <f>IF(AND(J88="观察池",G88="核心池"),1,0)</f>
        <v/>
      </c>
      <c r="L88">
        <f>IF(G88&lt;&gt;"核心池",0,IF(J88="核心池",L88+1,1))</f>
        <v/>
      </c>
    </row>
    <row r="89">
      <c r="A89" s="84" t="inlineStr">
        <is>
          <t>2026-08-08</t>
        </is>
      </c>
      <c r="B89" s="84" t="inlineStr">
        <is>
          <t>600153</t>
        </is>
      </c>
      <c r="C89" s="84" t="inlineStr">
        <is>
          <t>建发股份</t>
        </is>
      </c>
      <c r="D89" s="84" t="n">
        <v>8.630000000000001</v>
      </c>
      <c r="E89" s="84" t="n">
        <v>2</v>
      </c>
      <c r="F89" s="84" t="n">
        <v>0.8100000000000001</v>
      </c>
      <c r="G89" s="84" t="inlineStr">
        <is>
          <t>边缘</t>
        </is>
      </c>
      <c r="H89" s="84" t="inlineStr"/>
      <c r="J89">
        <f>IFERROR(INDEX($G$2:$G89,MATCH(1,($B$2:$B89=B89)*($A$2:$A89&lt;A89),0)),"")</f>
        <v/>
      </c>
      <c r="K89">
        <f>IF(AND(J89="观察池",G89="核心池"),1,0)</f>
        <v/>
      </c>
      <c r="L89">
        <f>IF(G89&lt;&gt;"核心池",0,IF(J89="核心池",L89+1,1))</f>
        <v/>
      </c>
    </row>
    <row r="90">
      <c r="A90" s="84" t="inlineStr">
        <is>
          <t>2026-08-08</t>
        </is>
      </c>
      <c r="B90" s="84" t="inlineStr">
        <is>
          <t>600056</t>
        </is>
      </c>
      <c r="C90" s="84" t="inlineStr">
        <is>
          <t>中国医药</t>
        </is>
      </c>
      <c r="D90" s="84" t="n">
        <v>9.4</v>
      </c>
      <c r="E90" s="84" t="n">
        <v>1</v>
      </c>
      <c r="F90" s="84" t="n">
        <v>0.61</v>
      </c>
      <c r="G90" s="84" t="inlineStr">
        <is>
          <t>边缘</t>
        </is>
      </c>
      <c r="H90" s="84" t="inlineStr"/>
      <c r="J90">
        <f>IFERROR(INDEX($G$2:$G90,MATCH(1,($B$2:$B90=B90)*($A$2:$A90&lt;A90),0)),"")</f>
        <v/>
      </c>
      <c r="K90">
        <f>IF(AND(J90="观察池",G90="核心池"),1,0)</f>
        <v/>
      </c>
      <c r="L90">
        <f>IF(G90&lt;&gt;"核心池",0,IF(J90="核心池",L90+1,1))</f>
        <v/>
      </c>
    </row>
    <row r="91">
      <c r="A91" s="84" t="inlineStr">
        <is>
          <t>2026-08-08</t>
        </is>
      </c>
      <c r="B91" s="84" t="inlineStr">
        <is>
          <t>600266</t>
        </is>
      </c>
      <c r="C91" s="84" t="inlineStr">
        <is>
          <t>城建发展</t>
        </is>
      </c>
      <c r="D91" s="84" t="n">
        <v>4.03</v>
      </c>
      <c r="E91" s="84" t="n">
        <v>11</v>
      </c>
      <c r="F91" s="84" t="n">
        <v>0.77</v>
      </c>
      <c r="G91" s="84" t="inlineStr">
        <is>
          <t>边缘</t>
        </is>
      </c>
      <c r="H91" s="84" t="inlineStr"/>
      <c r="J91">
        <f>IFERROR(INDEX($G$2:$G91,MATCH(1,($B$2:$B91=B91)*($A$2:$A91&lt;A91),0)),"")</f>
        <v/>
      </c>
      <c r="K91">
        <f>IF(AND(J91="观察池",G91="核心池"),1,0)</f>
        <v/>
      </c>
      <c r="L91">
        <f>IF(G91&lt;&gt;"核心池",0,IF(J91="核心池",L91+1,1))</f>
        <v/>
      </c>
    </row>
    <row r="92">
      <c r="A92" s="84" t="inlineStr">
        <is>
          <t>2026-08-08</t>
        </is>
      </c>
      <c r="B92" s="84" t="inlineStr">
        <is>
          <t>600248</t>
        </is>
      </c>
      <c r="C92" s="84" t="inlineStr">
        <is>
          <t>陕建股份</t>
        </is>
      </c>
      <c r="D92" s="84" t="n">
        <v>2.84</v>
      </c>
      <c r="E92" s="84" t="n">
        <v>15</v>
      </c>
      <c r="F92" s="84" t="n">
        <v>0.65</v>
      </c>
      <c r="G92" s="84" t="inlineStr">
        <is>
          <t>边缘</t>
        </is>
      </c>
      <c r="H92" s="84" t="inlineStr"/>
      <c r="J92">
        <f>IFERROR(INDEX($G$2:$G92,MATCH(1,($B$2:$B92=B92)*($A$2:$A92&lt;A92),0)),"")</f>
        <v/>
      </c>
      <c r="K92">
        <f>IF(AND(J92="观察池",G92="核心池"),1,0)</f>
        <v/>
      </c>
      <c r="L92">
        <f>IF(G92&lt;&gt;"核心池",0,IF(J92="核心池",L92+1,1))</f>
        <v/>
      </c>
    </row>
    <row r="93">
      <c r="A93" s="84" t="inlineStr">
        <is>
          <t>2026-08-08</t>
        </is>
      </c>
      <c r="B93" s="84" t="inlineStr">
        <is>
          <t>600035</t>
        </is>
      </c>
      <c r="C93" s="84" t="inlineStr">
        <is>
          <t>楚天高速</t>
        </is>
      </c>
      <c r="D93" s="84" t="n">
        <v>3.44</v>
      </c>
      <c r="E93" s="84" t="n">
        <v>29</v>
      </c>
      <c r="F93" s="84" t="n">
        <v>0.63</v>
      </c>
      <c r="G93" s="84" t="inlineStr">
        <is>
          <t>边缘</t>
        </is>
      </c>
      <c r="H93" s="84" t="inlineStr"/>
      <c r="J93">
        <f>IFERROR(INDEX($G$2:$G93,MATCH(1,($B$2:$B93=B93)*($A$2:$A93&lt;A93),0)),"")</f>
        <v/>
      </c>
      <c r="K93">
        <f>IF(AND(J93="观察池",G93="核心池"),1,0)</f>
        <v/>
      </c>
      <c r="L93">
        <f>IF(G93&lt;&gt;"核心池",0,IF(J93="核心池",L93+1,1))</f>
        <v/>
      </c>
    </row>
    <row r="94">
      <c r="A94" s="84" t="inlineStr">
        <is>
          <t>2026-08-08</t>
        </is>
      </c>
      <c r="B94" s="84" t="inlineStr">
        <is>
          <t>600138</t>
        </is>
      </c>
      <c r="C94" s="84" t="inlineStr">
        <is>
          <t>中青旅</t>
        </is>
      </c>
      <c r="D94" s="84" t="n">
        <v>7.03</v>
      </c>
      <c r="E94" s="84" t="n">
        <v>29</v>
      </c>
      <c r="F94" s="84" t="n">
        <v>0.65</v>
      </c>
      <c r="G94" s="84" t="inlineStr">
        <is>
          <t>边缘</t>
        </is>
      </c>
      <c r="H94" s="84" t="inlineStr"/>
      <c r="J94">
        <f>IFERROR(INDEX($G$2:$G94,MATCH(1,($B$2:$B94=B94)*($A$2:$A94&lt;A94),0)),"")</f>
        <v/>
      </c>
      <c r="K94">
        <f>IF(AND(J94="观察池",G94="核心池"),1,0)</f>
        <v/>
      </c>
      <c r="L94">
        <f>IF(G94&lt;&gt;"核心池",0,IF(J94="核心池",L94+1,1))</f>
        <v/>
      </c>
    </row>
    <row r="95">
      <c r="A95" s="84" t="inlineStr">
        <is>
          <t>2026-08-08</t>
        </is>
      </c>
      <c r="B95" s="84" t="inlineStr">
        <is>
          <t>000513</t>
        </is>
      </c>
      <c r="C95" s="84" t="inlineStr">
        <is>
          <t>丽珠集团</t>
        </is>
      </c>
      <c r="D95" s="84" t="n">
        <v>30.68</v>
      </c>
      <c r="E95" s="84" t="n">
        <v>22</v>
      </c>
      <c r="F95" s="84" t="n">
        <v>0.83</v>
      </c>
      <c r="G95" s="84" t="inlineStr">
        <is>
          <t>边缘</t>
        </is>
      </c>
      <c r="H95" s="84" t="inlineStr"/>
      <c r="J95">
        <f>IFERROR(INDEX($G$2:$G95,MATCH(1,($B$2:$B95=B95)*($A$2:$A95&lt;A95),0)),"")</f>
        <v/>
      </c>
      <c r="K95">
        <f>IF(AND(J95="观察池",G95="核心池"),1,0)</f>
        <v/>
      </c>
      <c r="L95">
        <f>IF(G95&lt;&gt;"核心池",0,IF(J95="核心池",L95+1,1))</f>
        <v/>
      </c>
    </row>
    <row r="96">
      <c r="A96" s="84" t="inlineStr">
        <is>
          <t>2026-08-08</t>
        </is>
      </c>
      <c r="B96" s="84" t="inlineStr">
        <is>
          <t>002827</t>
        </is>
      </c>
      <c r="C96" s="84" t="inlineStr">
        <is>
          <t>高争民爆</t>
        </is>
      </c>
      <c r="D96" s="84" t="n">
        <v>23.98</v>
      </c>
      <c r="E96" s="84" t="n">
        <v>0</v>
      </c>
      <c r="F96" s="84" t="n">
        <v>0</v>
      </c>
      <c r="G96" s="84" t="inlineStr">
        <is>
          <t>核心池</t>
        </is>
      </c>
      <c r="H96" s="84" t="inlineStr"/>
      <c r="I96" s="84" t="inlineStr"/>
      <c r="J96">
        <f>IFERROR(INDEX($G$2:$G96,MATCH(1,($B$2:$B96=B96)*($A$2:$A96&lt;A96),0)),"")</f>
        <v/>
      </c>
      <c r="K96">
        <f>IF(AND(J96="观察池",G96="核心池"),1,0)</f>
        <v/>
      </c>
      <c r="L96">
        <f>IF(G96&lt;&gt;"核心池",0,IF(J96="核心池",L96+1,1))</f>
        <v/>
      </c>
      <c r="M96" s="84" t="inlineStr">
        <is>
          <t>三买确认</t>
        </is>
      </c>
    </row>
    <row r="97">
      <c r="A97" s="84" t="inlineStr">
        <is>
          <t>2026-08-08</t>
        </is>
      </c>
      <c r="B97" s="84" t="inlineStr">
        <is>
          <t>603207</t>
        </is>
      </c>
      <c r="C97" s="84" t="inlineStr">
        <is>
          <t>小方制药</t>
        </is>
      </c>
      <c r="D97" s="84" t="n">
        <v>21.5</v>
      </c>
      <c r="E97" s="84" t="n">
        <v>0.5726596720917115</v>
      </c>
      <c r="F97" s="84" t="n">
        <v>0.8895259803128999</v>
      </c>
      <c r="G97" s="84" t="inlineStr">
        <is>
          <t>观察池</t>
        </is>
      </c>
      <c r="H97" s="84" t="inlineStr"/>
      <c r="I97" s="84" t="inlineStr"/>
      <c r="J97">
        <f>IFERROR(INDEX($G$2:$G97,MATCH(1,($B$2:$B97=B97)*($A$2:$A97&lt;A97),0)),"")</f>
        <v/>
      </c>
      <c r="K97">
        <f>IF(AND(J97="观察池",G97="核心池"),1,0)</f>
        <v/>
      </c>
      <c r="L97">
        <f>IF(G97&lt;&gt;"核心池",0,IF(J97="核心池",L97+1,1))</f>
        <v/>
      </c>
      <c r="M97" s="84" t="inlineStr"/>
    </row>
    <row r="98">
      <c r="A98" s="84" t="inlineStr">
        <is>
          <t>2026-08-08</t>
        </is>
      </c>
      <c r="B98" s="84" t="inlineStr">
        <is>
          <t>002329</t>
        </is>
      </c>
      <c r="C98" s="84" t="inlineStr">
        <is>
          <t>皇氏集团</t>
        </is>
      </c>
      <c r="D98" s="84" t="n">
        <v>3.15</v>
      </c>
      <c r="E98" s="84" t="n">
        <v>0.3675819656961615</v>
      </c>
      <c r="F98" s="84" t="n">
        <v>0.9374401070695835</v>
      </c>
      <c r="G98" s="84" t="inlineStr">
        <is>
          <t>观察池</t>
        </is>
      </c>
      <c r="H98" s="84" t="inlineStr"/>
      <c r="I98" s="84" t="inlineStr"/>
      <c r="J98">
        <f>IFERROR(INDEX($G$2:$G98,MATCH(1,($B$2:$B98=B98)*($A$2:$A98&lt;A98),0)),"")</f>
        <v/>
      </c>
      <c r="K98">
        <f>IF(AND(J98="观察池",G98="核心池"),1,0)</f>
        <v/>
      </c>
      <c r="L98">
        <f>IF(G98&lt;&gt;"核心池",0,IF(J98="核心池",L98+1,1))</f>
        <v/>
      </c>
      <c r="M98" s="84" t="inlineStr"/>
    </row>
    <row r="99">
      <c r="A99" s="84" t="inlineStr">
        <is>
          <t>2026-08-08</t>
        </is>
      </c>
      <c r="B99" s="84" t="inlineStr">
        <is>
          <t>002107</t>
        </is>
      </c>
      <c r="C99" s="84" t="inlineStr">
        <is>
          <t>沃华医药</t>
        </is>
      </c>
      <c r="D99" s="84" t="n">
        <v>6.3</v>
      </c>
      <c r="E99" s="84" t="n">
        <v>0.5656922270413003</v>
      </c>
      <c r="F99" s="84" t="n">
        <v>0.8378032997696212</v>
      </c>
      <c r="G99" s="84" t="inlineStr">
        <is>
          <t>观察池</t>
        </is>
      </c>
      <c r="H99" s="84" t="inlineStr"/>
      <c r="I99" s="84" t="inlineStr"/>
      <c r="J99">
        <f>IFERROR(INDEX($G$2:$G99,MATCH(1,($B$2:$B99=B99)*($A$2:$A99&lt;A99),0)),"")</f>
        <v/>
      </c>
      <c r="K99">
        <f>IF(AND(J99="观察池",G99="核心池"),1,0)</f>
        <v/>
      </c>
      <c r="L99">
        <f>IF(G99&lt;&gt;"核心池",0,IF(J99="核心池",L99+1,1))</f>
        <v/>
      </c>
      <c r="M99" s="84" t="inlineStr"/>
    </row>
    <row r="100">
      <c r="A100" s="84" t="inlineStr">
        <is>
          <t>2026-08-08</t>
        </is>
      </c>
      <c r="B100" s="84" t="inlineStr">
        <is>
          <t>600266</t>
        </is>
      </c>
      <c r="C100" s="84" t="inlineStr">
        <is>
          <t>城建发展</t>
        </is>
      </c>
      <c r="D100" s="84" t="n">
        <v>4.03</v>
      </c>
      <c r="E100" s="84" t="n">
        <v>0.3604039943204314</v>
      </c>
      <c r="F100" s="84" t="n">
        <v>0.7689235107474557</v>
      </c>
      <c r="G100" s="84" t="inlineStr">
        <is>
          <t>观察池</t>
        </is>
      </c>
      <c r="H100" s="84" t="inlineStr"/>
      <c r="I100" s="84" t="inlineStr"/>
      <c r="J100">
        <f>IFERROR(INDEX($G$2:$G100,MATCH(1,($B$2:$B100=B100)*($A$2:$A100&lt;A100),0)),"")</f>
        <v/>
      </c>
      <c r="K100">
        <f>IF(AND(J100="观察池",G100="核心池"),1,0)</f>
        <v/>
      </c>
      <c r="L100">
        <f>IF(G100&lt;&gt;"核心池",0,IF(J100="核心池",L100+1,1))</f>
        <v/>
      </c>
      <c r="M100" s="84" t="inlineStr"/>
    </row>
    <row r="101">
      <c r="A101" s="84" t="inlineStr">
        <is>
          <t>2026-08-08</t>
        </is>
      </c>
      <c r="B101" s="84" t="inlineStr">
        <is>
          <t>600248</t>
        </is>
      </c>
      <c r="C101" s="84" t="inlineStr">
        <is>
          <t>陕建股份</t>
        </is>
      </c>
      <c r="D101" s="84" t="n">
        <v>2.84</v>
      </c>
      <c r="E101" s="84" t="n">
        <v>0.571586846394346</v>
      </c>
      <c r="F101" s="84" t="n">
        <v>0.6499588785228112</v>
      </c>
      <c r="G101" s="84" t="inlineStr">
        <is>
          <t>观察池</t>
        </is>
      </c>
      <c r="H101" s="84" t="inlineStr"/>
      <c r="I101" s="84" t="inlineStr"/>
      <c r="J101">
        <f>IFERROR(INDEX($G$2:$G101,MATCH(1,($B$2:$B101=B101)*($A$2:$A101&lt;A101),0)),"")</f>
        <v/>
      </c>
      <c r="K101">
        <f>IF(AND(J101="观察池",G101="核心池"),1,0)</f>
        <v/>
      </c>
      <c r="L101">
        <f>IF(G101&lt;&gt;"核心池",0,IF(J101="核心池",L101+1,1))</f>
        <v/>
      </c>
      <c r="M101" s="84" t="inlineStr">
        <is>
          <t>二买确认</t>
        </is>
      </c>
    </row>
    <row r="102">
      <c r="A102" s="84" t="inlineStr">
        <is>
          <t>2026-08-08</t>
        </is>
      </c>
      <c r="B102" s="84" t="inlineStr">
        <is>
          <t>002454</t>
        </is>
      </c>
      <c r="C102" s="84" t="inlineStr">
        <is>
          <t>松芝股份</t>
        </is>
      </c>
      <c r="D102" s="84" t="n">
        <v>4.87</v>
      </c>
      <c r="E102" s="84" t="n">
        <v>0.5400140370000607</v>
      </c>
      <c r="F102" s="84" t="n">
        <v>0.6217980983919431</v>
      </c>
      <c r="G102" s="84" t="inlineStr">
        <is>
          <t>观察池</t>
        </is>
      </c>
      <c r="H102" s="84" t="inlineStr"/>
      <c r="I102" s="84" t="inlineStr"/>
      <c r="J102">
        <f>IFERROR(INDEX($G$2:$G102,MATCH(1,($B$2:$B102=B102)*($A$2:$A102&lt;A102),0)),"")</f>
        <v/>
      </c>
      <c r="K102">
        <f>IF(AND(J102="观察池",G102="核心池"),1,0)</f>
        <v/>
      </c>
      <c r="L102">
        <f>IF(G102&lt;&gt;"核心池",0,IF(J102="核心池",L102+1,1))</f>
        <v/>
      </c>
      <c r="M102" s="84" t="inlineStr"/>
    </row>
    <row r="103">
      <c r="A103" s="84" t="inlineStr">
        <is>
          <t>2026-08-08</t>
        </is>
      </c>
      <c r="B103" s="84" t="inlineStr">
        <is>
          <t>600035</t>
        </is>
      </c>
      <c r="C103" s="84" t="inlineStr">
        <is>
          <t>楚天高速</t>
        </is>
      </c>
      <c r="D103" s="84" t="n">
        <v>3.44</v>
      </c>
      <c r="E103" s="84" t="n">
        <v>0.4097594528363009</v>
      </c>
      <c r="F103" s="84" t="n">
        <v>0.6301622223761185</v>
      </c>
      <c r="G103" s="84" t="inlineStr">
        <is>
          <t>观察池</t>
        </is>
      </c>
      <c r="H103" s="84" t="inlineStr"/>
      <c r="I103" s="84" t="inlineStr"/>
      <c r="J103">
        <f>IFERROR(INDEX($G$2:$G103,MATCH(1,($B$2:$B103=B103)*($A$2:$A103&lt;A103),0)),"")</f>
        <v/>
      </c>
      <c r="K103">
        <f>IF(AND(J103="观察池",G103="核心池"),1,0)</f>
        <v/>
      </c>
      <c r="L103">
        <f>IF(G103&lt;&gt;"核心池",0,IF(J103="核心池",L103+1,1))</f>
        <v/>
      </c>
      <c r="M103" s="84" t="inlineStr"/>
    </row>
    <row r="104">
      <c r="A104" s="84" t="inlineStr">
        <is>
          <t>2026-08-08</t>
        </is>
      </c>
      <c r="B104" s="84" t="inlineStr">
        <is>
          <t>000513</t>
        </is>
      </c>
      <c r="C104" s="84" t="inlineStr">
        <is>
          <t>丽珠集团</t>
        </is>
      </c>
      <c r="D104" s="84" t="n">
        <v>30.68</v>
      </c>
      <c r="E104" s="84" t="n">
        <v>0.5729402270756062</v>
      </c>
      <c r="F104" s="84" t="n">
        <v>0.8328632708602783</v>
      </c>
      <c r="G104" s="84" t="inlineStr">
        <is>
          <t>观察池</t>
        </is>
      </c>
      <c r="H104" s="84" t="inlineStr"/>
      <c r="I104" s="84" t="inlineStr"/>
      <c r="J104">
        <f>IFERROR(INDEX($G$2:$G104,MATCH(1,($B$2:$B104=B104)*($A$2:$A104&lt;A104),0)),"")</f>
        <v/>
      </c>
      <c r="K104">
        <f>IF(AND(J104="观察池",G104="核心池"),1,0)</f>
        <v/>
      </c>
      <c r="L104">
        <f>IF(G104&lt;&gt;"核心池",0,IF(J104="核心池",L104+1,1))</f>
        <v/>
      </c>
      <c r="M104" s="84" t="inlineStr">
        <is>
          <t>二买确认</t>
        </is>
      </c>
    </row>
    <row r="105">
      <c r="A105" s="84" t="inlineStr">
        <is>
          <t>2026-08-08</t>
        </is>
      </c>
      <c r="B105" s="84" t="inlineStr">
        <is>
          <t>600056</t>
        </is>
      </c>
      <c r="C105" s="84" t="inlineStr">
        <is>
          <t>中国医药</t>
        </is>
      </c>
      <c r="D105" s="84" t="n">
        <v>9.4</v>
      </c>
      <c r="E105" s="84" t="n">
        <v>0.5503898025267974</v>
      </c>
      <c r="F105" s="84" t="n">
        <v>0.6090032515867148</v>
      </c>
      <c r="G105" s="84" t="inlineStr">
        <is>
          <t>观察池</t>
        </is>
      </c>
      <c r="H105" s="84" t="inlineStr"/>
      <c r="I105" s="84" t="inlineStr"/>
      <c r="J105">
        <f>IFERROR(INDEX($G$2:$G105,MATCH(1,($B$2:$B105=B105)*($A$2:$A105&lt;A105),0)),"")</f>
        <v/>
      </c>
      <c r="K105">
        <f>IF(AND(J105="观察池",G105="核心池"),1,0)</f>
        <v/>
      </c>
      <c r="L105">
        <f>IF(G105&lt;&gt;"核心池",0,IF(J105="核心池",L105+1,1))</f>
        <v/>
      </c>
      <c r="M105" s="84" t="inlineStr">
        <is>
          <t>二买确认</t>
        </is>
      </c>
    </row>
    <row r="106">
      <c r="A106" s="84" t="inlineStr">
        <is>
          <t>2026-08-08</t>
        </is>
      </c>
      <c r="B106" s="84" t="inlineStr">
        <is>
          <t>002224</t>
        </is>
      </c>
      <c r="C106" s="84" t="inlineStr">
        <is>
          <t>三力士</t>
        </is>
      </c>
      <c r="D106" s="84" t="n">
        <v>3.45</v>
      </c>
      <c r="E106" s="84" t="n">
        <v>0.01755876595366785</v>
      </c>
      <c r="F106" s="84" t="n">
        <v>0.07995671002689854</v>
      </c>
      <c r="G106" s="84" t="inlineStr">
        <is>
          <t>观察池</t>
        </is>
      </c>
      <c r="H106" s="84" t="inlineStr"/>
      <c r="I106" s="84" t="inlineStr"/>
      <c r="J106">
        <f>IFERROR(INDEX($G$2:$G106,MATCH(1,($B$2:$B106=B106)*($A$2:$A106&lt;A106),0)),"")</f>
        <v/>
      </c>
      <c r="K106">
        <f>IF(AND(J106="观察池",G106="核心池"),1,0)</f>
        <v/>
      </c>
      <c r="L106">
        <f>IF(G106&lt;&gt;"核心池",0,IF(J106="核心池",L106+1,1))</f>
        <v/>
      </c>
      <c r="M106" s="84" t="inlineStr"/>
    </row>
    <row r="107">
      <c r="A107" s="84" t="inlineStr">
        <is>
          <t>2026-08-08</t>
        </is>
      </c>
      <c r="B107" s="84" t="inlineStr">
        <is>
          <t>600992</t>
        </is>
      </c>
      <c r="C107" s="84" t="inlineStr">
        <is>
          <t>贵绳股份</t>
        </is>
      </c>
      <c r="D107" s="84" t="n">
        <v>9.06</v>
      </c>
      <c r="E107" s="84" t="n">
        <v>0</v>
      </c>
      <c r="F107" s="84" t="n">
        <v>0.07998350772810529</v>
      </c>
      <c r="G107" s="84" t="inlineStr">
        <is>
          <t>观察池</t>
        </is>
      </c>
      <c r="H107" s="84" t="inlineStr"/>
      <c r="I107" s="84" t="inlineStr"/>
      <c r="J107">
        <f>IFERROR(INDEX($G$2:$G107,MATCH(1,($B$2:$B107=B107)*($A$2:$A107&lt;A107),0)),"")</f>
        <v/>
      </c>
      <c r="K107">
        <f>IF(AND(J107="观察池",G107="核心池"),1,0)</f>
        <v/>
      </c>
      <c r="L107">
        <f>IF(G107&lt;&gt;"核心池",0,IF(J107="核心池",L107+1,1))</f>
        <v/>
      </c>
      <c r="M107" s="84" t="inlineStr"/>
    </row>
    <row r="108">
      <c r="A108" s="84" t="inlineStr">
        <is>
          <t>2026-08-08</t>
        </is>
      </c>
      <c r="B108" s="84" t="inlineStr">
        <is>
          <t>002593</t>
        </is>
      </c>
      <c r="C108" s="84" t="inlineStr">
        <is>
          <t>日上集团</t>
        </is>
      </c>
      <c r="D108" s="84" t="n">
        <v>4.07</v>
      </c>
      <c r="E108" s="84" t="n">
        <v>0.07031279954480187</v>
      </c>
      <c r="F108" s="84" t="n">
        <v>0.07985078720656513</v>
      </c>
      <c r="G108" s="84" t="inlineStr">
        <is>
          <t>观察池</t>
        </is>
      </c>
      <c r="H108" s="84" t="inlineStr"/>
      <c r="I108" s="84" t="inlineStr"/>
      <c r="J108">
        <f>IFERROR(INDEX($G$2:$G108,MATCH(1,($B$2:$B108=B108)*($A$2:$A108&lt;A108),0)),"")</f>
        <v/>
      </c>
      <c r="K108">
        <f>IF(AND(J108="观察池",G108="核心池"),1,0)</f>
        <v/>
      </c>
      <c r="L108">
        <f>IF(G108&lt;&gt;"核心池",0,IF(J108="核心池",L108+1,1))</f>
        <v/>
      </c>
      <c r="M108" s="84" t="inlineStr"/>
    </row>
    <row r="109">
      <c r="A109" s="84" t="inlineStr">
        <is>
          <t>2026-08-08</t>
        </is>
      </c>
      <c r="B109" s="84" t="inlineStr">
        <is>
          <t>002197</t>
        </is>
      </c>
      <c r="C109" s="84" t="inlineStr">
        <is>
          <t>证通电子</t>
        </is>
      </c>
      <c r="D109" s="84" t="n">
        <v>6.88</v>
      </c>
      <c r="E109" s="84" t="n">
        <v>0.08212309278290357</v>
      </c>
      <c r="F109" s="84" t="n">
        <v>0.07956746910123526</v>
      </c>
      <c r="G109" s="84" t="inlineStr">
        <is>
          <t>观察池</t>
        </is>
      </c>
      <c r="H109" s="84" t="inlineStr"/>
      <c r="I109" s="84" t="inlineStr"/>
      <c r="J109">
        <f>IFERROR(INDEX($G$2:$G109,MATCH(1,($B$2:$B109=B109)*($A$2:$A109&lt;A109),0)),"")</f>
        <v/>
      </c>
      <c r="K109">
        <f>IF(AND(J109="观察池",G109="核心池"),1,0)</f>
        <v/>
      </c>
      <c r="L109">
        <f>IF(G109&lt;&gt;"核心池",0,IF(J109="核心池",L109+1,1))</f>
        <v/>
      </c>
      <c r="M109" s="84" t="inlineStr"/>
    </row>
    <row r="110">
      <c r="A110" s="84" t="inlineStr">
        <is>
          <t>2026-08-08</t>
        </is>
      </c>
      <c r="B110" s="84" t="inlineStr">
        <is>
          <t>605116</t>
        </is>
      </c>
      <c r="C110" s="84" t="inlineStr">
        <is>
          <t>奥锐特</t>
        </is>
      </c>
      <c r="D110" s="84" t="n">
        <v>18.74</v>
      </c>
      <c r="E110" s="84" t="n">
        <v>0</v>
      </c>
      <c r="F110" s="84" t="n">
        <v>0</v>
      </c>
      <c r="G110" s="84" t="inlineStr">
        <is>
          <t>观察池</t>
        </is>
      </c>
      <c r="H110" s="84" t="inlineStr"/>
      <c r="I110" s="84" t="inlineStr"/>
      <c r="J110">
        <f>IFERROR(INDEX($G$2:$G110,MATCH(1,($B$2:$B110=B110)*($A$2:$A110&lt;A110),0)),"")</f>
        <v/>
      </c>
      <c r="K110">
        <f>IF(AND(J110="观察池",G110="核心池"),1,0)</f>
        <v/>
      </c>
      <c r="L110">
        <f>IF(G110&lt;&gt;"核心池",0,IF(J110="核心池",L110+1,1))</f>
        <v/>
      </c>
      <c r="M110" s="84" t="inlineStr"/>
    </row>
    <row r="111">
      <c r="A111" s="84" t="inlineStr">
        <is>
          <t>2026-08-08</t>
        </is>
      </c>
      <c r="B111" s="84" t="inlineStr">
        <is>
          <t>605369</t>
        </is>
      </c>
      <c r="C111" s="84" t="inlineStr">
        <is>
          <t>拱东医疗</t>
        </is>
      </c>
      <c r="D111" s="84" t="n">
        <v>15.18</v>
      </c>
      <c r="E111" s="84" t="n">
        <v>0</v>
      </c>
      <c r="F111" s="84" t="n">
        <v>0</v>
      </c>
      <c r="G111" s="84" t="inlineStr">
        <is>
          <t>观察池</t>
        </is>
      </c>
      <c r="H111" s="84" t="inlineStr"/>
      <c r="I111" s="84" t="inlineStr"/>
      <c r="J111">
        <f>IFERROR(INDEX($G$2:$G111,MATCH(1,($B$2:$B111=B111)*($A$2:$A111&lt;A111),0)),"")</f>
        <v/>
      </c>
      <c r="K111">
        <f>IF(AND(J111="观察池",G111="核心池"),1,0)</f>
        <v/>
      </c>
      <c r="L111">
        <f>IF(G111&lt;&gt;"核心池",0,IF(J111="核心池",L111+1,1))</f>
        <v/>
      </c>
      <c r="M111" s="84" t="inlineStr"/>
    </row>
    <row r="112">
      <c r="A112" s="84" t="inlineStr">
        <is>
          <t>2026-08-08</t>
        </is>
      </c>
      <c r="B112" s="84" t="inlineStr">
        <is>
          <t>603055</t>
        </is>
      </c>
      <c r="C112" s="84" t="inlineStr">
        <is>
          <t>台华新材</t>
        </is>
      </c>
      <c r="D112" s="84" t="n">
        <v>8.199999999999999</v>
      </c>
      <c r="E112" s="84" t="n">
        <v>0.5800000773218486</v>
      </c>
      <c r="F112" s="84" t="n">
        <v>0.9692029141731611</v>
      </c>
      <c r="G112" s="84" t="inlineStr">
        <is>
          <t>边缘池</t>
        </is>
      </c>
      <c r="H112" s="84" t="inlineStr"/>
      <c r="I112" s="84" t="inlineStr"/>
      <c r="J112">
        <f>IFERROR(INDEX($G$2:$G112,MATCH(1,($B$2:$B112=B112)*($A$2:$A112&lt;A112),0)),"")</f>
        <v/>
      </c>
      <c r="K112">
        <f>IF(AND(J112="观察池",G112="核心池"),1,0)</f>
        <v/>
      </c>
      <c r="L112">
        <f>IF(G112&lt;&gt;"核心池",0,IF(J112="核心池",L112+1,1))</f>
        <v/>
      </c>
      <c r="M112" s="84" t="inlineStr"/>
    </row>
    <row r="113">
      <c r="A113" s="84" t="inlineStr">
        <is>
          <t>2026-08-08</t>
        </is>
      </c>
      <c r="B113" s="84" t="inlineStr">
        <is>
          <t>002271</t>
        </is>
      </c>
      <c r="C113" s="84" t="inlineStr">
        <is>
          <t>东方雨虹</t>
        </is>
      </c>
      <c r="D113" s="84" t="n">
        <v>11.61</v>
      </c>
      <c r="E113" s="84" t="n">
        <v>0.5189651904064918</v>
      </c>
      <c r="F113" s="84" t="n">
        <v>0.9300927491375288</v>
      </c>
      <c r="G113" s="84" t="inlineStr">
        <is>
          <t>边缘池</t>
        </is>
      </c>
      <c r="H113" s="84" t="inlineStr"/>
      <c r="I113" s="84" t="inlineStr"/>
      <c r="J113">
        <f>IFERROR(INDEX($G$2:$G113,MATCH(1,($B$2:$B113=B113)*($A$2:$A113&lt;A113),0)),"")</f>
        <v/>
      </c>
      <c r="K113">
        <f>IF(AND(J113="观察池",G113="核心池"),1,0)</f>
        <v/>
      </c>
      <c r="L113">
        <f>IF(G113&lt;&gt;"核心池",0,IF(J113="核心池",L113+1,1))</f>
        <v/>
      </c>
      <c r="M113" s="84" t="inlineStr"/>
    </row>
    <row r="114">
      <c r="A114" s="84" t="inlineStr">
        <is>
          <t>2026-08-08</t>
        </is>
      </c>
      <c r="B114" s="84" t="inlineStr">
        <is>
          <t>600011</t>
        </is>
      </c>
      <c r="C114" s="84" t="inlineStr">
        <is>
          <t>华能国际</t>
        </is>
      </c>
      <c r="D114" s="84" t="n">
        <v>6.99</v>
      </c>
      <c r="E114" s="84" t="n">
        <v>0.4775438134598489</v>
      </c>
      <c r="F114" s="84" t="n">
        <v>0.8687648665770276</v>
      </c>
      <c r="G114" s="84" t="inlineStr">
        <is>
          <t>无信号</t>
        </is>
      </c>
      <c r="H114" s="84" t="inlineStr"/>
      <c r="I114" s="84" t="inlineStr"/>
      <c r="J114">
        <f>IFERROR(INDEX($G$2:$G114,MATCH(1,($B$2:$B114=B114)*($A$2:$A114&lt;A114),0)),"")</f>
        <v/>
      </c>
      <c r="K114">
        <f>IF(AND(J114="观察池",G114="核心池"),1,0)</f>
        <v/>
      </c>
      <c r="L114">
        <f>IF(G114&lt;&gt;"核心池",0,IF(J114="核心池",L114+1,1))</f>
        <v/>
      </c>
      <c r="M114" s="84" t="inlineStr"/>
    </row>
    <row r="115">
      <c r="A115" s="84" t="inlineStr">
        <is>
          <t>2026-08-08</t>
        </is>
      </c>
      <c r="B115" s="84" t="inlineStr">
        <is>
          <t>600060</t>
        </is>
      </c>
      <c r="C115" s="84" t="inlineStr">
        <is>
          <t>海信视像</t>
        </is>
      </c>
      <c r="D115" s="84" t="n">
        <v>25.24</v>
      </c>
      <c r="E115" s="84" t="n">
        <v>0.5297642699176471</v>
      </c>
      <c r="F115" s="84" t="n">
        <v>0.8671617003120269</v>
      </c>
      <c r="G115" s="84" t="inlineStr">
        <is>
          <t>无信号</t>
        </is>
      </c>
      <c r="H115" s="84" t="inlineStr"/>
      <c r="I115" s="84" t="inlineStr"/>
      <c r="J115">
        <f>IFERROR(INDEX($G$2:$G115,MATCH(1,($B$2:$B115=B115)*($A$2:$A115&lt;A115),0)),"")</f>
        <v/>
      </c>
      <c r="K115">
        <f>IF(AND(J115="观察池",G115="核心池"),1,0)</f>
        <v/>
      </c>
      <c r="L115">
        <f>IF(G115&lt;&gt;"核心池",0,IF(J115="核心池",L115+1,1))</f>
        <v/>
      </c>
      <c r="M115" s="84" t="inlineStr"/>
    </row>
    <row r="116">
      <c r="A116" s="84" t="inlineStr">
        <is>
          <t>2026-08-08</t>
        </is>
      </c>
      <c r="B116" s="84" t="inlineStr">
        <is>
          <t>600061</t>
        </is>
      </c>
      <c r="C116" s="84" t="inlineStr">
        <is>
          <t>国投资本</t>
        </is>
      </c>
      <c r="D116" s="84" t="n">
        <v>6.4</v>
      </c>
      <c r="E116" s="84" t="n">
        <v>0.5075560806411129</v>
      </c>
      <c r="F116" s="84" t="n">
        <v>0.8183861484009216</v>
      </c>
      <c r="G116" s="84" t="inlineStr">
        <is>
          <t>无信号</t>
        </is>
      </c>
      <c r="H116" s="84" t="inlineStr"/>
      <c r="I116" s="84" t="inlineStr"/>
      <c r="J116">
        <f>IFERROR(INDEX($G$2:$G116,MATCH(1,($B$2:$B116=B116)*($A$2:$A116&lt;A116),0)),"")</f>
        <v/>
      </c>
      <c r="K116">
        <f>IF(AND(J116="观察池",G116="核心池"),1,0)</f>
        <v/>
      </c>
      <c r="L116">
        <f>IF(G116&lt;&gt;"核心池",0,IF(J116="核心池",L116+1,1))</f>
        <v/>
      </c>
      <c r="M116" s="84" t="inlineStr"/>
    </row>
    <row r="117">
      <c r="A117" s="84" t="inlineStr">
        <is>
          <t>2026-08-08</t>
        </is>
      </c>
      <c r="B117" s="84" t="inlineStr">
        <is>
          <t>600153</t>
        </is>
      </c>
      <c r="C117" s="84" t="inlineStr">
        <is>
          <t>建发股份</t>
        </is>
      </c>
      <c r="D117" s="84" t="n">
        <v>8.630000000000001</v>
      </c>
      <c r="E117" s="84" t="n">
        <v>0.5334013698129016</v>
      </c>
      <c r="F117" s="84" t="n">
        <v>0.8076055345002471</v>
      </c>
      <c r="G117" s="84" t="inlineStr">
        <is>
          <t>无信号</t>
        </is>
      </c>
      <c r="H117" s="84" t="inlineStr"/>
      <c r="I117" s="84" t="inlineStr"/>
      <c r="J117">
        <f>IFERROR(INDEX($G$2:$G117,MATCH(1,($B$2:$B117=B117)*($A$2:$A117&lt;A117),0)),"")</f>
        <v/>
      </c>
      <c r="K117">
        <f>IF(AND(J117="观察池",G117="核心池"),1,0)</f>
        <v/>
      </c>
      <c r="L117">
        <f>IF(G117&lt;&gt;"核心池",0,IF(J117="核心池",L117+1,1))</f>
        <v/>
      </c>
      <c r="M117" s="84" t="inlineStr"/>
    </row>
    <row r="118">
      <c r="A118" s="84" t="inlineStr">
        <is>
          <t>2026-08-08</t>
        </is>
      </c>
      <c r="B118" s="84" t="inlineStr">
        <is>
          <t>600138</t>
        </is>
      </c>
      <c r="C118" s="84" t="inlineStr">
        <is>
          <t>中青旅</t>
        </is>
      </c>
      <c r="D118" s="84" t="n">
        <v>7.03</v>
      </c>
      <c r="E118" s="84" t="n">
        <v>0.4746469333841714</v>
      </c>
      <c r="F118" s="84" t="n">
        <v>0.6510848226809427</v>
      </c>
      <c r="G118" s="84" t="inlineStr">
        <is>
          <t>无信号</t>
        </is>
      </c>
      <c r="H118" s="84" t="inlineStr"/>
      <c r="I118" s="84" t="inlineStr"/>
      <c r="J118">
        <f>IFERROR(INDEX($G$2:$G118,MATCH(1,($B$2:$B118=B118)*($A$2:$A118&lt;A118),0)),"")</f>
        <v/>
      </c>
      <c r="K118">
        <f>IF(AND(J118="观察池",G118="核心池"),1,0)</f>
        <v/>
      </c>
      <c r="L118">
        <f>IF(G118&lt;&gt;"核心池",0,IF(J118="核心池",L118+1,1))</f>
        <v/>
      </c>
      <c r="M118" s="84" t="inlineStr"/>
    </row>
    <row r="119">
      <c r="A119" s="84" t="inlineStr">
        <is>
          <t>2026-08-08</t>
        </is>
      </c>
      <c r="B119" s="84" t="inlineStr">
        <is>
          <t>600006</t>
        </is>
      </c>
      <c r="C119" s="84" t="inlineStr">
        <is>
          <t>东风股份</t>
        </is>
      </c>
      <c r="D119" s="84" t="n">
        <v>5.4</v>
      </c>
      <c r="E119" s="84" t="n">
        <v>0.1546920980262822</v>
      </c>
      <c r="F119" s="84" t="n">
        <v>0.07989227935451064</v>
      </c>
      <c r="G119" s="84" t="inlineStr">
        <is>
          <t>无信号</t>
        </is>
      </c>
      <c r="H119" s="84" t="inlineStr"/>
      <c r="I119" s="84" t="inlineStr"/>
      <c r="J119">
        <f>IFERROR(INDEX($G$2:$G119,MATCH(1,($B$2:$B119=B119)*($A$2:$A119&lt;A119),0)),"")</f>
        <v/>
      </c>
      <c r="K119">
        <f>IF(AND(J119="观察池",G119="核心池"),1,0)</f>
        <v/>
      </c>
      <c r="L119">
        <f>IF(G119&lt;&gt;"核心池",0,IF(J119="核心池",L119+1,1))</f>
        <v/>
      </c>
      <c r="M119" s="84" t="inlineStr"/>
    </row>
    <row r="120">
      <c r="A120" s="84" t="inlineStr">
        <is>
          <t>2026-08-08</t>
        </is>
      </c>
      <c r="B120" s="84" t="inlineStr">
        <is>
          <t>002141</t>
        </is>
      </c>
      <c r="C120" s="84" t="inlineStr">
        <is>
          <t>贤丰控股</t>
        </is>
      </c>
      <c r="D120" s="84" t="n">
        <v>6.11</v>
      </c>
      <c r="E120" s="84" t="n">
        <v>0</v>
      </c>
      <c r="F120" s="84" t="n">
        <v>0</v>
      </c>
      <c r="G120" s="84" t="inlineStr">
        <is>
          <t>无信号</t>
        </is>
      </c>
      <c r="H120" s="84" t="inlineStr"/>
      <c r="I120" s="84" t="inlineStr"/>
      <c r="J120">
        <f>IFERROR(INDEX($G$2:$G120,MATCH(1,($B$2:$B120=B120)*($A$2:$A120&lt;A120),0)),"")</f>
        <v/>
      </c>
      <c r="K120">
        <f>IF(AND(J120="观察池",G120="核心池"),1,0)</f>
        <v/>
      </c>
      <c r="L120">
        <f>IF(G120&lt;&gt;"核心池",0,IF(J120="核心池",L120+1,1))</f>
        <v/>
      </c>
      <c r="M120" s="84" t="inlineStr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2026-08-08T15:28:09Z</dcterms:modified>
  <cp:revision>0</cp:revision>
</cp:coreProperties>
</file>