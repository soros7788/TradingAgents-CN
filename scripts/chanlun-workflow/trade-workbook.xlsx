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2"/>
    <sheet name="关键变量表" sheetId="2" state="visible" r:id="rId3"/>
    <sheet name="账户总表" sheetId="3" state="visible" r:id="rId4"/>
    <sheet name="持仓表" sheetId="4" state="visible" r:id="rId5"/>
    <sheet name="候选池" sheetId="5" state="visible" r:id="rId6"/>
    <sheet name="交易记录" sheetId="6" state="visible" r:id="rId7"/>
    <sheet name="心态日志" sheetId="7" state="visible" r:id="rId8"/>
    <sheet name="周复盘" sheetId="8" state="visible" r:id="rId9"/>
    <sheet name="候选池历史" sheetId="9" state="visible" r:id="rId10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<sst xmlns="http://schemas.openxmlformats.org/spreadsheetml/2006/main" count="1405" uniqueCount="763">
  <si>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</si>
  <si>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</si>
  <si>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</si>
  <si>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</si>
  <si>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</si>
  <si>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</si>
  <si>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</si>
  <si>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Noto Sans CJK SC"/>
        <family val="2"/>
      </rPr>
      <t xml:space="preserve">止损检查</t>
    </r>
  </si>
  <si>
    <t xml:space="preserve">东风股份(600006)</t>
  </si>
  <si>
    <r>
      <rPr>
        <sz val="11"/>
        <rFont val="Arial"/>
        <family val="0"/>
        <charset val="1"/>
      </rPr>
      <t xml:space="preserve">WAIVED | </t>
    </r>
    <r>
      <rPr>
        <sz val="11"/>
        <rFont val="Noto Sans CJK SC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Noto Sans CJK SC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Noto Sans CJK SC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</si>
  <si>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t xml:space="preserve">持有(不加不减)</t>
  </si>
  <si>
    <t xml:space="preserve">—</t>
  </si>
  <si>
    <t xml:space="preserve">若跌破5.22立即止损</t>
  </si>
  <si>
    <r>
      <rPr>
        <sz val="11"/>
        <rFont val="Arial"/>
        <family val="0"/>
        <charset val="1"/>
      </rPr>
      <t xml:space="preserve">WAIVED</t>
    </r>
    <r>
      <rPr>
        <sz val="11"/>
        <rFont val="Noto Sans CJK SC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Noto Sans CJK SC"/>
        <family val="2"/>
      </rPr>
      <t xml:space="preserve">远离止损线</t>
    </r>
  </si>
  <si>
    <t xml:space="preserve">贵绳股份(600992)</t>
  </si>
  <si>
    <t xml:space="preserve">现价9.17 vs 止损8.44 | 浮亏-0.01%</t>
  </si>
  <si>
    <t xml:space="preserve">持有观察</t>
  </si>
  <si>
    <t xml:space="preserve">若跌破8.44止损</t>
  </si>
  <si>
    <t xml:space="preserve">接近成本价, 弱势震荡, 关注方向选择</t>
  </si>
  <si>
    <t xml:space="preserve">松芝/三力士/拱东</t>
  </si>
  <si>
    <t xml:space="preserve">三只浮盈标的, 止损均未破</t>
  </si>
  <si>
    <t xml:space="preserve">持有</t>
  </si>
  <si>
    <t xml:space="preserve">松芝+2.7% 三力士+3.1% 拱东+2.9%, 止损线上移保护利润</t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</si>
  <si>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Noto Sans CJK SC"/>
        <family val="2"/>
      </rPr>
      <t xml:space="preserve">卖出信号</t>
    </r>
  </si>
  <si>
    <t xml:space="preserve">今日无持仓标的出现日线卖点</t>
  </si>
  <si>
    <t xml:space="preserve">无操作</t>
  </si>
  <si>
    <t xml:space="preserve">持仓6只均在止损线上方, 无卖出信号</t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</si>
  <si>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Noto Sans CJK SC"/>
        <family val="2"/>
      </rPr>
      <t xml:space="preserve">买入</t>
    </r>
  </si>
  <si>
    <t xml:space="preserve">台华新材(603055)</t>
  </si>
  <si>
    <t xml:space="preserve">核心池 | DL_P=0.96 ratio=19% | 现价¥8.30</t>
  </si>
  <si>
    <t xml:space="preserve">买入100股@8.30</t>
  </si>
  <si>
    <t xml:space="preserve">待委托</t>
  </si>
  <si>
    <t xml:space="preserve">若开盘跌破7.83(买点低点)放弃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</si>
  <si>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Noto Sans CJK SC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Noto Sans CJK SC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Noto Sans CJK SC"/>
        <family val="2"/>
      </rPr>
      <t xml:space="preserve">上限内</t>
    </r>
  </si>
  <si>
    <t xml:space="preserve">日上集团(002593)</t>
  </si>
  <si>
    <t xml:space="preserve">核心池 | DL_P=0.94 ratio=19% | 现价¥4.18</t>
  </si>
  <si>
    <t xml:space="preserve">买入200股@4.18</t>
  </si>
  <si>
    <t xml:space="preserve">若开盘跌破3.96(买点低点)放弃</t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</si>
  <si>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Noto Sans CJK SC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</si>
  <si>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Noto Sans CJK SC"/>
        <family val="2"/>
      </rPr>
      <t xml:space="preserve">持有</t>
    </r>
  </si>
  <si>
    <t xml:space="preserve">拱东医疗(605369)</t>
  </si>
  <si>
    <t xml:space="preserve">浮盈+2.9% | 仓位14.93% | 接近单股上限25%</t>
  </si>
  <si>
    <t xml:space="preserve">持有(不加仓)</t>
  </si>
  <si>
    <t xml:space="preserve">仓位占比最高, 浮盈保护, 止损上移至14.10</t>
  </si>
  <si>
    <t xml:space="preserve">松芝股份(002454)</t>
  </si>
  <si>
    <t xml:space="preserve">浮盈+2.7% | 仓位8.93%</t>
  </si>
  <si>
    <t xml:space="preserve">止损4.227, 现价4.72&gt;止损, 浮盈保护</t>
  </si>
  <si>
    <t xml:space="preserve">三力士(002224)</t>
  </si>
  <si>
    <t xml:space="preserve">浮盈+3.1% | 仓位4.81%</t>
  </si>
  <si>
    <t xml:space="preserve">止损3.024, 现价3.39&gt;止损, 浮盈保护</t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</si>
  <si>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Noto Sans CJK SC"/>
        <family val="2"/>
      </rPr>
      <t xml:space="preserve">资金</t>
    </r>
  </si>
  <si>
    <t xml:space="preserve">买入冻结</t>
  </si>
  <si>
    <t xml:space="preserve">台华¥830 + 日上¥836</t>
  </si>
  <si>
    <t xml:space="preserve">-¥1666</t>
  </si>
  <si>
    <t xml:space="preserve">两笔买入共冻结¥1666</t>
  </si>
  <si>
    <t xml:space="preserve">成交后现金</t>
  </si>
  <si>
    <t xml:space="preserve">13615.56 - 1666</t>
  </si>
  <si>
    <t xml:space="preserve">¥11,949.56</t>
  </si>
  <si>
    <t xml:space="preserve">现金充裕, 保留应急资金</t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</si>
  <si>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Noto Sans CJK SC"/>
        <family val="2"/>
      </rPr>
      <t xml:space="preserve">仓位</t>
    </r>
  </si>
  <si>
    <t xml:space="preserve">成交后仓位</t>
  </si>
  <si>
    <t xml:space="preserve">持仓9193/总资产21142</t>
  </si>
  <si>
    <t xml:space="preserve">43.5%</t>
  </si>
  <si>
    <t xml:space="preserve">加仓后43.5%, 仍在60%上限内, 余量充足</t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</si>
  <si>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Noto Sans CJK SC"/>
        <family val="2"/>
      </rPr>
      <t xml:space="preserve">风控</t>
    </r>
  </si>
  <si>
    <t xml:space="preserve">总仓位上限</t>
  </si>
  <si>
    <t xml:space="preserve">账户阶段=婴儿→幼儿 | 上限60%</t>
  </si>
  <si>
    <t xml:space="preserve">43.5% &lt; 60%</t>
  </si>
  <si>
    <t xml:space="preserve">当前43.5%, 距上限还有16.5%</t>
  </si>
  <si>
    <t xml:space="preserve">单股上限</t>
  </si>
  <si>
    <t xml:space="preserve">25%</t>
  </si>
  <si>
    <t xml:space="preserve">最大持仓: 拱东14.93%, 合规. 加仓后台华3.9% 日上4.0%</t>
  </si>
  <si>
    <t xml:space="preserve">止损纪律</t>
  </si>
  <si>
    <t xml:space="preserve">新买入标的需设止损</t>
  </si>
  <si>
    <t xml:space="preserve">开盘设置</t>
  </si>
  <si>
    <t xml:space="preserve">台华止损7.83(买点低点) | 日上止损3.96(买点低点)</t>
  </si>
  <si>
    <t xml:space="preserve">候选池观察</t>
  </si>
  <si>
    <t xml:space="preserve">观察池+边缘池标的</t>
  </si>
  <si>
    <t xml:space="preserve">仅观察</t>
  </si>
  <si>
    <t xml:space="preserve">平安银行(观察池) DL_P=0.88, 待DL_P升至0.90+升入核心池后考虑</t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</si>
  <si>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</si>
  <si>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</si>
  <si>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</si>
  <si>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</si>
  <si>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</si>
  <si>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</si>
  <si>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</si>
  <si>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t xml:space="preserve">沃华医药(买入200股@6.000)</t>
  </si>
  <si>
    <t xml:space="preserve">沃华医药不在候选池内! 候选池5只: 台华新材/日上集团/丽珠集团/中国平安/平安银行. 未经系统筛选, 无DL_P/ratio数据, 属随意买入.</t>
  </si>
  <si>
    <t xml:space="preserve">不通过</t>
  </si>
  <si>
    <t xml:space="preserve">建议撤单</t>
  </si>
  <si>
    <t xml:space="preserve">高</t>
  </si>
  <si>
    <t xml:space="preserve">⚠️ 违规卖出</t>
  </si>
  <si>
    <t xml:space="preserve">三力士(卖出300股@3.380)</t>
  </si>
  <si>
    <t xml:space="preserve">执行清单计划为"持有", 三力士浮盈+3.14%, 止损3.024未破. 但实际挂了全仓卖出单, 与计划矛盾. 可能是手动操作或误触.</t>
  </si>
  <si>
    <t xml:space="preserve">建议撤单, 除非有明确的日线卖点信号</t>
  </si>
  <si>
    <t xml:space="preserve">中</t>
  </si>
  <si>
    <t xml:space="preserve">✓ 价格合规</t>
  </si>
  <si>
    <t xml:space="preserve">台华新材/日上集团买入价</t>
  </si>
  <si>
    <t xml:space="preserve">计划价8.30/4.18, 实际委托8.32/4.20, 偏差+0.02/+0.02, 在正常盘口范围内.</t>
  </si>
  <si>
    <t xml:space="preserve">通过</t>
  </si>
  <si>
    <t xml:space="preserve">低</t>
  </si>
  <si>
    <t xml:space="preserve">✓ 仓位合规</t>
  </si>
  <si>
    <t xml:space="preserve">总仓位检查</t>
  </si>
  <si>
    <t xml:space="preserve">当前仓位35.6%, 买入委托冻结¥2,872, 若全部成交仓位≈49.2%, 低于60%上限.</t>
  </si>
  <si>
    <t xml:space="preserve">✓ 单股合规</t>
  </si>
  <si>
    <t xml:space="preserve">单股仓位上限</t>
  </si>
  <si>
    <t xml:space="preserve">最大持仓拱东医疗14.93%, 低于25%上限. 其他标的均合规.</t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</si>
  <si>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</si>
  <si>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</si>
  <si>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Noto Sans CJK SC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Noto Sans CJK SC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Noto Sans CJK SC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Noto Sans CJK SC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</si>
  <si>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</si>
  <si>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</si>
  <si>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Noto Sans CJK SC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Noto Sans CJK SC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Noto Sans CJK SC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Noto Sans CJK SC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Noto Sans CJK SC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Noto Sans CJK SC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Noto Sans CJK SC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Noto Sans CJK SC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</si>
  <si>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</si>
  <si>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t xml:space="preserve">三力士可用=0</t>
  </si>
  <si>
    <t xml:space="preserve">三力士持仓300股但可用0, 因挂了卖出300股委托. 撤单后可用恢复.</t>
  </si>
  <si>
    <t xml:space="preserve">撤掉卖出单后恢复可用</t>
  </si>
  <si>
    <t xml:space="preserve">✓ 盈亏合理</t>
  </si>
  <si>
    <t xml:space="preserve">当日盈亏+49.02</t>
  </si>
  <si>
    <t xml:space="preserve">当日盈亏+49.02元(+0.23%), 来自4只浮盈标的的日内涨幅, 金额合理.</t>
  </si>
  <si>
    <t xml:space="preserve">审查结论</t>
  </si>
  <si>
    <t xml:space="preserve">发现2项违规(沃华医药违规买入+三力士违规卖出), 7项合规通过. 建议立即撤掉沃华医药买入单和三力士卖出单.</t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</si>
  <si>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</si>
  <si>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</si>
  <si>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Noto Sans CJK SC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</si>
  <si>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</si>
  <si>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</si>
  <si>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</si>
  <si>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</si>
  <si>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</si>
  <si>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</si>
  <si>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t xml:space="preserve">账户总表!最大回撤</t>
  </si>
  <si>
    <t xml:space="preserve">(TotalAsset-PeakAsset)/PeakAsset</t>
  </si>
  <si>
    <t xml:space="preserve">&lt;=-10%, &lt;=-15%</t>
  </si>
  <si>
    <t xml:space="preserve">降总仓位/禁止新买入</t>
  </si>
  <si>
    <t xml:space="preserve">每日+周复盘</t>
  </si>
  <si>
    <t xml:space="preserve">决定系统是否降速</t>
  </si>
  <si>
    <t xml:space="preserve">单笔止损</t>
  </si>
  <si>
    <t xml:space="preserve">持仓表!止损价</t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</si>
  <si>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</si>
  <si>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</si>
  <si>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</si>
  <si>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</si>
  <si>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</si>
  <si>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</si>
  <si>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t xml:space="preserve">交易记录!结果分类</t>
  </si>
  <si>
    <t xml:space="preserve">近5笔亏损数</t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</si>
  <si>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笔</t>
    </r>
  </si>
  <si>
    <t xml:space="preserve">暂停新开仓5个交易日</t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</si>
  <si>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</si>
  <si>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</si>
  <si>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</si>
  <si>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</si>
  <si>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t xml:space="preserve">账户总表!赚钱效应分数</t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</si>
  <si>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Noto Sans CJK SC"/>
        <family val="2"/>
      </rPr>
      <t xml:space="preserve">分</t>
    </r>
  </si>
  <si>
    <t xml:space="preserve">&gt;=3</t>
  </si>
  <si>
    <t xml:space="preserve">允许转入/扩大执行</t>
  </si>
  <si>
    <t xml:space="preserve">周末</t>
  </si>
  <si>
    <t xml:space="preserve">强时按系数放大转入</t>
  </si>
  <si>
    <t xml:space="preserve">合规候选数量</t>
  </si>
  <si>
    <t xml:space="preserve">候选池!最终是否可买</t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</si>
  <si>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Noto Sans CJK SC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</si>
  <si>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</si>
  <si>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</si>
  <si>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t xml:space="preserve">周末+盘前</t>
  </si>
  <si>
    <t xml:space="preserve">只统计规则通过标的</t>
  </si>
  <si>
    <t xml:space="preserve">收缩变量</t>
  </si>
  <si>
    <t xml:space="preserve">亏钱效应分数</t>
  </si>
  <si>
    <t xml:space="preserve">账户总表!亏钱效应分数</t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</si>
  <si>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</si>
  <si>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Noto Sans CJK SC"/>
        <family val="2"/>
      </rPr>
      <t xml:space="preserve">防守</t>
    </r>
  </si>
  <si>
    <t xml:space="preserve">暂停转入/提高现金</t>
  </si>
  <si>
    <t xml:space="preserve">每日+周末</t>
  </si>
  <si>
    <t xml:space="preserve">优先级高于赚钱效应</t>
  </si>
  <si>
    <t xml:space="preserve">RiskWatch</t>
  </si>
  <si>
    <t xml:space="preserve">持仓表!RiskWatch</t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</si>
  <si>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</si>
  <si>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</si>
  <si>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</si>
  <si>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</si>
  <si>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</si>
  <si>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</si>
  <si>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t xml:space="preserve">账户总表!总仓位上限</t>
  </si>
  <si>
    <t xml:space="preserve">市场状态+信号等级+回撤保护</t>
  </si>
  <si>
    <t xml:space="preserve">最高70%</t>
  </si>
  <si>
    <t xml:space="preserve">限制新增买入</t>
  </si>
  <si>
    <t xml:space="preserve">周一盘前</t>
  </si>
  <si>
    <t xml:space="preserve">硬性仓位上限</t>
  </si>
  <si>
    <t xml:space="preserve">SingleStockCap</t>
  </si>
  <si>
    <t xml:space="preserve">账户总表!单股上限</t>
  </si>
  <si>
    <t xml:space="preserve">按总资产分档</t>
  </si>
  <si>
    <t xml:space="preserve">20%-35%</t>
  </si>
  <si>
    <t xml:space="preserve">限制单票暴露</t>
  </si>
  <si>
    <t xml:space="preserve">非WAIVED适用</t>
  </si>
  <si>
    <t xml:space="preserve">MaxShares/MinShares</t>
  </si>
  <si>
    <t xml:space="preserve">候选池!最大/最小可买股数</t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</si>
  <si>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Noto Sans CJK SC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</si>
  <si>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</si>
  <si>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</si>
  <si>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</si>
  <si>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Noto Sans CJK SC"/>
        <family val="2"/>
      </rPr>
      <t xml:space="preserve">股最小单位适配</t>
    </r>
  </si>
  <si>
    <t xml:space="preserve">执行变量</t>
  </si>
  <si>
    <t xml:space="preserve">NotChasing</t>
  </si>
  <si>
    <t xml:space="preserve">候选池!是否未追价</t>
  </si>
  <si>
    <t xml:space="preserve">Price&lt;=SignalPrice*1.02</t>
  </si>
  <si>
    <t xml:space="preserve">是</t>
  </si>
  <si>
    <t xml:space="preserve">禁止情绪追价</t>
  </si>
  <si>
    <t xml:space="preserve">盘前+盘中</t>
  </si>
  <si>
    <t xml:space="preserve">高开无回踩不买</t>
  </si>
  <si>
    <t xml:space="preserve">StopDefined</t>
  </si>
  <si>
    <t xml:space="preserve">候选池!止损价</t>
  </si>
  <si>
    <t xml:space="preserve">StopPrice&gt;0</t>
  </si>
  <si>
    <t xml:space="preserve">买入资格前提</t>
  </si>
  <si>
    <t xml:space="preserve">没有止损不买</t>
  </si>
  <si>
    <t xml:space="preserve">Buy</t>
  </si>
  <si>
    <t xml:space="preserve">多条件AND</t>
  </si>
  <si>
    <t xml:space="preserve">允许下单</t>
  </si>
  <si>
    <t xml:space="preserve">盘中只看是/否</t>
  </si>
  <si>
    <t xml:space="preserve">复利变量</t>
  </si>
  <si>
    <t xml:space="preserve">初始本金</t>
  </si>
  <si>
    <t xml:space="preserve">账户总表!初始本金</t>
  </si>
  <si>
    <t xml:space="preserve">手工输入</t>
  </si>
  <si>
    <t xml:space="preserve">&gt;0</t>
  </si>
  <si>
    <t xml:space="preserve">复利基准</t>
  </si>
  <si>
    <t xml:space="preserve">首次入金时</t>
  </si>
  <si>
    <t xml:space="preserve">只在AA2输入一次</t>
  </si>
  <si>
    <t xml:space="preserve">目标年化收益率</t>
  </si>
  <si>
    <t xml:space="preserve">账户总表!目标年化收益率</t>
  </si>
  <si>
    <t xml:space="preserve">手工输入(默认30%)</t>
  </si>
  <si>
    <t xml:space="preserve">0-100%</t>
  </si>
  <si>
    <t xml:space="preserve">复利目标</t>
  </si>
  <si>
    <t xml:space="preserve">可根据阶段调整</t>
  </si>
  <si>
    <t xml:space="preserve">目标超额转出比例</t>
  </si>
  <si>
    <t xml:space="preserve">账户总表!Y列转出系数</t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</si>
  <si>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Noto Sans CJK SC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Noto Sans CJK SC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</si>
  <si>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</si>
  <si>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</si>
  <si>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</si>
  <si>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</si>
  <si>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t xml:space="preserve">账户总表!复利偏离度</t>
  </si>
  <si>
    <t xml:space="preserve">总资产/目标资产-1</t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</si>
  <si>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Noto Sans CJK SC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Noto Sans CJK SC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Noto Sans CJK SC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Noto Sans CJK SC"/>
        <family val="2"/>
      </rPr>
      <t xml:space="preserve">红</t>
    </r>
  </si>
  <si>
    <t xml:space="preserve">目标进度指示</t>
  </si>
  <si>
    <t xml:space="preserve">绿=跑赢 红=落后</t>
  </si>
  <si>
    <t xml:space="preserve">心态变量</t>
  </si>
  <si>
    <t xml:space="preserve">心态得分</t>
  </si>
  <si>
    <t xml:space="preserve">心态日志!心态得分</t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</si>
  <si>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Noto Sans CJK SC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Noto Sans CJK SC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</si>
  <si>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Noto Sans CJK SC"/>
        <family val="2"/>
      </rPr>
      <t xml:space="preserve">达标</t>
    </r>
  </si>
  <si>
    <t xml:space="preserve">达标=轻态化执行好</t>
  </si>
  <si>
    <t xml:space="preserve">第四角指标</t>
  </si>
  <si>
    <t xml:space="preserve">轻态化达标</t>
  </si>
  <si>
    <t xml:space="preserve">心态日志!轻态化达标</t>
  </si>
  <si>
    <t xml:space="preserve">得分&gt;=80%</t>
  </si>
  <si>
    <t xml:space="preserve">达标天数/总天数</t>
  </si>
  <si>
    <t xml:space="preserve">不达标需复盘原因</t>
  </si>
  <si>
    <t xml:space="preserve">每周</t>
  </si>
  <si>
    <t xml:space="preserve">趋势跟踪</t>
  </si>
  <si>
    <t xml:space="preserve">连续达标天数</t>
  </si>
  <si>
    <t xml:space="preserve">心态日志!连续达标天数</t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</si>
  <si>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</si>
  <si>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Noto Sans CJK SC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</si>
  <si>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</si>
  <si>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</si>
  <si>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</si>
  <si>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t xml:space="preserve">心态日志!盘中看盘次数</t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</si>
  <si>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</si>
  <si>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Noto Sans CJK SC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满分</t>
    </r>
  </si>
  <si>
    <t xml:space="preserve">目标逐步降至0次</t>
  </si>
  <si>
    <t xml:space="preserve">信息节食核心指标</t>
  </si>
  <si>
    <t xml:space="preserve">日期</t>
  </si>
  <si>
    <t xml:space="preserve">总资产 TotalAsset</t>
  </si>
  <si>
    <t xml:space="preserve">可用现金 CashAvailable</t>
  </si>
  <si>
    <t xml:space="preserve">持仓市值</t>
  </si>
  <si>
    <t xml:space="preserve">总仓位 TotalPositionRatio</t>
  </si>
  <si>
    <t xml:space="preserve">净入金 NetDeposit</t>
  </si>
  <si>
    <t xml:space="preserve">阶段高点资产 PeakAsset</t>
  </si>
  <si>
    <t xml:space="preserve">账户收益率 AccountReturn</t>
  </si>
  <si>
    <t xml:space="preserve">最大回撤 MaxDrawdown</t>
  </si>
  <si>
    <t xml:space="preserve">当前市场状态 MarketState</t>
  </si>
  <si>
    <t xml:space="preserve">本周最高信号等级</t>
  </si>
  <si>
    <t xml:space="preserve">总仓位上限 TotalPositionCap</t>
  </si>
  <si>
    <t xml:space="preserve">单股上限 SingleStockCap</t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</si>
  <si>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</si>
  <si>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</si>
  <si>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</si>
  <si>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</si>
  <si>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</si>
  <si>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</si>
  <si>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</si>
  <si>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</si>
  <si>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</si>
  <si>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</si>
  <si>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t xml:space="preserve">初始本金 Principal</t>
  </si>
  <si>
    <t xml:space="preserve">目标年化收益率 TargetAnnualReturn</t>
  </si>
  <si>
    <t xml:space="preserve">运行月数 MonthsRunning</t>
  </si>
  <si>
    <t xml:space="preserve">目标资产 TargetAsset</t>
  </si>
  <si>
    <t xml:space="preserve">复利偏离度 CompoundDeviation</t>
  </si>
  <si>
    <t xml:space="preserve">交易股票数 TradeCount</t>
  </si>
  <si>
    <t xml:space="preserve">账户阶段</t>
  </si>
  <si>
    <t xml:space="preserve">平均仓位 AvgPosition</t>
  </si>
  <si>
    <t xml:space="preserve">平均持仓天数 AvgHoldDays</t>
  </si>
  <si>
    <t xml:space="preserve">交易成功率 SuccessRate</t>
  </si>
  <si>
    <t xml:space="preserve">资金周转率 CapitalTurnover</t>
  </si>
  <si>
    <t xml:space="preserve">做T次数 T0Count</t>
  </si>
  <si>
    <t xml:space="preserve">做T成功率 T0SuccessRate</t>
  </si>
  <si>
    <t xml:space="preserve">重仓行业 HeavySector</t>
  </si>
  <si>
    <t xml:space="preserve">投资风格 Style</t>
  </si>
  <si>
    <t xml:space="preserve">跑赢上证 BeatIndex</t>
  </si>
  <si>
    <t xml:space="preserve">净入金后累计盈利 RealPnL</t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</si>
  <si>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</si>
  <si>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</si>
  <si>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</si>
  <si>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</si>
  <si>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</si>
  <si>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</si>
  <si>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</si>
  <si>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</si>
  <si>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</si>
  <si>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</si>
  <si>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</si>
  <si>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</si>
  <si>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</si>
  <si>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</si>
  <si>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</si>
  <si>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</si>
  <si>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</si>
  <si>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</si>
  <si>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</si>
  <si>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</si>
  <si>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</si>
  <si>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</si>
  <si>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</si>
  <si>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</si>
  <si>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</si>
  <si>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</si>
  <si>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</si>
  <si>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Noto Sans CJK SC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Noto Sans CJK SC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Noto Sans CJK SC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</si>
  <si>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</si>
  <si>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</si>
  <si>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</si>
  <si>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t xml:space="preserve">合规审查: 2项违规(沃华医药违规买入+三力士违规卖出), 建议撤单</t>
  </si>
  <si>
    <t xml:space="preserve">当日盈亏: -82.22</t>
  </si>
  <si>
    <t xml:space="preserve">正常</t>
  </si>
  <si>
    <t xml:space="preserve">股票名称</t>
  </si>
  <si>
    <t xml:space="preserve">代码</t>
  </si>
  <si>
    <t xml:space="preserve">是否WAIVED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</si>
  <si>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基准价</t>
    </r>
  </si>
  <si>
    <t xml:space="preserve">买入日期</t>
  </si>
  <si>
    <t xml:space="preserve">持股数量 Shares</t>
  </si>
  <si>
    <t xml:space="preserve">持仓均价 EntryPrice</t>
  </si>
  <si>
    <t xml:space="preserve">当前价 Close</t>
  </si>
  <si>
    <t xml:space="preserve">成本金额</t>
  </si>
  <si>
    <t xml:space="preserve">浮盈亏金额</t>
  </si>
  <si>
    <t xml:space="preserve">浮盈亏比 ProfitRatio</t>
  </si>
  <si>
    <t xml:space="preserve">持仓占比 PositionRatio</t>
  </si>
  <si>
    <t xml:space="preserve">买点低点 BuyPointLow</t>
  </si>
  <si>
    <t xml:space="preserve">止损价 StopPrice</t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</si>
  <si>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</si>
  <si>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</si>
  <si>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</si>
  <si>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</si>
  <si>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</si>
  <si>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</si>
  <si>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</si>
  <si>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</si>
  <si>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</si>
  <si>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</si>
  <si>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</si>
  <si>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</si>
  <si>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</si>
  <si>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</si>
  <si>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</si>
  <si>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Noto Sans CJK SC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</si>
  <si>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</si>
  <si>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</si>
  <si>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</si>
  <si>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</si>
  <si>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</si>
  <si>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</si>
  <si>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</si>
  <si>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</si>
  <si>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</si>
  <si>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</si>
  <si>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</si>
  <si>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</si>
  <si>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</si>
  <si>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</si>
  <si>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</si>
  <si>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</si>
  <si>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</si>
  <si>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</si>
  <si>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</si>
  <si>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</si>
  <si>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</si>
  <si>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</si>
  <si>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</si>
  <si>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</si>
  <si>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</si>
  <si>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</si>
  <si>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</si>
  <si>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</si>
  <si>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</si>
  <si>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</si>
  <si>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</si>
  <si>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</si>
  <si>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</si>
  <si>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</si>
  <si>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</si>
  <si>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</si>
  <si>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t xml:space="preserve">当前价 Price</t>
  </si>
  <si>
    <t xml:space="preserve">信号价 SignalPrice</t>
  </si>
  <si>
    <t xml:space="preserve">分层Tier</t>
  </si>
  <si>
    <t xml:space="preserve">是否确认信号 ConfirmedSignal</t>
  </si>
  <si>
    <t xml:space="preserve">是否未追价 NotChasing</t>
  </si>
  <si>
    <t xml:space="preserve">最大持仓金额 MaxPositionValue</t>
  </si>
  <si>
    <t xml:space="preserve">理论最大股数 RawShares</t>
  </si>
  <si>
    <t xml:space="preserve">最大可买股数 MaxShares</t>
  </si>
  <si>
    <t xml:space="preserve">最小可买股数 MinShares</t>
  </si>
  <si>
    <t xml:space="preserve">计划买入股数 BuyShares</t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</si>
  <si>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</si>
  <si>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</si>
  <si>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</si>
  <si>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</si>
  <si>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t xml:space="preserve">失效条件 InvalidationCondition</t>
  </si>
  <si>
    <t xml:space="preserve">是否需要转入</t>
  </si>
  <si>
    <t xml:space="preserve">最低转入金额</t>
  </si>
  <si>
    <t xml:space="preserve">建议转入金额</t>
  </si>
  <si>
    <t xml:space="preserve">最终是否可买 Buy</t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</si>
  <si>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</si>
  <si>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</si>
  <si>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Noto Sans CJK SC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</si>
  <si>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</si>
  <si>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</si>
  <si>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</si>
  <si>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</si>
  <si>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</si>
  <si>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t xml:space="preserve">买入1手后仓位</t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</si>
  <si>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</si>
  <si>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</si>
  <si>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</si>
  <si>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</si>
  <si>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</si>
  <si>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</si>
  <si>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</si>
  <si>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一买</t>
  </si>
  <si>
    <t xml:space="preserve">梦百合</t>
  </si>
  <si>
    <t xml:space="preserve">603313</t>
  </si>
  <si>
    <t xml:space="preserve">皇氏集团</t>
  </si>
  <si>
    <t xml:space="preserve">002329</t>
  </si>
  <si>
    <t xml:space="preserve">证通电子</t>
  </si>
  <si>
    <t xml:space="preserve">002197</t>
  </si>
  <si>
    <t xml:space="preserve">欢瑞世纪</t>
  </si>
  <si>
    <t xml:space="preserve">000892</t>
  </si>
  <si>
    <t xml:space="preserve">天安新材</t>
  </si>
  <si>
    <t xml:space="preserve">603725</t>
  </si>
  <si>
    <t xml:space="preserve">华旺科技</t>
  </si>
  <si>
    <t xml:space="preserve">605377</t>
  </si>
  <si>
    <t xml:space="preserve">皮阿诺</t>
  </si>
  <si>
    <t xml:space="preserve">002853</t>
  </si>
  <si>
    <t xml:space="preserve">海鸥住工</t>
  </si>
  <si>
    <t xml:space="preserve">002084</t>
  </si>
  <si>
    <t xml:space="preserve">韶能股份</t>
  </si>
  <si>
    <t xml:space="preserve">000601</t>
  </si>
  <si>
    <t xml:space="preserve">润都股份</t>
  </si>
  <si>
    <t xml:space="preserve">002923</t>
  </si>
  <si>
    <t xml:space="preserve">九安医疗</t>
  </si>
  <si>
    <t xml:space="preserve">002432</t>
  </si>
  <si>
    <t xml:space="preserve">中兴通讯</t>
  </si>
  <si>
    <t xml:space="preserve">000063</t>
  </si>
  <si>
    <t xml:space="preserve">嘉麟杰</t>
  </si>
  <si>
    <t xml:space="preserve">002486</t>
  </si>
  <si>
    <t xml:space="preserve">林州重机</t>
  </si>
  <si>
    <t xml:space="preserve">002535</t>
  </si>
  <si>
    <t xml:space="preserve">绿康生化</t>
  </si>
  <si>
    <t xml:space="preserve">002868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</si>
  <si>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</si>
  <si>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</si>
  <si>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</si>
  <si>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</si>
  <si>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</si>
  <si>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</si>
  <si>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</si>
  <si>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</si>
  <si>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</si>
  <si>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</si>
  <si>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</si>
  <si>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</si>
  <si>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</si>
  <si>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</si>
  <si>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</si>
  <si>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</si>
  <si>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</si>
  <si>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</si>
  <si>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</si>
  <si>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</si>
  <si>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Noto Sans CJK SC"/>
        <family val="2"/>
      </rPr>
      <t xml:space="preserve">倍数</t>
    </r>
  </si>
  <si>
    <t xml:space="preserve">累计R</t>
  </si>
  <si>
    <t xml:space="preserve">连胜/连亏</t>
  </si>
  <si>
    <t xml:space="preserve">最大回撤(%)</t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</si>
  <si>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</si>
  <si>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</si>
  <si>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</si>
  <si>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</si>
  <si>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</si>
  <si>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</si>
  <si>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</si>
  <si>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</si>
  <si>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</si>
  <si>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</si>
  <si>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</si>
  <si>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t xml:space="preserve">缠论30min一卖/止损</t>
  </si>
  <si>
    <t xml:space="preserve">2026-01-28</t>
  </si>
  <si>
    <t xml:space="preserve">缠论日线一卖/止盈+45%</t>
  </si>
  <si>
    <t xml:space="preserve">2026-02-03</t>
  </si>
  <si>
    <t xml:space="preserve">沪电股份</t>
  </si>
  <si>
    <t xml:space="preserve">002463</t>
  </si>
  <si>
    <t xml:space="preserve">缠论日线一买(电子PCB)</t>
  </si>
  <si>
    <t xml:space="preserve">2026-03-05</t>
  </si>
  <si>
    <t xml:space="preserve">做T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</si>
  <si>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</si>
  <si>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Noto Sans CJK SC"/>
        <family val="2"/>
      </rPr>
      <t xml:space="preserve">一买回补</t>
    </r>
  </si>
  <si>
    <t xml:space="preserve">2026-03-18</t>
  </si>
  <si>
    <t xml:space="preserve">2026-04-08</t>
  </si>
  <si>
    <t xml:space="preserve">缠论日线一卖/止盈+29%</t>
  </si>
  <si>
    <t xml:space="preserve">2026-04-15</t>
  </si>
  <si>
    <t xml:space="preserve">长江电力</t>
  </si>
  <si>
    <t xml:space="preserve">600900</t>
  </si>
  <si>
    <t xml:space="preserve">缠论日线一买(电力公用)</t>
  </si>
  <si>
    <t xml:space="preserve">2026-04-22</t>
  </si>
  <si>
    <t xml:space="preserve">缠论30min一买</t>
  </si>
  <si>
    <t xml:space="preserve">2026-05-20</t>
  </si>
  <si>
    <t xml:space="preserve">缠论30min一卖/止损-2%</t>
  </si>
  <si>
    <t xml:space="preserve">2026-06-12</t>
  </si>
  <si>
    <t xml:space="preserve">缠论日线一卖/止盈+1.4%</t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</si>
  <si>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</si>
  <si>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</si>
  <si>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</si>
  <si>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</si>
  <si>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</si>
  <si>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一买加仓</t>
    </r>
  </si>
  <si>
    <t xml:space="preserve">2026-07-19</t>
  </si>
  <si>
    <t xml:space="preserve">缠论日+30min共振一买</t>
  </si>
  <si>
    <t xml:space="preserve">2026-03-20</t>
  </si>
  <si>
    <t xml:space="preserve">分红</t>
  </si>
  <si>
    <t xml:space="preserve">现金分红</t>
  </si>
  <si>
    <t xml:space="preserve">系统健康度仪表盘</t>
  </si>
  <si>
    <t xml:space="preserve">总交易次数(不含分红)</t>
  </si>
  <si>
    <t xml:space="preserve">卖出次数</t>
  </si>
  <si>
    <t xml:space="preserve">盈利次数(R&gt;0)</t>
  </si>
  <si>
    <t xml:space="preserve">亏损次数(R&lt;0)</t>
  </si>
  <si>
    <t xml:space="preserve">胜率</t>
  </si>
  <si>
    <t xml:space="preserve">平均R倍数</t>
  </si>
  <si>
    <t xml:space="preserve">总R倍数</t>
  </si>
  <si>
    <t xml:space="preserve">最大单笔R</t>
  </si>
  <si>
    <t xml:space="preserve">最大单笔亏损R</t>
  </si>
  <si>
    <t xml:space="preserve">最大连续盈利(笔)</t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</si>
  <si>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Noto Sans CJK SC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</si>
  <si>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t xml:space="preserve">最大连续亏损(笔)</t>
  </si>
  <si>
    <t xml:space="preserve">累计R最大回撤</t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</si>
  <si>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</si>
  <si>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</si>
  <si>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</si>
  <si>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</si>
  <si>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</si>
  <si>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Noto Sans CJK SC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Noto Sans CJK SC"/>
        <family val="2"/>
      </rPr>
      <t xml:space="preserve">超限</t>
    </r>
  </si>
  <si>
    <t xml:space="preserve">盈利+774元</t>
  </si>
  <si>
    <t xml:space="preserve">日线一买确认</t>
  </si>
  <si>
    <t xml:space="preserve">破止损</t>
  </si>
  <si>
    <t xml:space="preserve">日线ratio=3.7% DL_P=0.70 valid</t>
  </si>
  <si>
    <t xml:space="preserve">持仓中</t>
  </si>
  <si>
    <t xml:space="preserve">日线ratio=5.7% DL_P=0.70 valid</t>
  </si>
  <si>
    <t xml:space="preserve">合规(已减量)</t>
  </si>
  <si>
    <t xml:space="preserve">日线ratio=9.7% 原挂2100股减至500股</t>
  </si>
  <si>
    <t xml:space="preserve">日线ratio=2.7% DL_P=0.70 全买点</t>
  </si>
  <si>
    <t xml:space="preserve">日线ratio=12.1% 三级全买点</t>
  </si>
  <si>
    <t xml:space="preserve">2026-07-29</t>
  </si>
  <si>
    <t xml:space="preserve">⚠️ 合规审查</t>
  </si>
  <si>
    <t xml:space="preserve">违规标注</t>
  </si>
  <si>
    <t xml:space="preserve">沃华医药买入+三力士卖出 均建议撤单</t>
  </si>
  <si>
    <t xml:space="preserve">⚠️违规买入</t>
  </si>
  <si>
    <t xml:space="preserve">不在候选池内, 未经系统筛选</t>
  </si>
  <si>
    <t xml:space="preserve">⚠️违规卖出</t>
  </si>
  <si>
    <t xml:space="preserve">计划持有但挂全仓卖出单</t>
  </si>
  <si>
    <t xml:space="preserve">建议撤单, 除非有日线卖点信号</t>
  </si>
  <si>
    <t xml:space="preserve">去弱留强</t>
  </si>
  <si>
    <t xml:space="preserve">去弱留强减仓，保留100股</t>
  </si>
  <si>
    <t xml:space="preserve">二买信号</t>
  </si>
  <si>
    <t xml:space="preserve">二买信号确认加仓(30min EP=0.60 DL_P=0.93)</t>
  </si>
  <si>
    <t xml:space="preserve">一卖信号</t>
  </si>
  <si>
    <t xml:space="preserve">30min一卖信号确认，清仓剩余100股</t>
  </si>
  <si>
    <t xml:space="preserve">DL_P弱信号，清仓剩余100股</t>
  </si>
  <si>
    <t xml:space="preserve">二买确认加仓100股</t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</si>
  <si>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</si>
  <si>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Noto Sans CJK SC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Noto Sans CJK SC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</si>
  <si>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</si>
  <si>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</si>
  <si>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</si>
  <si>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t xml:space="preserve">情绪状态(1-5)</t>
  </si>
  <si>
    <t xml:space="preserve">是否有止损外操作</t>
  </si>
  <si>
    <t xml:space="preserve">当日交易次数</t>
  </si>
  <si>
    <t xml:space="preserve">当日系统判定(全部合规)</t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</si>
  <si>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</si>
  <si>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</si>
  <si>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</si>
  <si>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</si>
  <si>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</si>
  <si>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</si>
  <si>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</si>
  <si>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t xml:space="preserve">曲美家居原挂2100股(33%仓位)超限,减至500股后合规</t>
  </si>
  <si>
    <t xml:space="preserve">普跌日执行6笔交易,卖超限万华回收资金,建仓4只多级别买点标的。大盘1min买点ratio=55%未确认,属正常回调。严格执行仓位管理,未追涨未恐慌卖出。</t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</si>
  <si>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</si>
  <si>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</si>
  <si>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</si>
  <si>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</si>
  <si>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</si>
  <si>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</si>
  <si>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</si>
  <si>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</si>
  <si>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</si>
  <si>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t xml:space="preserve">平均看盘次数/天</t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</si>
  <si>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</si>
  <si>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</si>
  <si>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</si>
  <si>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</si>
  <si>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</si>
  <si>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</si>
  <si>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Noto Sans CJK SC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</si>
  <si>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</si>
  <si>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Noto Sans CJK SC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Noto Sans CJK SC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</si>
  <si>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Noto Sans CJK SC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Noto Sans CJK SC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Noto Sans CJK SC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Noto Sans CJK SC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Noto Sans CJK SC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Noto Sans CJK SC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</si>
  <si>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或超出仓位上限买入。</t>
    </r>
  </si>
  <si>
    <t xml:space="preserve">工作流截图: 每日收盘后1次账户总览+持仓明细截图,属于必要工作流,不计入B列。</t>
  </si>
  <si>
    <t xml:space="preserve">发现2项违规: 沃华医药不在候选池(买入), 三力士违背计划(卖出). 7项合规通过.</t>
  </si>
  <si>
    <t xml:space="preserve">沃华医药撤单; 三力士卖出单撤单; 严格执行候选池纪律, 不买未经扫描的标的</t>
  </si>
  <si>
    <t xml:space="preserve">警惕盘前随意挂单的冲动, 所有买入必须来自候选池, 所有卖出必须有日线卖点信号</t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</si>
  <si>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项违规</t>
    </r>
  </si>
  <si>
    <t xml:space="preserve">沃华医药违规买入+三力士违规卖出, 需严格执行系统信号</t>
  </si>
  <si>
    <t xml:space="preserve">严格执行候选池信号, 不在候选池内的不买; 计划持有的不随意卖出</t>
  </si>
  <si>
    <t xml:space="preserve">收盘更新</t>
  </si>
  <si>
    <t xml:space="preserve">收盘更新，T+1全部解锁。松芝浮盈突破5%阈值。东风股份止损清仓待执行。沃华医药二买信号待确认。</t>
  </si>
  <si>
    <t xml:space="preserve">达标</t>
  </si>
  <si>
    <t xml:space="preserve">执行去弱留强: 清仓三力士(卖点)+拱东(弱信号)，加仓贵绳(二买确认)+沃华。持仓8→6只，仓位37%。心态平稳，纪律执行到位。</t>
  </si>
  <si>
    <t xml:space="preserve">2026-07-30 16:47</t>
  </si>
  <si>
    <t xml:space="preserve">一买低点风控修复验证</t>
  </si>
  <si>
    <t xml:space="preserve">修复3个BUG: 1)去弱留强评分增加一买低点风险惩罚(破位score=0,&lt;3%乘0.4); 2)check_sell_compliance增加破一买低允许减仓(不受DL_P&gt;0.8限制); 3)去弱留强分割逻辑: 破位股强制进入sell_list. 贵绳离一买低8.69仅2.9%→高风险,不加仓. 东风/三力士/拱东已破位→明日P0清仓.</t>
  </si>
  <si>
    <t xml:space="preserve">严守一买低止损线, EP_L是快照不预测未来</t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</si>
  <si>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Noto Sans CJK SC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Noto Sans CJK SC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Noto Sans CJK SC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Noto Sans CJK SC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</si>
  <si>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t xml:space="preserve">贵绳从高风险(+2.9%)反弹到安全(+7.0%), 一买低风控验证有效. 松芝更危险(离一买低仅+1.9%), 需密切关注. 沃华评分最高(0.7783), 一买低5.60距离+8.0%安全. 台华DL_P=0.00异常持续. 东风破位加深(-9.9%), 必须立即清仓. 去弱留强排名: 沃华&gt;贵绳&gt;日上&gt;松芝&gt;台华&gt;东风.</t>
  </si>
  <si>
    <t xml:space="preserve">东风连续3天未清=纪律执行失败, 今日必须完成</t>
  </si>
  <si>
    <t xml:space="preserve">卖出三力士(破一买低)+拱东医疗(去弱留强); 东风P0仍未执行(连续4天); 沃华/贵绳加仓后浮盈转正</t>
  </si>
  <si>
    <t xml:space="preserve">周末复盘</t>
  </si>
  <si>
    <t xml:space="preserve">[trae] 周末复盘 2026-08-02 | 总资产¥21370.80 仓位37.4% | 持仓6只: 贵绳+1.6% 沃华+1.3% 台华+3.6% 日上+1.8% 东风-34.6% 松芝+28.6% | 东风股份P0清仓仍未执行, 连续多日破一买低点, 浮亏-301元 | 松芝浮盈最高+108元(28.6%), 但数量仅100股 | 整体浮亏-74元, 若剔除东风则+227元 | 周一必须执行: 1.东风股份P0清仓 2.评估去弱留强 3.关注松芝是否达到止盈区间 | 教训: 止损纪律执行拖延是最大问题, 必须无条件执行P0级清仓</t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</si>
  <si>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</si>
  <si>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Noto Sans CJK SC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Noto Sans CJK SC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Noto Sans CJK SC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Noto Sans CJK SC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Noto Sans CJK SC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Noto Sans CJK SC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Noto Sans CJK SC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Noto Sans CJK SC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Noto Sans CJK SC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Noto Sans CJK SC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Noto Sans CJK SC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Noto Sans CJK SC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Noto Sans CJK SC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Noto Sans CJK SC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Noto Sans CJK SC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Noto Sans CJK SC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Noto Sans CJK SC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Noto Sans CJK SC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Noto Sans CJK SC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Noto Sans CJK SC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Noto Sans CJK SC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Noto Sans CJK SC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</si>
  <si>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</si>
  <si>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</si>
  <si>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</si>
  <si>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</si>
  <si>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</si>
  <si>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</si>
  <si>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</si>
  <si>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Noto Sans CJK SC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</si>
  <si>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Noto Sans CJK SC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</si>
  <si>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</si>
  <si>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</si>
  <si>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</si>
  <si>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</si>
  <si>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</si>
  <si>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</si>
  <si>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</si>
  <si>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</si>
  <si>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</si>
  <si>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</si>
  <si>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</si>
  <si>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</si>
  <si>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</si>
  <si>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</si>
  <si>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</si>
  <si>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t xml:space="preserve">当下正期望R值</t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</si>
  <si>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</si>
  <si>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</si>
  <si>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</si>
  <si>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</si>
  <si>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t xml:space="preserve">做T统计</t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</si>
  <si>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</si>
  <si>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</si>
  <si>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</si>
  <si>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</si>
  <si>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5只新开仓日线中枢破位(创力-1.8%/新五丰-3.1%/方盛-9.4%/建研-0.2%/曲美-2.8%),仅隆基合规; 买入时未充分验证中枢位置</t>
  </si>
  <si>
    <t xml:space="preserve">万华化学清仓获利+933元(周收益+2.54%); 曲美家居原挂2100股超限减至500股后合规</t>
  </si>
  <si>
    <t xml:space="preserve">开滦股份(600997), 汇嘉时代(603101), 宝钢包装(601968), 家家悦(603708), 一鸣食品(605179)</t>
  </si>
  <si>
    <t xml:space="preserve">心态均分68, 当前总仓位40.4%</t>
  </si>
  <si>
    <t xml:space="preserve">是 (TWR0.503% vs目标0.0118%)</t>
  </si>
  <si>
    <t xml:space="preserve">是 (TWR2.540% vs目标0.0591%)</t>
  </si>
  <si>
    <t xml:space="preserve">是 (TWR12.637% vs目标0.2466%)</t>
  </si>
  <si>
    <r>
      <rPr>
        <sz val="10"/>
        <rFont val="Cambria"/>
        <family val="0"/>
        <charset val="1"/>
      </rPr>
      <t xml:space="preserve">[</t>
    </r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</si>
  <si>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t xml:space="preserve">平均R=2.1432, 累计R=15.0027, 最大R=9.0824, 最大亏损R=-0.4017</t>
  </si>
  <si>
    <t xml:space="preserve">婴儿阶段, ¥20,842/¥30,000目标(幼儿)</t>
  </si>
  <si>
    <t xml:space="preserve">69.5%</t>
  </si>
  <si>
    <t xml:space="preserve">主:TWR本金¥10,693 辅:动态¥8,484(41%仓位) 系统=正期望系统 ✅ 胜率71% 距幼儿差¥9,158</t>
  </si>
  <si>
    <r>
      <rPr>
        <sz val="10"/>
        <rFont val="Cambria"/>
        <family val="0"/>
        <charset val="1"/>
      </rPr>
      <t xml:space="preserve">2</t>
    </r>
    <r>
      <rPr>
        <sz val="10"/>
        <rFont val="Noto Sans CJK SC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</si>
  <si>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</si>
  <si>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Noto Sans CJK SC"/>
        <family val="2"/>
      </rPr>
      <t xml:space="preserve">天</t>
    </r>
  </si>
  <si>
    <t xml:space="preserve">2026-08-02</t>
  </si>
  <si>
    <t xml:space="preserve">2.53%</t>
  </si>
  <si>
    <t xml:space="preserve">2/3</t>
  </si>
  <si>
    <t xml:space="preserve">同花顺复核修正: 期初资产¥21092.63→¥20842.92(差¥249.71); 周收益¥527.88(+2.53%)非¥278.17; 交易成本: 印花税¥22.21+佣金¥48=¥70.21; 做T亏损¥3.47; 最大回撤-0.43%(¥90.92); 盈利4天/亏损1天, 最大连盈3天; 最大盈利个股万华化学, 最大亏损方盛制药(均已清仓); 仓位11%→54%→37%; 清仓三力士+拱东(P0 2/3); 东风-34.6%仍未清仓; 松芝+28.6%需止盈</t>
  </si>
  <si>
    <t xml:space="preserve">Price</t>
  </si>
  <si>
    <t xml:space="preserve">Tier</t>
  </si>
  <si>
    <t xml:space="preserve">最小可买股数</t>
  </si>
  <si>
    <t xml:space="preserve">上一交易日Tier</t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</si>
  <si>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</si>
  <si>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</si>
  <si>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</si>
  <si>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</si>
  <si>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</si>
  <si>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</si>
  <si>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</si>
  <si>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</si>
  <si>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</si>
  <si>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</si>
  <si>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</si>
  <si>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</si>
  <si>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</si>
  <si>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</si>
  <si>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</si>
  <si>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</si>
  <si>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</si>
  <si>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</si>
  <si>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</si>
  <si>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</si>
  <si>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</si>
  <si>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</si>
  <si>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002986</t>
  </si>
  <si>
    <t xml:space="preserve">宇新股份</t>
  </si>
  <si>
    <t xml:space="preserve">002622</t>
  </si>
  <si>
    <t xml:space="preserve">皓宸医疗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</si>
  <si>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</si>
  <si>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</si>
  <si>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</si>
  <si>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</si>
  <si>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</si>
  <si>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</si>
  <si>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</si>
  <si>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</si>
  <si>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</si>
  <si>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</si>
  <si>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</si>
  <si>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</si>
  <si>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</si>
  <si>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</si>
  <si>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</si>
  <si>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</si>
  <si>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</si>
  <si>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</si>
  <si>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</si>
  <si>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</si>
  <si>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</si>
  <si>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</si>
  <si>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</si>
  <si>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Noto Sans CJK SC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Noto Sans CJK SC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</si>
</sst>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sz val="11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rgb="FF1F4E79"/>
      <name val="Noto Sans CJK SC"/>
      <family val="2"/>
      <charset val="1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</font>
    <font>
      <sz val="11"/>
      <color rgb="FF000000"/>
      <name val="Noto Sans CJK SC"/>
      <family val="2"/>
      <charset val="1"/>
    </font>
    <font>
      <b val="true"/>
      <sz val="10"/>
      <color rgb="FF1F2937"/>
      <name val="Noto Sans CJK SC"/>
      <family val="2"/>
      <charset val="1"/>
    </font>
    <font>
      <sz val="11"/>
      <color rgb="FF000000"/>
      <name val="Cambria"/>
      <family val="0"/>
      <charset val="1"/>
    </font>
    <font>
      <sz val="11"/>
      <color rgb="FF000000"/>
      <name val="DejaVu Sans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Noto Sans CJK SC"/>
      <family val="2"/>
    </font>
    <font>
      <sz val="11"/>
      <color rgb="FF000000"/>
      <name val="Noto Sans CJK SC"/>
      <family val="2"/>
    </font>
    <font>
      <b val="true"/>
      <sz val="14"/>
      <color rgb="FF17365D"/>
      <name val="Noto Sans CJK SC"/>
      <family val="2"/>
      <charset val="1"/>
    </font>
    <font>
      <b val="true"/>
      <sz val="11"/>
      <color rgb="FF1F4E79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2"/>
      <color rgb="FF17365D"/>
      <name val="Noto Sans CJK SC"/>
      <family val="2"/>
      <charset val="1"/>
    </font>
    <font>
      <sz val="11"/>
      <color rgb="FF6B7280"/>
      <name val="Cambria"/>
      <family val="0"/>
      <charset val="1"/>
    </font>
    <font>
      <sz val="11"/>
      <color rgb="FF6B7280"/>
      <name val="Noto Sans CJK SC"/>
      <family val="2"/>
    </font>
    <font>
      <sz val="11"/>
      <color rgb="FF6B728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Cambria"/>
      <family val="0"/>
      <charset val="1"/>
    </font>
    <font>
      <sz val="10"/>
      <name val="Noto Sans CJK SC"/>
      <family val="2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0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0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0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0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0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0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</patternFill>
      </fill>
    </dxf>
    <dxf>
      <fill>
        <patternFill patternType="solid">
          <fgColor rgb="FFE8F0FE"/>
        </patternFill>
      </fill>
    </dxf>
    <dxf>
      <fill>
        <patternFill patternType="solid">
          <fgColor rgb="FFEAF7EE"/>
        </patternFill>
      </fill>
    </dxf>
    <dxf>
      <fill>
        <patternFill patternType="solid">
          <fgColor rgb="FFF3E5F5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00FFFFFF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1F4E79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8">
      <formula>D2="是"</formula>
    </cfRule>
    <cfRule type="expression" priority="3" aboveAverage="0" equalAverage="0" bottom="0" percent="0" rank="0" text="" dxfId="9">
      <formula>D2="否"</formula>
    </cfRule>
  </conditionalFormatting>
  <conditionalFormatting sqref="E2:E201">
    <cfRule type="expression" priority="4" aboveAverage="0" equalAverage="0" bottom="0" percent="0" rank="0" text="" dxfId="8">
      <formula>E2="是"</formula>
    </cfRule>
    <cfRule type="expression" priority="5" aboveAverage="0" equalAverage="0" bottom="0" percent="0" rank="0" text="" dxfId="9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0.949239376238012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0.991611638291151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8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9">
      <formula>AND($AE2&lt;0,$AG2="婴儿")</formula>
    </cfRule>
    <cfRule type="expression" priority="6" aboveAverage="0" equalAverage="0" bottom="0" percent="0" rank="0" text="" dxfId="8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9">
      <formula>AND($AE2&lt;0,$AG2="成长")</formula>
    </cfRule>
    <cfRule type="expression" priority="10" aboveAverage="0" equalAverage="0" bottom="0" percent="0" rank="0" text="" dxfId="8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9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30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0.0272034820457018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28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30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28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30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28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0.0272034820457018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30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28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30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28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59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59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59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59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59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59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59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59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59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0.0784844384303112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核心池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核心池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核心池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核心池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59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9">
      <formula>Q2="是"</formula>
    </cfRule>
  </conditionalFormatting>
  <conditionalFormatting sqref="V2:V201">
    <cfRule type="expression" priority="3" aboveAverage="0" equalAverage="0" bottom="0" percent="0" rank="0" text="" dxfId="9">
      <formula>V2="是"</formula>
    </cfRule>
  </conditionalFormatting>
  <conditionalFormatting sqref="X2:X201">
    <cfRule type="expression" priority="4" aboveAverage="0" equalAverage="0" bottom="0" percent="0" rank="0" text="" dxfId="9">
      <formula>X2="是"</formula>
    </cfRule>
  </conditionalFormatting>
  <conditionalFormatting sqref="Y2:Y201">
    <cfRule type="expression" priority="5" aboveAverage="0" equalAverage="0" bottom="0" percent="0" rank="0" text="" dxfId="9">
      <formula>Y2="是"</formula>
    </cfRule>
  </conditionalFormatting>
  <conditionalFormatting sqref="W2:W201">
    <cfRule type="expression" priority="6" aboveAverage="0" equalAverage="0" bottom="0" percent="0" rank="0" text="" dxfId="9">
      <formula>W2="是"</formula>
    </cfRule>
  </conditionalFormatting>
  <conditionalFormatting sqref="AB2:AB201">
    <cfRule type="expression" priority="7" aboveAverage="0" equalAverage="0" bottom="0" percent="0" rank="0" text="" dxfId="8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9">
      <formula>AB2="防守"</formula>
    </cfRule>
    <cfRule type="expression" priority="10" aboveAverage="0" equalAverage="0" bottom="0" percent="0" rank="0" text="" dxfId="9">
      <formula>AB2="立即卖出"</formula>
    </cfRule>
    <cfRule type="expression" priority="11" aboveAverage="0" equalAverage="0" bottom="0" percent="0" rank="0" text="" dxfId="9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9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0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1" t="s">
        <v>431</v>
      </c>
      <c r="AG1" s="61" t="s">
        <v>432</v>
      </c>
      <c r="AH1" s="33" t="s">
        <v>314</v>
      </c>
      <c r="AI1" s="61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2" t="n">
        <v>46236</v>
      </c>
      <c r="B2" s="63" t="s">
        <v>407</v>
      </c>
      <c r="C2" s="64" t="s">
        <v>408</v>
      </c>
      <c r="D2" s="64" t="n">
        <v>8.61</v>
      </c>
      <c r="E2" s="64" t="n">
        <v>8.61</v>
      </c>
      <c r="F2" s="64" t="n">
        <v>8.18</v>
      </c>
      <c r="G2" s="64" t="n">
        <v>0.0642149868347143</v>
      </c>
      <c r="H2" s="64" t="n">
        <v>0.936687445586601</v>
      </c>
      <c r="I2" s="64" t="s">
        <v>178</v>
      </c>
      <c r="J2" s="63" t="s">
        <v>446</v>
      </c>
      <c r="K2" s="65" t="str">
        <f aca="false">IF($A2="","",IF(AND(G2&lt;20%,H2&gt;0.9),"核心池",IF(AND(H2&gt;=0.85),"观察池",IF(AND(H2&gt;=0.8),"边缘池",""))))</f>
        <v>核心池</v>
      </c>
      <c r="L2" s="66" t="str">
        <f aca="false">IF($A2="","",IF(AND(G2&lt;60%,H2&gt;0.8,I2="True"),"是","否"))</f>
        <v>是</v>
      </c>
      <c r="M2" s="66" t="str">
        <f aca="false">IF($A2="","",IF(AND(D2&gt;0,E2&gt;0,D2&lt;=E2*1.02),"是","否"))</f>
        <v>是</v>
      </c>
      <c r="N2" s="64" t="str">
        <f aca="false">IFERROR(INDEX(账户总表!$O:$O,COUNTA(账户总表!$A:$A)),0)</f>
        <v/>
      </c>
      <c r="O2" s="64" t="n">
        <f aca="false">IFERROR(INDEX(账户总表!$B:$B,COUNTA(账户总表!$A:$A))*N2,0)</f>
        <v>0</v>
      </c>
      <c r="P2" s="64" t="n">
        <f aca="false">IFERROR(O2/D2,0)</f>
        <v>0</v>
      </c>
      <c r="Q2" s="64" t="n">
        <f aca="false">IFERROR(FLOOR(P2,100),0)</f>
        <v>0</v>
      </c>
      <c r="R2" s="64" t="n">
        <f aca="false">IFERROR(CEILING(800/(100*D2),1)*100,0)</f>
        <v>100</v>
      </c>
      <c r="S2" s="64"/>
      <c r="T2" s="64" t="n">
        <f aca="false">IFERROR(S2*D2,0)</f>
        <v>0</v>
      </c>
      <c r="U2" s="64" t="n">
        <f aca="false">IFERROR(T2/INDEX(账户总表!$B:$B,COUNTA(账户总表!$A:$A)),0)</f>
        <v>0</v>
      </c>
      <c r="V2" s="67" t="n">
        <f aca="false">IFERROR(INDEX(账户总表!$E:$E,COUNTA(账户总表!$A:$A))+U2,0)</f>
        <v>0</v>
      </c>
      <c r="W2" s="66" t="str">
        <f aca="false">IF($A2="","",IFERROR(IF(V2&lt;=INDEX(账户总表!$N:$N,COUNTA(账户总表!$A:$A)),"是","否"),"否"))</f>
        <v>是</v>
      </c>
      <c r="X2" s="64" t="n">
        <f aca="false">IF($A2="","",MAX(F2*0.98,D2*0.92))</f>
        <v>8.0164</v>
      </c>
      <c r="Y2" s="64"/>
      <c r="Z2" s="66" t="str">
        <f aca="false">IF($A2="","",IFERROR(IF(AND(T2&gt;INDEX(账户总表!$C:$C,COUNTA(账户总表!$A:$A)),L2="是"),"是","否"),"否"))</f>
        <v>否</v>
      </c>
      <c r="AA2" s="64" t="n">
        <f aca="false">IF($A2="","",IFERROR(IF(Z2="是",MAX(0,T2-INDEX(账户总表!$C:$C,COUNTA(账户总表!$A:$A)),IF(N2&gt;0,T2/N2-INDEX(账户总表!$B:$B,COUNTA(账户总表!$A:$A)),0)),0),0))</f>
        <v>0</v>
      </c>
      <c r="AB2" s="64" t="n">
        <f aca="false">IF($A2="","",IF(AND(Z2="是",INDEX(账户总表!$U:$U,COUNTA(账户总表!$A:$A))="是"),IF(INDEX(账户总表!$L:$L,COUNTA(账户总表!$A:$A))&gt;=4,AA2*1.5,AA2),0))</f>
        <v>0</v>
      </c>
      <c r="AC2" s="66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64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100股约束不满足</v>
      </c>
      <c r="AE2" s="64"/>
      <c r="AF2" s="1" t="n">
        <f aca="false">IF($A2="","",D2*100)</f>
        <v>861</v>
      </c>
      <c r="AG2" s="1" t="n">
        <f aca="false">IF($A2="","",IFERROR(AF2/INDEX(账户总表!$B:$B,COUNTA(账户总表!$A:$A)),0))</f>
        <v>0</v>
      </c>
      <c r="AH2" s="1" t="n">
        <f aca="false">IF($A2="","",IFERROR(INDEX(账户总表!$B:$B,COUNTA(账户总表!$A:$A))*INDEX(账户总表!$O:$O,COUNTA(账户总表!$A:$A)),0))</f>
        <v>0</v>
      </c>
      <c r="AI2" s="1" t="str">
        <f aca="false">IF($A2="","",IF(AF2&gt;AH2,"超限","合规"))</f>
        <v>超限</v>
      </c>
      <c r="AJ2" s="1" t="n">
        <f aca="false">IF($A2="","",IFERROR(AF2/INDEX(账户总表!$O:$O,COUNTA(账户总表!$A:$A)),0))</f>
        <v>0</v>
      </c>
      <c r="AK2" s="1" t="n">
        <f aca="false">IF($A2="","",IFERROR(MAX(0,AJ2-INDEX(账户总表!$B:$B,COUNTA(账户总表!$A:$A)),AF2-INDEX(账户总表!$C:$C,COUNTA(账户总表!$A:$A))),0))</f>
        <v>861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1手超单股上限；有效持仓数超限；现金不足；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62" t="n">
        <v>46236</v>
      </c>
      <c r="B3" s="63" t="s">
        <v>447</v>
      </c>
      <c r="C3" s="64" t="s">
        <v>448</v>
      </c>
      <c r="D3" s="64" t="n">
        <v>5.53</v>
      </c>
      <c r="E3" s="64" t="n">
        <v>5.53</v>
      </c>
      <c r="F3" s="64" t="n">
        <v>5.25</v>
      </c>
      <c r="G3" s="64" t="n">
        <v>0.0836285612259794</v>
      </c>
      <c r="H3" s="64" t="n">
        <v>0.914855636349869</v>
      </c>
      <c r="I3" s="64" t="s">
        <v>178</v>
      </c>
      <c r="J3" s="63" t="s">
        <v>446</v>
      </c>
      <c r="K3" s="65" t="str">
        <f aca="false">IF($A3="","",IF(AND(G3&lt;20%,H3&gt;0.9),"核心池",IF(AND(H3&gt;=0.85),"观察池",IF(AND(H3&gt;=0.8),"边缘池",""))))</f>
        <v>核心池</v>
      </c>
      <c r="L3" s="66" t="str">
        <f aca="false">IF($A3="","",IF(AND(G3&lt;60%,H3&gt;0.8,I3="True"),"是","否"))</f>
        <v>是</v>
      </c>
      <c r="M3" s="66" t="str">
        <f aca="false">IF($A3="","",IF(AND(D3&gt;0,E3&gt;0,D3&lt;=E3*1.02),"是","否"))</f>
        <v>是</v>
      </c>
      <c r="N3" s="64" t="str">
        <f aca="false">IFERROR(INDEX(账户总表!$O:$O,COUNTA(账户总表!$A:$A)),0)</f>
        <v/>
      </c>
      <c r="O3" s="64" t="n">
        <f aca="false">IFERROR(INDEX(账户总表!$B:$B,COUNTA(账户总表!$A:$A))*N3,0)</f>
        <v>0</v>
      </c>
      <c r="P3" s="64" t="n">
        <f aca="false">IFERROR(O3/D3,0)</f>
        <v>0</v>
      </c>
      <c r="Q3" s="64" t="n">
        <f aca="false">IFERROR(FLOOR(P3,100),0)</f>
        <v>0</v>
      </c>
      <c r="R3" s="64" t="n">
        <f aca="false">IFERROR(CEILING(800/(100*D3),1)*100,0)</f>
        <v>200</v>
      </c>
      <c r="S3" s="64"/>
      <c r="T3" s="64" t="n">
        <f aca="false">IFERROR(S3*D3,0)</f>
        <v>0</v>
      </c>
      <c r="U3" s="64" t="n">
        <f aca="false">IFERROR(T3/INDEX(账户总表!$B:$B,COUNTA(账户总表!$A:$A)),0)</f>
        <v>0</v>
      </c>
      <c r="V3" s="67" t="n">
        <f aca="false">IFERROR(INDEX(账户总表!$E:$E,COUNTA(账户总表!$A:$A))+U3,0)</f>
        <v>0</v>
      </c>
      <c r="W3" s="66" t="str">
        <f aca="false">IF($A3="","",IFERROR(IF(V3&lt;=INDEX(账户总表!$N:$N,COUNTA(账户总表!$A:$A)),"是","否"),"否"))</f>
        <v>是</v>
      </c>
      <c r="X3" s="64" t="n">
        <f aca="false">IF($A3="","",MAX(F3*0.98,D3*0.92))</f>
        <v>5.145</v>
      </c>
      <c r="Y3" s="64"/>
      <c r="Z3" s="66" t="str">
        <f aca="false">IF($A3="","",IFERROR(IF(AND(T3&gt;INDEX(账户总表!$C:$C,COUNTA(账户总表!$A:$A)),L3="是"),"是","否"),"否"))</f>
        <v>否</v>
      </c>
      <c r="AA3" s="64" t="n">
        <f aca="false">IF($A3="","",IFERROR(IF(Z3="是",MAX(0,T3-INDEX(账户总表!$C:$C,COUNTA(账户总表!$A:$A)),IF(N3&gt;0,T3/N3-INDEX(账户总表!$B:$B,COUNTA(账户总表!$A:$A)),0)),0),0))</f>
        <v>0</v>
      </c>
      <c r="AB3" s="64" t="n">
        <f aca="false">IF($A3="","",IF(AND(Z3="是",INDEX(账户总表!$U:$U,COUNTA(账户总表!$A:$A))="是"),IF(INDEX(账户总表!$L:$L,COUNTA(账户总表!$A:$A))&gt;=4,AA3*1.5,AA3),0))</f>
        <v>0</v>
      </c>
      <c r="AC3" s="66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64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100股约束不满足</v>
      </c>
      <c r="AE3" s="64"/>
      <c r="AF3" s="1" t="n">
        <f aca="false">IF($A3="","",D3*100)</f>
        <v>553</v>
      </c>
      <c r="AG3" s="1" t="n">
        <f aca="false">IF($A3="","",IFERROR(AF3/INDEX(账户总表!$B:$B,COUNTA(账户总表!$A:$A)),0))</f>
        <v>0</v>
      </c>
      <c r="AH3" s="1" t="n">
        <f aca="false">IF($A3="","",IFERROR(INDEX(账户总表!$B:$B,COUNTA(账户总表!$A:$A))*INDEX(账户总表!$O:$O,COUNTA(账户总表!$A:$A)),0))</f>
        <v>0</v>
      </c>
      <c r="AI3" s="1" t="str">
        <f aca="false">IF($A3="","",IF(AF3&gt;AH3,"超限","合规"))</f>
        <v>超限</v>
      </c>
      <c r="AJ3" s="1" t="n">
        <f aca="false">IF($A3="","",IFERROR(AF3/INDEX(账户总表!$O:$O,COUNTA(账户总表!$A:$A)),0))</f>
        <v>0</v>
      </c>
      <c r="AK3" s="1" t="n">
        <f aca="false">IF($A3="","",IFERROR(MAX(0,AJ3-INDEX(账户总表!$B:$B,COUNTA(账户总表!$A:$A)),AF3-INDEX(账户总表!$C:$C,COUNTA(账户总表!$A:$A))),0))</f>
        <v>553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1手超单股上限；有效持仓数超限；现金不足；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62" t="n">
        <v>46236</v>
      </c>
      <c r="B4" s="63" t="s">
        <v>449</v>
      </c>
      <c r="C4" s="64" t="s">
        <v>450</v>
      </c>
      <c r="D4" s="64" t="n">
        <v>3.01</v>
      </c>
      <c r="E4" s="64" t="n">
        <v>3.01</v>
      </c>
      <c r="F4" s="64" t="n">
        <v>2.86</v>
      </c>
      <c r="G4" s="64" t="n">
        <v>0.0433827305528759</v>
      </c>
      <c r="H4" s="64" t="n">
        <v>0.967535622317641</v>
      </c>
      <c r="I4" s="64" t="s">
        <v>178</v>
      </c>
      <c r="J4" s="63" t="s">
        <v>446</v>
      </c>
      <c r="K4" s="65" t="str">
        <f aca="false">IF($A4="","",IF(AND(G4&lt;20%,H4&gt;0.9),"核心池",IF(AND(H4&gt;=0.85),"观察池",IF(AND(H4&gt;=0.8),"边缘池",""))))</f>
        <v>核心池</v>
      </c>
      <c r="L4" s="66" t="str">
        <f aca="false">IF($A4="","",IF(AND(G4&lt;60%,H4&gt;0.8,I4="True"),"是","否"))</f>
        <v>是</v>
      </c>
      <c r="M4" s="66" t="str">
        <f aca="false">IF($A4="","",IF(AND(D4&gt;0,E4&gt;0,D4&lt;=E4*1.02),"是","否"))</f>
        <v>是</v>
      </c>
      <c r="N4" s="64" t="str">
        <f aca="false">IFERROR(INDEX(账户总表!$O:$O,COUNTA(账户总表!$A:$A)),0)</f>
        <v/>
      </c>
      <c r="O4" s="64" t="n">
        <f aca="false">IFERROR(INDEX(账户总表!$B:$B,COUNTA(账户总表!$A:$A))*N4,0)</f>
        <v>0</v>
      </c>
      <c r="P4" s="64" t="n">
        <f aca="false">IFERROR(O4/D4,0)</f>
        <v>0</v>
      </c>
      <c r="Q4" s="64" t="n">
        <f aca="false">IFERROR(FLOOR(P4,100),0)</f>
        <v>0</v>
      </c>
      <c r="R4" s="64" t="n">
        <f aca="false">IFERROR(CEILING(800/(100*D4),1)*100,0)</f>
        <v>300</v>
      </c>
      <c r="S4" s="64"/>
      <c r="T4" s="64" t="n">
        <f aca="false">IFERROR(S4*D4,0)</f>
        <v>0</v>
      </c>
      <c r="U4" s="64" t="n">
        <f aca="false">IFERROR(T4/INDEX(账户总表!$B:$B,COUNTA(账户总表!$A:$A)),0)</f>
        <v>0</v>
      </c>
      <c r="V4" s="67" t="n">
        <f aca="false">IFERROR(INDEX(账户总表!$E:$E,COUNTA(账户总表!$A:$A))+U4,0)</f>
        <v>0</v>
      </c>
      <c r="W4" s="66" t="str">
        <f aca="false">IF($A4="","",IFERROR(IF(V4&lt;=INDEX(账户总表!$N:$N,COUNTA(账户总表!$A:$A)),"是","否"),"否"))</f>
        <v>是</v>
      </c>
      <c r="X4" s="64" t="n">
        <f aca="false">IF($A4="","",MAX(F4*0.98,D4*0.92))</f>
        <v>2.8028</v>
      </c>
      <c r="Y4" s="64"/>
      <c r="Z4" s="66" t="str">
        <f aca="false">IF($A4="","",IFERROR(IF(AND(T4&gt;INDEX(账户总表!$C:$C,COUNTA(账户总表!$A:$A)),L4="是"),"是","否"),"否"))</f>
        <v>否</v>
      </c>
      <c r="AA4" s="64" t="n">
        <f aca="false">IF($A4="","",IFERROR(IF(Z4="是",MAX(0,T4-INDEX(账户总表!$C:$C,COUNTA(账户总表!$A:$A)),IF(N4&gt;0,T4/N4-INDEX(账户总表!$B:$B,COUNTA(账户总表!$A:$A)),0)),0),0))</f>
        <v>0</v>
      </c>
      <c r="AB4" s="64" t="n">
        <f aca="false">IF($A4="","",IF(AND(Z4="是",INDEX(账户总表!$U:$U,COUNTA(账户总表!$A:$A))="是"),IF(INDEX(账户总表!$L:$L,COUNTA(账户总表!$A:$A))&gt;=4,AA4*1.5,AA4),0))</f>
        <v>0</v>
      </c>
      <c r="AC4" s="66" t="str">
        <f aca="false">IF($A4="","",IF(AND(L4="是",Q4&gt;=R4,S4&lt;=Q4,S4&gt;=R4,W4="是",X4&gt;0,M4="是",INDEX(账户总表!$M:$M,COUNTA(账户总表!$A:$A))&lt;=2,INDEX(账户总表!$V:$V,COUNTA(账户总表!$A:$A))="是",OR(T4&lt;=INDEX(账户总表!$C:$C,COUNTA(账户总表!$A:$A)),AND(Z4="是",INDEX(账户总表!$U:$U,COUNTA(账户总表!$A:$A))="是",AB4&gt;0))),"是","否"))</f>
        <v>否</v>
      </c>
      <c r="AD4" s="64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COUNTA(账户总表!$A:$A))&gt;2,"亏钱效应偏高",IF(INDEX(账户总表!$V:$V,COUNTA(账户总表!$A:$A))&lt;&gt;"是","账户不允许新开仓",IF(AND(T4&gt;INDEX(账户总表!$C:$C,COUNTA(账户总表!$A:$A)),INDEX(账户总表!$U:$U,COUNTA(账户总表!$A:$A))&lt;&gt;"是"),"现金不足且不允许转入",IF(AND(Z4="是",AB4&lt;=0),"转入金额未满足",""))))))))))))</f>
        <v>100股约束不满足</v>
      </c>
      <c r="AE4" s="64"/>
      <c r="AF4" s="1" t="n">
        <f aca="false">IF($A4="","",D4*100)</f>
        <v>301</v>
      </c>
      <c r="AG4" s="1" t="n">
        <f aca="false">IF($A4="","",IFERROR(AF4/INDEX(账户总表!$B:$B,COUNTA(账户总表!$A:$A)),0))</f>
        <v>0</v>
      </c>
      <c r="AH4" s="1" t="n">
        <f aca="false">IF($A4="","",IFERROR(INDEX(账户总表!$B:$B,COUNTA(账户总表!$A:$A))*INDEX(账户总表!$O:$O,COUNTA(账户总表!$A:$A)),0))</f>
        <v>0</v>
      </c>
      <c r="AI4" s="1" t="str">
        <f aca="false">IF($A4="","",IF(AF4&gt;AH4,"超限","合规"))</f>
        <v>超限</v>
      </c>
      <c r="AJ4" s="1" t="n">
        <f aca="false">IF($A4="","",IFERROR(AF4/INDEX(账户总表!$O:$O,COUNTA(账户总表!$A:$A)),0))</f>
        <v>0</v>
      </c>
      <c r="AK4" s="1" t="n">
        <f aca="false">IF($A4="","",IFERROR(MAX(0,AJ4-INDEX(账户总表!$B:$B,COUNTA(账户总表!$A:$A)),AF4-INDEX(账户总表!$C:$C,COUNTA(账户总表!$A:$A))),0))</f>
        <v>301</v>
      </c>
      <c r="AL4" s="1" t="str">
        <f aca="false">IF($A4="","",IF(COUNTIF(持仓表!$C$2:$C$201,C4)&gt;0,"已有","新标的"))</f>
        <v>新标的</v>
      </c>
      <c r="AM4" s="1" t="n">
        <f aca="false">IF($A4="","",IFERROR(SUMIFS(持仓表!$N$2:$N$201,持仓表!$C$2:$C$201,C4,持仓表!$A$2:$A$201,$A4),0))</f>
        <v>0</v>
      </c>
      <c r="AN4" s="1" t="n">
        <f aca="false">IF($A4="","",IFERROR(AM4+AF4/INDEX(账户总表!$B:$B,COUNTA(账户总表!$A:$A)),0))</f>
        <v>0</v>
      </c>
      <c r="AO4" s="1" t="str">
        <f aca="false">IF($A4="","",IF(AN4&gt;INDEX(账户总表!$O:$O,COUNTA(账户总表!$A:$A)),"超限","合规"))</f>
        <v>合规</v>
      </c>
      <c r="AP4" s="1" t="str">
        <f aca="false">IF($A4="","",IF(AND(AL4="新标的",INDEX(账户总表!$R:$R,COUNTA(账户总表!$A:$A))&gt;=INDEX(账户总表!$S:$S,COUNTA(账户总表!$A:$A))),"新增受限","可通过"))</f>
        <v>新增受限</v>
      </c>
      <c r="AQ4" s="1" t="str">
        <f aca="false">IF($A4="","",IF(K4&lt;&gt;"核心池","非核心池",IF(OR(AI4="超限",AO4="超限",AP4="新增受限"),IF(AND(AT4="★信号强化",AS4&gt;=3),"可加仓(动态上限)","不可加仓"),"可加仓")))</f>
        <v>不可加仓</v>
      </c>
      <c r="AR4" s="1" t="str">
        <f aca="false">IF($A4="","",TRIM(IF(AI4="超限","1手超单股上限；","")&amp;IF(AO4="超限","买后仓位超限；","")&amp;IF(AP4="新增受限","有效持仓数超限；","")&amp;IF(AF4&gt;INDEX(账户总表!$C:$C,COUNTA(账户总表!$A:$A)),"现金不足；","")))</f>
        <v>1手超单股上限；有效持仓数超限；现金不足；</v>
      </c>
      <c r="AU4" s="1" t="str">
        <f aca="false">IF($A4="","",IF(AK4&gt;30000-INDEX(账户总表!$B:$B,COUNTA(账户总表!$A:$A)),"不适合婴儿阶段","可纳入幼儿路径"))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62" t="n">
        <v>46236</v>
      </c>
      <c r="B5" s="63" t="s">
        <v>451</v>
      </c>
      <c r="C5" s="64" t="s">
        <v>452</v>
      </c>
      <c r="D5" s="64" t="n">
        <v>6.72</v>
      </c>
      <c r="E5" s="64" t="n">
        <v>6.72</v>
      </c>
      <c r="F5" s="64" t="n">
        <v>6.38</v>
      </c>
      <c r="G5" s="64" t="n">
        <v>0.00672140076296941</v>
      </c>
      <c r="H5" s="64" t="n">
        <v>0.945121876729129</v>
      </c>
      <c r="I5" s="64" t="s">
        <v>178</v>
      </c>
      <c r="J5" s="63" t="s">
        <v>446</v>
      </c>
      <c r="K5" s="65" t="str">
        <f aca="false">IF($A5="","",IF(AND(G5&lt;20%,H5&gt;0.9),"核心池",IF(AND(H5&gt;=0.85),"观察池",IF(AND(H5&gt;=0.8),"边缘池",""))))</f>
        <v>核心池</v>
      </c>
      <c r="L5" s="66" t="str">
        <f aca="false">IF($A5="","",IF(AND(G5&lt;60%,H5&gt;0.8,I5="True"),"是","否"))</f>
        <v>是</v>
      </c>
      <c r="M5" s="66" t="str">
        <f aca="false">IF($A5="","",IF(AND(D5&gt;0,E5&gt;0,D5&lt;=E5*1.02),"是","否"))</f>
        <v>是</v>
      </c>
      <c r="N5" s="64" t="str">
        <f aca="false">IFERROR(INDEX(账户总表!$O:$O,COUNTA(账户总表!$A:$A)),0)</f>
        <v/>
      </c>
      <c r="O5" s="64" t="n">
        <f aca="false">IFERROR(INDEX(账户总表!$B:$B,COUNTA(账户总表!$A:$A))*N5,0)</f>
        <v>0</v>
      </c>
      <c r="P5" s="64" t="n">
        <f aca="false">IFERROR(O5/D5,0)</f>
        <v>0</v>
      </c>
      <c r="Q5" s="64" t="n">
        <f aca="false">IFERROR(FLOOR(P5,100),0)</f>
        <v>0</v>
      </c>
      <c r="R5" s="64" t="n">
        <f aca="false">IFERROR(CEILING(800/(100*D5),1)*100,0)</f>
        <v>200</v>
      </c>
      <c r="S5" s="64"/>
      <c r="T5" s="64" t="n">
        <f aca="false">IFERROR(S5*D5,0)</f>
        <v>0</v>
      </c>
      <c r="U5" s="64" t="n">
        <f aca="false">IFERROR(T5/INDEX(账户总表!$B:$B,COUNTA(账户总表!$A:$A)),0)</f>
        <v>0</v>
      </c>
      <c r="V5" s="67" t="n">
        <f aca="false">IFERROR(INDEX(账户总表!$E:$E,COUNTA(账户总表!$A:$A))+U5,0)</f>
        <v>0</v>
      </c>
      <c r="W5" s="66" t="str">
        <f aca="false">IF($A5="","",IFERROR(IF(V5&lt;=INDEX(账户总表!$N:$N,COUNTA(账户总表!$A:$A)),"是","否"),"否"))</f>
        <v>是</v>
      </c>
      <c r="X5" s="64" t="n">
        <f aca="false">IF($A5="","",MAX(F5*0.98,D5*0.92))</f>
        <v>6.2524</v>
      </c>
      <c r="Y5" s="64"/>
      <c r="Z5" s="66" t="str">
        <f aca="false">IF($A5="","",IFERROR(IF(AND(T5&gt;INDEX(账户总表!$C:$C,COUNTA(账户总表!$A:$A)),L5="是"),"是","否"),"否"))</f>
        <v>否</v>
      </c>
      <c r="AA5" s="64" t="n">
        <f aca="false">IF($A5="","",IFERROR(IF(Z5="是",MAX(0,T5-INDEX(账户总表!$C:$C,COUNTA(账户总表!$A:$A)),IF(N5&gt;0,T5/N5-INDEX(账户总表!$B:$B,COUNTA(账户总表!$A:$A)),0)),0),0))</f>
        <v>0</v>
      </c>
      <c r="AB5" s="64" t="n">
        <f aca="false">IF($A5="","",IF(AND(Z5="是",INDEX(账户总表!$U:$U,COUNTA(账户总表!$A:$A))="是"),IF(INDEX(账户总表!$L:$L,COUNTA(账户总表!$A:$A))&gt;=4,AA5*1.5,AA5),0))</f>
        <v>0</v>
      </c>
      <c r="AC5" s="66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5" s="64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100股约束不满足</v>
      </c>
      <c r="AE5" s="64"/>
      <c r="AF5" s="1" t="n">
        <f aca="false">IF($A5="","",D5*100)</f>
        <v>672</v>
      </c>
      <c r="AG5" s="1" t="n">
        <f aca="false">IF($A5="","",IFERROR(AF5/INDEX(账户总表!$B:$B,COUNTA(账户总表!$A:$A)),0))</f>
        <v>0</v>
      </c>
      <c r="AH5" s="1" t="n">
        <f aca="false">IF($A5="","",IFERROR(INDEX(账户总表!$B:$B,COUNTA(账户总表!$A:$A))*INDEX(账户总表!$O:$O,COUNTA(账户总表!$A:$A)),0))</f>
        <v>0</v>
      </c>
      <c r="AI5" s="1" t="str">
        <f aca="false">IF($A5="","",IF(AF5&gt;AH5,"超限","合规"))</f>
        <v>超限</v>
      </c>
      <c r="AJ5" s="1" t="n">
        <f aca="false">IF($A5="","",IFERROR(AF5/INDEX(账户总表!$O:$O,COUNTA(账户总表!$A:$A)),0))</f>
        <v>0</v>
      </c>
      <c r="AK5" s="1" t="n">
        <f aca="false">IF($A5="","",IFERROR(MAX(0,AJ5-INDEX(账户总表!$B:$B,COUNTA(账户总表!$A:$A)),AF5-INDEX(账户总表!$C:$C,COUNTA(账户总表!$A:$A))),0))</f>
        <v>672</v>
      </c>
      <c r="AL5" s="1" t="str">
        <f aca="false">IF($A5="","",IF(COUNTIF(持仓表!$C$2:$C$201,C5)&gt;0,"已有","新标的"))</f>
        <v>新标的</v>
      </c>
      <c r="AM5" s="1" t="n">
        <f aca="false">IF($A5="","",IFERROR(SUMIFS(持仓表!$N$2:$N$201,持仓表!$C$2:$C$201,C5,持仓表!$A$2:$A$201,$A5),0))</f>
        <v>0</v>
      </c>
      <c r="AN5" s="1" t="n">
        <f aca="false">IF($A5="","",IFERROR(AM5+AF5/INDEX(账户总表!$B:$B,COUNTA(账户总表!$A:$A)),0))</f>
        <v>0</v>
      </c>
      <c r="AO5" s="1" t="str">
        <f aca="false">IF($A5="","",IF(AN5&gt;INDEX(账户总表!$O:$O,COUNTA(账户总表!$A:$A)),"超限","合规"))</f>
        <v>合规</v>
      </c>
      <c r="AP5" s="1" t="str">
        <f aca="false">IF($A5="","",IF(AND(AL5="新标的",INDEX(账户总表!$R:$R,COUNTA(账户总表!$A:$A))&gt;=INDEX(账户总表!$S:$S,COUNTA(账户总表!$A:$A))),"新增受限","可通过"))</f>
        <v>新增受限</v>
      </c>
      <c r="AQ5" s="1" t="str">
        <f aca="false">IF($A5="","",IF(K5&lt;&gt;"核心池","非核心池",IF(OR(AI5="超限",AO5="超限",AP5="新增受限"),IF(AND(AT5="★信号强化",AS5&gt;=3),"可加仓(动态上限)","不可加仓"),"可加仓")))</f>
        <v>不可加仓</v>
      </c>
      <c r="AR5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1手超单股上限；有效持仓数超限；现金不足；</v>
      </c>
      <c r="AU5" s="1" t="str">
        <f aca="false">IF($A5="","",IF(AK5&gt;30000-INDEX(账户总表!$B:$B,COUNTA(账户总表!$A:$A)),"不适合婴儿阶段","可纳入幼儿路径"))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62" t="n">
        <v>46236</v>
      </c>
      <c r="B6" s="63" t="s">
        <v>453</v>
      </c>
      <c r="C6" s="64" t="s">
        <v>454</v>
      </c>
      <c r="D6" s="64" t="n">
        <v>3.69</v>
      </c>
      <c r="E6" s="64" t="n">
        <v>3.69</v>
      </c>
      <c r="F6" s="64" t="n">
        <v>3.51</v>
      </c>
      <c r="G6" s="64" t="n">
        <v>0.180812422536166</v>
      </c>
      <c r="H6" s="64" t="n">
        <v>0.942823171224577</v>
      </c>
      <c r="I6" s="64" t="s">
        <v>178</v>
      </c>
      <c r="J6" s="63" t="s">
        <v>446</v>
      </c>
      <c r="K6" s="65" t="str">
        <f aca="false">IF($A6="","",IF(AND(G6&lt;20%,H6&gt;0.9),"核心池",IF(AND(H6&gt;=0.85),"观察池",IF(AND(H6&gt;=0.8),"边缘池",""))))</f>
        <v>核心池</v>
      </c>
      <c r="L6" s="66" t="str">
        <f aca="false">IF($A6="","",IF(AND(G6&lt;60%,H6&gt;0.8,I6="True"),"是","否"))</f>
        <v>是</v>
      </c>
      <c r="M6" s="66" t="str">
        <f aca="false">IF($A6="","",IF(AND(D6&gt;0,E6&gt;0,D6&lt;=E6*1.02),"是","否"))</f>
        <v>是</v>
      </c>
      <c r="N6" s="64" t="str">
        <f aca="false">IFERROR(INDEX(账户总表!$O:$O,COUNTA(账户总表!$A:$A)),0)</f>
        <v/>
      </c>
      <c r="O6" s="64" t="n">
        <f aca="false">IFERROR(INDEX(账户总表!$B:$B,COUNTA(账户总表!$A:$A))*N6,0)</f>
        <v>0</v>
      </c>
      <c r="P6" s="64" t="n">
        <f aca="false">IFERROR(O6/D6,0)</f>
        <v>0</v>
      </c>
      <c r="Q6" s="64" t="n">
        <f aca="false">IFERROR(FLOOR(P6,100),0)</f>
        <v>0</v>
      </c>
      <c r="R6" s="64" t="n">
        <f aca="false">IFERROR(CEILING(800/(100*D6),1)*100,0)</f>
        <v>300</v>
      </c>
      <c r="S6" s="64"/>
      <c r="T6" s="64" t="n">
        <f aca="false">IFERROR(S6*D6,0)</f>
        <v>0</v>
      </c>
      <c r="U6" s="64" t="n">
        <f aca="false">IFERROR(T6/INDEX(账户总表!$B:$B,COUNTA(账户总表!$A:$A)),0)</f>
        <v>0</v>
      </c>
      <c r="V6" s="67" t="n">
        <f aca="false">IFERROR(INDEX(账户总表!$E:$E,COUNTA(账户总表!$A:$A))+U6,0)</f>
        <v>0</v>
      </c>
      <c r="W6" s="66" t="str">
        <f aca="false">IF($A6="","",IFERROR(IF(V6&lt;=INDEX(账户总表!$N:$N,COUNTA(账户总表!$A:$A)),"是","否"),"否"))</f>
        <v>是</v>
      </c>
      <c r="X6" s="64" t="n">
        <f aca="false">IF($A6="","",MAX(F6*0.98,D6*0.92))</f>
        <v>3.4398</v>
      </c>
      <c r="Y6" s="64"/>
      <c r="Z6" s="66" t="str">
        <f aca="false">IF($A6="","",IFERROR(IF(AND(T6&gt;INDEX(账户总表!$C:$C,COUNTA(账户总表!$A:$A)),L6="是"),"是","否"),"否"))</f>
        <v>否</v>
      </c>
      <c r="AA6" s="64" t="n">
        <f aca="false">IF($A6="","",IFERROR(IF(Z6="是",MAX(0,T6-INDEX(账户总表!$C:$C,COUNTA(账户总表!$A:$A)),IF(N6&gt;0,T6/N6-INDEX(账户总表!$B:$B,COUNTA(账户总表!$A:$A)),0)),0),0))</f>
        <v>0</v>
      </c>
      <c r="AB6" s="64" t="n">
        <f aca="false">IF($A6="","",IF(AND(Z6="是",INDEX(账户总表!$U:$U,COUNTA(账户总表!$A:$A))="是"),IF(INDEX(账户总表!$L:$L,COUNTA(账户总表!$A:$A))&gt;=4,AA6*1.5,AA6),0))</f>
        <v>0</v>
      </c>
      <c r="AC6" s="66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6" s="64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100股约束不满足</v>
      </c>
      <c r="AE6" s="64"/>
      <c r="AF6" s="1" t="n">
        <f aca="false">IF($A6="","",D6*100)</f>
        <v>369</v>
      </c>
      <c r="AG6" s="1" t="n">
        <f aca="false">IF($A6="","",IFERROR(AF6/INDEX(账户总表!$B:$B,COUNTA(账户总表!$A:$A)),0))</f>
        <v>0</v>
      </c>
      <c r="AH6" s="1" t="n">
        <f aca="false">IF($A6="","",IFERROR(INDEX(账户总表!$B:$B,COUNTA(账户总表!$A:$A))*INDEX(账户总表!$O:$O,COUNTA(账户总表!$A:$A)),0))</f>
        <v>0</v>
      </c>
      <c r="AI6" s="1" t="str">
        <f aca="false">IF($A6="","",IF(AF6&gt;AH6,"超限","合规"))</f>
        <v>超限</v>
      </c>
      <c r="AJ6" s="1" t="n">
        <f aca="false">IF($A6="","",IFERROR(AF6/INDEX(账户总表!$O:$O,COUNTA(账户总表!$A:$A)),0))</f>
        <v>0</v>
      </c>
      <c r="AK6" s="1" t="n">
        <f aca="false">IF($A6="","",IFERROR(MAX(0,AJ6-INDEX(账户总表!$B:$B,COUNTA(账户总表!$A:$A)),AF6-INDEX(账户总表!$C:$C,COUNTA(账户总表!$A:$A))),0))</f>
        <v>369</v>
      </c>
      <c r="AL6" s="1" t="str">
        <f aca="false">IF($A6="","",IF(COUNTIF(持仓表!$C$2:$C$201,C6)&gt;0,"已有","新标的"))</f>
        <v>新标的</v>
      </c>
      <c r="AM6" s="1" t="n">
        <f aca="false">IF($A6="","",IFERROR(SUMIFS(持仓表!$N$2:$N$201,持仓表!$C$2:$C$201,C6,持仓表!$A$2:$A$201,$A6),0))</f>
        <v>0</v>
      </c>
      <c r="AN6" s="1" t="n">
        <f aca="false">IF($A6="","",IFERROR(AM6+AF6/INDEX(账户总表!$B:$B,COUNTA(账户总表!$A:$A)),0))</f>
        <v>0</v>
      </c>
      <c r="AO6" s="1" t="str">
        <f aca="false">IF($A6="","",IF(AN6&gt;INDEX(账户总表!$O:$O,COUNTA(账户总表!$A:$A)),"超限","合规"))</f>
        <v>合规</v>
      </c>
      <c r="AP6" s="1" t="str">
        <f aca="false">IF($A6="","",IF(AND(AL6="新标的",INDEX(账户总表!$R:$R,COUNTA(账户总表!$A:$A))&gt;=INDEX(账户总表!$S:$S,COUNTA(账户总表!$A:$A))),"新增受限","可通过"))</f>
        <v>新增受限</v>
      </c>
      <c r="AQ6" s="1" t="str">
        <f aca="false">IF($A6="","",IF(K6&lt;&gt;"核心池","非核心池",IF(OR(AI6="超限",AO6="超限",AP6="新增受限"),IF(AND(AT6="★信号强化",AS6&gt;=3),"可加仓(动态上限)","不可加仓"),"可加仓")))</f>
        <v>不可加仓</v>
      </c>
      <c r="AR6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1手超单股上限；有效持仓数超限；现金不足；</v>
      </c>
      <c r="AU6" s="1" t="str">
        <f aca="false">IF($A6="","",IF(AK6&gt;30000-INDEX(账户总表!$B:$B,COUNTA(账户总表!$A:$A)),"不适合婴儿阶段","可纳入幼儿路径"))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62" t="n">
        <v>46236</v>
      </c>
      <c r="B7" s="63" t="s">
        <v>403</v>
      </c>
      <c r="C7" s="64" t="s">
        <v>404</v>
      </c>
      <c r="D7" s="64" t="n">
        <v>6.05</v>
      </c>
      <c r="E7" s="64" t="n">
        <v>6.05</v>
      </c>
      <c r="F7" s="64" t="n">
        <v>5.75</v>
      </c>
      <c r="G7" s="64" t="n">
        <v>0.162459681377618</v>
      </c>
      <c r="H7" s="64" t="n">
        <v>0.932501458886554</v>
      </c>
      <c r="I7" s="64" t="s">
        <v>178</v>
      </c>
      <c r="J7" s="63" t="s">
        <v>446</v>
      </c>
      <c r="K7" s="65" t="str">
        <f aca="false">IF($A7="","",IF(AND(G7&lt;20%,H7&gt;0.9),"核心池",IF(AND(H7&gt;=0.85),"观察池",IF(AND(H7&gt;=0.8),"边缘池",""))))</f>
        <v>核心池</v>
      </c>
      <c r="L7" s="66" t="str">
        <f aca="false">IF($A7="","",IF(AND(G7&lt;60%,H7&gt;0.8,I7="True"),"是","否"))</f>
        <v>是</v>
      </c>
      <c r="M7" s="66" t="str">
        <f aca="false">IF($A7="","",IF(AND(D7&gt;0,E7&gt;0,D7&lt;=E7*1.02),"是","否"))</f>
        <v>是</v>
      </c>
      <c r="N7" s="64" t="str">
        <f aca="false">IFERROR(INDEX(账户总表!$O:$O,COUNTA(账户总表!$A:$A)),0)</f>
        <v/>
      </c>
      <c r="O7" s="64" t="n">
        <f aca="false">IFERROR(INDEX(账户总表!$B:$B,COUNTA(账户总表!$A:$A))*N7,0)</f>
        <v>0</v>
      </c>
      <c r="P7" s="64" t="n">
        <f aca="false">IFERROR(O7/D7,0)</f>
        <v>0</v>
      </c>
      <c r="Q7" s="64" t="n">
        <f aca="false">IFERROR(FLOOR(P7,100),0)</f>
        <v>0</v>
      </c>
      <c r="R7" s="64" t="n">
        <f aca="false">IFERROR(CEILING(800/(100*D7),1)*100,0)</f>
        <v>200</v>
      </c>
      <c r="S7" s="64"/>
      <c r="T7" s="64" t="n">
        <f aca="false">IFERROR(S7*D7,0)</f>
        <v>0</v>
      </c>
      <c r="U7" s="64" t="n">
        <f aca="false">IFERROR(T7/INDEX(账户总表!$B:$B,COUNTA(账户总表!$A:$A)),0)</f>
        <v>0</v>
      </c>
      <c r="V7" s="67" t="n">
        <f aca="false">IFERROR(INDEX(账户总表!$E:$E,COUNTA(账户总表!$A:$A))+U7,0)</f>
        <v>0</v>
      </c>
      <c r="W7" s="66" t="str">
        <f aca="false">IF($A7="","",IFERROR(IF(V7&lt;=INDEX(账户总表!$N:$N,COUNTA(账户总表!$A:$A)),"是","否"),"否"))</f>
        <v>是</v>
      </c>
      <c r="X7" s="64" t="n">
        <f aca="false">IF($A7="","",MAX(F7*0.98,D7*0.92))</f>
        <v>5.635</v>
      </c>
      <c r="Y7" s="64"/>
      <c r="Z7" s="66" t="str">
        <f aca="false">IF($A7="","",IFERROR(IF(AND(T7&gt;INDEX(账户总表!$C:$C,COUNTA(账户总表!$A:$A)),L7="是"),"是","否"),"否"))</f>
        <v>否</v>
      </c>
      <c r="AA7" s="64" t="n">
        <f aca="false">IF($A7="","",IFERROR(IF(Z7="是",MAX(0,T7-INDEX(账户总表!$C:$C,COUNTA(账户总表!$A:$A)),IF(N7&gt;0,T7/N7-INDEX(账户总表!$B:$B,COUNTA(账户总表!$A:$A)),0)),0),0))</f>
        <v>0</v>
      </c>
      <c r="AB7" s="64" t="n">
        <f aca="false">IF($A7="","",IF(AND(Z7="是",INDEX(账户总表!$U:$U,COUNTA(账户总表!$A:$A))="是"),IF(INDEX(账户总表!$L:$L,COUNTA(账户总表!$A:$A))&gt;=4,AA7*1.5,AA7),0))</f>
        <v>0</v>
      </c>
      <c r="AC7" s="66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7" s="64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100股约束不满足</v>
      </c>
      <c r="AE7" s="64"/>
      <c r="AF7" s="1" t="n">
        <f aca="false">IF($A7="","",D7*100)</f>
        <v>605</v>
      </c>
      <c r="AG7" s="1" t="n">
        <f aca="false">IF($A7="","",IFERROR(AF7/INDEX(账户总表!$B:$B,COUNTA(账户总表!$A:$A)),0))</f>
        <v>0</v>
      </c>
      <c r="AH7" s="1" t="n">
        <f aca="false">IF($A7="","",IFERROR(INDEX(账户总表!$B:$B,COUNTA(账户总表!$A:$A))*INDEX(账户总表!$O:$O,COUNTA(账户总表!$A:$A)),0))</f>
        <v>0</v>
      </c>
      <c r="AI7" s="1" t="str">
        <f aca="false">IF($A7="","",IF(AF7&gt;AH7,"超限","合规"))</f>
        <v>超限</v>
      </c>
      <c r="AJ7" s="1" t="n">
        <f aca="false">IF($A7="","",IFERROR(AF7/INDEX(账户总表!$O:$O,COUNTA(账户总表!$A:$A)),0))</f>
        <v>0</v>
      </c>
      <c r="AK7" s="1" t="n">
        <f aca="false">IF($A7="","",IFERROR(MAX(0,AJ7-INDEX(账户总表!$B:$B,COUNTA(账户总表!$A:$A)),AF7-INDEX(账户总表!$C:$C,COUNTA(账户总表!$A:$A))),0))</f>
        <v>605</v>
      </c>
      <c r="AL7" s="1" t="str">
        <f aca="false">IF($A7="","",IF(COUNTIF(持仓表!$C$2:$C$201,C7)&gt;0,"已有","新标的"))</f>
        <v>新标的</v>
      </c>
      <c r="AM7" s="1" t="n">
        <f aca="false">IF($A7="","",IFERROR(SUMIFS(持仓表!$N$2:$N$201,持仓表!$C$2:$C$201,C7,持仓表!$A$2:$A$201,$A7),0))</f>
        <v>0</v>
      </c>
      <c r="AN7" s="1" t="n">
        <f aca="false">IF($A7="","",IFERROR(AM7+AF7/INDEX(账户总表!$B:$B,COUNTA(账户总表!$A:$A)),0))</f>
        <v>0</v>
      </c>
      <c r="AO7" s="1" t="str">
        <f aca="false">IF($A7="","",IF(AN7&gt;INDEX(账户总表!$O:$O,COUNTA(账户总表!$A:$A)),"超限","合规"))</f>
        <v>合规</v>
      </c>
      <c r="AP7" s="1" t="str">
        <f aca="false">IF($A7="","",IF(AND(AL7="新标的",INDEX(账户总表!$R:$R,COUNTA(账户总表!$A:$A))&gt;=INDEX(账户总表!$S:$S,COUNTA(账户总表!$A:$A))),"新增受限","可通过"))</f>
        <v>新增受限</v>
      </c>
      <c r="AQ7" s="1" t="str">
        <f aca="false">IF($A7="","",IF(K7&lt;&gt;"核心池","非核心池",IF(OR(AI7="超限",AO7="超限",AP7="新增受限"),IF(AND(AT7="★信号强化",AS7&gt;=3),"可加仓(动态上限)","不可加仓"),"可加仓")))</f>
        <v>不可加仓</v>
      </c>
      <c r="AR7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>1手超单股上限；有效持仓数超限；现金不足；</v>
      </c>
      <c r="AU7" s="1" t="str">
        <f aca="false">IF($A7="","",IF(AK7&gt;30000-INDEX(账户总表!$B:$B,COUNTA(账户总表!$A:$A)),"不适合婴儿阶段","可纳入幼儿路径"))</f>
        <v>可纳入幼儿路径</v>
      </c>
    </row>
    <row r="8" customFormat="false" ht="15" hidden="false" customHeight="true" outlineLevel="0" collapsed="false">
      <c r="A8" s="68" t="n">
        <v>46236</v>
      </c>
      <c r="B8" s="69" t="s">
        <v>455</v>
      </c>
      <c r="C8" s="70" t="s">
        <v>456</v>
      </c>
      <c r="D8" s="70" t="n">
        <v>9.36</v>
      </c>
      <c r="E8" s="70" t="n">
        <v>9.36</v>
      </c>
      <c r="F8" s="70" t="n">
        <v>8.89</v>
      </c>
      <c r="G8" s="70" t="n">
        <v>0.242052534769243</v>
      </c>
      <c r="H8" s="70" t="n">
        <v>0.885397947990239</v>
      </c>
      <c r="I8" s="70" t="s">
        <v>178</v>
      </c>
      <c r="J8" s="69" t="s">
        <v>446</v>
      </c>
      <c r="K8" s="71" t="str">
        <f aca="false">IF($A8="","",IF(AND(G8&lt;20%,H8&gt;0.9),"核心池",IF(AND(H8&gt;=0.85),"观察池",IF(AND(H8&gt;=0.8),"边缘池",""))))</f>
        <v>观察池</v>
      </c>
      <c r="L8" s="72" t="str">
        <f aca="false">IF($A8="","",IF(AND(G8&lt;60%,H8&gt;0.8,I8="True"),"是","否"))</f>
        <v>是</v>
      </c>
      <c r="M8" s="72" t="str">
        <f aca="false">IF($A8="","",IF(AND(D8&gt;0,E8&gt;0,D8&lt;=E8*1.02),"是","否"))</f>
        <v>是</v>
      </c>
      <c r="N8" s="70" t="str">
        <f aca="false">IFERROR(INDEX(账户总表!$O:$O,COUNTA(账户总表!$A:$A)),0)</f>
        <v/>
      </c>
      <c r="O8" s="70" t="n">
        <f aca="false">IFERROR(INDEX(账户总表!$B:$B,COUNTA(账户总表!$A:$A))*N8,0)</f>
        <v>0</v>
      </c>
      <c r="P8" s="70" t="n">
        <f aca="false">IFERROR(O8/D8,0)</f>
        <v>0</v>
      </c>
      <c r="Q8" s="70" t="n">
        <f aca="false">IFERROR(FLOOR(P8,100),0)</f>
        <v>0</v>
      </c>
      <c r="R8" s="70" t="n">
        <f aca="false">IFERROR(CEILING(800/(100*D8),1)*100,0)</f>
        <v>100</v>
      </c>
      <c r="S8" s="70"/>
      <c r="T8" s="70" t="n">
        <f aca="false">IFERROR(S8*D8,0)</f>
        <v>0</v>
      </c>
      <c r="U8" s="70" t="n">
        <f aca="false">IFERROR(T8/INDEX(账户总表!$B:$B,COUNTA(账户总表!$A:$A)),0)</f>
        <v>0</v>
      </c>
      <c r="V8" s="73" t="n">
        <f aca="false">IFERROR(INDEX(账户总表!$E:$E,COUNTA(账户总表!$A:$A))+U8,0)</f>
        <v>0</v>
      </c>
      <c r="W8" s="72" t="str">
        <f aca="false">IF($A8="","",IFERROR(IF(V8&lt;=INDEX(账户总表!$N:$N,COUNTA(账户总表!$A:$A)),"是","否"),"否"))</f>
        <v>是</v>
      </c>
      <c r="X8" s="70" t="n">
        <f aca="false">IF($A8="","",MAX(F8*0.98,D8*0.92))</f>
        <v>8.7122</v>
      </c>
      <c r="Y8" s="70"/>
      <c r="Z8" s="72" t="str">
        <f aca="false">IF($A8="","",IFERROR(IF(AND(T8&gt;INDEX(账户总表!$C:$C,COUNTA(账户总表!$A:$A)),L8="是"),"是","否"),"否"))</f>
        <v>否</v>
      </c>
      <c r="AA8" s="70" t="n">
        <f aca="false">IF($A8="","",IFERROR(IF(Z8="是",MAX(0,T8-INDEX(账户总表!$C:$C,COUNTA(账户总表!$A:$A)),IF(N8&gt;0,T8/N8-INDEX(账户总表!$B:$B,COUNTA(账户总表!$A:$A)),0)),0),0))</f>
        <v>0</v>
      </c>
      <c r="AB8" s="70" t="n">
        <f aca="false">IF($A8="","",IF(AND(Z8="是",INDEX(账户总表!$U:$U,COUNTA(账户总表!$A:$A))="是"),IF(INDEX(账户总表!$L:$L,COUNTA(账户总表!$A:$A))&gt;=4,AA8*1.5,AA8),0))</f>
        <v>0</v>
      </c>
      <c r="AC8" s="72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8" s="70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100股约束不满足</v>
      </c>
      <c r="AE8" s="70"/>
      <c r="AF8" s="1" t="n">
        <f aca="false">IF($A8="","",D8*100)</f>
        <v>936</v>
      </c>
      <c r="AG8" s="1" t="n">
        <f aca="false">IF($A8="","",IFERROR(AF8/INDEX(账户总表!$B:$B,COUNTA(账户总表!$A:$A)),0))</f>
        <v>0</v>
      </c>
      <c r="AH8" s="1" t="n">
        <f aca="false">IF($A8="","",IFERROR(INDEX(账户总表!$B:$B,COUNTA(账户总表!$A:$A))*INDEX(账户总表!$O:$O,COUNTA(账户总表!$A:$A)),0))</f>
        <v>0</v>
      </c>
      <c r="AI8" s="1" t="str">
        <f aca="false">IF($A8="","",IF(AF8&gt;AH8,"超限","合规"))</f>
        <v>超限</v>
      </c>
      <c r="AJ8" s="1" t="n">
        <f aca="false">IF($A8="","",IFERROR(AF8/INDEX(账户总表!$O:$O,COUNTA(账户总表!$A:$A)),0))</f>
        <v>0</v>
      </c>
      <c r="AK8" s="1" t="n">
        <f aca="false">IF($A8="","",IFERROR(MAX(0,AJ8-INDEX(账户总表!$B:$B,COUNTA(账户总表!$A:$A)),AF8-INDEX(账户总表!$C:$C,COUNTA(账户总表!$A:$A))),0))</f>
        <v>936</v>
      </c>
      <c r="AL8" s="1" t="str">
        <f aca="false">IF($A8="","",IF(COUNTIF(持仓表!$C$2:$C$201,C8)&gt;0,"已有","新标的"))</f>
        <v>新标的</v>
      </c>
      <c r="AM8" s="1" t="n">
        <f aca="false">IF($A8="","",IFERROR(SUMIFS(持仓表!$N$2:$N$201,持仓表!$C$2:$C$201,C8,持仓表!$A$2:$A$201,$A8),0))</f>
        <v>0</v>
      </c>
      <c r="AN8" s="1" t="n">
        <f aca="false">IF($A8="","",IFERROR(AM8+AF8/INDEX(账户总表!$B:$B,COUNTA(账户总表!$A:$A)),0))</f>
        <v>0</v>
      </c>
      <c r="AO8" s="1" t="str">
        <f aca="false">IF($A8="","",IF(AN8&gt;INDEX(账户总表!$O:$O,COUNTA(账户总表!$A:$A)),"超限","合规"))</f>
        <v>合规</v>
      </c>
      <c r="AP8" s="1" t="str">
        <f aca="false">IF($A8="","",IF(AND(AL8="新标的",INDEX(账户总表!$R:$R,COUNTA(账户总表!$A:$A))&gt;=INDEX(账户总表!$S:$S,COUNTA(账户总表!$A:$A))),"新增受限","可通过"))</f>
        <v>新增受限</v>
      </c>
      <c r="AQ8" s="1" t="str">
        <f aca="false">IF($A8="","",IF(K8&lt;&gt;"核心池","非核心池",IF(OR(AI8="超限",AO8="超限",AP8="新增受限"),IF(AND(AT8="★信号强化",AS8&gt;=3),"可加仓(动态上限)","不可加仓"),"可加仓")))</f>
        <v>非核心池</v>
      </c>
      <c r="AR8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1手超单股上限；有效持仓数超限；现金不足；</v>
      </c>
      <c r="AU8" s="1" t="str">
        <f aca="false">IF($A8="","",IF(AK8&gt;30000-INDEX(账户总表!$B:$B,COUNTA(账户总表!$A:$A)),"不适合婴儿阶段","可纳入幼儿路径"))</f>
        <v>可纳入幼儿路径</v>
      </c>
    </row>
    <row r="9" customFormat="false" ht="15" hidden="false" customHeight="true" outlineLevel="0" collapsed="false">
      <c r="A9" s="68" t="n">
        <v>46236</v>
      </c>
      <c r="B9" s="69" t="s">
        <v>388</v>
      </c>
      <c r="C9" s="70" t="s">
        <v>389</v>
      </c>
      <c r="D9" s="70" t="n">
        <v>3.27</v>
      </c>
      <c r="E9" s="70" t="n">
        <v>3.27</v>
      </c>
      <c r="F9" s="70" t="n">
        <v>3.11</v>
      </c>
      <c r="G9" s="70" t="n">
        <v>0.0344860738356221</v>
      </c>
      <c r="H9" s="70" t="n">
        <v>0.881486167939846</v>
      </c>
      <c r="I9" s="70" t="s">
        <v>178</v>
      </c>
      <c r="J9" s="69" t="s">
        <v>446</v>
      </c>
      <c r="K9" s="71" t="str">
        <f aca="false">IF($A9="","",IF(AND(G9&lt;20%,H9&gt;0.9),"核心池",IF(AND(H9&gt;=0.85),"观察池",IF(AND(H9&gt;=0.8),"边缘池",""))))</f>
        <v>观察池</v>
      </c>
      <c r="L9" s="72" t="str">
        <f aca="false">IF($A9="","",IF(AND(G9&lt;60%,H9&gt;0.8,I9="True"),"是","否"))</f>
        <v>是</v>
      </c>
      <c r="M9" s="72" t="str">
        <f aca="false">IF($A9="","",IF(AND(D9&gt;0,E9&gt;0,D9&lt;=E9*1.02),"是","否"))</f>
        <v>是</v>
      </c>
      <c r="N9" s="70" t="str">
        <f aca="false">IFERROR(INDEX(账户总表!$O:$O,COUNTA(账户总表!$A:$A)),0)</f>
        <v/>
      </c>
      <c r="O9" s="70" t="n">
        <f aca="false">IFERROR(INDEX(账户总表!$B:$B,COUNTA(账户总表!$A:$A))*N9,0)</f>
        <v>0</v>
      </c>
      <c r="P9" s="70" t="n">
        <f aca="false">IFERROR(O9/D9,0)</f>
        <v>0</v>
      </c>
      <c r="Q9" s="70" t="n">
        <f aca="false">IFERROR(FLOOR(P9,100),0)</f>
        <v>0</v>
      </c>
      <c r="R9" s="70" t="n">
        <f aca="false">IFERROR(CEILING(800/(100*D9),1)*100,0)</f>
        <v>300</v>
      </c>
      <c r="S9" s="70"/>
      <c r="T9" s="70" t="n">
        <f aca="false">IFERROR(S9*D9,0)</f>
        <v>0</v>
      </c>
      <c r="U9" s="70" t="n">
        <f aca="false">IFERROR(T9/INDEX(账户总表!$B:$B,COUNTA(账户总表!$A:$A)),0)</f>
        <v>0</v>
      </c>
      <c r="V9" s="73" t="n">
        <f aca="false">IFERROR(INDEX(账户总表!$E:$E,COUNTA(账户总表!$A:$A))+U9,0)</f>
        <v>0</v>
      </c>
      <c r="W9" s="72" t="str">
        <f aca="false">IF($A9="","",IFERROR(IF(V9&lt;=INDEX(账户总表!$N:$N,COUNTA(账户总表!$A:$A)),"是","否"),"否"))</f>
        <v>是</v>
      </c>
      <c r="X9" s="70" t="n">
        <f aca="false">IF($A9="","",MAX(F9*0.98,D9*0.92))</f>
        <v>3.0478</v>
      </c>
      <c r="Y9" s="70"/>
      <c r="Z9" s="72" t="str">
        <f aca="false">IF($A9="","",IFERROR(IF(AND(T9&gt;INDEX(账户总表!$C:$C,COUNTA(账户总表!$A:$A)),L9="是"),"是","否"),"否"))</f>
        <v>否</v>
      </c>
      <c r="AA9" s="70" t="n">
        <f aca="false">IF($A9="","",IFERROR(IF(Z9="是",MAX(0,T9-INDEX(账户总表!$C:$C,COUNTA(账户总表!$A:$A)),IF(N9&gt;0,T9/N9-INDEX(账户总表!$B:$B,COUNTA(账户总表!$A:$A)),0)),0),0))</f>
        <v>0</v>
      </c>
      <c r="AB9" s="70" t="n">
        <f aca="false">IF($A9="","",IF(AND(Z9="是",INDEX(账户总表!$U:$U,COUNTA(账户总表!$A:$A))="是"),IF(INDEX(账户总表!$L:$L,COUNTA(账户总表!$A:$A))&gt;=4,AA9*1.5,AA9),0))</f>
        <v>0</v>
      </c>
      <c r="AC9" s="72" t="str">
        <f aca="false">IF($A9="","",IF(AND(L9="是",Q9&gt;=R9,S9&lt;=Q9,S9&gt;=R9,W9="是",X9&gt;0,M9="是",INDEX(账户总表!$M:$M,COUNTA(账户总表!$A:$A))&lt;=2,INDEX(账户总表!$V:$V,COUNTA(账户总表!$A:$A))="是",OR(T9&lt;=INDEX(账户总表!$C:$C,COUNTA(账户总表!$A:$A)),AND(Z9="是",INDEX(账户总表!$U:$U,COUNTA(账户总表!$A:$A))="是",AB9&gt;0))),"是","否"))</f>
        <v>否</v>
      </c>
      <c r="AD9" s="70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COUNTA(账户总表!$A:$A))&gt;2,"亏钱效应偏高",IF(INDEX(账户总表!$V:$V,COUNTA(账户总表!$A:$A))&lt;&gt;"是","账户不允许新开仓",IF(AND(T9&gt;INDEX(账户总表!$C:$C,COUNTA(账户总表!$A:$A)),INDEX(账户总表!$U:$U,COUNTA(账户总表!$A:$A))&lt;&gt;"是"),"现金不足且不允许转入",IF(AND(Z9="是",AB9&lt;=0),"转入金额未满足",""))))))))))))</f>
        <v>100股约束不满足</v>
      </c>
      <c r="AE9" s="70"/>
      <c r="AF9" s="1" t="n">
        <f aca="false">IF($A9="","",D9*100)</f>
        <v>327</v>
      </c>
      <c r="AG9" s="1" t="n">
        <f aca="false">IF($A9="","",IFERROR(AF9/INDEX(账户总表!$B:$B,COUNTA(账户总表!$A:$A)),0))</f>
        <v>0</v>
      </c>
      <c r="AH9" s="1" t="n">
        <f aca="false">IF($A9="","",IFERROR(INDEX(账户总表!$B:$B,COUNTA(账户总表!$A:$A))*INDEX(账户总表!$O:$O,COUNTA(账户总表!$A:$A)),0))</f>
        <v>0</v>
      </c>
      <c r="AI9" s="1" t="str">
        <f aca="false">IF($A9="","",IF(AF9&gt;AH9,"超限","合规"))</f>
        <v>超限</v>
      </c>
      <c r="AJ9" s="1" t="n">
        <f aca="false">IF($A9="","",IFERROR(AF9/INDEX(账户总表!$O:$O,COUNTA(账户总表!$A:$A)),0))</f>
        <v>0</v>
      </c>
      <c r="AK9" s="1" t="n">
        <f aca="false">IF($A9="","",IFERROR(MAX(0,AJ9-INDEX(账户总表!$B:$B,COUNTA(账户总表!$A:$A)),AF9-INDEX(账户总表!$C:$C,COUNTA(账户总表!$A:$A))),0))</f>
        <v>327</v>
      </c>
      <c r="AL9" s="1" t="str">
        <f aca="false">IF($A9="","",IF(COUNTIF(持仓表!$C$2:$C$201,C9)&gt;0,"已有","新标的"))</f>
        <v>已有</v>
      </c>
      <c r="AM9" s="1" t="n">
        <f aca="false">IF($A9="","",IFERROR(SUMIFS(持仓表!$N$2:$N$201,持仓表!$C$2:$C$201,C9,持仓表!$A$2:$A$201,$A9),0))</f>
        <v>0</v>
      </c>
      <c r="AN9" s="1" t="n">
        <f aca="false">IF($A9="","",IFERROR(AM9+AF9/INDEX(账户总表!$B:$B,COUNTA(账户总表!$A:$A)),0))</f>
        <v>0</v>
      </c>
      <c r="AO9" s="1" t="str">
        <f aca="false">IF($A9="","",IF(AN9&gt;INDEX(账户总表!$O:$O,COUNTA(账户总表!$A:$A)),"超限","合规"))</f>
        <v>合规</v>
      </c>
      <c r="AP9" s="1" t="str">
        <f aca="false">IF($A9="","",IF(AND(AL9="新标的",INDEX(账户总表!$R:$R,COUNTA(账户总表!$A:$A))&gt;=INDEX(账户总表!$S:$S,COUNTA(账户总表!$A:$A))),"新增受限","可通过"))</f>
        <v>可通过</v>
      </c>
      <c r="AQ9" s="1" t="str">
        <f aca="false">IF($A9="","",IF(K9&lt;&gt;"核心池","非核心池",IF(OR(AI9="超限",AO9="超限",AP9="新增受限"),IF(AND(AT9="★信号强化",AS9&gt;=3),"可加仓(动态上限)","不可加仓"),"可加仓")))</f>
        <v>非核心池</v>
      </c>
      <c r="AR9" s="1" t="str">
        <f aca="false">IF($A9="","",TRIM(IF(AI9="超限","1手超单股上限；","")&amp;IF(AO9="超限","买后仓位超限；","")&amp;IF(AP9="新增受限","有效持仓数超限；","")&amp;IF(AF9&gt;INDEX(账户总表!$C:$C,COUNTA(账户总表!$A:$A)),"现金不足；","")))</f>
        <v>1手超单股上限；现金不足；</v>
      </c>
      <c r="AU9" s="1" t="str">
        <f aca="false">IF($A9="","",IF(AK9&gt;30000-INDEX(账户总表!$B:$B,COUNTA(账户总表!$A:$A)),"不适合婴儿阶段","可纳入幼儿路径"))</f>
        <v>可纳入幼儿路径</v>
      </c>
    </row>
    <row r="10" customFormat="false" ht="15" hidden="false" customHeight="true" outlineLevel="0" collapsed="false">
      <c r="A10" s="68" t="n">
        <v>46236</v>
      </c>
      <c r="B10" s="69" t="s">
        <v>457</v>
      </c>
      <c r="C10" s="70" t="s">
        <v>458</v>
      </c>
      <c r="D10" s="70" t="n">
        <v>8.8</v>
      </c>
      <c r="E10" s="70" t="n">
        <v>8.8</v>
      </c>
      <c r="F10" s="70" t="n">
        <v>8.36</v>
      </c>
      <c r="G10" s="70" t="n">
        <v>0.0231832914337702</v>
      </c>
      <c r="H10" s="70" t="n">
        <v>0.859226772803077</v>
      </c>
      <c r="I10" s="70" t="s">
        <v>178</v>
      </c>
      <c r="J10" s="69" t="s">
        <v>446</v>
      </c>
      <c r="K10" s="71" t="str">
        <f aca="false">IF($A10="","",IF(AND(G10&lt;20%,H10&gt;0.9),"核心池",IF(AND(H10&gt;=0.85),"观察池",IF(AND(H10&gt;=0.8),"边缘池",""))))</f>
        <v>观察池</v>
      </c>
      <c r="L10" s="72" t="str">
        <f aca="false">IF($A10="","",IF(AND(G10&lt;60%,H10&gt;0.8,I10="True"),"是","否"))</f>
        <v>是</v>
      </c>
      <c r="M10" s="72" t="str">
        <f aca="false">IF($A10="","",IF(AND(D10&gt;0,E10&gt;0,D10&lt;=E10*1.02),"是","否"))</f>
        <v>是</v>
      </c>
      <c r="N10" s="70" t="str">
        <f aca="false">IFERROR(INDEX(账户总表!$O:$O,COUNTA(账户总表!$A:$A)),0)</f>
        <v/>
      </c>
      <c r="O10" s="70" t="n">
        <f aca="false">IFERROR(INDEX(账户总表!$B:$B,COUNTA(账户总表!$A:$A))*N10,0)</f>
        <v>0</v>
      </c>
      <c r="P10" s="70" t="n">
        <f aca="false">IFERROR(O10/D10,0)</f>
        <v>0</v>
      </c>
      <c r="Q10" s="70" t="n">
        <f aca="false">IFERROR(FLOOR(P10,100),0)</f>
        <v>0</v>
      </c>
      <c r="R10" s="70" t="n">
        <f aca="false">IFERROR(CEILING(800/(100*D10),1)*100,0)</f>
        <v>100</v>
      </c>
      <c r="S10" s="70"/>
      <c r="T10" s="70" t="n">
        <f aca="false">IFERROR(S10*D10,0)</f>
        <v>0</v>
      </c>
      <c r="U10" s="70" t="n">
        <f aca="false">IFERROR(T10/INDEX(账户总表!$B:$B,COUNTA(账户总表!$A:$A)),0)</f>
        <v>0</v>
      </c>
      <c r="V10" s="73" t="n">
        <f aca="false">IFERROR(INDEX(账户总表!$E:$E,COUNTA(账户总表!$A:$A))+U10,0)</f>
        <v>0</v>
      </c>
      <c r="W10" s="72" t="str">
        <f aca="false">IF($A10="","",IFERROR(IF(V10&lt;=INDEX(账户总表!$N:$N,COUNTA(账户总表!$A:$A)),"是","否"),"否"))</f>
        <v>是</v>
      </c>
      <c r="X10" s="70" t="n">
        <f aca="false">IF($A10="","",MAX(F10*0.98,D10*0.92))</f>
        <v>8.1928</v>
      </c>
      <c r="Y10" s="70"/>
      <c r="Z10" s="72" t="str">
        <f aca="false">IF($A10="","",IFERROR(IF(AND(T10&gt;INDEX(账户总表!$C:$C,COUNTA(账户总表!$A:$A)),L10="是"),"是","否"),"否"))</f>
        <v>否</v>
      </c>
      <c r="AA10" s="70" t="n">
        <f aca="false">IF($A10="","",IFERROR(IF(Z10="是",MAX(0,T10-INDEX(账户总表!$C:$C,COUNTA(账户总表!$A:$A)),IF(N10&gt;0,T10/N10-INDEX(账户总表!$B:$B,COUNTA(账户总表!$A:$A)),0)),0),0))</f>
        <v>0</v>
      </c>
      <c r="AB10" s="70" t="n">
        <f aca="false">IF($A10="","",IF(AND(Z10="是",INDEX(账户总表!$U:$U,COUNTA(账户总表!$A:$A))="是"),IF(INDEX(账户总表!$L:$L,COUNTA(账户总表!$A:$A))&gt;=4,AA10*1.5,AA10),0))</f>
        <v>0</v>
      </c>
      <c r="AC10" s="72" t="str">
        <f aca="false">IF($A10="","",IF(AND(L10="是",Q10&gt;=R10,S10&lt;=Q10,S10&gt;=R10,W10="是",X10&gt;0,M10="是",INDEX(账户总表!$M:$M,COUNTA(账户总表!$A:$A))&lt;=2,INDEX(账户总表!$V:$V,COUNTA(账户总表!$A:$A))="是",OR(T10&lt;=INDEX(账户总表!$C:$C,COUNTA(账户总表!$A:$A)),AND(Z10="是",INDEX(账户总表!$U:$U,COUNTA(账户总表!$A:$A))="是",AB10&gt;0))),"是","否"))</f>
        <v>否</v>
      </c>
      <c r="AD10" s="70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COUNTA(账户总表!$A:$A))&gt;2,"亏钱效应偏高",IF(INDEX(账户总表!$V:$V,COUNTA(账户总表!$A:$A))&lt;&gt;"是","账户不允许新开仓",IF(AND(T10&gt;INDEX(账户总表!$C:$C,COUNTA(账户总表!$A:$A)),INDEX(账户总表!$U:$U,COUNTA(账户总表!$A:$A))&lt;&gt;"是"),"现金不足且不允许转入",IF(AND(Z10="是",AB10&lt;=0),"转入金额未满足",""))))))))))))</f>
        <v>100股约束不满足</v>
      </c>
      <c r="AE10" s="70"/>
      <c r="AF10" s="1" t="n">
        <f aca="false">IF($A10="","",D10*100)</f>
        <v>880</v>
      </c>
      <c r="AG10" s="1" t="n">
        <f aca="false">IF($A10="","",IFERROR(AF10/INDEX(账户总表!$B:$B,COUNTA(账户总表!$A:$A)),0))</f>
        <v>0</v>
      </c>
      <c r="AH10" s="1" t="n">
        <f aca="false">IF($A10="","",IFERROR(INDEX(账户总表!$B:$B,COUNTA(账户总表!$A:$A))*INDEX(账户总表!$O:$O,COUNTA(账户总表!$A:$A)),0))</f>
        <v>0</v>
      </c>
      <c r="AI10" s="1" t="str">
        <f aca="false">IF($A10="","",IF(AF10&gt;AH10,"超限","合规"))</f>
        <v>超限</v>
      </c>
      <c r="AJ10" s="1" t="n">
        <f aca="false">IF($A10="","",IFERROR(AF10/INDEX(账户总表!$O:$O,COUNTA(账户总表!$A:$A)),0))</f>
        <v>0</v>
      </c>
      <c r="AK10" s="1" t="n">
        <f aca="false">IF($A10="","",IFERROR(MAX(0,AJ10-INDEX(账户总表!$B:$B,COUNTA(账户总表!$A:$A)),AF10-INDEX(账户总表!$C:$C,COUNTA(账户总表!$A:$A))),0))</f>
        <v>880</v>
      </c>
      <c r="AL10" s="1" t="str">
        <f aca="false">IF($A10="","",IF(COUNTIF(持仓表!$C$2:$C$201,C10)&gt;0,"已有","新标的"))</f>
        <v>新标的</v>
      </c>
      <c r="AM10" s="1" t="n">
        <f aca="false">IF($A10="","",IFERROR(SUMIFS(持仓表!$N$2:$N$201,持仓表!$C$2:$C$201,C10,持仓表!$A$2:$A$201,$A10),0))</f>
        <v>0</v>
      </c>
      <c r="AN10" s="1" t="n">
        <f aca="false">IF($A10="","",IFERROR(AM10+AF10/INDEX(账户总表!$B:$B,COUNTA(账户总表!$A:$A)),0))</f>
        <v>0</v>
      </c>
      <c r="AO10" s="1" t="str">
        <f aca="false">IF($A10="","",IF(AN10&gt;INDEX(账户总表!$O:$O,COUNTA(账户总表!$A:$A)),"超限","合规"))</f>
        <v>合规</v>
      </c>
      <c r="AP10" s="1" t="str">
        <f aca="false">IF($A10="","",IF(AND(AL10="新标的",INDEX(账户总表!$R:$R,COUNTA(账户总表!$A:$A))&gt;=INDEX(账户总表!$S:$S,COUNTA(账户总表!$A:$A))),"新增受限","可通过"))</f>
        <v>新增受限</v>
      </c>
      <c r="AQ10" s="1" t="str">
        <f aca="false">IF($A10="","",IF(K10&lt;&gt;"核心池","非核心池",IF(OR(AI10="超限",AO10="超限",AP10="新增受限"),IF(AND(AT10="★信号强化",AS10&gt;=3),"可加仓(动态上限)","不可加仓"),"可加仓")))</f>
        <v>非核心池</v>
      </c>
      <c r="AR10" s="1" t="str">
        <f aca="false">IF($A10="","",TRIM(IF(AI10="超限","1手超单股上限；","")&amp;IF(AO10="超限","买后仓位超限；","")&amp;IF(AP10="新增受限","有效持仓数超限；","")&amp;IF(AF10&gt;INDEX(账户总表!$C:$C,COUNTA(账户总表!$A:$A)),"现金不足；","")))</f>
        <v>1手超单股上限；有效持仓数超限；现金不足；</v>
      </c>
      <c r="AU10" s="1" t="str">
        <f aca="false">IF($A10="","",IF(AK10&gt;30000-INDEX(账户总表!$B:$B,COUNTA(账户总表!$A:$A)),"不适合婴儿阶段","可纳入幼儿路径"))</f>
        <v>可纳入幼儿路径</v>
      </c>
    </row>
    <row r="11" customFormat="false" ht="15" hidden="false" customHeight="true" outlineLevel="0" collapsed="false">
      <c r="A11" s="68" t="n">
        <v>46236</v>
      </c>
      <c r="B11" s="69" t="s">
        <v>380</v>
      </c>
      <c r="C11" s="70" t="s">
        <v>381</v>
      </c>
      <c r="D11" s="70" t="n">
        <v>8.07</v>
      </c>
      <c r="E11" s="70" t="n">
        <v>8.07</v>
      </c>
      <c r="F11" s="70" t="n">
        <v>7.67</v>
      </c>
      <c r="G11" s="70" t="n">
        <v>0.0959966399620133</v>
      </c>
      <c r="H11" s="70" t="n">
        <v>0.858342057623771</v>
      </c>
      <c r="I11" s="70" t="s">
        <v>178</v>
      </c>
      <c r="J11" s="69" t="s">
        <v>446</v>
      </c>
      <c r="K11" s="71" t="str">
        <f aca="false">IF($A11="","",IF(AND(G11&lt;20%,H11&gt;0.9),"核心池",IF(AND(H11&gt;=0.85),"观察池",IF(AND(H11&gt;=0.8),"边缘池",""))))</f>
        <v>观察池</v>
      </c>
      <c r="L11" s="72" t="str">
        <f aca="false">IF($A11="","",IF(AND(G11&lt;60%,H11&gt;0.8,I11="True"),"是","否"))</f>
        <v>是</v>
      </c>
      <c r="M11" s="72" t="str">
        <f aca="false">IF($A11="","",IF(AND(D11&gt;0,E11&gt;0,D11&lt;=E11*1.02),"是","否"))</f>
        <v>是</v>
      </c>
      <c r="N11" s="70" t="str">
        <f aca="false">IFERROR(INDEX(账户总表!$O:$O,COUNTA(账户总表!$A:$A)),0)</f>
        <v/>
      </c>
      <c r="O11" s="70" t="n">
        <f aca="false">IFERROR(INDEX(账户总表!$B:$B,COUNTA(账户总表!$A:$A))*N11,0)</f>
        <v>0</v>
      </c>
      <c r="P11" s="70" t="n">
        <f aca="false">IFERROR(O11/D11,0)</f>
        <v>0</v>
      </c>
      <c r="Q11" s="70" t="n">
        <f aca="false">IFERROR(FLOOR(P11,100),0)</f>
        <v>0</v>
      </c>
      <c r="R11" s="70" t="n">
        <f aca="false">IFERROR(CEILING(800/(100*D11),1)*100,0)</f>
        <v>100</v>
      </c>
      <c r="S11" s="70"/>
      <c r="T11" s="70" t="n">
        <f aca="false">IFERROR(S11*D11,0)</f>
        <v>0</v>
      </c>
      <c r="U11" s="70" t="n">
        <f aca="false">IFERROR(T11/INDEX(账户总表!$B:$B,COUNTA(账户总表!$A:$A)),0)</f>
        <v>0</v>
      </c>
      <c r="V11" s="73" t="n">
        <f aca="false">IFERROR(INDEX(账户总表!$E:$E,COUNTA(账户总表!$A:$A))+U11,0)</f>
        <v>0</v>
      </c>
      <c r="W11" s="72" t="str">
        <f aca="false">IF($A11="","",IFERROR(IF(V11&lt;=INDEX(账户总表!$N:$N,COUNTA(账户总表!$A:$A)),"是","否"),"否"))</f>
        <v>是</v>
      </c>
      <c r="X11" s="70" t="n">
        <f aca="false">IF($A11="","",MAX(F11*0.98,D11*0.92))</f>
        <v>7.5166</v>
      </c>
      <c r="Y11" s="70"/>
      <c r="Z11" s="72" t="str">
        <f aca="false">IF($A11="","",IFERROR(IF(AND(T11&gt;INDEX(账户总表!$C:$C,COUNTA(账户总表!$A:$A)),L11="是"),"是","否"),"否"))</f>
        <v>否</v>
      </c>
      <c r="AA11" s="70" t="n">
        <f aca="false">IF($A11="","",IFERROR(IF(Z11="是",MAX(0,T11-INDEX(账户总表!$C:$C,COUNTA(账户总表!$A:$A)),IF(N11&gt;0,T11/N11-INDEX(账户总表!$B:$B,COUNTA(账户总表!$A:$A)),0)),0),0))</f>
        <v>0</v>
      </c>
      <c r="AB11" s="70" t="n">
        <f aca="false">IF($A11="","",IF(AND(Z11="是",INDEX(账户总表!$U:$U,COUNTA(账户总表!$A:$A))="是"),IF(INDEX(账户总表!$L:$L,COUNTA(账户总表!$A:$A))&gt;=4,AA11*1.5,AA11),0))</f>
        <v>0</v>
      </c>
      <c r="AC11" s="72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>否</v>
      </c>
      <c r="AD11" s="70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>100股约束不满足</v>
      </c>
      <c r="AE11" s="70"/>
      <c r="AF11" s="1" t="n">
        <f aca="false">IF($A11="","",D11*100)</f>
        <v>807</v>
      </c>
      <c r="AG11" s="1" t="n">
        <f aca="false">IF($A11="","",IFERROR(AF11/INDEX(账户总表!$B:$B,COUNTA(账户总表!$A:$A)),0))</f>
        <v>0</v>
      </c>
      <c r="AH11" s="1" t="n">
        <f aca="false">IF($A11="","",IFERROR(INDEX(账户总表!$B:$B,COUNTA(账户总表!$A:$A))*INDEX(账户总表!$O:$O,COUNTA(账户总表!$A:$A)),0))</f>
        <v>0</v>
      </c>
      <c r="AI11" s="1" t="str">
        <f aca="false">IF($A11="","",IF(AF11&gt;AH11,"超限","合规"))</f>
        <v>超限</v>
      </c>
      <c r="AJ11" s="1" t="n">
        <f aca="false">IF($A11="","",IFERROR(AF11/INDEX(账户总表!$O:$O,COUNTA(账户总表!$A:$A)),0))</f>
        <v>0</v>
      </c>
      <c r="AK11" s="1" t="n">
        <f aca="false">IF($A11="","",IFERROR(MAX(0,AJ11-INDEX(账户总表!$B:$B,COUNTA(账户总表!$A:$A)),AF11-INDEX(账户总表!$C:$C,COUNTA(账户总表!$A:$A))),0))</f>
        <v>807</v>
      </c>
      <c r="AL11" s="1" t="str">
        <f aca="false">IF($A11="","",IF(COUNTIF(持仓表!$C$2:$C$201,C11)&gt;0,"已有","新标的"))</f>
        <v>已有</v>
      </c>
      <c r="AM11" s="1" t="n">
        <f aca="false">IF($A11="","",IFERROR(SUMIFS(持仓表!$N$2:$N$201,持仓表!$C$2:$C$201,C11,持仓表!$A$2:$A$201,$A11),0))</f>
        <v>0</v>
      </c>
      <c r="AN11" s="1" t="n">
        <f aca="false">IF($A11="","",IFERROR(AM11+AF11/INDEX(账户总表!$B:$B,COUNTA(账户总表!$A:$A)),0))</f>
        <v>0</v>
      </c>
      <c r="AO11" s="1" t="str">
        <f aca="false">IF($A11="","",IF(AN11&gt;INDEX(账户总表!$O:$O,COUNTA(账户总表!$A:$A)),"超限","合规"))</f>
        <v>合规</v>
      </c>
      <c r="AP11" s="1" t="str">
        <f aca="false">IF($A11="","",IF(AND(AL11="新标的",INDEX(账户总表!$R:$R,COUNTA(账户总表!$A:$A))&gt;=INDEX(账户总表!$S:$S,COUNTA(账户总表!$A:$A))),"新增受限","可通过"))</f>
        <v>可通过</v>
      </c>
      <c r="AQ11" s="1" t="str">
        <f aca="false">IF($A11="","",IF(K11&lt;&gt;"核心池","非核心池",IF(OR(AI11="超限",AO11="超限",AP11="新增受限"),IF(AND(AT11="★信号强化",AS11&gt;=3),"可加仓(动态上限)","不可加仓"),"可加仓")))</f>
        <v>非核心池</v>
      </c>
      <c r="AR11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>1手超单股上限；现金不足；</v>
      </c>
      <c r="AU11" s="1" t="str">
        <f aca="false">IF($A11="","",IF(AK11&gt;30000-INDEX(账户总表!$B:$B,COUNTA(账户总表!$A:$A)),"不适合婴儿阶段","可纳入幼儿路径"))</f>
        <v>可纳入幼儿路径</v>
      </c>
    </row>
    <row r="12" customFormat="false" ht="15" hidden="false" customHeight="true" outlineLevel="0" collapsed="false">
      <c r="A12" s="68" t="n">
        <v>46236</v>
      </c>
      <c r="B12" s="69" t="s">
        <v>405</v>
      </c>
      <c r="C12" s="70" t="s">
        <v>406</v>
      </c>
      <c r="D12" s="70" t="n">
        <v>4.27</v>
      </c>
      <c r="E12" s="70" t="n">
        <v>4.27</v>
      </c>
      <c r="F12" s="70" t="n">
        <v>4.06</v>
      </c>
      <c r="G12" s="70" t="n">
        <v>0.222199658256224</v>
      </c>
      <c r="H12" s="70" t="n">
        <v>0.93220641762683</v>
      </c>
      <c r="I12" s="70" t="s">
        <v>178</v>
      </c>
      <c r="J12" s="69" t="s">
        <v>446</v>
      </c>
      <c r="K12" s="71" t="str">
        <f aca="false">IF($A12="","",IF(AND(G12&lt;20%,H12&gt;0.9),"核心池",IF(AND(H12&gt;=0.85),"观察池",IF(AND(H12&gt;=0.8),"边缘池",""))))</f>
        <v>观察池</v>
      </c>
      <c r="L12" s="72" t="str">
        <f aca="false">IF($A12="","",IF(AND(G12&lt;60%,H12&gt;0.8,I12="True"),"是","否"))</f>
        <v>是</v>
      </c>
      <c r="M12" s="72" t="str">
        <f aca="false">IF($A12="","",IF(AND(D12&gt;0,E12&gt;0,D12&lt;=E12*1.02),"是","否"))</f>
        <v>是</v>
      </c>
      <c r="N12" s="70" t="str">
        <f aca="false">IFERROR(INDEX(账户总表!$O:$O,COUNTA(账户总表!$A:$A)),0)</f>
        <v/>
      </c>
      <c r="O12" s="70" t="n">
        <f aca="false">IFERROR(INDEX(账户总表!$B:$B,COUNTA(账户总表!$A:$A))*N12,0)</f>
        <v>0</v>
      </c>
      <c r="P12" s="70" t="n">
        <f aca="false">IFERROR(O12/D12,0)</f>
        <v>0</v>
      </c>
      <c r="Q12" s="70" t="n">
        <f aca="false">IFERROR(FLOOR(P12,100),0)</f>
        <v>0</v>
      </c>
      <c r="R12" s="70" t="n">
        <f aca="false">IFERROR(CEILING(800/(100*D12),1)*100,0)</f>
        <v>200</v>
      </c>
      <c r="S12" s="70"/>
      <c r="T12" s="70" t="n">
        <f aca="false">IFERROR(S12*D12,0)</f>
        <v>0</v>
      </c>
      <c r="U12" s="70" t="n">
        <f aca="false">IFERROR(T12/INDEX(账户总表!$B:$B,COUNTA(账户总表!$A:$A)),0)</f>
        <v>0</v>
      </c>
      <c r="V12" s="73" t="n">
        <f aca="false">IFERROR(INDEX(账户总表!$E:$E,COUNTA(账户总表!$A:$A))+U12,0)</f>
        <v>0</v>
      </c>
      <c r="W12" s="72" t="str">
        <f aca="false">IF($A12="","",IFERROR(IF(V12&lt;=INDEX(账户总表!$N:$N,COUNTA(账户总表!$A:$A)),"是","否"),"否"))</f>
        <v>是</v>
      </c>
      <c r="X12" s="70" t="n">
        <f aca="false">IF($A12="","",MAX(F12*0.98,D12*0.92))</f>
        <v>3.9788</v>
      </c>
      <c r="Y12" s="70"/>
      <c r="Z12" s="72" t="str">
        <f aca="false">IF($A12="","",IFERROR(IF(AND(T12&gt;INDEX(账户总表!$C:$C,COUNTA(账户总表!$A:$A)),L12="是"),"是","否"),"否"))</f>
        <v>否</v>
      </c>
      <c r="AA12" s="70" t="n">
        <f aca="false">IF($A12="","",IFERROR(IF(Z12="是",MAX(0,T12-INDEX(账户总表!$C:$C,COUNTA(账户总表!$A:$A)),IF(N12&gt;0,T12/N12-INDEX(账户总表!$B:$B,COUNTA(账户总表!$A:$A)),0)),0),0))</f>
        <v>0</v>
      </c>
      <c r="AB12" s="70" t="n">
        <f aca="false">IF($A12="","",IF(AND(Z12="是",INDEX(账户总表!$U:$U,COUNTA(账户总表!$A:$A))="是"),IF(INDEX(账户总表!$L:$L,COUNTA(账户总表!$A:$A))&gt;=4,AA12*1.5,AA12),0))</f>
        <v>0</v>
      </c>
      <c r="AC12" s="72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>否</v>
      </c>
      <c r="AD12" s="70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>100股约束不满足</v>
      </c>
      <c r="AE12" s="70"/>
      <c r="AF12" s="1" t="n">
        <f aca="false">IF($A12="","",D12*100)</f>
        <v>427</v>
      </c>
      <c r="AG12" s="1" t="n">
        <f aca="false">IF($A12="","",IFERROR(AF12/INDEX(账户总表!$B:$B,COUNTA(账户总表!$A:$A)),0))</f>
        <v>0</v>
      </c>
      <c r="AH12" s="1" t="n">
        <f aca="false">IF($A12="","",IFERROR(INDEX(账户总表!$B:$B,COUNTA(账户总表!$A:$A))*INDEX(账户总表!$O:$O,COUNTA(账户总表!$A:$A)),0))</f>
        <v>0</v>
      </c>
      <c r="AI12" s="1" t="str">
        <f aca="false">IF($A12="","",IF(AF12&gt;AH12,"超限","合规"))</f>
        <v>超限</v>
      </c>
      <c r="AJ12" s="1" t="n">
        <f aca="false">IF($A12="","",IFERROR(AF12/INDEX(账户总表!$O:$O,COUNTA(账户总表!$A:$A)),0))</f>
        <v>0</v>
      </c>
      <c r="AK12" s="1" t="n">
        <f aca="false">IF($A12="","",IFERROR(MAX(0,AJ12-INDEX(账户总表!$B:$B,COUNTA(账户总表!$A:$A)),AF12-INDEX(账户总表!$C:$C,COUNTA(账户总表!$A:$A))),0))</f>
        <v>427</v>
      </c>
      <c r="AL12" s="1" t="str">
        <f aca="false">IF($A12="","",IF(COUNTIF(持仓表!$C$2:$C$201,C12)&gt;0,"已有","新标的"))</f>
        <v>新标的</v>
      </c>
      <c r="AM12" s="1" t="n">
        <f aca="false">IF($A12="","",IFERROR(SUMIFS(持仓表!$N$2:$N$201,持仓表!$C$2:$C$201,C12,持仓表!$A$2:$A$201,$A12),0))</f>
        <v>0</v>
      </c>
      <c r="AN12" s="1" t="n">
        <f aca="false">IF($A12="","",IFERROR(AM12+AF12/INDEX(账户总表!$B:$B,COUNTA(账户总表!$A:$A)),0))</f>
        <v>0</v>
      </c>
      <c r="AO12" s="1" t="str">
        <f aca="false">IF($A12="","",IF(AN12&gt;INDEX(账户总表!$O:$O,COUNTA(账户总表!$A:$A)),"超限","合规"))</f>
        <v>合规</v>
      </c>
      <c r="AP12" s="1" t="str">
        <f aca="false">IF($A12="","",IF(AND(AL12="新标的",INDEX(账户总表!$R:$R,COUNTA(账户总表!$A:$A))&gt;=INDEX(账户总表!$S:$S,COUNTA(账户总表!$A:$A))),"新增受限","可通过"))</f>
        <v>新增受限</v>
      </c>
      <c r="AQ12" s="1" t="str">
        <f aca="false">IF($A12="","",IF(K12&lt;&gt;"核心池","非核心池",IF(OR(AI12="超限",AO12="超限",AP12="新增受限"),IF(AND(AT12="★信号强化",AS12&gt;=3),"可加仓(动态上限)","不可加仓"),"可加仓")))</f>
        <v>非核心池</v>
      </c>
      <c r="AR12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>1手超单股上限；有效持仓数超限；现金不足；</v>
      </c>
      <c r="AU12" s="1" t="str">
        <f aca="false">IF($A12="","",IF(AK12&gt;30000-INDEX(账户总表!$B:$B,COUNTA(账户总表!$A:$A)),"不适合婴儿阶段","可纳入幼儿路径"))</f>
        <v>可纳入幼儿路径</v>
      </c>
    </row>
    <row r="13" customFormat="false" ht="15" hidden="false" customHeight="true" outlineLevel="0" collapsed="false">
      <c r="A13" s="68" t="n">
        <v>46236</v>
      </c>
      <c r="B13" s="69" t="s">
        <v>459</v>
      </c>
      <c r="C13" s="70" t="s">
        <v>460</v>
      </c>
      <c r="D13" s="70" t="n">
        <v>18.92</v>
      </c>
      <c r="E13" s="70" t="n">
        <v>18.92</v>
      </c>
      <c r="F13" s="70" t="n">
        <v>17.97</v>
      </c>
      <c r="G13" s="70" t="n">
        <v>0.271847817584572</v>
      </c>
      <c r="H13" s="70" t="n">
        <v>0.92882873447091</v>
      </c>
      <c r="I13" s="70" t="s">
        <v>178</v>
      </c>
      <c r="J13" s="69" t="s">
        <v>446</v>
      </c>
      <c r="K13" s="71" t="str">
        <f aca="false">IF($A13="","",IF(AND(G13&lt;20%,H13&gt;0.9),"核心池",IF(AND(H13&gt;=0.85),"观察池",IF(AND(H13&gt;=0.8),"边缘池",""))))</f>
        <v>观察池</v>
      </c>
      <c r="L13" s="72" t="str">
        <f aca="false">IF($A13="","",IF(AND(G13&lt;60%,H13&gt;0.8,I13="True"),"是","否"))</f>
        <v>是</v>
      </c>
      <c r="M13" s="72" t="str">
        <f aca="false">IF($A13="","",IF(AND(D13&gt;0,E13&gt;0,D13&lt;=E13*1.02),"是","否"))</f>
        <v>是</v>
      </c>
      <c r="N13" s="70" t="str">
        <f aca="false">IFERROR(INDEX(账户总表!$O:$O,COUNTA(账户总表!$A:$A)),0)</f>
        <v/>
      </c>
      <c r="O13" s="70" t="n">
        <f aca="false">IFERROR(INDEX(账户总表!$B:$B,COUNTA(账户总表!$A:$A))*N13,0)</f>
        <v>0</v>
      </c>
      <c r="P13" s="70" t="n">
        <f aca="false">IFERROR(O13/D13,0)</f>
        <v>0</v>
      </c>
      <c r="Q13" s="70" t="n">
        <f aca="false">IFERROR(FLOOR(P13,100),0)</f>
        <v>0</v>
      </c>
      <c r="R13" s="70" t="n">
        <f aca="false">IFERROR(CEILING(800/(100*D13),1)*100,0)</f>
        <v>100</v>
      </c>
      <c r="S13" s="70"/>
      <c r="T13" s="70" t="n">
        <f aca="false">IFERROR(S13*D13,0)</f>
        <v>0</v>
      </c>
      <c r="U13" s="70" t="n">
        <f aca="false">IFERROR(T13/INDEX(账户总表!$B:$B,COUNTA(账户总表!$A:$A)),0)</f>
        <v>0</v>
      </c>
      <c r="V13" s="73" t="n">
        <f aca="false">IFERROR(INDEX(账户总表!$E:$E,COUNTA(账户总表!$A:$A))+U13,0)</f>
        <v>0</v>
      </c>
      <c r="W13" s="72" t="str">
        <f aca="false">IF($A13="","",IFERROR(IF(V13&lt;=INDEX(账户总表!$N:$N,COUNTA(账户总表!$A:$A)),"是","否"),"否"))</f>
        <v>是</v>
      </c>
      <c r="X13" s="70" t="n">
        <f aca="false">IF($A13="","",MAX(F13*0.98,D13*0.92))</f>
        <v>17.6106</v>
      </c>
      <c r="Y13" s="70"/>
      <c r="Z13" s="72" t="str">
        <f aca="false">IF($A13="","",IFERROR(IF(AND(T13&gt;INDEX(账户总表!$C:$C,COUNTA(账户总表!$A:$A)),L13="是"),"是","否"),"否"))</f>
        <v>否</v>
      </c>
      <c r="AA13" s="70" t="n">
        <f aca="false">IF($A13="","",IFERROR(IF(Z13="是",MAX(0,T13-INDEX(账户总表!$C:$C,COUNTA(账户总表!$A:$A)),IF(N13&gt;0,T13/N13-INDEX(账户总表!$B:$B,COUNTA(账户总表!$A:$A)),0)),0),0))</f>
        <v>0</v>
      </c>
      <c r="AB13" s="70" t="n">
        <f aca="false">IF($A13="","",IF(AND(Z13="是",INDEX(账户总表!$U:$U,COUNTA(账户总表!$A:$A))="是"),IF(INDEX(账户总表!$L:$L,COUNTA(账户总表!$A:$A))&gt;=4,AA13*1.5,AA13),0))</f>
        <v>0</v>
      </c>
      <c r="AC13" s="72" t="str">
        <f aca="false">IF($A13="","",IF(AND(L13="是",Q13&gt;=R13,S13&lt;=Q13,S13&gt;=R13,W13="是",X13&gt;0,M13="是",INDEX(账户总表!$M:$M,COUNTA(账户总表!$A:$A))&lt;=2,INDEX(账户总表!$V:$V,COUNTA(账户总表!$A:$A))="是",OR(T13&lt;=INDEX(账户总表!$C:$C,COUNTA(账户总表!$A:$A)),AND(Z13="是",INDEX(账户总表!$U:$U,COUNTA(账户总表!$A:$A))="是",AB13&gt;0))),"是","否"))</f>
        <v>否</v>
      </c>
      <c r="AD13" s="70" t="str">
        <f aca="false"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COUNTA(账户总表!$A:$A))&gt;2,"亏钱效应偏高",IF(INDEX(账户总表!$V:$V,COUNTA(账户总表!$A:$A))&lt;&gt;"是","账户不允许新开仓",IF(AND(T13&gt;INDEX(账户总表!$C:$C,COUNTA(账户总表!$A:$A)),INDEX(账户总表!$U:$U,COUNTA(账户总表!$A:$A))&lt;&gt;"是"),"现金不足且不允许转入",IF(AND(Z13="是",AB13&lt;=0),"转入金额未满足",""))))))))))))</f>
        <v>100股约束不满足</v>
      </c>
      <c r="AE13" s="70"/>
      <c r="AF13" s="1" t="n">
        <f aca="false">IF($A13="","",D13*100)</f>
        <v>1892</v>
      </c>
      <c r="AG13" s="1" t="n">
        <f aca="false">IF($A13="","",IFERROR(AF13/INDEX(账户总表!$B:$B,COUNTA(账户总表!$A:$A)),0))</f>
        <v>0</v>
      </c>
      <c r="AH13" s="1" t="n">
        <f aca="false">IF($A13="","",IFERROR(INDEX(账户总表!$B:$B,COUNTA(账户总表!$A:$A))*INDEX(账户总表!$O:$O,COUNTA(账户总表!$A:$A)),0))</f>
        <v>0</v>
      </c>
      <c r="AI13" s="1" t="str">
        <f aca="false">IF($A13="","",IF(AF13&gt;AH13,"超限","合规"))</f>
        <v>超限</v>
      </c>
      <c r="AJ13" s="1" t="n">
        <f aca="false">IF($A13="","",IFERROR(AF13/INDEX(账户总表!$O:$O,COUNTA(账户总表!$A:$A)),0))</f>
        <v>0</v>
      </c>
      <c r="AK13" s="1" t="n">
        <f aca="false">IF($A13="","",IFERROR(MAX(0,AJ13-INDEX(账户总表!$B:$B,COUNTA(账户总表!$A:$A)),AF13-INDEX(账户总表!$C:$C,COUNTA(账户总表!$A:$A))),0))</f>
        <v>1892</v>
      </c>
      <c r="AL13" s="1" t="str">
        <f aca="false">IF($A13="","",IF(COUNTIF(持仓表!$C$2:$C$201,C13)&gt;0,"已有","新标的"))</f>
        <v>新标的</v>
      </c>
      <c r="AM13" s="1" t="n">
        <f aca="false">IF($A13="","",IFERROR(SUMIFS(持仓表!$N$2:$N$201,持仓表!$C$2:$C$201,C13,持仓表!$A$2:$A$201,$A13),0))</f>
        <v>0</v>
      </c>
      <c r="AN13" s="1" t="n">
        <f aca="false">IF($A13="","",IFERROR(AM13+AF13/INDEX(账户总表!$B:$B,COUNTA(账户总表!$A:$A)),0))</f>
        <v>0</v>
      </c>
      <c r="AO13" s="1" t="str">
        <f aca="false">IF($A13="","",IF(AN13&gt;INDEX(账户总表!$O:$O,COUNTA(账户总表!$A:$A)),"超限","合规"))</f>
        <v>合规</v>
      </c>
      <c r="AP13" s="1" t="str">
        <f aca="false">IF($A13="","",IF(AND(AL13="新标的",INDEX(账户总表!$R:$R,COUNTA(账户总表!$A:$A))&gt;=INDEX(账户总表!$S:$S,COUNTA(账户总表!$A:$A))),"新增受限","可通过"))</f>
        <v>新增受限</v>
      </c>
      <c r="AQ13" s="1" t="str">
        <f aca="false">IF($A13="","",IF(K13&lt;&gt;"核心池","非核心池",IF(OR(AI13="超限",AO13="超限",AP13="新增受限"),IF(AND(AT13="★信号强化",AS13&gt;=3),"可加仓(动态上限)","不可加仓"),"可加仓")))</f>
        <v>非核心池</v>
      </c>
      <c r="AR13" s="1" t="str">
        <f aca="false">IF($A13="","",TRIM(IF(AI13="超限","1手超单股上限；","")&amp;IF(AO13="超限","买后仓位超限；","")&amp;IF(AP13="新增受限","有效持仓数超限；","")&amp;IF(AF13&gt;INDEX(账户总表!$C:$C,COUNTA(账户总表!$A:$A)),"现金不足；","")))</f>
        <v>1手超单股上限；有效持仓数超限；现金不足；</v>
      </c>
      <c r="AU13" s="1" t="str">
        <f aca="false">IF($A13="","",IF(AK13&gt;30000-INDEX(账户总表!$B:$B,COUNTA(账户总表!$A:$A)),"不适合婴儿阶段","可纳入幼儿路径"))</f>
        <v>可纳入幼儿路径</v>
      </c>
    </row>
    <row r="14" customFormat="false" ht="15" hidden="false" customHeight="true" outlineLevel="0" collapsed="false">
      <c r="A14" s="68" t="n">
        <v>46236</v>
      </c>
      <c r="B14" s="69" t="s">
        <v>461</v>
      </c>
      <c r="C14" s="70" t="s">
        <v>462</v>
      </c>
      <c r="D14" s="70" t="n">
        <v>3.49</v>
      </c>
      <c r="E14" s="70" t="n">
        <v>3.49</v>
      </c>
      <c r="F14" s="70" t="n">
        <v>3.32</v>
      </c>
      <c r="G14" s="70" t="n">
        <v>0.183590145779313</v>
      </c>
      <c r="H14" s="70" t="n">
        <v>0.896206554929008</v>
      </c>
      <c r="I14" s="70" t="s">
        <v>178</v>
      </c>
      <c r="J14" s="69" t="s">
        <v>446</v>
      </c>
      <c r="K14" s="71" t="str">
        <f aca="false">IF($A14="","",IF(AND(G14&lt;20%,H14&gt;0.9),"核心池",IF(AND(H14&gt;=0.85),"观察池",IF(AND(H14&gt;=0.8),"边缘池",""))))</f>
        <v>观察池</v>
      </c>
      <c r="L14" s="72" t="str">
        <f aca="false">IF($A14="","",IF(AND(G14&lt;60%,H14&gt;0.8,I14="True"),"是","否"))</f>
        <v>是</v>
      </c>
      <c r="M14" s="72" t="str">
        <f aca="false">IF($A14="","",IF(AND(D14&gt;0,E14&gt;0,D14&lt;=E14*1.02),"是","否"))</f>
        <v>是</v>
      </c>
      <c r="N14" s="70" t="str">
        <f aca="false">IFERROR(INDEX(账户总表!$O:$O,COUNTA(账户总表!$A:$A)),0)</f>
        <v/>
      </c>
      <c r="O14" s="70" t="n">
        <f aca="false">IFERROR(INDEX(账户总表!$B:$B,COUNTA(账户总表!$A:$A))*N14,0)</f>
        <v>0</v>
      </c>
      <c r="P14" s="70" t="n">
        <f aca="false">IFERROR(O14/D14,0)</f>
        <v>0</v>
      </c>
      <c r="Q14" s="70" t="n">
        <f aca="false">IFERROR(FLOOR(P14,100),0)</f>
        <v>0</v>
      </c>
      <c r="R14" s="70" t="n">
        <f aca="false">IFERROR(CEILING(800/(100*D14),1)*100,0)</f>
        <v>300</v>
      </c>
      <c r="S14" s="70"/>
      <c r="T14" s="70" t="n">
        <f aca="false">IFERROR(S14*D14,0)</f>
        <v>0</v>
      </c>
      <c r="U14" s="70" t="n">
        <f aca="false">IFERROR(T14/INDEX(账户总表!$B:$B,COUNTA(账户总表!$A:$A)),0)</f>
        <v>0</v>
      </c>
      <c r="V14" s="73" t="n">
        <f aca="false">IFERROR(INDEX(账户总表!$E:$E,COUNTA(账户总表!$A:$A))+U14,0)</f>
        <v>0</v>
      </c>
      <c r="W14" s="72" t="str">
        <f aca="false">IF($A14="","",IFERROR(IF(V14&lt;=INDEX(账户总表!$N:$N,COUNTA(账户总表!$A:$A)),"是","否"),"否"))</f>
        <v>是</v>
      </c>
      <c r="X14" s="70" t="n">
        <f aca="false">IF($A14="","",MAX(F14*0.98,D14*0.92))</f>
        <v>3.2536</v>
      </c>
      <c r="Y14" s="70"/>
      <c r="Z14" s="72" t="str">
        <f aca="false">IF($A14="","",IFERROR(IF(AND(T14&gt;INDEX(账户总表!$C:$C,COUNTA(账户总表!$A:$A)),L14="是"),"是","否"),"否"))</f>
        <v>否</v>
      </c>
      <c r="AA14" s="70" t="n">
        <f aca="false">IF($A14="","",IFERROR(IF(Z14="是",MAX(0,T14-INDEX(账户总表!$C:$C,COUNTA(账户总表!$A:$A)),IF(N14&gt;0,T14/N14-INDEX(账户总表!$B:$B,COUNTA(账户总表!$A:$A)),0)),0),0))</f>
        <v>0</v>
      </c>
      <c r="AB14" s="70" t="n">
        <f aca="false">IF($A14="","",IF(AND(Z14="是",INDEX(账户总表!$U:$U,COUNTA(账户总表!$A:$A))="是"),IF(INDEX(账户总表!$L:$L,COUNTA(账户总表!$A:$A))&gt;=4,AA14*1.5,AA14),0))</f>
        <v>0</v>
      </c>
      <c r="AC14" s="72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>否</v>
      </c>
      <c r="AD14" s="70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>100股约束不满足</v>
      </c>
      <c r="AE14" s="70"/>
      <c r="AF14" s="1" t="n">
        <f aca="false">IF($A14="","",D14*100)</f>
        <v>349</v>
      </c>
      <c r="AG14" s="1" t="n">
        <f aca="false">IF($A14="","",IFERROR(AF14/INDEX(账户总表!$B:$B,COUNTA(账户总表!$A:$A)),0))</f>
        <v>0</v>
      </c>
      <c r="AH14" s="1" t="n">
        <f aca="false">IF($A14="","",IFERROR(INDEX(账户总表!$B:$B,COUNTA(账户总表!$A:$A))*INDEX(账户总表!$O:$O,COUNTA(账户总表!$A:$A)),0))</f>
        <v>0</v>
      </c>
      <c r="AI14" s="1" t="str">
        <f aca="false">IF($A14="","",IF(AF14&gt;AH14,"超限","合规"))</f>
        <v>超限</v>
      </c>
      <c r="AJ14" s="1" t="n">
        <f aca="false">IF($A14="","",IFERROR(AF14/INDEX(账户总表!$O:$O,COUNTA(账户总表!$A:$A)),0))</f>
        <v>0</v>
      </c>
      <c r="AK14" s="1" t="n">
        <f aca="false">IF($A14="","",IFERROR(MAX(0,AJ14-INDEX(账户总表!$B:$B,COUNTA(账户总表!$A:$A)),AF14-INDEX(账户总表!$C:$C,COUNTA(账户总表!$A:$A))),0))</f>
        <v>349</v>
      </c>
      <c r="AL14" s="1" t="str">
        <f aca="false">IF($A14="","",IF(COUNTIF(持仓表!$C$2:$C$201,C14)&gt;0,"已有","新标的"))</f>
        <v>新标的</v>
      </c>
      <c r="AM14" s="1" t="n">
        <f aca="false">IF($A14="","",IFERROR(SUMIFS(持仓表!$N$2:$N$201,持仓表!$C$2:$C$201,C14,持仓表!$A$2:$A$201,$A14),0))</f>
        <v>0</v>
      </c>
      <c r="AN14" s="1" t="n">
        <f aca="false">IF($A14="","",IFERROR(AM14+AF14/INDEX(账户总表!$B:$B,COUNTA(账户总表!$A:$A)),0))</f>
        <v>0</v>
      </c>
      <c r="AO14" s="1" t="str">
        <f aca="false">IF($A14="","",IF(AN14&gt;INDEX(账户总表!$O:$O,COUNTA(账户总表!$A:$A)),"超限","合规"))</f>
        <v>合规</v>
      </c>
      <c r="AP14" s="1" t="str">
        <f aca="false">IF($A14="","",IF(AND(AL14="新标的",INDEX(账户总表!$R:$R,COUNTA(账户总表!$A:$A))&gt;=INDEX(账户总表!$S:$S,COUNTA(账户总表!$A:$A))),"新增受限","可通过"))</f>
        <v>新增受限</v>
      </c>
      <c r="AQ14" s="1" t="str">
        <f aca="false">IF($A14="","",IF(K14&lt;&gt;"核心池","非核心池",IF(OR(AI14="超限",AO14="超限",AP14="新增受限"),IF(AND(AT14="★信号强化",AS14&gt;=3),"可加仓(动态上限)","不可加仓"),"可加仓")))</f>
        <v>非核心池</v>
      </c>
      <c r="AR14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>1手超单股上限；有效持仓数超限；现金不足；</v>
      </c>
      <c r="AU14" s="1" t="str">
        <f aca="false">IF($A14="","",IF(AK14&gt;30000-INDEX(账户总表!$B:$B,COUNTA(账户总表!$A:$A)),"不适合婴儿阶段","可纳入幼儿路径"))</f>
        <v>可纳入幼儿路径</v>
      </c>
    </row>
    <row r="15" customFormat="false" ht="15" hidden="false" customHeight="true" outlineLevel="0" collapsed="false">
      <c r="A15" s="68" t="n">
        <v>46236</v>
      </c>
      <c r="B15" s="69" t="s">
        <v>463</v>
      </c>
      <c r="C15" s="70" t="s">
        <v>464</v>
      </c>
      <c r="D15" s="70" t="n">
        <v>6.41</v>
      </c>
      <c r="E15" s="70" t="n">
        <v>6.41</v>
      </c>
      <c r="F15" s="70" t="n">
        <v>6.09</v>
      </c>
      <c r="G15" s="70" t="n">
        <v>0.0692949683245616</v>
      </c>
      <c r="H15" s="70" t="n">
        <v>0.856547267966996</v>
      </c>
      <c r="I15" s="70" t="s">
        <v>178</v>
      </c>
      <c r="J15" s="69" t="s">
        <v>446</v>
      </c>
      <c r="K15" s="71" t="str">
        <f aca="false">IF($A15="","",IF(AND(G15&lt;20%,H15&gt;0.9),"核心池",IF(AND(H15&gt;=0.85),"观察池",IF(AND(H15&gt;=0.8),"边缘池",""))))</f>
        <v>观察池</v>
      </c>
      <c r="L15" s="72" t="str">
        <f aca="false">IF($A15="","",IF(AND(G15&lt;60%,H15&gt;0.8,I15="True"),"是","否"))</f>
        <v>是</v>
      </c>
      <c r="M15" s="72" t="str">
        <f aca="false">IF($A15="","",IF(AND(D15&gt;0,E15&gt;0,D15&lt;=E15*1.02),"是","否"))</f>
        <v>是</v>
      </c>
      <c r="N15" s="70" t="str">
        <f aca="false">IFERROR(INDEX(账户总表!$O:$O,COUNTA(账户总表!$A:$A)),0)</f>
        <v/>
      </c>
      <c r="O15" s="70" t="n">
        <f aca="false">IFERROR(INDEX(账户总表!$B:$B,COUNTA(账户总表!$A:$A))*N15,0)</f>
        <v>0</v>
      </c>
      <c r="P15" s="70" t="n">
        <f aca="false">IFERROR(O15/D15,0)</f>
        <v>0</v>
      </c>
      <c r="Q15" s="70" t="n">
        <f aca="false">IFERROR(FLOOR(P15,100),0)</f>
        <v>0</v>
      </c>
      <c r="R15" s="70" t="n">
        <f aca="false">IFERROR(CEILING(800/(100*D15),1)*100,0)</f>
        <v>200</v>
      </c>
      <c r="S15" s="70"/>
      <c r="T15" s="70" t="n">
        <f aca="false">IFERROR(S15*D15,0)</f>
        <v>0</v>
      </c>
      <c r="U15" s="70" t="n">
        <f aca="false">IFERROR(T15/INDEX(账户总表!$B:$B,COUNTA(账户总表!$A:$A)),0)</f>
        <v>0</v>
      </c>
      <c r="V15" s="73" t="n">
        <f aca="false">IFERROR(INDEX(账户总表!$E:$E,COUNTA(账户总表!$A:$A))+U15,0)</f>
        <v>0</v>
      </c>
      <c r="W15" s="72" t="str">
        <f aca="false">IF($A15="","",IFERROR(IF(V15&lt;=INDEX(账户总表!$N:$N,COUNTA(账户总表!$A:$A)),"是","否"),"否"))</f>
        <v>是</v>
      </c>
      <c r="X15" s="70" t="n">
        <f aca="false">IF($A15="","",MAX(F15*0.98,D15*0.92))</f>
        <v>5.9682</v>
      </c>
      <c r="Y15" s="70"/>
      <c r="Z15" s="72" t="str">
        <f aca="false">IF($A15="","",IFERROR(IF(AND(T15&gt;INDEX(账户总表!$C:$C,COUNTA(账户总表!$A:$A)),L15="是"),"是","否"),"否"))</f>
        <v>否</v>
      </c>
      <c r="AA15" s="70" t="n">
        <f aca="false">IF($A15="","",IFERROR(IF(Z15="是",MAX(0,T15-INDEX(账户总表!$C:$C,COUNTA(账户总表!$A:$A)),IF(N15&gt;0,T15/N15-INDEX(账户总表!$B:$B,COUNTA(账户总表!$A:$A)),0)),0),0))</f>
        <v>0</v>
      </c>
      <c r="AB15" s="70" t="n">
        <f aca="false">IF($A15="","",IF(AND(Z15="是",INDEX(账户总表!$U:$U,COUNTA(账户总表!$A:$A))="是"),IF(INDEX(账户总表!$L:$L,COUNTA(账户总表!$A:$A))&gt;=4,AA15*1.5,AA15),0))</f>
        <v>0</v>
      </c>
      <c r="AC15" s="72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>否</v>
      </c>
      <c r="AD15" s="70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>100股约束不满足</v>
      </c>
      <c r="AE15" s="70"/>
      <c r="AF15" s="1" t="n">
        <f aca="false">IF($A15="","",D15*100)</f>
        <v>641</v>
      </c>
      <c r="AG15" s="1" t="n">
        <f aca="false">IF($A15="","",IFERROR(AF15/INDEX(账户总表!$B:$B,COUNTA(账户总表!$A:$A)),0))</f>
        <v>0</v>
      </c>
      <c r="AH15" s="1" t="n">
        <f aca="false">IF($A15="","",IFERROR(INDEX(账户总表!$B:$B,COUNTA(账户总表!$A:$A))*INDEX(账户总表!$O:$O,COUNTA(账户总表!$A:$A)),0))</f>
        <v>0</v>
      </c>
      <c r="AI15" s="1" t="str">
        <f aca="false">IF($A15="","",IF(AF15&gt;AH15,"超限","合规"))</f>
        <v>超限</v>
      </c>
      <c r="AJ15" s="1" t="n">
        <f aca="false">IF($A15="","",IFERROR(AF15/INDEX(账户总表!$O:$O,COUNTA(账户总表!$A:$A)),0))</f>
        <v>0</v>
      </c>
      <c r="AK15" s="1" t="n">
        <f aca="false">IF($A15="","",IFERROR(MAX(0,AJ15-INDEX(账户总表!$B:$B,COUNTA(账户总表!$A:$A)),AF15-INDEX(账户总表!$C:$C,COUNTA(账户总表!$A:$A))),0))</f>
        <v>641</v>
      </c>
      <c r="AL15" s="1" t="str">
        <f aca="false">IF($A15="","",IF(COUNTIF(持仓表!$C$2:$C$201,C15)&gt;0,"已有","新标的"))</f>
        <v>新标的</v>
      </c>
      <c r="AM15" s="1" t="n">
        <f aca="false">IF($A15="","",IFERROR(SUMIFS(持仓表!$N$2:$N$201,持仓表!$C$2:$C$201,C15,持仓表!$A$2:$A$201,$A15),0))</f>
        <v>0</v>
      </c>
      <c r="AN15" s="1" t="n">
        <f aca="false">IF($A15="","",IFERROR(AM15+AF15/INDEX(账户总表!$B:$B,COUNTA(账户总表!$A:$A)),0))</f>
        <v>0</v>
      </c>
      <c r="AO15" s="1" t="str">
        <f aca="false">IF($A15="","",IF(AN15&gt;INDEX(账户总表!$O:$O,COUNTA(账户总表!$A:$A)),"超限","合规"))</f>
        <v>合规</v>
      </c>
      <c r="AP15" s="1" t="str">
        <f aca="false">IF($A15="","",IF(AND(AL15="新标的",INDEX(账户总表!$R:$R,COUNTA(账户总表!$A:$A))&gt;=INDEX(账户总表!$S:$S,COUNTA(账户总表!$A:$A))),"新增受限","可通过"))</f>
        <v>新增受限</v>
      </c>
      <c r="AQ15" s="1" t="str">
        <f aca="false">IF($A15="","",IF(K15&lt;&gt;"核心池","非核心池",IF(OR(AI15="超限",AO15="超限",AP15="新增受限"),IF(AND(AT15="★信号强化",AS15&gt;=3),"可加仓(动态上限)","不可加仓"),"可加仓")))</f>
        <v>非核心池</v>
      </c>
      <c r="AR15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>1手超单股上限；有效持仓数超限；现金不足；</v>
      </c>
      <c r="AU15" s="1" t="str">
        <f aca="false">IF($A15="","",IF(AK15&gt;30000-INDEX(账户总表!$B:$B,COUNTA(账户总表!$A:$A)),"不适合婴儿阶段","可纳入幼儿路径"))</f>
        <v>可纳入幼儿路径</v>
      </c>
    </row>
    <row r="16" customFormat="false" ht="15" hidden="false" customHeight="true" outlineLevel="0" collapsed="false">
      <c r="A16" s="68" t="n">
        <v>46236</v>
      </c>
      <c r="B16" s="69" t="s">
        <v>465</v>
      </c>
      <c r="C16" s="70" t="s">
        <v>466</v>
      </c>
      <c r="D16" s="70" t="n">
        <v>10.35</v>
      </c>
      <c r="E16" s="70" t="n">
        <v>10.35</v>
      </c>
      <c r="F16" s="70" t="n">
        <v>9.83</v>
      </c>
      <c r="G16" s="70" t="n">
        <v>0.0863628221158398</v>
      </c>
      <c r="H16" s="70" t="n">
        <v>0.854690173314063</v>
      </c>
      <c r="I16" s="70" t="s">
        <v>178</v>
      </c>
      <c r="J16" s="69" t="s">
        <v>446</v>
      </c>
      <c r="K16" s="71" t="str">
        <f aca="false">IF($A16="","",IF(AND(G16&lt;20%,H16&gt;0.9),"核心池",IF(AND(H16&gt;=0.85),"观察池",IF(AND(H16&gt;=0.8),"边缘池",""))))</f>
        <v>观察池</v>
      </c>
      <c r="L16" s="72" t="str">
        <f aca="false">IF($A16="","",IF(AND(G16&lt;60%,H16&gt;0.8,I16="True"),"是","否"))</f>
        <v>是</v>
      </c>
      <c r="M16" s="72" t="str">
        <f aca="false">IF($A16="","",IF(AND(D16&gt;0,E16&gt;0,D16&lt;=E16*1.02),"是","否"))</f>
        <v>是</v>
      </c>
      <c r="N16" s="70" t="str">
        <f aca="false">IFERROR(INDEX(账户总表!$O:$O,COUNTA(账户总表!$A:$A)),0)</f>
        <v/>
      </c>
      <c r="O16" s="70" t="n">
        <f aca="false">IFERROR(INDEX(账户总表!$B:$B,COUNTA(账户总表!$A:$A))*N16,0)</f>
        <v>0</v>
      </c>
      <c r="P16" s="70" t="n">
        <f aca="false">IFERROR(O16/D16,0)</f>
        <v>0</v>
      </c>
      <c r="Q16" s="70" t="n">
        <f aca="false">IFERROR(FLOOR(P16,100),0)</f>
        <v>0</v>
      </c>
      <c r="R16" s="70" t="n">
        <f aca="false">IFERROR(CEILING(800/(100*D16),1)*100,0)</f>
        <v>100</v>
      </c>
      <c r="S16" s="70"/>
      <c r="T16" s="70" t="n">
        <f aca="false">IFERROR(S16*D16,0)</f>
        <v>0</v>
      </c>
      <c r="U16" s="70" t="n">
        <f aca="false">IFERROR(T16/INDEX(账户总表!$B:$B,COUNTA(账户总表!$A:$A)),0)</f>
        <v>0</v>
      </c>
      <c r="V16" s="73" t="n">
        <f aca="false">IFERROR(INDEX(账户总表!$E:$E,COUNTA(账户总表!$A:$A))+U16,0)</f>
        <v>0</v>
      </c>
      <c r="W16" s="72" t="str">
        <f aca="false">IF($A16="","",IFERROR(IF(V16&lt;=INDEX(账户总表!$N:$N,COUNTA(账户总表!$A:$A)),"是","否"),"否"))</f>
        <v>是</v>
      </c>
      <c r="X16" s="70" t="n">
        <f aca="false">IF($A16="","",MAX(F16*0.98,D16*0.92))</f>
        <v>9.6334</v>
      </c>
      <c r="Y16" s="70"/>
      <c r="Z16" s="72" t="str">
        <f aca="false">IF($A16="","",IFERROR(IF(AND(T16&gt;INDEX(账户总表!$C:$C,COUNTA(账户总表!$A:$A)),L16="是"),"是","否"),"否"))</f>
        <v>否</v>
      </c>
      <c r="AA16" s="70" t="n">
        <f aca="false">IF($A16="","",IFERROR(IF(Z16="是",MAX(0,T16-INDEX(账户总表!$C:$C,COUNTA(账户总表!$A:$A)),IF(N16&gt;0,T16/N16-INDEX(账户总表!$B:$B,COUNTA(账户总表!$A:$A)),0)),0),0))</f>
        <v>0</v>
      </c>
      <c r="AB16" s="70" t="n">
        <f aca="false">IF($A16="","",IF(AND(Z16="是",INDEX(账户总表!$U:$U,COUNTA(账户总表!$A:$A))="是"),IF(INDEX(账户总表!$L:$L,COUNTA(账户总表!$A:$A))&gt;=4,AA16*1.5,AA16),0))</f>
        <v>0</v>
      </c>
      <c r="AC16" s="72" t="str">
        <f aca="false"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>否</v>
      </c>
      <c r="AD16" s="70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>100股约束不满足</v>
      </c>
      <c r="AE16" s="70"/>
      <c r="AF16" s="1" t="n">
        <f aca="false">IF($A16="","",D16*100)</f>
        <v>1035</v>
      </c>
      <c r="AG16" s="1" t="n">
        <f aca="false">IF($A16="","",IFERROR(AF16/INDEX(账户总表!$B:$B,COUNTA(账户总表!$A:$A)),0))</f>
        <v>0</v>
      </c>
      <c r="AH16" s="1" t="n">
        <f aca="false">IF($A16="","",IFERROR(INDEX(账户总表!$B:$B,COUNTA(账户总表!$A:$A))*INDEX(账户总表!$O:$O,COUNTA(账户总表!$A:$A)),0))</f>
        <v>0</v>
      </c>
      <c r="AI16" s="1" t="str">
        <f aca="false">IF($A16="","",IF(AF16&gt;AH16,"超限","合规"))</f>
        <v>超限</v>
      </c>
      <c r="AJ16" s="1" t="n">
        <f aca="false">IF($A16="","",IFERROR(AF16/INDEX(账户总表!$O:$O,COUNTA(账户总表!$A:$A)),0))</f>
        <v>0</v>
      </c>
      <c r="AK16" s="1" t="n">
        <f aca="false">IF($A16="","",IFERROR(MAX(0,AJ16-INDEX(账户总表!$B:$B,COUNTA(账户总表!$A:$A)),AF16-INDEX(账户总表!$C:$C,COUNTA(账户总表!$A:$A))),0))</f>
        <v>1035</v>
      </c>
      <c r="AL16" s="1" t="str">
        <f aca="false">IF($A16="","",IF(COUNTIF(持仓表!$C$2:$C$201,C16)&gt;0,"已有","新标的"))</f>
        <v>新标的</v>
      </c>
      <c r="AM16" s="1" t="n">
        <f aca="false">IF($A16="","",IFERROR(SUMIFS(持仓表!$N$2:$N$201,持仓表!$C$2:$C$201,C16,持仓表!$A$2:$A$201,$A16),0))</f>
        <v>0</v>
      </c>
      <c r="AN16" s="1" t="n">
        <f aca="false">IF($A16="","",IFERROR(AM16+AF16/INDEX(账户总表!$B:$B,COUNTA(账户总表!$A:$A)),0))</f>
        <v>0</v>
      </c>
      <c r="AO16" s="1" t="str">
        <f aca="false">IF($A16="","",IF(AN16&gt;INDEX(账户总表!$O:$O,COUNTA(账户总表!$A:$A)),"超限","合规"))</f>
        <v>合规</v>
      </c>
      <c r="AP16" s="1" t="str">
        <f aca="false">IF($A16="","",IF(AND(AL16="新标的",INDEX(账户总表!$R:$R,COUNTA(账户总表!$A:$A))&gt;=INDEX(账户总表!$S:$S,COUNTA(账户总表!$A:$A))),"新增受限","可通过"))</f>
        <v>新增受限</v>
      </c>
      <c r="AQ16" s="1" t="str">
        <f aca="false">IF($A16="","",IF(K16&lt;&gt;"核心池","非核心池",IF(OR(AI16="超限",AO16="超限",AP16="新增受限"),IF(AND(AT16="★信号强化",AS16&gt;=3),"可加仓(动态上限)","不可加仓"),"可加仓")))</f>
        <v>非核心池</v>
      </c>
      <c r="AR16" s="1" t="str">
        <f aca="false">IF($A16="","",TRIM(IF(AI16="超限","1手超单股上限；","")&amp;IF(AO16="超限","买后仓位超限；","")&amp;IF(AP16="新增受限","有效持仓数超限；","")&amp;IF(AF16&gt;INDEX(账户总表!$C:$C,COUNTA(账户总表!$A:$A)),"现金不足；","")))</f>
        <v>1手超单股上限；有效持仓数超限；现金不足；</v>
      </c>
      <c r="AU16" s="1" t="str">
        <f aca="false">IF($A16="","",IF(AK16&gt;30000-INDEX(账户总表!$B:$B,COUNTA(账户总表!$A:$A)),"不适合婴儿阶段","可纳入幼儿路径"))</f>
        <v>可纳入幼儿路径</v>
      </c>
    </row>
    <row r="17" customFormat="false" ht="15" hidden="false" customHeight="true" outlineLevel="0" collapsed="false">
      <c r="A17" s="74" t="n">
        <v>46236</v>
      </c>
      <c r="B17" s="75" t="s">
        <v>400</v>
      </c>
      <c r="C17" s="76" t="s">
        <v>401</v>
      </c>
      <c r="D17" s="76" t="n">
        <v>9.34</v>
      </c>
      <c r="E17" s="76" t="n">
        <v>9.34</v>
      </c>
      <c r="F17" s="76" t="n">
        <v>8.87</v>
      </c>
      <c r="G17" s="76" t="n">
        <v>0.28812126668271</v>
      </c>
      <c r="H17" s="76" t="n">
        <v>0.849321573394126</v>
      </c>
      <c r="I17" s="76" t="s">
        <v>178</v>
      </c>
      <c r="J17" s="75" t="s">
        <v>446</v>
      </c>
      <c r="K17" s="77" t="str">
        <f aca="false">IF($A17="","",IF(AND(G17&lt;20%,H17&gt;0.9),"核心池",IF(AND(H17&gt;=0.85),"观察池",IF(AND(H17&gt;=0.8),"边缘池",""))))</f>
        <v>边缘池</v>
      </c>
      <c r="L17" s="78" t="str">
        <f aca="false">IF($A17="","",IF(AND(G17&lt;60%,H17&gt;0.8,I17="True"),"是","否"))</f>
        <v>是</v>
      </c>
      <c r="M17" s="78" t="str">
        <f aca="false">IF($A17="","",IF(AND(D17&gt;0,E17&gt;0,D17&lt;=E17*1.02),"是","否"))</f>
        <v>是</v>
      </c>
      <c r="N17" s="76" t="str">
        <f aca="false">IFERROR(INDEX(账户总表!$O:$O,COUNTA(账户总表!$A:$A)),0)</f>
        <v/>
      </c>
      <c r="O17" s="76" t="n">
        <f aca="false">IFERROR(INDEX(账户总表!$B:$B,COUNTA(账户总表!$A:$A))*N17,0)</f>
        <v>0</v>
      </c>
      <c r="P17" s="76" t="n">
        <f aca="false">IFERROR(O17/D17,0)</f>
        <v>0</v>
      </c>
      <c r="Q17" s="76" t="n">
        <f aca="false">IFERROR(FLOOR(P17,100),0)</f>
        <v>0</v>
      </c>
      <c r="R17" s="76" t="n">
        <f aca="false">IFERROR(CEILING(800/(100*D17),1)*100,0)</f>
        <v>100</v>
      </c>
      <c r="S17" s="76"/>
      <c r="T17" s="76" t="n">
        <f aca="false">IFERROR(S17*D17,0)</f>
        <v>0</v>
      </c>
      <c r="U17" s="76" t="n">
        <f aca="false">IFERROR(T17/INDEX(账户总表!$B:$B,COUNTA(账户总表!$A:$A)),0)</f>
        <v>0</v>
      </c>
      <c r="V17" s="79" t="n">
        <f aca="false">IFERROR(INDEX(账户总表!$E:$E,COUNTA(账户总表!$A:$A))+U17,0)</f>
        <v>0</v>
      </c>
      <c r="W17" s="78" t="str">
        <f aca="false">IF($A17="","",IFERROR(IF(V17&lt;=INDEX(账户总表!$N:$N,COUNTA(账户总表!$A:$A)),"是","否"),"否"))</f>
        <v>是</v>
      </c>
      <c r="X17" s="76" t="n">
        <f aca="false">IF($A17="","",MAX(F17*0.98,D17*0.92))</f>
        <v>8.6926</v>
      </c>
      <c r="Y17" s="76"/>
      <c r="Z17" s="78" t="str">
        <f aca="false">IF($A17="","",IFERROR(IF(AND(T17&gt;INDEX(账户总表!$C:$C,COUNTA(账户总表!$A:$A)),L17="是"),"是","否"),"否"))</f>
        <v>否</v>
      </c>
      <c r="AA17" s="76" t="n">
        <f aca="false">IF($A17="","",IFERROR(IF(Z17="是",MAX(0,T17-INDEX(账户总表!$C:$C,COUNTA(账户总表!$A:$A)),IF(N17&gt;0,T17/N17-INDEX(账户总表!$B:$B,COUNTA(账户总表!$A:$A)),0)),0),0))</f>
        <v>0</v>
      </c>
      <c r="AB17" s="76" t="n">
        <f aca="false">IF($A17="","",IF(AND(Z17="是",INDEX(账户总表!$U:$U,COUNTA(账户总表!$A:$A))="是"),IF(INDEX(账户总表!$L:$L,COUNTA(账户总表!$A:$A))&gt;=4,AA17*1.5,AA17),0))</f>
        <v>0</v>
      </c>
      <c r="AC17" s="78" t="str">
        <f aca="false">IF($A17="","",IF(AND(L17="是",Q17&gt;=R17,S17&lt;=Q17,S17&gt;=R17,W17="是",X17&gt;0,M17="是",INDEX(账户总表!$M:$M,COUNTA(账户总表!$A:$A))&lt;=2,INDEX(账户总表!$V:$V,COUNTA(账户总表!$A:$A))="是",OR(T17&lt;=INDEX(账户总表!$C:$C,COUNTA(账户总表!$A:$A)),AND(Z17="是",INDEX(账户总表!$U:$U,COUNTA(账户总表!$A:$A))="是",AB17&gt;0))),"是","否"))</f>
        <v>否</v>
      </c>
      <c r="AD17" s="76" t="str">
        <f aca="false"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COUNTA(账户总表!$A:$A))&gt;2,"亏钱效应偏高",IF(INDEX(账户总表!$V:$V,COUNTA(账户总表!$A:$A))&lt;&gt;"是","账户不允许新开仓",IF(AND(T17&gt;INDEX(账户总表!$C:$C,COUNTA(账户总表!$A:$A)),INDEX(账户总表!$U:$U,COUNTA(账户总表!$A:$A))&lt;&gt;"是"),"现金不足且不允许转入",IF(AND(Z17="是",AB17&lt;=0),"转入金额未满足",""))))))))))))</f>
        <v>100股约束不满足</v>
      </c>
      <c r="AE17" s="76"/>
      <c r="AF17" s="1" t="n">
        <f aca="false">IF($A17="","",D17*100)</f>
        <v>934</v>
      </c>
      <c r="AG17" s="1" t="n">
        <f aca="false">IF($A17="","",IFERROR(AF17/INDEX(账户总表!$B:$B,COUNTA(账户总表!$A:$A)),0))</f>
        <v>0</v>
      </c>
      <c r="AH17" s="1" t="n">
        <f aca="false">IF($A17="","",IFERROR(INDEX(账户总表!$B:$B,COUNTA(账户总表!$A:$A))*INDEX(账户总表!$O:$O,COUNTA(账户总表!$A:$A)),0))</f>
        <v>0</v>
      </c>
      <c r="AI17" s="1" t="str">
        <f aca="false">IF($A17="","",IF(AF17&gt;AH17,"超限","合规"))</f>
        <v>超限</v>
      </c>
      <c r="AJ17" s="1" t="n">
        <f aca="false">IF($A17="","",IFERROR(AF17/INDEX(账户总表!$O:$O,COUNTA(账户总表!$A:$A)),0))</f>
        <v>0</v>
      </c>
      <c r="AK17" s="1" t="n">
        <f aca="false">IF($A17="","",IFERROR(MAX(0,AJ17-INDEX(账户总表!$B:$B,COUNTA(账户总表!$A:$A)),AF17-INDEX(账户总表!$C:$C,COUNTA(账户总表!$A:$A))),0))</f>
        <v>934</v>
      </c>
      <c r="AL17" s="1" t="str">
        <f aca="false">IF($A17="","",IF(COUNTIF(持仓表!$C$2:$C$201,C17)&gt;0,"已有","新标的"))</f>
        <v>已有</v>
      </c>
      <c r="AM17" s="1" t="n">
        <f aca="false">IF($A17="","",IFERROR(SUMIFS(持仓表!$N$2:$N$201,持仓表!$C$2:$C$201,C17,持仓表!$A$2:$A$201,$A17),0))</f>
        <v>0</v>
      </c>
      <c r="AN17" s="1" t="n">
        <f aca="false">IF($A17="","",IFERROR(AM17+AF17/INDEX(账户总表!$B:$B,COUNTA(账户总表!$A:$A)),0))</f>
        <v>0</v>
      </c>
      <c r="AO17" s="1" t="str">
        <f aca="false">IF($A17="","",IF(AN17&gt;INDEX(账户总表!$O:$O,COUNTA(账户总表!$A:$A)),"超限","合规"))</f>
        <v>合规</v>
      </c>
      <c r="AP17" s="1" t="str">
        <f aca="false">IF($A17="","",IF(AND(AL17="新标的",INDEX(账户总表!$R:$R,COUNTA(账户总表!$A:$A))&gt;=INDEX(账户总表!$S:$S,COUNTA(账户总表!$A:$A))),"新增受限","可通过"))</f>
        <v>可通过</v>
      </c>
      <c r="AQ17" s="1" t="str">
        <f aca="false">IF($A17="","",IF(K17&lt;&gt;"核心池","非核心池",IF(OR(AI17="超限",AO17="超限",AP17="新增受限"),IF(AND(AT17="★信号强化",AS17&gt;=3),"可加仓(动态上限)","不可加仓"),"可加仓")))</f>
        <v>非核心池</v>
      </c>
      <c r="AR17" s="1" t="str">
        <f aca="false">IF($A17="","",TRIM(IF(AI17="超限","1手超单股上限；","")&amp;IF(AO17="超限","买后仓位超限；","")&amp;IF(AP17="新增受限","有效持仓数超限；","")&amp;IF(AF17&gt;INDEX(账户总表!$C:$C,COUNTA(账户总表!$A:$A)),"现金不足；","")))</f>
        <v>1手超单股上限；现金不足；</v>
      </c>
      <c r="AU17" s="1" t="str">
        <f aca="false">IF($A17="","",IF(AK17&gt;30000-INDEX(账户总表!$B:$B,COUNTA(账户总表!$A:$A)),"不适合婴儿阶段","可纳入幼儿路径"))</f>
        <v>可纳入幼儿路径</v>
      </c>
    </row>
    <row r="18" customFormat="false" ht="15" hidden="false" customHeight="true" outlineLevel="0" collapsed="false">
      <c r="A18" s="74" t="n">
        <v>46236</v>
      </c>
      <c r="B18" s="75" t="s">
        <v>467</v>
      </c>
      <c r="C18" s="76" t="s">
        <v>468</v>
      </c>
      <c r="D18" s="76" t="n">
        <v>68.46</v>
      </c>
      <c r="E18" s="76" t="n">
        <v>68.46</v>
      </c>
      <c r="F18" s="76" t="n">
        <v>65.04</v>
      </c>
      <c r="G18" s="76" t="n">
        <v>0.423386889021604</v>
      </c>
      <c r="H18" s="76" t="n">
        <v>0.838837384915759</v>
      </c>
      <c r="I18" s="76" t="s">
        <v>178</v>
      </c>
      <c r="J18" s="75" t="s">
        <v>446</v>
      </c>
      <c r="K18" s="77" t="str">
        <f aca="false">IF($A18="","",IF(AND(G18&lt;20%,H18&gt;0.9),"核心池",IF(AND(H18&gt;=0.85),"观察池",IF(AND(H18&gt;=0.8),"边缘池",""))))</f>
        <v>边缘池</v>
      </c>
      <c r="L18" s="78" t="str">
        <f aca="false">IF($A18="","",IF(AND(G18&lt;60%,H18&gt;0.8,I18="True"),"是","否"))</f>
        <v>是</v>
      </c>
      <c r="M18" s="78" t="str">
        <f aca="false">IF($A18="","",IF(AND(D18&gt;0,E18&gt;0,D18&lt;=E18*1.02),"是","否"))</f>
        <v>是</v>
      </c>
      <c r="N18" s="76" t="str">
        <f aca="false">IFERROR(INDEX(账户总表!$O:$O,COUNTA(账户总表!$A:$A)),0)</f>
        <v/>
      </c>
      <c r="O18" s="76" t="n">
        <f aca="false">IFERROR(INDEX(账户总表!$B:$B,COUNTA(账户总表!$A:$A))*N18,0)</f>
        <v>0</v>
      </c>
      <c r="P18" s="76" t="n">
        <f aca="false">IFERROR(O18/D18,0)</f>
        <v>0</v>
      </c>
      <c r="Q18" s="76" t="n">
        <f aca="false">IFERROR(FLOOR(P18,100),0)</f>
        <v>0</v>
      </c>
      <c r="R18" s="76" t="n">
        <f aca="false">IFERROR(CEILING(800/(100*D18),1)*100,0)</f>
        <v>100</v>
      </c>
      <c r="S18" s="76"/>
      <c r="T18" s="76" t="n">
        <f aca="false">IFERROR(S18*D18,0)</f>
        <v>0</v>
      </c>
      <c r="U18" s="76" t="n">
        <f aca="false">IFERROR(T18/INDEX(账户总表!$B:$B,COUNTA(账户总表!$A:$A)),0)</f>
        <v>0</v>
      </c>
      <c r="V18" s="79" t="n">
        <f aca="false">IFERROR(INDEX(账户总表!$E:$E,COUNTA(账户总表!$A:$A))+U18,0)</f>
        <v>0</v>
      </c>
      <c r="W18" s="78" t="str">
        <f aca="false">IF($A18="","",IFERROR(IF(V18&lt;=INDEX(账户总表!$N:$N,COUNTA(账户总表!$A:$A)),"是","否"),"否"))</f>
        <v>是</v>
      </c>
      <c r="X18" s="76" t="n">
        <f aca="false">IF($A18="","",MAX(F18*0.98,D18*0.92))</f>
        <v>63.7392</v>
      </c>
      <c r="Y18" s="76"/>
      <c r="Z18" s="78" t="str">
        <f aca="false">IF($A18="","",IFERROR(IF(AND(T18&gt;INDEX(账户总表!$C:$C,COUNTA(账户总表!$A:$A)),L18="是"),"是","否"),"否"))</f>
        <v>否</v>
      </c>
      <c r="AA18" s="76" t="n">
        <f aca="false">IF($A18="","",IFERROR(IF(Z18="是",MAX(0,T18-INDEX(账户总表!$C:$C,COUNTA(账户总表!$A:$A)),IF(N18&gt;0,T18/N18-INDEX(账户总表!$B:$B,COUNTA(账户总表!$A:$A)),0)),0),0))</f>
        <v>0</v>
      </c>
      <c r="AB18" s="76" t="n">
        <f aca="false">IF($A18="","",IF(AND(Z18="是",INDEX(账户总表!$U:$U,COUNTA(账户总表!$A:$A))="是"),IF(INDEX(账户总表!$L:$L,COUNTA(账户总表!$A:$A))&gt;=4,AA18*1.5,AA18),0))</f>
        <v>0</v>
      </c>
      <c r="AC18" s="78" t="str">
        <f aca="false">IF($A18="","",IF(AND(L18="是",Q18&gt;=R18,S18&lt;=Q18,S18&gt;=R18,W18="是",X18&gt;0,M18="是",INDEX(账户总表!$M:$M,COUNTA(账户总表!$A:$A))&lt;=2,INDEX(账户总表!$V:$V,COUNTA(账户总表!$A:$A))="是",OR(T18&lt;=INDEX(账户总表!$C:$C,COUNTA(账户总表!$A:$A)),AND(Z18="是",INDEX(账户总表!$U:$U,COUNTA(账户总表!$A:$A))="是",AB18&gt;0))),"是","否"))</f>
        <v>否</v>
      </c>
      <c r="AD18" s="76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COUNTA(账户总表!$A:$A))&gt;2,"亏钱效应偏高",IF(INDEX(账户总表!$V:$V,COUNTA(账户总表!$A:$A))&lt;&gt;"是","账户不允许新开仓",IF(AND(T18&gt;INDEX(账户总表!$C:$C,COUNTA(账户总表!$A:$A)),INDEX(账户总表!$U:$U,COUNTA(账户总表!$A:$A))&lt;&gt;"是"),"现金不足且不允许转入",IF(AND(Z18="是",AB18&lt;=0),"转入金额未满足",""))))))))))))</f>
        <v>100股约束不满足</v>
      </c>
      <c r="AE18" s="76"/>
      <c r="AF18" s="1" t="n">
        <f aca="false">IF($A18="","",D18*100)</f>
        <v>6846</v>
      </c>
      <c r="AG18" s="1" t="n">
        <f aca="false">IF($A18="","",IFERROR(AF18/INDEX(账户总表!$B:$B,COUNTA(账户总表!$A:$A)),0))</f>
        <v>0</v>
      </c>
      <c r="AH18" s="1" t="n">
        <f aca="false">IF($A18="","",IFERROR(INDEX(账户总表!$B:$B,COUNTA(账户总表!$A:$A))*INDEX(账户总表!$O:$O,COUNTA(账户总表!$A:$A)),0))</f>
        <v>0</v>
      </c>
      <c r="AI18" s="1" t="str">
        <f aca="false">IF($A18="","",IF(AF18&gt;AH18,"超限","合规"))</f>
        <v>超限</v>
      </c>
      <c r="AJ18" s="1" t="n">
        <f aca="false">IF($A18="","",IFERROR(AF18/INDEX(账户总表!$O:$O,COUNTA(账户总表!$A:$A)),0))</f>
        <v>0</v>
      </c>
      <c r="AK18" s="1" t="n">
        <f aca="false">IF($A18="","",IFERROR(MAX(0,AJ18-INDEX(账户总表!$B:$B,COUNTA(账户总表!$A:$A)),AF18-INDEX(账户总表!$C:$C,COUNTA(账户总表!$A:$A))),0))</f>
        <v>6846</v>
      </c>
      <c r="AL18" s="1" t="str">
        <f aca="false">IF($A18="","",IF(COUNTIF(持仓表!$C$2:$C$201,C18)&gt;0,"已有","新标的"))</f>
        <v>新标的</v>
      </c>
      <c r="AM18" s="1" t="n">
        <f aca="false">IF($A18="","",IFERROR(SUMIFS(持仓表!$N$2:$N$201,持仓表!$C$2:$C$201,C18,持仓表!$A$2:$A$201,$A18),0))</f>
        <v>0</v>
      </c>
      <c r="AN18" s="1" t="n">
        <f aca="false">IF($A18="","",IFERROR(AM18+AF18/INDEX(账户总表!$B:$B,COUNTA(账户总表!$A:$A)),0))</f>
        <v>0</v>
      </c>
      <c r="AO18" s="1" t="str">
        <f aca="false">IF($A18="","",IF(AN18&gt;INDEX(账户总表!$O:$O,COUNTA(账户总表!$A:$A)),"超限","合规"))</f>
        <v>合规</v>
      </c>
      <c r="AP18" s="1" t="str">
        <f aca="false">IF($A18="","",IF(AND(AL18="新标的",INDEX(账户总表!$R:$R,COUNTA(账户总表!$A:$A))&gt;=INDEX(账户总表!$S:$S,COUNTA(账户总表!$A:$A))),"新增受限","可通过"))</f>
        <v>新增受限</v>
      </c>
      <c r="AQ18" s="1" t="str">
        <f aca="false">IF($A18="","",IF(K18&lt;&gt;"核心池","非核心池",IF(OR(AI18="超限",AO18="超限",AP18="新增受限"),IF(AND(AT18="★信号强化",AS18&gt;=3),"可加仓(动态上限)","不可加仓"),"可加仓")))</f>
        <v>非核心池</v>
      </c>
      <c r="AR18" s="1" t="str">
        <f aca="false">IF($A18="","",TRIM(IF(AI18="超限","1手超单股上限；","")&amp;IF(AO18="超限","买后仓位超限；","")&amp;IF(AP18="新增受限","有效持仓数超限；","")&amp;IF(AF18&gt;INDEX(账户总表!$C:$C,COUNTA(账户总表!$A:$A)),"现金不足；","")))</f>
        <v>1手超单股上限；有效持仓数超限；现金不足；</v>
      </c>
      <c r="AU18" s="1" t="str">
        <f aca="false">IF($A18="","",IF(AK18&gt;30000-INDEX(账户总表!$B:$B,COUNTA(账户总表!$A:$A)),"不适合婴儿阶段","可纳入幼儿路径"))</f>
        <v>可纳入幼儿路径</v>
      </c>
    </row>
    <row r="19" customFormat="false" ht="15" hidden="false" customHeight="true" outlineLevel="0" collapsed="false">
      <c r="A19" s="74" t="n">
        <v>46236</v>
      </c>
      <c r="B19" s="75" t="s">
        <v>469</v>
      </c>
      <c r="C19" s="76" t="s">
        <v>470</v>
      </c>
      <c r="D19" s="76" t="n">
        <v>33.81</v>
      </c>
      <c r="E19" s="76" t="n">
        <v>33.81</v>
      </c>
      <c r="F19" s="76" t="n">
        <v>32.12</v>
      </c>
      <c r="G19" s="76" t="n">
        <v>0.336236980369192</v>
      </c>
      <c r="H19" s="76" t="n">
        <v>0.832288132770447</v>
      </c>
      <c r="I19" s="76" t="s">
        <v>178</v>
      </c>
      <c r="J19" s="75" t="s">
        <v>446</v>
      </c>
      <c r="K19" s="77" t="str">
        <f aca="false">IF($A19="","",IF(AND(G19&lt;20%,H19&gt;0.9),"核心池",IF(AND(H19&gt;=0.85),"观察池",IF(AND(H19&gt;=0.8),"边缘池",""))))</f>
        <v>边缘池</v>
      </c>
      <c r="L19" s="78" t="str">
        <f aca="false">IF($A19="","",IF(AND(G19&lt;60%,H19&gt;0.8,I19="True"),"是","否"))</f>
        <v>是</v>
      </c>
      <c r="M19" s="78" t="str">
        <f aca="false">IF($A19="","",IF(AND(D19&gt;0,E19&gt;0,D19&lt;=E19*1.02),"是","否"))</f>
        <v>是</v>
      </c>
      <c r="N19" s="76" t="str">
        <f aca="false">IFERROR(INDEX(账户总表!$O:$O,COUNTA(账户总表!$A:$A)),0)</f>
        <v/>
      </c>
      <c r="O19" s="76" t="n">
        <f aca="false">IFERROR(INDEX(账户总表!$B:$B,COUNTA(账户总表!$A:$A))*N19,0)</f>
        <v>0</v>
      </c>
      <c r="P19" s="76" t="n">
        <f aca="false">IFERROR(O19/D19,0)</f>
        <v>0</v>
      </c>
      <c r="Q19" s="76" t="n">
        <f aca="false">IFERROR(FLOOR(P19,100),0)</f>
        <v>0</v>
      </c>
      <c r="R19" s="76" t="n">
        <f aca="false">IFERROR(CEILING(800/(100*D19),1)*100,0)</f>
        <v>100</v>
      </c>
      <c r="S19" s="76"/>
      <c r="T19" s="76" t="n">
        <f aca="false">IFERROR(S19*D19,0)</f>
        <v>0</v>
      </c>
      <c r="U19" s="76" t="n">
        <f aca="false">IFERROR(T19/INDEX(账户总表!$B:$B,COUNTA(账户总表!$A:$A)),0)</f>
        <v>0</v>
      </c>
      <c r="V19" s="79" t="n">
        <f aca="false">IFERROR(INDEX(账户总表!$E:$E,COUNTA(账户总表!$A:$A))+U19,0)</f>
        <v>0</v>
      </c>
      <c r="W19" s="78" t="str">
        <f aca="false">IF($A19="","",IFERROR(IF(V19&lt;=INDEX(账户总表!$N:$N,COUNTA(账户总表!$A:$A)),"是","否"),"否"))</f>
        <v>是</v>
      </c>
      <c r="X19" s="76" t="n">
        <f aca="false">IF($A19="","",MAX(F19*0.98,D19*0.92))</f>
        <v>31.4776</v>
      </c>
      <c r="Y19" s="76"/>
      <c r="Z19" s="78" t="str">
        <f aca="false">IF($A19="","",IFERROR(IF(AND(T19&gt;INDEX(账户总表!$C:$C,COUNTA(账户总表!$A:$A)),L19="是"),"是","否"),"否"))</f>
        <v>否</v>
      </c>
      <c r="AA19" s="76" t="n">
        <f aca="false">IF($A19="","",IFERROR(IF(Z19="是",MAX(0,T19-INDEX(账户总表!$C:$C,COUNTA(账户总表!$A:$A)),IF(N19&gt;0,T19/N19-INDEX(账户总表!$B:$B,COUNTA(账户总表!$A:$A)),0)),0),0))</f>
        <v>0</v>
      </c>
      <c r="AB19" s="76" t="n">
        <f aca="false">IF($A19="","",IF(AND(Z19="是",INDEX(账户总表!$U:$U,COUNTA(账户总表!$A:$A))="是"),IF(INDEX(账户总表!$L:$L,COUNTA(账户总表!$A:$A))&gt;=4,AA19*1.5,AA19),0))</f>
        <v>0</v>
      </c>
      <c r="AC19" s="78" t="str">
        <f aca="false">IF($A19="","",IF(AND(L19="是",Q19&gt;=R19,S19&lt;=Q19,S19&gt;=R19,W19="是",X19&gt;0,M19="是",INDEX(账户总表!$M:$M,COUNTA(账户总表!$A:$A))&lt;=2,INDEX(账户总表!$V:$V,COUNTA(账户总表!$A:$A))="是",OR(T19&lt;=INDEX(账户总表!$C:$C,COUNTA(账户总表!$A:$A)),AND(Z19="是",INDEX(账户总表!$U:$U,COUNTA(账户总表!$A:$A))="是",AB19&gt;0))),"是","否"))</f>
        <v>否</v>
      </c>
      <c r="AD19" s="76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COUNTA(账户总表!$A:$A))&gt;2,"亏钱效应偏高",IF(INDEX(账户总表!$V:$V,COUNTA(账户总表!$A:$A))&lt;&gt;"是","账户不允许新开仓",IF(AND(T19&gt;INDEX(账户总表!$C:$C,COUNTA(账户总表!$A:$A)),INDEX(账户总表!$U:$U,COUNTA(账户总表!$A:$A))&lt;&gt;"是"),"现金不足且不允许转入",IF(AND(Z19="是",AB19&lt;=0),"转入金额未满足",""))))))))))))</f>
        <v>100股约束不满足</v>
      </c>
      <c r="AE19" s="76"/>
      <c r="AF19" s="1" t="n">
        <f aca="false">IF($A19="","",D19*100)</f>
        <v>3381</v>
      </c>
      <c r="AG19" s="1" t="n">
        <f aca="false">IF($A19="","",IFERROR(AF19/INDEX(账户总表!$B:$B,COUNTA(账户总表!$A:$A)),0))</f>
        <v>0</v>
      </c>
      <c r="AH19" s="1" t="n">
        <f aca="false">IF($A19="","",IFERROR(INDEX(账户总表!$B:$B,COUNTA(账户总表!$A:$A))*INDEX(账户总表!$O:$O,COUNTA(账户总表!$A:$A)),0))</f>
        <v>0</v>
      </c>
      <c r="AI19" s="1" t="str">
        <f aca="false">IF($A19="","",IF(AF19&gt;AH19,"超限","合规"))</f>
        <v>超限</v>
      </c>
      <c r="AJ19" s="1" t="n">
        <f aca="false">IF($A19="","",IFERROR(AF19/INDEX(账户总表!$O:$O,COUNTA(账户总表!$A:$A)),0))</f>
        <v>0</v>
      </c>
      <c r="AK19" s="1" t="n">
        <f aca="false">IF($A19="","",IFERROR(MAX(0,AJ19-INDEX(账户总表!$B:$B,COUNTA(账户总表!$A:$A)),AF19-INDEX(账户总表!$C:$C,COUNTA(账户总表!$A:$A))),0))</f>
        <v>3381</v>
      </c>
      <c r="AL19" s="1" t="str">
        <f aca="false">IF($A19="","",IF(COUNTIF(持仓表!$C$2:$C$201,C19)&gt;0,"已有","新标的"))</f>
        <v>新标的</v>
      </c>
      <c r="AM19" s="1" t="n">
        <f aca="false">IF($A19="","",IFERROR(SUMIFS(持仓表!$N$2:$N$201,持仓表!$C$2:$C$201,C19,持仓表!$A$2:$A$201,$A19),0))</f>
        <v>0</v>
      </c>
      <c r="AN19" s="1" t="n">
        <f aca="false">IF($A19="","",IFERROR(AM19+AF19/INDEX(账户总表!$B:$B,COUNTA(账户总表!$A:$A)),0))</f>
        <v>0</v>
      </c>
      <c r="AO19" s="1" t="str">
        <f aca="false">IF($A19="","",IF(AN19&gt;INDEX(账户总表!$O:$O,COUNTA(账户总表!$A:$A)),"超限","合规"))</f>
        <v>合规</v>
      </c>
      <c r="AP19" s="1" t="str">
        <f aca="false">IF($A19="","",IF(AND(AL19="新标的",INDEX(账户总表!$R:$R,COUNTA(账户总表!$A:$A))&gt;=INDEX(账户总表!$S:$S,COUNTA(账户总表!$A:$A))),"新增受限","可通过"))</f>
        <v>新增受限</v>
      </c>
      <c r="AQ19" s="1" t="str">
        <f aca="false">IF($A19="","",IF(K19&lt;&gt;"核心池","非核心池",IF(OR(AI19="超限",AO19="超限",AP19="新增受限"),IF(AND(AT19="★信号强化",AS19&gt;=3),"可加仓(动态上限)","不可加仓"),"可加仓")))</f>
        <v>非核心池</v>
      </c>
      <c r="AR19" s="1" t="str">
        <f aca="false">IF($A19="","",TRIM(IF(AI19="超限","1手超单股上限；","")&amp;IF(AO19="超限","买后仓位超限；","")&amp;IF(AP19="新增受限","有效持仓数超限；","")&amp;IF(AF19&gt;INDEX(账户总表!$C:$C,COUNTA(账户总表!$A:$A)),"现金不足；","")))</f>
        <v>1手超单股上限；有效持仓数超限；现金不足；</v>
      </c>
      <c r="AU19" s="1" t="str">
        <f aca="false">IF($A19="","",IF(AK19&gt;30000-INDEX(账户总表!$B:$B,COUNTA(账户总表!$A:$A)),"不适合婴儿阶段","可纳入幼儿路径"))</f>
        <v>可纳入幼儿路径</v>
      </c>
    </row>
    <row r="20" customFormat="false" ht="15" hidden="false" customHeight="true" outlineLevel="0" collapsed="false">
      <c r="A20" s="74" t="n">
        <v>46236</v>
      </c>
      <c r="B20" s="75" t="s">
        <v>471</v>
      </c>
      <c r="C20" s="76" t="s">
        <v>472</v>
      </c>
      <c r="D20" s="76" t="n">
        <v>2.27</v>
      </c>
      <c r="E20" s="76" t="n">
        <v>2.27</v>
      </c>
      <c r="F20" s="76" t="n">
        <v>2.16</v>
      </c>
      <c r="G20" s="76" t="n">
        <v>0.259700829755115</v>
      </c>
      <c r="H20" s="76" t="n">
        <v>0.829644809052832</v>
      </c>
      <c r="I20" s="76" t="s">
        <v>178</v>
      </c>
      <c r="J20" s="75" t="s">
        <v>446</v>
      </c>
      <c r="K20" s="77" t="str">
        <f aca="false">IF($A20="","",IF(AND(G20&lt;20%,H20&gt;0.9),"核心池",IF(AND(H20&gt;=0.85),"观察池",IF(AND(H20&gt;=0.8),"边缘池",""))))</f>
        <v>边缘池</v>
      </c>
      <c r="L20" s="78" t="str">
        <f aca="false">IF($A20="","",IF(AND(G20&lt;60%,H20&gt;0.8,I20="True"),"是","否"))</f>
        <v>是</v>
      </c>
      <c r="M20" s="78" t="str">
        <f aca="false">IF($A20="","",IF(AND(D20&gt;0,E20&gt;0,D20&lt;=E20*1.02),"是","否"))</f>
        <v>是</v>
      </c>
      <c r="N20" s="76" t="str">
        <f aca="false">IFERROR(INDEX(账户总表!$O:$O,COUNTA(账户总表!$A:$A)),0)</f>
        <v/>
      </c>
      <c r="O20" s="76" t="n">
        <f aca="false">IFERROR(INDEX(账户总表!$B:$B,COUNTA(账户总表!$A:$A))*N20,0)</f>
        <v>0</v>
      </c>
      <c r="P20" s="76" t="n">
        <f aca="false">IFERROR(O20/D20,0)</f>
        <v>0</v>
      </c>
      <c r="Q20" s="76" t="n">
        <f aca="false">IFERROR(FLOOR(P20,100),0)</f>
        <v>0</v>
      </c>
      <c r="R20" s="76" t="n">
        <f aca="false">IFERROR(CEILING(800/(100*D20),1)*100,0)</f>
        <v>400</v>
      </c>
      <c r="S20" s="76"/>
      <c r="T20" s="76" t="n">
        <f aca="false">IFERROR(S20*D20,0)</f>
        <v>0</v>
      </c>
      <c r="U20" s="76" t="n">
        <f aca="false">IFERROR(T20/INDEX(账户总表!$B:$B,COUNTA(账户总表!$A:$A)),0)</f>
        <v>0</v>
      </c>
      <c r="V20" s="79" t="n">
        <f aca="false">IFERROR(INDEX(账户总表!$E:$E,COUNTA(账户总表!$A:$A))+U20,0)</f>
        <v>0</v>
      </c>
      <c r="W20" s="78" t="str">
        <f aca="false">IF($A20="","",IFERROR(IF(V20&lt;=INDEX(账户总表!$N:$N,COUNTA(账户总表!$A:$A)),"是","否"),"否"))</f>
        <v>是</v>
      </c>
      <c r="X20" s="76" t="n">
        <f aca="false">IF($A20="","",MAX(F20*0.98,D20*0.92))</f>
        <v>2.1168</v>
      </c>
      <c r="Y20" s="76"/>
      <c r="Z20" s="78" t="str">
        <f aca="false">IF($A20="","",IFERROR(IF(AND(T20&gt;INDEX(账户总表!$C:$C,COUNTA(账户总表!$A:$A)),L20="是"),"是","否"),"否"))</f>
        <v>否</v>
      </c>
      <c r="AA20" s="76" t="n">
        <f aca="false">IF($A20="","",IFERROR(IF(Z20="是",MAX(0,T20-INDEX(账户总表!$C:$C,COUNTA(账户总表!$A:$A)),IF(N20&gt;0,T20/N20-INDEX(账户总表!$B:$B,COUNTA(账户总表!$A:$A)),0)),0),0))</f>
        <v>0</v>
      </c>
      <c r="AB20" s="76" t="n">
        <f aca="false">IF($A20="","",IF(AND(Z20="是",INDEX(账户总表!$U:$U,COUNTA(账户总表!$A:$A))="是"),IF(INDEX(账户总表!$L:$L,COUNTA(账户总表!$A:$A))&gt;=4,AA20*1.5,AA20),0))</f>
        <v>0</v>
      </c>
      <c r="AC20" s="78" t="str">
        <f aca="false">IF($A20="","",IF(AND(L20="是",Q20&gt;=R20,S20&lt;=Q20,S20&gt;=R20,W20="是",X20&gt;0,M20="是",INDEX(账户总表!$M:$M,COUNTA(账户总表!$A:$A))&lt;=2,INDEX(账户总表!$V:$V,COUNTA(账户总表!$A:$A))="是",OR(T20&lt;=INDEX(账户总表!$C:$C,COUNTA(账户总表!$A:$A)),AND(Z20="是",INDEX(账户总表!$U:$U,COUNTA(账户总表!$A:$A))="是",AB20&gt;0))),"是","否"))</f>
        <v>否</v>
      </c>
      <c r="AD20" s="76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COUNTA(账户总表!$A:$A))&gt;2,"亏钱效应偏高",IF(INDEX(账户总表!$V:$V,COUNTA(账户总表!$A:$A))&lt;&gt;"是","账户不允许新开仓",IF(AND(T20&gt;INDEX(账户总表!$C:$C,COUNTA(账户总表!$A:$A)),INDEX(账户总表!$U:$U,COUNTA(账户总表!$A:$A))&lt;&gt;"是"),"现金不足且不允许转入",IF(AND(Z20="是",AB20&lt;=0),"转入金额未满足",""))))))))))))</f>
        <v>100股约束不满足</v>
      </c>
      <c r="AE20" s="76"/>
      <c r="AF20" s="1" t="n">
        <f aca="false">IF($A20="","",D20*100)</f>
        <v>227</v>
      </c>
      <c r="AG20" s="1" t="n">
        <f aca="false">IF($A20="","",IFERROR(AF20/INDEX(账户总表!$B:$B,COUNTA(账户总表!$A:$A)),0))</f>
        <v>0</v>
      </c>
      <c r="AH20" s="1" t="n">
        <f aca="false">IF($A20="","",IFERROR(INDEX(账户总表!$B:$B,COUNTA(账户总表!$A:$A))*INDEX(账户总表!$O:$O,COUNTA(账户总表!$A:$A)),0))</f>
        <v>0</v>
      </c>
      <c r="AI20" s="1" t="str">
        <f aca="false">IF($A20="","",IF(AF20&gt;AH20,"超限","合规"))</f>
        <v>超限</v>
      </c>
      <c r="AJ20" s="1" t="n">
        <f aca="false">IF($A20="","",IFERROR(AF20/INDEX(账户总表!$O:$O,COUNTA(账户总表!$A:$A)),0))</f>
        <v>0</v>
      </c>
      <c r="AK20" s="1" t="n">
        <f aca="false">IF($A20="","",IFERROR(MAX(0,AJ20-INDEX(账户总表!$B:$B,COUNTA(账户总表!$A:$A)),AF20-INDEX(账户总表!$C:$C,COUNTA(账户总表!$A:$A))),0))</f>
        <v>227</v>
      </c>
      <c r="AL20" s="1" t="str">
        <f aca="false">IF($A20="","",IF(COUNTIF(持仓表!$C$2:$C$201,C20)&gt;0,"已有","新标的"))</f>
        <v>新标的</v>
      </c>
      <c r="AM20" s="1" t="n">
        <f aca="false">IF($A20="","",IFERROR(SUMIFS(持仓表!$N$2:$N$201,持仓表!$C$2:$C$201,C20,持仓表!$A$2:$A$201,$A20),0))</f>
        <v>0</v>
      </c>
      <c r="AN20" s="1" t="n">
        <f aca="false">IF($A20="","",IFERROR(AM20+AF20/INDEX(账户总表!$B:$B,COUNTA(账户总表!$A:$A)),0))</f>
        <v>0</v>
      </c>
      <c r="AO20" s="1" t="str">
        <f aca="false">IF($A20="","",IF(AN20&gt;INDEX(账户总表!$O:$O,COUNTA(账户总表!$A:$A)),"超限","合规"))</f>
        <v>合规</v>
      </c>
      <c r="AP20" s="1" t="str">
        <f aca="false">IF($A20="","",IF(AND(AL20="新标的",INDEX(账户总表!$R:$R,COUNTA(账户总表!$A:$A))&gt;=INDEX(账户总表!$S:$S,COUNTA(账户总表!$A:$A))),"新增受限","可通过"))</f>
        <v>新增受限</v>
      </c>
      <c r="AQ20" s="1" t="str">
        <f aca="false">IF($A20="","",IF(K20&lt;&gt;"核心池","非核心池",IF(OR(AI20="超限",AO20="超限",AP20="新增受限"),IF(AND(AT20="★信号强化",AS20&gt;=3),"可加仓(动态上限)","不可加仓"),"可加仓")))</f>
        <v>非核心池</v>
      </c>
      <c r="AR20" s="1" t="str">
        <f aca="false">IF($A20="","",TRIM(IF(AI20="超限","1手超单股上限；","")&amp;IF(AO20="超限","买后仓位超限；","")&amp;IF(AP20="新增受限","有效持仓数超限；","")&amp;IF(AF20&gt;INDEX(账户总表!$C:$C,COUNTA(账户总表!$A:$A)),"现金不足；","")))</f>
        <v>1手超单股上限；有效持仓数超限；现金不足；</v>
      </c>
      <c r="AU20" s="1" t="str">
        <f aca="false">IF($A20="","",IF(AK20&gt;30000-INDEX(账户总表!$B:$B,COUNTA(账户总表!$A:$A)),"不适合婴儿阶段","可纳入幼儿路径"))</f>
        <v>可纳入幼儿路径</v>
      </c>
    </row>
    <row r="21" customFormat="false" ht="15" hidden="false" customHeight="true" outlineLevel="0" collapsed="false">
      <c r="A21" s="74" t="n">
        <v>46236</v>
      </c>
      <c r="B21" s="75" t="s">
        <v>473</v>
      </c>
      <c r="C21" s="76" t="s">
        <v>474</v>
      </c>
      <c r="D21" s="76" t="n">
        <v>2.3</v>
      </c>
      <c r="E21" s="76" t="n">
        <v>2.3</v>
      </c>
      <c r="F21" s="76" t="n">
        <v>2.18</v>
      </c>
      <c r="G21" s="76" t="n">
        <v>0.200734035739838</v>
      </c>
      <c r="H21" s="76" t="n">
        <v>0.818710595098191</v>
      </c>
      <c r="I21" s="76" t="s">
        <v>178</v>
      </c>
      <c r="J21" s="75" t="s">
        <v>446</v>
      </c>
      <c r="K21" s="77" t="str">
        <f aca="false">IF($A21="","",IF(AND(G21&lt;20%,H21&gt;0.9),"核心池",IF(AND(H21&gt;=0.85),"观察池",IF(AND(H21&gt;=0.8),"边缘池",""))))</f>
        <v>边缘池</v>
      </c>
      <c r="L21" s="78" t="str">
        <f aca="false">IF($A21="","",IF(AND(G21&lt;60%,H21&gt;0.8,I21="True"),"是","否"))</f>
        <v>是</v>
      </c>
      <c r="M21" s="78" t="str">
        <f aca="false">IF($A21="","",IF(AND(D21&gt;0,E21&gt;0,D21&lt;=E21*1.02),"是","否"))</f>
        <v>是</v>
      </c>
      <c r="N21" s="76" t="str">
        <f aca="false">IFERROR(INDEX(账户总表!$O:$O,COUNTA(账户总表!$A:$A)),0)</f>
        <v/>
      </c>
      <c r="O21" s="76" t="n">
        <f aca="false">IFERROR(INDEX(账户总表!$B:$B,COUNTA(账户总表!$A:$A))*N21,0)</f>
        <v>0</v>
      </c>
      <c r="P21" s="76" t="n">
        <f aca="false">IFERROR(O21/D21,0)</f>
        <v>0</v>
      </c>
      <c r="Q21" s="76" t="n">
        <f aca="false">IFERROR(FLOOR(P21,100),0)</f>
        <v>0</v>
      </c>
      <c r="R21" s="76" t="n">
        <f aca="false">IFERROR(CEILING(800/(100*D21),1)*100,0)</f>
        <v>400</v>
      </c>
      <c r="S21" s="76"/>
      <c r="T21" s="76" t="n">
        <f aca="false">IFERROR(S21*D21,0)</f>
        <v>0</v>
      </c>
      <c r="U21" s="76" t="n">
        <f aca="false">IFERROR(T21/INDEX(账户总表!$B:$B,COUNTA(账户总表!$A:$A)),0)</f>
        <v>0</v>
      </c>
      <c r="V21" s="79" t="n">
        <f aca="false">IFERROR(INDEX(账户总表!$E:$E,COUNTA(账户总表!$A:$A))+U21,0)</f>
        <v>0</v>
      </c>
      <c r="W21" s="78" t="str">
        <f aca="false">IF($A21="","",IFERROR(IF(V21&lt;=INDEX(账户总表!$N:$N,COUNTA(账户总表!$A:$A)),"是","否"),"否"))</f>
        <v>是</v>
      </c>
      <c r="X21" s="76" t="n">
        <f aca="false">IF($A21="","",MAX(F21*0.98,D21*0.92))</f>
        <v>2.1364</v>
      </c>
      <c r="Y21" s="76"/>
      <c r="Z21" s="78" t="str">
        <f aca="false">IF($A21="","",IFERROR(IF(AND(T21&gt;INDEX(账户总表!$C:$C,COUNTA(账户总表!$A:$A)),L21="是"),"是","否"),"否"))</f>
        <v>否</v>
      </c>
      <c r="AA21" s="76" t="n">
        <f aca="false">IF($A21="","",IFERROR(IF(Z21="是",MAX(0,T21-INDEX(账户总表!$C:$C,COUNTA(账户总表!$A:$A)),IF(N21&gt;0,T21/N21-INDEX(账户总表!$B:$B,COUNTA(账户总表!$A:$A)),0)),0),0))</f>
        <v>0</v>
      </c>
      <c r="AB21" s="76" t="n">
        <f aca="false">IF($A21="","",IF(AND(Z21="是",INDEX(账户总表!$U:$U,COUNTA(账户总表!$A:$A))="是"),IF(INDEX(账户总表!$L:$L,COUNTA(账户总表!$A:$A))&gt;=4,AA21*1.5,AA21),0))</f>
        <v>0</v>
      </c>
      <c r="AC21" s="78" t="str">
        <f aca="false">IF($A21="","",IF(AND(L21="是",Q21&gt;=R21,S21&lt;=Q21,S21&gt;=R21,W21="是",X21&gt;0,M21="是",INDEX(账户总表!$M:$M,COUNTA(账户总表!$A:$A))&lt;=2,INDEX(账户总表!$V:$V,COUNTA(账户总表!$A:$A))="是",OR(T21&lt;=INDEX(账户总表!$C:$C,COUNTA(账户总表!$A:$A)),AND(Z21="是",INDEX(账户总表!$U:$U,COUNTA(账户总表!$A:$A))="是",AB21&gt;0))),"是","否"))</f>
        <v>否</v>
      </c>
      <c r="AD21" s="76" t="str">
        <f aca="false"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COUNTA(账户总表!$A:$A))&gt;2,"亏钱效应偏高",IF(INDEX(账户总表!$V:$V,COUNTA(账户总表!$A:$A))&lt;&gt;"是","账户不允许新开仓",IF(AND(T21&gt;INDEX(账户总表!$C:$C,COUNTA(账户总表!$A:$A)),INDEX(账户总表!$U:$U,COUNTA(账户总表!$A:$A))&lt;&gt;"是"),"现金不足且不允许转入",IF(AND(Z21="是",AB21&lt;=0),"转入金额未满足",""))))))))))))</f>
        <v>100股约束不满足</v>
      </c>
      <c r="AE21" s="76"/>
      <c r="AF21" s="1" t="n">
        <f aca="false">IF($A21="","",D21*100)</f>
        <v>230</v>
      </c>
      <c r="AG21" s="1" t="n">
        <f aca="false">IF($A21="","",IFERROR(AF21/INDEX(账户总表!$B:$B,COUNTA(账户总表!$A:$A)),0))</f>
        <v>0</v>
      </c>
      <c r="AH21" s="1" t="n">
        <f aca="false">IF($A21="","",IFERROR(INDEX(账户总表!$B:$B,COUNTA(账户总表!$A:$A))*INDEX(账户总表!$O:$O,COUNTA(账户总表!$A:$A)),0))</f>
        <v>0</v>
      </c>
      <c r="AI21" s="1" t="str">
        <f aca="false">IF($A21="","",IF(AF21&gt;AH21,"超限","合规"))</f>
        <v>超限</v>
      </c>
      <c r="AJ21" s="1" t="n">
        <f aca="false">IF($A21="","",IFERROR(AF21/INDEX(账户总表!$O:$O,COUNTA(账户总表!$A:$A)),0))</f>
        <v>0</v>
      </c>
      <c r="AK21" s="1" t="n">
        <f aca="false">IF($A21="","",IFERROR(MAX(0,AJ21-INDEX(账户总表!$B:$B,COUNTA(账户总表!$A:$A)),AF21-INDEX(账户总表!$C:$C,COUNTA(账户总表!$A:$A))),0))</f>
        <v>230</v>
      </c>
      <c r="AL21" s="1" t="str">
        <f aca="false">IF($A21="","",IF(COUNTIF(持仓表!$C$2:$C$201,C21)&gt;0,"已有","新标的"))</f>
        <v>新标的</v>
      </c>
      <c r="AM21" s="1" t="n">
        <f aca="false">IF($A21="","",IFERROR(SUMIFS(持仓表!$N$2:$N$201,持仓表!$C$2:$C$201,C21,持仓表!$A$2:$A$201,$A21),0))</f>
        <v>0</v>
      </c>
      <c r="AN21" s="1" t="n">
        <f aca="false">IF($A21="","",IFERROR(AM21+AF21/INDEX(账户总表!$B:$B,COUNTA(账户总表!$A:$A)),0))</f>
        <v>0</v>
      </c>
      <c r="AO21" s="1" t="str">
        <f aca="false">IF($A21="","",IF(AN21&gt;INDEX(账户总表!$O:$O,COUNTA(账户总表!$A:$A)),"超限","合规"))</f>
        <v>合规</v>
      </c>
      <c r="AP21" s="1" t="str">
        <f aca="false">IF($A21="","",IF(AND(AL21="新标的",INDEX(账户总表!$R:$R,COUNTA(账户总表!$A:$A))&gt;=INDEX(账户总表!$S:$S,COUNTA(账户总表!$A:$A))),"新增受限","可通过"))</f>
        <v>新增受限</v>
      </c>
      <c r="AQ21" s="1" t="str">
        <f aca="false">IF($A21="","",IF(K21&lt;&gt;"核心池","非核心池",IF(OR(AI21="超限",AO21="超限",AP21="新增受限"),IF(AND(AT21="★信号强化",AS21&gt;=3),"可加仓(动态上限)","不可加仓"),"可加仓")))</f>
        <v>非核心池</v>
      </c>
      <c r="AR21" s="1" t="str">
        <f aca="false">IF($A21="","",TRIM(IF(AI21="超限","1手超单股上限；","")&amp;IF(AO21="超限","买后仓位超限；","")&amp;IF(AP21="新增受限","有效持仓数超限；","")&amp;IF(AF21&gt;INDEX(账户总表!$C:$C,COUNTA(账户总表!$A:$A)),"现金不足；","")))</f>
        <v>1手超单股上限；有效持仓数超限；现金不足；</v>
      </c>
      <c r="AU21" s="1" t="str">
        <f aca="false">IF($A21="","",IF(AK21&gt;30000-INDEX(账户总表!$B:$B,COUNTA(账户总表!$A:$A)),"不适合婴儿阶段","可纳入幼儿路径"))</f>
        <v>可纳入幼儿路径</v>
      </c>
    </row>
    <row r="22" customFormat="false" ht="15" hidden="false" customHeight="true" outlineLevel="0" collapsed="false">
      <c r="A22" s="74" t="n">
        <v>46236</v>
      </c>
      <c r="B22" s="75" t="s">
        <v>475</v>
      </c>
      <c r="C22" s="76" t="s">
        <v>476</v>
      </c>
      <c r="D22" s="76" t="n">
        <v>21.5</v>
      </c>
      <c r="E22" s="76" t="n">
        <v>21.5</v>
      </c>
      <c r="F22" s="76" t="n">
        <v>20.43</v>
      </c>
      <c r="G22" s="76" t="n">
        <v>0.265697798793541</v>
      </c>
      <c r="H22" s="76" t="n">
        <v>0.812283872869804</v>
      </c>
      <c r="I22" s="76" t="s">
        <v>178</v>
      </c>
      <c r="J22" s="75" t="s">
        <v>446</v>
      </c>
      <c r="K22" s="77" t="str">
        <f aca="false">IF($A22="","",IF(AND(G22&lt;20%,H22&gt;0.9),"核心池",IF(AND(H22&gt;=0.85),"观察池",IF(AND(H22&gt;=0.8),"边缘池",""))))</f>
        <v>边缘池</v>
      </c>
      <c r="L22" s="78" t="str">
        <f aca="false">IF($A22="","",IF(AND(G22&lt;60%,H22&gt;0.8,I22="True"),"是","否"))</f>
        <v>是</v>
      </c>
      <c r="M22" s="78" t="str">
        <f aca="false">IF($A22="","",IF(AND(D22&gt;0,E22&gt;0,D22&lt;=E22*1.02),"是","否"))</f>
        <v>是</v>
      </c>
      <c r="N22" s="76" t="str">
        <f aca="false">IFERROR(INDEX(账户总表!$O:$O,COUNTA(账户总表!$A:$A)),0)</f>
        <v/>
      </c>
      <c r="O22" s="76" t="n">
        <f aca="false">IFERROR(INDEX(账户总表!$B:$B,COUNTA(账户总表!$A:$A))*N22,0)</f>
        <v>0</v>
      </c>
      <c r="P22" s="76" t="n">
        <f aca="false">IFERROR(O22/D22,0)</f>
        <v>0</v>
      </c>
      <c r="Q22" s="76" t="n">
        <f aca="false">IFERROR(FLOOR(P22,100),0)</f>
        <v>0</v>
      </c>
      <c r="R22" s="76" t="n">
        <f aca="false">IFERROR(CEILING(800/(100*D22),1)*100,0)</f>
        <v>100</v>
      </c>
      <c r="S22" s="76"/>
      <c r="T22" s="76" t="n">
        <f aca="false">IFERROR(S22*D22,0)</f>
        <v>0</v>
      </c>
      <c r="U22" s="76" t="n">
        <f aca="false">IFERROR(T22/INDEX(账户总表!$B:$B,COUNTA(账户总表!$A:$A)),0)</f>
        <v>0</v>
      </c>
      <c r="V22" s="79" t="n">
        <f aca="false">IFERROR(INDEX(账户总表!$E:$E,COUNTA(账户总表!$A:$A))+U22,0)</f>
        <v>0</v>
      </c>
      <c r="W22" s="78" t="str">
        <f aca="false">IF($A22="","",IFERROR(IF(V22&lt;=INDEX(账户总表!$N:$N,COUNTA(账户总表!$A:$A)),"是","否"),"否"))</f>
        <v>是</v>
      </c>
      <c r="X22" s="76" t="n">
        <f aca="false">IF($A22="","",MAX(F22*0.98,D22*0.92))</f>
        <v>20.0214</v>
      </c>
      <c r="Y22" s="76"/>
      <c r="Z22" s="78" t="str">
        <f aca="false">IF($A22="","",IFERROR(IF(AND(T22&gt;INDEX(账户总表!$C:$C,COUNTA(账户总表!$A:$A)),L22="是"),"是","否"),"否"))</f>
        <v>否</v>
      </c>
      <c r="AA22" s="76" t="n">
        <f aca="false">IF($A22="","",IFERROR(IF(Z22="是",MAX(0,T22-INDEX(账户总表!$C:$C,COUNTA(账户总表!$A:$A)),IF(N22&gt;0,T22/N22-INDEX(账户总表!$B:$B,COUNTA(账户总表!$A:$A)),0)),0),0))</f>
        <v>0</v>
      </c>
      <c r="AB22" s="76" t="n">
        <f aca="false">IF($A22="","",IF(AND(Z22="是",INDEX(账户总表!$U:$U,COUNTA(账户总表!$A:$A))="是"),IF(INDEX(账户总表!$L:$L,COUNTA(账户总表!$A:$A))&gt;=4,AA22*1.5,AA22),0))</f>
        <v>0</v>
      </c>
      <c r="AC22" s="78" t="str">
        <f aca="false">IF($A22="","",IF(AND(L22="是",Q22&gt;=R22,S22&lt;=Q22,S22&gt;=R22,W22="是",X22&gt;0,M22="是",INDEX(账户总表!$M:$M,COUNTA(账户总表!$A:$A))&lt;=2,INDEX(账户总表!$V:$V,COUNTA(账户总表!$A:$A))="是",OR(T22&lt;=INDEX(账户总表!$C:$C,COUNTA(账户总表!$A:$A)),AND(Z22="是",INDEX(账户总表!$U:$U,COUNTA(账户总表!$A:$A))="是",AB22&gt;0))),"是","否"))</f>
        <v>否</v>
      </c>
      <c r="AD22" s="76" t="str">
        <f aca="false"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COUNTA(账户总表!$A:$A))&gt;2,"亏钱效应偏高",IF(INDEX(账户总表!$V:$V,COUNTA(账户总表!$A:$A))&lt;&gt;"是","账户不允许新开仓",IF(AND(T22&gt;INDEX(账户总表!$C:$C,COUNTA(账户总表!$A:$A)),INDEX(账户总表!$U:$U,COUNTA(账户总表!$A:$A))&lt;&gt;"是"),"现金不足且不允许转入",IF(AND(Z22="是",AB22&lt;=0),"转入金额未满足",""))))))))))))</f>
        <v>100股约束不满足</v>
      </c>
      <c r="AE22" s="76"/>
      <c r="AF22" s="1" t="n">
        <f aca="false">IF($A22="","",D22*100)</f>
        <v>2150</v>
      </c>
      <c r="AG22" s="1" t="n">
        <f aca="false">IF($A22="","",IFERROR(AF22/INDEX(账户总表!$B:$B,COUNTA(账户总表!$A:$A)),0))</f>
        <v>0</v>
      </c>
      <c r="AH22" s="1" t="n">
        <f aca="false">IF($A22="","",IFERROR(INDEX(账户总表!$B:$B,COUNTA(账户总表!$A:$A))*INDEX(账户总表!$O:$O,COUNTA(账户总表!$A:$A)),0))</f>
        <v>0</v>
      </c>
      <c r="AI22" s="1" t="str">
        <f aca="false">IF($A22="","",IF(AF22&gt;AH22,"超限","合规"))</f>
        <v>超限</v>
      </c>
      <c r="AJ22" s="1" t="n">
        <f aca="false">IF($A22="","",IFERROR(AF22/INDEX(账户总表!$O:$O,COUNTA(账户总表!$A:$A)),0))</f>
        <v>0</v>
      </c>
      <c r="AK22" s="1" t="n">
        <f aca="false">IF($A22="","",IFERROR(MAX(0,AJ22-INDEX(账户总表!$B:$B,COUNTA(账户总表!$A:$A)),AF22-INDEX(账户总表!$C:$C,COUNTA(账户总表!$A:$A))),0))</f>
        <v>2150</v>
      </c>
      <c r="AL22" s="1" t="str">
        <f aca="false">IF($A22="","",IF(COUNTIF(持仓表!$C$2:$C$201,C22)&gt;0,"已有","新标的"))</f>
        <v>新标的</v>
      </c>
      <c r="AM22" s="1" t="n">
        <f aca="false">IF($A22="","",IFERROR(SUMIFS(持仓表!$N$2:$N$201,持仓表!$C$2:$C$201,C22,持仓表!$A$2:$A$201,$A22),0))</f>
        <v>0</v>
      </c>
      <c r="AN22" s="1" t="n">
        <f aca="false">IF($A22="","",IFERROR(AM22+AF22/INDEX(账户总表!$B:$B,COUNTA(账户总表!$A:$A)),0))</f>
        <v>0</v>
      </c>
      <c r="AO22" s="1" t="str">
        <f aca="false">IF($A22="","",IF(AN22&gt;INDEX(账户总表!$O:$O,COUNTA(账户总表!$A:$A)),"超限","合规"))</f>
        <v>合规</v>
      </c>
      <c r="AP22" s="1" t="str">
        <f aca="false">IF($A22="","",IF(AND(AL22="新标的",INDEX(账户总表!$R:$R,COUNTA(账户总表!$A:$A))&gt;=INDEX(账户总表!$S:$S,COUNTA(账户总表!$A:$A))),"新增受限","可通过"))</f>
        <v>新增受限</v>
      </c>
      <c r="AQ22" s="1" t="str">
        <f aca="false">IF($A22="","",IF(K22&lt;&gt;"核心池","非核心池",IF(OR(AI22="超限",AO22="超限",AP22="新增受限"),IF(AND(AT22="★信号强化",AS22&gt;=3),"可加仓(动态上限)","不可加仓"),"可加仓")))</f>
        <v>非核心池</v>
      </c>
      <c r="AR22" s="1" t="str">
        <f aca="false">IF($A22="","",TRIM(IF(AI22="超限","1手超单股上限；","")&amp;IF(AO22="超限","买后仓位超限；","")&amp;IF(AP22="新增受限","有效持仓数超限；","")&amp;IF(AF22&gt;INDEX(账户总表!$C:$C,COUNTA(账户总表!$A:$A)),"现金不足；","")))</f>
        <v>1手超单股上限；有效持仓数超限；现金不足；</v>
      </c>
      <c r="AU22" s="1" t="str">
        <f aca="false">IF($A22="","",IF(AK22&gt;30000-INDEX(账户总表!$B:$B,COUNTA(账户总表!$A:$A)),"不适合婴儿阶段","可纳入幼儿路径"))</f>
        <v>可纳入幼儿路径</v>
      </c>
    </row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8">
      <formula>L2="是"</formula>
    </cfRule>
    <cfRule type="expression" priority="3" aboveAverage="0" equalAverage="0" bottom="0" percent="0" rank="0" text="" dxfId="9">
      <formula>L2="否"</formula>
    </cfRule>
  </conditionalFormatting>
  <conditionalFormatting sqref="M2:M201">
    <cfRule type="expression" priority="4" aboveAverage="0" equalAverage="0" bottom="0" percent="0" rank="0" text="" dxfId="8">
      <formula>M2="是"</formula>
    </cfRule>
    <cfRule type="expression" priority="5" aboveAverage="0" equalAverage="0" bottom="0" percent="0" rank="0" text="" dxfId="9">
      <formula>M2="否"</formula>
    </cfRule>
  </conditionalFormatting>
  <conditionalFormatting sqref="W2:W201">
    <cfRule type="expression" priority="6" aboveAverage="0" equalAverage="0" bottom="0" percent="0" rank="0" text="" dxfId="8">
      <formula>W2="是"</formula>
    </cfRule>
    <cfRule type="expression" priority="7" aboveAverage="0" equalAverage="0" bottom="0" percent="0" rank="0" text="" dxfId="9">
      <formula>W2="否"</formula>
    </cfRule>
  </conditionalFormatting>
  <conditionalFormatting sqref="AC2:AC201">
    <cfRule type="expression" priority="8" aboveAverage="0" equalAverage="0" bottom="0" percent="0" rank="0" text="" dxfId="8">
      <formula>AC2="是"</formula>
    </cfRule>
    <cfRule type="expression" priority="9" aboveAverage="0" equalAverage="0" bottom="0" percent="0" rank="0" text="" dxfId="9">
      <formula>AC2="否"</formula>
    </cfRule>
  </conditionalFormatting>
  <conditionalFormatting sqref="Z2:Z201">
    <cfRule type="expression" priority="10" aboveAverage="0" equalAverage="0" bottom="0" percent="0" rank="0" text="" dxfId="9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477</v>
      </c>
      <c r="B1" s="2" t="s">
        <v>345</v>
      </c>
      <c r="C1" s="2" t="s">
        <v>346</v>
      </c>
      <c r="D1" s="2" t="s">
        <v>478</v>
      </c>
      <c r="E1" s="2" t="s">
        <v>479</v>
      </c>
      <c r="F1" s="2" t="s">
        <v>480</v>
      </c>
      <c r="G1" s="2" t="s">
        <v>481</v>
      </c>
      <c r="H1" s="2" t="s">
        <v>482</v>
      </c>
      <c r="I1" s="2" t="s">
        <v>483</v>
      </c>
      <c r="J1" s="2" t="s">
        <v>484</v>
      </c>
      <c r="K1" s="2" t="s">
        <v>485</v>
      </c>
      <c r="L1" s="2" t="s">
        <v>486</v>
      </c>
      <c r="M1" s="2" t="s">
        <v>487</v>
      </c>
      <c r="N1" s="2" t="s">
        <v>488</v>
      </c>
      <c r="O1" s="2" t="s">
        <v>489</v>
      </c>
      <c r="P1" s="2" t="s">
        <v>490</v>
      </c>
      <c r="Q1" s="2" t="s">
        <v>491</v>
      </c>
      <c r="R1" s="2" t="s">
        <v>492</v>
      </c>
      <c r="S1" s="2" t="s">
        <v>493</v>
      </c>
      <c r="T1" s="2" t="s">
        <v>494</v>
      </c>
      <c r="U1" s="2" t="s">
        <v>6</v>
      </c>
      <c r="V1" s="80" t="s">
        <v>495</v>
      </c>
      <c r="W1" s="80" t="s">
        <v>496</v>
      </c>
      <c r="X1" s="81" t="s">
        <v>497</v>
      </c>
      <c r="Y1" s="80" t="s">
        <v>498</v>
      </c>
      <c r="Z1" s="80" t="s">
        <v>499</v>
      </c>
      <c r="AA1" s="80" t="s">
        <v>500</v>
      </c>
    </row>
    <row r="2" customFormat="false" ht="15" hidden="false" customHeight="true" outlineLevel="0" collapsed="false">
      <c r="A2" s="29" t="s">
        <v>501</v>
      </c>
      <c r="B2" s="28" t="s">
        <v>502</v>
      </c>
      <c r="C2" s="29" t="s">
        <v>503</v>
      </c>
      <c r="D2" s="28" t="s">
        <v>504</v>
      </c>
      <c r="E2" s="28" t="s">
        <v>446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505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2" t="n">
        <f aca="false">IF($A2="","",IF(D2="买入",IF(AND(ISNUMBER(L2),L2&gt;0),(F2-L2)*G2,0),0))</f>
        <v>0</v>
      </c>
      <c r="X2" s="83" t="n">
        <v>0</v>
      </c>
      <c r="Y2" s="83" t="n">
        <v>0</v>
      </c>
      <c r="Z2" s="1" t="str">
        <f aca="false">IF($A2="","",IF(X2&gt;0,"胜1",IF(X2&lt;0,"亏1","平")))</f>
        <v>平</v>
      </c>
      <c r="AA2" s="84" t="n">
        <f aca="false">IF($A2="","",0)</f>
        <v>0</v>
      </c>
    </row>
    <row r="3" customFormat="false" ht="15" hidden="false" customHeight="true" outlineLevel="0" collapsed="false">
      <c r="A3" s="31" t="s">
        <v>506</v>
      </c>
      <c r="B3" s="30" t="s">
        <v>507</v>
      </c>
      <c r="C3" s="31" t="s">
        <v>508</v>
      </c>
      <c r="D3" s="30" t="s">
        <v>504</v>
      </c>
      <c r="E3" s="30" t="s">
        <v>446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505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2" t="n">
        <f aca="false">IF($A3="","",IF(D3="买入",IF(AND(ISNUMBER(L3),L3&gt;0),(F3-L3)*G3,0),0))</f>
        <v>0</v>
      </c>
      <c r="X3" s="83" t="n">
        <v>0</v>
      </c>
      <c r="Y3" s="83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4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509</v>
      </c>
      <c r="B4" s="28" t="s">
        <v>502</v>
      </c>
      <c r="C4" s="29" t="s">
        <v>503</v>
      </c>
      <c r="D4" s="28" t="s">
        <v>510</v>
      </c>
      <c r="E4" s="28" t="s">
        <v>511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512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2" t="n">
        <f aca="false">IF($A4="","",IF(D4="买入",IF(AND(ISNUMBER(L4),L4&gt;0),(F4-L4)*G4,0),0))</f>
        <v>0</v>
      </c>
      <c r="X4" s="83" t="n">
        <v>-0.350338</v>
      </c>
      <c r="Y4" s="83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4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513</v>
      </c>
      <c r="B5" s="30" t="s">
        <v>507</v>
      </c>
      <c r="C5" s="31" t="s">
        <v>508</v>
      </c>
      <c r="D5" s="30" t="s">
        <v>510</v>
      </c>
      <c r="E5" s="30" t="s">
        <v>511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514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2" t="n">
        <f aca="false">IF($A5="","",IF(D5="买入",IF(AND(ISNUMBER(L5),L5&gt;0),(F5-L5)*G5,0),0))</f>
        <v>0</v>
      </c>
      <c r="X5" s="83" t="n">
        <v>9.082391</v>
      </c>
      <c r="Y5" s="83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4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515</v>
      </c>
      <c r="B6" s="28" t="s">
        <v>516</v>
      </c>
      <c r="C6" s="29" t="s">
        <v>517</v>
      </c>
      <c r="D6" s="28" t="s">
        <v>504</v>
      </c>
      <c r="E6" s="28" t="s">
        <v>446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518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2" t="n">
        <f aca="false">IF($A6="","",IF(D6="买入",IF(AND(ISNUMBER(L6),L6&gt;0),(F6-L6)*G6,0),0))</f>
        <v>0</v>
      </c>
      <c r="X6" s="83" t="n">
        <v>0</v>
      </c>
      <c r="Y6" s="83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4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519</v>
      </c>
      <c r="B7" s="30" t="s">
        <v>516</v>
      </c>
      <c r="C7" s="31" t="s">
        <v>517</v>
      </c>
      <c r="D7" s="30" t="s">
        <v>510</v>
      </c>
      <c r="E7" s="30" t="s">
        <v>520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521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2" t="n">
        <f aca="false">IF($A7="","",IF(D7="买入",IF(AND(ISNUMBER(L7),L7&gt;0),(F7-L7)*G7,0),0))</f>
        <v>0</v>
      </c>
      <c r="X7" s="83" t="n">
        <v>1.570867</v>
      </c>
      <c r="Y7" s="83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4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519</v>
      </c>
      <c r="B8" s="28" t="s">
        <v>516</v>
      </c>
      <c r="C8" s="29" t="s">
        <v>517</v>
      </c>
      <c r="D8" s="28" t="s">
        <v>504</v>
      </c>
      <c r="E8" s="28" t="s">
        <v>520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522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2" t="n">
        <f aca="false">IF($A8="","",IF(D8="买入",IF(AND(ISNUMBER(L8),L8&gt;0),(F8-L8)*G8,0),0))</f>
        <v>0</v>
      </c>
      <c r="X8" s="83" t="n">
        <v>0</v>
      </c>
      <c r="Y8" s="83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4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523</v>
      </c>
      <c r="B9" s="30" t="s">
        <v>516</v>
      </c>
      <c r="C9" s="31" t="s">
        <v>517</v>
      </c>
      <c r="D9" s="30" t="s">
        <v>510</v>
      </c>
      <c r="E9" s="30" t="s">
        <v>520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521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2" t="n">
        <f aca="false">IF($A9="","",IF(D9="买入",IF(AND(ISNUMBER(L9),L9&gt;0),(F9-L9)*G9,0),0))</f>
        <v>0</v>
      </c>
      <c r="X9" s="83" t="n">
        <v>2.891566</v>
      </c>
      <c r="Y9" s="83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4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523</v>
      </c>
      <c r="B10" s="28" t="s">
        <v>516</v>
      </c>
      <c r="C10" s="29" t="s">
        <v>517</v>
      </c>
      <c r="D10" s="28" t="s">
        <v>504</v>
      </c>
      <c r="E10" s="28" t="s">
        <v>520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522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2" t="n">
        <f aca="false">IF($A10="","",IF(D10="买入",IF(AND(ISNUMBER(L10),L10&gt;0),(F10-L10)*G10,0),0))</f>
        <v>0</v>
      </c>
      <c r="X10" s="83" t="n">
        <v>0</v>
      </c>
      <c r="Y10" s="83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4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524</v>
      </c>
      <c r="B11" s="30" t="s">
        <v>516</v>
      </c>
      <c r="C11" s="31" t="s">
        <v>517</v>
      </c>
      <c r="D11" s="30" t="s">
        <v>510</v>
      </c>
      <c r="E11" s="30" t="s">
        <v>511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525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2" t="n">
        <f aca="false">IF($A11="","",IF(D11="买入",IF(AND(ISNUMBER(L11),L11&gt;0),(F11-L11)*G11,0),0))</f>
        <v>0</v>
      </c>
      <c r="X11" s="83" t="n">
        <v>1.924086</v>
      </c>
      <c r="Y11" s="83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4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526</v>
      </c>
      <c r="B12" s="28" t="s">
        <v>527</v>
      </c>
      <c r="C12" s="29" t="s">
        <v>528</v>
      </c>
      <c r="D12" s="28" t="s">
        <v>504</v>
      </c>
      <c r="E12" s="28" t="s">
        <v>446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529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2" t="n">
        <f aca="false">IF($A12="","",IF(D12="买入",IF(AND(ISNUMBER(L12),L12&gt;0),(F12-L12)*G12,0),0))</f>
        <v>0</v>
      </c>
      <c r="X12" s="83" t="n">
        <v>0</v>
      </c>
      <c r="Y12" s="83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4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530</v>
      </c>
      <c r="B13" s="30" t="s">
        <v>375</v>
      </c>
      <c r="C13" s="31" t="s">
        <v>376</v>
      </c>
      <c r="D13" s="30" t="s">
        <v>504</v>
      </c>
      <c r="E13" s="30" t="s">
        <v>446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531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2" t="n">
        <f aca="false">IF($A13="","",IF(D13="买入",IF(AND(ISNUMBER(L13),L13&gt;0),(F13-L13)*G13,0),0))</f>
        <v>0</v>
      </c>
      <c r="X13" s="83" t="n">
        <v>0</v>
      </c>
      <c r="Y13" s="83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4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532</v>
      </c>
      <c r="B14" s="28" t="s">
        <v>375</v>
      </c>
      <c r="C14" s="29" t="s">
        <v>376</v>
      </c>
      <c r="D14" s="28" t="s">
        <v>510</v>
      </c>
      <c r="E14" s="28" t="s">
        <v>511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533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2" t="n">
        <f aca="false">IF($A14="","",IF(D14="买入",IF(AND(ISNUMBER(L14),L14&gt;0),(F14-L14)*G14,0),0))</f>
        <v>0</v>
      </c>
      <c r="X14" s="83" t="n">
        <v>-0.401727</v>
      </c>
      <c r="Y14" s="83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4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534</v>
      </c>
      <c r="B15" s="30" t="s">
        <v>527</v>
      </c>
      <c r="C15" s="31" t="s">
        <v>528</v>
      </c>
      <c r="D15" s="30" t="s">
        <v>510</v>
      </c>
      <c r="E15" s="30" t="s">
        <v>511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535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2" t="n">
        <f aca="false">IF($A15="","",IF(D15="买入",IF(AND(ISNUMBER(L15),L15&gt;0),(F15-L15)*G15,0),0))</f>
        <v>0</v>
      </c>
      <c r="X15" s="83" t="n">
        <v>0.285888</v>
      </c>
      <c r="Y15" s="83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4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536</v>
      </c>
      <c r="B16" s="28" t="s">
        <v>537</v>
      </c>
      <c r="C16" s="29" t="s">
        <v>538</v>
      </c>
      <c r="D16" s="28" t="s">
        <v>504</v>
      </c>
      <c r="E16" s="28" t="s">
        <v>446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505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2" t="n">
        <f aca="false">IF($A16="","",IF(D16="买入",IF(AND(ISNUMBER(L16),L16&gt;0),(F16-L16)*G16,0),0))</f>
        <v>0</v>
      </c>
      <c r="X16" s="83" t="n">
        <v>0</v>
      </c>
      <c r="Y16" s="83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4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539</v>
      </c>
      <c r="B17" s="30" t="s">
        <v>537</v>
      </c>
      <c r="C17" s="31" t="s">
        <v>538</v>
      </c>
      <c r="D17" s="30" t="s">
        <v>504</v>
      </c>
      <c r="E17" s="30" t="s">
        <v>540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541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2" t="n">
        <f aca="false">IF($A17="","",IF(D17="买入",IF(AND(ISNUMBER(L17),L17&gt;0),(F17-L17)*G17,0),0))</f>
        <v>0</v>
      </c>
      <c r="X17" s="83" t="n">
        <v>0</v>
      </c>
      <c r="Y17" s="83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4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542</v>
      </c>
      <c r="B18" s="28" t="s">
        <v>377</v>
      </c>
      <c r="C18" s="29" t="s">
        <v>378</v>
      </c>
      <c r="D18" s="28" t="s">
        <v>504</v>
      </c>
      <c r="E18" s="28" t="s">
        <v>446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543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2" t="n">
        <f aca="false">IF($A18="","",IF(D18="买入",IF(AND(ISNUMBER(L18),L18&gt;0),(F18-L18)*G18,0),0))</f>
        <v>177.2</v>
      </c>
      <c r="X18" s="83" t="n">
        <v>0</v>
      </c>
      <c r="Y18" s="83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4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544</v>
      </c>
      <c r="B19" s="30" t="s">
        <v>516</v>
      </c>
      <c r="C19" s="31" t="s">
        <v>517</v>
      </c>
      <c r="D19" s="30" t="s">
        <v>545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546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2" t="n">
        <f aca="false">IF($A19="","",IF(D19="买入",IF(AND(ISNUMBER(L19),L19&gt;0),(F19-L19)*G19,0),0))</f>
        <v>0</v>
      </c>
      <c r="X19" s="83" t="n">
        <v>0</v>
      </c>
      <c r="Y19" s="83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4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2" t="str">
        <f aca="false">IF($A20="","",IF(D20="买入",IF(AND(ISNUMBER(L20),L20&gt;0),(F20-L20)*G20,F20*0.08*G20),IF(AND(ISNUMBER(V20),V20&gt;0),IF(AND(ISNUMBER(L20),L20&gt;0),(V20-L20)*G20,V20*0.08*G20),0)))</f>
        <v/>
      </c>
      <c r="X20" s="83" t="str">
        <f aca="false">IF($A20="","",IF(D20="买入",0,IFERROR(IF(W20&lt;&gt;0,(H20-IFERROR(INDEX($H$2:$H19,MATCH(2,1/($C$2:$C19=$C20))),0))/W20,0),0)))</f>
        <v/>
      </c>
      <c r="Y20" s="83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4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2" t="str">
        <f aca="false">IF($A21="","",IF(D21="买入",IF(AND(ISNUMBER(L21),L21&gt;0),(F21-L21)*G21,F21*0.08*G21),IF(AND(ISNUMBER(V21),V21&gt;0),IF(AND(ISNUMBER(L21),L21&gt;0),(V21-L21)*G21,V21*0.08*G21),0)))</f>
        <v/>
      </c>
      <c r="X21" s="83" t="str">
        <f aca="false">IF($A21="","",IF(D21="买入",0,IFERROR(IF(W21&lt;&gt;0,(H21-IFERROR(INDEX($H$2:$H20,MATCH(2,1/($C$2:$C20=$C21))),0))/W21,0),0)))</f>
        <v/>
      </c>
      <c r="Y21" s="83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4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2" t="str">
        <f aca="false">IF($A22="","",IF(D22="买入",IF(AND(ISNUMBER(L22),L22&gt;0),(F22-L22)*G22,F22*0.08*G22),IF(AND(ISNUMBER(V22),V22&gt;0),IF(AND(ISNUMBER(L22),L22&gt;0),(V22-L22)*G22,V22*0.08*G22),0)))</f>
        <v/>
      </c>
      <c r="X22" s="83" t="str">
        <f aca="false">IF($A22="","",IF(D22="买入",0,IFERROR(IF(W22&lt;&gt;0,(H22-IFERROR(INDEX($H$2:$H21,MATCH(2,1/($C$2:$C21=$C22))),0))/W22,0),0)))</f>
        <v/>
      </c>
      <c r="Y22" s="83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4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2" t="str">
        <f aca="false">IF($A23="","",IF(D23="买入",IF(AND(ISNUMBER(L23),L23&gt;0),(F23-L23)*G23,F23*0.08*G23),IF(AND(ISNUMBER(V23),V23&gt;0),IF(AND(ISNUMBER(L23),L23&gt;0),(V23-L23)*G23,V23*0.08*G23),0)))</f>
        <v/>
      </c>
      <c r="X23" s="83" t="str">
        <f aca="false">IF($A23="","",IF(D23="买入",0,IFERROR(IF(W23&lt;&gt;0,(H23-IFERROR(INDEX($H$2:$H22,MATCH(2,1/($C$2:$C22=$C23))),0))/W23,0),0)))</f>
        <v/>
      </c>
      <c r="Y23" s="83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4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2" t="str">
        <f aca="false">IF($A24="","",IF(D24="买入",IF(AND(ISNUMBER(L24),L24&gt;0),(F24-L24)*G24,F24*0.08*G24),IF(AND(ISNUMBER(V24),V24&gt;0),IF(AND(ISNUMBER(L24),L24&gt;0),(V24-L24)*G24,V24*0.08*G24),0)))</f>
        <v/>
      </c>
      <c r="X24" s="83" t="str">
        <f aca="false">IF($A24="","",IF(D24="买入",0,IFERROR(IF(W24&lt;&gt;0,(H24-IFERROR(INDEX($H$2:$H23,MATCH(2,1/($C$2:$C23=$C24))),0))/W24,0),0)))</f>
        <v/>
      </c>
      <c r="Y24" s="83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4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2" t="str">
        <f aca="false">IF($A25="","",IF(D25="买入",IF(AND(ISNUMBER(L25),L25&gt;0),(F25-L25)*G25,F25*0.08*G25),IF(AND(ISNUMBER(V25),V25&gt;0),IF(AND(ISNUMBER(L25),L25&gt;0),(V25-L25)*G25,V25*0.08*G25),0)))</f>
        <v/>
      </c>
      <c r="X25" s="83" t="str">
        <f aca="false">IF($A25="","",IF(D25="买入",0,IFERROR(IF(W25&lt;&gt;0,(H25-IFERROR(INDEX($H$2:$H24,MATCH(2,1/($C$2:$C24=$C25))),0))/W25,0),0)))</f>
        <v/>
      </c>
      <c r="Y25" s="83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4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2" t="str">
        <f aca="false">IF($A26="","",IF(D26="买入",IF(AND(ISNUMBER(L26),L26&gt;0),(F26-L26)*G26,F26*0.08*G26),IF(AND(ISNUMBER(V26),V26&gt;0),IF(AND(ISNUMBER(L26),L26&gt;0),(V26-L26)*G26,V26*0.08*G26),0)))</f>
        <v/>
      </c>
      <c r="X26" s="83" t="str">
        <f aca="false">IF($A26="","",IF(D26="买入",0,IFERROR(IF(W26&lt;&gt;0,(H26-IFERROR(INDEX($H$2:$H25,MATCH(2,1/($C$2:$C25=$C26))),0))/W26,0),0)))</f>
        <v/>
      </c>
      <c r="Y26" s="83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4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2" t="str">
        <f aca="false">IF($A27="","",IF(D27="买入",IF(AND(ISNUMBER(L27),L27&gt;0),(F27-L27)*G27,F27*0.08*G27),IF(AND(ISNUMBER(V27),V27&gt;0),IF(AND(ISNUMBER(L27),L27&gt;0),(V27-L27)*G27,V27*0.08*G27),0)))</f>
        <v/>
      </c>
      <c r="X27" s="83" t="str">
        <f aca="false">IF($A27="","",IF(D27="买入",0,IFERROR(IF(W27&lt;&gt;0,(H27-IFERROR(INDEX($H$2:$H26,MATCH(2,1/($C$2:$C26=$C27))),0))/W27,0),0)))</f>
        <v/>
      </c>
      <c r="Y27" s="83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4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2" t="str">
        <f aca="false">IF($A28="","",IF(D28="买入",IF(AND(ISNUMBER(L28),L28&gt;0),(F28-L28)*G28,F28*0.08*G28),IF(AND(ISNUMBER(V28),V28&gt;0),IF(AND(ISNUMBER(L28),L28&gt;0),(V28-L28)*G28,V28*0.08*G28),0)))</f>
        <v/>
      </c>
      <c r="X28" s="83" t="str">
        <f aca="false">IF($A28="","",IF(D28="买入",0,IFERROR(IF(W28&lt;&gt;0,(H28-IFERROR(INDEX($H$2:$H27,MATCH(2,1/($C$2:$C27=$C28))),0))/W28,0),0)))</f>
        <v/>
      </c>
      <c r="Y28" s="83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4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2" t="str">
        <f aca="false">IF($A29="","",IF(D29="买入",IF(AND(ISNUMBER(L29),L29&gt;0),(F29-L29)*G29,F29*0.08*G29),IF(AND(ISNUMBER(V29),V29&gt;0),IF(AND(ISNUMBER(L29),L29&gt;0),(V29-L29)*G29,V29*0.08*G29),0)))</f>
        <v/>
      </c>
      <c r="X29" s="83" t="str">
        <f aca="false">IF($A29="","",IF(D29="买入",0,IFERROR(IF(W29&lt;&gt;0,(H29-IFERROR(INDEX($H$2:$H28,MATCH(2,1/($C$2:$C28=$C29))),0))/W29,0),0)))</f>
        <v/>
      </c>
      <c r="Y29" s="83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4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2" t="str">
        <f aca="false">IF($A30="","",IF(D30="买入",IF(AND(ISNUMBER(L30),L30&gt;0),(F30-L30)*G30,F30*0.08*G30),IF(AND(ISNUMBER(V30),V30&gt;0),IF(AND(ISNUMBER(L30),L30&gt;0),(V30-L30)*G30,V30*0.08*G30),0)))</f>
        <v/>
      </c>
      <c r="X30" s="83" t="str">
        <f aca="false">IF($A30="","",IF(D30="买入",0,IFERROR(IF(W30&lt;&gt;0,(H30-IFERROR(INDEX($H$2:$H29,MATCH(2,1/($C$2:$C29=$C30))),0))/W30,0),0)))</f>
        <v/>
      </c>
      <c r="Y30" s="83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4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2" t="str">
        <f aca="false">IF($A31="","",IF(D31="买入",IF(AND(ISNUMBER(L31),L31&gt;0),(F31-L31)*G31,F31*0.08*G31),IF(AND(ISNUMBER(V31),V31&gt;0),IF(AND(ISNUMBER(L31),L31&gt;0),(V31-L31)*G31,V31*0.08*G31),0)))</f>
        <v/>
      </c>
      <c r="X31" s="83" t="str">
        <f aca="false">IF($A31="","",IF(D31="买入",0,IFERROR(IF(W31&lt;&gt;0,(H31-IFERROR(INDEX($H$2:$H30,MATCH(2,1/($C$2:$C30=$C31))),0))/W31,0),0)))</f>
        <v/>
      </c>
      <c r="Y31" s="83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4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2" t="str">
        <f aca="false">IF($A32="","",IF(D32="买入",IF(AND(ISNUMBER(L32),L32&gt;0),(F32-L32)*G32,F32*0.08*G32),IF(AND(ISNUMBER(V32),V32&gt;0),IF(AND(ISNUMBER(L32),L32&gt;0),(V32-L32)*G32,V32*0.08*G32),0)))</f>
        <v/>
      </c>
      <c r="X32" s="83" t="str">
        <f aca="false">IF($A32="","",IF(D32="买入",0,IFERROR(IF(W32&lt;&gt;0,(H32-IFERROR(INDEX($H$2:$H31,MATCH(2,1/($C$2:$C31=$C32))),0))/W32,0),0)))</f>
        <v/>
      </c>
      <c r="Y32" s="83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4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2" t="str">
        <f aca="false">IF($A33="","",IF(D33="买入",IF(AND(ISNUMBER(L33),L33&gt;0),(F33-L33)*G33,F33*0.08*G33),IF(AND(ISNUMBER(V33),V33&gt;0),IF(AND(ISNUMBER(L33),L33&gt;0),(V33-L33)*G33,V33*0.08*G33),0)))</f>
        <v/>
      </c>
      <c r="X33" s="83" t="str">
        <f aca="false">IF($A33="","",IF(D33="买入",0,IFERROR(IF(W33&lt;&gt;0,(H33-IFERROR(INDEX($H$2:$H32,MATCH(2,1/($C$2:$C32=$C33))),0))/W33,0),0)))</f>
        <v/>
      </c>
      <c r="Y33" s="83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4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2" t="str">
        <f aca="false">IF($A34="","",IF(D34="买入",IF(AND(ISNUMBER(L34),L34&gt;0),(F34-L34)*G34,F34*0.08*G34),IF(AND(ISNUMBER(V34),V34&gt;0),IF(AND(ISNUMBER(L34),L34&gt;0),(V34-L34)*G34,V34*0.08*G34),0)))</f>
        <v/>
      </c>
      <c r="X34" s="83" t="str">
        <f aca="false">IF($A34="","",IF(D34="买入",0,IFERROR(IF(W34&lt;&gt;0,(H34-IFERROR(INDEX($H$2:$H33,MATCH(2,1/($C$2:$C33=$C34))),0))/W34,0),0)))</f>
        <v/>
      </c>
      <c r="Y34" s="83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4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2" t="str">
        <f aca="false">IF($A35="","",IF(D35="买入",IF(AND(ISNUMBER(L35),L35&gt;0),(F35-L35)*G35,F35*0.08*G35),IF(AND(ISNUMBER(V35),V35&gt;0),IF(AND(ISNUMBER(L35),L35&gt;0),(V35-L35)*G35,V35*0.08*G35),0)))</f>
        <v/>
      </c>
      <c r="X35" s="83" t="str">
        <f aca="false">IF($A35="","",IF(D35="买入",0,IFERROR(IF(W35&lt;&gt;0,(H35-IFERROR(INDEX($H$2:$H34,MATCH(2,1/($C$2:$C34=$C35))),0))/W35,0),0)))</f>
        <v/>
      </c>
      <c r="Y35" s="83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4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2" t="str">
        <f aca="false">IF($A36="","",IF(D36="买入",IF(AND(ISNUMBER(L36),L36&gt;0),(F36-L36)*G36,F36*0.08*G36),IF(AND(ISNUMBER(V36),V36&gt;0),IF(AND(ISNUMBER(L36),L36&gt;0),(V36-L36)*G36,V36*0.08*G36),0)))</f>
        <v/>
      </c>
      <c r="X36" s="83" t="str">
        <f aca="false">IF($A36="","",IF(D36="买入",0,IFERROR(IF(W36&lt;&gt;0,(H36-IFERROR(INDEX($H$2:$H35,MATCH(2,1/($C$2:$C35=$C36))),0))/W36,0),0)))</f>
        <v/>
      </c>
      <c r="Y36" s="83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4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2" t="str">
        <f aca="false">IF($A37="","",IF(D37="买入",IF(AND(ISNUMBER(L37),L37&gt;0),(F37-L37)*G37,F37*0.08*G37),IF(AND(ISNUMBER(V37),V37&gt;0),IF(AND(ISNUMBER(L37),L37&gt;0),(V37-L37)*G37,V37*0.08*G37),0)))</f>
        <v/>
      </c>
      <c r="X37" s="83" t="str">
        <f aca="false">IF($A37="","",IF(D37="买入",0,IFERROR(IF(W37&lt;&gt;0,(H37-IFERROR(INDEX($H$2:$H36,MATCH(2,1/($C$2:$C36=$C37))),0))/W37,0),0)))</f>
        <v/>
      </c>
      <c r="Y37" s="83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4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2" t="str">
        <f aca="false">IF($A38="","",IF(D38="买入",IF(AND(ISNUMBER(L38),L38&gt;0),(F38-L38)*G38,F38*0.08*G38),IF(AND(ISNUMBER(V38),V38&gt;0),IF(AND(ISNUMBER(L38),L38&gt;0),(V38-L38)*G38,V38*0.08*G38),0)))</f>
        <v/>
      </c>
      <c r="X38" s="83" t="str">
        <f aca="false">IF($A38="","",IF(D38="买入",0,IFERROR(IF(W38&lt;&gt;0,(H38-IFERROR(INDEX($H$2:$H37,MATCH(2,1/($C$2:$C37=$C38))),0))/W38,0),0)))</f>
        <v/>
      </c>
      <c r="Y38" s="83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4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2" t="str">
        <f aca="false">IF($A39="","",IF(D39="买入",IF(AND(ISNUMBER(L39),L39&gt;0),(F39-L39)*G39,F39*0.08*G39),IF(AND(ISNUMBER(V39),V39&gt;0),IF(AND(ISNUMBER(L39),L39&gt;0),(V39-L39)*G39,V39*0.08*G39),0)))</f>
        <v/>
      </c>
      <c r="X39" s="83" t="str">
        <f aca="false">IF($A39="","",IF(D39="买入",0,IFERROR(IF(W39&lt;&gt;0,(H39-IFERROR(INDEX($H$2:$H38,MATCH(2,1/($C$2:$C38=$C39))),0))/W39,0),0)))</f>
        <v/>
      </c>
      <c r="Y39" s="83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4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2" t="str">
        <f aca="false">IF($A40="","",IF(D40="买入",IF(AND(ISNUMBER(L40),L40&gt;0),(F40-L40)*G40,F40*0.08*G40),IF(AND(ISNUMBER(V40),V40&gt;0),IF(AND(ISNUMBER(L40),L40&gt;0),(V40-L40)*G40,V40*0.08*G40),0)))</f>
        <v/>
      </c>
      <c r="X40" s="83" t="str">
        <f aca="false">IF($A40="","",IF(D40="买入",0,IFERROR(IF(W40&lt;&gt;0,(H40-IFERROR(INDEX($H$2:$H39,MATCH(2,1/($C$2:$C39=$C40))),0))/W40,0),0)))</f>
        <v/>
      </c>
      <c r="Y40" s="83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4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2" t="str">
        <f aca="false">IF($A41="","",IF(D41="买入",IF(AND(ISNUMBER(L41),L41&gt;0),(F41-L41)*G41,F41*0.08*G41),IF(AND(ISNUMBER(V41),V41&gt;0),IF(AND(ISNUMBER(L41),L41&gt;0),(V41-L41)*G41,V41*0.08*G41),0)))</f>
        <v/>
      </c>
      <c r="X41" s="83" t="str">
        <f aca="false">IF($A41="","",IF(D41="买入",0,IFERROR(IF(W41&lt;&gt;0,(H41-IFERROR(INDEX($H$2:$H40,MATCH(2,1/($C$2:$C40=$C41))),0))/W41,0),0)))</f>
        <v/>
      </c>
      <c r="Y41" s="83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4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2" t="str">
        <f aca="false">IF($A42="","",IF(D42="买入",IF(AND(ISNUMBER(L42),L42&gt;0),(F42-L42)*G42,F42*0.08*G42),IF(AND(ISNUMBER(V42),V42&gt;0),IF(AND(ISNUMBER(L42),L42&gt;0),(V42-L42)*G42,V42*0.08*G42),0)))</f>
        <v/>
      </c>
      <c r="X42" s="83" t="str">
        <f aca="false">IF($A42="","",IF(D42="买入",0,IFERROR(IF(W42&lt;&gt;0,(H42-IFERROR(INDEX($H$2:$H41,MATCH(2,1/($C$2:$C41=$C42))),0))/W42,0),0)))</f>
        <v/>
      </c>
      <c r="Y42" s="83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4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2" t="str">
        <f aca="false">IF($A43="","",IF(D43="买入",IF(AND(ISNUMBER(L43),L43&gt;0),(F43-L43)*G43,F43*0.08*G43),IF(AND(ISNUMBER(V43),V43&gt;0),IF(AND(ISNUMBER(L43),L43&gt;0),(V43-L43)*G43,V43*0.08*G43),0)))</f>
        <v/>
      </c>
      <c r="X43" s="83" t="str">
        <f aca="false">IF($A43="","",IF(D43="买入",0,IFERROR(IF(W43&lt;&gt;0,(H43-IFERROR(INDEX($H$2:$H42,MATCH(2,1/($C$2:$C42=$C43))),0))/W43,0),0)))</f>
        <v/>
      </c>
      <c r="Y43" s="83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4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2" t="str">
        <f aca="false">IF($A44="","",IF(D44="买入",IF(AND(ISNUMBER(L44),L44&gt;0),(F44-L44)*G44,F44*0.08*G44),IF(AND(ISNUMBER(V44),V44&gt;0),IF(AND(ISNUMBER(L44),L44&gt;0),(V44-L44)*G44,V44*0.08*G44),0)))</f>
        <v/>
      </c>
      <c r="X44" s="83" t="str">
        <f aca="false">IF($A44="","",IF(D44="买入",0,IFERROR(IF(W44&lt;&gt;0,(H44-IFERROR(INDEX($H$2:$H43,MATCH(2,1/($C$2:$C43=$C44))),0))/W44,0),0)))</f>
        <v/>
      </c>
      <c r="Y44" s="83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4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2" t="str">
        <f aca="false">IF($A45="","",IF(D45="买入",IF(AND(ISNUMBER(L45),L45&gt;0),(F45-L45)*G45,F45*0.08*G45),IF(AND(ISNUMBER(V45),V45&gt;0),IF(AND(ISNUMBER(L45),L45&gt;0),(V45-L45)*G45,V45*0.08*G45),0)))</f>
        <v/>
      </c>
      <c r="X45" s="83" t="str">
        <f aca="false">IF($A45="","",IF(D45="买入",0,IFERROR(IF(W45&lt;&gt;0,(H45-IFERROR(INDEX($H$2:$H44,MATCH(2,1/($C$2:$C44=$C45))),0))/W45,0),0)))</f>
        <v/>
      </c>
      <c r="Y45" s="83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4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2" t="str">
        <f aca="false">IF($A46="","",IF(D46="买入",IF(AND(ISNUMBER(L46),L46&gt;0),(F46-L46)*G46,F46*0.08*G46),IF(AND(ISNUMBER(V46),V46&gt;0),IF(AND(ISNUMBER(L46),L46&gt;0),(V46-L46)*G46,V46*0.08*G46),0)))</f>
        <v/>
      </c>
      <c r="X46" s="83" t="str">
        <f aca="false">IF($A46="","",IF(D46="买入",0,IFERROR(IF(W46&lt;&gt;0,(H46-IFERROR(INDEX($H$2:$H45,MATCH(2,1/($C$2:$C45=$C46))),0))/W46,0),0)))</f>
        <v/>
      </c>
      <c r="Y46" s="83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4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2" t="str">
        <f aca="false">IF($A47="","",IF(D47="买入",IF(AND(ISNUMBER(L47),L47&gt;0),(F47-L47)*G47,F47*0.08*G47),IF(AND(ISNUMBER(V47),V47&gt;0),IF(AND(ISNUMBER(L47),L47&gt;0),(V47-L47)*G47,V47*0.08*G47),0)))</f>
        <v/>
      </c>
      <c r="X47" s="83" t="str">
        <f aca="false">IF($A47="","",IF(D47="买入",0,IFERROR(IF(W47&lt;&gt;0,(H47-IFERROR(INDEX($H$2:$H46,MATCH(2,1/($C$2:$C46=$C47))),0))/W47,0),0)))</f>
        <v/>
      </c>
      <c r="Y47" s="83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4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2" t="str">
        <f aca="false">IF($A48="","",IF(D48="买入",IF(AND(ISNUMBER(L48),L48&gt;0),(F48-L48)*G48,F48*0.08*G48),IF(AND(ISNUMBER(V48),V48&gt;0),IF(AND(ISNUMBER(L48),L48&gt;0),(V48-L48)*G48,V48*0.08*G48),0)))</f>
        <v/>
      </c>
      <c r="X48" s="83" t="str">
        <f aca="false">IF($A48="","",IF(D48="买入",0,IFERROR(IF(W48&lt;&gt;0,(H48-IFERROR(INDEX($H$2:$H47,MATCH(2,1/($C$2:$C47=$C48))),0))/W48,0),0)))</f>
        <v/>
      </c>
      <c r="Y48" s="83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4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2" t="str">
        <f aca="false">IF($A49="","",IF(D49="买入",IF(AND(ISNUMBER(L49),L49&gt;0),(F49-L49)*G49,F49*0.08*G49),IF(AND(ISNUMBER(V49),V49&gt;0),IF(AND(ISNUMBER(L49),L49&gt;0),(V49-L49)*G49,V49*0.08*G49),0)))</f>
        <v/>
      </c>
      <c r="X49" s="83" t="str">
        <f aca="false">IF($A49="","",IF(D49="买入",0,IFERROR(IF(W49&lt;&gt;0,(H49-IFERROR(INDEX($H$2:$H48,MATCH(2,1/($C$2:$C48=$C49))),0))/W49,0),0)))</f>
        <v/>
      </c>
      <c r="Y49" s="83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4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2" t="str">
        <f aca="false">IF($A50="","",IF(D50="买入",IF(AND(ISNUMBER(L50),L50&gt;0),(F50-L50)*G50,F50*0.08*G50),IF(AND(ISNUMBER(V50),V50&gt;0),IF(AND(ISNUMBER(L50),L50&gt;0),(V50-L50)*G50,V50*0.08*G50),0)))</f>
        <v/>
      </c>
      <c r="X50" s="83" t="str">
        <f aca="false">IF($A50="","",IF(D50="买入",0,IFERROR(IF(W50&lt;&gt;0,(H50-IFERROR(INDEX($H$2:$H49,MATCH(2,1/($C$2:$C49=$C50))),0))/W50,0),0)))</f>
        <v/>
      </c>
      <c r="Y50" s="83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4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2" t="str">
        <f aca="false">IF($A51="","",IF(D51="买入",IF(AND(ISNUMBER(L51),L51&gt;0),(F51-L51)*G51,F51*0.08*G51),IF(AND(ISNUMBER(V51),V51&gt;0),IF(AND(ISNUMBER(L51),L51&gt;0),(V51-L51)*G51,V51*0.08*G51),0)))</f>
        <v/>
      </c>
      <c r="X51" s="83" t="str">
        <f aca="false">IF($A51="","",IF(D51="买入",0,IFERROR(IF(W51&lt;&gt;0,(H51-IFERROR(INDEX($H$2:$H50,MATCH(2,1/($C$2:$C50=$C51))),0))/W51,0),0)))</f>
        <v/>
      </c>
      <c r="Y51" s="83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4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2" t="str">
        <f aca="false">IF($A52="","",IF(D52="买入",IF(AND(ISNUMBER(L52),L52&gt;0),(F52-L52)*G52,F52*0.08*G52),IF(AND(ISNUMBER(V52),V52&gt;0),IF(AND(ISNUMBER(L52),L52&gt;0),(V52-L52)*G52,V52*0.08*G52),0)))</f>
        <v/>
      </c>
      <c r="X52" s="83" t="str">
        <f aca="false">IF($A52="","",IF(D52="买入",0,IFERROR(IF(W52&lt;&gt;0,(H52-IFERROR(INDEX($H$2:$H51,MATCH(2,1/($C$2:$C51=$C52))),0))/W52,0),0)))</f>
        <v/>
      </c>
      <c r="Y52" s="83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4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2" t="str">
        <f aca="false">IF($A53="","",IF(D53="买入",IF(AND(ISNUMBER(L53),L53&gt;0),(F53-L53)*G53,F53*0.08*G53),IF(AND(ISNUMBER(V53),V53&gt;0),IF(AND(ISNUMBER(L53),L53&gt;0),(V53-L53)*G53,V53*0.08*G53),0)))</f>
        <v/>
      </c>
      <c r="X53" s="83" t="str">
        <f aca="false">IF($A53="","",IF(D53="买入",0,IFERROR(IF(W53&lt;&gt;0,(H53-IFERROR(INDEX($H$2:$H52,MATCH(2,1/($C$2:$C52=$C53))),0))/W53,0),0)))</f>
        <v/>
      </c>
      <c r="Y53" s="83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4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2" t="str">
        <f aca="false">IF($A54="","",IF(D54="买入",IF(AND(ISNUMBER(L54),L54&gt;0),(F54-L54)*G54,F54*0.08*G54),IF(AND(ISNUMBER(V54),V54&gt;0),IF(AND(ISNUMBER(L54),L54&gt;0),(V54-L54)*G54,V54*0.08*G54),0)))</f>
        <v/>
      </c>
      <c r="X54" s="83" t="str">
        <f aca="false">IF($A54="","",IF(D54="买入",0,IFERROR(IF(W54&lt;&gt;0,(H54-IFERROR(INDEX($H$2:$H53,MATCH(2,1/($C$2:$C53=$C54))),0))/W54,0),0)))</f>
        <v/>
      </c>
      <c r="Y54" s="83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4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2" t="str">
        <f aca="false">IF($A55="","",IF(D55="买入",IF(AND(ISNUMBER(L55),L55&gt;0),(F55-L55)*G55,F55*0.08*G55),IF(AND(ISNUMBER(V55),V55&gt;0),IF(AND(ISNUMBER(L55),L55&gt;0),(V55-L55)*G55,V55*0.08*G55),0)))</f>
        <v/>
      </c>
      <c r="X55" s="83" t="str">
        <f aca="false">IF($A55="","",IF(D55="买入",0,IFERROR(IF(W55&lt;&gt;0,(H55-IFERROR(INDEX($H$2:$H54,MATCH(2,1/($C$2:$C54=$C55))),0))/W55,0),0)))</f>
        <v/>
      </c>
      <c r="Y55" s="83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4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2" t="str">
        <f aca="false">IF($A56="","",IF(D56="买入",IF(AND(ISNUMBER(L56),L56&gt;0),(F56-L56)*G56,F56*0.08*G56),IF(AND(ISNUMBER(V56),V56&gt;0),IF(AND(ISNUMBER(L56),L56&gt;0),(V56-L56)*G56,V56*0.08*G56),0)))</f>
        <v/>
      </c>
      <c r="X56" s="83" t="str">
        <f aca="false">IF($A56="","",IF(D56="买入",0,IFERROR(IF(W56&lt;&gt;0,(H56-IFERROR(INDEX($H$2:$H55,MATCH(2,1/($C$2:$C55=$C56))),0))/W56,0),0)))</f>
        <v/>
      </c>
      <c r="Y56" s="83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4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2" t="str">
        <f aca="false">IF($A57="","",IF(D57="买入",IF(AND(ISNUMBER(L57),L57&gt;0),(F57-L57)*G57,F57*0.08*G57),IF(AND(ISNUMBER(V57),V57&gt;0),IF(AND(ISNUMBER(L57),L57&gt;0),(V57-L57)*G57,V57*0.08*G57),0)))</f>
        <v/>
      </c>
      <c r="X57" s="83" t="str">
        <f aca="false">IF($A57="","",IF(D57="买入",0,IFERROR(IF(W57&lt;&gt;0,(H57-IFERROR(INDEX($H$2:$H56,MATCH(2,1/($C$2:$C56=$C57))),0))/W57,0),0)))</f>
        <v/>
      </c>
      <c r="Y57" s="83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4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2" t="str">
        <f aca="false">IF($A58="","",IF(D58="买入",IF(AND(ISNUMBER(L58),L58&gt;0),(F58-L58)*G58,F58*0.08*G58),IF(AND(ISNUMBER(V58),V58&gt;0),IF(AND(ISNUMBER(L58),L58&gt;0),(V58-L58)*G58,V58*0.08*G58),0)))</f>
        <v/>
      </c>
      <c r="X58" s="83" t="str">
        <f aca="false">IF($A58="","",IF(D58="买入",0,IFERROR(IF(W58&lt;&gt;0,(H58-IFERROR(INDEX($H$2:$H57,MATCH(2,1/($C$2:$C57=$C58))),0))/W58,0),0)))</f>
        <v/>
      </c>
      <c r="Y58" s="83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4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2" t="str">
        <f aca="false">IF($A59="","",IF(D59="买入",IF(AND(ISNUMBER(L59),L59&gt;0),(F59-L59)*G59,F59*0.08*G59),IF(AND(ISNUMBER(V59),V59&gt;0),IF(AND(ISNUMBER(L59),L59&gt;0),(V59-L59)*G59,V59*0.08*G59),0)))</f>
        <v/>
      </c>
      <c r="X59" s="83" t="str">
        <f aca="false">IF($A59="","",IF(D59="买入",0,IFERROR(IF(W59&lt;&gt;0,(H59-IFERROR(INDEX($H$2:$H58,MATCH(2,1/($C$2:$C58=$C59))),0))/W59,0),0)))</f>
        <v/>
      </c>
      <c r="Y59" s="83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4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2" t="str">
        <f aca="false">IF($A60="","",IF(D60="买入",IF(AND(ISNUMBER(L60),L60&gt;0),(F60-L60)*G60,F60*0.08*G60),IF(AND(ISNUMBER(V60),V60&gt;0),IF(AND(ISNUMBER(L60),L60&gt;0),(V60-L60)*G60,V60*0.08*G60),0)))</f>
        <v/>
      </c>
      <c r="X60" s="83" t="str">
        <f aca="false">IF($A60="","",IF(D60="买入",0,IFERROR(IF(W60&lt;&gt;0,(H60-IFERROR(INDEX($H$2:$H59,MATCH(2,1/($C$2:$C59=$C60))),0))/W60,0),0)))</f>
        <v/>
      </c>
      <c r="Y60" s="83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4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2" t="str">
        <f aca="false">IF($A61="","",IF(D61="买入",IF(AND(ISNUMBER(L61),L61&gt;0),(F61-L61)*G61,F61*0.08*G61),IF(AND(ISNUMBER(V61),V61&gt;0),IF(AND(ISNUMBER(L61),L61&gt;0),(V61-L61)*G61,V61*0.08*G61),0)))</f>
        <v/>
      </c>
      <c r="X61" s="83" t="str">
        <f aca="false">IF($A61="","",IF(D61="买入",0,IFERROR(IF(W61&lt;&gt;0,(H61-IFERROR(INDEX($H$2:$H60,MATCH(2,1/($C$2:$C60=$C61))),0))/W61,0),0)))</f>
        <v/>
      </c>
      <c r="Y61" s="83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4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2" t="str">
        <f aca="false">IF($A62="","",IF(D62="买入",IF(AND(ISNUMBER(L62),L62&gt;0),(F62-L62)*G62,F62*0.08*G62),IF(AND(ISNUMBER(V62),V62&gt;0),IF(AND(ISNUMBER(L62),L62&gt;0),(V62-L62)*G62,V62*0.08*G62),0)))</f>
        <v/>
      </c>
      <c r="X62" s="83" t="str">
        <f aca="false">IF($A62="","",IF(D62="买入",0,IFERROR(IF(W62&lt;&gt;0,(H62-IFERROR(INDEX($H$2:$H61,MATCH(2,1/($C$2:$C61=$C62))),0))/W62,0),0)))</f>
        <v/>
      </c>
      <c r="Y62" s="83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4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2" t="str">
        <f aca="false">IF($A63="","",IF(D63="买入",IF(AND(ISNUMBER(L63),L63&gt;0),(F63-L63)*G63,F63*0.08*G63),IF(AND(ISNUMBER(V63),V63&gt;0),IF(AND(ISNUMBER(L63),L63&gt;0),(V63-L63)*G63,V63*0.08*G63),0)))</f>
        <v/>
      </c>
      <c r="X63" s="83" t="str">
        <f aca="false">IF($A63="","",IF(D63="买入",0,IFERROR(IF(W63&lt;&gt;0,(H63-IFERROR(INDEX($H$2:$H62,MATCH(2,1/($C$2:$C62=$C63))),0))/W63,0),0)))</f>
        <v/>
      </c>
      <c r="Y63" s="83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4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2" t="str">
        <f aca="false">IF($A64="","",IF(D64="买入",IF(AND(ISNUMBER(L64),L64&gt;0),(F64-L64)*G64,F64*0.08*G64),IF(AND(ISNUMBER(V64),V64&gt;0),IF(AND(ISNUMBER(L64),L64&gt;0),(V64-L64)*G64,V64*0.08*G64),0)))</f>
        <v/>
      </c>
      <c r="X64" s="83" t="str">
        <f aca="false">IF($A64="","",IF(D64="买入",0,IFERROR(IF(W64&lt;&gt;0,(H64-IFERROR(INDEX($H$2:$H63,MATCH(2,1/($C$2:$C63=$C64))),0))/W64,0),0)))</f>
        <v/>
      </c>
      <c r="Y64" s="83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4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2" t="str">
        <f aca="false">IF($A65="","",IF(D65="买入",IF(AND(ISNUMBER(L65),L65&gt;0),(F65-L65)*G65,F65*0.08*G65),IF(AND(ISNUMBER(V65),V65&gt;0),IF(AND(ISNUMBER(L65),L65&gt;0),(V65-L65)*G65,V65*0.08*G65),0)))</f>
        <v/>
      </c>
      <c r="X65" s="83" t="str">
        <f aca="false">IF($A65="","",IF(D65="买入",0,IFERROR(IF(W65&lt;&gt;0,(H65-IFERROR(INDEX($H$2:$H64,MATCH(2,1/($C$2:$C64=$C65))),0))/W65,0),0)))</f>
        <v/>
      </c>
      <c r="Y65" s="83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4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2" t="str">
        <f aca="false">IF($A66="","",IF(D66="买入",IF(AND(ISNUMBER(L66),L66&gt;0),(F66-L66)*G66,F66*0.08*G66),IF(AND(ISNUMBER(V66),V66&gt;0),IF(AND(ISNUMBER(L66),L66&gt;0),(V66-L66)*G66,V66*0.08*G66),0)))</f>
        <v/>
      </c>
      <c r="X66" s="83" t="str">
        <f aca="false">IF($A66="","",IF(D66="买入",0,IFERROR(IF(W66&lt;&gt;0,(H66-IFERROR(INDEX($H$2:$H65,MATCH(2,1/($C$2:$C65=$C66))),0))/W66,0),0)))</f>
        <v/>
      </c>
      <c r="Y66" s="83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4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2" t="str">
        <f aca="false">IF($A67="","",IF(D67="买入",IF(AND(ISNUMBER(L67),L67&gt;0),(F67-L67)*G67,F67*0.08*G67),IF(AND(ISNUMBER(V67),V67&gt;0),IF(AND(ISNUMBER(L67),L67&gt;0),(V67-L67)*G67,V67*0.08*G67),0)))</f>
        <v/>
      </c>
      <c r="X67" s="83" t="str">
        <f aca="false">IF($A67="","",IF(D67="买入",0,IFERROR(IF(W67&lt;&gt;0,(H67-IFERROR(INDEX($H$2:$H66,MATCH(2,1/($C$2:$C66=$C67))),0))/W67,0),0)))</f>
        <v/>
      </c>
      <c r="Y67" s="83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4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2" t="str">
        <f aca="false">IF($A68="","",IF(D68="买入",IF(AND(ISNUMBER(L68),L68&gt;0),(F68-L68)*G68,F68*0.08*G68),IF(AND(ISNUMBER(V68),V68&gt;0),IF(AND(ISNUMBER(L68),L68&gt;0),(V68-L68)*G68,V68*0.08*G68),0)))</f>
        <v/>
      </c>
      <c r="X68" s="83" t="str">
        <f aca="false">IF($A68="","",IF(D68="买入",0,IFERROR(IF(W68&lt;&gt;0,(H68-IFERROR(INDEX($H$2:$H67,MATCH(2,1/($C$2:$C67=$C68))),0))/W68,0),0)))</f>
        <v/>
      </c>
      <c r="Y68" s="83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4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2" t="str">
        <f aca="false">IF($A69="","",IF(D69="买入",IF(AND(ISNUMBER(L69),L69&gt;0),(F69-L69)*G69,F69*0.08*G69),IF(AND(ISNUMBER(V69),V69&gt;0),IF(AND(ISNUMBER(L69),L69&gt;0),(V69-L69)*G69,V69*0.08*G69),0)))</f>
        <v/>
      </c>
      <c r="X69" s="83" t="str">
        <f aca="false">IF($A69="","",IF(D69="买入",0,IFERROR(IF(W69&lt;&gt;0,(H69-IFERROR(INDEX($H$2:$H68,MATCH(2,1/($C$2:$C68=$C69))),0))/W69,0),0)))</f>
        <v/>
      </c>
      <c r="Y69" s="83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4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2" t="str">
        <f aca="false">IF($A70="","",IF(D70="买入",IF(AND(ISNUMBER(L70),L70&gt;0),(F70-L70)*G70,F70*0.08*G70),IF(AND(ISNUMBER(V70),V70&gt;0),IF(AND(ISNUMBER(L70),L70&gt;0),(V70-L70)*G70,V70*0.08*G70),0)))</f>
        <v/>
      </c>
      <c r="X70" s="83" t="str">
        <f aca="false">IF($A70="","",IF(D70="买入",0,IFERROR(IF(W70&lt;&gt;0,(H70-IFERROR(INDEX($H$2:$H69,MATCH(2,1/($C$2:$C69=$C70))),0))/W70,0),0)))</f>
        <v/>
      </c>
      <c r="Y70" s="83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4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2" t="str">
        <f aca="false">IF($A71="","",IF(D71="买入",IF(AND(ISNUMBER(L71),L71&gt;0),(F71-L71)*G71,F71*0.08*G71),IF(AND(ISNUMBER(V71),V71&gt;0),IF(AND(ISNUMBER(L71),L71&gt;0),(V71-L71)*G71,V71*0.08*G71),0)))</f>
        <v/>
      </c>
      <c r="X71" s="83" t="str">
        <f aca="false">IF($A71="","",IF(D71="买入",0,IFERROR(IF(W71&lt;&gt;0,(H71-IFERROR(INDEX($H$2:$H70,MATCH(2,1/($C$2:$C70=$C71))),0))/W71,0),0)))</f>
        <v/>
      </c>
      <c r="Y71" s="83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4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2" t="str">
        <f aca="false">IF($A72="","",IF(D72="买入",IF(AND(ISNUMBER(L72),L72&gt;0),(F72-L72)*G72,F72*0.08*G72),IF(AND(ISNUMBER(V72),V72&gt;0),IF(AND(ISNUMBER(L72),L72&gt;0),(V72-L72)*G72,V72*0.08*G72),0)))</f>
        <v/>
      </c>
      <c r="X72" s="83" t="str">
        <f aca="false">IF($A72="","",IF(D72="买入",0,IFERROR(IF(W72&lt;&gt;0,(H72-IFERROR(INDEX($H$2:$H71,MATCH(2,1/($C$2:$C71=$C72))),0))/W72,0),0)))</f>
        <v/>
      </c>
      <c r="Y72" s="83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4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2" t="str">
        <f aca="false">IF($A73="","",IF(D73="买入",IF(AND(ISNUMBER(L73),L73&gt;0),(F73-L73)*G73,F73*0.08*G73),IF(AND(ISNUMBER(V73),V73&gt;0),IF(AND(ISNUMBER(L73),L73&gt;0),(V73-L73)*G73,V73*0.08*G73),0)))</f>
        <v/>
      </c>
      <c r="X73" s="83" t="str">
        <f aca="false">IF($A73="","",IF(D73="买入",0,IFERROR(IF(W73&lt;&gt;0,(H73-IFERROR(INDEX($H$2:$H72,MATCH(2,1/($C$2:$C72=$C73))),0))/W73,0),0)))</f>
        <v/>
      </c>
      <c r="Y73" s="83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4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2" t="str">
        <f aca="false">IF($A74="","",IF(D74="买入",IF(AND(ISNUMBER(L74),L74&gt;0),(F74-L74)*G74,F74*0.08*G74),IF(AND(ISNUMBER(V74),V74&gt;0),IF(AND(ISNUMBER(L74),L74&gt;0),(V74-L74)*G74,V74*0.08*G74),0)))</f>
        <v/>
      </c>
      <c r="X74" s="83" t="str">
        <f aca="false">IF($A74="","",IF(D74="买入",0,IFERROR(IF(W74&lt;&gt;0,(H74-IFERROR(INDEX($H$2:$H73,MATCH(2,1/($C$2:$C73=$C74))),0))/W74,0),0)))</f>
        <v/>
      </c>
      <c r="Y74" s="83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4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2" t="str">
        <f aca="false">IF($A75="","",IF(D75="买入",IF(AND(ISNUMBER(L75),L75&gt;0),(F75-L75)*G75,F75*0.08*G75),IF(AND(ISNUMBER(V75),V75&gt;0),IF(AND(ISNUMBER(L75),L75&gt;0),(V75-L75)*G75,V75*0.08*G75),0)))</f>
        <v/>
      </c>
      <c r="X75" s="83" t="str">
        <f aca="false">IF($A75="","",IF(D75="买入",0,IFERROR(IF(W75&lt;&gt;0,(H75-IFERROR(INDEX($H$2:$H74,MATCH(2,1/($C$2:$C74=$C75))),0))/W75,0),0)))</f>
        <v/>
      </c>
      <c r="Y75" s="83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4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2" t="str">
        <f aca="false">IF($A76="","",IF(D76="买入",IF(AND(ISNUMBER(L76),L76&gt;0),(F76-L76)*G76,F76*0.08*G76),IF(AND(ISNUMBER(V76),V76&gt;0),IF(AND(ISNUMBER(L76),L76&gt;0),(V76-L76)*G76,V76*0.08*G76),0)))</f>
        <v/>
      </c>
      <c r="X76" s="83" t="str">
        <f aca="false">IF($A76="","",IF(D76="买入",0,IFERROR(IF(W76&lt;&gt;0,(H76-IFERROR(INDEX($H$2:$H75,MATCH(2,1/($C$2:$C75=$C76))),0))/W76,0),0)))</f>
        <v/>
      </c>
      <c r="Y76" s="83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4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2" t="str">
        <f aca="false">IF($A77="","",IF(D77="买入",IF(AND(ISNUMBER(L77),L77&gt;0),(F77-L77)*G77,F77*0.08*G77),IF(AND(ISNUMBER(V77),V77&gt;0),IF(AND(ISNUMBER(L77),L77&gt;0),(V77-L77)*G77,V77*0.08*G77),0)))</f>
        <v/>
      </c>
      <c r="X77" s="83" t="str">
        <f aca="false">IF($A77="","",IF(D77="买入",0,IFERROR(IF(W77&lt;&gt;0,(H77-IFERROR(INDEX($H$2:$H76,MATCH(2,1/($C$2:$C76=$C77))),0))/W77,0),0)))</f>
        <v/>
      </c>
      <c r="Y77" s="83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4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2" t="str">
        <f aca="false">IF($A78="","",IF(D78="买入",IF(AND(ISNUMBER(L78),L78&gt;0),(F78-L78)*G78,F78*0.08*G78),IF(AND(ISNUMBER(V78),V78&gt;0),IF(AND(ISNUMBER(L78),L78&gt;0),(V78-L78)*G78,V78*0.08*G78),0)))</f>
        <v/>
      </c>
      <c r="X78" s="83" t="str">
        <f aca="false">IF($A78="","",IF(D78="买入",0,IFERROR(IF(W78&lt;&gt;0,(H78-IFERROR(INDEX($H$2:$H77,MATCH(2,1/($C$2:$C77=$C78))),0))/W78,0),0)))</f>
        <v/>
      </c>
      <c r="Y78" s="83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4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2" t="str">
        <f aca="false">IF($A79="","",IF(D79="买入",IF(AND(ISNUMBER(L79),L79&gt;0),(F79-L79)*G79,F79*0.08*G79),IF(AND(ISNUMBER(V79),V79&gt;0),IF(AND(ISNUMBER(L79),L79&gt;0),(V79-L79)*G79,V79*0.08*G79),0)))</f>
        <v/>
      </c>
      <c r="X79" s="83" t="str">
        <f aca="false">IF($A79="","",IF(D79="买入",0,IFERROR(IF(W79&lt;&gt;0,(H79-IFERROR(INDEX($H$2:$H78,MATCH(2,1/($C$2:$C78=$C79))),0))/W79,0),0)))</f>
        <v/>
      </c>
      <c r="Y79" s="83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4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2" t="str">
        <f aca="false">IF($A80="","",IF(D80="买入",IF(AND(ISNUMBER(L80),L80&gt;0),(F80-L80)*G80,F80*0.08*G80),IF(AND(ISNUMBER(V80),V80&gt;0),IF(AND(ISNUMBER(L80),L80&gt;0),(V80-L80)*G80,V80*0.08*G80),0)))</f>
        <v/>
      </c>
      <c r="X80" s="83" t="str">
        <f aca="false">IF($A80="","",IF(D80="买入",0,IFERROR(IF(W80&lt;&gt;0,(H80-IFERROR(INDEX($H$2:$H79,MATCH(2,1/($C$2:$C79=$C80))),0))/W80,0),0)))</f>
        <v/>
      </c>
      <c r="Y80" s="83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4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2" t="str">
        <f aca="false">IF($A81="","",IF(D81="买入",IF(AND(ISNUMBER(L81),L81&gt;0),(F81-L81)*G81,F81*0.08*G81),IF(AND(ISNUMBER(V81),V81&gt;0),IF(AND(ISNUMBER(L81),L81&gt;0),(V81-L81)*G81,V81*0.08*G81),0)))</f>
        <v/>
      </c>
      <c r="X81" s="83" t="str">
        <f aca="false">IF($A81="","",IF(D81="买入",0,IFERROR(IF(W81&lt;&gt;0,(H81-IFERROR(INDEX($H$2:$H80,MATCH(2,1/($C$2:$C80=$C81))),0))/W81,0),0)))</f>
        <v/>
      </c>
      <c r="Y81" s="83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4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2" t="str">
        <f aca="false">IF($A82="","",IF(D82="买入",IF(AND(ISNUMBER(L82),L82&gt;0),(F82-L82)*G82,F82*0.08*G82),IF(AND(ISNUMBER(V82),V82&gt;0),IF(AND(ISNUMBER(L82),L82&gt;0),(V82-L82)*G82,V82*0.08*G82),0)))</f>
        <v/>
      </c>
      <c r="X82" s="83" t="str">
        <f aca="false">IF($A82="","",IF(D82="买入",0,IFERROR(IF(W82&lt;&gt;0,(H82-IFERROR(INDEX($H$2:$H81,MATCH(2,1/($C$2:$C81=$C82))),0))/W82,0),0)))</f>
        <v/>
      </c>
      <c r="Y82" s="83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4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2" t="str">
        <f aca="false">IF($A83="","",IF(D83="买入",IF(AND(ISNUMBER(L83),L83&gt;0),(F83-L83)*G83,F83*0.08*G83),IF(AND(ISNUMBER(V83),V83&gt;0),IF(AND(ISNUMBER(L83),L83&gt;0),(V83-L83)*G83,V83*0.08*G83),0)))</f>
        <v/>
      </c>
      <c r="X83" s="83" t="str">
        <f aca="false">IF($A83="","",IF(D83="买入",0,IFERROR(IF(W83&lt;&gt;0,(H83-IFERROR(INDEX($H$2:$H82,MATCH(2,1/($C$2:$C82=$C83))),0))/W83,0),0)))</f>
        <v/>
      </c>
      <c r="Y83" s="83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4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2" t="str">
        <f aca="false">IF($A84="","",IF(D84="买入",IF(AND(ISNUMBER(L84),L84&gt;0),(F84-L84)*G84,F84*0.08*G84),IF(AND(ISNUMBER(V84),V84&gt;0),IF(AND(ISNUMBER(L84),L84&gt;0),(V84-L84)*G84,V84*0.08*G84),0)))</f>
        <v/>
      </c>
      <c r="X84" s="83" t="str">
        <f aca="false">IF($A84="","",IF(D84="买入",0,IFERROR(IF(W84&lt;&gt;0,(H84-IFERROR(INDEX($H$2:$H83,MATCH(2,1/($C$2:$C83=$C84))),0))/W84,0),0)))</f>
        <v/>
      </c>
      <c r="Y84" s="83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4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2" t="str">
        <f aca="false">IF($A85="","",IF(D85="买入",IF(AND(ISNUMBER(L85),L85&gt;0),(F85-L85)*G85,F85*0.08*G85),IF(AND(ISNUMBER(V85),V85&gt;0),IF(AND(ISNUMBER(L85),L85&gt;0),(V85-L85)*G85,V85*0.08*G85),0)))</f>
        <v/>
      </c>
      <c r="X85" s="83" t="str">
        <f aca="false">IF($A85="","",IF(D85="买入",0,IFERROR(IF(W85&lt;&gt;0,(H85-IFERROR(INDEX($H$2:$H84,MATCH(2,1/($C$2:$C84=$C85))),0))/W85,0),0)))</f>
        <v/>
      </c>
      <c r="Y85" s="83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4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2" t="str">
        <f aca="false">IF($A86="","",IF(D86="买入",IF(AND(ISNUMBER(L86),L86&gt;0),(F86-L86)*G86,F86*0.08*G86),IF(AND(ISNUMBER(V86),V86&gt;0),IF(AND(ISNUMBER(L86),L86&gt;0),(V86-L86)*G86,V86*0.08*G86),0)))</f>
        <v/>
      </c>
      <c r="X86" s="83" t="str">
        <f aca="false">IF($A86="","",IF(D86="买入",0,IFERROR(IF(W86&lt;&gt;0,(H86-IFERROR(INDEX($H$2:$H85,MATCH(2,1/($C$2:$C85=$C86))),0))/W86,0),0)))</f>
        <v/>
      </c>
      <c r="Y86" s="83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4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2" t="str">
        <f aca="false">IF($A87="","",IF(D87="买入",IF(AND(ISNUMBER(L87),L87&gt;0),(F87-L87)*G87,F87*0.08*G87),IF(AND(ISNUMBER(V87),V87&gt;0),IF(AND(ISNUMBER(L87),L87&gt;0),(V87-L87)*G87,V87*0.08*G87),0)))</f>
        <v/>
      </c>
      <c r="X87" s="83" t="str">
        <f aca="false">IF($A87="","",IF(D87="买入",0,IFERROR(IF(W87&lt;&gt;0,(H87-IFERROR(INDEX($H$2:$H86,MATCH(2,1/($C$2:$C86=$C87))),0))/W87,0),0)))</f>
        <v/>
      </c>
      <c r="Y87" s="83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4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2" t="str">
        <f aca="false">IF($A88="","",IF(D88="买入",IF(AND(ISNUMBER(L88),L88&gt;0),(F88-L88)*G88,F88*0.08*G88),IF(AND(ISNUMBER(V88),V88&gt;0),IF(AND(ISNUMBER(L88),L88&gt;0),(V88-L88)*G88,V88*0.08*G88),0)))</f>
        <v/>
      </c>
      <c r="X88" s="83" t="str">
        <f aca="false">IF($A88="","",IF(D88="买入",0,IFERROR(IF(W88&lt;&gt;0,(H88-IFERROR(INDEX($H$2:$H87,MATCH(2,1/($C$2:$C87=$C88))),0))/W88,0),0)))</f>
        <v/>
      </c>
      <c r="Y88" s="83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4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2" t="str">
        <f aca="false">IF($A89="","",IF(D89="买入",IF(AND(ISNUMBER(L89),L89&gt;0),(F89-L89)*G89,F89*0.08*G89),IF(AND(ISNUMBER(V89),V89&gt;0),IF(AND(ISNUMBER(L89),L89&gt;0),(V89-L89)*G89,V89*0.08*G89),0)))</f>
        <v/>
      </c>
      <c r="X89" s="83" t="str">
        <f aca="false">IF($A89="","",IF(D89="买入",0,IFERROR(IF(W89&lt;&gt;0,(H89-IFERROR(INDEX($H$2:$H88,MATCH(2,1/($C$2:$C88=$C89))),0))/W89,0),0)))</f>
        <v/>
      </c>
      <c r="Y89" s="83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4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2" t="str">
        <f aca="false">IF($A90="","",IF(D90="买入",IF(AND(ISNUMBER(L90),L90&gt;0),(F90-L90)*G90,F90*0.08*G90),IF(AND(ISNUMBER(V90),V90&gt;0),IF(AND(ISNUMBER(L90),L90&gt;0),(V90-L90)*G90,V90*0.08*G90),0)))</f>
        <v/>
      </c>
      <c r="X90" s="83" t="str">
        <f aca="false">IF($A90="","",IF(D90="买入",0,IFERROR(IF(W90&lt;&gt;0,(H90-IFERROR(INDEX($H$2:$H89,MATCH(2,1/($C$2:$C89=$C90))),0))/W90,0),0)))</f>
        <v/>
      </c>
      <c r="Y90" s="83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4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2" t="str">
        <f aca="false">IF($A91="","",IF(D91="买入",IF(AND(ISNUMBER(L91),L91&gt;0),(F91-L91)*G91,F91*0.08*G91),IF(AND(ISNUMBER(V91),V91&gt;0),IF(AND(ISNUMBER(L91),L91&gt;0),(V91-L91)*G91,V91*0.08*G91),0)))</f>
        <v/>
      </c>
      <c r="X91" s="83" t="str">
        <f aca="false">IF($A91="","",IF(D91="买入",0,IFERROR(IF(W91&lt;&gt;0,(H91-IFERROR(INDEX($H$2:$H90,MATCH(2,1/($C$2:$C90=$C91))),0))/W91,0),0)))</f>
        <v/>
      </c>
      <c r="Y91" s="83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4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2" t="str">
        <f aca="false">IF($A92="","",IF(D92="买入",IF(AND(ISNUMBER(L92),L92&gt;0),(F92-L92)*G92,F92*0.08*G92),IF(AND(ISNUMBER(V92),V92&gt;0),IF(AND(ISNUMBER(L92),L92&gt;0),(V92-L92)*G92,V92*0.08*G92),0)))</f>
        <v/>
      </c>
      <c r="X92" s="83" t="str">
        <f aca="false">IF($A92="","",IF(D92="买入",0,IFERROR(IF(W92&lt;&gt;0,(H92-IFERROR(INDEX($H$2:$H91,MATCH(2,1/($C$2:$C91=$C92))),0))/W92,0),0)))</f>
        <v/>
      </c>
      <c r="Y92" s="83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4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2" t="str">
        <f aca="false">IF($A93="","",IF(D93="买入",IF(AND(ISNUMBER(L93),L93&gt;0),(F93-L93)*G93,F93*0.08*G93),IF(AND(ISNUMBER(V93),V93&gt;0),IF(AND(ISNUMBER(L93),L93&gt;0),(V93-L93)*G93,V93*0.08*G93),0)))</f>
        <v/>
      </c>
      <c r="X93" s="83" t="str">
        <f aca="false">IF($A93="","",IF(D93="买入",0,IFERROR(IF(W93&lt;&gt;0,(H93-IFERROR(INDEX($H$2:$H92,MATCH(2,1/($C$2:$C92=$C93))),0))/W93,0),0)))</f>
        <v/>
      </c>
      <c r="Y93" s="83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4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2" t="str">
        <f aca="false">IF($A94="","",IF(D94="买入",IF(AND(ISNUMBER(L94),L94&gt;0),(F94-L94)*G94,F94*0.08*G94),IF(AND(ISNUMBER(V94),V94&gt;0),IF(AND(ISNUMBER(L94),L94&gt;0),(V94-L94)*G94,V94*0.08*G94),0)))</f>
        <v/>
      </c>
      <c r="X94" s="83" t="str">
        <f aca="false">IF($A94="","",IF(D94="买入",0,IFERROR(IF(W94&lt;&gt;0,(H94-IFERROR(INDEX($H$2:$H93,MATCH(2,1/($C$2:$C93=$C94))),0))/W94,0),0)))</f>
        <v/>
      </c>
      <c r="Y94" s="83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4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2" t="str">
        <f aca="false">IF($A95="","",IF(D95="买入",IF(AND(ISNUMBER(L95),L95&gt;0),(F95-L95)*G95,F95*0.08*G95),IF(AND(ISNUMBER(V95),V95&gt;0),IF(AND(ISNUMBER(L95),L95&gt;0),(V95-L95)*G95,V95*0.08*G95),0)))</f>
        <v/>
      </c>
      <c r="X95" s="83" t="str">
        <f aca="false">IF($A95="","",IF(D95="买入",0,IFERROR(IF(W95&lt;&gt;0,(H95-IFERROR(INDEX($H$2:$H94,MATCH(2,1/($C$2:$C94=$C95))),0))/W95,0),0)))</f>
        <v/>
      </c>
      <c r="Y95" s="83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4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2" t="str">
        <f aca="false">IF($A96="","",IF(D96="买入",IF(AND(ISNUMBER(L96),L96&gt;0),(F96-L96)*G96,F96*0.08*G96),IF(AND(ISNUMBER(V96),V96&gt;0),IF(AND(ISNUMBER(L96),L96&gt;0),(V96-L96)*G96,V96*0.08*G96),0)))</f>
        <v/>
      </c>
      <c r="X96" s="83" t="str">
        <f aca="false">IF($A96="","",IF(D96="买入",0,IFERROR(IF(W96&lt;&gt;0,(H96-IFERROR(INDEX($H$2:$H95,MATCH(2,1/($C$2:$C95=$C96))),0))/W96,0),0)))</f>
        <v/>
      </c>
      <c r="Y96" s="83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4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2" t="str">
        <f aca="false">IF($A97="","",IF(D97="买入",IF(AND(ISNUMBER(L97),L97&gt;0),(F97-L97)*G97,F97*0.08*G97),IF(AND(ISNUMBER(V97),V97&gt;0),IF(AND(ISNUMBER(L97),L97&gt;0),(V97-L97)*G97,V97*0.08*G97),0)))</f>
        <v/>
      </c>
      <c r="X97" s="83" t="str">
        <f aca="false">IF($A97="","",IF(D97="买入",0,IFERROR(IF(W97&lt;&gt;0,(H97-IFERROR(INDEX($H$2:$H96,MATCH(2,1/($C$2:$C96=$C97))),0))/W97,0),0)))</f>
        <v/>
      </c>
      <c r="Y97" s="83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4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2" t="str">
        <f aca="false">IF($A98="","",IF(D98="买入",IF(AND(ISNUMBER(L98),L98&gt;0),(F98-L98)*G98,F98*0.08*G98),IF(AND(ISNUMBER(V98),V98&gt;0),IF(AND(ISNUMBER(L98),L98&gt;0),(V98-L98)*G98,V98*0.08*G98),0)))</f>
        <v/>
      </c>
      <c r="X98" s="83" t="str">
        <f aca="false">IF($A98="","",IF(D98="买入",0,IFERROR(IF(W98&lt;&gt;0,(H98-IFERROR(INDEX($H$2:$H97,MATCH(2,1/($C$2:$C97=$C98))),0))/W98,0),0)))</f>
        <v/>
      </c>
      <c r="Y98" s="83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4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2" t="str">
        <f aca="false">IF($A99="","",IF(D99="买入",IF(AND(ISNUMBER(L99),L99&gt;0),(F99-L99)*G99,F99*0.08*G99),IF(AND(ISNUMBER(V99),V99&gt;0),IF(AND(ISNUMBER(L99),L99&gt;0),(V99-L99)*G99,V99*0.08*G99),0)))</f>
        <v/>
      </c>
      <c r="X99" s="83" t="str">
        <f aca="false">IF($A99="","",IF(D99="买入",0,IFERROR(IF(W99&lt;&gt;0,(H99-IFERROR(INDEX($H$2:$H98,MATCH(2,1/($C$2:$C98=$C99))),0))/W99,0),0)))</f>
        <v/>
      </c>
      <c r="Y99" s="83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4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2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3" t="str">
        <f aca="false">IF($A100="","",IF(D100="买入",0,IFERROR(IF(W100&lt;&gt;0,(H100-IFERROR(INDEX($H$2:$H99,MATCH(2,1/($C$2:$C99=$C100))),0))/W100,0),0)))</f>
        <v/>
      </c>
      <c r="Y100" s="83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4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2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3" t="str">
        <f aca="false">IF($A101="","",IF(D101="买入",0,IFERROR(IF(W101&lt;&gt;0,(H101-IFERROR(INDEX($H$2:$H100,MATCH(2,1/($C$2:$C100=$C101))),0))/W101,0),0)))</f>
        <v/>
      </c>
      <c r="Y101" s="83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4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2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3" t="str">
        <f aca="false">IF($A102="","",IF(D102="买入",0,IFERROR(IF(W102&lt;&gt;0,(H102-IFERROR(INDEX($H$2:$H101,MATCH(2,1/($C$2:$C101=$C102))),0))/W102,0),0)))</f>
        <v/>
      </c>
      <c r="Y102" s="83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4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2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3" t="str">
        <f aca="false">IF($A103="","",IF(D103="买入",0,IFERROR(IF(W103&lt;&gt;0,(H103-IFERROR(INDEX($H$2:$H102,MATCH(2,1/($C$2:$C102=$C103))),0))/W103,0),0)))</f>
        <v/>
      </c>
      <c r="Y103" s="83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4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2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3" t="str">
        <f aca="false">IF($A104="","",IF(D104="买入",0,IFERROR(IF(W104&lt;&gt;0,(H104-IFERROR(INDEX($H$2:$H103,MATCH(2,1/($C$2:$C103=$C104))),0))/W104,0),0)))</f>
        <v/>
      </c>
      <c r="Y104" s="83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4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2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3" t="str">
        <f aca="false">IF($A105="","",IF(D105="买入",0,IFERROR(IF(W105&lt;&gt;0,(H105-IFERROR(INDEX($H$2:$H104,MATCH(2,1/($C$2:$C104=$C105))),0))/W105,0),0)))</f>
        <v/>
      </c>
      <c r="Y105" s="83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4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2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3" t="str">
        <f aca="false">IF($A106="","",IF(D106="买入",0,IFERROR(IF(W106&lt;&gt;0,(H106-IFERROR(INDEX($H$2:$H105,MATCH(2,1/($C$2:$C105=$C106))),0))/W106,0),0)))</f>
        <v/>
      </c>
      <c r="Y106" s="83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4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2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3" t="str">
        <f aca="false">IF($A107="","",IF(D107="买入",0,IFERROR(IF(W107&lt;&gt;0,(H107-IFERROR(INDEX($H$2:$H106,MATCH(2,1/($C$2:$C106=$C107))),0))/W107,0),0)))</f>
        <v/>
      </c>
      <c r="Y107" s="83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4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2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3" t="str">
        <f aca="false">IF($A108="","",IF(D108="买入",0,IFERROR(IF(W108&lt;&gt;0,(H108-IFERROR(INDEX($H$2:$H107,MATCH(2,1/($C$2:$C107=$C108))),0))/W108,0),0)))</f>
        <v/>
      </c>
      <c r="Y108" s="83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4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2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3" t="str">
        <f aca="false">IF($A109="","",IF(D109="买入",0,IFERROR(IF(W109&lt;&gt;0,(H109-IFERROR(INDEX($H$2:$H108,MATCH(2,1/($C$2:$C108=$C109))),0))/W109,0),0)))</f>
        <v/>
      </c>
      <c r="Y109" s="83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4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2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3" t="str">
        <f aca="false">IF($A110="","",IF(D110="买入",0,IFERROR(IF(W110&lt;&gt;0,(H110-IFERROR(INDEX($H$2:$H109,MATCH(2,1/($C$2:$C109=$C110))),0))/W110,0),0)))</f>
        <v/>
      </c>
      <c r="Y110" s="83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4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2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3" t="str">
        <f aca="false">IF($A111="","",IF(D111="买入",0,IFERROR(IF(W111&lt;&gt;0,(H111-IFERROR(INDEX($H$2:$H110,MATCH(2,1/($C$2:$C110=$C111))),0))/W111,0),0)))</f>
        <v/>
      </c>
      <c r="Y111" s="83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4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2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3" t="str">
        <f aca="false">IF($A112="","",IF(D112="买入",0,IFERROR(IF(W112&lt;&gt;0,(H112-IFERROR(INDEX($H$2:$H111,MATCH(2,1/($C$2:$C111=$C112))),0))/W112,0),0)))</f>
        <v/>
      </c>
      <c r="Y112" s="83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4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2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3" t="str">
        <f aca="false">IF($A113="","",IF(D113="买入",0,IFERROR(IF(W113&lt;&gt;0,(H113-IFERROR(INDEX($H$2:$H112,MATCH(2,1/($C$2:$C112=$C113))),0))/W113,0),0)))</f>
        <v/>
      </c>
      <c r="Y113" s="83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4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2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3" t="str">
        <f aca="false">IF($A114="","",IF(D114="买入",0,IFERROR(IF(W114&lt;&gt;0,(H114-IFERROR(INDEX($H$2:$H113,MATCH(2,1/($C$2:$C113=$C114))),0))/W114,0),0)))</f>
        <v/>
      </c>
      <c r="Y114" s="83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4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2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3" t="str">
        <f aca="false">IF($A115="","",IF(D115="买入",0,IFERROR(IF(W115&lt;&gt;0,(H115-IFERROR(INDEX($H$2:$H114,MATCH(2,1/($C$2:$C114=$C115))),0))/W115,0),0)))</f>
        <v/>
      </c>
      <c r="Y115" s="83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4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2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3" t="str">
        <f aca="false">IF($A116="","",IF(D116="买入",0,IFERROR(IF(W116&lt;&gt;0,(H116-IFERROR(INDEX($H$2:$H115,MATCH(2,1/($C$2:$C115=$C116))),0))/W116,0),0)))</f>
        <v/>
      </c>
      <c r="Y116" s="83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4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2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3" t="str">
        <f aca="false">IF($A117="","",IF(D117="买入",0,IFERROR(IF(W117&lt;&gt;0,(H117-IFERROR(INDEX($H$2:$H116,MATCH(2,1/($C$2:$C116=$C117))),0))/W117,0),0)))</f>
        <v/>
      </c>
      <c r="Y117" s="83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4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2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3" t="str">
        <f aca="false">IF($A118="","",IF(D118="买入",0,IFERROR(IF(W118&lt;&gt;0,(H118-IFERROR(INDEX($H$2:$H117,MATCH(2,1/($C$2:$C117=$C118))),0))/W118,0),0)))</f>
        <v/>
      </c>
      <c r="Y118" s="83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4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2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3" t="str">
        <f aca="false">IF($A119="","",IF(D119="买入",0,IFERROR(IF(W119&lt;&gt;0,(H119-IFERROR(INDEX($H$2:$H118,MATCH(2,1/($C$2:$C118=$C119))),0))/W119,0),0)))</f>
        <v/>
      </c>
      <c r="Y119" s="83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4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2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3" t="str">
        <f aca="false">IF($A120="","",IF(D120="买入",0,IFERROR(IF(W120&lt;&gt;0,(H120-IFERROR(INDEX($H$2:$H119,MATCH(2,1/($C$2:$C119=$C120))),0))/W120,0),0)))</f>
        <v/>
      </c>
      <c r="Y120" s="83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4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2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3" t="str">
        <f aca="false">IF($A121="","",IF(D121="买入",0,IFERROR(IF(W121&lt;&gt;0,(H121-IFERROR(INDEX($H$2:$H120,MATCH(2,1/($C$2:$C120=$C121))),0))/W121,0),0)))</f>
        <v/>
      </c>
      <c r="Y121" s="83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4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2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3" t="str">
        <f aca="false">IF($A122="","",IF(D122="买入",0,IFERROR(IF(W122&lt;&gt;0,(H122-IFERROR(INDEX($H$2:$H121,MATCH(2,1/($C$2:$C121=$C122))),0))/W122,0),0)))</f>
        <v/>
      </c>
      <c r="Y122" s="83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4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2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3" t="str">
        <f aca="false">IF($A123="","",IF(D123="买入",0,IFERROR(IF(W123&lt;&gt;0,(H123-IFERROR(INDEX($H$2:$H122,MATCH(2,1/($C$2:$C122=$C123))),0))/W123,0),0)))</f>
        <v/>
      </c>
      <c r="Y123" s="83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4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2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3" t="str">
        <f aca="false">IF($A124="","",IF(D124="买入",0,IFERROR(IF(W124&lt;&gt;0,(H124-IFERROR(INDEX($H$2:$H123,MATCH(2,1/($C$2:$C123=$C124))),0))/W124,0),0)))</f>
        <v/>
      </c>
      <c r="Y124" s="83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4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2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3" t="str">
        <f aca="false">IF($A125="","",IF(D125="买入",0,IFERROR(IF(W125&lt;&gt;0,(H125-IFERROR(INDEX($H$2:$H124,MATCH(2,1/($C$2:$C124=$C125))),0))/W125,0),0)))</f>
        <v/>
      </c>
      <c r="Y125" s="83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4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2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3" t="str">
        <f aca="false">IF($A126="","",IF(D126="买入",0,IFERROR(IF(W126&lt;&gt;0,(H126-IFERROR(INDEX($H$2:$H125,MATCH(2,1/($C$2:$C125=$C126))),0))/W126,0),0)))</f>
        <v/>
      </c>
      <c r="Y126" s="83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4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2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3" t="str">
        <f aca="false">IF($A127="","",IF(D127="买入",0,IFERROR(IF(W127&lt;&gt;0,(H127-IFERROR(INDEX($H$2:$H126,MATCH(2,1/($C$2:$C126=$C127))),0))/W127,0),0)))</f>
        <v/>
      </c>
      <c r="Y127" s="83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4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2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3" t="str">
        <f aca="false">IF($A128="","",IF(D128="买入",0,IFERROR(IF(W128&lt;&gt;0,(H128-IFERROR(INDEX($H$2:$H127,MATCH(2,1/($C$2:$C127=$C128))),0))/W128,0),0)))</f>
        <v/>
      </c>
      <c r="Y128" s="83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4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2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3" t="str">
        <f aca="false">IF($A129="","",IF(D129="买入",0,IFERROR(IF(W129&lt;&gt;0,(H129-IFERROR(INDEX($H$2:$H128,MATCH(2,1/($C$2:$C128=$C129))),0))/W129,0),0)))</f>
        <v/>
      </c>
      <c r="Y129" s="83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4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2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3" t="str">
        <f aca="false">IF($A130="","",IF(D130="买入",0,IFERROR(IF(W130&lt;&gt;0,(H130-IFERROR(INDEX($H$2:$H129,MATCH(2,1/($C$2:$C129=$C130))),0))/W130,0),0)))</f>
        <v/>
      </c>
      <c r="Y130" s="83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4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2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3" t="str">
        <f aca="false">IF($A131="","",IF(D131="买入",0,IFERROR(IF(W131&lt;&gt;0,(H131-IFERROR(INDEX($H$2:$H130,MATCH(2,1/($C$2:$C130=$C131))),0))/W131,0),0)))</f>
        <v/>
      </c>
      <c r="Y131" s="83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4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2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3" t="str">
        <f aca="false">IF($A132="","",IF(D132="买入",0,IFERROR(IF(W132&lt;&gt;0,(H132-IFERROR(INDEX($H$2:$H131,MATCH(2,1/($C$2:$C131=$C132))),0))/W132,0),0)))</f>
        <v/>
      </c>
      <c r="Y132" s="83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4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2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3" t="str">
        <f aca="false">IF($A133="","",IF(D133="买入",0,IFERROR(IF(W133&lt;&gt;0,(H133-IFERROR(INDEX($H$2:$H132,MATCH(2,1/($C$2:$C132=$C133))),0))/W133,0),0)))</f>
        <v/>
      </c>
      <c r="Y133" s="83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4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2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3" t="str">
        <f aca="false">IF($A134="","",IF(D134="买入",0,IFERROR(IF(W134&lt;&gt;0,(H134-IFERROR(INDEX($H$2:$H133,MATCH(2,1/($C$2:$C133=$C134))),0))/W134,0),0)))</f>
        <v/>
      </c>
      <c r="Y134" s="83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4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2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3" t="str">
        <f aca="false">IF($A135="","",IF(D135="买入",0,IFERROR(IF(W135&lt;&gt;0,(H135-IFERROR(INDEX($H$2:$H134,MATCH(2,1/($C$2:$C134=$C135))),0))/W135,0),0)))</f>
        <v/>
      </c>
      <c r="Y135" s="83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4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2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3" t="str">
        <f aca="false">IF($A136="","",IF(D136="买入",0,IFERROR(IF(W136&lt;&gt;0,(H136-IFERROR(INDEX($H$2:$H135,MATCH(2,1/($C$2:$C135=$C136))),0))/W136,0),0)))</f>
        <v/>
      </c>
      <c r="Y136" s="83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4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2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3" t="str">
        <f aca="false">IF($A137="","",IF(D137="买入",0,IFERROR(IF(W137&lt;&gt;0,(H137-IFERROR(INDEX($H$2:$H136,MATCH(2,1/($C$2:$C136=$C137))),0))/W137,0),0)))</f>
        <v/>
      </c>
      <c r="Y137" s="83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4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2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3" t="str">
        <f aca="false">IF($A138="","",IF(D138="买入",0,IFERROR(IF(W138&lt;&gt;0,(H138-IFERROR(INDEX($H$2:$H137,MATCH(2,1/($C$2:$C137=$C138))),0))/W138,0),0)))</f>
        <v/>
      </c>
      <c r="Y138" s="83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4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2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3" t="str">
        <f aca="false">IF($A139="","",IF(D139="买入",0,IFERROR(IF(W139&lt;&gt;0,(H139-IFERROR(INDEX($H$2:$H138,MATCH(2,1/($C$2:$C138=$C139))),0))/W139,0),0)))</f>
        <v/>
      </c>
      <c r="Y139" s="83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4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2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3" t="str">
        <f aca="false">IF($A140="","",IF(D140="买入",0,IFERROR(IF(W140&lt;&gt;0,(H140-IFERROR(INDEX($H$2:$H139,MATCH(2,1/($C$2:$C139=$C140))),0))/W140,0),0)))</f>
        <v/>
      </c>
      <c r="Y140" s="83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4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2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3" t="str">
        <f aca="false">IF($A141="","",IF(D141="买入",0,IFERROR(IF(W141&lt;&gt;0,(H141-IFERROR(INDEX($H$2:$H140,MATCH(2,1/($C$2:$C140=$C141))),0))/W141,0),0)))</f>
        <v/>
      </c>
      <c r="Y141" s="83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4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2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3" t="str">
        <f aca="false">IF($A142="","",IF(D142="买入",0,IFERROR(IF(W142&lt;&gt;0,(H142-IFERROR(INDEX($H$2:$H141,MATCH(2,1/($C$2:$C141=$C142))),0))/W142,0),0)))</f>
        <v/>
      </c>
      <c r="Y142" s="83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4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2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3" t="str">
        <f aca="false">IF($A143="","",IF(D143="买入",0,IFERROR(IF(W143&lt;&gt;0,(H143-IFERROR(INDEX($H$2:$H142,MATCH(2,1/($C$2:$C142=$C143))),0))/W143,0),0)))</f>
        <v/>
      </c>
      <c r="Y143" s="83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4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2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3" t="str">
        <f aca="false">IF($A144="","",IF(D144="买入",0,IFERROR(IF(W144&lt;&gt;0,(H144-IFERROR(INDEX($H$2:$H143,MATCH(2,1/($C$2:$C143=$C144))),0))/W144,0),0)))</f>
        <v/>
      </c>
      <c r="Y144" s="83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4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2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3" t="str">
        <f aca="false">IF($A145="","",IF(D145="买入",0,IFERROR(IF(W145&lt;&gt;0,(H145-IFERROR(INDEX($H$2:$H144,MATCH(2,1/($C$2:$C144=$C145))),0))/W145,0),0)))</f>
        <v/>
      </c>
      <c r="Y145" s="83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4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2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3" t="str">
        <f aca="false">IF($A146="","",IF(D146="买入",0,IFERROR(IF(W146&lt;&gt;0,(H146-IFERROR(INDEX($H$2:$H145,MATCH(2,1/($C$2:$C145=$C146))),0))/W146,0),0)))</f>
        <v/>
      </c>
      <c r="Y146" s="83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4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2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3" t="str">
        <f aca="false">IF($A147="","",IF(D147="买入",0,IFERROR(IF(W147&lt;&gt;0,(H147-IFERROR(INDEX($H$2:$H146,MATCH(2,1/($C$2:$C146=$C147))),0))/W147,0),0)))</f>
        <v/>
      </c>
      <c r="Y147" s="83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4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2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3" t="str">
        <f aca="false">IF($A148="","",IF(D148="买入",0,IFERROR(IF(W148&lt;&gt;0,(H148-IFERROR(INDEX($H$2:$H147,MATCH(2,1/($C$2:$C147=$C148))),0))/W148,0),0)))</f>
        <v/>
      </c>
      <c r="Y148" s="83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4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2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3" t="str">
        <f aca="false">IF($A149="","",IF(D149="买入",0,IFERROR(IF(W149&lt;&gt;0,(H149-IFERROR(INDEX($H$2:$H148,MATCH(2,1/($C$2:$C148=$C149))),0))/W149,0),0)))</f>
        <v/>
      </c>
      <c r="Y149" s="83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4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2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3" t="str">
        <f aca="false">IF($A150="","",IF(D150="买入",0,IFERROR(IF(W150&lt;&gt;0,(H150-IFERROR(INDEX($H$2:$H149,MATCH(2,1/($C$2:$C149=$C150))),0))/W150,0),0)))</f>
        <v/>
      </c>
      <c r="Y150" s="83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4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2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3" t="str">
        <f aca="false">IF($A151="","",IF(D151="买入",0,IFERROR(IF(W151&lt;&gt;0,(H151-IFERROR(INDEX($H$2:$H150,MATCH(2,1/($C$2:$C150=$C151))),0))/W151,0),0)))</f>
        <v/>
      </c>
      <c r="Y151" s="83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4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2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3" t="str">
        <f aca="false">IF($A152="","",IF(D152="买入",0,IFERROR(IF(W152&lt;&gt;0,(H152-IFERROR(INDEX($H$2:$H151,MATCH(2,1/($C$2:$C151=$C152))),0))/W152,0),0)))</f>
        <v/>
      </c>
      <c r="Y152" s="83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4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2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3" t="str">
        <f aca="false">IF($A153="","",IF(D153="买入",0,IFERROR(IF(W153&lt;&gt;0,(H153-IFERROR(INDEX($H$2:$H152,MATCH(2,1/($C$2:$C152=$C153))),0))/W153,0),0)))</f>
        <v/>
      </c>
      <c r="Y153" s="83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4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2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3" t="str">
        <f aca="false">IF($A154="","",IF(D154="买入",0,IFERROR(IF(W154&lt;&gt;0,(H154-IFERROR(INDEX($H$2:$H153,MATCH(2,1/($C$2:$C153=$C154))),0))/W154,0),0)))</f>
        <v/>
      </c>
      <c r="Y154" s="83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4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2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3" t="str">
        <f aca="false">IF($A155="","",IF(D155="买入",0,IFERROR(IF(W155&lt;&gt;0,(H155-IFERROR(INDEX($H$2:$H154,MATCH(2,1/($C$2:$C154=$C155))),0))/W155,0),0)))</f>
        <v/>
      </c>
      <c r="Y155" s="83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4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2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3" t="str">
        <f aca="false">IF($A156="","",IF(D156="买入",0,IFERROR(IF(W156&lt;&gt;0,(H156-IFERROR(INDEX($H$2:$H155,MATCH(2,1/($C$2:$C155=$C156))),0))/W156,0),0)))</f>
        <v/>
      </c>
      <c r="Y156" s="83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4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2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3" t="str">
        <f aca="false">IF($A157="","",IF(D157="买入",0,IFERROR(IF(W157&lt;&gt;0,(H157-IFERROR(INDEX($H$2:$H156,MATCH(2,1/($C$2:$C156=$C157))),0))/W157,0),0)))</f>
        <v/>
      </c>
      <c r="Y157" s="83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4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2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3" t="str">
        <f aca="false">IF($A158="","",IF(D158="买入",0,IFERROR(IF(W158&lt;&gt;0,(H158-IFERROR(INDEX($H$2:$H157,MATCH(2,1/($C$2:$C157=$C158))),0))/W158,0),0)))</f>
        <v/>
      </c>
      <c r="Y158" s="83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4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2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3" t="str">
        <f aca="false">IF($A159="","",IF(D159="买入",0,IFERROR(IF(W159&lt;&gt;0,(H159-IFERROR(INDEX($H$2:$H158,MATCH(2,1/($C$2:$C158=$C159))),0))/W159,0),0)))</f>
        <v/>
      </c>
      <c r="Y159" s="83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4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2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3" t="str">
        <f aca="false">IF($A160="","",IF(D160="买入",0,IFERROR(IF(W160&lt;&gt;0,(H160-IFERROR(INDEX($H$2:$H159,MATCH(2,1/($C$2:$C159=$C160))),0))/W160,0),0)))</f>
        <v/>
      </c>
      <c r="Y160" s="83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4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2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3" t="str">
        <f aca="false">IF($A161="","",IF(D161="买入",0,IFERROR(IF(W161&lt;&gt;0,(H161-IFERROR(INDEX($H$2:$H160,MATCH(2,1/($C$2:$C160=$C161))),0))/W161,0),0)))</f>
        <v/>
      </c>
      <c r="Y161" s="83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4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2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3" t="str">
        <f aca="false">IF($A162="","",IF(D162="买入",0,IFERROR(IF(W162&lt;&gt;0,(H162-IFERROR(INDEX($H$2:$H161,MATCH(2,1/($C$2:$C161=$C162))),0))/W162,0),0)))</f>
        <v/>
      </c>
      <c r="Y162" s="83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4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2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3" t="str">
        <f aca="false">IF($A163="","",IF(D163="买入",0,IFERROR(IF(W163&lt;&gt;0,(H163-IFERROR(INDEX($H$2:$H162,MATCH(2,1/($C$2:$C162=$C163))),0))/W163,0),0)))</f>
        <v/>
      </c>
      <c r="Y163" s="83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4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2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3" t="str">
        <f aca="false">IF($A164="","",IF(D164="买入",0,IFERROR(IF(W164&lt;&gt;0,(H164-IFERROR(INDEX($H$2:$H163,MATCH(2,1/($C$2:$C163=$C164))),0))/W164,0),0)))</f>
        <v/>
      </c>
      <c r="Y164" s="83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4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2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3" t="str">
        <f aca="false">IF($A165="","",IF(D165="买入",0,IFERROR(IF(W165&lt;&gt;0,(H165-IFERROR(INDEX($H$2:$H164,MATCH(2,1/($C$2:$C164=$C165))),0))/W165,0),0)))</f>
        <v/>
      </c>
      <c r="Y165" s="83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4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2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3" t="str">
        <f aca="false">IF($A166="","",IF(D166="买入",0,IFERROR(IF(W166&lt;&gt;0,(H166-IFERROR(INDEX($H$2:$H165,MATCH(2,1/($C$2:$C165=$C166))),0))/W166,0),0)))</f>
        <v/>
      </c>
      <c r="Y166" s="83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4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2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3" t="str">
        <f aca="false">IF($A167="","",IF(D167="买入",0,IFERROR(IF(W167&lt;&gt;0,(H167-IFERROR(INDEX($H$2:$H166,MATCH(2,1/($C$2:$C166=$C167))),0))/W167,0),0)))</f>
        <v/>
      </c>
      <c r="Y167" s="83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4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2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3" t="str">
        <f aca="false">IF($A168="","",IF(D168="买入",0,IFERROR(IF(W168&lt;&gt;0,(H168-IFERROR(INDEX($H$2:$H167,MATCH(2,1/($C$2:$C167=$C168))),0))/W168,0),0)))</f>
        <v/>
      </c>
      <c r="Y168" s="83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4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2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3" t="str">
        <f aca="false">IF($A169="","",IF(D169="买入",0,IFERROR(IF(W169&lt;&gt;0,(H169-IFERROR(INDEX($H$2:$H168,MATCH(2,1/($C$2:$C168=$C169))),0))/W169,0),0)))</f>
        <v/>
      </c>
      <c r="Y169" s="83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4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2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3" t="str">
        <f aca="false">IF($A170="","",IF(D170="买入",0,IFERROR(IF(W170&lt;&gt;0,(H170-IFERROR(INDEX($H$2:$H169,MATCH(2,1/($C$2:$C169=$C170))),0))/W170,0),0)))</f>
        <v/>
      </c>
      <c r="Y170" s="83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4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2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3" t="str">
        <f aca="false">IF($A171="","",IF(D171="买入",0,IFERROR(IF(W171&lt;&gt;0,(H171-IFERROR(INDEX($H$2:$H170,MATCH(2,1/($C$2:$C170=$C171))),0))/W171,0),0)))</f>
        <v/>
      </c>
      <c r="Y171" s="83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4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2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3" t="str">
        <f aca="false">IF($A172="","",IF(D172="买入",0,IFERROR(IF(W172&lt;&gt;0,(H172-IFERROR(INDEX($H$2:$H171,MATCH(2,1/($C$2:$C171=$C172))),0))/W172,0),0)))</f>
        <v/>
      </c>
      <c r="Y172" s="83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4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2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3" t="str">
        <f aca="false">IF($A173="","",IF(D173="买入",0,IFERROR(IF(W173&lt;&gt;0,(H173-IFERROR(INDEX($H$2:$H172,MATCH(2,1/($C$2:$C172=$C173))),0))/W173,0),0)))</f>
        <v/>
      </c>
      <c r="Y173" s="83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4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2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3" t="str">
        <f aca="false">IF($A174="","",IF(D174="买入",0,IFERROR(IF(W174&lt;&gt;0,(H174-IFERROR(INDEX($H$2:$H173,MATCH(2,1/($C$2:$C173=$C174))),0))/W174,0),0)))</f>
        <v/>
      </c>
      <c r="Y174" s="83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4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2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3" t="str">
        <f aca="false">IF($A175="","",IF(D175="买入",0,IFERROR(IF(W175&lt;&gt;0,(H175-IFERROR(INDEX($H$2:$H174,MATCH(2,1/($C$2:$C174=$C175))),0))/W175,0),0)))</f>
        <v/>
      </c>
      <c r="Y175" s="83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4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2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3" t="str">
        <f aca="false">IF($A176="","",IF(D176="买入",0,IFERROR(IF(W176&lt;&gt;0,(H176-IFERROR(INDEX($H$2:$H175,MATCH(2,1/($C$2:$C175=$C176))),0))/W176,0),0)))</f>
        <v/>
      </c>
      <c r="Y176" s="83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4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2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3" t="str">
        <f aca="false">IF($A177="","",IF(D177="买入",0,IFERROR(IF(W177&lt;&gt;0,(H177-IFERROR(INDEX($H$2:$H176,MATCH(2,1/($C$2:$C176=$C177))),0))/W177,0),0)))</f>
        <v/>
      </c>
      <c r="Y177" s="83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4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2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3" t="str">
        <f aca="false">IF($A178="","",IF(D178="买入",0,IFERROR(IF(W178&lt;&gt;0,(H178-IFERROR(INDEX($H$2:$H177,MATCH(2,1/($C$2:$C177=$C178))),0))/W178,0),0)))</f>
        <v/>
      </c>
      <c r="Y178" s="83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4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2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3" t="str">
        <f aca="false">IF($A179="","",IF(D179="买入",0,IFERROR(IF(W179&lt;&gt;0,(H179-IFERROR(INDEX($H$2:$H178,MATCH(2,1/($C$2:$C178=$C179))),0))/W179,0),0)))</f>
        <v/>
      </c>
      <c r="Y179" s="83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4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2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3" t="str">
        <f aca="false">IF($A180="","",IF(D180="买入",0,IFERROR(IF(W180&lt;&gt;0,(H180-IFERROR(INDEX($H$2:$H179,MATCH(2,1/($C$2:$C179=$C180))),0))/W180,0),0)))</f>
        <v/>
      </c>
      <c r="Y180" s="83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4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2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3" t="str">
        <f aca="false">IF($A181="","",IF(D181="买入",0,IFERROR(IF(W181&lt;&gt;0,(H181-IFERROR(INDEX($H$2:$H180,MATCH(2,1/($C$2:$C180=$C181))),0))/W181,0),0)))</f>
        <v/>
      </c>
      <c r="Y181" s="83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4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2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3" t="str">
        <f aca="false">IF($A182="","",IF(D182="买入",0,IFERROR(IF(W182&lt;&gt;0,(H182-IFERROR(INDEX($H$2:$H181,MATCH(2,1/($C$2:$C181=$C182))),0))/W182,0),0)))</f>
        <v/>
      </c>
      <c r="Y182" s="83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4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2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3" t="str">
        <f aca="false">IF($A183="","",IF(D183="买入",0,IFERROR(IF(W183&lt;&gt;0,(H183-IFERROR(INDEX($H$2:$H182,MATCH(2,1/($C$2:$C182=$C183))),0))/W183,0),0)))</f>
        <v/>
      </c>
      <c r="Y183" s="83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4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2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3" t="str">
        <f aca="false">IF($A184="","",IF(D184="买入",0,IFERROR(IF(W184&lt;&gt;0,(H184-IFERROR(INDEX($H$2:$H183,MATCH(2,1/($C$2:$C183=$C184))),0))/W184,0),0)))</f>
        <v/>
      </c>
      <c r="Y184" s="83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4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2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3" t="str">
        <f aca="false">IF($A185="","",IF(D185="买入",0,IFERROR(IF(W185&lt;&gt;0,(H185-IFERROR(INDEX($H$2:$H184,MATCH(2,1/($C$2:$C184=$C185))),0))/W185,0),0)))</f>
        <v/>
      </c>
      <c r="Y185" s="83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4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2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3" t="str">
        <f aca="false">IF($A186="","",IF(D186="买入",0,IFERROR(IF(W186&lt;&gt;0,(H186-IFERROR(INDEX($H$2:$H185,MATCH(2,1/($C$2:$C185=$C186))),0))/W186,0),0)))</f>
        <v/>
      </c>
      <c r="Y186" s="83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4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2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3" t="str">
        <f aca="false">IF($A187="","",IF(D187="买入",0,IFERROR(IF(W187&lt;&gt;0,(H187-IFERROR(INDEX($H$2:$H186,MATCH(2,1/($C$2:$C186=$C187))),0))/W187,0),0)))</f>
        <v/>
      </c>
      <c r="Y187" s="83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4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2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3" t="str">
        <f aca="false">IF($A188="","",IF(D188="买入",0,IFERROR(IF(W188&lt;&gt;0,(H188-IFERROR(INDEX($H$2:$H187,MATCH(2,1/($C$2:$C187=$C188))),0))/W188,0),0)))</f>
        <v/>
      </c>
      <c r="Y188" s="83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4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2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3" t="str">
        <f aca="false">IF($A189="","",IF(D189="买入",0,IFERROR(IF(W189&lt;&gt;0,(H189-IFERROR(INDEX($H$2:$H188,MATCH(2,1/($C$2:$C188=$C189))),0))/W189,0),0)))</f>
        <v/>
      </c>
      <c r="Y189" s="83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4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2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3" t="str">
        <f aca="false">IF($A190="","",IF(D190="买入",0,IFERROR(IF(W190&lt;&gt;0,(H190-IFERROR(INDEX($H$2:$H189,MATCH(2,1/($C$2:$C189=$C190))),0))/W190,0),0)))</f>
        <v/>
      </c>
      <c r="Y190" s="83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4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2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3" t="str">
        <f aca="false">IF($A191="","",IF(D191="买入",0,IFERROR(IF(W191&lt;&gt;0,(H191-IFERROR(INDEX($H$2:$H190,MATCH(2,1/($C$2:$C190=$C191))),0))/W191,0),0)))</f>
        <v/>
      </c>
      <c r="Y191" s="83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4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2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3" t="str">
        <f aca="false">IF($A192="","",IF(D192="买入",0,IFERROR(IF(W192&lt;&gt;0,(H192-IFERROR(INDEX($H$2:$H191,MATCH(2,1/($C$2:$C191=$C192))),0))/W192,0),0)))</f>
        <v/>
      </c>
      <c r="Y192" s="83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4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2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3" t="str">
        <f aca="false">IF($A193="","",IF(D193="买入",0,IFERROR(IF(W193&lt;&gt;0,(H193-IFERROR(INDEX($H$2:$H192,MATCH(2,1/($C$2:$C192=$C193))),0))/W193,0),0)))</f>
        <v/>
      </c>
      <c r="Y193" s="83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4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2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3" t="str">
        <f aca="false">IF($A194="","",IF(D194="买入",0,IFERROR(IF(W194&lt;&gt;0,(H194-IFERROR(INDEX($H$2:$H193,MATCH(2,1/($C$2:$C193=$C194))),0))/W194,0),0)))</f>
        <v/>
      </c>
      <c r="Y194" s="83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4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2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3" t="str">
        <f aca="false">IF($A195="","",IF(D195="买入",0,IFERROR(IF(W195&lt;&gt;0,(H195-IFERROR(INDEX($H$2:$H194,MATCH(2,1/($C$2:$C194=$C195))),0))/W195,0),0)))</f>
        <v/>
      </c>
      <c r="Y195" s="83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4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2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3" t="str">
        <f aca="false">IF($A196="","",IF(D196="买入",0,IFERROR(IF(W196&lt;&gt;0,(H196-IFERROR(INDEX($H$2:$H195,MATCH(2,1/($C$2:$C195=$C196))),0))/W196,0),0)))</f>
        <v/>
      </c>
      <c r="Y196" s="83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4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2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3" t="str">
        <f aca="false">IF($A197="","",IF(D197="买入",0,IFERROR(IF(W197&lt;&gt;0,(H197-IFERROR(INDEX($H$2:$H196,MATCH(2,1/($C$2:$C196=$C197))),0))/W197,0),0)))</f>
        <v/>
      </c>
      <c r="Y197" s="83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4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2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3" t="str">
        <f aca="false">IF($A198="","",IF(D198="买入",0,IFERROR(IF(W198&lt;&gt;0,(H198-IFERROR(INDEX($H$2:$H197,MATCH(2,1/($C$2:$C197=$C198))),0))/W198,0),0)))</f>
        <v/>
      </c>
      <c r="Y198" s="83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4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2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3" t="str">
        <f aca="false">IF($A199="","",IF(D199="买入",0,IFERROR(IF(W199&lt;&gt;0,(H199-IFERROR(INDEX($H$2:$H198,MATCH(2,1/($C$2:$C198=$C199))),0))/W199,0),0)))</f>
        <v/>
      </c>
      <c r="Y199" s="83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4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2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3" t="str">
        <f aca="false">IF($A200="","",IF(D200="买入",0,IFERROR(IF(W200&lt;&gt;0,(H200-IFERROR(INDEX($H$2:$H199,MATCH(2,1/($C$2:$C199=$C200))),0))/W200,0),0)))</f>
        <v/>
      </c>
      <c r="Y200" s="83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4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2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3" t="str">
        <f aca="false">IF($A201="","",IF(D201="买入",0,IFERROR(IF(W201&lt;&gt;0,(H201-IFERROR(INDEX($H$2:$H200,MATCH(2,1/($C$2:$C200=$C201))),0))/W201,0),0)))</f>
        <v/>
      </c>
      <c r="Y201" s="83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4" t="str">
        <f aca="false">IF($A201="","",MAX(0,(MAX($Y$2:Y201)-Y201)/MAX(1,MAX($Y$2:Y201))))</f>
        <v/>
      </c>
    </row>
    <row r="203" customFormat="false" ht="15" hidden="false" customHeight="true" outlineLevel="0" collapsed="false">
      <c r="A203" s="85" t="s">
        <v>547</v>
      </c>
    </row>
    <row r="204" customFormat="false" ht="15" hidden="false" customHeight="true" outlineLevel="0" collapsed="false">
      <c r="A204" s="86" t="s">
        <v>548</v>
      </c>
      <c r="B204" s="87" t="n">
        <f aca="false">COUNTIFS(A2:A200,"&lt;&gt;",D2:D200,"&lt;&gt;")</f>
        <v>18</v>
      </c>
      <c r="C204" s="87"/>
    </row>
    <row r="205" customFormat="false" ht="15" hidden="false" customHeight="true" outlineLevel="0" collapsed="false">
      <c r="A205" s="86" t="s">
        <v>549</v>
      </c>
      <c r="B205" s="87" t="n">
        <f aca="false">COUNTIF(D2:D200,"卖出")</f>
        <v>7</v>
      </c>
      <c r="C205" s="87"/>
    </row>
    <row r="206" customFormat="false" ht="15" hidden="false" customHeight="true" outlineLevel="0" collapsed="false">
      <c r="A206" s="86" t="s">
        <v>550</v>
      </c>
      <c r="B206" s="87" t="n">
        <f aca="false">COUNTIFS(X2:X200,"&gt;0")</f>
        <v>5</v>
      </c>
      <c r="C206" s="87"/>
    </row>
    <row r="207" customFormat="false" ht="15" hidden="false" customHeight="true" outlineLevel="0" collapsed="false">
      <c r="A207" s="86" t="s">
        <v>551</v>
      </c>
      <c r="B207" s="87" t="n">
        <f aca="false">COUNTIFS(X2:X200,"&lt;0")</f>
        <v>2</v>
      </c>
      <c r="C207" s="87"/>
    </row>
    <row r="208" customFormat="false" ht="15" hidden="false" customHeight="true" outlineLevel="0" collapsed="false">
      <c r="A208" s="86" t="s">
        <v>552</v>
      </c>
      <c r="B208" s="87" t="n">
        <f aca="false">IFERROR(B206/B205,0)</f>
        <v>0.714285714285714</v>
      </c>
      <c r="C208" s="87"/>
    </row>
    <row r="209" customFormat="false" ht="15" hidden="false" customHeight="true" outlineLevel="0" collapsed="false">
      <c r="A209" s="86" t="s">
        <v>553</v>
      </c>
      <c r="B209" s="87" t="n">
        <v>2.143248</v>
      </c>
      <c r="C209" s="87"/>
    </row>
    <row r="210" customFormat="false" ht="15" hidden="false" customHeight="true" outlineLevel="0" collapsed="false">
      <c r="A210" s="86" t="s">
        <v>554</v>
      </c>
      <c r="B210" s="88" t="n">
        <v>15.002733</v>
      </c>
      <c r="C210" s="87"/>
    </row>
    <row r="211" customFormat="false" ht="15" hidden="false" customHeight="true" outlineLevel="0" collapsed="false">
      <c r="A211" s="86" t="s">
        <v>555</v>
      </c>
      <c r="B211" s="87" t="n">
        <v>9.082391</v>
      </c>
      <c r="C211" s="87"/>
    </row>
    <row r="212" customFormat="false" ht="15" hidden="false" customHeight="true" outlineLevel="0" collapsed="false">
      <c r="A212" s="86" t="s">
        <v>556</v>
      </c>
      <c r="B212" s="87" t="n">
        <v>-0.401727</v>
      </c>
      <c r="C212" s="87"/>
    </row>
    <row r="213" customFormat="false" ht="15" hidden="false" customHeight="true" outlineLevel="0" collapsed="false">
      <c r="A213" s="86" t="s">
        <v>557</v>
      </c>
      <c r="B213" s="87" t="s">
        <v>558</v>
      </c>
      <c r="C213" s="87"/>
    </row>
    <row r="214" customFormat="false" ht="15" hidden="false" customHeight="true" outlineLevel="0" collapsed="false">
      <c r="A214" s="86" t="s">
        <v>559</v>
      </c>
      <c r="B214" s="87" t="s">
        <v>558</v>
      </c>
      <c r="C214" s="87"/>
    </row>
    <row r="215" customFormat="false" ht="15" hidden="false" customHeight="true" outlineLevel="0" collapsed="false">
      <c r="A215" s="86" t="s">
        <v>560</v>
      </c>
      <c r="B215" s="89" t="n">
        <v>0</v>
      </c>
      <c r="C215" s="87"/>
    </row>
    <row r="216" customFormat="false" ht="15" hidden="false" customHeight="true" outlineLevel="0" collapsed="false">
      <c r="A216" s="86" t="s">
        <v>561</v>
      </c>
      <c r="B216" s="87" t="n">
        <v>8.379487</v>
      </c>
      <c r="C216" s="87"/>
    </row>
    <row r="217" customFormat="false" ht="15" hidden="false" customHeight="true" outlineLevel="0" collapsed="false">
      <c r="A217" s="90" t="s">
        <v>562</v>
      </c>
      <c r="B217" s="90" t="s">
        <v>563</v>
      </c>
      <c r="C217" s="87"/>
    </row>
    <row r="218" customFormat="false" ht="15" hidden="false" customHeight="true" outlineLevel="0" collapsed="false">
      <c r="A218" s="59"/>
      <c r="B218" s="32"/>
      <c r="D218" s="32"/>
      <c r="E218" s="32"/>
    </row>
    <row r="219" customFormat="false" ht="15" hidden="false" customHeight="true" outlineLevel="0" collapsed="false">
      <c r="A219" s="59" t="n">
        <v>46227</v>
      </c>
      <c r="B219" s="32" t="s">
        <v>537</v>
      </c>
      <c r="C219" s="1" t="s">
        <v>538</v>
      </c>
      <c r="D219" s="32" t="s">
        <v>510</v>
      </c>
      <c r="E219" s="32" t="s">
        <v>564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565</v>
      </c>
      <c r="O219" s="1" t="s">
        <v>566</v>
      </c>
      <c r="P219" s="32" t="s">
        <v>567</v>
      </c>
    </row>
    <row r="220" customFormat="false" ht="15" hidden="false" customHeight="true" outlineLevel="0" collapsed="false">
      <c r="A220" s="59" t="n">
        <v>46227</v>
      </c>
      <c r="B220" s="32" t="s">
        <v>384</v>
      </c>
      <c r="C220" s="1" t="s">
        <v>385</v>
      </c>
      <c r="D220" s="32" t="s">
        <v>504</v>
      </c>
      <c r="E220" s="32" t="s">
        <v>568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569</v>
      </c>
      <c r="N220" s="32" t="s">
        <v>565</v>
      </c>
      <c r="O220" s="32" t="s">
        <v>570</v>
      </c>
      <c r="P220" s="32" t="s">
        <v>571</v>
      </c>
    </row>
    <row r="221" customFormat="false" ht="15" hidden="false" customHeight="true" outlineLevel="0" collapsed="false">
      <c r="A221" s="59" t="n">
        <v>46227</v>
      </c>
      <c r="B221" s="32" t="s">
        <v>386</v>
      </c>
      <c r="C221" s="1" t="s">
        <v>387</v>
      </c>
      <c r="D221" s="32" t="s">
        <v>504</v>
      </c>
      <c r="E221" s="32" t="s">
        <v>568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569</v>
      </c>
      <c r="N221" s="32" t="s">
        <v>565</v>
      </c>
      <c r="O221" s="32" t="s">
        <v>572</v>
      </c>
      <c r="P221" s="32" t="s">
        <v>571</v>
      </c>
    </row>
    <row r="222" customFormat="false" ht="15" hidden="false" customHeight="true" outlineLevel="0" collapsed="false">
      <c r="A222" s="59" t="n">
        <v>46227</v>
      </c>
      <c r="B222" s="32" t="s">
        <v>388</v>
      </c>
      <c r="C222" s="1" t="s">
        <v>389</v>
      </c>
      <c r="D222" s="32" t="s">
        <v>504</v>
      </c>
      <c r="E222" s="32" t="s">
        <v>568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569</v>
      </c>
      <c r="N222" s="32" t="s">
        <v>573</v>
      </c>
      <c r="O222" s="32" t="s">
        <v>574</v>
      </c>
      <c r="P222" s="32" t="s">
        <v>571</v>
      </c>
    </row>
    <row r="223" customFormat="false" ht="15" hidden="false" customHeight="true" outlineLevel="0" collapsed="false">
      <c r="A223" s="59" t="n">
        <v>46227</v>
      </c>
      <c r="B223" s="32" t="s">
        <v>380</v>
      </c>
      <c r="C223" s="1" t="s">
        <v>381</v>
      </c>
      <c r="D223" s="32" t="s">
        <v>504</v>
      </c>
      <c r="E223" s="32" t="s">
        <v>568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569</v>
      </c>
      <c r="N223" s="32" t="s">
        <v>565</v>
      </c>
      <c r="O223" s="32" t="s">
        <v>575</v>
      </c>
      <c r="P223" s="32" t="s">
        <v>571</v>
      </c>
    </row>
    <row r="224" customFormat="false" ht="15" hidden="false" customHeight="true" outlineLevel="0" collapsed="false">
      <c r="A224" s="59" t="n">
        <v>46227</v>
      </c>
      <c r="B224" s="32" t="s">
        <v>382</v>
      </c>
      <c r="C224" s="1" t="s">
        <v>383</v>
      </c>
      <c r="D224" s="32" t="s">
        <v>504</v>
      </c>
      <c r="E224" s="32" t="s">
        <v>568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569</v>
      </c>
      <c r="N224" s="32" t="s">
        <v>565</v>
      </c>
      <c r="O224" s="32" t="s">
        <v>576</v>
      </c>
      <c r="P224" s="32" t="s">
        <v>571</v>
      </c>
    </row>
    <row r="225" customFormat="false" ht="15" hidden="false" customHeight="true" outlineLevel="0" collapsed="false">
      <c r="A225" s="55" t="n">
        <v>46225</v>
      </c>
      <c r="B225" s="32" t="s">
        <v>537</v>
      </c>
      <c r="C225" s="1" t="s">
        <v>538</v>
      </c>
      <c r="D225" s="32" t="s">
        <v>510</v>
      </c>
      <c r="E225" s="32" t="s">
        <v>511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510</v>
      </c>
      <c r="E226" s="32" t="s">
        <v>511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577</v>
      </c>
      <c r="B227" s="32" t="s">
        <v>578</v>
      </c>
      <c r="D227" s="32" t="s">
        <v>579</v>
      </c>
      <c r="E227" s="32" t="s">
        <v>580</v>
      </c>
    </row>
    <row r="228" customFormat="false" ht="15" hidden="false" customHeight="true" outlineLevel="0" collapsed="false">
      <c r="A228" s="91" t="s">
        <v>577</v>
      </c>
      <c r="B228" s="92" t="s">
        <v>403</v>
      </c>
      <c r="C228" s="91" t="s">
        <v>404</v>
      </c>
      <c r="D228" s="92" t="s">
        <v>581</v>
      </c>
      <c r="E228" s="92" t="s">
        <v>582</v>
      </c>
      <c r="F228" s="91" t="n">
        <v>6</v>
      </c>
      <c r="G228" s="91" t="n">
        <v>200</v>
      </c>
      <c r="H228" s="91" t="n">
        <v>1200</v>
      </c>
      <c r="I228" s="92" t="s">
        <v>90</v>
      </c>
    </row>
    <row r="229" customFormat="false" ht="15" hidden="false" customHeight="true" outlineLevel="0" collapsed="false">
      <c r="A229" s="91" t="s">
        <v>577</v>
      </c>
      <c r="B229" s="92" t="s">
        <v>395</v>
      </c>
      <c r="C229" s="91" t="s">
        <v>396</v>
      </c>
      <c r="D229" s="92" t="s">
        <v>583</v>
      </c>
      <c r="E229" s="92" t="s">
        <v>584</v>
      </c>
      <c r="F229" s="91" t="n">
        <v>3.38</v>
      </c>
      <c r="G229" s="91" t="n">
        <v>300</v>
      </c>
      <c r="H229" s="91" t="n">
        <v>1014</v>
      </c>
      <c r="I229" s="92" t="s">
        <v>585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510</v>
      </c>
      <c r="E230" s="32" t="s">
        <v>586</v>
      </c>
      <c r="F230" s="1" t="n">
        <v>4.87</v>
      </c>
      <c r="G230" s="1" t="n">
        <v>300</v>
      </c>
      <c r="H230" s="1" t="n">
        <v>1461</v>
      </c>
      <c r="O230" s="32" t="s">
        <v>587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510</v>
      </c>
      <c r="E231" s="32" t="s">
        <v>586</v>
      </c>
      <c r="F231" s="1" t="n">
        <v>3.46</v>
      </c>
      <c r="G231" s="1" t="n">
        <v>200</v>
      </c>
      <c r="H231" s="1" t="n">
        <v>692</v>
      </c>
      <c r="O231" s="32" t="s">
        <v>587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510</v>
      </c>
      <c r="E232" s="32" t="s">
        <v>586</v>
      </c>
      <c r="F232" s="1" t="n">
        <v>15.94</v>
      </c>
      <c r="G232" s="1" t="n">
        <v>100</v>
      </c>
      <c r="H232" s="1" t="n">
        <v>1594</v>
      </c>
      <c r="O232" s="32" t="s">
        <v>587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504</v>
      </c>
      <c r="E233" s="32" t="s">
        <v>588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565</v>
      </c>
      <c r="O233" s="32" t="s">
        <v>589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510</v>
      </c>
      <c r="E234" s="32" t="s">
        <v>590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565</v>
      </c>
      <c r="O234" s="32" t="s">
        <v>591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510</v>
      </c>
      <c r="E235" s="32" t="s">
        <v>586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565</v>
      </c>
      <c r="O235" s="32" t="s">
        <v>592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504</v>
      </c>
      <c r="E236" s="32" t="s">
        <v>588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565</v>
      </c>
      <c r="O236" s="32" t="s">
        <v>593</v>
      </c>
      <c r="T236" s="32" t="s">
        <v>324</v>
      </c>
    </row>
    <row r="237" customFormat="false" ht="15" hidden="false" customHeight="true" outlineLevel="0" collapsed="false">
      <c r="A237" s="1" t="s">
        <v>594</v>
      </c>
      <c r="B237" s="32" t="s">
        <v>395</v>
      </c>
      <c r="C237" s="1" t="s">
        <v>396</v>
      </c>
      <c r="D237" s="32" t="s">
        <v>510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595</v>
      </c>
    </row>
    <row r="238" customFormat="false" ht="15" hidden="false" customHeight="true" outlineLevel="0" collapsed="false">
      <c r="A238" s="1" t="s">
        <v>594</v>
      </c>
      <c r="B238" s="32" t="s">
        <v>398</v>
      </c>
      <c r="C238" s="1" t="s">
        <v>399</v>
      </c>
      <c r="D238" s="32" t="s">
        <v>510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595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8">
      <formula>N2="是"</formula>
    </cfRule>
    <cfRule type="expression" priority="3" aboveAverage="0" equalAverage="0" bottom="0" percent="0" rank="0" text="" dxfId="9">
      <formula>N2="否"</formula>
    </cfRule>
  </conditionalFormatting>
  <conditionalFormatting sqref="S2:S201">
    <cfRule type="expression" priority="4" aboveAverage="0" equalAverage="0" bottom="0" percent="0" rank="0" text="" dxfId="9">
      <formula>S2="是"</formula>
    </cfRule>
  </conditionalFormatting>
  <conditionalFormatting sqref="T2:T201">
    <cfRule type="expression" priority="5" aboveAverage="0" equalAverage="0" bottom="0" percent="0" rank="0" text="" dxfId="9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596</v>
      </c>
      <c r="C1" s="93" t="s">
        <v>597</v>
      </c>
      <c r="D1" s="93" t="s">
        <v>598</v>
      </c>
      <c r="E1" s="93" t="s">
        <v>599</v>
      </c>
      <c r="F1" s="93" t="s">
        <v>600</v>
      </c>
      <c r="G1" s="93" t="s">
        <v>601</v>
      </c>
      <c r="H1" s="93" t="s">
        <v>602</v>
      </c>
      <c r="I1" s="93" t="s">
        <v>603</v>
      </c>
      <c r="J1" s="93" t="s">
        <v>604</v>
      </c>
      <c r="K1" s="93" t="s">
        <v>246</v>
      </c>
      <c r="L1" s="93" t="s">
        <v>252</v>
      </c>
      <c r="M1" s="93" t="s">
        <v>605</v>
      </c>
      <c r="N1" s="93" t="s">
        <v>606</v>
      </c>
      <c r="O1" s="93" t="s">
        <v>259</v>
      </c>
      <c r="P1" s="93" t="s">
        <v>607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608</v>
      </c>
      <c r="I2" s="95"/>
      <c r="J2" s="95"/>
      <c r="K2" s="97" t="n">
        <v>70</v>
      </c>
      <c r="L2" s="98" t="s">
        <v>609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608</v>
      </c>
      <c r="I3" s="102"/>
      <c r="J3" s="102"/>
      <c r="K3" s="97" t="n">
        <v>70</v>
      </c>
      <c r="L3" s="98" t="s">
        <v>609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608</v>
      </c>
      <c r="I4" s="96" t="s">
        <v>610</v>
      </c>
      <c r="J4" s="96" t="s">
        <v>611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5" t="s">
        <v>612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6" t="s">
        <v>613</v>
      </c>
      <c r="B204" s="87" t="n">
        <f aca="false">COUNTA(A2:A200)</f>
        <v>3</v>
      </c>
      <c r="C204" s="87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6" t="s">
        <v>614</v>
      </c>
      <c r="B205" s="87" t="n">
        <f aca="false">COUNTIF(L2:L200,"达标")</f>
        <v>0</v>
      </c>
      <c r="C205" s="87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6" t="s">
        <v>615</v>
      </c>
      <c r="B206" s="87" t="n">
        <f aca="false">IFERROR(B205/B204,0)</f>
        <v>0</v>
      </c>
      <c r="C206" s="87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6" t="s">
        <v>616</v>
      </c>
      <c r="B207" s="87" t="n">
        <f aca="false">IFERROR(AVERAGE(K2:K200),0)</f>
        <v>50</v>
      </c>
      <c r="C207" s="87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6" t="s">
        <v>617</v>
      </c>
      <c r="B208" s="87" t="n">
        <f aca="false">IFERROR(MAX(K2:K200),0)</f>
        <v>70</v>
      </c>
      <c r="C208" s="87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6" t="s">
        <v>618</v>
      </c>
      <c r="B209" s="87" t="n">
        <f aca="false">IFERROR(MIN(K2:K200),0)</f>
        <v>10</v>
      </c>
      <c r="C209" s="87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6" t="s">
        <v>619</v>
      </c>
      <c r="B210" s="87" t="str">
        <f aca="false">IFERROR(O200,0)</f>
        <v/>
      </c>
      <c r="C210" s="87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6" t="s">
        <v>620</v>
      </c>
      <c r="B211" s="87" t="n">
        <f aca="false">IFERROR(MAX(O2:O200),0)</f>
        <v>0</v>
      </c>
      <c r="C211" s="87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6" t="s">
        <v>621</v>
      </c>
      <c r="B212" s="87" t="n">
        <f aca="false">IFERROR(AVERAGE(B2:B200),0)</f>
        <v>4</v>
      </c>
      <c r="C212" s="87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6" t="s">
        <v>622</v>
      </c>
      <c r="B213" s="87" t="n">
        <f aca="false">COUNTIF(C2:C200,"是")</f>
        <v>0</v>
      </c>
      <c r="C213" s="87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6" t="s">
        <v>623</v>
      </c>
      <c r="B214" s="87" t="n">
        <f aca="false">COUNTIF(D2:D200,"否")</f>
        <v>0</v>
      </c>
      <c r="C214" s="87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6" t="s">
        <v>624</v>
      </c>
      <c r="B215" s="87" t="n">
        <f aca="false">COUNTIF(F2:F200,"是")</f>
        <v>0</v>
      </c>
      <c r="C215" s="87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6" t="s">
        <v>625</v>
      </c>
      <c r="B216" s="87" t="n">
        <f aca="false">IFERROR(AVERAGE(E2:E200),0)</f>
        <v>3</v>
      </c>
      <c r="C216" s="87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90" t="s">
        <v>626</v>
      </c>
      <c r="B217" s="90" t="str">
        <f aca="false">IF(B207&gt;=80,"轻态 ✅",IF(B207&gt;=60,"改善中 ⚠️","需调整 ❌"))</f>
        <v>需调整 ❌</v>
      </c>
      <c r="C217" s="87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627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628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629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630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631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632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633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59" t="n">
        <v>46231</v>
      </c>
      <c r="B227" s="32" t="s">
        <v>80</v>
      </c>
      <c r="C227" s="32" t="s">
        <v>634</v>
      </c>
      <c r="D227" s="32" t="s">
        <v>635</v>
      </c>
      <c r="E227" s="32" t="s">
        <v>636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59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637</v>
      </c>
      <c r="I228" s="32" t="s">
        <v>638</v>
      </c>
      <c r="J228" s="32" t="s">
        <v>639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59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640</v>
      </c>
      <c r="I229" s="32"/>
      <c r="J229" s="32" t="s">
        <v>641</v>
      </c>
      <c r="K229" s="1" t="n">
        <v>80</v>
      </c>
      <c r="L229" s="32" t="s">
        <v>642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608</v>
      </c>
      <c r="J230" s="32" t="s">
        <v>643</v>
      </c>
      <c r="K230" s="1" t="n">
        <v>95</v>
      </c>
      <c r="L230" s="32" t="s">
        <v>642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644</v>
      </c>
      <c r="B231" s="32" t="s">
        <v>645</v>
      </c>
      <c r="C231" s="32" t="s">
        <v>646</v>
      </c>
      <c r="D231" s="32" t="s">
        <v>647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594</v>
      </c>
      <c r="B232" s="1" t="s">
        <v>648</v>
      </c>
      <c r="C232" s="32" t="s">
        <v>649</v>
      </c>
      <c r="D232" s="32" t="s">
        <v>650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59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651</v>
      </c>
    </row>
    <row r="234" customFormat="false" ht="15" hidden="false" customHeight="true" outlineLevel="0" collapsed="false">
      <c r="A234" s="59" t="n">
        <v>46236</v>
      </c>
      <c r="B234" s="32" t="s">
        <v>652</v>
      </c>
      <c r="C234" s="32" t="s">
        <v>653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false" outlineLevel="0" collapsed="false">
      <c r="A235" s="107" t="n">
        <v>46236</v>
      </c>
      <c r="B235" s="108" t="s">
        <v>654</v>
      </c>
      <c r="C235" s="1" t="s">
        <v>655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8">
      <formula>$L2="达标"</formula>
    </cfRule>
    <cfRule type="expression" priority="3" aboveAverage="0" equalAverage="0" bottom="0" percent="0" rank="0" text="" dxfId="9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9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9" t="s">
        <v>271</v>
      </c>
      <c r="B1" s="109" t="s">
        <v>656</v>
      </c>
      <c r="C1" s="109" t="s">
        <v>657</v>
      </c>
      <c r="D1" s="109" t="s">
        <v>658</v>
      </c>
      <c r="E1" s="109" t="s">
        <v>659</v>
      </c>
      <c r="F1" s="109" t="s">
        <v>660</v>
      </c>
      <c r="G1" s="109" t="s">
        <v>661</v>
      </c>
      <c r="H1" s="109" t="s">
        <v>662</v>
      </c>
      <c r="I1" s="110" t="s">
        <v>663</v>
      </c>
      <c r="J1" s="110" t="s">
        <v>664</v>
      </c>
      <c r="K1" s="109" t="s">
        <v>665</v>
      </c>
      <c r="L1" s="2" t="s">
        <v>666</v>
      </c>
      <c r="M1" s="2" t="s">
        <v>667</v>
      </c>
      <c r="N1" s="2" t="s">
        <v>668</v>
      </c>
      <c r="O1" s="2" t="s">
        <v>669</v>
      </c>
      <c r="P1" s="2" t="s">
        <v>670</v>
      </c>
      <c r="Q1" s="2" t="s">
        <v>671</v>
      </c>
      <c r="R1" s="2" t="s">
        <v>672</v>
      </c>
      <c r="S1" s="2" t="s">
        <v>673</v>
      </c>
      <c r="T1" s="2" t="s">
        <v>674</v>
      </c>
      <c r="U1" s="2" t="s">
        <v>675</v>
      </c>
      <c r="V1" s="2" t="s">
        <v>6</v>
      </c>
      <c r="W1" s="111" t="s">
        <v>676</v>
      </c>
      <c r="X1" s="111" t="s">
        <v>677</v>
      </c>
      <c r="Y1" s="111" t="s">
        <v>678</v>
      </c>
      <c r="Z1" s="111" t="s">
        <v>679</v>
      </c>
      <c r="AA1" s="111" t="s">
        <v>680</v>
      </c>
      <c r="AB1" s="111" t="s">
        <v>681</v>
      </c>
      <c r="AC1" s="111" t="s">
        <v>682</v>
      </c>
      <c r="AD1" s="111" t="s">
        <v>683</v>
      </c>
      <c r="AE1" s="111" t="s">
        <v>684</v>
      </c>
      <c r="AF1" s="111" t="s">
        <v>685</v>
      </c>
      <c r="AG1" s="111" t="s">
        <v>686</v>
      </c>
      <c r="AH1" s="111" t="s">
        <v>687</v>
      </c>
    </row>
    <row r="2" customFormat="false" ht="15" hidden="false" customHeight="true" outlineLevel="0" collapsed="false">
      <c r="A2" s="29" t="s">
        <v>688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689</v>
      </c>
      <c r="L2" s="37" t="n">
        <v>0</v>
      </c>
      <c r="M2" s="37" t="n">
        <v>2.9</v>
      </c>
      <c r="N2" s="37" t="n">
        <v>2</v>
      </c>
      <c r="O2" s="28" t="s">
        <v>341</v>
      </c>
      <c r="P2" s="28" t="s">
        <v>690</v>
      </c>
      <c r="Q2" s="28" t="s">
        <v>691</v>
      </c>
      <c r="R2" s="39" t="s">
        <v>324</v>
      </c>
      <c r="S2" s="40" t="s">
        <v>236</v>
      </c>
      <c r="T2" s="39" t="s">
        <v>324</v>
      </c>
      <c r="U2" s="28" t="s">
        <v>692</v>
      </c>
      <c r="V2" s="28" t="s">
        <v>693</v>
      </c>
      <c r="W2" s="112" t="s">
        <v>694</v>
      </c>
      <c r="X2" s="112" t="s">
        <v>695</v>
      </c>
      <c r="Y2" s="112" t="s">
        <v>696</v>
      </c>
      <c r="Z2" s="113" t="s">
        <v>697</v>
      </c>
      <c r="AA2" s="114" t="s">
        <v>698</v>
      </c>
      <c r="AB2" s="114" t="n">
        <v>8.38</v>
      </c>
      <c r="AC2" s="114" t="s">
        <v>699</v>
      </c>
      <c r="AD2" s="113" t="s">
        <v>700</v>
      </c>
      <c r="AE2" s="114" t="s">
        <v>701</v>
      </c>
      <c r="AF2" s="113" t="s">
        <v>702</v>
      </c>
      <c r="AG2" s="113" t="s">
        <v>703</v>
      </c>
      <c r="AH2" s="113" t="s">
        <v>704</v>
      </c>
    </row>
    <row r="3" customFormat="false" ht="15" hidden="false" customHeight="true" outlineLevel="0" collapsed="false">
      <c r="A3" s="30" t="s">
        <v>705</v>
      </c>
      <c r="B3" s="44" t="n">
        <v>527.88</v>
      </c>
      <c r="C3" s="44" t="s">
        <v>706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707</v>
      </c>
      <c r="J3" s="45" t="n">
        <v>68</v>
      </c>
      <c r="K3" s="30" t="s">
        <v>708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8">
      <formula>R2="是"</formula>
    </cfRule>
    <cfRule type="expression" priority="3" aboveAverage="0" equalAverage="0" bottom="0" percent="0" rank="0" text="" dxfId="9">
      <formula>R2="否"</formula>
    </cfRule>
  </conditionalFormatting>
  <conditionalFormatting sqref="T2:T201">
    <cfRule type="expression" priority="4" aboveAverage="0" equalAverage="0" bottom="0" percent="0" rank="0" text="" dxfId="8">
      <formula>T2="是"</formula>
    </cfRule>
    <cfRule type="expression" priority="5" aboveAverage="0" equalAverage="0" bottom="0" percent="0" rank="0" text="" dxfId="9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1" t="s">
        <v>709</v>
      </c>
      <c r="E1" s="61" t="s">
        <v>360</v>
      </c>
      <c r="F1" s="61" t="s">
        <v>361</v>
      </c>
      <c r="G1" s="61" t="s">
        <v>710</v>
      </c>
      <c r="H1" s="33" t="s">
        <v>711</v>
      </c>
      <c r="I1" s="33" t="s">
        <v>427</v>
      </c>
      <c r="J1" s="33" t="s">
        <v>712</v>
      </c>
      <c r="K1" s="33" t="s">
        <v>713</v>
      </c>
      <c r="L1" s="33" t="s">
        <v>443</v>
      </c>
      <c r="M1" s="33" t="s">
        <v>714</v>
      </c>
    </row>
    <row r="2" customFormat="false" ht="15" hidden="false" customHeight="true" outlineLevel="0" collapsed="false">
      <c r="A2" s="55" t="n">
        <v>46229</v>
      </c>
      <c r="B2" s="1" t="s">
        <v>715</v>
      </c>
      <c r="C2" s="32" t="s">
        <v>716</v>
      </c>
      <c r="D2" s="1" t="n">
        <v>23.98</v>
      </c>
      <c r="E2" s="1" t="n">
        <v>0.18020228134431</v>
      </c>
      <c r="F2" s="1" t="n">
        <v>0.942257901343378</v>
      </c>
      <c r="G2" s="32" t="s">
        <v>717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450</v>
      </c>
      <c r="C3" s="32" t="s">
        <v>449</v>
      </c>
      <c r="D3" s="1" t="n">
        <v>3.1</v>
      </c>
      <c r="E3" s="1" t="n">
        <v>0.0219614970942553</v>
      </c>
      <c r="F3" s="1" t="n">
        <v>0.937046817900879</v>
      </c>
      <c r="G3" s="32" t="s">
        <v>717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718</v>
      </c>
      <c r="C4" s="32" t="s">
        <v>719</v>
      </c>
      <c r="D4" s="1" t="n">
        <v>18.74</v>
      </c>
      <c r="E4" s="1" t="n">
        <v>0.0722104792657035</v>
      </c>
      <c r="F4" s="1" t="n">
        <v>0.933669096017595</v>
      </c>
      <c r="G4" s="32" t="s">
        <v>717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720</v>
      </c>
      <c r="C5" s="32" t="s">
        <v>721</v>
      </c>
      <c r="D5" s="1" t="n">
        <v>28.58</v>
      </c>
      <c r="E5" s="1" t="n">
        <v>0.136356199625273</v>
      </c>
      <c r="F5" s="1" t="n">
        <v>0.932773404270058</v>
      </c>
      <c r="G5" s="32" t="s">
        <v>717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717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717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722</v>
      </c>
      <c r="C8" s="32" t="s">
        <v>723</v>
      </c>
      <c r="D8" s="1" t="n">
        <v>347.8</v>
      </c>
      <c r="E8" s="1" t="n">
        <v>0.150557882767282</v>
      </c>
      <c r="F8" s="1" t="n">
        <v>0.923640505971024</v>
      </c>
      <c r="G8" s="32" t="s">
        <v>717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724</v>
      </c>
      <c r="C9" s="32" t="s">
        <v>725</v>
      </c>
      <c r="D9" s="1" t="n">
        <v>6.46</v>
      </c>
      <c r="E9" s="1" t="n">
        <v>0.0651159258248686</v>
      </c>
      <c r="F9" s="1" t="n">
        <v>0.921375970201785</v>
      </c>
      <c r="G9" s="32" t="s">
        <v>717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717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726</v>
      </c>
      <c r="C11" s="32" t="s">
        <v>727</v>
      </c>
      <c r="D11" s="1" t="n">
        <v>21.5</v>
      </c>
      <c r="E11" s="1" t="n">
        <v>0.115884894387187</v>
      </c>
      <c r="F11" s="1" t="n">
        <v>0.916649957764473</v>
      </c>
      <c r="G11" s="32" t="s">
        <v>717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460</v>
      </c>
      <c r="C12" s="32" t="s">
        <v>459</v>
      </c>
      <c r="D12" s="1" t="n">
        <v>18.87</v>
      </c>
      <c r="E12" s="1" t="n">
        <v>0.121148586472636</v>
      </c>
      <c r="F12" s="1" t="n">
        <v>0.906724814708502</v>
      </c>
      <c r="G12" s="32" t="s">
        <v>717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728</v>
      </c>
      <c r="C13" s="32" t="s">
        <v>729</v>
      </c>
      <c r="D13" s="1" t="n">
        <v>5.03</v>
      </c>
      <c r="E13" s="1" t="n">
        <v>0.230295547470064</v>
      </c>
      <c r="F13" s="1" t="n">
        <v>0.966349594345001</v>
      </c>
      <c r="G13" s="32" t="s">
        <v>730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731</v>
      </c>
      <c r="C14" s="32" t="s">
        <v>732</v>
      </c>
      <c r="D14" s="1" t="n">
        <v>5.43</v>
      </c>
      <c r="E14" s="1" t="n">
        <v>0.264315091191391</v>
      </c>
      <c r="F14" s="1" t="n">
        <v>0.946183041529521</v>
      </c>
      <c r="G14" s="32" t="s">
        <v>730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733</v>
      </c>
      <c r="C15" s="32" t="s">
        <v>734</v>
      </c>
      <c r="D15" s="1" t="n">
        <v>5.29</v>
      </c>
      <c r="E15" s="1" t="n">
        <v>0.294214346271889</v>
      </c>
      <c r="F15" s="1" t="n">
        <v>0.944844424311078</v>
      </c>
      <c r="G15" s="32" t="s">
        <v>730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466</v>
      </c>
      <c r="C16" s="32" t="s">
        <v>465</v>
      </c>
      <c r="D16" s="1" t="n">
        <v>10.12</v>
      </c>
      <c r="E16" s="1" t="n">
        <v>0.127084861361356</v>
      </c>
      <c r="F16" s="1" t="n">
        <v>0.899729521998906</v>
      </c>
      <c r="G16" s="32" t="s">
        <v>730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735</v>
      </c>
      <c r="C17" s="32" t="s">
        <v>736</v>
      </c>
      <c r="D17" s="1" t="n">
        <v>11.53</v>
      </c>
      <c r="E17" s="1" t="n">
        <v>0.246630945795256</v>
      </c>
      <c r="F17" s="1" t="n">
        <v>0.894431562682973</v>
      </c>
      <c r="G17" s="32" t="s">
        <v>730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737</v>
      </c>
      <c r="C18" s="32" t="s">
        <v>738</v>
      </c>
      <c r="D18" s="1" t="n">
        <v>1.98</v>
      </c>
      <c r="E18" s="1" t="n">
        <v>0.232351791787116</v>
      </c>
      <c r="F18" s="1" t="n">
        <v>0.891396922045184</v>
      </c>
      <c r="G18" s="32" t="s">
        <v>730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730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472</v>
      </c>
      <c r="C20" s="32" t="s">
        <v>471</v>
      </c>
      <c r="D20" s="1" t="n">
        <v>2.12</v>
      </c>
      <c r="E20" s="1" t="n">
        <v>0.174050352294355</v>
      </c>
      <c r="F20" s="1" t="n">
        <v>0.876951353251519</v>
      </c>
      <c r="G20" s="32" t="s">
        <v>730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739</v>
      </c>
      <c r="C21" s="32" t="s">
        <v>740</v>
      </c>
      <c r="D21" s="1" t="n">
        <v>7.08</v>
      </c>
      <c r="E21" s="1" t="n">
        <v>0.294703066087429</v>
      </c>
      <c r="F21" s="1" t="n">
        <v>0.867559280835112</v>
      </c>
      <c r="G21" s="32" t="s">
        <v>730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741</v>
      </c>
      <c r="C22" s="32" t="s">
        <v>742</v>
      </c>
      <c r="D22" s="1" t="n">
        <v>14.88</v>
      </c>
      <c r="E22" s="1" t="n">
        <v>0.165948265449632</v>
      </c>
      <c r="F22" s="1" t="n">
        <v>0.867253369822946</v>
      </c>
      <c r="G22" s="32" t="s">
        <v>730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743</v>
      </c>
      <c r="C23" s="32" t="s">
        <v>744</v>
      </c>
      <c r="D23" s="1" t="n">
        <v>17.61</v>
      </c>
      <c r="E23" s="1" t="n">
        <v>0.253402303330322</v>
      </c>
      <c r="F23" s="1" t="n">
        <v>0.846751691580814</v>
      </c>
      <c r="G23" s="32" t="s">
        <v>745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746</v>
      </c>
      <c r="C24" s="32" t="s">
        <v>747</v>
      </c>
      <c r="D24" s="1" t="n">
        <v>38.51</v>
      </c>
      <c r="E24" s="1" t="n">
        <v>0.188976912364795</v>
      </c>
      <c r="F24" s="1" t="n">
        <v>0.846564729481012</v>
      </c>
      <c r="G24" s="32" t="s">
        <v>745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748</v>
      </c>
      <c r="C25" s="32" t="s">
        <v>749</v>
      </c>
      <c r="D25" s="1" t="n">
        <v>8.46</v>
      </c>
      <c r="E25" s="1" t="n">
        <v>0.384101052971927</v>
      </c>
      <c r="F25" s="1" t="n">
        <v>0.842620091964338</v>
      </c>
      <c r="G25" s="32" t="s">
        <v>745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750</v>
      </c>
      <c r="C26" s="32" t="s">
        <v>751</v>
      </c>
      <c r="D26" s="1" t="n">
        <v>16.01</v>
      </c>
      <c r="E26" s="1" t="n">
        <v>0.193741864254793</v>
      </c>
      <c r="F26" s="1" t="n">
        <v>0.84110522239601</v>
      </c>
      <c r="G26" s="32" t="s">
        <v>745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752</v>
      </c>
      <c r="C27" s="32" t="s">
        <v>753</v>
      </c>
      <c r="D27" s="1" t="n">
        <v>8.49</v>
      </c>
      <c r="E27" s="1" t="n">
        <v>0.306636304093562</v>
      </c>
      <c r="F27" s="1" t="n">
        <v>0.825728706833739</v>
      </c>
      <c r="G27" s="32" t="s">
        <v>745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745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754</v>
      </c>
      <c r="C29" s="32" t="s">
        <v>755</v>
      </c>
      <c r="D29" s="1" t="n">
        <v>30.78</v>
      </c>
      <c r="E29" s="1" t="n">
        <v>0.256598300008733</v>
      </c>
      <c r="F29" s="1" t="n">
        <v>0.818224023423837</v>
      </c>
      <c r="G29" s="32" t="s">
        <v>745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756</v>
      </c>
      <c r="C30" s="32" t="s">
        <v>757</v>
      </c>
      <c r="D30" s="1" t="n">
        <v>14.68</v>
      </c>
      <c r="E30" s="1" t="n">
        <v>0.263771783517079</v>
      </c>
      <c r="F30" s="1" t="n">
        <v>0.816513962155352</v>
      </c>
      <c r="G30" s="32" t="s">
        <v>745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758</v>
      </c>
      <c r="C31" s="32" t="s">
        <v>759</v>
      </c>
      <c r="D31" s="1" t="n">
        <v>7.71</v>
      </c>
      <c r="E31" s="1" t="n">
        <v>0.17665125667976</v>
      </c>
      <c r="F31" s="1" t="n">
        <v>0.810842164228016</v>
      </c>
      <c r="G31" s="32" t="s">
        <v>745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760</v>
      </c>
      <c r="B32" s="1" t="s">
        <v>756</v>
      </c>
      <c r="C32" s="32" t="s">
        <v>757</v>
      </c>
      <c r="G32" s="32" t="s">
        <v>761</v>
      </c>
      <c r="M32" s="1" t="s">
        <v>762</v>
      </c>
    </row>
    <row r="33" customFormat="false" ht="15" hidden="false" customHeight="true" outlineLevel="0" collapsed="false">
      <c r="A33" s="1" t="s">
        <v>760</v>
      </c>
      <c r="B33" s="1" t="s">
        <v>401</v>
      </c>
      <c r="C33" s="32" t="s">
        <v>400</v>
      </c>
      <c r="G33" s="32" t="s">
        <v>761</v>
      </c>
      <c r="M33" s="1" t="s">
        <v>762</v>
      </c>
    </row>
    <row r="34" customFormat="false" ht="15" hidden="false" customHeight="true" outlineLevel="0" collapsed="false">
      <c r="A34" s="1" t="s">
        <v>760</v>
      </c>
      <c r="B34" s="1" t="s">
        <v>741</v>
      </c>
      <c r="C34" s="32" t="s">
        <v>742</v>
      </c>
      <c r="G34" s="32" t="s">
        <v>761</v>
      </c>
      <c r="M34" s="1" t="s">
        <v>762</v>
      </c>
    </row>
    <row r="35" customFormat="false" ht="15" hidden="false" customHeight="true" outlineLevel="0" collapsed="false">
      <c r="A35" s="1" t="s">
        <v>760</v>
      </c>
      <c r="B35" s="1" t="s">
        <v>739</v>
      </c>
      <c r="C35" s="32" t="s">
        <v>740</v>
      </c>
      <c r="G35" s="32" t="s">
        <v>761</v>
      </c>
      <c r="M35" s="1" t="s">
        <v>762</v>
      </c>
    </row>
    <row r="36" customFormat="false" ht="15" hidden="false" customHeight="true" outlineLevel="0" collapsed="false">
      <c r="A36" s="1" t="s">
        <v>760</v>
      </c>
      <c r="B36" s="1" t="s">
        <v>735</v>
      </c>
      <c r="C36" s="32" t="s">
        <v>736</v>
      </c>
      <c r="G36" s="32" t="s">
        <v>761</v>
      </c>
      <c r="M36" s="1" t="s">
        <v>762</v>
      </c>
    </row>
    <row r="37" customFormat="false" ht="15" hidden="false" customHeight="true" outlineLevel="0" collapsed="false">
      <c r="A37" s="1" t="s">
        <v>760</v>
      </c>
      <c r="B37" s="1" t="s">
        <v>728</v>
      </c>
      <c r="C37" s="32" t="s">
        <v>729</v>
      </c>
      <c r="G37" s="32" t="s">
        <v>761</v>
      </c>
      <c r="M37" s="1" t="s">
        <v>762</v>
      </c>
    </row>
    <row r="38" customFormat="false" ht="15" hidden="false" customHeight="true" outlineLevel="0" collapsed="false">
      <c r="A38" s="1" t="s">
        <v>760</v>
      </c>
      <c r="B38" s="1" t="s">
        <v>408</v>
      </c>
      <c r="C38" s="32" t="s">
        <v>407</v>
      </c>
      <c r="G38" s="32" t="s">
        <v>761</v>
      </c>
      <c r="M38" s="1" t="s">
        <v>762</v>
      </c>
    </row>
    <row r="39" customFormat="false" ht="15" hidden="false" customHeight="true" outlineLevel="0" collapsed="false">
      <c r="A39" s="1" t="s">
        <v>760</v>
      </c>
      <c r="B39" s="1" t="s">
        <v>724</v>
      </c>
      <c r="C39" s="32" t="s">
        <v>725</v>
      </c>
      <c r="G39" s="32" t="s">
        <v>761</v>
      </c>
      <c r="M39" s="1" t="s">
        <v>762</v>
      </c>
    </row>
    <row r="40" customFormat="false" ht="15" hidden="false" customHeight="true" outlineLevel="0" collapsed="false">
      <c r="A40" s="1" t="s">
        <v>760</v>
      </c>
      <c r="B40" s="1" t="s">
        <v>718</v>
      </c>
      <c r="C40" s="32" t="s">
        <v>719</v>
      </c>
      <c r="G40" s="32" t="s">
        <v>761</v>
      </c>
      <c r="M40" s="1" t="s">
        <v>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2026-08-02T17:40:57Z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