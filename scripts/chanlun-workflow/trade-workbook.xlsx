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执行清单" sheetId="1" state="visible" r:id="rId3"/>
    <sheet name="关键变量表" sheetId="2" state="visible" r:id="rId4"/>
    <sheet name="账户总表" sheetId="3" state="visible" r:id="rId5"/>
    <sheet name="持仓表" sheetId="4" state="visible" r:id="rId6"/>
    <sheet name="候选池" sheetId="5" state="visible" r:id="rId7"/>
    <sheet name="交易记录" sheetId="6" state="visible" r:id="rId8"/>
    <sheet name="心态日志" sheetId="7" state="visible" r:id="rId9"/>
    <sheet name="周复盘" sheetId="8" state="visible" r:id="rId10"/>
    <sheet name="候选池历史" sheetId="9" state="visible" r:id="rId11"/>
  </sheets>
  <definedNames>
    <definedName function="false" hidden="true" localSheetId="5" name="_xlnm._FilterDatabase" vbProcedure="false">交易记录!$A$1:$U$201</definedName>
    <definedName function="false" hidden="true" localSheetId="4" name="_xlnm._FilterDatabase" vbProcedure="false">候选池!$A$1:$AE$201</definedName>
    <definedName function="false" hidden="true" localSheetId="1" name="_xlnm._FilterDatabase" vbProcedure="false">关键变量表!$A$1:$H$18</definedName>
    <definedName function="false" hidden="true" localSheetId="7" name="_xlnm._FilterDatabase" vbProcedure="false">周复盘!$A$1:$V$201</definedName>
    <definedName function="false" hidden="true" localSheetId="6" name="_xlnm._FilterDatabase" vbProcedure="false">心态日志!$A$1:$P$201</definedName>
    <definedName function="false" hidden="true" localSheetId="0" name="_xlnm._FilterDatabase" vbProcedure="false">执行清单!$A$1:$G$21</definedName>
    <definedName function="false" hidden="true" localSheetId="3" name="_xlnm._FilterDatabase" vbProcedure="false">持仓表!$A$1:$AD$201</definedName>
    <definedName function="false" hidden="true" localSheetId="2" name="_xlnm._FilterDatabase" vbProcedure="false">账户总表!$A$1:$AE$201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<sst xmlns="http://schemas.openxmlformats.org/spreadsheetml/2006/main" count="1802" uniqueCount="971">
  <si>
    <t xml:space="preserve">流程</t>
  </si>
  <si>
    <t xml:space="preserve">检查项</t>
  </si>
  <si>
    <t xml:space="preserve">判断依据</t>
  </si>
  <si>
    <t xml:space="preserve">自动结论</t>
  </si>
  <si>
    <t xml:space="preserve">手动确认</t>
  </si>
  <si>
    <t xml:space="preserve">不通过动作</t>
  </si>
  <si>
    <t xml:space="preserve">备注</t>
  </si>
  <si>
    <r>
      <rPr>
        <b val="true"/>
        <sz val="11"/>
        <rFont val="Arial"/>
        <family val="0"/>
        <charset val="1"/>
      </rPr>
      <t xml:space="preserve">A.</t>
    </r>
    <r>
      <rPr>
        <b val="true"/>
        <sz val="11"/>
        <rFont val="DejaVu Sans"/>
        <family val="2"/>
      </rPr>
      <t xml:space="preserve">止损检查</t>
    </r>
  </si>
  <si>
    <r>
      <rPr>
        <b val="true"/>
        <sz val="11"/>
        <rFont val="DejaVu Sans"/>
        <family val="2"/>
      </rPr>
      <t xml:space="preserve">东风股份</t>
    </r>
    <r>
      <rPr>
        <b val="true"/>
        <sz val="11"/>
        <rFont val="DejaVu Sans"/>
        <family val="2"/>
        <charset val="1"/>
      </rPr>
      <t xml:space="preserve">(600006)</t>
    </r>
  </si>
  <si>
    <r>
      <rPr>
        <sz val="11"/>
        <rFont val="Arial"/>
        <family val="0"/>
        <charset val="1"/>
      </rPr>
      <t xml:space="preserve">WAIVED | </t>
    </r>
    <r>
      <rPr>
        <sz val="11"/>
        <rFont val="DejaVu Sans"/>
        <family val="2"/>
      </rPr>
      <t xml:space="preserve">现价</t>
    </r>
    <r>
      <rPr>
        <sz val="11"/>
        <rFont val="Arial"/>
        <family val="0"/>
        <charset val="1"/>
      </rPr>
      <t xml:space="preserve">5.49 vs </t>
    </r>
    <r>
      <rPr>
        <sz val="11"/>
        <rFont val="DejaVu Sans"/>
        <family val="2"/>
      </rPr>
      <t xml:space="preserve">止损</t>
    </r>
    <r>
      <rPr>
        <sz val="11"/>
        <rFont val="Arial"/>
        <family val="0"/>
        <charset val="1"/>
      </rPr>
      <t xml:space="preserve">5.22 | </t>
    </r>
    <r>
      <rPr>
        <sz val="11"/>
        <rFont val="DejaVu Sans"/>
        <family val="2"/>
      </rPr>
      <t xml:space="preserve">浮亏</t>
    </r>
    <r>
      <rPr>
        <sz val="11"/>
        <rFont val="Arial"/>
        <family val="0"/>
        <charset val="1"/>
      </rPr>
      <t xml:space="preserve">-37.0%</t>
    </r>
  </si>
  <si>
    <r>
      <rPr>
        <sz val="11"/>
        <rFont val="DejaVu Sans"/>
        <family val="2"/>
      </rPr>
      <t xml:space="preserve">持有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不加不减</t>
    </r>
    <r>
      <rPr>
        <sz val="11"/>
        <rFont val="DejaVu Sans"/>
        <family val="2"/>
        <charset val="1"/>
      </rPr>
      <t xml:space="preserve">)</t>
    </r>
  </si>
  <si>
    <t xml:space="preserve">—</t>
  </si>
  <si>
    <r>
      <rPr>
        <sz val="11"/>
        <rFont val="DejaVu Sans"/>
        <family val="2"/>
      </rPr>
      <t xml:space="preserve">若跌破</t>
    </r>
    <r>
      <rPr>
        <sz val="11"/>
        <rFont val="DejaVu Sans"/>
        <family val="2"/>
        <charset val="1"/>
      </rPr>
      <t xml:space="preserve">5.22</t>
    </r>
    <r>
      <rPr>
        <sz val="11"/>
        <rFont val="DejaVu Sans"/>
        <family val="2"/>
      </rPr>
      <t xml:space="preserve">立即止损</t>
    </r>
  </si>
  <si>
    <r>
      <rPr>
        <sz val="11"/>
        <rFont val="Arial"/>
        <family val="0"/>
        <charset val="1"/>
      </rPr>
      <t xml:space="preserve">WAIVED</t>
    </r>
    <r>
      <rPr>
        <sz val="11"/>
        <rFont val="DejaVu Sans"/>
        <family val="2"/>
      </rPr>
      <t xml:space="preserve">豁免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固定止损</t>
    </r>
    <r>
      <rPr>
        <sz val="11"/>
        <rFont val="Arial"/>
        <family val="0"/>
        <charset val="1"/>
      </rPr>
      <t xml:space="preserve">5.22, </t>
    </r>
    <r>
      <rPr>
        <sz val="11"/>
        <rFont val="DejaVu Sans"/>
        <family val="2"/>
      </rPr>
      <t xml:space="preserve">远离止损线</t>
    </r>
  </si>
  <si>
    <r>
      <rPr>
        <b val="true"/>
        <sz val="11"/>
        <rFont val="DejaVu Sans"/>
        <family val="2"/>
      </rPr>
      <t xml:space="preserve">贵绳股份</t>
    </r>
    <r>
      <rPr>
        <b val="true"/>
        <sz val="11"/>
        <rFont val="DejaVu Sans"/>
        <family val="2"/>
        <charset val="1"/>
      </rPr>
      <t xml:space="preserve">(600992)</t>
    </r>
  </si>
  <si>
    <r>
      <rPr>
        <sz val="11"/>
        <rFont val="DejaVu Sans"/>
        <family val="2"/>
      </rPr>
      <t xml:space="preserve">现价</t>
    </r>
    <r>
      <rPr>
        <sz val="11"/>
        <rFont val="DejaVu Sans"/>
        <family val="2"/>
        <charset val="1"/>
      </rPr>
      <t xml:space="preserve">9.17 vs </t>
    </r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8.44 | </t>
    </r>
    <r>
      <rPr>
        <sz val="11"/>
        <rFont val="DejaVu Sans"/>
        <family val="2"/>
      </rPr>
      <t xml:space="preserve">浮亏</t>
    </r>
    <r>
      <rPr>
        <sz val="11"/>
        <rFont val="DejaVu Sans"/>
        <family val="2"/>
        <charset val="1"/>
      </rPr>
      <t xml:space="preserve">-0.01%</t>
    </r>
  </si>
  <si>
    <t xml:space="preserve">持有观察</t>
  </si>
  <si>
    <r>
      <rPr>
        <sz val="11"/>
        <rFont val="DejaVu Sans"/>
        <family val="2"/>
      </rPr>
      <t xml:space="preserve">若跌破</t>
    </r>
    <r>
      <rPr>
        <sz val="11"/>
        <rFont val="DejaVu Sans"/>
        <family val="2"/>
        <charset val="1"/>
      </rPr>
      <t xml:space="preserve">8.44</t>
    </r>
    <r>
      <rPr>
        <sz val="11"/>
        <rFont val="DejaVu Sans"/>
        <family val="2"/>
      </rPr>
      <t xml:space="preserve">止损</t>
    </r>
  </si>
  <si>
    <r>
      <rPr>
        <sz val="11"/>
        <rFont val="DejaVu Sans"/>
        <family val="2"/>
      </rPr>
      <t xml:space="preserve">接近成本价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弱势震荡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关注方向选择</t>
    </r>
  </si>
  <si>
    <r>
      <rPr>
        <b val="true"/>
        <sz val="11"/>
        <rFont val="DejaVu Sans"/>
        <family val="2"/>
      </rPr>
      <t xml:space="preserve">松芝</t>
    </r>
    <r>
      <rPr>
        <b val="true"/>
        <sz val="11"/>
        <rFont val="DejaVu Sans"/>
        <family val="2"/>
        <charset val="1"/>
      </rPr>
      <t xml:space="preserve">/</t>
    </r>
    <r>
      <rPr>
        <b val="true"/>
        <sz val="11"/>
        <rFont val="DejaVu Sans"/>
        <family val="2"/>
      </rPr>
      <t xml:space="preserve">三力士</t>
    </r>
    <r>
      <rPr>
        <b val="true"/>
        <sz val="11"/>
        <rFont val="DejaVu Sans"/>
        <family val="2"/>
        <charset val="1"/>
      </rPr>
      <t xml:space="preserve">/</t>
    </r>
    <r>
      <rPr>
        <b val="true"/>
        <sz val="11"/>
        <rFont val="DejaVu Sans"/>
        <family val="2"/>
      </rPr>
      <t xml:space="preserve">拱东</t>
    </r>
  </si>
  <si>
    <r>
      <rPr>
        <sz val="11"/>
        <rFont val="DejaVu Sans"/>
        <family val="2"/>
      </rPr>
      <t xml:space="preserve">三只浮盈标的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止损均未破</t>
    </r>
  </si>
  <si>
    <t xml:space="preserve">持有</t>
  </si>
  <si>
    <r>
      <rPr>
        <sz val="11"/>
        <rFont val="DejaVu Sans"/>
        <family val="2"/>
      </rPr>
      <t xml:space="preserve">松芝</t>
    </r>
    <r>
      <rPr>
        <sz val="11"/>
        <rFont val="DejaVu Sans"/>
        <family val="2"/>
        <charset val="1"/>
      </rPr>
      <t xml:space="preserve">+2.7% </t>
    </r>
    <r>
      <rPr>
        <sz val="11"/>
        <rFont val="DejaVu Sans"/>
        <family val="2"/>
      </rPr>
      <t xml:space="preserve">三力士</t>
    </r>
    <r>
      <rPr>
        <sz val="11"/>
        <rFont val="DejaVu Sans"/>
        <family val="2"/>
        <charset val="1"/>
      </rPr>
      <t xml:space="preserve">+3.1% </t>
    </r>
    <r>
      <rPr>
        <sz val="11"/>
        <rFont val="DejaVu Sans"/>
        <family val="2"/>
      </rPr>
      <t xml:space="preserve">拱东</t>
    </r>
    <r>
      <rPr>
        <sz val="11"/>
        <rFont val="DejaVu Sans"/>
        <family val="2"/>
        <charset val="1"/>
      </rPr>
      <t xml:space="preserve">+2.9%, </t>
    </r>
    <r>
      <rPr>
        <sz val="11"/>
        <rFont val="DejaVu Sans"/>
        <family val="2"/>
      </rPr>
      <t xml:space="preserve">止损线上移保护利润</t>
    </r>
  </si>
  <si>
    <r>
      <rPr>
        <b val="true"/>
        <sz val="11"/>
        <rFont val="Arial"/>
        <family val="0"/>
        <charset val="1"/>
      </rPr>
      <t xml:space="preserve">B.</t>
    </r>
    <r>
      <rPr>
        <b val="true"/>
        <sz val="11"/>
        <rFont val="DejaVu Sans"/>
        <family val="2"/>
      </rPr>
      <t xml:space="preserve">卖出信号</t>
    </r>
  </si>
  <si>
    <t xml:space="preserve">今日无持仓标的出现日线卖点</t>
  </si>
  <si>
    <t xml:space="preserve">无操作</t>
  </si>
  <si>
    <r>
      <rPr>
        <sz val="11"/>
        <rFont val="DejaVu Sans"/>
        <family val="2"/>
      </rPr>
      <t xml:space="preserve">持仓</t>
    </r>
    <r>
      <rPr>
        <sz val="11"/>
        <rFont val="DejaVu Sans"/>
        <family val="2"/>
        <charset val="1"/>
      </rPr>
      <t xml:space="preserve">6</t>
    </r>
    <r>
      <rPr>
        <sz val="11"/>
        <rFont val="DejaVu Sans"/>
        <family val="2"/>
      </rPr>
      <t xml:space="preserve">只均在止损线上方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无卖出信号</t>
    </r>
  </si>
  <si>
    <r>
      <rPr>
        <b val="true"/>
        <sz val="11"/>
        <rFont val="Arial"/>
        <family val="0"/>
        <charset val="1"/>
      </rPr>
      <t xml:space="preserve">C.</t>
    </r>
    <r>
      <rPr>
        <b val="true"/>
        <sz val="11"/>
        <rFont val="DejaVu Sans"/>
        <family val="2"/>
      </rPr>
      <t xml:space="preserve">买入</t>
    </r>
  </si>
  <si>
    <r>
      <rPr>
        <b val="true"/>
        <sz val="11"/>
        <rFont val="DejaVu Sans"/>
        <family val="2"/>
      </rPr>
      <t xml:space="preserve">台华新材</t>
    </r>
    <r>
      <rPr>
        <b val="true"/>
        <sz val="11"/>
        <rFont val="DejaVu Sans"/>
        <family val="2"/>
        <charset val="1"/>
      </rPr>
      <t xml:space="preserve">(603055)</t>
    </r>
  </si>
  <si>
    <r>
      <rPr>
        <sz val="11"/>
        <rFont val="DejaVu Sans"/>
        <family val="2"/>
      </rPr>
      <t xml:space="preserve">核心池 </t>
    </r>
    <r>
      <rPr>
        <sz val="11"/>
        <rFont val="DejaVu Sans"/>
        <family val="2"/>
        <charset val="1"/>
      </rPr>
      <t xml:space="preserve">| DL_P=0.96 ratio=19% | </t>
    </r>
    <r>
      <rPr>
        <sz val="11"/>
        <rFont val="DejaVu Sans"/>
        <family val="2"/>
      </rPr>
      <t xml:space="preserve">现价</t>
    </r>
    <r>
      <rPr>
        <sz val="11"/>
        <rFont val="DejaVu Sans"/>
        <family val="2"/>
        <charset val="1"/>
      </rPr>
      <t xml:space="preserve">¥8.30</t>
    </r>
  </si>
  <si>
    <r>
      <rPr>
        <sz val="11"/>
        <rFont val="DejaVu Sans"/>
        <family val="2"/>
      </rPr>
      <t xml:space="preserve">买入</t>
    </r>
    <r>
      <rPr>
        <sz val="11"/>
        <rFont val="DejaVu Sans"/>
        <family val="2"/>
        <charset val="1"/>
      </rPr>
      <t xml:space="preserve">100</t>
    </r>
    <r>
      <rPr>
        <sz val="11"/>
        <rFont val="DejaVu Sans"/>
        <family val="2"/>
      </rPr>
      <t xml:space="preserve">股</t>
    </r>
    <r>
      <rPr>
        <sz val="11"/>
        <rFont val="DejaVu Sans"/>
        <family val="2"/>
        <charset val="1"/>
      </rPr>
      <t xml:space="preserve">@8.30</t>
    </r>
  </si>
  <si>
    <t xml:space="preserve">待委托</t>
  </si>
  <si>
    <r>
      <rPr>
        <sz val="11"/>
        <rFont val="DejaVu Sans"/>
        <family val="2"/>
      </rPr>
      <t xml:space="preserve">若开盘跌破</t>
    </r>
    <r>
      <rPr>
        <sz val="11"/>
        <rFont val="DejaVu Sans"/>
        <family val="2"/>
        <charset val="1"/>
      </rPr>
      <t xml:space="preserve">7.83(</t>
    </r>
    <r>
      <rPr>
        <sz val="11"/>
        <rFont val="DejaVu Sans"/>
        <family val="2"/>
      </rPr>
      <t xml:space="preserve">买点低点</t>
    </r>
    <r>
      <rPr>
        <sz val="11"/>
        <rFont val="DejaVu Sans"/>
        <family val="2"/>
        <charset val="1"/>
      </rPr>
      <t xml:space="preserve">)</t>
    </r>
    <r>
      <rPr>
        <sz val="11"/>
        <rFont val="DejaVu Sans"/>
        <family val="2"/>
      </rPr>
      <t xml:space="preserve">放弃</t>
    </r>
  </si>
  <si>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手</t>
    </r>
    <r>
      <rPr>
        <sz val="11"/>
        <rFont val="Arial"/>
        <family val="0"/>
        <charset val="1"/>
      </rPr>
      <t xml:space="preserve">=¥830, </t>
    </r>
    <r>
      <rPr>
        <sz val="11"/>
        <rFont val="DejaVu Sans"/>
        <family val="2"/>
      </rPr>
      <t xml:space="preserve">加仓后仓位≈</t>
    </r>
    <r>
      <rPr>
        <sz val="11"/>
        <rFont val="Arial"/>
        <family val="0"/>
        <charset val="1"/>
      </rPr>
      <t xml:space="preserve">36.0%, </t>
    </r>
    <r>
      <rPr>
        <sz val="11"/>
        <rFont val="DejaVu Sans"/>
        <family val="2"/>
      </rPr>
      <t xml:space="preserve">总仓位仍在</t>
    </r>
    <r>
      <rPr>
        <sz val="11"/>
        <rFont val="Arial"/>
        <family val="0"/>
        <charset val="1"/>
      </rPr>
      <t xml:space="preserve">60%</t>
    </r>
    <r>
      <rPr>
        <sz val="11"/>
        <rFont val="DejaVu Sans"/>
        <family val="2"/>
      </rPr>
      <t xml:space="preserve">上限内</t>
    </r>
  </si>
  <si>
    <r>
      <rPr>
        <b val="true"/>
        <sz val="11"/>
        <rFont val="DejaVu Sans"/>
        <family val="2"/>
      </rPr>
      <t xml:space="preserve">日上集团</t>
    </r>
    <r>
      <rPr>
        <b val="true"/>
        <sz val="11"/>
        <rFont val="DejaVu Sans"/>
        <family val="2"/>
        <charset val="1"/>
      </rPr>
      <t xml:space="preserve">(002593)</t>
    </r>
  </si>
  <si>
    <r>
      <rPr>
        <sz val="11"/>
        <rFont val="DejaVu Sans"/>
        <family val="2"/>
      </rPr>
      <t xml:space="preserve">核心池 </t>
    </r>
    <r>
      <rPr>
        <sz val="11"/>
        <rFont val="DejaVu Sans"/>
        <family val="2"/>
        <charset val="1"/>
      </rPr>
      <t xml:space="preserve">| DL_P=0.94 ratio=19% | </t>
    </r>
    <r>
      <rPr>
        <sz val="11"/>
        <rFont val="DejaVu Sans"/>
        <family val="2"/>
      </rPr>
      <t xml:space="preserve">现价</t>
    </r>
    <r>
      <rPr>
        <sz val="11"/>
        <rFont val="DejaVu Sans"/>
        <family val="2"/>
        <charset val="1"/>
      </rPr>
      <t xml:space="preserve">¥4.18</t>
    </r>
  </si>
  <si>
    <r>
      <rPr>
        <sz val="11"/>
        <rFont val="DejaVu Sans"/>
        <family val="2"/>
      </rPr>
      <t xml:space="preserve">买入</t>
    </r>
    <r>
      <rPr>
        <sz val="11"/>
        <rFont val="DejaVu Sans"/>
        <family val="2"/>
        <charset val="1"/>
      </rPr>
      <t xml:space="preserve">200</t>
    </r>
    <r>
      <rPr>
        <sz val="11"/>
        <rFont val="DejaVu Sans"/>
        <family val="2"/>
      </rPr>
      <t xml:space="preserve">股</t>
    </r>
    <r>
      <rPr>
        <sz val="11"/>
        <rFont val="DejaVu Sans"/>
        <family val="2"/>
        <charset val="1"/>
      </rPr>
      <t xml:space="preserve">@4.18</t>
    </r>
  </si>
  <si>
    <r>
      <rPr>
        <sz val="11"/>
        <rFont val="DejaVu Sans"/>
        <family val="2"/>
      </rPr>
      <t xml:space="preserve">若开盘跌破</t>
    </r>
    <r>
      <rPr>
        <sz val="11"/>
        <rFont val="DejaVu Sans"/>
        <family val="2"/>
        <charset val="1"/>
      </rPr>
      <t xml:space="preserve">3.96(</t>
    </r>
    <r>
      <rPr>
        <sz val="11"/>
        <rFont val="DejaVu Sans"/>
        <family val="2"/>
      </rPr>
      <t xml:space="preserve">买点低点</t>
    </r>
    <r>
      <rPr>
        <sz val="11"/>
        <rFont val="DejaVu Sans"/>
        <family val="2"/>
        <charset val="1"/>
      </rPr>
      <t xml:space="preserve">)</t>
    </r>
    <r>
      <rPr>
        <sz val="11"/>
        <rFont val="DejaVu Sans"/>
        <family val="2"/>
      </rPr>
      <t xml:space="preserve">放弃</t>
    </r>
  </si>
  <si>
    <r>
      <rPr>
        <sz val="11"/>
        <rFont val="Arial"/>
        <family val="0"/>
        <charset val="1"/>
      </rPr>
      <t xml:space="preserve">2</t>
    </r>
    <r>
      <rPr>
        <sz val="11"/>
        <rFont val="DejaVu Sans"/>
        <family val="2"/>
      </rPr>
      <t xml:space="preserve">手</t>
    </r>
    <r>
      <rPr>
        <sz val="11"/>
        <rFont val="Arial"/>
        <family val="0"/>
        <charset val="1"/>
      </rPr>
      <t xml:space="preserve">=¥836, </t>
    </r>
    <r>
      <rPr>
        <sz val="11"/>
        <rFont val="DejaVu Sans"/>
        <family val="2"/>
      </rPr>
      <t xml:space="preserve">加仓后仓位≈</t>
    </r>
    <r>
      <rPr>
        <sz val="11"/>
        <rFont val="Arial"/>
        <family val="0"/>
        <charset val="1"/>
      </rPr>
      <t xml:space="preserve">36.4%</t>
    </r>
  </si>
  <si>
    <r>
      <rPr>
        <b val="true"/>
        <sz val="11"/>
        <rFont val="Arial"/>
        <family val="0"/>
        <charset val="1"/>
      </rPr>
      <t xml:space="preserve">D.</t>
    </r>
    <r>
      <rPr>
        <b val="true"/>
        <sz val="11"/>
        <rFont val="DejaVu Sans"/>
        <family val="2"/>
      </rPr>
      <t xml:space="preserve">持有</t>
    </r>
  </si>
  <si>
    <r>
      <rPr>
        <b val="true"/>
        <sz val="11"/>
        <rFont val="DejaVu Sans"/>
        <family val="2"/>
      </rPr>
      <t xml:space="preserve">拱东医疗</t>
    </r>
    <r>
      <rPr>
        <b val="true"/>
        <sz val="11"/>
        <rFont val="DejaVu Sans"/>
        <family val="2"/>
        <charset val="1"/>
      </rPr>
      <t xml:space="preserve">(605369)</t>
    </r>
  </si>
  <si>
    <r>
      <rPr>
        <sz val="11"/>
        <rFont val="DejaVu Sans"/>
        <family val="2"/>
      </rPr>
      <t xml:space="preserve">浮盈</t>
    </r>
    <r>
      <rPr>
        <sz val="11"/>
        <rFont val="DejaVu Sans"/>
        <family val="2"/>
        <charset val="1"/>
      </rPr>
      <t xml:space="preserve">+2.9% | </t>
    </r>
    <r>
      <rPr>
        <sz val="11"/>
        <rFont val="DejaVu Sans"/>
        <family val="2"/>
      </rPr>
      <t xml:space="preserve">仓位</t>
    </r>
    <r>
      <rPr>
        <sz val="11"/>
        <rFont val="DejaVu Sans"/>
        <family val="2"/>
        <charset val="1"/>
      </rPr>
      <t xml:space="preserve">14.93% | </t>
    </r>
    <r>
      <rPr>
        <sz val="11"/>
        <rFont val="DejaVu Sans"/>
        <family val="2"/>
      </rPr>
      <t xml:space="preserve">接近单股上限</t>
    </r>
    <r>
      <rPr>
        <sz val="11"/>
        <rFont val="DejaVu Sans"/>
        <family val="2"/>
        <charset val="1"/>
      </rPr>
      <t xml:space="preserve">25%</t>
    </r>
  </si>
  <si>
    <r>
      <rPr>
        <sz val="11"/>
        <rFont val="DejaVu Sans"/>
        <family val="2"/>
      </rPr>
      <t xml:space="preserve">持有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不加仓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</si>
  <si>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仓位占比最高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浮盈保护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止损上移至</t>
    </r>
    <r>
      <rPr>
        <sz val="11"/>
        <rFont val="DejaVu Sans"/>
        <family val="2"/>
        <charset val="1"/>
      </rPr>
      <t xml:space="preserve">14.10</t>
    </r>
  </si>
  <si>
    <r>
      <rPr>
        <b val="true"/>
        <sz val="11"/>
        <rFont val="DejaVu Sans"/>
        <family val="2"/>
      </rPr>
      <t xml:space="preserve">松芝股份</t>
    </r>
    <r>
      <rPr>
        <b val="true"/>
        <sz val="11"/>
        <rFont val="DejaVu Sans"/>
        <family val="2"/>
        <charset val="1"/>
      </rPr>
      <t xml:space="preserve">(002454)</t>
    </r>
  </si>
  <si>
    <r>
      <rPr>
        <sz val="11"/>
        <rFont val="DejaVu Sans"/>
        <family val="2"/>
      </rPr>
      <t xml:space="preserve">浮盈</t>
    </r>
    <r>
      <rPr>
        <sz val="11"/>
        <rFont val="DejaVu Sans"/>
        <family val="2"/>
        <charset val="1"/>
      </rPr>
      <t xml:space="preserve">+2.7% | </t>
    </r>
    <r>
      <rPr>
        <sz val="11"/>
        <rFont val="DejaVu Sans"/>
        <family val="2"/>
      </rPr>
      <t xml:space="preserve">仓位</t>
    </r>
    <r>
      <rPr>
        <sz val="11"/>
        <rFont val="DejaVu Sans"/>
        <family val="2"/>
        <charset val="1"/>
      </rPr>
      <t xml:space="preserve">8.93%</t>
    </r>
  </si>
  <si>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4.227, </t>
    </r>
    <r>
      <rPr>
        <sz val="11"/>
        <rFont val="DejaVu Sans"/>
        <family val="2"/>
      </rPr>
      <t xml:space="preserve">现价</t>
    </r>
    <r>
      <rPr>
        <sz val="11"/>
        <rFont val="DejaVu Sans"/>
        <family val="2"/>
        <charset val="1"/>
      </rPr>
      <t xml:space="preserve">4.72&gt;</t>
    </r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浮盈保护</t>
    </r>
  </si>
  <si>
    <r>
      <rPr>
        <b val="true"/>
        <sz val="11"/>
        <rFont val="DejaVu Sans"/>
        <family val="2"/>
      </rPr>
      <t xml:space="preserve">三力士</t>
    </r>
    <r>
      <rPr>
        <b val="true"/>
        <sz val="11"/>
        <rFont val="DejaVu Sans"/>
        <family val="2"/>
        <charset val="1"/>
      </rPr>
      <t xml:space="preserve">(002224)</t>
    </r>
  </si>
  <si>
    <r>
      <rPr>
        <sz val="11"/>
        <rFont val="DejaVu Sans"/>
        <family val="2"/>
      </rPr>
      <t xml:space="preserve">浮盈</t>
    </r>
    <r>
      <rPr>
        <sz val="11"/>
        <rFont val="DejaVu Sans"/>
        <family val="2"/>
        <charset val="1"/>
      </rPr>
      <t xml:space="preserve">+3.1% | </t>
    </r>
    <r>
      <rPr>
        <sz val="11"/>
        <rFont val="DejaVu Sans"/>
        <family val="2"/>
      </rPr>
      <t xml:space="preserve">仓位</t>
    </r>
    <r>
      <rPr>
        <sz val="11"/>
        <rFont val="DejaVu Sans"/>
        <family val="2"/>
        <charset val="1"/>
      </rPr>
      <t xml:space="preserve">4.81%</t>
    </r>
  </si>
  <si>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3.024, </t>
    </r>
    <r>
      <rPr>
        <sz val="11"/>
        <rFont val="DejaVu Sans"/>
        <family val="2"/>
      </rPr>
      <t xml:space="preserve">现价</t>
    </r>
    <r>
      <rPr>
        <sz val="11"/>
        <rFont val="DejaVu Sans"/>
        <family val="2"/>
        <charset val="1"/>
      </rPr>
      <t xml:space="preserve">3.39&gt;</t>
    </r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浮盈保护</t>
    </r>
  </si>
  <si>
    <r>
      <rPr>
        <b val="true"/>
        <sz val="11"/>
        <rFont val="Arial"/>
        <family val="0"/>
        <charset val="1"/>
      </rPr>
      <t xml:space="preserve">E.</t>
    </r>
    <r>
      <rPr>
        <b val="true"/>
        <sz val="11"/>
        <rFont val="DejaVu Sans"/>
        <family val="2"/>
      </rPr>
      <t xml:space="preserve">资金</t>
    </r>
  </si>
  <si>
    <t xml:space="preserve">买入冻结</t>
  </si>
  <si>
    <r>
      <rPr>
        <sz val="11"/>
        <rFont val="DejaVu Sans"/>
        <family val="2"/>
      </rPr>
      <t xml:space="preserve">台华</t>
    </r>
    <r>
      <rPr>
        <sz val="11"/>
        <rFont val="DejaVu Sans"/>
        <family val="2"/>
        <charset val="1"/>
      </rPr>
      <t xml:space="preserve">¥830 + </t>
    </r>
    <r>
      <rPr>
        <sz val="11"/>
        <rFont val="DejaVu Sans"/>
        <family val="2"/>
      </rPr>
      <t xml:space="preserve">日上</t>
    </r>
    <r>
      <rPr>
        <sz val="11"/>
        <rFont val="DejaVu Sans"/>
        <family val="2"/>
        <charset val="1"/>
      </rPr>
      <t xml:space="preserve">¥836</t>
    </r>
  </si>
  <si>
    <t xml:space="preserve">-¥1666</t>
  </si>
  <si>
    <r>
      <rPr>
        <sz val="11"/>
        <rFont val="DejaVu Sans"/>
        <family val="2"/>
      </rPr>
      <t xml:space="preserve">两笔买入共冻结</t>
    </r>
    <r>
      <rPr>
        <sz val="11"/>
        <rFont val="DejaVu Sans"/>
        <family val="2"/>
        <charset val="1"/>
      </rPr>
      <t xml:space="preserve">¥1666</t>
    </r>
  </si>
  <si>
    <t xml:space="preserve">成交后现金</t>
  </si>
  <si>
    <t xml:space="preserve">13615.56 - 1666</t>
  </si>
  <si>
    <t xml:space="preserve">¥11,949.56</t>
  </si>
  <si>
    <r>
      <rPr>
        <sz val="11"/>
        <rFont val="DejaVu Sans"/>
        <family val="2"/>
      </rPr>
      <t xml:space="preserve">现金充裕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保留应急资金</t>
    </r>
  </si>
  <si>
    <r>
      <rPr>
        <b val="true"/>
        <sz val="11"/>
        <rFont val="Arial"/>
        <family val="0"/>
        <charset val="1"/>
      </rPr>
      <t xml:space="preserve">E.</t>
    </r>
    <r>
      <rPr>
        <b val="true"/>
        <sz val="11"/>
        <rFont val="DejaVu Sans"/>
        <family val="2"/>
      </rPr>
      <t xml:space="preserve">仓位</t>
    </r>
  </si>
  <si>
    <t xml:space="preserve">成交后仓位</t>
  </si>
  <si>
    <r>
      <rPr>
        <sz val="11"/>
        <rFont val="DejaVu Sans"/>
        <family val="2"/>
      </rPr>
      <t xml:space="preserve">持仓</t>
    </r>
    <r>
      <rPr>
        <sz val="11"/>
        <rFont val="DejaVu Sans"/>
        <family val="2"/>
        <charset val="1"/>
      </rPr>
      <t xml:space="preserve">9193/</t>
    </r>
    <r>
      <rPr>
        <sz val="11"/>
        <rFont val="DejaVu Sans"/>
        <family val="2"/>
      </rPr>
      <t xml:space="preserve">总资产</t>
    </r>
    <r>
      <rPr>
        <sz val="11"/>
        <rFont val="DejaVu Sans"/>
        <family val="2"/>
        <charset val="1"/>
      </rPr>
      <t xml:space="preserve">21142</t>
    </r>
  </si>
  <si>
    <t xml:space="preserve">43.5%</t>
  </si>
  <si>
    <r>
      <rPr>
        <sz val="11"/>
        <rFont val="DejaVu Sans"/>
        <family val="2"/>
      </rPr>
      <t xml:space="preserve">加仓后</t>
    </r>
    <r>
      <rPr>
        <sz val="11"/>
        <rFont val="DejaVu Sans"/>
        <family val="2"/>
        <charset val="1"/>
      </rPr>
      <t xml:space="preserve">43.5%, </t>
    </r>
    <r>
      <rPr>
        <sz val="11"/>
        <rFont val="DejaVu Sans"/>
        <family val="2"/>
      </rPr>
      <t xml:space="preserve">仍在</t>
    </r>
    <r>
      <rPr>
        <sz val="11"/>
        <rFont val="DejaVu Sans"/>
        <family val="2"/>
        <charset val="1"/>
      </rPr>
      <t xml:space="preserve">60%</t>
    </r>
    <r>
      <rPr>
        <sz val="11"/>
        <rFont val="DejaVu Sans"/>
        <family val="2"/>
      </rPr>
      <t xml:space="preserve">上限内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余量充足</t>
    </r>
  </si>
  <si>
    <r>
      <rPr>
        <b val="true"/>
        <sz val="11"/>
        <rFont val="Arial"/>
        <family val="0"/>
        <charset val="1"/>
      </rPr>
      <t xml:space="preserve">F.</t>
    </r>
    <r>
      <rPr>
        <b val="true"/>
        <sz val="11"/>
        <rFont val="DejaVu Sans"/>
        <family val="2"/>
      </rPr>
      <t xml:space="preserve">风控</t>
    </r>
  </si>
  <si>
    <t xml:space="preserve">总仓位上限</t>
  </si>
  <si>
    <r>
      <rPr>
        <sz val="11"/>
        <rFont val="DejaVu Sans"/>
        <family val="2"/>
      </rPr>
      <t xml:space="preserve">账户阶段</t>
    </r>
    <r>
      <rPr>
        <sz val="11"/>
        <rFont val="DejaVu Sans"/>
        <family val="2"/>
        <charset val="1"/>
      </rPr>
      <t xml:space="preserve">=</t>
    </r>
    <r>
      <rPr>
        <sz val="11"/>
        <rFont val="DejaVu Sans"/>
        <family val="2"/>
      </rPr>
      <t xml:space="preserve">婴儿→幼儿 </t>
    </r>
    <r>
      <rPr>
        <sz val="11"/>
        <rFont val="DejaVu Sans"/>
        <family val="2"/>
        <charset val="1"/>
      </rPr>
      <t xml:space="preserve">| </t>
    </r>
    <r>
      <rPr>
        <sz val="11"/>
        <rFont val="DejaVu Sans"/>
        <family val="2"/>
      </rPr>
      <t xml:space="preserve">上限</t>
    </r>
    <r>
      <rPr>
        <sz val="11"/>
        <rFont val="DejaVu Sans"/>
        <family val="2"/>
        <charset val="1"/>
      </rPr>
      <t xml:space="preserve">60%</t>
    </r>
  </si>
  <si>
    <t xml:space="preserve">43.5% &lt; 60%</t>
  </si>
  <si>
    <r>
      <rPr>
        <sz val="11"/>
        <rFont val="DejaVu Sans"/>
        <family val="2"/>
      </rPr>
      <t xml:space="preserve">当前</t>
    </r>
    <r>
      <rPr>
        <sz val="11"/>
        <rFont val="DejaVu Sans"/>
        <family val="2"/>
        <charset val="1"/>
      </rPr>
      <t xml:space="preserve">43.5%, </t>
    </r>
    <r>
      <rPr>
        <sz val="11"/>
        <rFont val="DejaVu Sans"/>
        <family val="2"/>
      </rPr>
      <t xml:space="preserve">距上限还有</t>
    </r>
    <r>
      <rPr>
        <sz val="11"/>
        <rFont val="DejaVu Sans"/>
        <family val="2"/>
        <charset val="1"/>
      </rPr>
      <t xml:space="preserve">16.5%</t>
    </r>
  </si>
  <si>
    <t xml:space="preserve">单股上限</t>
  </si>
  <si>
    <t xml:space="preserve">25%</t>
  </si>
  <si>
    <r>
      <rPr>
        <sz val="11"/>
        <rFont val="DejaVu Sans"/>
        <family val="2"/>
      </rPr>
      <t xml:space="preserve">最大持仓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拱东</t>
    </r>
    <r>
      <rPr>
        <sz val="11"/>
        <rFont val="DejaVu Sans"/>
        <family val="2"/>
        <charset val="1"/>
      </rPr>
      <t xml:space="preserve">14.93%, </t>
    </r>
    <r>
      <rPr>
        <sz val="11"/>
        <rFont val="DejaVu Sans"/>
        <family val="2"/>
      </rPr>
      <t xml:space="preserve">合规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加仓后台华</t>
    </r>
    <r>
      <rPr>
        <sz val="11"/>
        <rFont val="DejaVu Sans"/>
        <family val="2"/>
        <charset val="1"/>
      </rPr>
      <t xml:space="preserve">3.9% </t>
    </r>
    <r>
      <rPr>
        <sz val="11"/>
        <rFont val="DejaVu Sans"/>
        <family val="2"/>
      </rPr>
      <t xml:space="preserve">日上</t>
    </r>
    <r>
      <rPr>
        <sz val="11"/>
        <rFont val="DejaVu Sans"/>
        <family val="2"/>
        <charset val="1"/>
      </rPr>
      <t xml:space="preserve">4.0%</t>
    </r>
  </si>
  <si>
    <t xml:space="preserve">止损纪律</t>
  </si>
  <si>
    <t xml:space="preserve">新买入标的需设止损</t>
  </si>
  <si>
    <t xml:space="preserve">开盘设置</t>
  </si>
  <si>
    <r>
      <rPr>
        <sz val="11"/>
        <rFont val="DejaVu Sans"/>
        <family val="2"/>
      </rPr>
      <t xml:space="preserve">台华止损</t>
    </r>
    <r>
      <rPr>
        <sz val="11"/>
        <rFont val="DejaVu Sans"/>
        <family val="2"/>
        <charset val="1"/>
      </rPr>
      <t xml:space="preserve">7.83(</t>
    </r>
    <r>
      <rPr>
        <sz val="11"/>
        <rFont val="DejaVu Sans"/>
        <family val="2"/>
      </rPr>
      <t xml:space="preserve">买点低点</t>
    </r>
    <r>
      <rPr>
        <sz val="11"/>
        <rFont val="DejaVu Sans"/>
        <family val="2"/>
        <charset val="1"/>
      </rPr>
      <t xml:space="preserve">) | </t>
    </r>
    <r>
      <rPr>
        <sz val="11"/>
        <rFont val="DejaVu Sans"/>
        <family val="2"/>
      </rPr>
      <t xml:space="preserve">日上止损</t>
    </r>
    <r>
      <rPr>
        <sz val="11"/>
        <rFont val="DejaVu Sans"/>
        <family val="2"/>
        <charset val="1"/>
      </rPr>
      <t xml:space="preserve">3.96(</t>
    </r>
    <r>
      <rPr>
        <sz val="11"/>
        <rFont val="DejaVu Sans"/>
        <family val="2"/>
      </rPr>
      <t xml:space="preserve">买点低点</t>
    </r>
    <r>
      <rPr>
        <sz val="11"/>
        <rFont val="DejaVu Sans"/>
        <family val="2"/>
        <charset val="1"/>
      </rPr>
      <t xml:space="preserve">)</t>
    </r>
  </si>
  <si>
    <t xml:space="preserve">候选池观察</t>
  </si>
  <si>
    <r>
      <rPr>
        <sz val="11"/>
        <rFont val="DejaVu Sans"/>
        <family val="2"/>
      </rPr>
      <t xml:space="preserve">观察池</t>
    </r>
    <r>
      <rPr>
        <sz val="11"/>
        <rFont val="DejaVu Sans"/>
        <family val="2"/>
        <charset val="1"/>
      </rPr>
      <t xml:space="preserve">+</t>
    </r>
    <r>
      <rPr>
        <sz val="11"/>
        <rFont val="DejaVu Sans"/>
        <family val="2"/>
      </rPr>
      <t xml:space="preserve">边缘池标的</t>
    </r>
  </si>
  <si>
    <t xml:space="preserve">仅观察</t>
  </si>
  <si>
    <r>
      <rPr>
        <sz val="11"/>
        <rFont val="DejaVu Sans"/>
        <family val="2"/>
      </rPr>
      <t xml:space="preserve">平安银行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观察池</t>
    </r>
    <r>
      <rPr>
        <sz val="11"/>
        <rFont val="DejaVu Sans"/>
        <family val="2"/>
        <charset val="1"/>
      </rPr>
      <t xml:space="preserve">) DL_P=0.88, </t>
    </r>
    <r>
      <rPr>
        <sz val="11"/>
        <rFont val="DejaVu Sans"/>
        <family val="2"/>
      </rPr>
      <t xml:space="preserve">待</t>
    </r>
    <r>
      <rPr>
        <sz val="11"/>
        <rFont val="DejaVu Sans"/>
        <family val="2"/>
        <charset val="1"/>
      </rPr>
      <t xml:space="preserve">DL_P</t>
    </r>
    <r>
      <rPr>
        <sz val="11"/>
        <rFont val="DejaVu Sans"/>
        <family val="2"/>
      </rPr>
      <t xml:space="preserve">升至</t>
    </r>
    <r>
      <rPr>
        <sz val="11"/>
        <rFont val="DejaVu Sans"/>
        <family val="2"/>
        <charset val="1"/>
      </rPr>
      <t xml:space="preserve">0.90+</t>
    </r>
    <r>
      <rPr>
        <sz val="11"/>
        <rFont val="DejaVu Sans"/>
        <family val="2"/>
      </rPr>
      <t xml:space="preserve">升入核心池后考虑</t>
    </r>
  </si>
  <si>
    <t xml:space="preserve">合规审查</t>
  </si>
  <si>
    <t xml:space="preserve">审查项</t>
  </si>
  <si>
    <t xml:space="preserve">检查内容</t>
  </si>
  <si>
    <t xml:space="preserve">结论</t>
  </si>
  <si>
    <t xml:space="preserve">处理动作</t>
  </si>
  <si>
    <t xml:space="preserve">严重度</t>
  </si>
  <si>
    <t xml:space="preserve">⚠️ 违规买入</t>
  </si>
  <si>
    <r>
      <rPr>
        <sz val="11"/>
        <rFont val="DejaVu Sans"/>
        <family val="2"/>
      </rPr>
      <t xml:space="preserve">沃华医药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买入</t>
    </r>
    <r>
      <rPr>
        <sz val="11"/>
        <rFont val="DejaVu Sans"/>
        <family val="2"/>
        <charset val="1"/>
      </rPr>
      <t xml:space="preserve">200</t>
    </r>
    <r>
      <rPr>
        <sz val="11"/>
        <rFont val="DejaVu Sans"/>
        <family val="2"/>
      </rPr>
      <t xml:space="preserve">股</t>
    </r>
    <r>
      <rPr>
        <sz val="11"/>
        <rFont val="DejaVu Sans"/>
        <family val="2"/>
        <charset val="1"/>
      </rPr>
      <t xml:space="preserve">@6.000)</t>
    </r>
  </si>
  <si>
    <r>
      <rPr>
        <sz val="11"/>
        <rFont val="DejaVu Sans"/>
        <family val="2"/>
      </rPr>
      <t xml:space="preserve">沃华医药不在候选池内</t>
    </r>
    <r>
      <rPr>
        <sz val="11"/>
        <rFont val="DejaVu Sans"/>
        <family val="2"/>
        <charset val="1"/>
      </rPr>
      <t xml:space="preserve">! </t>
    </r>
    <r>
      <rPr>
        <sz val="11"/>
        <rFont val="DejaVu Sans"/>
        <family val="2"/>
      </rPr>
      <t xml:space="preserve">候选池</t>
    </r>
    <r>
      <rPr>
        <sz val="11"/>
        <rFont val="DejaVu Sans"/>
        <family val="2"/>
        <charset val="1"/>
      </rPr>
      <t xml:space="preserve">5</t>
    </r>
    <r>
      <rPr>
        <sz val="11"/>
        <rFont val="DejaVu Sans"/>
        <family val="2"/>
      </rPr>
      <t xml:space="preserve">只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台华新材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日上集团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丽珠集团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中国平安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平安银行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未经系统筛选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无</t>
    </r>
    <r>
      <rPr>
        <sz val="11"/>
        <rFont val="DejaVu Sans"/>
        <family val="2"/>
        <charset val="1"/>
      </rPr>
      <t xml:space="preserve">DL_P/ratio</t>
    </r>
    <r>
      <rPr>
        <sz val="11"/>
        <rFont val="DejaVu Sans"/>
        <family val="2"/>
      </rPr>
      <t xml:space="preserve">数据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属随意买入</t>
    </r>
    <r>
      <rPr>
        <sz val="11"/>
        <rFont val="DejaVu Sans"/>
        <family val="2"/>
        <charset val="1"/>
      </rPr>
      <t xml:space="preserve">.</t>
    </r>
  </si>
  <si>
    <t xml:space="preserve">不通过</t>
  </si>
  <si>
    <t xml:space="preserve">建议撤单</t>
  </si>
  <si>
    <t xml:space="preserve">高</t>
  </si>
  <si>
    <t xml:space="preserve">⚠️ 违规卖出</t>
  </si>
  <si>
    <r>
      <rPr>
        <sz val="11"/>
        <rFont val="DejaVu Sans"/>
        <family val="2"/>
      </rPr>
      <t xml:space="preserve">三力士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卖出</t>
    </r>
    <r>
      <rPr>
        <sz val="11"/>
        <rFont val="DejaVu Sans"/>
        <family val="2"/>
        <charset val="1"/>
      </rPr>
      <t xml:space="preserve">300</t>
    </r>
    <r>
      <rPr>
        <sz val="11"/>
        <rFont val="DejaVu Sans"/>
        <family val="2"/>
      </rPr>
      <t xml:space="preserve">股</t>
    </r>
    <r>
      <rPr>
        <sz val="11"/>
        <rFont val="DejaVu Sans"/>
        <family val="2"/>
        <charset val="1"/>
      </rPr>
      <t xml:space="preserve">@3.380)</t>
    </r>
  </si>
  <si>
    <r>
      <rPr>
        <sz val="11"/>
        <rFont val="DejaVu Sans"/>
        <family val="2"/>
      </rPr>
      <t xml:space="preserve">执行清单计划为</t>
    </r>
    <r>
      <rPr>
        <sz val="11"/>
        <rFont val="DejaVu Sans"/>
        <family val="2"/>
        <charset val="1"/>
      </rPr>
      <t xml:space="preserve">"</t>
    </r>
    <r>
      <rPr>
        <sz val="11"/>
        <rFont val="DejaVu Sans"/>
        <family val="2"/>
      </rPr>
      <t xml:space="preserve">持有</t>
    </r>
    <r>
      <rPr>
        <sz val="11"/>
        <rFont val="DejaVu Sans"/>
        <family val="2"/>
        <charset val="1"/>
      </rPr>
      <t xml:space="preserve">", </t>
    </r>
    <r>
      <rPr>
        <sz val="11"/>
        <rFont val="DejaVu Sans"/>
        <family val="2"/>
      </rPr>
      <t xml:space="preserve">三力士浮盈</t>
    </r>
    <r>
      <rPr>
        <sz val="11"/>
        <rFont val="DejaVu Sans"/>
        <family val="2"/>
        <charset val="1"/>
      </rPr>
      <t xml:space="preserve">+3.14%, </t>
    </r>
    <r>
      <rPr>
        <sz val="11"/>
        <rFont val="DejaVu Sans"/>
        <family val="2"/>
      </rPr>
      <t xml:space="preserve">止损</t>
    </r>
    <r>
      <rPr>
        <sz val="11"/>
        <rFont val="DejaVu Sans"/>
        <family val="2"/>
        <charset val="1"/>
      </rPr>
      <t xml:space="preserve">3.024</t>
    </r>
    <r>
      <rPr>
        <sz val="11"/>
        <rFont val="DejaVu Sans"/>
        <family val="2"/>
      </rPr>
      <t xml:space="preserve">未破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但实际挂了全仓卖出单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与计划矛盾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可能是手动操作或误触</t>
    </r>
    <r>
      <rPr>
        <sz val="11"/>
        <rFont val="DejaVu Sans"/>
        <family val="2"/>
        <charset val="1"/>
      </rPr>
      <t xml:space="preserve">.</t>
    </r>
  </si>
  <si>
    <r>
      <rPr>
        <sz val="11"/>
        <rFont val="DejaVu Sans"/>
        <family val="2"/>
      </rPr>
      <t xml:space="preserve">建议撤单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除非有明确的日线卖点信号</t>
    </r>
  </si>
  <si>
    <t xml:space="preserve">中</t>
  </si>
  <si>
    <t xml:space="preserve">✓ 价格合规</t>
  </si>
  <si>
    <r>
      <rPr>
        <sz val="11"/>
        <rFont val="DejaVu Sans"/>
        <family val="2"/>
      </rPr>
      <t xml:space="preserve">台华新材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日上集团买入价</t>
    </r>
  </si>
  <si>
    <r>
      <rPr>
        <sz val="11"/>
        <rFont val="DejaVu Sans"/>
        <family val="2"/>
      </rPr>
      <t xml:space="preserve">计划价</t>
    </r>
    <r>
      <rPr>
        <sz val="11"/>
        <rFont val="DejaVu Sans"/>
        <family val="2"/>
        <charset val="1"/>
      </rPr>
      <t xml:space="preserve">8.30/4.18, </t>
    </r>
    <r>
      <rPr>
        <sz val="11"/>
        <rFont val="DejaVu Sans"/>
        <family val="2"/>
      </rPr>
      <t xml:space="preserve">实际委托</t>
    </r>
    <r>
      <rPr>
        <sz val="11"/>
        <rFont val="DejaVu Sans"/>
        <family val="2"/>
        <charset val="1"/>
      </rPr>
      <t xml:space="preserve">8.32/4.20, </t>
    </r>
    <r>
      <rPr>
        <sz val="11"/>
        <rFont val="DejaVu Sans"/>
        <family val="2"/>
      </rPr>
      <t xml:space="preserve">偏差</t>
    </r>
    <r>
      <rPr>
        <sz val="11"/>
        <rFont val="DejaVu Sans"/>
        <family val="2"/>
        <charset val="1"/>
      </rPr>
      <t xml:space="preserve">+0.02/+0.02, </t>
    </r>
    <r>
      <rPr>
        <sz val="11"/>
        <rFont val="DejaVu Sans"/>
        <family val="2"/>
      </rPr>
      <t xml:space="preserve">在正常盘口范围内</t>
    </r>
    <r>
      <rPr>
        <sz val="11"/>
        <rFont val="DejaVu Sans"/>
        <family val="2"/>
        <charset val="1"/>
      </rPr>
      <t xml:space="preserve">.</t>
    </r>
  </si>
  <si>
    <t xml:space="preserve">通过</t>
  </si>
  <si>
    <t xml:space="preserve">低</t>
  </si>
  <si>
    <t xml:space="preserve">✓ 仓位合规</t>
  </si>
  <si>
    <t xml:space="preserve">总仓位检查</t>
  </si>
  <si>
    <r>
      <rPr>
        <sz val="11"/>
        <rFont val="DejaVu Sans"/>
        <family val="2"/>
      </rPr>
      <t xml:space="preserve">当前仓位</t>
    </r>
    <r>
      <rPr>
        <sz val="11"/>
        <rFont val="DejaVu Sans"/>
        <family val="2"/>
        <charset val="1"/>
      </rPr>
      <t xml:space="preserve">35.6%, </t>
    </r>
    <r>
      <rPr>
        <sz val="11"/>
        <rFont val="DejaVu Sans"/>
        <family val="2"/>
      </rPr>
      <t xml:space="preserve">买入委托冻结</t>
    </r>
    <r>
      <rPr>
        <sz val="11"/>
        <rFont val="DejaVu Sans"/>
        <family val="2"/>
        <charset val="1"/>
      </rPr>
      <t xml:space="preserve">¥2,872, </t>
    </r>
    <r>
      <rPr>
        <sz val="11"/>
        <rFont val="DejaVu Sans"/>
        <family val="2"/>
      </rPr>
      <t xml:space="preserve">若全部成交仓位≈</t>
    </r>
    <r>
      <rPr>
        <sz val="11"/>
        <rFont val="DejaVu Sans"/>
        <family val="2"/>
        <charset val="1"/>
      </rPr>
      <t xml:space="preserve">49.2%, </t>
    </r>
    <r>
      <rPr>
        <sz val="11"/>
        <rFont val="DejaVu Sans"/>
        <family val="2"/>
      </rPr>
      <t xml:space="preserve">低于</t>
    </r>
    <r>
      <rPr>
        <sz val="11"/>
        <rFont val="DejaVu Sans"/>
        <family val="2"/>
        <charset val="1"/>
      </rPr>
      <t xml:space="preserve">60%</t>
    </r>
    <r>
      <rPr>
        <sz val="11"/>
        <rFont val="DejaVu Sans"/>
        <family val="2"/>
      </rPr>
      <t xml:space="preserve">上限</t>
    </r>
    <r>
      <rPr>
        <sz val="11"/>
        <rFont val="DejaVu Sans"/>
        <family val="2"/>
        <charset val="1"/>
      </rPr>
      <t xml:space="preserve">.</t>
    </r>
  </si>
  <si>
    <t xml:space="preserve">✓ 单股合规</t>
  </si>
  <si>
    <t xml:space="preserve">单股仓位上限</t>
  </si>
  <si>
    <r>
      <rPr>
        <sz val="11"/>
        <rFont val="DejaVu Sans"/>
        <family val="2"/>
      </rPr>
      <t xml:space="preserve">最大持仓拱东医疗</t>
    </r>
    <r>
      <rPr>
        <sz val="11"/>
        <rFont val="DejaVu Sans"/>
        <family val="2"/>
        <charset val="1"/>
      </rPr>
      <t xml:space="preserve">14.93%, </t>
    </r>
    <r>
      <rPr>
        <sz val="11"/>
        <rFont val="DejaVu Sans"/>
        <family val="2"/>
      </rPr>
      <t xml:space="preserve">低于</t>
    </r>
    <r>
      <rPr>
        <sz val="11"/>
        <rFont val="DejaVu Sans"/>
        <family val="2"/>
        <charset val="1"/>
      </rPr>
      <t xml:space="preserve">25%</t>
    </r>
    <r>
      <rPr>
        <sz val="11"/>
        <rFont val="DejaVu Sans"/>
        <family val="2"/>
      </rPr>
      <t xml:space="preserve">上限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其他标的均合规</t>
    </r>
    <r>
      <rPr>
        <sz val="11"/>
        <rFont val="DejaVu Sans"/>
        <family val="2"/>
        <charset val="1"/>
      </rPr>
      <t xml:space="preserve">.</t>
    </r>
  </si>
  <si>
    <t xml:space="preserve">✓ 止损合规</t>
  </si>
  <si>
    <t xml:space="preserve">持仓止损检查</t>
  </si>
  <si>
    <r>
      <rPr>
        <sz val="11"/>
        <rFont val="Arial"/>
        <family val="0"/>
        <charset val="1"/>
      </rPr>
      <t xml:space="preserve">5</t>
    </r>
    <r>
      <rPr>
        <sz val="11"/>
        <rFont val="DejaVu Sans"/>
        <family val="2"/>
      </rPr>
      <t xml:space="preserve">只持仓标的止损价均未破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东风</t>
    </r>
    <r>
      <rPr>
        <sz val="11"/>
        <rFont val="Arial"/>
        <family val="0"/>
        <charset val="1"/>
      </rPr>
      <t xml:space="preserve">5.49&gt;5.22(WAIVED), </t>
    </r>
    <r>
      <rPr>
        <sz val="11"/>
        <rFont val="DejaVu Sans"/>
        <family val="2"/>
      </rPr>
      <t xml:space="preserve">贵绳</t>
    </r>
    <r>
      <rPr>
        <sz val="11"/>
        <rFont val="Arial"/>
        <family val="0"/>
        <charset val="1"/>
      </rPr>
      <t xml:space="preserve">9.17&gt;8.44, </t>
    </r>
    <r>
      <rPr>
        <sz val="11"/>
        <rFont val="DejaVu Sans"/>
        <family val="2"/>
      </rPr>
      <t xml:space="preserve">松芝</t>
    </r>
    <r>
      <rPr>
        <sz val="11"/>
        <rFont val="Arial"/>
        <family val="0"/>
        <charset val="1"/>
      </rPr>
      <t xml:space="preserve">4.72&gt;4.23, </t>
    </r>
    <r>
      <rPr>
        <sz val="11"/>
        <rFont val="DejaVu Sans"/>
        <family val="2"/>
      </rPr>
      <t xml:space="preserve">三力士</t>
    </r>
    <r>
      <rPr>
        <sz val="11"/>
        <rFont val="Arial"/>
        <family val="0"/>
        <charset val="1"/>
      </rPr>
      <t xml:space="preserve">3.39&gt;3.02, </t>
    </r>
    <r>
      <rPr>
        <sz val="11"/>
        <rFont val="DejaVu Sans"/>
        <family val="2"/>
      </rPr>
      <t xml:space="preserve">拱东</t>
    </r>
    <r>
      <rPr>
        <sz val="11"/>
        <rFont val="Arial"/>
        <family val="0"/>
        <charset val="1"/>
      </rPr>
      <t xml:space="preserve">15.78&gt;14.10.</t>
    </r>
  </si>
  <si>
    <t xml:space="preserve">✓ 资产核对</t>
  </si>
  <si>
    <t xml:space="preserve">账户资产一致性</t>
  </si>
  <si>
    <r>
      <rPr>
        <sz val="11"/>
        <rFont val="Arial"/>
        <family val="0"/>
        <charset val="1"/>
      </rPr>
      <t xml:space="preserve">Excel</t>
    </r>
    <r>
      <rPr>
        <sz val="11"/>
        <rFont val="DejaVu Sans"/>
        <family val="2"/>
      </rPr>
      <t xml:space="preserve">总资产</t>
    </r>
    <r>
      <rPr>
        <sz val="11"/>
        <rFont val="Arial"/>
        <family val="0"/>
        <charset val="1"/>
      </rPr>
      <t xml:space="preserve">21,142.56 vs </t>
    </r>
    <r>
      <rPr>
        <sz val="11"/>
        <rFont val="DejaVu Sans"/>
        <family val="2"/>
      </rPr>
      <t xml:space="preserve">截图</t>
    </r>
    <r>
      <rPr>
        <sz val="11"/>
        <rFont val="Arial"/>
        <family val="0"/>
        <charset val="1"/>
      </rPr>
      <t xml:space="preserve">21,142.76, </t>
    </r>
    <r>
      <rPr>
        <sz val="11"/>
        <rFont val="DejaVu Sans"/>
        <family val="2"/>
      </rPr>
      <t xml:space="preserve">差异</t>
    </r>
    <r>
      <rPr>
        <sz val="11"/>
        <rFont val="Arial"/>
        <family val="0"/>
        <charset val="1"/>
      </rPr>
      <t xml:space="preserve">+0.20</t>
    </r>
    <r>
      <rPr>
        <sz val="11"/>
        <rFont val="DejaVu Sans"/>
        <family val="2"/>
      </rPr>
      <t xml:space="preserve">可忽略</t>
    </r>
    <r>
      <rPr>
        <sz val="11"/>
        <rFont val="Arial"/>
        <family val="0"/>
        <charset val="1"/>
      </rPr>
      <t xml:space="preserve">. </t>
    </r>
    <r>
      <rPr>
        <sz val="11"/>
        <rFont val="DejaVu Sans"/>
        <family val="2"/>
      </rPr>
      <t xml:space="preserve">可用现金从</t>
    </r>
    <r>
      <rPr>
        <sz val="11"/>
        <rFont val="Arial"/>
        <family val="0"/>
        <charset val="1"/>
      </rPr>
      <t xml:space="preserve">13,615</t>
    </r>
    <r>
      <rPr>
        <sz val="11"/>
        <rFont val="DejaVu Sans"/>
        <family val="2"/>
      </rPr>
      <t xml:space="preserve">降至</t>
    </r>
    <r>
      <rPr>
        <sz val="11"/>
        <rFont val="Arial"/>
        <family val="0"/>
        <charset val="1"/>
      </rPr>
      <t xml:space="preserve">10,740, </t>
    </r>
    <r>
      <rPr>
        <sz val="11"/>
        <rFont val="DejaVu Sans"/>
        <family val="2"/>
      </rPr>
      <t xml:space="preserve">减少</t>
    </r>
    <r>
      <rPr>
        <sz val="11"/>
        <rFont val="Arial"/>
        <family val="0"/>
        <charset val="1"/>
      </rPr>
      <t xml:space="preserve">2,875≈</t>
    </r>
    <r>
      <rPr>
        <sz val="11"/>
        <rFont val="DejaVu Sans"/>
        <family val="2"/>
      </rPr>
      <t xml:space="preserve">买入委托冻结</t>
    </r>
    <r>
      <rPr>
        <sz val="11"/>
        <rFont val="Arial"/>
        <family val="0"/>
        <charset val="1"/>
      </rPr>
      <t xml:space="preserve">2,872(</t>
    </r>
    <r>
      <rPr>
        <sz val="11"/>
        <rFont val="DejaVu Sans"/>
        <family val="2"/>
      </rPr>
      <t xml:space="preserve">含手续费</t>
    </r>
    <r>
      <rPr>
        <sz val="11"/>
        <rFont val="Arial"/>
        <family val="0"/>
        <charset val="1"/>
      </rPr>
      <t xml:space="preserve">).</t>
    </r>
  </si>
  <si>
    <t xml:space="preserve">ℹ️ 可用数量</t>
  </si>
  <si>
    <r>
      <rPr>
        <sz val="11"/>
        <rFont val="DejaVu Sans"/>
        <family val="2"/>
      </rPr>
      <t xml:space="preserve">三力士可用</t>
    </r>
    <r>
      <rPr>
        <sz val="11"/>
        <rFont val="DejaVu Sans"/>
        <family val="2"/>
        <charset val="1"/>
      </rPr>
      <t xml:space="preserve">=0</t>
    </r>
  </si>
  <si>
    <r>
      <rPr>
        <sz val="11"/>
        <rFont val="DejaVu Sans"/>
        <family val="2"/>
      </rPr>
      <t xml:space="preserve">三力士持仓</t>
    </r>
    <r>
      <rPr>
        <sz val="11"/>
        <rFont val="DejaVu Sans"/>
        <family val="2"/>
        <charset val="1"/>
      </rPr>
      <t xml:space="preserve">300</t>
    </r>
    <r>
      <rPr>
        <sz val="11"/>
        <rFont val="DejaVu Sans"/>
        <family val="2"/>
      </rPr>
      <t xml:space="preserve">股但可用</t>
    </r>
    <r>
      <rPr>
        <sz val="11"/>
        <rFont val="DejaVu Sans"/>
        <family val="2"/>
        <charset val="1"/>
      </rPr>
      <t xml:space="preserve">0, </t>
    </r>
    <r>
      <rPr>
        <sz val="11"/>
        <rFont val="DejaVu Sans"/>
        <family val="2"/>
      </rPr>
      <t xml:space="preserve">因挂了卖出</t>
    </r>
    <r>
      <rPr>
        <sz val="11"/>
        <rFont val="DejaVu Sans"/>
        <family val="2"/>
        <charset val="1"/>
      </rPr>
      <t xml:space="preserve">300</t>
    </r>
    <r>
      <rPr>
        <sz val="11"/>
        <rFont val="DejaVu Sans"/>
        <family val="2"/>
      </rPr>
      <t xml:space="preserve">股委托</t>
    </r>
    <r>
      <rPr>
        <sz val="11"/>
        <rFont val="DejaVu Sans"/>
        <family val="2"/>
        <charset val="1"/>
      </rPr>
      <t xml:space="preserve">. </t>
    </r>
    <r>
      <rPr>
        <sz val="11"/>
        <rFont val="DejaVu Sans"/>
        <family val="2"/>
      </rPr>
      <t xml:space="preserve">撤单后可用恢复</t>
    </r>
    <r>
      <rPr>
        <sz val="11"/>
        <rFont val="DejaVu Sans"/>
        <family val="2"/>
        <charset val="1"/>
      </rPr>
      <t xml:space="preserve">.</t>
    </r>
  </si>
  <si>
    <t xml:space="preserve">撤掉卖出单后恢复可用</t>
  </si>
  <si>
    <t xml:space="preserve">✓ 盈亏合理</t>
  </si>
  <si>
    <r>
      <rPr>
        <sz val="11"/>
        <rFont val="DejaVu Sans"/>
        <family val="2"/>
      </rPr>
      <t xml:space="preserve">当日盈亏</t>
    </r>
    <r>
      <rPr>
        <sz val="11"/>
        <rFont val="DejaVu Sans"/>
        <family val="2"/>
        <charset val="1"/>
      </rPr>
      <t xml:space="preserve">+49.02</t>
    </r>
  </si>
  <si>
    <r>
      <rPr>
        <sz val="11"/>
        <rFont val="DejaVu Sans"/>
        <family val="2"/>
      </rPr>
      <t xml:space="preserve">当日盈亏</t>
    </r>
    <r>
      <rPr>
        <sz val="11"/>
        <rFont val="DejaVu Sans"/>
        <family val="2"/>
        <charset val="1"/>
      </rPr>
      <t xml:space="preserve">+49.02</t>
    </r>
    <r>
      <rPr>
        <sz val="11"/>
        <rFont val="DejaVu Sans"/>
        <family val="2"/>
      </rPr>
      <t xml:space="preserve">元</t>
    </r>
    <r>
      <rPr>
        <sz val="11"/>
        <rFont val="DejaVu Sans"/>
        <family val="2"/>
        <charset val="1"/>
      </rPr>
      <t xml:space="preserve">(+0.23%), </t>
    </r>
    <r>
      <rPr>
        <sz val="11"/>
        <rFont val="DejaVu Sans"/>
        <family val="2"/>
      </rPr>
      <t xml:space="preserve">来自</t>
    </r>
    <r>
      <rPr>
        <sz val="11"/>
        <rFont val="DejaVu Sans"/>
        <family val="2"/>
        <charset val="1"/>
      </rPr>
      <t xml:space="preserve">4</t>
    </r>
    <r>
      <rPr>
        <sz val="11"/>
        <rFont val="DejaVu Sans"/>
        <family val="2"/>
      </rPr>
      <t xml:space="preserve">只浮盈标的的日内涨幅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金额合理</t>
    </r>
    <r>
      <rPr>
        <sz val="11"/>
        <rFont val="DejaVu Sans"/>
        <family val="2"/>
        <charset val="1"/>
      </rPr>
      <t xml:space="preserve">.</t>
    </r>
  </si>
  <si>
    <t xml:space="preserve">审查结论</t>
  </si>
  <si>
    <r>
      <rPr>
        <b val="true"/>
        <sz val="11"/>
        <rFont val="DejaVu Sans"/>
        <family val="2"/>
      </rPr>
      <t xml:space="preserve">发现</t>
    </r>
    <r>
      <rPr>
        <b val="true"/>
        <sz val="11"/>
        <rFont val="DejaVu Sans"/>
        <family val="2"/>
        <charset val="1"/>
      </rPr>
      <t xml:space="preserve">2</t>
    </r>
    <r>
      <rPr>
        <b val="true"/>
        <sz val="11"/>
        <rFont val="DejaVu Sans"/>
        <family val="2"/>
      </rPr>
      <t xml:space="preserve">项违规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沃华医药违规买入</t>
    </r>
    <r>
      <rPr>
        <b val="true"/>
        <sz val="11"/>
        <rFont val="DejaVu Sans"/>
        <family val="2"/>
        <charset val="1"/>
      </rPr>
      <t xml:space="preserve">+</t>
    </r>
    <r>
      <rPr>
        <b val="true"/>
        <sz val="11"/>
        <rFont val="DejaVu Sans"/>
        <family val="2"/>
      </rPr>
      <t xml:space="preserve">三力士违规卖出</t>
    </r>
    <r>
      <rPr>
        <b val="true"/>
        <sz val="11"/>
        <rFont val="DejaVu Sans"/>
        <family val="2"/>
        <charset val="1"/>
      </rPr>
      <t xml:space="preserve">), 7</t>
    </r>
    <r>
      <rPr>
        <b val="true"/>
        <sz val="11"/>
        <rFont val="DejaVu Sans"/>
        <family val="2"/>
      </rPr>
      <t xml:space="preserve">项合规通过</t>
    </r>
    <r>
      <rPr>
        <b val="true"/>
        <sz val="11"/>
        <rFont val="DejaVu Sans"/>
        <family val="2"/>
        <charset val="1"/>
      </rPr>
      <t xml:space="preserve">. </t>
    </r>
    <r>
      <rPr>
        <b val="true"/>
        <sz val="11"/>
        <rFont val="DejaVu Sans"/>
        <family val="2"/>
      </rPr>
      <t xml:space="preserve">建议立即撤掉沃华医药买入单和三力士卖出单</t>
    </r>
    <r>
      <rPr>
        <b val="true"/>
        <sz val="11"/>
        <rFont val="DejaVu Sans"/>
        <family val="2"/>
        <charset val="1"/>
      </rPr>
      <t xml:space="preserve">.</t>
    </r>
  </si>
  <si>
    <t xml:space="preserve">类型</t>
  </si>
  <si>
    <t xml:space="preserve">变量名</t>
  </si>
  <si>
    <r>
      <rPr>
        <b val="true"/>
        <sz val="11"/>
        <color rgb="FFFFFFFF"/>
        <rFont val="Cambria"/>
        <family val="0"/>
        <charset val="1"/>
      </rPr>
      <t xml:space="preserve">Excel</t>
    </r>
    <r>
      <rPr>
        <b val="true"/>
        <sz val="11"/>
        <color rgb="FFFFFFFF"/>
        <rFont val="DejaVu Sans"/>
        <family val="2"/>
      </rPr>
      <t xml:space="preserve">字段</t>
    </r>
  </si>
  <si>
    <t xml:space="preserve">计算方式</t>
  </si>
  <si>
    <t xml:space="preserve">触发阈值</t>
  </si>
  <si>
    <t xml:space="preserve">影响动作</t>
  </si>
  <si>
    <t xml:space="preserve">复盘频率</t>
  </si>
  <si>
    <t xml:space="preserve">生存变量</t>
  </si>
  <si>
    <t xml:space="preserve">MaxDrawdown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</si>
  <si>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最大回撤</t>
    </r>
  </si>
  <si>
    <t xml:space="preserve">(TotalAsset-PeakAsset)/PeakAsset</t>
  </si>
  <si>
    <t xml:space="preserve">&lt;=-10%, &lt;=-15%</t>
  </si>
  <si>
    <r>
      <rPr>
        <sz val="11"/>
        <color rgb="FF1F4E79"/>
        <rFont val="DejaVu Sans"/>
        <family val="2"/>
      </rPr>
      <t xml:space="preserve">降总仓位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禁止新买入</t>
    </r>
  </si>
  <si>
    <r>
      <rPr>
        <sz val="11"/>
        <color rgb="FF1F4E79"/>
        <rFont val="DejaVu Sans"/>
        <family val="2"/>
      </rPr>
      <t xml:space="preserve">每日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周复盘</t>
    </r>
  </si>
  <si>
    <t xml:space="preserve">决定系统是否降速</t>
  </si>
  <si>
    <t xml:space="preserve">单笔止损</t>
  </si>
  <si>
    <r>
      <rPr>
        <sz val="11"/>
        <color rgb="FF1F4E79"/>
        <rFont val="DejaVu Sans"/>
        <family val="2"/>
      </rPr>
      <t xml:space="preserve">持仓表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止损价</t>
    </r>
  </si>
  <si>
    <t xml:space="preserve">max(BuyPointLow*0.98, EntryPrice*0.92)</t>
  </si>
  <si>
    <t xml:space="preserve">Price&lt;=StopPrice</t>
  </si>
  <si>
    <t xml:space="preserve">次日卖出或立即卖出</t>
  </si>
  <si>
    <t xml:space="preserve">每日</t>
  </si>
  <si>
    <t xml:space="preserve">买前必须定义</t>
  </si>
  <si>
    <t xml:space="preserve">连续亏损</t>
  </si>
  <si>
    <r>
      <rPr>
        <sz val="11"/>
        <color rgb="FF1F4E79"/>
        <rFont val="DejaVu Sans"/>
        <family val="2"/>
      </rPr>
      <t xml:space="preserve">交易记录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结果分类</t>
    </r>
  </si>
  <si>
    <r>
      <rPr>
        <sz val="11"/>
        <color rgb="FF1F4E79"/>
        <rFont val="DejaVu Sans"/>
        <family val="2"/>
      </rPr>
      <t xml:space="preserve">近</t>
    </r>
    <r>
      <rPr>
        <sz val="11"/>
        <color rgb="FF1F4E79"/>
        <rFont val="DejaVu Sans"/>
        <family val="2"/>
        <charset val="1"/>
      </rPr>
      <t xml:space="preserve">5</t>
    </r>
    <r>
      <rPr>
        <sz val="11"/>
        <color rgb="FF1F4E79"/>
        <rFont val="DejaVu Sans"/>
        <family val="2"/>
      </rPr>
      <t xml:space="preserve">笔亏损数</t>
    </r>
  </si>
  <si>
    <r>
      <rPr>
        <sz val="11"/>
        <color rgb="FF1F4E79"/>
        <rFont val="Cambria"/>
        <family val="0"/>
        <charset val="1"/>
      </rPr>
      <t xml:space="preserve">&gt;=3</t>
    </r>
    <r>
      <rPr>
        <sz val="11"/>
        <color rgb="FF1F4E79"/>
        <rFont val="DejaVu Sans"/>
        <family val="2"/>
      </rPr>
      <t xml:space="preserve">笔</t>
    </r>
  </si>
  <si>
    <r>
      <rPr>
        <sz val="11"/>
        <color rgb="FF1F4E79"/>
        <rFont val="DejaVu Sans"/>
        <family val="2"/>
      </rPr>
      <t xml:space="preserve">暂停新开仓</t>
    </r>
    <r>
      <rPr>
        <sz val="11"/>
        <color rgb="FF1F4E79"/>
        <rFont val="DejaVu Sans"/>
        <family val="2"/>
        <charset val="1"/>
      </rPr>
      <t xml:space="preserve">5</t>
    </r>
    <r>
      <rPr>
        <sz val="11"/>
        <color rgb="FF1F4E79"/>
        <rFont val="DejaVu Sans"/>
        <family val="2"/>
      </rPr>
      <t xml:space="preserve">个交易日</t>
    </r>
  </si>
  <si>
    <t xml:space="preserve">每次成交后</t>
  </si>
  <si>
    <t xml:space="preserve">后续可扩展公式</t>
  </si>
  <si>
    <t xml:space="preserve">扩张变量</t>
  </si>
  <si>
    <t xml:space="preserve">赚钱效应分数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</si>
  <si>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赚钱效应分数</t>
    </r>
  </si>
  <si>
    <r>
      <rPr>
        <sz val="11"/>
        <color rgb="FF1F4E79"/>
        <rFont val="Cambria"/>
        <family val="0"/>
        <charset val="1"/>
      </rPr>
      <t xml:space="preserve">0-5</t>
    </r>
    <r>
      <rPr>
        <sz val="11"/>
        <color rgb="FF1F4E79"/>
        <rFont val="DejaVu Sans"/>
        <family val="2"/>
      </rPr>
      <t xml:space="preserve">分</t>
    </r>
  </si>
  <si>
    <t xml:space="preserve">&gt;=3</t>
  </si>
  <si>
    <r>
      <rPr>
        <sz val="11"/>
        <color rgb="FF1F4E79"/>
        <rFont val="DejaVu Sans"/>
        <family val="2"/>
      </rPr>
      <t xml:space="preserve">允许转入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扩大执行</t>
    </r>
  </si>
  <si>
    <t xml:space="preserve">周末</t>
  </si>
  <si>
    <t xml:space="preserve">强时按系数放大转入</t>
  </si>
  <si>
    <t xml:space="preserve">合规候选数量</t>
  </si>
  <si>
    <r>
      <rPr>
        <sz val="11"/>
        <color rgb="FF1F4E79"/>
        <rFont val="DejaVu Sans"/>
        <family val="2"/>
      </rPr>
      <t xml:space="preserve">候选池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最终是否可买</t>
    </r>
  </si>
  <si>
    <r>
      <rPr>
        <sz val="11"/>
        <color rgb="FF1F4E79"/>
        <rFont val="Cambria"/>
        <family val="0"/>
        <charset val="1"/>
      </rPr>
      <t xml:space="preserve">COUNTIF(...,"</t>
    </r>
    <r>
      <rPr>
        <sz val="11"/>
        <color rgb="FF1F4E79"/>
        <rFont val="DejaVu Sans"/>
        <family val="2"/>
      </rPr>
      <t xml:space="preserve">是</t>
    </r>
    <r>
      <rPr>
        <sz val="11"/>
        <color rgb="FF1F4E79"/>
        <rFont val="Cambria"/>
        <family val="0"/>
        <charset val="1"/>
      </rPr>
      <t xml:space="preserve">")</t>
    </r>
  </si>
  <si>
    <t xml:space="preserve">&gt;=1</t>
  </si>
  <si>
    <t xml:space="preserve">准备买入计划</t>
  </si>
  <si>
    <r>
      <rPr>
        <sz val="11"/>
        <color rgb="FF1F4E79"/>
        <rFont val="DejaVu Sans"/>
        <family val="2"/>
      </rPr>
      <t xml:space="preserve">周末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盘前</t>
    </r>
  </si>
  <si>
    <t xml:space="preserve">只统计规则通过标的</t>
  </si>
  <si>
    <t xml:space="preserve">收缩变量</t>
  </si>
  <si>
    <t xml:space="preserve">亏钱效应分数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</si>
  <si>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亏钱效应分数</t>
    </r>
  </si>
  <si>
    <r>
      <rPr>
        <sz val="11"/>
        <color rgb="FF1F4E79"/>
        <rFont val="Cambria"/>
        <family val="0"/>
        <charset val="1"/>
      </rPr>
      <t xml:space="preserve">0-6</t>
    </r>
    <r>
      <rPr>
        <sz val="11"/>
        <color rgb="FF1F4E79"/>
        <rFont val="DejaVu Sans"/>
        <family val="2"/>
      </rPr>
      <t xml:space="preserve">分</t>
    </r>
  </si>
  <si>
    <r>
      <rPr>
        <sz val="11"/>
        <color rgb="FF1F4E79"/>
        <rFont val="Cambria"/>
        <family val="0"/>
        <charset val="1"/>
      </rPr>
      <t xml:space="preserve">&gt;=3</t>
    </r>
    <r>
      <rPr>
        <sz val="11"/>
        <color rgb="FF1F4E79"/>
        <rFont val="DejaVu Sans"/>
        <family val="2"/>
      </rPr>
      <t xml:space="preserve">警戒</t>
    </r>
    <r>
      <rPr>
        <sz val="11"/>
        <color rgb="FF1F4E79"/>
        <rFont val="Cambria"/>
        <family val="0"/>
        <charset val="1"/>
      </rPr>
      <t xml:space="preserve">, &gt;=4</t>
    </r>
    <r>
      <rPr>
        <sz val="11"/>
        <color rgb="FF1F4E79"/>
        <rFont val="DejaVu Sans"/>
        <family val="2"/>
      </rPr>
      <t xml:space="preserve">防守</t>
    </r>
  </si>
  <si>
    <r>
      <rPr>
        <sz val="11"/>
        <color rgb="FF1F4E79"/>
        <rFont val="DejaVu Sans"/>
        <family val="2"/>
      </rPr>
      <t xml:space="preserve">暂停转入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提高现金</t>
    </r>
  </si>
  <si>
    <r>
      <rPr>
        <sz val="11"/>
        <color rgb="FF1F4E79"/>
        <rFont val="DejaVu Sans"/>
        <family val="2"/>
      </rPr>
      <t xml:space="preserve">每日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周末</t>
    </r>
  </si>
  <si>
    <t xml:space="preserve">优先级高于赚钱效应</t>
  </si>
  <si>
    <t xml:space="preserve">RiskWatch</t>
  </si>
  <si>
    <r>
      <rPr>
        <sz val="11"/>
        <color rgb="FF1F4E79"/>
        <rFont val="DejaVu Sans"/>
        <family val="2"/>
      </rPr>
      <t xml:space="preserve">持仓表</t>
    </r>
    <r>
      <rPr>
        <sz val="11"/>
        <color rgb="FF1F4E79"/>
        <rFont val="DejaVu Sans"/>
        <family val="2"/>
        <charset val="1"/>
      </rPr>
      <t xml:space="preserve">!RiskWatch</t>
    </r>
  </si>
  <si>
    <t xml:space="preserve">Close&lt;EntryPrice AND DL_P&lt;0.8</t>
  </si>
  <si>
    <t xml:space="preserve">True</t>
  </si>
  <si>
    <t xml:space="preserve">重点盯防</t>
  </si>
  <si>
    <t xml:space="preserve">观察不等于立即卖出</t>
  </si>
  <si>
    <t xml:space="preserve">仓位变量</t>
  </si>
  <si>
    <t xml:space="preserve">TotalPositionCap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</si>
  <si>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总仓位上限</t>
    </r>
  </si>
  <si>
    <r>
      <rPr>
        <sz val="11"/>
        <color rgb="FF1F4E79"/>
        <rFont val="DejaVu Sans"/>
        <family val="2"/>
      </rPr>
      <t xml:space="preserve">市场状态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信号等级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回撤保护</t>
    </r>
  </si>
  <si>
    <r>
      <rPr>
        <sz val="11"/>
        <color rgb="FF1F4E79"/>
        <rFont val="DejaVu Sans"/>
        <family val="2"/>
      </rPr>
      <t xml:space="preserve">最高</t>
    </r>
    <r>
      <rPr>
        <sz val="11"/>
        <color rgb="FF1F4E79"/>
        <rFont val="DejaVu Sans"/>
        <family val="2"/>
        <charset val="1"/>
      </rPr>
      <t xml:space="preserve">70%</t>
    </r>
  </si>
  <si>
    <t xml:space="preserve">限制新增买入</t>
  </si>
  <si>
    <t xml:space="preserve">周一盘前</t>
  </si>
  <si>
    <t xml:space="preserve">硬性仓位上限</t>
  </si>
  <si>
    <t xml:space="preserve">SingleStockCap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</si>
  <si>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单股上限</t>
    </r>
  </si>
  <si>
    <t xml:space="preserve">按总资产分档</t>
  </si>
  <si>
    <t xml:space="preserve">20%-35%</t>
  </si>
  <si>
    <t xml:space="preserve">限制单票暴露</t>
  </si>
  <si>
    <r>
      <rPr>
        <sz val="11"/>
        <color rgb="FF1F4E79"/>
        <rFont val="DejaVu Sans"/>
        <family val="2"/>
      </rPr>
      <t xml:space="preserve">非</t>
    </r>
    <r>
      <rPr>
        <sz val="11"/>
        <color rgb="FF1F4E79"/>
        <rFont val="DejaVu Sans"/>
        <family val="2"/>
        <charset val="1"/>
      </rPr>
      <t xml:space="preserve">WAIVED</t>
    </r>
    <r>
      <rPr>
        <sz val="11"/>
        <color rgb="FF1F4E79"/>
        <rFont val="DejaVu Sans"/>
        <family val="2"/>
      </rPr>
      <t xml:space="preserve">适用</t>
    </r>
  </si>
  <si>
    <t xml:space="preserve">MaxShares/MinShares</t>
  </si>
  <si>
    <r>
      <rPr>
        <sz val="11"/>
        <color rgb="FF1F4E79"/>
        <rFont val="DejaVu Sans"/>
        <family val="2"/>
      </rPr>
      <t xml:space="preserve">候选池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最大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最小可买股数</t>
    </r>
  </si>
  <si>
    <r>
      <rPr>
        <sz val="11"/>
        <color rgb="FF1F4E79"/>
        <rFont val="Cambria"/>
        <family val="0"/>
        <charset val="1"/>
      </rPr>
      <t xml:space="preserve">100</t>
    </r>
    <r>
      <rPr>
        <sz val="11"/>
        <color rgb="FF1F4E79"/>
        <rFont val="DejaVu Sans"/>
        <family val="2"/>
      </rPr>
      <t xml:space="preserve">股整数约束</t>
    </r>
  </si>
  <si>
    <t xml:space="preserve">Max&gt;=Min</t>
  </si>
  <si>
    <t xml:space="preserve">决定是否可落地交易</t>
  </si>
  <si>
    <t xml:space="preserve">盘前</t>
  </si>
  <si>
    <r>
      <rPr>
        <sz val="11"/>
        <color rgb="FF1F4E79"/>
        <rFont val="Cambria"/>
        <family val="0"/>
        <charset val="1"/>
      </rPr>
      <t xml:space="preserve">A</t>
    </r>
    <r>
      <rPr>
        <sz val="11"/>
        <color rgb="FF1F4E79"/>
        <rFont val="DejaVu Sans"/>
        <family val="2"/>
      </rPr>
      <t xml:space="preserve">股最小单位适配</t>
    </r>
  </si>
  <si>
    <t xml:space="preserve">执行变量</t>
  </si>
  <si>
    <t xml:space="preserve">NotChasing</t>
  </si>
  <si>
    <r>
      <rPr>
        <sz val="11"/>
        <color rgb="FF1F4E79"/>
        <rFont val="DejaVu Sans"/>
        <family val="2"/>
      </rPr>
      <t xml:space="preserve">候选池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是否未追价</t>
    </r>
  </si>
  <si>
    <t xml:space="preserve">Price&lt;=SignalPrice*1.02</t>
  </si>
  <si>
    <t xml:space="preserve">是</t>
  </si>
  <si>
    <t xml:space="preserve">禁止情绪追价</t>
  </si>
  <si>
    <r>
      <rPr>
        <sz val="11"/>
        <color rgb="FF1F4E79"/>
        <rFont val="DejaVu Sans"/>
        <family val="2"/>
      </rPr>
      <t xml:space="preserve">盘前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盘中</t>
    </r>
  </si>
  <si>
    <t xml:space="preserve">高开无回踩不买</t>
  </si>
  <si>
    <t xml:space="preserve">StopDefined</t>
  </si>
  <si>
    <r>
      <rPr>
        <sz val="11"/>
        <color rgb="FF1F4E79"/>
        <rFont val="DejaVu Sans"/>
        <family val="2"/>
      </rPr>
      <t xml:space="preserve">候选池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止损价</t>
    </r>
  </si>
  <si>
    <t xml:space="preserve">StopPrice&gt;0</t>
  </si>
  <si>
    <t xml:space="preserve">买入资格前提</t>
  </si>
  <si>
    <t xml:space="preserve">没有止损不买</t>
  </si>
  <si>
    <t xml:space="preserve">Buy</t>
  </si>
  <si>
    <r>
      <rPr>
        <sz val="11"/>
        <color rgb="FF1F4E79"/>
        <rFont val="DejaVu Sans"/>
        <family val="2"/>
      </rPr>
      <t xml:space="preserve">多条件</t>
    </r>
    <r>
      <rPr>
        <sz val="11"/>
        <color rgb="FF1F4E79"/>
        <rFont val="DejaVu Sans"/>
        <family val="2"/>
        <charset val="1"/>
      </rPr>
      <t xml:space="preserve">AND</t>
    </r>
  </si>
  <si>
    <t xml:space="preserve">允许下单</t>
  </si>
  <si>
    <r>
      <rPr>
        <sz val="11"/>
        <color rgb="FF1F4E79"/>
        <rFont val="DejaVu Sans"/>
        <family val="2"/>
      </rPr>
      <t xml:space="preserve">盘中只看是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否</t>
    </r>
  </si>
  <si>
    <t xml:space="preserve">复利变量</t>
  </si>
  <si>
    <t xml:space="preserve">初始本金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</si>
  <si>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初始本金</t>
    </r>
  </si>
  <si>
    <t xml:space="preserve">手工输入</t>
  </si>
  <si>
    <t xml:space="preserve">&gt;0</t>
  </si>
  <si>
    <t xml:space="preserve">复利基准</t>
  </si>
  <si>
    <t xml:space="preserve">首次入金时</t>
  </si>
  <si>
    <r>
      <rPr>
        <sz val="11"/>
        <color rgb="FF1F4E79"/>
        <rFont val="DejaVu Sans"/>
        <family val="2"/>
      </rPr>
      <t xml:space="preserve">只在</t>
    </r>
    <r>
      <rPr>
        <sz val="11"/>
        <color rgb="FF1F4E79"/>
        <rFont val="DejaVu Sans"/>
        <family val="2"/>
        <charset val="1"/>
      </rPr>
      <t xml:space="preserve">AA2</t>
    </r>
    <r>
      <rPr>
        <sz val="11"/>
        <color rgb="FF1F4E79"/>
        <rFont val="DejaVu Sans"/>
        <family val="2"/>
      </rPr>
      <t xml:space="preserve">输入一次</t>
    </r>
  </si>
  <si>
    <t xml:space="preserve">目标年化收益率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</si>
  <si>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目标年化收益率</t>
    </r>
  </si>
  <si>
    <r>
      <rPr>
        <sz val="11"/>
        <color rgb="FF1F4E79"/>
        <rFont val="DejaVu Sans"/>
        <family val="2"/>
      </rPr>
      <t xml:space="preserve">手工输入</t>
    </r>
    <r>
      <rPr>
        <sz val="11"/>
        <color rgb="FF1F4E79"/>
        <rFont val="DejaVu Sans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默认</t>
    </r>
    <r>
      <rPr>
        <sz val="11"/>
        <color rgb="FF1F4E79"/>
        <rFont val="DejaVu Sans"/>
        <family val="2"/>
        <charset val="1"/>
      </rPr>
      <t xml:space="preserve">30%)</t>
    </r>
  </si>
  <si>
    <t xml:space="preserve">0-100%</t>
  </si>
  <si>
    <t xml:space="preserve">复利目标</t>
  </si>
  <si>
    <t xml:space="preserve">可根据阶段调整</t>
  </si>
  <si>
    <t xml:space="preserve">目标超额转出比例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</si>
  <si>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!Y</t>
    </r>
    <r>
      <rPr>
        <sz val="11"/>
        <color rgb="FF1F4E79"/>
        <rFont val="DejaVu Sans"/>
        <family val="2"/>
      </rPr>
      <t xml:space="preserve">列转出系数</t>
    </r>
  </si>
  <si>
    <r>
      <rPr>
        <sz val="11"/>
        <color rgb="FF1F4E79"/>
        <rFont val="Cambria"/>
        <family val="0"/>
        <charset val="1"/>
      </rPr>
      <t xml:space="preserve">(</t>
    </r>
    <r>
      <rPr>
        <sz val="11"/>
        <color rgb="FF1F4E79"/>
        <rFont val="DejaVu Sans"/>
        <family val="2"/>
      </rPr>
      <t xml:space="preserve">总资产</t>
    </r>
    <r>
      <rPr>
        <sz val="11"/>
        <color rgb="FF1F4E79"/>
        <rFont val="Cambria"/>
        <family val="0"/>
        <charset val="1"/>
      </rPr>
      <t xml:space="preserve">-</t>
    </r>
    <r>
      <rPr>
        <sz val="11"/>
        <color rgb="FF1F4E79"/>
        <rFont val="DejaVu Sans"/>
        <family val="2"/>
      </rPr>
      <t xml:space="preserve">目标资产</t>
    </r>
    <r>
      <rPr>
        <sz val="11"/>
        <color rgb="FF1F4E79"/>
        <rFont val="Cambria"/>
        <family val="0"/>
        <charset val="1"/>
      </rPr>
      <t xml:space="preserve">)*30%</t>
    </r>
  </si>
  <si>
    <t xml:space="preserve">30%</t>
  </si>
  <si>
    <t xml:space="preserve">超目标后转出比例</t>
  </si>
  <si>
    <t xml:space="preserve">只有超过目标才转出</t>
  </si>
  <si>
    <t xml:space="preserve">复利偏离度</t>
  </si>
  <si>
    <r>
      <rPr>
        <sz val="11"/>
        <color rgb="FF1F4E79"/>
        <rFont val="DejaVu Sans"/>
        <family val="2"/>
      </rPr>
      <t xml:space="preserve">账户总表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复利偏离度</t>
    </r>
  </si>
  <si>
    <r>
      <rPr>
        <sz val="11"/>
        <color rgb="FF1F4E79"/>
        <rFont val="DejaVu Sans"/>
        <family val="2"/>
      </rPr>
      <t xml:space="preserve">总资产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目标资产</t>
    </r>
    <r>
      <rPr>
        <sz val="11"/>
        <color rgb="FF1F4E79"/>
        <rFont val="DejaVu Sans"/>
        <family val="2"/>
        <charset val="1"/>
      </rPr>
      <t xml:space="preserve">-1</t>
    </r>
  </si>
  <si>
    <r>
      <rPr>
        <sz val="11"/>
        <color rgb="FF1F4E79"/>
        <rFont val="Cambria"/>
        <family val="0"/>
        <charset val="1"/>
      </rPr>
      <t xml:space="preserve">&gt;=10%</t>
    </r>
    <r>
      <rPr>
        <sz val="11"/>
        <color rgb="FF1F4E79"/>
        <rFont val="DejaVu Sans"/>
        <family val="2"/>
      </rPr>
      <t xml:space="preserve">绿 </t>
    </r>
    <r>
      <rPr>
        <sz val="11"/>
        <color rgb="FF1F4E79"/>
        <rFont val="Cambria"/>
        <family val="0"/>
        <charset val="1"/>
      </rPr>
      <t xml:space="preserve">&gt;=0</t>
    </r>
    <r>
      <rPr>
        <sz val="11"/>
        <color rgb="FF1F4E79"/>
        <rFont val="DejaVu Sans"/>
        <family val="2"/>
      </rPr>
      <t xml:space="preserve">浅绿 </t>
    </r>
    <r>
      <rPr>
        <sz val="11"/>
        <color rgb="FF1F4E79"/>
        <rFont val="Cambria"/>
        <family val="0"/>
        <charset val="1"/>
      </rPr>
      <t xml:space="preserve">&lt;0</t>
    </r>
    <r>
      <rPr>
        <sz val="11"/>
        <color rgb="FF1F4E79"/>
        <rFont val="DejaVu Sans"/>
        <family val="2"/>
      </rPr>
      <t xml:space="preserve">黄 </t>
    </r>
    <r>
      <rPr>
        <sz val="11"/>
        <color rgb="FF1F4E79"/>
        <rFont val="Cambria"/>
        <family val="0"/>
        <charset val="1"/>
      </rPr>
      <t xml:space="preserve">&lt;-10%</t>
    </r>
    <r>
      <rPr>
        <sz val="11"/>
        <color rgb="FF1F4E79"/>
        <rFont val="DejaVu Sans"/>
        <family val="2"/>
      </rPr>
      <t xml:space="preserve">红</t>
    </r>
  </si>
  <si>
    <t xml:space="preserve">目标进度指示</t>
  </si>
  <si>
    <r>
      <rPr>
        <sz val="11"/>
        <color rgb="FF1F4E79"/>
        <rFont val="DejaVu Sans"/>
        <family val="2"/>
      </rPr>
      <t xml:space="preserve">绿</t>
    </r>
    <r>
      <rPr>
        <sz val="11"/>
        <color rgb="FF1F4E79"/>
        <rFont val="DejaVu Sans"/>
        <family val="2"/>
        <charset val="1"/>
      </rPr>
      <t xml:space="preserve">=</t>
    </r>
    <r>
      <rPr>
        <sz val="11"/>
        <color rgb="FF1F4E79"/>
        <rFont val="DejaVu Sans"/>
        <family val="2"/>
      </rPr>
      <t xml:space="preserve">跑赢 红</t>
    </r>
    <r>
      <rPr>
        <sz val="11"/>
        <color rgb="FF1F4E79"/>
        <rFont val="DejaVu Sans"/>
        <family val="2"/>
        <charset val="1"/>
      </rPr>
      <t xml:space="preserve">=</t>
    </r>
    <r>
      <rPr>
        <sz val="11"/>
        <color rgb="FF1F4E79"/>
        <rFont val="DejaVu Sans"/>
        <family val="2"/>
      </rPr>
      <t xml:space="preserve">落后</t>
    </r>
  </si>
  <si>
    <t xml:space="preserve">心态变量</t>
  </si>
  <si>
    <t xml:space="preserve">心态得分</t>
  </si>
  <si>
    <r>
      <rPr>
        <sz val="11"/>
        <color rgb="FF1F4E79"/>
        <rFont val="DejaVu Sans"/>
        <family val="2"/>
      </rPr>
      <t xml:space="preserve">心态日志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心态得分</t>
    </r>
  </si>
  <si>
    <r>
      <rPr>
        <sz val="11"/>
        <color rgb="FF1F4E79"/>
        <rFont val="Cambria"/>
        <family val="0"/>
        <charset val="1"/>
      </rPr>
      <t xml:space="preserve">0-100</t>
    </r>
    <r>
      <rPr>
        <sz val="11"/>
        <color rgb="FF1F4E79"/>
        <rFont val="DejaVu Sans"/>
        <family val="2"/>
      </rPr>
      <t xml:space="preserve">分，</t>
    </r>
    <r>
      <rPr>
        <sz val="11"/>
        <color rgb="FF1F4E79"/>
        <rFont val="Cambria"/>
        <family val="0"/>
        <charset val="1"/>
      </rPr>
      <t xml:space="preserve">5</t>
    </r>
    <r>
      <rPr>
        <sz val="11"/>
        <color rgb="FF1F4E79"/>
        <rFont val="DejaVu Sans"/>
        <family val="2"/>
      </rPr>
      <t xml:space="preserve">项各</t>
    </r>
    <r>
      <rPr>
        <sz val="11"/>
        <color rgb="FF1F4E79"/>
        <rFont val="Cambria"/>
        <family val="0"/>
        <charset val="1"/>
      </rPr>
      <t xml:space="preserve">20</t>
    </r>
    <r>
      <rPr>
        <sz val="11"/>
        <color rgb="FF1F4E79"/>
        <rFont val="DejaVu Sans"/>
        <family val="2"/>
      </rPr>
      <t xml:space="preserve">分</t>
    </r>
  </si>
  <si>
    <r>
      <rPr>
        <sz val="11"/>
        <color rgb="FF1F4E79"/>
        <rFont val="Cambria"/>
        <family val="0"/>
        <charset val="1"/>
      </rPr>
      <t xml:space="preserve">&gt;=80</t>
    </r>
    <r>
      <rPr>
        <sz val="11"/>
        <color rgb="FF1F4E79"/>
        <rFont val="DejaVu Sans"/>
        <family val="2"/>
      </rPr>
      <t xml:space="preserve">达标</t>
    </r>
  </si>
  <si>
    <r>
      <rPr>
        <sz val="11"/>
        <color rgb="FF1F4E79"/>
        <rFont val="DejaVu Sans"/>
        <family val="2"/>
      </rPr>
      <t xml:space="preserve">达标</t>
    </r>
    <r>
      <rPr>
        <sz val="11"/>
        <color rgb="FF1F4E79"/>
        <rFont val="DejaVu Sans"/>
        <family val="2"/>
        <charset val="1"/>
      </rPr>
      <t xml:space="preserve">=</t>
    </r>
    <r>
      <rPr>
        <sz val="11"/>
        <color rgb="FF1F4E79"/>
        <rFont val="DejaVu Sans"/>
        <family val="2"/>
      </rPr>
      <t xml:space="preserve">轻态化执行好</t>
    </r>
  </si>
  <si>
    <t xml:space="preserve">第四角指标</t>
  </si>
  <si>
    <t xml:space="preserve">轻态化达标</t>
  </si>
  <si>
    <r>
      <rPr>
        <sz val="11"/>
        <color rgb="FF1F4E79"/>
        <rFont val="DejaVu Sans"/>
        <family val="2"/>
      </rPr>
      <t xml:space="preserve">心态日志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轻态化达标</t>
    </r>
  </si>
  <si>
    <r>
      <rPr>
        <sz val="11"/>
        <color rgb="FF1F4E79"/>
        <rFont val="DejaVu Sans"/>
        <family val="2"/>
      </rPr>
      <t xml:space="preserve">得分</t>
    </r>
    <r>
      <rPr>
        <sz val="11"/>
        <color rgb="FF1F4E79"/>
        <rFont val="DejaVu Sans"/>
        <family val="2"/>
        <charset val="1"/>
      </rPr>
      <t xml:space="preserve">&gt;=80%</t>
    </r>
  </si>
  <si>
    <r>
      <rPr>
        <sz val="11"/>
        <color rgb="FF1F4E79"/>
        <rFont val="DejaVu Sans"/>
        <family val="2"/>
      </rPr>
      <t xml:space="preserve">达标天数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总天数</t>
    </r>
  </si>
  <si>
    <t xml:space="preserve">不达标需复盘原因</t>
  </si>
  <si>
    <t xml:space="preserve">每周</t>
  </si>
  <si>
    <t xml:space="preserve">趋势跟踪</t>
  </si>
  <si>
    <t xml:space="preserve">连续达标天数</t>
  </si>
  <si>
    <r>
      <rPr>
        <sz val="11"/>
        <color rgb="FF1F4E79"/>
        <rFont val="DejaVu Sans"/>
        <family val="2"/>
      </rPr>
      <t xml:space="preserve">心态日志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连续达标天数</t>
    </r>
  </si>
  <si>
    <t xml:space="preserve">连续达标记录</t>
  </si>
  <si>
    <r>
      <rPr>
        <sz val="11"/>
        <color rgb="FF1F4E79"/>
        <rFont val="Cambria"/>
        <family val="0"/>
        <charset val="1"/>
      </rPr>
      <t xml:space="preserve">&gt;=5</t>
    </r>
    <r>
      <rPr>
        <sz val="11"/>
        <color rgb="FF1F4E79"/>
        <rFont val="DejaVu Sans"/>
        <family val="2"/>
      </rPr>
      <t xml:space="preserve">天</t>
    </r>
    <r>
      <rPr>
        <sz val="11"/>
        <color rgb="FF1F4E79"/>
        <rFont val="Cambria"/>
        <family val="0"/>
        <charset val="1"/>
      </rPr>
      <t xml:space="preserve">=</t>
    </r>
    <r>
      <rPr>
        <sz val="11"/>
        <color rgb="FF1F4E79"/>
        <rFont val="DejaVu Sans"/>
        <family val="2"/>
      </rPr>
      <t xml:space="preserve">好习惯养成</t>
    </r>
  </si>
  <si>
    <t xml:space="preserve">中断时分析原因</t>
  </si>
  <si>
    <t xml:space="preserve">纪律性指标</t>
  </si>
  <si>
    <t xml:space="preserve">盘中看盘次数</t>
  </si>
  <si>
    <r>
      <rPr>
        <sz val="11"/>
        <color rgb="FF1F4E79"/>
        <rFont val="DejaVu Sans"/>
        <family val="2"/>
      </rPr>
      <t xml:space="preserve">心态日志</t>
    </r>
    <r>
      <rPr>
        <sz val="11"/>
        <color rgb="FF1F4E79"/>
        <rFont val="DejaVu Sans"/>
        <family val="2"/>
        <charset val="1"/>
      </rPr>
      <t xml:space="preserve">!</t>
    </r>
    <r>
      <rPr>
        <sz val="11"/>
        <color rgb="FF1F4E79"/>
        <rFont val="DejaVu Sans"/>
        <family val="2"/>
      </rPr>
      <t xml:space="preserve">盘中看盘次数</t>
    </r>
  </si>
  <si>
    <t xml:space="preserve">每日看盘次数</t>
  </si>
  <si>
    <r>
      <rPr>
        <sz val="11"/>
        <color rgb="FF1F4E79"/>
        <rFont val="Cambria"/>
        <family val="0"/>
        <charset val="1"/>
      </rPr>
      <t xml:space="preserve">0</t>
    </r>
    <r>
      <rPr>
        <sz val="11"/>
        <color rgb="FF1F4E79"/>
        <rFont val="DejaVu Sans"/>
        <family val="2"/>
      </rPr>
      <t xml:space="preserve">次</t>
    </r>
    <r>
      <rPr>
        <sz val="11"/>
        <color rgb="FF1F4E79"/>
        <rFont val="Cambria"/>
        <family val="0"/>
        <charset val="1"/>
      </rPr>
      <t xml:space="preserve">=</t>
    </r>
    <r>
      <rPr>
        <sz val="11"/>
        <color rgb="FF1F4E79"/>
        <rFont val="DejaVu Sans"/>
        <family val="2"/>
      </rPr>
      <t xml:space="preserve">满分</t>
    </r>
  </si>
  <si>
    <r>
      <rPr>
        <sz val="11"/>
        <color rgb="FF1F4E79"/>
        <rFont val="DejaVu Sans"/>
        <family val="2"/>
      </rPr>
      <t xml:space="preserve">目标逐步降至</t>
    </r>
    <r>
      <rPr>
        <sz val="11"/>
        <color rgb="FF1F4E79"/>
        <rFont val="DejaVu Sans"/>
        <family val="2"/>
        <charset val="1"/>
      </rPr>
      <t xml:space="preserve">0</t>
    </r>
    <r>
      <rPr>
        <sz val="11"/>
        <color rgb="FF1F4E79"/>
        <rFont val="DejaVu Sans"/>
        <family val="2"/>
      </rPr>
      <t xml:space="preserve">次</t>
    </r>
  </si>
  <si>
    <t xml:space="preserve">信息节食核心指标</t>
  </si>
  <si>
    <t xml:space="preserve">日期</t>
  </si>
  <si>
    <r>
      <rPr>
        <b val="true"/>
        <sz val="11"/>
        <color rgb="FFFFFFFF"/>
        <rFont val="DejaVu Sans"/>
        <family val="2"/>
      </rPr>
      <t xml:space="preserve">总资产 </t>
    </r>
    <r>
      <rPr>
        <b val="true"/>
        <sz val="11"/>
        <color rgb="FFFFFFFF"/>
        <rFont val="DejaVu Sans"/>
        <family val="2"/>
        <charset val="1"/>
      </rPr>
      <t xml:space="preserve">TotalAsset</t>
    </r>
  </si>
  <si>
    <r>
      <rPr>
        <b val="true"/>
        <sz val="11"/>
        <color rgb="FFFFFFFF"/>
        <rFont val="DejaVu Sans"/>
        <family val="2"/>
      </rPr>
      <t xml:space="preserve">可用现金 </t>
    </r>
    <r>
      <rPr>
        <b val="true"/>
        <sz val="11"/>
        <color rgb="FFFFFFFF"/>
        <rFont val="DejaVu Sans"/>
        <family val="2"/>
        <charset val="1"/>
      </rPr>
      <t xml:space="preserve">CashAvailable</t>
    </r>
  </si>
  <si>
    <t xml:space="preserve">持仓市值</t>
  </si>
  <si>
    <r>
      <rPr>
        <b val="true"/>
        <sz val="11"/>
        <color rgb="FFFFFFFF"/>
        <rFont val="DejaVu Sans"/>
        <family val="2"/>
      </rPr>
      <t xml:space="preserve">总仓位 </t>
    </r>
    <r>
      <rPr>
        <b val="true"/>
        <sz val="11"/>
        <color rgb="FFFFFFFF"/>
        <rFont val="DejaVu Sans"/>
        <family val="2"/>
        <charset val="1"/>
      </rPr>
      <t xml:space="preserve">TotalPositionRatio</t>
    </r>
  </si>
  <si>
    <r>
      <rPr>
        <b val="true"/>
        <sz val="11"/>
        <color rgb="FFFFFFFF"/>
        <rFont val="DejaVu Sans"/>
        <family val="2"/>
      </rPr>
      <t xml:space="preserve">净入金 </t>
    </r>
    <r>
      <rPr>
        <b val="true"/>
        <sz val="11"/>
        <color rgb="FFFFFFFF"/>
        <rFont val="DejaVu Sans"/>
        <family val="2"/>
        <charset val="1"/>
      </rPr>
      <t xml:space="preserve">NetDeposit</t>
    </r>
  </si>
  <si>
    <r>
      <rPr>
        <b val="true"/>
        <sz val="11"/>
        <color rgb="FFFFFFFF"/>
        <rFont val="DejaVu Sans"/>
        <family val="2"/>
      </rPr>
      <t xml:space="preserve">阶段高点资产 </t>
    </r>
    <r>
      <rPr>
        <b val="true"/>
        <sz val="11"/>
        <color rgb="FFFFFFFF"/>
        <rFont val="DejaVu Sans"/>
        <family val="2"/>
        <charset val="1"/>
      </rPr>
      <t xml:space="preserve">PeakAsset</t>
    </r>
  </si>
  <si>
    <r>
      <rPr>
        <b val="true"/>
        <sz val="11"/>
        <color rgb="FFFFFFFF"/>
        <rFont val="DejaVu Sans"/>
        <family val="2"/>
      </rPr>
      <t xml:space="preserve">账户收益率 </t>
    </r>
    <r>
      <rPr>
        <b val="true"/>
        <sz val="11"/>
        <color rgb="FFFFFFFF"/>
        <rFont val="DejaVu Sans"/>
        <family val="2"/>
        <charset val="1"/>
      </rPr>
      <t xml:space="preserve">AccountReturn</t>
    </r>
  </si>
  <si>
    <r>
      <rPr>
        <b val="true"/>
        <sz val="11"/>
        <color rgb="FFFFFFFF"/>
        <rFont val="DejaVu Sans"/>
        <family val="2"/>
      </rPr>
      <t xml:space="preserve">最大回撤 </t>
    </r>
    <r>
      <rPr>
        <b val="true"/>
        <sz val="11"/>
        <color rgb="FFFFFFFF"/>
        <rFont val="DejaVu Sans"/>
        <family val="2"/>
        <charset val="1"/>
      </rPr>
      <t xml:space="preserve">MaxDrawdown</t>
    </r>
  </si>
  <si>
    <r>
      <rPr>
        <b val="true"/>
        <sz val="11"/>
        <color rgb="FFFFFFFF"/>
        <rFont val="DejaVu Sans"/>
        <family val="2"/>
      </rPr>
      <t xml:space="preserve">当前市场状态 </t>
    </r>
    <r>
      <rPr>
        <b val="true"/>
        <sz val="11"/>
        <color rgb="FFFFFFFF"/>
        <rFont val="DejaVu Sans"/>
        <family val="2"/>
        <charset val="1"/>
      </rPr>
      <t xml:space="preserve">MarketState</t>
    </r>
  </si>
  <si>
    <t xml:space="preserve">本周最高信号等级</t>
  </si>
  <si>
    <r>
      <rPr>
        <b val="true"/>
        <sz val="11"/>
        <color rgb="FFFFFFFF"/>
        <rFont val="DejaVu Sans"/>
        <family val="2"/>
      </rPr>
      <t xml:space="preserve">总仓位上限 </t>
    </r>
    <r>
      <rPr>
        <b val="true"/>
        <sz val="11"/>
        <color rgb="FFFFFFFF"/>
        <rFont val="DejaVu Sans"/>
        <family val="2"/>
        <charset val="1"/>
      </rPr>
      <t xml:space="preserve">TotalPositionCap</t>
    </r>
  </si>
  <si>
    <r>
      <rPr>
        <b val="true"/>
        <sz val="11"/>
        <color rgb="FFFFFFFF"/>
        <rFont val="DejaVu Sans"/>
        <family val="2"/>
      </rPr>
      <t xml:space="preserve">单股上限 </t>
    </r>
    <r>
      <rPr>
        <b val="true"/>
        <sz val="11"/>
        <color rgb="FFFFFFFF"/>
        <rFont val="DejaVu Sans"/>
        <family val="2"/>
        <charset val="1"/>
      </rPr>
      <t xml:space="preserve">SingleStockCap</t>
    </r>
  </si>
  <si>
    <t xml:space="preserve">总持仓数</t>
  </si>
  <si>
    <r>
      <rPr>
        <b val="true"/>
        <sz val="11"/>
        <color rgb="FFFFFFFF"/>
        <rFont val="Cambria"/>
        <family val="0"/>
        <charset val="1"/>
      </rPr>
      <t xml:space="preserve">WAIVED</t>
    </r>
    <r>
      <rPr>
        <b val="true"/>
        <sz val="11"/>
        <color rgb="FFFFFFFF"/>
        <rFont val="DejaVu Sans"/>
        <family val="2"/>
      </rPr>
      <t xml:space="preserve">数</t>
    </r>
  </si>
  <si>
    <t xml:space="preserve">有效持仓数</t>
  </si>
  <si>
    <t xml:space="preserve">有效持仓上限</t>
  </si>
  <si>
    <t xml:space="preserve">当前状态</t>
  </si>
  <si>
    <t xml:space="preserve">是否允许转入</t>
  </si>
  <si>
    <t xml:space="preserve">是否允许新开仓</t>
  </si>
  <si>
    <t xml:space="preserve">是否暂停买入</t>
  </si>
  <si>
    <t xml:space="preserve">本周计划转入金额</t>
  </si>
  <si>
    <t xml:space="preserve">本周计划转出金额</t>
  </si>
  <si>
    <r>
      <rPr>
        <b val="true"/>
        <sz val="11"/>
        <color rgb="FFFFFFFF"/>
        <rFont val="DejaVu Sans"/>
        <family val="2"/>
      </rPr>
      <t xml:space="preserve">初始本金 </t>
    </r>
    <r>
      <rPr>
        <b val="true"/>
        <sz val="11"/>
        <color rgb="FFFFFFFF"/>
        <rFont val="DejaVu Sans"/>
        <family val="2"/>
        <charset val="1"/>
      </rPr>
      <t xml:space="preserve">Principal</t>
    </r>
  </si>
  <si>
    <r>
      <rPr>
        <b val="true"/>
        <sz val="11"/>
        <color rgb="FFFFFFFF"/>
        <rFont val="DejaVu Sans"/>
        <family val="2"/>
      </rPr>
      <t xml:space="preserve">目标年化收益率 </t>
    </r>
    <r>
      <rPr>
        <b val="true"/>
        <sz val="11"/>
        <color rgb="FFFFFFFF"/>
        <rFont val="DejaVu Sans"/>
        <family val="2"/>
        <charset val="1"/>
      </rPr>
      <t xml:space="preserve">TargetAnnualReturn</t>
    </r>
  </si>
  <si>
    <r>
      <rPr>
        <b val="true"/>
        <sz val="11"/>
        <color rgb="FFFFFFFF"/>
        <rFont val="DejaVu Sans"/>
        <family val="2"/>
      </rPr>
      <t xml:space="preserve">运行月数 </t>
    </r>
    <r>
      <rPr>
        <b val="true"/>
        <sz val="11"/>
        <color rgb="FFFFFFFF"/>
        <rFont val="DejaVu Sans"/>
        <family val="2"/>
        <charset val="1"/>
      </rPr>
      <t xml:space="preserve">MonthsRunning</t>
    </r>
  </si>
  <si>
    <r>
      <rPr>
        <b val="true"/>
        <sz val="11"/>
        <color rgb="FFFFFFFF"/>
        <rFont val="DejaVu Sans"/>
        <family val="2"/>
      </rPr>
      <t xml:space="preserve">目标资产 </t>
    </r>
    <r>
      <rPr>
        <b val="true"/>
        <sz val="11"/>
        <color rgb="FFFFFFFF"/>
        <rFont val="DejaVu Sans"/>
        <family val="2"/>
        <charset val="1"/>
      </rPr>
      <t xml:space="preserve">TargetAsset</t>
    </r>
  </si>
  <si>
    <r>
      <rPr>
        <b val="true"/>
        <sz val="11"/>
        <color rgb="FFFFFFFF"/>
        <rFont val="DejaVu Sans"/>
        <family val="2"/>
      </rPr>
      <t xml:space="preserve">复利偏离度 </t>
    </r>
    <r>
      <rPr>
        <b val="true"/>
        <sz val="11"/>
        <color rgb="FFFFFFFF"/>
        <rFont val="DejaVu Sans"/>
        <family val="2"/>
        <charset val="1"/>
      </rPr>
      <t xml:space="preserve">CompoundDeviation</t>
    </r>
  </si>
  <si>
    <r>
      <rPr>
        <sz val="11"/>
        <color rgb="FF000000"/>
        <rFont val="DejaVu Sans"/>
        <family val="2"/>
      </rPr>
      <t xml:space="preserve">交易股票数 </t>
    </r>
    <r>
      <rPr>
        <sz val="11"/>
        <color rgb="FF000000"/>
        <rFont val="DejaVu Sans"/>
        <family val="2"/>
        <charset val="1"/>
      </rPr>
      <t xml:space="preserve">TradeCount</t>
    </r>
  </si>
  <si>
    <t xml:space="preserve">账户阶段</t>
  </si>
  <si>
    <r>
      <rPr>
        <sz val="11"/>
        <color rgb="FF000000"/>
        <rFont val="DejaVu Sans"/>
        <family val="2"/>
      </rPr>
      <t xml:space="preserve">平均仓位 </t>
    </r>
    <r>
      <rPr>
        <sz val="11"/>
        <color rgb="FF000000"/>
        <rFont val="DejaVu Sans"/>
        <family val="2"/>
        <charset val="1"/>
      </rPr>
      <t xml:space="preserve">AvgPosition</t>
    </r>
  </si>
  <si>
    <r>
      <rPr>
        <sz val="11"/>
        <color rgb="FF000000"/>
        <rFont val="DejaVu Sans"/>
        <family val="2"/>
      </rPr>
      <t xml:space="preserve">平均持仓天数 </t>
    </r>
    <r>
      <rPr>
        <sz val="11"/>
        <color rgb="FF000000"/>
        <rFont val="DejaVu Sans"/>
        <family val="2"/>
        <charset val="1"/>
      </rPr>
      <t xml:space="preserve">AvgHoldDays</t>
    </r>
  </si>
  <si>
    <r>
      <rPr>
        <sz val="11"/>
        <color rgb="FF000000"/>
        <rFont val="DejaVu Sans"/>
        <family val="2"/>
      </rPr>
      <t xml:space="preserve">交易成功率 </t>
    </r>
    <r>
      <rPr>
        <sz val="11"/>
        <color rgb="FF000000"/>
        <rFont val="DejaVu Sans"/>
        <family val="2"/>
        <charset val="1"/>
      </rPr>
      <t xml:space="preserve">SuccessRate</t>
    </r>
  </si>
  <si>
    <r>
      <rPr>
        <sz val="11"/>
        <color rgb="FF000000"/>
        <rFont val="DejaVu Sans"/>
        <family val="2"/>
      </rPr>
      <t xml:space="preserve">资金周转率 </t>
    </r>
    <r>
      <rPr>
        <sz val="11"/>
        <color rgb="FF000000"/>
        <rFont val="DejaVu Sans"/>
        <family val="2"/>
        <charset val="1"/>
      </rPr>
      <t xml:space="preserve">CapitalTurnover</t>
    </r>
  </si>
  <si>
    <r>
      <rPr>
        <sz val="11"/>
        <color rgb="FF000000"/>
        <rFont val="DejaVu Sans"/>
        <family val="2"/>
      </rPr>
      <t xml:space="preserve">做</t>
    </r>
    <r>
      <rPr>
        <sz val="11"/>
        <color rgb="FF000000"/>
        <rFont val="DejaVu Sans"/>
        <family val="2"/>
        <charset val="1"/>
      </rPr>
      <t xml:space="preserve">T</t>
    </r>
    <r>
      <rPr>
        <sz val="11"/>
        <color rgb="FF000000"/>
        <rFont val="DejaVu Sans"/>
        <family val="2"/>
      </rPr>
      <t xml:space="preserve">次数 </t>
    </r>
    <r>
      <rPr>
        <sz val="11"/>
        <color rgb="FF000000"/>
        <rFont val="DejaVu Sans"/>
        <family val="2"/>
        <charset val="1"/>
      </rPr>
      <t xml:space="preserve">T0Count</t>
    </r>
  </si>
  <si>
    <r>
      <rPr>
        <sz val="11"/>
        <color rgb="FF000000"/>
        <rFont val="DejaVu Sans"/>
        <family val="2"/>
      </rPr>
      <t xml:space="preserve">做</t>
    </r>
    <r>
      <rPr>
        <sz val="11"/>
        <color rgb="FF000000"/>
        <rFont val="DejaVu Sans"/>
        <family val="2"/>
        <charset val="1"/>
      </rPr>
      <t xml:space="preserve">T</t>
    </r>
    <r>
      <rPr>
        <sz val="11"/>
        <color rgb="FF000000"/>
        <rFont val="DejaVu Sans"/>
        <family val="2"/>
      </rPr>
      <t xml:space="preserve">成功率 </t>
    </r>
    <r>
      <rPr>
        <sz val="11"/>
        <color rgb="FF000000"/>
        <rFont val="DejaVu Sans"/>
        <family val="2"/>
        <charset val="1"/>
      </rPr>
      <t xml:space="preserve">T0SuccessRate</t>
    </r>
  </si>
  <si>
    <r>
      <rPr>
        <sz val="11"/>
        <color rgb="FF000000"/>
        <rFont val="DejaVu Sans"/>
        <family val="2"/>
      </rPr>
      <t xml:space="preserve">重仓行业 </t>
    </r>
    <r>
      <rPr>
        <sz val="11"/>
        <color rgb="FF000000"/>
        <rFont val="DejaVu Sans"/>
        <family val="2"/>
        <charset val="1"/>
      </rPr>
      <t xml:space="preserve">HeavySector</t>
    </r>
  </si>
  <si>
    <r>
      <rPr>
        <sz val="11"/>
        <color rgb="FF000000"/>
        <rFont val="DejaVu Sans"/>
        <family val="2"/>
      </rPr>
      <t xml:space="preserve">投资风格 </t>
    </r>
    <r>
      <rPr>
        <sz val="11"/>
        <color rgb="FF000000"/>
        <rFont val="DejaVu Sans"/>
        <family val="2"/>
        <charset val="1"/>
      </rPr>
      <t xml:space="preserve">Style</t>
    </r>
  </si>
  <si>
    <r>
      <rPr>
        <sz val="11"/>
        <color rgb="FF000000"/>
        <rFont val="DejaVu Sans"/>
        <family val="2"/>
      </rPr>
      <t xml:space="preserve">跑赢上证 </t>
    </r>
    <r>
      <rPr>
        <sz val="11"/>
        <color rgb="FF000000"/>
        <rFont val="DejaVu Sans"/>
        <family val="2"/>
        <charset val="1"/>
      </rPr>
      <t xml:space="preserve">BeatIndex</t>
    </r>
  </si>
  <si>
    <r>
      <rPr>
        <sz val="11"/>
        <color rgb="FF000000"/>
        <rFont val="DejaVu Sans"/>
        <family val="2"/>
      </rPr>
      <t xml:space="preserve">净入金后累计盈利 </t>
    </r>
    <r>
      <rPr>
        <sz val="11"/>
        <color rgb="FF000000"/>
        <rFont val="DejaVu Sans"/>
        <family val="2"/>
        <charset val="1"/>
      </rPr>
      <t xml:space="preserve">RealPnL</t>
    </r>
  </si>
  <si>
    <t xml:space="preserve">幼儿目标资产</t>
  </si>
  <si>
    <t xml:space="preserve">距目标差额</t>
  </si>
  <si>
    <t xml:space="preserve">目标完成率</t>
  </si>
  <si>
    <t xml:space="preserve">单股上限金额</t>
  </si>
  <si>
    <t xml:space="preserve">现金比例</t>
  </si>
  <si>
    <t xml:space="preserve">有效持仓超限数</t>
  </si>
  <si>
    <t xml:space="preserve">允许加仓</t>
  </si>
  <si>
    <t xml:space="preserve">本阶段核心原则</t>
  </si>
  <si>
    <t xml:space="preserve">2026-01-31</t>
  </si>
  <si>
    <t xml:space="preserve">中性</t>
  </si>
  <si>
    <t xml:space="preserve">B</t>
  </si>
  <si>
    <t xml:space="preserve">汽车</t>
  </si>
  <si>
    <t xml:space="preserve">小盘</t>
  </si>
  <si>
    <t xml:space="preserve">否</t>
  </si>
  <si>
    <t xml:space="preserve">2026-02-28</t>
  </si>
  <si>
    <t xml:space="preserve">强</t>
  </si>
  <si>
    <t xml:space="preserve">A</t>
  </si>
  <si>
    <t xml:space="preserve">电子</t>
  </si>
  <si>
    <t xml:space="preserve">中盘成长</t>
  </si>
  <si>
    <t xml:space="preserve">2026-03-31</t>
  </si>
  <si>
    <t xml:space="preserve">弱</t>
  </si>
  <si>
    <t xml:space="preserve">C</t>
  </si>
  <si>
    <t xml:space="preserve">2026-04-30</t>
  </si>
  <si>
    <t xml:space="preserve">2026-05-31</t>
  </si>
  <si>
    <t xml:space="preserve">电力</t>
  </si>
  <si>
    <t xml:space="preserve">中盘价值</t>
  </si>
  <si>
    <t xml:space="preserve">2026-06-30</t>
  </si>
  <si>
    <r>
      <rPr>
        <sz val="11"/>
        <color rgb="FF1F4E79"/>
        <rFont val="Cambria"/>
        <family val="0"/>
        <charset val="1"/>
      </rPr>
      <t xml:space="preserve">12:36</t>
    </r>
    <r>
      <rPr>
        <sz val="11"/>
        <color rgb="FF1F4E79"/>
        <rFont val="DejaVu Sans"/>
        <family val="2"/>
      </rPr>
      <t xml:space="preserve">录入</t>
    </r>
    <r>
      <rPr>
        <sz val="11"/>
        <color rgb="FF1F4E79"/>
        <rFont val="Cambria"/>
        <family val="0"/>
        <charset val="1"/>
      </rPr>
      <t xml:space="preserve">,</t>
    </r>
    <r>
      <rPr>
        <sz val="11"/>
        <color rgb="FF1F4E79"/>
        <rFont val="DejaVu Sans"/>
        <family val="2"/>
      </rPr>
      <t xml:space="preserve">当日盈亏</t>
    </r>
    <r>
      <rPr>
        <sz val="11"/>
        <color rgb="FF1F4E79"/>
        <rFont val="Cambria"/>
        <family val="0"/>
        <charset val="1"/>
      </rPr>
      <t xml:space="preserve">-143</t>
    </r>
    <r>
      <rPr>
        <sz val="11"/>
        <color rgb="FF1F4E79"/>
        <rFont val="DejaVu Sans"/>
        <family val="2"/>
      </rPr>
      <t xml:space="preserve">元</t>
    </r>
  </si>
  <si>
    <t xml:space="preserve">化工</t>
  </si>
  <si>
    <t xml:space="preserve">大盘价值</t>
  </si>
  <si>
    <t xml:space="preserve">中性偏弱</t>
  </si>
  <si>
    <r>
      <rPr>
        <sz val="11"/>
        <color rgb="FF000000"/>
        <rFont val="DejaVu Sans"/>
        <family val="2"/>
      </rPr>
      <t xml:space="preserve">合规审查</t>
    </r>
    <r>
      <rPr>
        <sz val="11"/>
        <color rgb="FF000000"/>
        <rFont val="DejaVu Sans"/>
        <family val="2"/>
        <charset val="1"/>
      </rPr>
      <t xml:space="preserve">: 2</t>
    </r>
    <r>
      <rPr>
        <sz val="11"/>
        <color rgb="FF000000"/>
        <rFont val="DejaVu Sans"/>
        <family val="2"/>
      </rPr>
      <t xml:space="preserve">项违规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沃华医药违规买入</t>
    </r>
    <r>
      <rPr>
        <sz val="11"/>
        <color rgb="FF000000"/>
        <rFont val="DejaVu Sans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三力士违规卖出</t>
    </r>
    <r>
      <rPr>
        <sz val="11"/>
        <color rgb="FF000000"/>
        <rFont val="DejaVu Sans"/>
        <family val="2"/>
        <charset val="1"/>
      </rPr>
      <t xml:space="preserve">), </t>
    </r>
    <r>
      <rPr>
        <sz val="11"/>
        <color rgb="FF000000"/>
        <rFont val="DejaVu Sans"/>
        <family val="2"/>
      </rPr>
      <t xml:space="preserve">建议撤单</t>
    </r>
  </si>
  <si>
    <r>
      <rPr>
        <sz val="11"/>
        <color rgb="FF1F4E79"/>
        <rFont val="DejaVu Sans"/>
        <family val="2"/>
      </rPr>
      <t xml:space="preserve">当日盈亏</t>
    </r>
    <r>
      <rPr>
        <sz val="11"/>
        <color rgb="FF1F4E79"/>
        <rFont val="DejaVu Sans"/>
        <family val="2"/>
        <charset val="1"/>
      </rPr>
      <t xml:space="preserve">: -82.22</t>
    </r>
  </si>
  <si>
    <t xml:space="preserve">正常</t>
  </si>
  <si>
    <t xml:space="preserve">股票名称</t>
  </si>
  <si>
    <t xml:space="preserve">代码</t>
  </si>
  <si>
    <r>
      <rPr>
        <b val="true"/>
        <sz val="11"/>
        <color rgb="FFFFFFFF"/>
        <rFont val="DejaVu Sans"/>
        <family val="2"/>
      </rPr>
      <t xml:space="preserve">是否</t>
    </r>
    <r>
      <rPr>
        <b val="true"/>
        <sz val="11"/>
        <color rgb="FFFFFFFF"/>
        <rFont val="DejaVu Sans"/>
        <family val="2"/>
        <charset val="1"/>
      </rPr>
      <t xml:space="preserve">WAIVED</t>
    </r>
  </si>
  <si>
    <r>
      <rPr>
        <b val="true"/>
        <sz val="11"/>
        <color rgb="FFFFFFFF"/>
        <rFont val="Cambria"/>
        <family val="0"/>
        <charset val="1"/>
      </rPr>
      <t xml:space="preserve">WAIVED</t>
    </r>
    <r>
      <rPr>
        <b val="true"/>
        <sz val="11"/>
        <color rgb="FFFFFFFF"/>
        <rFont val="DejaVu Sans"/>
        <family val="2"/>
      </rPr>
      <t xml:space="preserve">基准价</t>
    </r>
  </si>
  <si>
    <t xml:space="preserve">买入日期</t>
  </si>
  <si>
    <r>
      <rPr>
        <b val="true"/>
        <sz val="11"/>
        <color rgb="FFFFFFFF"/>
        <rFont val="DejaVu Sans"/>
        <family val="2"/>
      </rPr>
      <t xml:space="preserve">持股数量 </t>
    </r>
    <r>
      <rPr>
        <b val="true"/>
        <sz val="11"/>
        <color rgb="FFFFFFFF"/>
        <rFont val="DejaVu Sans"/>
        <family val="2"/>
        <charset val="1"/>
      </rPr>
      <t xml:space="preserve">Shares</t>
    </r>
  </si>
  <si>
    <r>
      <rPr>
        <b val="true"/>
        <sz val="11"/>
        <color rgb="FFFFFFFF"/>
        <rFont val="DejaVu Sans"/>
        <family val="2"/>
      </rPr>
      <t xml:space="preserve">持仓均价 </t>
    </r>
    <r>
      <rPr>
        <b val="true"/>
        <sz val="11"/>
        <color rgb="FFFFFFFF"/>
        <rFont val="DejaVu Sans"/>
        <family val="2"/>
        <charset val="1"/>
      </rPr>
      <t xml:space="preserve">EntryPrice</t>
    </r>
  </si>
  <si>
    <r>
      <rPr>
        <b val="true"/>
        <sz val="11"/>
        <color rgb="FFFFFFFF"/>
        <rFont val="DejaVu Sans"/>
        <family val="2"/>
      </rPr>
      <t xml:space="preserve">当前价 </t>
    </r>
    <r>
      <rPr>
        <b val="true"/>
        <sz val="11"/>
        <color rgb="FFFFFFFF"/>
        <rFont val="DejaVu Sans"/>
        <family val="2"/>
        <charset val="1"/>
      </rPr>
      <t xml:space="preserve">Close</t>
    </r>
  </si>
  <si>
    <t xml:space="preserve">成本金额</t>
  </si>
  <si>
    <t xml:space="preserve">浮盈亏金额</t>
  </si>
  <si>
    <r>
      <rPr>
        <b val="true"/>
        <sz val="11"/>
        <color rgb="FFFFFFFF"/>
        <rFont val="DejaVu Sans"/>
        <family val="2"/>
      </rPr>
      <t xml:space="preserve">浮盈亏比 </t>
    </r>
    <r>
      <rPr>
        <b val="true"/>
        <sz val="11"/>
        <color rgb="FFFFFFFF"/>
        <rFont val="DejaVu Sans"/>
        <family val="2"/>
        <charset val="1"/>
      </rPr>
      <t xml:space="preserve">ProfitRatio</t>
    </r>
  </si>
  <si>
    <r>
      <rPr>
        <b val="true"/>
        <sz val="11"/>
        <color rgb="FFFFFFFF"/>
        <rFont val="DejaVu Sans"/>
        <family val="2"/>
      </rPr>
      <t xml:space="preserve">持仓占比 </t>
    </r>
    <r>
      <rPr>
        <b val="true"/>
        <sz val="11"/>
        <color rgb="FFFFFFFF"/>
        <rFont val="DejaVu Sans"/>
        <family val="2"/>
        <charset val="1"/>
      </rPr>
      <t xml:space="preserve">PositionRatio</t>
    </r>
  </si>
  <si>
    <r>
      <rPr>
        <b val="true"/>
        <sz val="11"/>
        <color rgb="FFFFFFFF"/>
        <rFont val="DejaVu Sans"/>
        <family val="2"/>
      </rPr>
      <t xml:space="preserve">买点低点 </t>
    </r>
    <r>
      <rPr>
        <b val="true"/>
        <sz val="11"/>
        <color rgb="FFFFFFFF"/>
        <rFont val="DejaVu Sans"/>
        <family val="2"/>
        <charset val="1"/>
      </rPr>
      <t xml:space="preserve">BuyPointLow</t>
    </r>
  </si>
  <si>
    <r>
      <rPr>
        <b val="true"/>
        <sz val="11"/>
        <color rgb="FFFFFFFF"/>
        <rFont val="DejaVu Sans"/>
        <family val="2"/>
      </rPr>
      <t xml:space="preserve">止损价 </t>
    </r>
    <r>
      <rPr>
        <b val="true"/>
        <sz val="11"/>
        <color rgb="FFFFFFFF"/>
        <rFont val="DejaVu Sans"/>
        <family val="2"/>
        <charset val="1"/>
      </rPr>
      <t xml:space="preserve">StopPrice</t>
    </r>
  </si>
  <si>
    <t xml:space="preserve">是否破止损</t>
  </si>
  <si>
    <t xml:space="preserve">ratio</t>
  </si>
  <si>
    <t xml:space="preserve">DL_P</t>
  </si>
  <si>
    <t xml:space="preserve">valid</t>
  </si>
  <si>
    <t xml:space="preserve">SignalType</t>
  </si>
  <si>
    <t xml:space="preserve">SignalInvalid</t>
  </si>
  <si>
    <t xml:space="preserve">是否确认一卖</t>
  </si>
  <si>
    <t xml:space="preserve">是否超单股上限</t>
  </si>
  <si>
    <t xml:space="preserve">盈亏状态</t>
  </si>
  <si>
    <t xml:space="preserve">单股剩余额度</t>
  </si>
  <si>
    <t xml:space="preserve">可加仓股数</t>
  </si>
  <si>
    <t xml:space="preserve">距止损幅度</t>
  </si>
  <si>
    <t xml:space="preserve">当前风险金额</t>
  </si>
  <si>
    <t xml:space="preserve">候选池核心</t>
  </si>
  <si>
    <t xml:space="preserve">加仓资格</t>
  </si>
  <si>
    <r>
      <rPr>
        <b val="true"/>
        <sz val="11"/>
        <rFont val="Cambria"/>
        <family val="0"/>
        <charset val="1"/>
      </rPr>
      <t xml:space="preserve">T+1</t>
    </r>
    <r>
      <rPr>
        <b val="true"/>
        <sz val="11"/>
        <rFont val="DejaVu Sans"/>
        <family val="2"/>
      </rPr>
      <t xml:space="preserve">锁定</t>
    </r>
  </si>
  <si>
    <t xml:space="preserve">东风股份</t>
  </si>
  <si>
    <t xml:space="preserve">600006</t>
  </si>
  <si>
    <t xml:space="preserve">隆基绿能</t>
  </si>
  <si>
    <t xml:space="preserve">601012</t>
  </si>
  <si>
    <t xml:space="preserve">2026-07-24</t>
  </si>
  <si>
    <t xml:space="preserve">创力集团</t>
  </si>
  <si>
    <t xml:space="preserve">603012</t>
  </si>
  <si>
    <t xml:space="preserve">新五丰</t>
  </si>
  <si>
    <t xml:space="preserve">600975</t>
  </si>
  <si>
    <t xml:space="preserve">方盛制药</t>
  </si>
  <si>
    <t xml:space="preserve">603998</t>
  </si>
  <si>
    <t xml:space="preserve">建研院</t>
  </si>
  <si>
    <t xml:space="preserve">603183</t>
  </si>
  <si>
    <t xml:space="preserve">曲美家居</t>
  </si>
  <si>
    <t xml:space="preserve">603818</t>
  </si>
  <si>
    <t xml:space="preserve">松芝股份</t>
  </si>
  <si>
    <t xml:space="preserve">002454</t>
  </si>
  <si>
    <t xml:space="preserve">亚太药业</t>
  </si>
  <si>
    <t xml:space="preserve">002370</t>
  </si>
  <si>
    <t xml:space="preserve">2026-07-27</t>
  </si>
  <si>
    <t xml:space="preserve">三力士</t>
  </si>
  <si>
    <t xml:space="preserve">002224</t>
  </si>
  <si>
    <t xml:space="preserve">已清仓</t>
  </si>
  <si>
    <t xml:space="preserve">拱东医疗</t>
  </si>
  <si>
    <t xml:space="preserve">605369</t>
  </si>
  <si>
    <t xml:space="preserve">贵绳股份</t>
  </si>
  <si>
    <t xml:space="preserve">600992</t>
  </si>
  <si>
    <t xml:space="preserve">无</t>
  </si>
  <si>
    <t xml:space="preserve">沃华医药</t>
  </si>
  <si>
    <t xml:space="preserve">002107</t>
  </si>
  <si>
    <t xml:space="preserve">日上集团</t>
  </si>
  <si>
    <t xml:space="preserve">002593</t>
  </si>
  <si>
    <t xml:space="preserve">台华新材</t>
  </si>
  <si>
    <t xml:space="preserve">603055</t>
  </si>
  <si>
    <t xml:space="preserve">200</t>
  </si>
  <si>
    <t xml:space="preserve">601515</t>
  </si>
  <si>
    <r>
      <rPr>
        <b val="true"/>
        <sz val="11"/>
        <color rgb="FFFFFFFF"/>
        <rFont val="DejaVu Sans"/>
        <family val="2"/>
      </rPr>
      <t xml:space="preserve">当前价 </t>
    </r>
    <r>
      <rPr>
        <b val="true"/>
        <sz val="11"/>
        <color rgb="FFFFFFFF"/>
        <rFont val="DejaVu Sans"/>
        <family val="2"/>
        <charset val="1"/>
      </rPr>
      <t xml:space="preserve">Price</t>
    </r>
  </si>
  <si>
    <r>
      <rPr>
        <b val="true"/>
        <sz val="11"/>
        <color rgb="FFFFFFFF"/>
        <rFont val="DejaVu Sans"/>
        <family val="2"/>
      </rPr>
      <t xml:space="preserve">信号价 </t>
    </r>
    <r>
      <rPr>
        <b val="true"/>
        <sz val="11"/>
        <color rgb="FFFFFFFF"/>
        <rFont val="DejaVu Sans"/>
        <family val="2"/>
        <charset val="1"/>
      </rPr>
      <t xml:space="preserve">SignalPrice</t>
    </r>
  </si>
  <si>
    <r>
      <rPr>
        <b val="true"/>
        <sz val="11"/>
        <color rgb="FFFFFFFF"/>
        <rFont val="DejaVu Sans"/>
        <family val="2"/>
      </rPr>
      <t xml:space="preserve">分层</t>
    </r>
    <r>
      <rPr>
        <b val="true"/>
        <sz val="11"/>
        <color rgb="FFFFFFFF"/>
        <rFont val="DejaVu Sans"/>
        <family val="2"/>
        <charset val="1"/>
      </rPr>
      <t xml:space="preserve">Tier</t>
    </r>
  </si>
  <si>
    <r>
      <rPr>
        <b val="true"/>
        <sz val="11"/>
        <color rgb="FFFFFFFF"/>
        <rFont val="DejaVu Sans"/>
        <family val="2"/>
      </rPr>
      <t xml:space="preserve">是否确认信号 </t>
    </r>
    <r>
      <rPr>
        <b val="true"/>
        <sz val="11"/>
        <color rgb="FFFFFFFF"/>
        <rFont val="DejaVu Sans"/>
        <family val="2"/>
        <charset val="1"/>
      </rPr>
      <t xml:space="preserve">ConfirmedSignal</t>
    </r>
  </si>
  <si>
    <r>
      <rPr>
        <b val="true"/>
        <sz val="11"/>
        <color rgb="FFFFFFFF"/>
        <rFont val="DejaVu Sans"/>
        <family val="2"/>
      </rPr>
      <t xml:space="preserve">是否未追价 </t>
    </r>
    <r>
      <rPr>
        <b val="true"/>
        <sz val="11"/>
        <color rgb="FFFFFFFF"/>
        <rFont val="DejaVu Sans"/>
        <family val="2"/>
        <charset val="1"/>
      </rPr>
      <t xml:space="preserve">NotChasing</t>
    </r>
  </si>
  <si>
    <r>
      <rPr>
        <b val="true"/>
        <sz val="11"/>
        <color rgb="FFFFFFFF"/>
        <rFont val="DejaVu Sans"/>
        <family val="2"/>
      </rPr>
      <t xml:space="preserve">最大持仓金额 </t>
    </r>
    <r>
      <rPr>
        <b val="true"/>
        <sz val="11"/>
        <color rgb="FFFFFFFF"/>
        <rFont val="DejaVu Sans"/>
        <family val="2"/>
        <charset val="1"/>
      </rPr>
      <t xml:space="preserve">MaxPositionValue</t>
    </r>
  </si>
  <si>
    <r>
      <rPr>
        <b val="true"/>
        <sz val="11"/>
        <color rgb="FFFFFFFF"/>
        <rFont val="DejaVu Sans"/>
        <family val="2"/>
      </rPr>
      <t xml:space="preserve">理论最大股数 </t>
    </r>
    <r>
      <rPr>
        <b val="true"/>
        <sz val="11"/>
        <color rgb="FFFFFFFF"/>
        <rFont val="DejaVu Sans"/>
        <family val="2"/>
        <charset val="1"/>
      </rPr>
      <t xml:space="preserve">RawShares</t>
    </r>
  </si>
  <si>
    <r>
      <rPr>
        <b val="true"/>
        <sz val="11"/>
        <color rgb="FFFFFFFF"/>
        <rFont val="DejaVu Sans"/>
        <family val="2"/>
      </rPr>
      <t xml:space="preserve">最大可买股数 </t>
    </r>
    <r>
      <rPr>
        <b val="true"/>
        <sz val="11"/>
        <color rgb="FFFFFFFF"/>
        <rFont val="DejaVu Sans"/>
        <family val="2"/>
        <charset val="1"/>
      </rPr>
      <t xml:space="preserve">MaxShares</t>
    </r>
  </si>
  <si>
    <r>
      <rPr>
        <b val="true"/>
        <sz val="11"/>
        <color rgb="FFFFFFFF"/>
        <rFont val="DejaVu Sans"/>
        <family val="2"/>
      </rPr>
      <t xml:space="preserve">最小可买股数 </t>
    </r>
    <r>
      <rPr>
        <b val="true"/>
        <sz val="11"/>
        <color rgb="FFFFFFFF"/>
        <rFont val="DejaVu Sans"/>
        <family val="2"/>
        <charset val="1"/>
      </rPr>
      <t xml:space="preserve">MinShares</t>
    </r>
  </si>
  <si>
    <r>
      <rPr>
        <b val="true"/>
        <sz val="11"/>
        <color rgb="FFFFFFFF"/>
        <rFont val="DejaVu Sans"/>
        <family val="2"/>
      </rPr>
      <t xml:space="preserve">计划买入股数 </t>
    </r>
    <r>
      <rPr>
        <b val="true"/>
        <sz val="11"/>
        <color rgb="FFFFFFFF"/>
        <rFont val="DejaVu Sans"/>
        <family val="2"/>
        <charset val="1"/>
      </rPr>
      <t xml:space="preserve">BuyShares</t>
    </r>
  </si>
  <si>
    <t xml:space="preserve">计划买入金额</t>
  </si>
  <si>
    <t xml:space="preserve">新增仓位占比</t>
  </si>
  <si>
    <t xml:space="preserve">买入后总仓位</t>
  </si>
  <si>
    <t xml:space="preserve">是否满足总仓位上限</t>
  </si>
  <si>
    <r>
      <rPr>
        <b val="true"/>
        <sz val="11"/>
        <color rgb="FFFFFFFF"/>
        <rFont val="DejaVu Sans"/>
        <family val="2"/>
      </rPr>
      <t xml:space="preserve">失效条件 </t>
    </r>
    <r>
      <rPr>
        <b val="true"/>
        <sz val="11"/>
        <color rgb="FFFFFFFF"/>
        <rFont val="DejaVu Sans"/>
        <family val="2"/>
        <charset val="1"/>
      </rPr>
      <t xml:space="preserve">InvalidationCondition</t>
    </r>
  </si>
  <si>
    <t xml:space="preserve">是否需要转入</t>
  </si>
  <si>
    <t xml:space="preserve">最低转入金额</t>
  </si>
  <si>
    <t xml:space="preserve">建议转入金额</t>
  </si>
  <si>
    <r>
      <rPr>
        <b val="true"/>
        <sz val="11"/>
        <color rgb="FFFFFFFF"/>
        <rFont val="DejaVu Sans"/>
        <family val="2"/>
      </rPr>
      <t xml:space="preserve">最终是否可买 </t>
    </r>
    <r>
      <rPr>
        <b val="true"/>
        <sz val="11"/>
        <color rgb="FFFFFFFF"/>
        <rFont val="DejaVu Sans"/>
        <family val="2"/>
        <charset val="1"/>
      </rPr>
      <t xml:space="preserve">Buy</t>
    </r>
  </si>
  <si>
    <t xml:space="preserve">不可买原因</t>
  </si>
  <si>
    <r>
      <rPr>
        <b val="true"/>
        <sz val="10"/>
        <color rgb="FF1F2937"/>
        <rFont val="Cambria"/>
        <family val="0"/>
        <charset val="1"/>
      </rPr>
      <t xml:space="preserve">1</t>
    </r>
    <r>
      <rPr>
        <b val="true"/>
        <sz val="10"/>
        <color rgb="FF1F2937"/>
        <rFont val="DejaVu Sans"/>
        <family val="2"/>
      </rPr>
      <t xml:space="preserve">手所需资金</t>
    </r>
  </si>
  <si>
    <r>
      <rPr>
        <b val="true"/>
        <sz val="10"/>
        <color rgb="FF1F2937"/>
        <rFont val="Cambria"/>
        <family val="0"/>
        <charset val="1"/>
      </rPr>
      <t xml:space="preserve">1</t>
    </r>
    <r>
      <rPr>
        <b val="true"/>
        <sz val="10"/>
        <color rgb="FF1F2937"/>
        <rFont val="DejaVu Sans"/>
        <family val="2"/>
      </rPr>
      <t xml:space="preserve">手</t>
    </r>
    <r>
      <rPr>
        <b val="true"/>
        <sz val="10"/>
        <color rgb="FF1F2937"/>
        <rFont val="Cambria"/>
        <family val="0"/>
        <charset val="1"/>
      </rPr>
      <t xml:space="preserve">/</t>
    </r>
    <r>
      <rPr>
        <b val="true"/>
        <sz val="10"/>
        <color rgb="FF1F2937"/>
        <rFont val="DejaVu Sans"/>
        <family val="2"/>
      </rPr>
      <t xml:space="preserve">总资产比</t>
    </r>
  </si>
  <si>
    <r>
      <rPr>
        <b val="true"/>
        <sz val="10"/>
        <color rgb="FF1F2937"/>
        <rFont val="Cambria"/>
        <family val="0"/>
        <charset val="1"/>
      </rPr>
      <t xml:space="preserve">1</t>
    </r>
    <r>
      <rPr>
        <b val="true"/>
        <sz val="10"/>
        <color rgb="FF1F2937"/>
        <rFont val="DejaVu Sans"/>
        <family val="2"/>
      </rPr>
      <t xml:space="preserve">手超单股上限</t>
    </r>
  </si>
  <si>
    <t xml:space="preserve">合规所需总资产</t>
  </si>
  <si>
    <t xml:space="preserve">需转入资金才合规</t>
  </si>
  <si>
    <t xml:space="preserve">已有持仓</t>
  </si>
  <si>
    <t xml:space="preserve">当前持仓仓位</t>
  </si>
  <si>
    <r>
      <rPr>
        <b val="true"/>
        <sz val="10"/>
        <color rgb="FF1F2937"/>
        <rFont val="DejaVu Sans"/>
        <family val="2"/>
      </rPr>
      <t xml:space="preserve">买入</t>
    </r>
    <r>
      <rPr>
        <b val="true"/>
        <sz val="10"/>
        <color rgb="FF1F2937"/>
        <rFont val="DejaVu Sans"/>
        <family val="2"/>
        <charset val="1"/>
      </rPr>
      <t xml:space="preserve">1</t>
    </r>
    <r>
      <rPr>
        <b val="true"/>
        <sz val="10"/>
        <color rgb="FF1F2937"/>
        <rFont val="DejaVu Sans"/>
        <family val="2"/>
      </rPr>
      <t xml:space="preserve">手后仓位</t>
    </r>
  </si>
  <si>
    <t xml:space="preserve">买后是否超限</t>
  </si>
  <si>
    <t xml:space="preserve">有效持仓数检查</t>
  </si>
  <si>
    <t xml:space="preserve">核心池加仓结论</t>
  </si>
  <si>
    <t xml:space="preserve">阻断原因</t>
  </si>
  <si>
    <t xml:space="preserve">连续核心池天数</t>
  </si>
  <si>
    <t xml:space="preserve">信号标注</t>
  </si>
  <si>
    <t xml:space="preserve">幼儿目标适配</t>
  </si>
  <si>
    <t xml:space="preserve">梦百合</t>
  </si>
  <si>
    <t xml:space="preserve">603313</t>
  </si>
  <si>
    <t xml:space="preserve">一买</t>
  </si>
  <si>
    <r>
      <rPr>
        <sz val="11"/>
        <color rgb="FF000000"/>
        <rFont val="Calibri"/>
        <family val="2"/>
        <charset val="1"/>
      </rPr>
      <t xml:space="preserve">XD</t>
    </r>
    <r>
      <rPr>
        <sz val="11"/>
        <color rgb="FF000000"/>
        <rFont val="DejaVu Sans"/>
        <family val="2"/>
      </rPr>
      <t xml:space="preserve">快克智</t>
    </r>
  </si>
  <si>
    <t xml:space="preserve">603203</t>
  </si>
  <si>
    <t xml:space="preserve">时空科技</t>
  </si>
  <si>
    <t xml:space="preserve">605178</t>
  </si>
  <si>
    <t xml:space="preserve">朗迪集团</t>
  </si>
  <si>
    <t xml:space="preserve">603726</t>
  </si>
  <si>
    <t xml:space="preserve">展鹏科技</t>
  </si>
  <si>
    <t xml:space="preserve">603488</t>
  </si>
  <si>
    <t xml:space="preserve">衢州东峰</t>
  </si>
  <si>
    <t xml:space="preserve">泰晶科技</t>
  </si>
  <si>
    <t xml:space="preserve">603738</t>
  </si>
  <si>
    <t xml:space="preserve">宏和科技</t>
  </si>
  <si>
    <t xml:space="preserve">603256</t>
  </si>
  <si>
    <t xml:space="preserve">环旭电子</t>
  </si>
  <si>
    <t xml:space="preserve">601231</t>
  </si>
  <si>
    <t xml:space="preserve">众鑫股份</t>
  </si>
  <si>
    <t xml:space="preserve">603091</t>
  </si>
  <si>
    <t xml:space="preserve">晶华新材</t>
  </si>
  <si>
    <t xml:space="preserve">603683</t>
  </si>
  <si>
    <t xml:space="preserve">星德胜</t>
  </si>
  <si>
    <t xml:space="preserve">603344</t>
  </si>
  <si>
    <t xml:space="preserve">宇环数控</t>
  </si>
  <si>
    <t xml:space="preserve">002903</t>
  </si>
  <si>
    <t xml:space="preserve">同洲电子</t>
  </si>
  <si>
    <t xml:space="preserve">002052</t>
  </si>
  <si>
    <t xml:space="preserve">博杰股份</t>
  </si>
  <si>
    <t xml:space="preserve">002975</t>
  </si>
  <si>
    <t xml:space="preserve">飞马国际</t>
  </si>
  <si>
    <t xml:space="preserve">002210</t>
  </si>
  <si>
    <t xml:space="preserve">海能达</t>
  </si>
  <si>
    <t xml:space="preserve">002583</t>
  </si>
  <si>
    <t xml:space="preserve">万润科技</t>
  </si>
  <si>
    <t xml:space="preserve">002654</t>
  </si>
  <si>
    <t xml:space="preserve">新 希 望</t>
  </si>
  <si>
    <t xml:space="preserve">000876</t>
  </si>
  <si>
    <t xml:space="preserve">科瑞技术</t>
  </si>
  <si>
    <t xml:space="preserve">002957</t>
  </si>
  <si>
    <t xml:space="preserve">恒铭达</t>
  </si>
  <si>
    <t xml:space="preserve">002947</t>
  </si>
  <si>
    <t xml:space="preserve">山东赫达</t>
  </si>
  <si>
    <t xml:space="preserve">002810</t>
  </si>
  <si>
    <t xml:space="preserve">华东重机</t>
  </si>
  <si>
    <t xml:space="preserve">002685</t>
  </si>
  <si>
    <t xml:space="preserve">世纪华通</t>
  </si>
  <si>
    <t xml:space="preserve">002602</t>
  </si>
  <si>
    <t xml:space="preserve">科士达</t>
  </si>
  <si>
    <t xml:space="preserve">002518</t>
  </si>
  <si>
    <t xml:space="preserve">大为股份</t>
  </si>
  <si>
    <t xml:space="preserve">002213</t>
  </si>
  <si>
    <t xml:space="preserve">三棵树</t>
  </si>
  <si>
    <t xml:space="preserve">603737</t>
  </si>
  <si>
    <t xml:space="preserve">咸亨国际</t>
  </si>
  <si>
    <t xml:space="preserve">605056</t>
  </si>
  <si>
    <t xml:space="preserve">国晟科技</t>
  </si>
  <si>
    <t xml:space="preserve">603778</t>
  </si>
  <si>
    <t xml:space="preserve">百傲化学</t>
  </si>
  <si>
    <t xml:space="preserve">603360</t>
  </si>
  <si>
    <t xml:space="preserve">诚意药业</t>
  </si>
  <si>
    <t xml:space="preserve">603811</t>
  </si>
  <si>
    <t xml:space="preserve">晶科科技</t>
  </si>
  <si>
    <t xml:space="preserve">601778</t>
  </si>
  <si>
    <t xml:space="preserve">格林达</t>
  </si>
  <si>
    <t xml:space="preserve">603931</t>
  </si>
  <si>
    <t xml:space="preserve">奥锐特</t>
  </si>
  <si>
    <t xml:space="preserve">605116</t>
  </si>
  <si>
    <t xml:space="preserve">中重科技</t>
  </si>
  <si>
    <t xml:space="preserve">603135</t>
  </si>
  <si>
    <t xml:space="preserve">迪生力</t>
  </si>
  <si>
    <t xml:space="preserve">603335</t>
  </si>
  <si>
    <t xml:space="preserve">日盈电子</t>
  </si>
  <si>
    <t xml:space="preserve">603286</t>
  </si>
  <si>
    <t xml:space="preserve">德昌股份</t>
  </si>
  <si>
    <t xml:space="preserve">605555</t>
  </si>
  <si>
    <t xml:space="preserve">键邦股份</t>
  </si>
  <si>
    <t xml:space="preserve">603285</t>
  </si>
  <si>
    <t xml:space="preserve">铁流股份</t>
  </si>
  <si>
    <t xml:space="preserve">603926</t>
  </si>
  <si>
    <t xml:space="preserve">陕西旅游</t>
  </si>
  <si>
    <t xml:space="preserve">603402</t>
  </si>
  <si>
    <t xml:space="preserve">博威合金</t>
  </si>
  <si>
    <t xml:space="preserve">601137</t>
  </si>
  <si>
    <t xml:space="preserve">国茂股份</t>
  </si>
  <si>
    <t xml:space="preserve">603915</t>
  </si>
  <si>
    <t xml:space="preserve">长城科技</t>
  </si>
  <si>
    <t xml:space="preserve">603897</t>
  </si>
  <si>
    <t xml:space="preserve">亿嘉和</t>
  </si>
  <si>
    <t xml:space="preserve">603666</t>
  </si>
  <si>
    <t xml:space="preserve">宏盛股份</t>
  </si>
  <si>
    <t xml:space="preserve">603090</t>
  </si>
  <si>
    <t xml:space="preserve">嘉德利</t>
  </si>
  <si>
    <t xml:space="preserve">603435</t>
  </si>
  <si>
    <t xml:space="preserve">宏昌电子</t>
  </si>
  <si>
    <t xml:space="preserve">603002</t>
  </si>
  <si>
    <t xml:space="preserve">凯迪股份</t>
  </si>
  <si>
    <t xml:space="preserve">605288</t>
  </si>
  <si>
    <t xml:space="preserve">晋控煤业</t>
  </si>
  <si>
    <t xml:space="preserve">601001</t>
  </si>
  <si>
    <t xml:space="preserve">法狮龙</t>
  </si>
  <si>
    <t xml:space="preserve">605318</t>
  </si>
  <si>
    <t xml:space="preserve">华菱钢铁</t>
  </si>
  <si>
    <t xml:space="preserve">000932</t>
  </si>
  <si>
    <t xml:space="preserve">巨力索具</t>
  </si>
  <si>
    <t xml:space="preserve">002342</t>
  </si>
  <si>
    <t xml:space="preserve">蔚蓝锂芯</t>
  </si>
  <si>
    <t xml:space="preserve">002245</t>
  </si>
  <si>
    <t xml:space="preserve">索菲亚</t>
  </si>
  <si>
    <t xml:space="preserve">002572</t>
  </si>
  <si>
    <t xml:space="preserve">首钢股份</t>
  </si>
  <si>
    <t xml:space="preserve">000959</t>
  </si>
  <si>
    <t xml:space="preserve">南天信息</t>
  </si>
  <si>
    <t xml:space="preserve">000948</t>
  </si>
  <si>
    <t xml:space="preserve">博源化工</t>
  </si>
  <si>
    <t xml:space="preserve">000683</t>
  </si>
  <si>
    <t xml:space="preserve">千红制药</t>
  </si>
  <si>
    <t xml:space="preserve">002550</t>
  </si>
  <si>
    <t xml:space="preserve">科华数据</t>
  </si>
  <si>
    <t xml:space="preserve">002335</t>
  </si>
  <si>
    <t xml:space="preserve">嘉美包装</t>
  </si>
  <si>
    <t xml:space="preserve">002969</t>
  </si>
  <si>
    <t xml:space="preserve">神剑股份</t>
  </si>
  <si>
    <t xml:space="preserve">002361</t>
  </si>
  <si>
    <t xml:space="preserve">博云新材</t>
  </si>
  <si>
    <t xml:space="preserve">002297</t>
  </si>
  <si>
    <t xml:space="preserve">伟隆股份</t>
  </si>
  <si>
    <t xml:space="preserve">002871</t>
  </si>
  <si>
    <t xml:space="preserve">三钢闽光</t>
  </si>
  <si>
    <t xml:space="preserve">002110</t>
  </si>
  <si>
    <t xml:space="preserve">四环生物</t>
  </si>
  <si>
    <t xml:space="preserve">000518</t>
  </si>
  <si>
    <t xml:space="preserve">太钢不锈</t>
  </si>
  <si>
    <t xml:space="preserve">000825</t>
  </si>
  <si>
    <t xml:space="preserve">常山北明</t>
  </si>
  <si>
    <t xml:space="preserve">000158</t>
  </si>
  <si>
    <t xml:space="preserve">普天科技</t>
  </si>
  <si>
    <t xml:space="preserve">002544</t>
  </si>
  <si>
    <t xml:space="preserve">协鑫集成</t>
  </si>
  <si>
    <t xml:space="preserve">002506</t>
  </si>
  <si>
    <t xml:space="preserve">振华科技</t>
  </si>
  <si>
    <t xml:space="preserve">000733</t>
  </si>
  <si>
    <t xml:space="preserve">泰达股份</t>
  </si>
  <si>
    <t xml:space="preserve">000652</t>
  </si>
  <si>
    <t xml:space="preserve">宇晶股份</t>
  </si>
  <si>
    <t xml:space="preserve">002943</t>
  </si>
  <si>
    <t xml:space="preserve">安泰科技</t>
  </si>
  <si>
    <t xml:space="preserve">000969</t>
  </si>
  <si>
    <t xml:space="preserve">兆驰股份</t>
  </si>
  <si>
    <t xml:space="preserve">002429</t>
  </si>
  <si>
    <t xml:space="preserve">华宏科技</t>
  </si>
  <si>
    <t xml:space="preserve">002645</t>
  </si>
  <si>
    <t xml:space="preserve">清新环境</t>
  </si>
  <si>
    <t xml:space="preserve">002573</t>
  </si>
  <si>
    <t xml:space="preserve">圣农发展</t>
  </si>
  <si>
    <t xml:space="preserve">002299</t>
  </si>
  <si>
    <t xml:space="preserve">广东宏大</t>
  </si>
  <si>
    <t xml:space="preserve">002683</t>
  </si>
  <si>
    <r>
      <rPr>
        <sz val="11"/>
        <color rgb="FF000000"/>
        <rFont val="Calibri"/>
        <family val="2"/>
        <charset val="1"/>
      </rPr>
      <t xml:space="preserve">TCL</t>
    </r>
    <r>
      <rPr>
        <sz val="11"/>
        <color rgb="FF000000"/>
        <rFont val="DejaVu Sans"/>
        <family val="2"/>
      </rPr>
      <t xml:space="preserve">中环</t>
    </r>
  </si>
  <si>
    <t xml:space="preserve">002129</t>
  </si>
  <si>
    <t xml:space="preserve">好利科技</t>
  </si>
  <si>
    <t xml:space="preserve">002729</t>
  </si>
  <si>
    <t xml:space="preserve">英维克</t>
  </si>
  <si>
    <t xml:space="preserve">002837</t>
  </si>
  <si>
    <t xml:space="preserve">新金路</t>
  </si>
  <si>
    <t xml:space="preserve">000510</t>
  </si>
  <si>
    <t xml:space="preserve">和胜股份</t>
  </si>
  <si>
    <t xml:space="preserve">002824</t>
  </si>
  <si>
    <t xml:space="preserve">视源股份</t>
  </si>
  <si>
    <t xml:space="preserve">002841</t>
  </si>
  <si>
    <t xml:space="preserve">和远气体</t>
  </si>
  <si>
    <t xml:space="preserve">002971</t>
  </si>
  <si>
    <t xml:space="preserve">沪电股份</t>
  </si>
  <si>
    <t xml:space="preserve">002463</t>
  </si>
  <si>
    <t xml:space="preserve">宇顺电子</t>
  </si>
  <si>
    <t xml:space="preserve">002289</t>
  </si>
  <si>
    <t xml:space="preserve">楚江新材</t>
  </si>
  <si>
    <t xml:space="preserve">002171</t>
  </si>
  <si>
    <t xml:space="preserve">创维数字</t>
  </si>
  <si>
    <t xml:space="preserve">000810</t>
  </si>
  <si>
    <t xml:space="preserve">中顺洁柔</t>
  </si>
  <si>
    <t xml:space="preserve">002511</t>
  </si>
  <si>
    <t xml:space="preserve">北斗星通</t>
  </si>
  <si>
    <t xml:space="preserve">002151</t>
  </si>
  <si>
    <t xml:space="preserve">航天电器</t>
  </si>
  <si>
    <t xml:space="preserve">002025</t>
  </si>
  <si>
    <t xml:space="preserve">北京利尔</t>
  </si>
  <si>
    <t xml:space="preserve">002392</t>
  </si>
  <si>
    <t xml:space="preserve">秦川机床</t>
  </si>
  <si>
    <t xml:space="preserve">000837</t>
  </si>
  <si>
    <t xml:space="preserve">维信诺</t>
  </si>
  <si>
    <t xml:space="preserve">002387</t>
  </si>
  <si>
    <t xml:space="preserve">新时达</t>
  </si>
  <si>
    <t xml:space="preserve">002527</t>
  </si>
  <si>
    <t xml:space="preserve">信立泰</t>
  </si>
  <si>
    <t xml:space="preserve">002294</t>
  </si>
  <si>
    <t xml:space="preserve">航天科技</t>
  </si>
  <si>
    <t xml:space="preserve">000901</t>
  </si>
  <si>
    <t xml:space="preserve">盈新发展</t>
  </si>
  <si>
    <t xml:space="preserve">000620</t>
  </si>
  <si>
    <t xml:space="preserve">百龙创园</t>
  </si>
  <si>
    <t xml:space="preserve">605016</t>
  </si>
  <si>
    <t xml:space="preserve">荣泰健康</t>
  </si>
  <si>
    <t xml:space="preserve">603579</t>
  </si>
  <si>
    <t xml:space="preserve">永新光学</t>
  </si>
  <si>
    <t xml:space="preserve">603297</t>
  </si>
  <si>
    <t xml:space="preserve">万泰生物</t>
  </si>
  <si>
    <t xml:space="preserve">603392</t>
  </si>
  <si>
    <t xml:space="preserve">京华激光</t>
  </si>
  <si>
    <t xml:space="preserve">603607</t>
  </si>
  <si>
    <t xml:space="preserve">三星电气</t>
  </si>
  <si>
    <t xml:space="preserve">601567</t>
  </si>
  <si>
    <t xml:space="preserve">沪光股份</t>
  </si>
  <si>
    <t xml:space="preserve">605333</t>
  </si>
  <si>
    <t xml:space="preserve">亚通精工</t>
  </si>
  <si>
    <t xml:space="preserve">603190</t>
  </si>
  <si>
    <t xml:space="preserve">至纯科技</t>
  </si>
  <si>
    <t xml:space="preserve">603690</t>
  </si>
  <si>
    <t xml:space="preserve">三祥新材</t>
  </si>
  <si>
    <t xml:space="preserve">603663</t>
  </si>
  <si>
    <t xml:space="preserve">东鹏饮料</t>
  </si>
  <si>
    <t xml:space="preserve">605499</t>
  </si>
  <si>
    <t xml:space="preserve">上海港湾</t>
  </si>
  <si>
    <t xml:space="preserve">605598</t>
  </si>
  <si>
    <t xml:space="preserve">欧派家居</t>
  </si>
  <si>
    <t xml:space="preserve">603833</t>
  </si>
  <si>
    <t xml:space="preserve">常青科技</t>
  </si>
  <si>
    <t xml:space="preserve">603125</t>
  </si>
  <si>
    <t xml:space="preserve">共创草坪</t>
  </si>
  <si>
    <t xml:space="preserve">605099</t>
  </si>
  <si>
    <t xml:space="preserve">力鼎光电</t>
  </si>
  <si>
    <t xml:space="preserve">605118</t>
  </si>
  <si>
    <t xml:space="preserve">海兴电力</t>
  </si>
  <si>
    <t xml:space="preserve">603556</t>
  </si>
  <si>
    <t xml:space="preserve">海星股份</t>
  </si>
  <si>
    <t xml:space="preserve">603115</t>
  </si>
  <si>
    <t xml:space="preserve">节能风电</t>
  </si>
  <si>
    <t xml:space="preserve">601016</t>
  </si>
  <si>
    <t xml:space="preserve">吉比特</t>
  </si>
  <si>
    <t xml:space="preserve">603444</t>
  </si>
  <si>
    <r>
      <rPr>
        <sz val="11"/>
        <color rgb="FF000000"/>
        <rFont val="DejaVu Sans"/>
        <family val="2"/>
      </rPr>
      <t xml:space="preserve">需转入</t>
    </r>
    <r>
      <rPr>
        <sz val="11"/>
        <color rgb="FF000000"/>
        <rFont val="Calibri"/>
        <family val="2"/>
        <charset val="1"/>
      </rPr>
      <t xml:space="preserve">20523</t>
    </r>
    <r>
      <rPr>
        <sz val="11"/>
        <color rgb="FF000000"/>
        <rFont val="DejaVu Sans"/>
        <family val="2"/>
      </rPr>
      <t xml:space="preserve">元</t>
    </r>
  </si>
  <si>
    <t xml:space="preserve">交易日期</t>
  </si>
  <si>
    <t xml:space="preserve">买卖方向</t>
  </si>
  <si>
    <t xml:space="preserve">信号类型</t>
  </si>
  <si>
    <t xml:space="preserve">成交价格</t>
  </si>
  <si>
    <t xml:space="preserve">成交股数</t>
  </si>
  <si>
    <t xml:space="preserve">成交金额</t>
  </si>
  <si>
    <t xml:space="preserve">手续费</t>
  </si>
  <si>
    <t xml:space="preserve">成交后持仓股数</t>
  </si>
  <si>
    <t xml:space="preserve">成交后仓位占比</t>
  </si>
  <si>
    <t xml:space="preserve">止损价</t>
  </si>
  <si>
    <t xml:space="preserve">失效条件</t>
  </si>
  <si>
    <t xml:space="preserve">执行动作是否合规</t>
  </si>
  <si>
    <t xml:space="preserve">交易原因</t>
  </si>
  <si>
    <t xml:space="preserve">结果分类</t>
  </si>
  <si>
    <t xml:space="preserve">平仓日期</t>
  </si>
  <si>
    <t xml:space="preserve">平仓收益率</t>
  </si>
  <si>
    <t xml:space="preserve">是否触发止损</t>
  </si>
  <si>
    <t xml:space="preserve">是否情绪化交易</t>
  </si>
  <si>
    <t xml:space="preserve">买入价</t>
  </si>
  <si>
    <t xml:space="preserve">止损风险额</t>
  </si>
  <si>
    <r>
      <rPr>
        <b val="true"/>
        <sz val="11"/>
        <color rgb="FFFFFFFF"/>
        <rFont val="Cambria"/>
        <family val="0"/>
        <charset val="1"/>
      </rPr>
      <t xml:space="preserve">R</t>
    </r>
    <r>
      <rPr>
        <b val="true"/>
        <sz val="11"/>
        <color rgb="FFFFFFFF"/>
        <rFont val="DejaVu Sans"/>
        <family val="2"/>
      </rPr>
      <t xml:space="preserve">倍数</t>
    </r>
  </si>
  <si>
    <r>
      <rPr>
        <b val="true"/>
        <sz val="11"/>
        <color rgb="FFFFFFFF"/>
        <rFont val="DejaVu Sans"/>
        <family val="2"/>
      </rPr>
      <t xml:space="preserve">累计</t>
    </r>
    <r>
      <rPr>
        <b val="true"/>
        <sz val="11"/>
        <color rgb="FFFFFFFF"/>
        <rFont val="DejaVu Sans"/>
        <family val="2"/>
        <charset val="1"/>
      </rPr>
      <t xml:space="preserve">R</t>
    </r>
  </si>
  <si>
    <r>
      <rPr>
        <b val="true"/>
        <sz val="11"/>
        <color rgb="FFFFFFFF"/>
        <rFont val="DejaVu Sans"/>
        <family val="2"/>
      </rPr>
      <t xml:space="preserve">连胜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连亏</t>
    </r>
  </si>
  <si>
    <r>
      <rPr>
        <b val="true"/>
        <sz val="11"/>
        <color rgb="FFFFFFFF"/>
        <rFont val="DejaVu Sans"/>
        <family val="2"/>
      </rPr>
      <t xml:space="preserve">最大回撤</t>
    </r>
    <r>
      <rPr>
        <b val="true"/>
        <sz val="11"/>
        <color rgb="FFFFFFFF"/>
        <rFont val="DejaVu Sans"/>
        <family val="2"/>
        <charset val="1"/>
      </rPr>
      <t xml:space="preserve">(%)</t>
    </r>
  </si>
  <si>
    <t xml:space="preserve">2026-01-05</t>
  </si>
  <si>
    <t xml:space="preserve">买入</t>
  </si>
  <si>
    <t xml:space="preserve">缠论日线一买</t>
  </si>
  <si>
    <t xml:space="preserve">2026-01-12</t>
  </si>
  <si>
    <t xml:space="preserve">黄河旋风</t>
  </si>
  <si>
    <t xml:space="preserve">600172</t>
  </si>
  <si>
    <t xml:space="preserve">2026-01-25</t>
  </si>
  <si>
    <t xml:space="preserve">卖出</t>
  </si>
  <si>
    <t xml:space="preserve">一卖</t>
  </si>
  <si>
    <r>
      <rPr>
        <sz val="11"/>
        <color rgb="FF1F4E79"/>
        <rFont val="DejaVu Sans"/>
        <family val="2"/>
      </rPr>
      <t xml:space="preserve">缠论</t>
    </r>
    <r>
      <rPr>
        <sz val="11"/>
        <color rgb="FF1F4E79"/>
        <rFont val="DejaVu Sans"/>
        <family val="2"/>
        <charset val="1"/>
      </rPr>
      <t xml:space="preserve">30min</t>
    </r>
    <r>
      <rPr>
        <sz val="11"/>
        <color rgb="FF1F4E79"/>
        <rFont val="DejaVu Sans"/>
        <family val="2"/>
      </rPr>
      <t xml:space="preserve">一卖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止损</t>
    </r>
  </si>
  <si>
    <t xml:space="preserve">2026-01-28</t>
  </si>
  <si>
    <r>
      <rPr>
        <sz val="11"/>
        <color rgb="FF1F4E79"/>
        <rFont val="DejaVu Sans"/>
        <family val="2"/>
      </rPr>
      <t xml:space="preserve">缠论日线一卖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止盈</t>
    </r>
    <r>
      <rPr>
        <sz val="11"/>
        <color rgb="FF1F4E79"/>
        <rFont val="DejaVu Sans"/>
        <family val="2"/>
        <charset val="1"/>
      </rPr>
      <t xml:space="preserve">+45%</t>
    </r>
  </si>
  <si>
    <t xml:space="preserve">2026-02-03</t>
  </si>
  <si>
    <r>
      <rPr>
        <sz val="11"/>
        <color rgb="FF1F4E79"/>
        <rFont val="DejaVu Sans"/>
        <family val="2"/>
      </rPr>
      <t xml:space="preserve">缠论日线一买</t>
    </r>
    <r>
      <rPr>
        <sz val="11"/>
        <color rgb="FF1F4E79"/>
        <rFont val="DejaVu Sans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电子</t>
    </r>
    <r>
      <rPr>
        <sz val="11"/>
        <color rgb="FF1F4E79"/>
        <rFont val="DejaVu Sans"/>
        <family val="2"/>
        <charset val="1"/>
      </rPr>
      <t xml:space="preserve">PCB)</t>
    </r>
  </si>
  <si>
    <t xml:space="preserve">2026-03-05</t>
  </si>
  <si>
    <r>
      <rPr>
        <sz val="11"/>
        <color rgb="FF1F4E79"/>
        <rFont val="DejaVu Sans"/>
        <family val="2"/>
      </rPr>
      <t xml:space="preserve">做</t>
    </r>
    <r>
      <rPr>
        <sz val="11"/>
        <color rgb="FF1F4E79"/>
        <rFont val="DejaVu Sans"/>
        <family val="2"/>
        <charset val="1"/>
      </rPr>
      <t xml:space="preserve">T</t>
    </r>
  </si>
  <si>
    <r>
      <rPr>
        <sz val="11"/>
        <color rgb="FF1F4E79"/>
        <rFont val="Cambria"/>
        <family val="0"/>
        <charset val="1"/>
      </rPr>
      <t xml:space="preserve">30min</t>
    </r>
    <r>
      <rPr>
        <sz val="11"/>
        <color rgb="FF1F4E79"/>
        <rFont val="DejaVu Sans"/>
        <family val="2"/>
      </rPr>
      <t xml:space="preserve">一卖做</t>
    </r>
    <r>
      <rPr>
        <sz val="11"/>
        <color rgb="FF1F4E79"/>
        <rFont val="Cambria"/>
        <family val="0"/>
        <charset val="1"/>
      </rPr>
      <t xml:space="preserve">T</t>
    </r>
  </si>
  <si>
    <r>
      <rPr>
        <sz val="11"/>
        <color rgb="FF1F4E79"/>
        <rFont val="Cambria"/>
        <family val="0"/>
        <charset val="1"/>
      </rPr>
      <t xml:space="preserve">5min</t>
    </r>
    <r>
      <rPr>
        <sz val="11"/>
        <color rgb="FF1F4E79"/>
        <rFont val="DejaVu Sans"/>
        <family val="2"/>
      </rPr>
      <t xml:space="preserve">一买回补</t>
    </r>
  </si>
  <si>
    <t xml:space="preserve">2026-03-18</t>
  </si>
  <si>
    <t xml:space="preserve">2026-04-08</t>
  </si>
  <si>
    <r>
      <rPr>
        <sz val="11"/>
        <color rgb="FF1F4E79"/>
        <rFont val="DejaVu Sans"/>
        <family val="2"/>
      </rPr>
      <t xml:space="preserve">缠论日线一卖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止盈</t>
    </r>
    <r>
      <rPr>
        <sz val="11"/>
        <color rgb="FF1F4E79"/>
        <rFont val="DejaVu Sans"/>
        <family val="2"/>
        <charset val="1"/>
      </rPr>
      <t xml:space="preserve">+29%</t>
    </r>
  </si>
  <si>
    <t xml:space="preserve">2026-04-15</t>
  </si>
  <si>
    <t xml:space="preserve">长江电力</t>
  </si>
  <si>
    <t xml:space="preserve">600900</t>
  </si>
  <si>
    <r>
      <rPr>
        <sz val="11"/>
        <color rgb="FF1F4E79"/>
        <rFont val="DejaVu Sans"/>
        <family val="2"/>
      </rPr>
      <t xml:space="preserve">缠论日线一买</t>
    </r>
    <r>
      <rPr>
        <sz val="11"/>
        <color rgb="FF1F4E79"/>
        <rFont val="DejaVu Sans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电力公用</t>
    </r>
    <r>
      <rPr>
        <sz val="11"/>
        <color rgb="FF1F4E79"/>
        <rFont val="DejaVu Sans"/>
        <family val="2"/>
        <charset val="1"/>
      </rPr>
      <t xml:space="preserve">)</t>
    </r>
  </si>
  <si>
    <t xml:space="preserve">2026-04-22</t>
  </si>
  <si>
    <r>
      <rPr>
        <sz val="11"/>
        <color rgb="FF1F4E79"/>
        <rFont val="DejaVu Sans"/>
        <family val="2"/>
      </rPr>
      <t xml:space="preserve">缠论</t>
    </r>
    <r>
      <rPr>
        <sz val="11"/>
        <color rgb="FF1F4E79"/>
        <rFont val="DejaVu Sans"/>
        <family val="2"/>
        <charset val="1"/>
      </rPr>
      <t xml:space="preserve">30min</t>
    </r>
    <r>
      <rPr>
        <sz val="11"/>
        <color rgb="FF1F4E79"/>
        <rFont val="DejaVu Sans"/>
        <family val="2"/>
      </rPr>
      <t xml:space="preserve">一买</t>
    </r>
  </si>
  <si>
    <t xml:space="preserve">2026-05-20</t>
  </si>
  <si>
    <r>
      <rPr>
        <sz val="11"/>
        <color rgb="FF1F4E79"/>
        <rFont val="DejaVu Sans"/>
        <family val="2"/>
      </rPr>
      <t xml:space="preserve">缠论</t>
    </r>
    <r>
      <rPr>
        <sz val="11"/>
        <color rgb="FF1F4E79"/>
        <rFont val="DejaVu Sans"/>
        <family val="2"/>
        <charset val="1"/>
      </rPr>
      <t xml:space="preserve">30min</t>
    </r>
    <r>
      <rPr>
        <sz val="11"/>
        <color rgb="FF1F4E79"/>
        <rFont val="DejaVu Sans"/>
        <family val="2"/>
      </rPr>
      <t xml:space="preserve">一卖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止损</t>
    </r>
    <r>
      <rPr>
        <sz val="11"/>
        <color rgb="FF1F4E79"/>
        <rFont val="DejaVu Sans"/>
        <family val="2"/>
        <charset val="1"/>
      </rPr>
      <t xml:space="preserve">-2%</t>
    </r>
  </si>
  <si>
    <t xml:space="preserve">2026-06-12</t>
  </si>
  <si>
    <r>
      <rPr>
        <sz val="11"/>
        <color rgb="FF1F4E79"/>
        <rFont val="DejaVu Sans"/>
        <family val="2"/>
      </rPr>
      <t xml:space="preserve">缠论日线一卖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止盈</t>
    </r>
    <r>
      <rPr>
        <sz val="11"/>
        <color rgb="FF1F4E79"/>
        <rFont val="DejaVu Sans"/>
        <family val="2"/>
        <charset val="1"/>
      </rPr>
      <t xml:space="preserve">+1.4%</t>
    </r>
  </si>
  <si>
    <t xml:space="preserve">2026-06-20</t>
  </si>
  <si>
    <t xml:space="preserve">万华化学</t>
  </si>
  <si>
    <t xml:space="preserve">600309</t>
  </si>
  <si>
    <t xml:space="preserve">2026-07-18</t>
  </si>
  <si>
    <t xml:space="preserve">加仓</t>
  </si>
  <si>
    <r>
      <rPr>
        <sz val="11"/>
        <color rgb="FF1F4E79"/>
        <rFont val="Cambria"/>
        <family val="0"/>
        <charset val="1"/>
      </rPr>
      <t xml:space="preserve">30min</t>
    </r>
    <r>
      <rPr>
        <sz val="11"/>
        <color rgb="FF1F4E79"/>
        <rFont val="DejaVu Sans"/>
        <family val="2"/>
      </rPr>
      <t xml:space="preserve">一买加仓</t>
    </r>
  </si>
  <si>
    <t xml:space="preserve">2026-07-19</t>
  </si>
  <si>
    <r>
      <rPr>
        <sz val="11"/>
        <color rgb="FF1F4E79"/>
        <rFont val="DejaVu Sans"/>
        <family val="2"/>
      </rPr>
      <t xml:space="preserve">缠论日</t>
    </r>
    <r>
      <rPr>
        <sz val="11"/>
        <color rgb="FF1F4E79"/>
        <rFont val="DejaVu Sans"/>
        <family val="2"/>
        <charset val="1"/>
      </rPr>
      <t xml:space="preserve">+30min</t>
    </r>
    <r>
      <rPr>
        <sz val="11"/>
        <color rgb="FF1F4E79"/>
        <rFont val="DejaVu Sans"/>
        <family val="2"/>
      </rPr>
      <t xml:space="preserve">共振一买</t>
    </r>
  </si>
  <si>
    <t xml:space="preserve">2026-03-20</t>
  </si>
  <si>
    <t xml:space="preserve">分红</t>
  </si>
  <si>
    <t xml:space="preserve">现金分红</t>
  </si>
  <si>
    <t xml:space="preserve">系统健康度仪表盘</t>
  </si>
  <si>
    <r>
      <rPr>
        <b val="true"/>
        <sz val="11"/>
        <color rgb="FF1F4E79"/>
        <rFont val="DejaVu Sans"/>
        <family val="2"/>
      </rPr>
      <t xml:space="preserve">总交易次数</t>
    </r>
    <r>
      <rPr>
        <b val="true"/>
        <sz val="11"/>
        <color rgb="FF1F4E79"/>
        <rFont val="DejaVu Sans"/>
        <family val="2"/>
        <charset val="1"/>
      </rPr>
      <t xml:space="preserve">(</t>
    </r>
    <r>
      <rPr>
        <b val="true"/>
        <sz val="11"/>
        <color rgb="FF1F4E79"/>
        <rFont val="DejaVu Sans"/>
        <family val="2"/>
      </rPr>
      <t xml:space="preserve">不含分红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</si>
  <si>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卖出次数</t>
  </si>
  <si>
    <r>
      <rPr>
        <b val="true"/>
        <sz val="11"/>
        <color rgb="FF1F4E79"/>
        <rFont val="DejaVu Sans"/>
        <family val="2"/>
      </rPr>
      <t xml:space="preserve">盈利次数</t>
    </r>
    <r>
      <rPr>
        <b val="true"/>
        <sz val="11"/>
        <color rgb="FF1F4E79"/>
        <rFont val="DejaVu Sans"/>
        <family val="2"/>
        <charset val="1"/>
      </rPr>
      <t xml:space="preserve">(R&gt;0)</t>
    </r>
  </si>
  <si>
    <r>
      <rPr>
        <b val="true"/>
        <sz val="11"/>
        <color rgb="FF1F4E79"/>
        <rFont val="DejaVu Sans"/>
        <family val="2"/>
      </rPr>
      <t xml:space="preserve">亏损次数</t>
    </r>
    <r>
      <rPr>
        <b val="true"/>
        <sz val="11"/>
        <color rgb="FF1F4E79"/>
        <rFont val="DejaVu Sans"/>
        <family val="2"/>
        <charset val="1"/>
      </rPr>
      <t xml:space="preserve">(R&lt;0)</t>
    </r>
  </si>
  <si>
    <t xml:space="preserve">胜率</t>
  </si>
  <si>
    <r>
      <rPr>
        <b val="true"/>
        <sz val="11"/>
        <color rgb="FF1F4E79"/>
        <rFont val="DejaVu Sans"/>
        <family val="2"/>
      </rPr>
      <t xml:space="preserve">平均</t>
    </r>
    <r>
      <rPr>
        <b val="true"/>
        <sz val="11"/>
        <color rgb="FF1F4E79"/>
        <rFont val="DejaVu Sans"/>
        <family val="2"/>
        <charset val="1"/>
      </rPr>
      <t xml:space="preserve">R</t>
    </r>
    <r>
      <rPr>
        <b val="true"/>
        <sz val="11"/>
        <color rgb="FF1F4E79"/>
        <rFont val="DejaVu Sans"/>
        <family val="2"/>
      </rPr>
      <t xml:space="preserve">倍数</t>
    </r>
  </si>
  <si>
    <r>
      <rPr>
        <b val="true"/>
        <sz val="11"/>
        <color rgb="FF1F4E79"/>
        <rFont val="DejaVu Sans"/>
        <family val="2"/>
      </rPr>
      <t xml:space="preserve">总</t>
    </r>
    <r>
      <rPr>
        <b val="true"/>
        <sz val="11"/>
        <color rgb="FF1F4E79"/>
        <rFont val="DejaVu Sans"/>
        <family val="2"/>
        <charset val="1"/>
      </rPr>
      <t xml:space="preserve">R</t>
    </r>
    <r>
      <rPr>
        <b val="true"/>
        <sz val="11"/>
        <color rgb="FF1F4E79"/>
        <rFont val="DejaVu Sans"/>
        <family val="2"/>
      </rPr>
      <t xml:space="preserve">倍数</t>
    </r>
  </si>
  <si>
    <r>
      <rPr>
        <b val="true"/>
        <sz val="11"/>
        <color rgb="FF1F4E79"/>
        <rFont val="DejaVu Sans"/>
        <family val="2"/>
      </rPr>
      <t xml:space="preserve">最大单笔</t>
    </r>
    <r>
      <rPr>
        <b val="true"/>
        <sz val="11"/>
        <color rgb="FF1F4E79"/>
        <rFont val="DejaVu Sans"/>
        <family val="2"/>
        <charset val="1"/>
      </rPr>
      <t xml:space="preserve">R</t>
    </r>
  </si>
  <si>
    <r>
      <rPr>
        <b val="true"/>
        <sz val="11"/>
        <color rgb="FF1F4E79"/>
        <rFont val="DejaVu Sans"/>
        <family val="2"/>
      </rPr>
      <t xml:space="preserve">最大单笔亏损</t>
    </r>
    <r>
      <rPr>
        <b val="true"/>
        <sz val="11"/>
        <color rgb="FF1F4E79"/>
        <rFont val="DejaVu Sans"/>
        <family val="2"/>
        <charset val="1"/>
      </rPr>
      <t xml:space="preserve">R</t>
    </r>
  </si>
  <si>
    <r>
      <rPr>
        <b val="true"/>
        <sz val="11"/>
        <color rgb="FF1F4E79"/>
        <rFont val="DejaVu Sans"/>
        <family val="2"/>
      </rPr>
      <t xml:space="preserve">最大连续盈利</t>
    </r>
    <r>
      <rPr>
        <b val="true"/>
        <sz val="11"/>
        <color rgb="FF1F4E79"/>
        <rFont val="DejaVu Sans"/>
        <family val="2"/>
        <charset val="1"/>
      </rPr>
      <t xml:space="preserve">(</t>
    </r>
    <r>
      <rPr>
        <b val="true"/>
        <sz val="11"/>
        <color rgb="FF1F4E79"/>
        <rFont val="DejaVu Sans"/>
        <family val="2"/>
      </rPr>
      <t xml:space="preserve">笔</t>
    </r>
    <r>
      <rPr>
        <b val="true"/>
        <sz val="11"/>
        <color rgb="FF1F4E79"/>
        <rFont val="DejaVu Sans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</si>
  <si>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DejaVu Sans"/>
        <family val="2"/>
      </rPr>
      <t xml:space="preserve">见</t>
    </r>
    <r>
      <rPr>
        <sz val="11"/>
        <color rgb="FF000000"/>
        <rFont val="Calibri"/>
        <family val="2"/>
        <charset val="1"/>
      </rPr>
      <t xml:space="preserve">Z</t>
    </r>
    <r>
      <rPr>
        <sz val="11"/>
        <color rgb="FF000000"/>
        <rFont val="DejaVu Sans"/>
        <family val="2"/>
      </rPr>
      <t xml:space="preserve">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连胜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连亏</t>
    </r>
    <r>
      <rPr>
        <sz val="11"/>
        <color rgb="FF000000"/>
        <rFont val="Calibri"/>
        <family val="2"/>
        <charset val="1"/>
      </rPr>
      <t xml:space="preserve">)"</t>
    </r>
  </si>
  <si>
    <r>
      <rPr>
        <b val="true"/>
        <sz val="11"/>
        <color rgb="FF1F4E79"/>
        <rFont val="DejaVu Sans"/>
        <family val="2"/>
      </rPr>
      <t xml:space="preserve">最大连续亏损</t>
    </r>
    <r>
      <rPr>
        <b val="true"/>
        <sz val="11"/>
        <color rgb="FF1F4E79"/>
        <rFont val="DejaVu Sans"/>
        <family val="2"/>
        <charset val="1"/>
      </rPr>
      <t xml:space="preserve">(</t>
    </r>
    <r>
      <rPr>
        <b val="true"/>
        <sz val="11"/>
        <color rgb="FF1F4E79"/>
        <rFont val="DejaVu Sans"/>
        <family val="2"/>
      </rPr>
      <t xml:space="preserve">笔</t>
    </r>
    <r>
      <rPr>
        <b val="true"/>
        <sz val="11"/>
        <color rgb="FF1F4E79"/>
        <rFont val="DejaVu Sans"/>
        <family val="2"/>
        <charset val="1"/>
      </rPr>
      <t xml:space="preserve">)</t>
    </r>
  </si>
  <si>
    <r>
      <rPr>
        <b val="true"/>
        <sz val="11"/>
        <color rgb="FF1F4E79"/>
        <rFont val="DejaVu Sans"/>
        <family val="2"/>
      </rPr>
      <t xml:space="preserve">累计</t>
    </r>
    <r>
      <rPr>
        <b val="true"/>
        <sz val="11"/>
        <color rgb="FF1F4E79"/>
        <rFont val="DejaVu Sans"/>
        <family val="2"/>
        <charset val="1"/>
      </rPr>
      <t xml:space="preserve">R</t>
    </r>
    <r>
      <rPr>
        <b val="true"/>
        <sz val="11"/>
        <color rgb="FF1F4E79"/>
        <rFont val="DejaVu Sans"/>
        <family val="2"/>
      </rPr>
      <t xml:space="preserve">最大回撤</t>
    </r>
  </si>
  <si>
    <t xml:space="preserve">盈亏比</t>
  </si>
  <si>
    <t xml:space="preserve">系统状态</t>
  </si>
  <si>
    <t xml:space="preserve">正期望系统 ✅</t>
  </si>
  <si>
    <t xml:space="preserve">减仓降超限</t>
  </si>
  <si>
    <t xml:space="preserve">合规</t>
  </si>
  <si>
    <r>
      <rPr>
        <sz val="11"/>
        <color rgb="FF000000"/>
        <rFont val="Calibri"/>
        <family val="2"/>
        <charset val="1"/>
      </rPr>
      <t xml:space="preserve">30min</t>
    </r>
    <r>
      <rPr>
        <sz val="11"/>
        <color rgb="FF000000"/>
        <rFont val="DejaVu Sans"/>
        <family val="2"/>
      </rPr>
      <t xml:space="preserve">卖点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仓位</t>
    </r>
    <r>
      <rPr>
        <sz val="11"/>
        <color rgb="FF000000"/>
        <rFont val="Calibri"/>
        <family val="2"/>
        <charset val="1"/>
      </rPr>
      <t xml:space="preserve">37%</t>
    </r>
    <r>
      <rPr>
        <sz val="11"/>
        <color rgb="FF000000"/>
        <rFont val="DejaVu Sans"/>
        <family val="2"/>
      </rPr>
      <t xml:space="preserve">超限</t>
    </r>
  </si>
  <si>
    <r>
      <rPr>
        <sz val="11"/>
        <color rgb="FF000000"/>
        <rFont val="DejaVu Sans"/>
        <family val="2"/>
      </rPr>
      <t xml:space="preserve">盈利</t>
    </r>
    <r>
      <rPr>
        <sz val="11"/>
        <color rgb="FF000000"/>
        <rFont val="DejaVu Sans"/>
        <family val="2"/>
        <charset val="1"/>
      </rPr>
      <t xml:space="preserve">+774</t>
    </r>
    <r>
      <rPr>
        <sz val="11"/>
        <color rgb="FF000000"/>
        <rFont val="DejaVu Sans"/>
        <family val="2"/>
      </rPr>
      <t xml:space="preserve">元</t>
    </r>
  </si>
  <si>
    <t xml:space="preserve">日线一买确认</t>
  </si>
  <si>
    <t xml:space="preserve">破止损</t>
  </si>
  <si>
    <r>
      <rPr>
        <sz val="11"/>
        <color rgb="FF000000"/>
        <rFont val="DejaVu Sans"/>
        <family val="2"/>
      </rPr>
      <t xml:space="preserve">日线</t>
    </r>
    <r>
      <rPr>
        <sz val="11"/>
        <color rgb="FF000000"/>
        <rFont val="DejaVu Sans"/>
        <family val="2"/>
        <charset val="1"/>
      </rPr>
      <t xml:space="preserve">ratio=3.7% DL_P=0.70 valid</t>
    </r>
  </si>
  <si>
    <t xml:space="preserve">持仓中</t>
  </si>
  <si>
    <r>
      <rPr>
        <sz val="11"/>
        <color rgb="FF000000"/>
        <rFont val="DejaVu Sans"/>
        <family val="2"/>
      </rPr>
      <t xml:space="preserve">日线</t>
    </r>
    <r>
      <rPr>
        <sz val="11"/>
        <color rgb="FF000000"/>
        <rFont val="DejaVu Sans"/>
        <family val="2"/>
        <charset val="1"/>
      </rPr>
      <t xml:space="preserve">ratio=5.7% DL_P=0.70 valid</t>
    </r>
  </si>
  <si>
    <r>
      <rPr>
        <sz val="11"/>
        <color rgb="FF000000"/>
        <rFont val="DejaVu Sans"/>
        <family val="2"/>
      </rPr>
      <t xml:space="preserve">合规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已减量</t>
    </r>
    <r>
      <rPr>
        <sz val="11"/>
        <color rgb="FF000000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</si>
  <si>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日线</t>
    </r>
    <r>
      <rPr>
        <sz val="11"/>
        <color rgb="FF000000"/>
        <rFont val="DejaVu Sans"/>
        <family val="2"/>
        <charset val="1"/>
      </rPr>
      <t xml:space="preserve">ratio=9.7% </t>
    </r>
    <r>
      <rPr>
        <sz val="11"/>
        <color rgb="FF000000"/>
        <rFont val="DejaVu Sans"/>
        <family val="2"/>
      </rPr>
      <t xml:space="preserve">原挂</t>
    </r>
    <r>
      <rPr>
        <sz val="11"/>
        <color rgb="FF000000"/>
        <rFont val="DejaVu Sans"/>
        <family val="2"/>
        <charset val="1"/>
      </rPr>
      <t xml:space="preserve">2100</t>
    </r>
    <r>
      <rPr>
        <sz val="11"/>
        <color rgb="FF000000"/>
        <rFont val="DejaVu Sans"/>
        <family val="2"/>
      </rPr>
      <t xml:space="preserve">股减至</t>
    </r>
    <r>
      <rPr>
        <sz val="11"/>
        <color rgb="FF000000"/>
        <rFont val="DejaVu Sans"/>
        <family val="2"/>
        <charset val="1"/>
      </rPr>
      <t xml:space="preserve">500</t>
    </r>
    <r>
      <rPr>
        <sz val="11"/>
        <color rgb="FF000000"/>
        <rFont val="DejaVu Sans"/>
        <family val="2"/>
      </rPr>
      <t xml:space="preserve">股</t>
    </r>
  </si>
  <si>
    <r>
      <rPr>
        <sz val="11"/>
        <color rgb="FF000000"/>
        <rFont val="DejaVu Sans"/>
        <family val="2"/>
      </rPr>
      <t xml:space="preserve">日线</t>
    </r>
    <r>
      <rPr>
        <sz val="11"/>
        <color rgb="FF000000"/>
        <rFont val="DejaVu Sans"/>
        <family val="2"/>
        <charset val="1"/>
      </rPr>
      <t xml:space="preserve">ratio=2.7% DL_P=0.70 </t>
    </r>
    <r>
      <rPr>
        <sz val="11"/>
        <color rgb="FF000000"/>
        <rFont val="DejaVu Sans"/>
        <family val="2"/>
      </rPr>
      <t xml:space="preserve">全买点</t>
    </r>
  </si>
  <si>
    <r>
      <rPr>
        <sz val="11"/>
        <color rgb="FF000000"/>
        <rFont val="DejaVu Sans"/>
        <family val="2"/>
      </rPr>
      <t xml:space="preserve">日线</t>
    </r>
    <r>
      <rPr>
        <sz val="11"/>
        <color rgb="FF000000"/>
        <rFont val="DejaVu Sans"/>
        <family val="2"/>
        <charset val="1"/>
      </rPr>
      <t xml:space="preserve">ratio=12.1% </t>
    </r>
    <r>
      <rPr>
        <sz val="11"/>
        <color rgb="FF000000"/>
        <rFont val="DejaVu Sans"/>
        <family val="2"/>
      </rPr>
      <t xml:space="preserve">三级全买点</t>
    </r>
  </si>
  <si>
    <t xml:space="preserve">2026-07-29</t>
  </si>
  <si>
    <t xml:space="preserve">⚠️ 合规审查</t>
  </si>
  <si>
    <t xml:space="preserve">违规标注</t>
  </si>
  <si>
    <r>
      <rPr>
        <sz val="11"/>
        <color rgb="FF000000"/>
        <rFont val="DejaVu Sans"/>
        <family val="2"/>
      </rPr>
      <t xml:space="preserve">沃华医药买入</t>
    </r>
    <r>
      <rPr>
        <sz val="11"/>
        <color rgb="FF000000"/>
        <rFont val="DejaVu Sans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三力士卖出 均建议撤单</t>
    </r>
  </si>
  <si>
    <t xml:space="preserve">⚠️违规买入</t>
  </si>
  <si>
    <r>
      <rPr>
        <sz val="11"/>
        <color rgb="FF000000"/>
        <rFont val="DejaVu Sans"/>
        <family val="2"/>
      </rPr>
      <t xml:space="preserve">不在候选池内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未经系统筛选</t>
    </r>
  </si>
  <si>
    <t xml:space="preserve">⚠️违规卖出</t>
  </si>
  <si>
    <t xml:space="preserve">计划持有但挂全仓卖出单</t>
  </si>
  <si>
    <r>
      <rPr>
        <sz val="11"/>
        <color rgb="FF000000"/>
        <rFont val="DejaVu Sans"/>
        <family val="2"/>
      </rPr>
      <t xml:space="preserve">建议撤单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除非有日线卖点信号</t>
    </r>
  </si>
  <si>
    <t xml:space="preserve">去弱留强</t>
  </si>
  <si>
    <r>
      <rPr>
        <sz val="11"/>
        <color rgb="FF000000"/>
        <rFont val="DejaVu Sans"/>
        <family val="2"/>
      </rPr>
      <t xml:space="preserve">去弱留强减仓，保留</t>
    </r>
    <r>
      <rPr>
        <sz val="11"/>
        <color rgb="FF000000"/>
        <rFont val="DejaVu Sans"/>
        <family val="2"/>
        <charset val="1"/>
      </rPr>
      <t xml:space="preserve">100</t>
    </r>
    <r>
      <rPr>
        <sz val="11"/>
        <color rgb="FF000000"/>
        <rFont val="DejaVu Sans"/>
        <family val="2"/>
      </rPr>
      <t xml:space="preserve">股</t>
    </r>
  </si>
  <si>
    <t xml:space="preserve">二买信号</t>
  </si>
  <si>
    <r>
      <rPr>
        <sz val="11"/>
        <color rgb="FF000000"/>
        <rFont val="DejaVu Sans"/>
        <family val="2"/>
      </rPr>
      <t xml:space="preserve">二买信号确认加仓</t>
    </r>
    <r>
      <rPr>
        <sz val="11"/>
        <color rgb="FF000000"/>
        <rFont val="DejaVu Sans"/>
        <family val="2"/>
        <charset val="1"/>
      </rPr>
      <t xml:space="preserve">(30min EP=0.60 DL_P=0.93)</t>
    </r>
  </si>
  <si>
    <t xml:space="preserve">一卖信号</t>
  </si>
  <si>
    <r>
      <rPr>
        <sz val="11"/>
        <color rgb="FF000000"/>
        <rFont val="Noto Sans CJK SC"/>
        <family val="2"/>
        <charset val="1"/>
      </rPr>
      <t xml:space="preserve">30min</t>
    </r>
    <r>
      <rPr>
        <sz val="11"/>
        <color rgb="FF000000"/>
        <rFont val="DejaVu Sans"/>
        <family val="2"/>
      </rPr>
      <t xml:space="preserve">一卖信号确认，清仓剩余</t>
    </r>
    <r>
      <rPr>
        <sz val="11"/>
        <color rgb="FF000000"/>
        <rFont val="Noto Sans CJK SC"/>
        <family val="2"/>
        <charset val="1"/>
      </rPr>
      <t xml:space="preserve">100</t>
    </r>
    <r>
      <rPr>
        <sz val="11"/>
        <color rgb="FF000000"/>
        <rFont val="DejaVu Sans"/>
        <family val="2"/>
      </rPr>
      <t xml:space="preserve">股</t>
    </r>
  </si>
  <si>
    <r>
      <rPr>
        <sz val="11"/>
        <color rgb="FF000000"/>
        <rFont val="Noto Sans CJK SC"/>
        <family val="2"/>
        <charset val="1"/>
      </rPr>
      <t xml:space="preserve">DL_P</t>
    </r>
    <r>
      <rPr>
        <sz val="11"/>
        <color rgb="FF000000"/>
        <rFont val="DejaVu Sans"/>
        <family val="2"/>
      </rPr>
      <t xml:space="preserve">弱信号，清仓剩余</t>
    </r>
    <r>
      <rPr>
        <sz val="11"/>
        <color rgb="FF000000"/>
        <rFont val="Noto Sans CJK SC"/>
        <family val="2"/>
        <charset val="1"/>
      </rPr>
      <t xml:space="preserve">100</t>
    </r>
    <r>
      <rPr>
        <sz val="11"/>
        <color rgb="FF000000"/>
        <rFont val="DejaVu Sans"/>
        <family val="2"/>
      </rPr>
      <t xml:space="preserve">股</t>
    </r>
  </si>
  <si>
    <r>
      <rPr>
        <sz val="11"/>
        <color rgb="FF000000"/>
        <rFont val="DejaVu Sans"/>
        <family val="2"/>
      </rPr>
      <t xml:space="preserve">二买确认加仓</t>
    </r>
    <r>
      <rPr>
        <sz val="11"/>
        <color rgb="FF000000"/>
        <rFont val="DejaVu Sans"/>
        <family val="2"/>
        <charset val="1"/>
      </rPr>
      <t xml:space="preserve">100</t>
    </r>
    <r>
      <rPr>
        <sz val="11"/>
        <color rgb="FF000000"/>
        <rFont val="DejaVu Sans"/>
        <family val="2"/>
      </rPr>
      <t xml:space="preserve">股</t>
    </r>
  </si>
  <si>
    <t xml:space="preserve">2026-07-31 04:08</t>
  </si>
  <si>
    <r>
      <rPr>
        <sz val="11"/>
        <color rgb="FF000000"/>
        <rFont val="Calibri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清仓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DejaVu Sans"/>
        <family val="2"/>
      </rPr>
      <t xml:space="preserve">破一买低</t>
    </r>
  </si>
  <si>
    <t xml:space="preserve">非工作流看盘次数</t>
  </si>
  <si>
    <t xml:space="preserve">是否追价操作</t>
  </si>
  <si>
    <t xml:space="preserve">是否按系统执行</t>
  </si>
  <si>
    <r>
      <rPr>
        <b val="true"/>
        <sz val="11"/>
        <color rgb="FFFFFFFF"/>
        <rFont val="DejaVu Sans"/>
        <family val="2"/>
      </rPr>
      <t xml:space="preserve">情绪状态</t>
    </r>
    <r>
      <rPr>
        <b val="true"/>
        <sz val="11"/>
        <color rgb="FFFFFFFF"/>
        <rFont val="DejaVu Sans"/>
        <family val="2"/>
        <charset val="1"/>
      </rPr>
      <t xml:space="preserve">(1-5)</t>
    </r>
  </si>
  <si>
    <t xml:space="preserve">是否有止损外操作</t>
  </si>
  <si>
    <t xml:space="preserve">当日交易次数</t>
  </si>
  <si>
    <r>
      <rPr>
        <b val="true"/>
        <sz val="11"/>
        <color rgb="FFFFFFFF"/>
        <rFont val="DejaVu Sans"/>
        <family val="2"/>
      </rPr>
      <t xml:space="preserve">当日系统判定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全部合规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</si>
  <si>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焦虑事件描述</t>
  </si>
  <si>
    <t xml:space="preserve">今日心态感悟</t>
  </si>
  <si>
    <t xml:space="preserve">本周平均心态得分</t>
  </si>
  <si>
    <t xml:space="preserve">本周达标天数</t>
  </si>
  <si>
    <t xml:space="preserve">心态趋势</t>
  </si>
  <si>
    <t xml:space="preserve">全部合规</t>
  </si>
  <si>
    <t xml:space="preserve">未达标</t>
  </si>
  <si>
    <r>
      <rPr>
        <sz val="11"/>
        <color rgb="FF1F4E79"/>
        <rFont val="DejaVu Sans"/>
        <family val="2"/>
      </rPr>
      <t xml:space="preserve">曲美家居原挂</t>
    </r>
    <r>
      <rPr>
        <sz val="11"/>
        <color rgb="FF1F4E79"/>
        <rFont val="DejaVu Sans"/>
        <family val="2"/>
        <charset val="1"/>
      </rPr>
      <t xml:space="preserve">2100</t>
    </r>
    <r>
      <rPr>
        <sz val="11"/>
        <color rgb="FF1F4E79"/>
        <rFont val="DejaVu Sans"/>
        <family val="2"/>
      </rPr>
      <t xml:space="preserve">股</t>
    </r>
    <r>
      <rPr>
        <sz val="11"/>
        <color rgb="FF1F4E79"/>
        <rFont val="DejaVu Sans"/>
        <family val="2"/>
        <charset val="1"/>
      </rPr>
      <t xml:space="preserve">(33%</t>
    </r>
    <r>
      <rPr>
        <sz val="11"/>
        <color rgb="FF1F4E79"/>
        <rFont val="DejaVu Sans"/>
        <family val="2"/>
      </rPr>
      <t xml:space="preserve">仓位</t>
    </r>
    <r>
      <rPr>
        <sz val="11"/>
        <color rgb="FF1F4E79"/>
        <rFont val="DejaVu Sans"/>
        <family val="2"/>
        <charset val="1"/>
      </rPr>
      <t xml:space="preserve">)</t>
    </r>
    <r>
      <rPr>
        <sz val="11"/>
        <color rgb="FF1F4E79"/>
        <rFont val="DejaVu Sans"/>
        <family val="2"/>
      </rPr>
      <t xml:space="preserve">超限</t>
    </r>
    <r>
      <rPr>
        <sz val="11"/>
        <color rgb="FF1F4E79"/>
        <rFont val="DejaVu Sans"/>
        <family val="2"/>
        <charset val="1"/>
      </rPr>
      <t xml:space="preserve">,</t>
    </r>
    <r>
      <rPr>
        <sz val="11"/>
        <color rgb="FF1F4E79"/>
        <rFont val="DejaVu Sans"/>
        <family val="2"/>
      </rPr>
      <t xml:space="preserve">减至</t>
    </r>
    <r>
      <rPr>
        <sz val="11"/>
        <color rgb="FF1F4E79"/>
        <rFont val="DejaVu Sans"/>
        <family val="2"/>
        <charset val="1"/>
      </rPr>
      <t xml:space="preserve">500</t>
    </r>
    <r>
      <rPr>
        <sz val="11"/>
        <color rgb="FF1F4E79"/>
        <rFont val="DejaVu Sans"/>
        <family val="2"/>
      </rPr>
      <t xml:space="preserve">股后合规</t>
    </r>
  </si>
  <si>
    <r>
      <rPr>
        <sz val="11"/>
        <color rgb="FF1F4E79"/>
        <rFont val="DejaVu Sans"/>
        <family val="2"/>
      </rPr>
      <t xml:space="preserve">普跌日执行</t>
    </r>
    <r>
      <rPr>
        <sz val="11"/>
        <color rgb="FF1F4E79"/>
        <rFont val="DejaVu Sans"/>
        <family val="2"/>
        <charset val="1"/>
      </rPr>
      <t xml:space="preserve">6</t>
    </r>
    <r>
      <rPr>
        <sz val="11"/>
        <color rgb="FF1F4E79"/>
        <rFont val="DejaVu Sans"/>
        <family val="2"/>
      </rPr>
      <t xml:space="preserve">笔交易</t>
    </r>
    <r>
      <rPr>
        <sz val="11"/>
        <color rgb="FF1F4E79"/>
        <rFont val="DejaVu Sans"/>
        <family val="2"/>
        <charset val="1"/>
      </rPr>
      <t xml:space="preserve">,</t>
    </r>
    <r>
      <rPr>
        <sz val="11"/>
        <color rgb="FF1F4E79"/>
        <rFont val="DejaVu Sans"/>
        <family val="2"/>
      </rPr>
      <t xml:space="preserve">卖超限万华回收资金</t>
    </r>
    <r>
      <rPr>
        <sz val="11"/>
        <color rgb="FF1F4E79"/>
        <rFont val="DejaVu Sans"/>
        <family val="2"/>
        <charset val="1"/>
      </rPr>
      <t xml:space="preserve">,</t>
    </r>
    <r>
      <rPr>
        <sz val="11"/>
        <color rgb="FF1F4E79"/>
        <rFont val="DejaVu Sans"/>
        <family val="2"/>
      </rPr>
      <t xml:space="preserve">建仓</t>
    </r>
    <r>
      <rPr>
        <sz val="11"/>
        <color rgb="FF1F4E79"/>
        <rFont val="DejaVu Sans"/>
        <family val="2"/>
        <charset val="1"/>
      </rPr>
      <t xml:space="preserve">4</t>
    </r>
    <r>
      <rPr>
        <sz val="11"/>
        <color rgb="FF1F4E79"/>
        <rFont val="DejaVu Sans"/>
        <family val="2"/>
      </rPr>
      <t xml:space="preserve">只多级别买点标的。大盘</t>
    </r>
    <r>
      <rPr>
        <sz val="11"/>
        <color rgb="FF1F4E79"/>
        <rFont val="DejaVu Sans"/>
        <family val="2"/>
        <charset val="1"/>
      </rPr>
      <t xml:space="preserve">1min</t>
    </r>
    <r>
      <rPr>
        <sz val="11"/>
        <color rgb="FF1F4E79"/>
        <rFont val="DejaVu Sans"/>
        <family val="2"/>
      </rPr>
      <t xml:space="preserve">买点</t>
    </r>
    <r>
      <rPr>
        <sz val="11"/>
        <color rgb="FF1F4E79"/>
        <rFont val="DejaVu Sans"/>
        <family val="2"/>
        <charset val="1"/>
      </rPr>
      <t xml:space="preserve">ratio=55%</t>
    </r>
    <r>
      <rPr>
        <sz val="11"/>
        <color rgb="FF1F4E79"/>
        <rFont val="DejaVu Sans"/>
        <family val="2"/>
      </rPr>
      <t xml:space="preserve">未确认</t>
    </r>
    <r>
      <rPr>
        <sz val="11"/>
        <color rgb="FF1F4E79"/>
        <rFont val="DejaVu Sans"/>
        <family val="2"/>
        <charset val="1"/>
      </rPr>
      <t xml:space="preserve">,</t>
    </r>
    <r>
      <rPr>
        <sz val="11"/>
        <color rgb="FF1F4E79"/>
        <rFont val="DejaVu Sans"/>
        <family val="2"/>
      </rPr>
      <t xml:space="preserve">属正常回调。严格执行仓位管理</t>
    </r>
    <r>
      <rPr>
        <sz val="11"/>
        <color rgb="FF1F4E79"/>
        <rFont val="DejaVu Sans"/>
        <family val="2"/>
        <charset val="1"/>
      </rPr>
      <t xml:space="preserve">,</t>
    </r>
    <r>
      <rPr>
        <sz val="11"/>
        <color rgb="FF1F4E79"/>
        <rFont val="DejaVu Sans"/>
        <family val="2"/>
      </rPr>
      <t xml:space="preserve">未追涨未恐慌卖出。</t>
    </r>
  </si>
  <si>
    <t xml:space="preserve">心态轻态化仪表盘</t>
  </si>
  <si>
    <t xml:space="preserve">填写天数</t>
  </si>
  <si>
    <t xml:space="preserve">达标天数</t>
  </si>
  <si>
    <t xml:space="preserve">达标率</t>
  </si>
  <si>
    <t xml:space="preserve">平均心态得分</t>
  </si>
  <si>
    <t xml:space="preserve">最佳心态得分</t>
  </si>
  <si>
    <t xml:space="preserve">最差心态得分</t>
  </si>
  <si>
    <t xml:space="preserve">当前连续达标</t>
  </si>
  <si>
    <t xml:space="preserve">历史最长连续达标</t>
  </si>
  <si>
    <r>
      <rPr>
        <b val="true"/>
        <sz val="11"/>
        <color rgb="FF1F4E79"/>
        <rFont val="DejaVu Sans"/>
        <family val="2"/>
      </rPr>
      <t xml:space="preserve">平均看盘次数</t>
    </r>
    <r>
      <rPr>
        <b val="true"/>
        <sz val="11"/>
        <color rgb="FF1F4E79"/>
        <rFont val="DejaVu Sans"/>
        <family val="2"/>
        <charset val="1"/>
      </rPr>
      <t xml:space="preserve">/</t>
    </r>
    <r>
      <rPr>
        <b val="true"/>
        <sz val="11"/>
        <color rgb="FF1F4E79"/>
        <rFont val="DejaVu Sans"/>
        <family val="2"/>
      </rPr>
      <t xml:space="preserve">天</t>
    </r>
  </si>
  <si>
    <t xml:space="preserve">追价违规次数</t>
  </si>
  <si>
    <t xml:space="preserve">系统偏离次数</t>
  </si>
  <si>
    <t xml:space="preserve">止损外操作次数</t>
  </si>
  <si>
    <t xml:space="preserve">平均情绪评分</t>
  </si>
  <si>
    <t xml:space="preserve">心态状态</t>
  </si>
  <si>
    <t xml:space="preserve">评分说明</t>
  </si>
  <si>
    <r>
      <rPr>
        <sz val="11"/>
        <color rgb="FF6B7280"/>
        <rFont val="Cambria"/>
        <family val="0"/>
        <charset val="1"/>
      </rPr>
      <t xml:space="preserve">B</t>
    </r>
    <r>
      <rPr>
        <sz val="11"/>
        <color rgb="FF6B7280"/>
        <rFont val="DejaVu Sans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非工作流看盘次数 — 收盘后截图录入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DejaVu Sans"/>
        <family val="2"/>
      </rPr>
      <t xml:space="preserve">工作流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DejaVu Sans"/>
        <family val="2"/>
      </rPr>
      <t xml:space="preserve">不计入。盘中反复刷新</t>
    </r>
    <r>
      <rPr>
        <sz val="11"/>
        <color rgb="FF6B7280"/>
        <rFont val="Cambria"/>
        <family val="0"/>
        <charset val="1"/>
      </rPr>
      <t xml:space="preserve">App=</t>
    </r>
    <r>
      <rPr>
        <sz val="11"/>
        <color rgb="FF6B7280"/>
        <rFont val="DejaVu Sans"/>
        <family val="2"/>
      </rPr>
      <t xml:space="preserve">焦虑看盘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DejaVu Sans"/>
        <family val="2"/>
      </rPr>
      <t xml:space="preserve">计入。</t>
    </r>
  </si>
  <si>
    <r>
      <rPr>
        <sz val="11"/>
        <color rgb="FF6B7280"/>
        <rFont val="Cambria"/>
        <family val="0"/>
        <charset val="1"/>
      </rPr>
      <t xml:space="preserve">C</t>
    </r>
    <r>
      <rPr>
        <sz val="11"/>
        <color rgb="FF6B7280"/>
        <rFont val="DejaVu Sans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是否追价 — 系统未确认信号时主动买入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DejaVu Sans"/>
        <family val="2"/>
      </rPr>
      <t xml:space="preserve">追价。系统确认后买入</t>
    </r>
    <r>
      <rPr>
        <sz val="11"/>
        <color rgb="FF6B7280"/>
        <rFont val="Cambria"/>
        <family val="0"/>
        <charset val="1"/>
      </rPr>
      <t xml:space="preserve">=</t>
    </r>
    <r>
      <rPr>
        <sz val="11"/>
        <color rgb="FF6B7280"/>
        <rFont val="DejaVu Sans"/>
        <family val="2"/>
      </rPr>
      <t xml:space="preserve">正常执行。</t>
    </r>
  </si>
  <si>
    <r>
      <rPr>
        <sz val="11"/>
        <color rgb="FF6B7280"/>
        <rFont val="Cambria"/>
        <family val="0"/>
        <charset val="1"/>
      </rPr>
      <t xml:space="preserve">D</t>
    </r>
    <r>
      <rPr>
        <sz val="11"/>
        <color rgb="FF6B7280"/>
        <rFont val="DejaVu Sans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是否按系统执行 — 持仓表</t>
    </r>
    <r>
      <rPr>
        <sz val="11"/>
        <color rgb="FF6B7280"/>
        <rFont val="Cambria"/>
        <family val="0"/>
        <charset val="1"/>
      </rPr>
      <t xml:space="preserve">AB</t>
    </r>
    <r>
      <rPr>
        <sz val="11"/>
        <color rgb="FF6B7280"/>
        <rFont val="DejaVu Sans"/>
        <family val="2"/>
      </rPr>
      <t xml:space="preserve">列结论 </t>
    </r>
    <r>
      <rPr>
        <sz val="11"/>
        <color rgb="FF6B7280"/>
        <rFont val="Cambria"/>
        <family val="0"/>
        <charset val="1"/>
      </rPr>
      <t xml:space="preserve">vs </t>
    </r>
    <r>
      <rPr>
        <sz val="11"/>
        <color rgb="FF6B7280"/>
        <rFont val="DejaVu Sans"/>
        <family val="2"/>
      </rPr>
      <t xml:space="preserve">实际操作是否一致。</t>
    </r>
  </si>
  <si>
    <r>
      <rPr>
        <sz val="11"/>
        <color rgb="FF6B7280"/>
        <rFont val="Cambria"/>
        <family val="0"/>
        <charset val="1"/>
      </rPr>
      <t xml:space="preserve">E</t>
    </r>
    <r>
      <rPr>
        <sz val="11"/>
        <color rgb="FF6B7280"/>
        <rFont val="DejaVu Sans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情绪</t>
    </r>
    <r>
      <rPr>
        <sz val="11"/>
        <color rgb="FF6B7280"/>
        <rFont val="Cambria"/>
        <family val="0"/>
        <charset val="1"/>
      </rPr>
      <t xml:space="preserve">1-5 — 1=</t>
    </r>
    <r>
      <rPr>
        <sz val="11"/>
        <color rgb="FF6B7280"/>
        <rFont val="DejaVu Sans"/>
        <family val="2"/>
      </rPr>
      <t xml:space="preserve">平静</t>
    </r>
    <r>
      <rPr>
        <sz val="11"/>
        <color rgb="FF6B7280"/>
        <rFont val="Cambria"/>
        <family val="0"/>
        <charset val="1"/>
      </rPr>
      <t xml:space="preserve">(</t>
    </r>
    <r>
      <rPr>
        <sz val="11"/>
        <color rgb="FF6B7280"/>
        <rFont val="DejaVu Sans"/>
        <family val="2"/>
      </rPr>
      <t xml:space="preserve">不急不躁</t>
    </r>
    <r>
      <rPr>
        <sz val="11"/>
        <color rgb="FF6B7280"/>
        <rFont val="Cambria"/>
        <family val="0"/>
        <charset val="1"/>
      </rPr>
      <t xml:space="preserve">) 2=</t>
    </r>
    <r>
      <rPr>
        <sz val="11"/>
        <color rgb="FF6B7280"/>
        <rFont val="DejaVu Sans"/>
        <family val="2"/>
      </rPr>
      <t xml:space="preserve">轻微波动 </t>
    </r>
    <r>
      <rPr>
        <sz val="11"/>
        <color rgb="FF6B7280"/>
        <rFont val="Cambria"/>
        <family val="0"/>
        <charset val="1"/>
      </rPr>
      <t xml:space="preserve">3=</t>
    </r>
    <r>
      <rPr>
        <sz val="11"/>
        <color rgb="FF6B7280"/>
        <rFont val="DejaVu Sans"/>
        <family val="2"/>
      </rPr>
      <t xml:space="preserve">有些焦虑 </t>
    </r>
    <r>
      <rPr>
        <sz val="11"/>
        <color rgb="FF6B7280"/>
        <rFont val="Cambria"/>
        <family val="0"/>
        <charset val="1"/>
      </rPr>
      <t xml:space="preserve">4=</t>
    </r>
    <r>
      <rPr>
        <sz val="11"/>
        <color rgb="FF6B7280"/>
        <rFont val="DejaVu Sans"/>
        <family val="2"/>
      </rPr>
      <t xml:space="preserve">明显焦虑 </t>
    </r>
    <r>
      <rPr>
        <sz val="11"/>
        <color rgb="FF6B7280"/>
        <rFont val="Cambria"/>
        <family val="0"/>
        <charset val="1"/>
      </rPr>
      <t xml:space="preserve">5=</t>
    </r>
    <r>
      <rPr>
        <sz val="11"/>
        <color rgb="FF6B7280"/>
        <rFont val="DejaVu Sans"/>
        <family val="2"/>
      </rPr>
      <t xml:space="preserve">极度焦虑影响判断。</t>
    </r>
  </si>
  <si>
    <r>
      <rPr>
        <sz val="11"/>
        <color rgb="FF6B7280"/>
        <rFont val="Cambria"/>
        <family val="0"/>
        <charset val="1"/>
      </rPr>
      <t xml:space="preserve">F</t>
    </r>
    <r>
      <rPr>
        <sz val="11"/>
        <color rgb="FF6B7280"/>
        <rFont val="DejaVu Sans"/>
        <family val="2"/>
      </rPr>
      <t xml:space="preserve">列</t>
    </r>
    <r>
      <rPr>
        <sz val="11"/>
        <color rgb="FF6B7280"/>
        <rFont val="Cambria"/>
        <family val="0"/>
        <charset val="1"/>
      </rPr>
      <t xml:space="preserve">: </t>
    </r>
    <r>
      <rPr>
        <sz val="11"/>
        <color rgb="FF6B7280"/>
        <rFont val="DejaVu Sans"/>
        <family val="2"/>
      </rPr>
      <t xml:space="preserve">止损外操作 — 在止损价未触发时提前卖出</t>
    </r>
    <r>
      <rPr>
        <sz val="11"/>
        <color rgb="FF6B7280"/>
        <rFont val="Cambria"/>
        <family val="0"/>
        <charset val="1"/>
      </rPr>
      <t xml:space="preserve">,</t>
    </r>
    <r>
      <rPr>
        <sz val="11"/>
        <color rgb="FF6B7280"/>
        <rFont val="DejaVu Sans"/>
        <family val="2"/>
      </rPr>
      <t xml:space="preserve">或超出仓位上限买入。</t>
    </r>
  </si>
  <si>
    <r>
      <rPr>
        <sz val="11"/>
        <color rgb="FF6B7280"/>
        <rFont val="DejaVu Sans"/>
        <family val="2"/>
      </rPr>
      <t xml:space="preserve">工作流截图</t>
    </r>
    <r>
      <rPr>
        <sz val="11"/>
        <color rgb="FF6B7280"/>
        <rFont val="DejaVu Sans"/>
        <family val="2"/>
        <charset val="1"/>
      </rPr>
      <t xml:space="preserve">: </t>
    </r>
    <r>
      <rPr>
        <sz val="11"/>
        <color rgb="FF6B7280"/>
        <rFont val="DejaVu Sans"/>
        <family val="2"/>
      </rPr>
      <t xml:space="preserve">每日收盘后</t>
    </r>
    <r>
      <rPr>
        <sz val="11"/>
        <color rgb="FF6B7280"/>
        <rFont val="DejaVu Sans"/>
        <family val="2"/>
        <charset val="1"/>
      </rPr>
      <t xml:space="preserve">1</t>
    </r>
    <r>
      <rPr>
        <sz val="11"/>
        <color rgb="FF6B7280"/>
        <rFont val="DejaVu Sans"/>
        <family val="2"/>
      </rPr>
      <t xml:space="preserve">次账户总览</t>
    </r>
    <r>
      <rPr>
        <sz val="11"/>
        <color rgb="FF6B7280"/>
        <rFont val="DejaVu Sans"/>
        <family val="2"/>
        <charset val="1"/>
      </rPr>
      <t xml:space="preserve">+</t>
    </r>
    <r>
      <rPr>
        <sz val="11"/>
        <color rgb="FF6B7280"/>
        <rFont val="DejaVu Sans"/>
        <family val="2"/>
      </rPr>
      <t xml:space="preserve">持仓明细截图</t>
    </r>
    <r>
      <rPr>
        <sz val="11"/>
        <color rgb="FF6B7280"/>
        <rFont val="DejaVu Sans"/>
        <family val="2"/>
        <charset val="1"/>
      </rPr>
      <t xml:space="preserve">,</t>
    </r>
    <r>
      <rPr>
        <sz val="11"/>
        <color rgb="FF6B7280"/>
        <rFont val="DejaVu Sans"/>
        <family val="2"/>
      </rPr>
      <t xml:space="preserve">属于必要工作流</t>
    </r>
    <r>
      <rPr>
        <sz val="11"/>
        <color rgb="FF6B7280"/>
        <rFont val="DejaVu Sans"/>
        <family val="2"/>
        <charset val="1"/>
      </rPr>
      <t xml:space="preserve">,</t>
    </r>
    <r>
      <rPr>
        <sz val="11"/>
        <color rgb="FF6B7280"/>
        <rFont val="DejaVu Sans"/>
        <family val="2"/>
      </rPr>
      <t xml:space="preserve">不计入</t>
    </r>
    <r>
      <rPr>
        <sz val="11"/>
        <color rgb="FF6B7280"/>
        <rFont val="DejaVu Sans"/>
        <family val="2"/>
        <charset val="1"/>
      </rPr>
      <t xml:space="preserve">B</t>
    </r>
    <r>
      <rPr>
        <sz val="11"/>
        <color rgb="FF6B7280"/>
        <rFont val="DejaVu Sans"/>
        <family val="2"/>
      </rPr>
      <t xml:space="preserve">列。</t>
    </r>
  </si>
  <si>
    <r>
      <rPr>
        <sz val="11"/>
        <color rgb="FF000000"/>
        <rFont val="DejaVu Sans"/>
        <family val="2"/>
      </rPr>
      <t xml:space="preserve">发现</t>
    </r>
    <r>
      <rPr>
        <sz val="11"/>
        <color rgb="FF000000"/>
        <rFont val="DejaVu Sans"/>
        <family val="2"/>
        <charset val="1"/>
      </rPr>
      <t xml:space="preserve">2</t>
    </r>
    <r>
      <rPr>
        <sz val="11"/>
        <color rgb="FF000000"/>
        <rFont val="DejaVu Sans"/>
        <family val="2"/>
      </rPr>
      <t xml:space="preserve">项违规</t>
    </r>
    <r>
      <rPr>
        <sz val="11"/>
        <color rgb="FF000000"/>
        <rFont val="DejaVu Sans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沃华医药不在候选池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买入</t>
    </r>
    <r>
      <rPr>
        <sz val="11"/>
        <color rgb="FF000000"/>
        <rFont val="DejaVu Sans"/>
        <family val="2"/>
        <charset val="1"/>
      </rPr>
      <t xml:space="preserve">), </t>
    </r>
    <r>
      <rPr>
        <sz val="11"/>
        <color rgb="FF000000"/>
        <rFont val="DejaVu Sans"/>
        <family val="2"/>
      </rPr>
      <t xml:space="preserve">三力士违背计划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卖出</t>
    </r>
    <r>
      <rPr>
        <sz val="11"/>
        <color rgb="FF000000"/>
        <rFont val="DejaVu Sans"/>
        <family val="2"/>
        <charset val="1"/>
      </rPr>
      <t xml:space="preserve">). 7</t>
    </r>
    <r>
      <rPr>
        <sz val="11"/>
        <color rgb="FF000000"/>
        <rFont val="DejaVu Sans"/>
        <family val="2"/>
      </rPr>
      <t xml:space="preserve">项合规通过</t>
    </r>
    <r>
      <rPr>
        <sz val="11"/>
        <color rgb="FF000000"/>
        <rFont val="DejaVu Sans"/>
        <family val="2"/>
        <charset val="1"/>
      </rPr>
      <t xml:space="preserve">.</t>
    </r>
  </si>
  <si>
    <r>
      <rPr>
        <sz val="11"/>
        <color rgb="FF000000"/>
        <rFont val="DejaVu Sans"/>
        <family val="2"/>
      </rPr>
      <t xml:space="preserve">沃华医药撤单</t>
    </r>
    <r>
      <rPr>
        <sz val="11"/>
        <color rgb="FF000000"/>
        <rFont val="DejaVu Sans"/>
        <family val="2"/>
        <charset val="1"/>
      </rPr>
      <t xml:space="preserve">; </t>
    </r>
    <r>
      <rPr>
        <sz val="11"/>
        <color rgb="FF000000"/>
        <rFont val="DejaVu Sans"/>
        <family val="2"/>
      </rPr>
      <t xml:space="preserve">三力士卖出单撤单</t>
    </r>
    <r>
      <rPr>
        <sz val="11"/>
        <color rgb="FF000000"/>
        <rFont val="DejaVu Sans"/>
        <family val="2"/>
        <charset val="1"/>
      </rPr>
      <t xml:space="preserve">; </t>
    </r>
    <r>
      <rPr>
        <sz val="11"/>
        <color rgb="FF000000"/>
        <rFont val="DejaVu Sans"/>
        <family val="2"/>
      </rPr>
      <t xml:space="preserve">严格执行候选池纪律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不买未经扫描的标的</t>
    </r>
  </si>
  <si>
    <r>
      <rPr>
        <sz val="11"/>
        <color rgb="FF000000"/>
        <rFont val="DejaVu Sans"/>
        <family val="2"/>
      </rPr>
      <t xml:space="preserve">警惕盘前随意挂单的冲动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所有买入必须来自候选池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所有卖出必须有日线卖点信号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</si>
  <si>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DejaVu Sans"/>
        <family val="2"/>
      </rPr>
      <t xml:space="preserve">项违规</t>
    </r>
  </si>
  <si>
    <r>
      <rPr>
        <sz val="11"/>
        <color rgb="FF000000"/>
        <rFont val="DejaVu Sans"/>
        <family val="2"/>
      </rPr>
      <t xml:space="preserve">沃华医药违规买入</t>
    </r>
    <r>
      <rPr>
        <sz val="11"/>
        <color rgb="FF000000"/>
        <rFont val="DejaVu Sans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三力士违规卖出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需严格执行系统信号</t>
    </r>
  </si>
  <si>
    <r>
      <rPr>
        <sz val="11"/>
        <color rgb="FF000000"/>
        <rFont val="DejaVu Sans"/>
        <family val="2"/>
      </rPr>
      <t xml:space="preserve">严格执行候选池信号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不在候选池内的不买</t>
    </r>
    <r>
      <rPr>
        <sz val="11"/>
        <color rgb="FF000000"/>
        <rFont val="DejaVu Sans"/>
        <family val="2"/>
        <charset val="1"/>
      </rPr>
      <t xml:space="preserve">; </t>
    </r>
    <r>
      <rPr>
        <sz val="11"/>
        <color rgb="FF000000"/>
        <rFont val="DejaVu Sans"/>
        <family val="2"/>
      </rPr>
      <t xml:space="preserve">计划持有的不随意卖出</t>
    </r>
  </si>
  <si>
    <t xml:space="preserve">收盘更新</t>
  </si>
  <si>
    <r>
      <rPr>
        <sz val="11"/>
        <color rgb="FF000000"/>
        <rFont val="DejaVu Sans"/>
        <family val="2"/>
      </rPr>
      <t xml:space="preserve">收盘更新，</t>
    </r>
    <r>
      <rPr>
        <sz val="11"/>
        <color rgb="FF000000"/>
        <rFont val="DejaVu Sans"/>
        <family val="2"/>
        <charset val="1"/>
      </rPr>
      <t xml:space="preserve">T+1</t>
    </r>
    <r>
      <rPr>
        <sz val="11"/>
        <color rgb="FF000000"/>
        <rFont val="DejaVu Sans"/>
        <family val="2"/>
      </rPr>
      <t xml:space="preserve">全部解锁。松芝浮盈突破</t>
    </r>
    <r>
      <rPr>
        <sz val="11"/>
        <color rgb="FF000000"/>
        <rFont val="DejaVu Sans"/>
        <family val="2"/>
        <charset val="1"/>
      </rPr>
      <t xml:space="preserve">5%</t>
    </r>
    <r>
      <rPr>
        <sz val="11"/>
        <color rgb="FF000000"/>
        <rFont val="DejaVu Sans"/>
        <family val="2"/>
      </rPr>
      <t xml:space="preserve">阈值。东风股份止损清仓待执行。沃华医药二买信号待确认。</t>
    </r>
  </si>
  <si>
    <t xml:space="preserve">达标</t>
  </si>
  <si>
    <r>
      <rPr>
        <sz val="11"/>
        <color rgb="FF000000"/>
        <rFont val="DejaVu Sans"/>
        <family val="2"/>
      </rPr>
      <t xml:space="preserve">执行去弱留强</t>
    </r>
    <r>
      <rPr>
        <sz val="11"/>
        <color rgb="FF000000"/>
        <rFont val="DejaVu Sans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清仓三力士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卖点</t>
    </r>
    <r>
      <rPr>
        <sz val="11"/>
        <color rgb="FF000000"/>
        <rFont val="DejaVu Sans"/>
        <family val="2"/>
        <charset val="1"/>
      </rPr>
      <t xml:space="preserve">)+</t>
    </r>
    <r>
      <rPr>
        <sz val="11"/>
        <color rgb="FF000000"/>
        <rFont val="DejaVu Sans"/>
        <family val="2"/>
      </rPr>
      <t xml:space="preserve">拱东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弱信号</t>
    </r>
    <r>
      <rPr>
        <sz val="11"/>
        <color rgb="FF000000"/>
        <rFont val="DejaVu Sans"/>
        <family val="2"/>
        <charset val="1"/>
      </rPr>
      <t xml:space="preserve">)</t>
    </r>
    <r>
      <rPr>
        <sz val="11"/>
        <color rgb="FF000000"/>
        <rFont val="DejaVu Sans"/>
        <family val="2"/>
      </rPr>
      <t xml:space="preserve">，加仓贵绳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二买确认</t>
    </r>
    <r>
      <rPr>
        <sz val="11"/>
        <color rgb="FF000000"/>
        <rFont val="DejaVu Sans"/>
        <family val="2"/>
        <charset val="1"/>
      </rPr>
      <t xml:space="preserve">)+</t>
    </r>
    <r>
      <rPr>
        <sz val="11"/>
        <color rgb="FF000000"/>
        <rFont val="DejaVu Sans"/>
        <family val="2"/>
      </rPr>
      <t xml:space="preserve">沃华。持仓</t>
    </r>
    <r>
      <rPr>
        <sz val="11"/>
        <color rgb="FF000000"/>
        <rFont val="DejaVu Sans"/>
        <family val="2"/>
        <charset val="1"/>
      </rPr>
      <t xml:space="preserve">8→6</t>
    </r>
    <r>
      <rPr>
        <sz val="11"/>
        <color rgb="FF000000"/>
        <rFont val="DejaVu Sans"/>
        <family val="2"/>
      </rPr>
      <t xml:space="preserve">只，仓位</t>
    </r>
    <r>
      <rPr>
        <sz val="11"/>
        <color rgb="FF000000"/>
        <rFont val="DejaVu Sans"/>
        <family val="2"/>
        <charset val="1"/>
      </rPr>
      <t xml:space="preserve">37%</t>
    </r>
    <r>
      <rPr>
        <sz val="11"/>
        <color rgb="FF000000"/>
        <rFont val="DejaVu Sans"/>
        <family val="2"/>
      </rPr>
      <t xml:space="preserve">。心态平稳，纪律执行到位。</t>
    </r>
  </si>
  <si>
    <t xml:space="preserve">2026-07-30 16:47</t>
  </si>
  <si>
    <t xml:space="preserve">一买低点风控修复验证</t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</si>
  <si>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DejaVu Sans"/>
        <family val="2"/>
        <charset val="1"/>
      </rPr>
      <t xml:space="preserve">3</t>
    </r>
    <r>
      <rPr>
        <sz val="11"/>
        <color rgb="FF000000"/>
        <rFont val="DejaVu Sans"/>
        <family val="2"/>
      </rPr>
      <t xml:space="preserve">个</t>
    </r>
    <r>
      <rPr>
        <sz val="11"/>
        <color rgb="FF000000"/>
        <rFont val="DejaVu Sans"/>
        <family val="2"/>
        <charset val="1"/>
      </rPr>
      <t xml:space="preserve">BUG: 1)</t>
    </r>
    <r>
      <rPr>
        <sz val="11"/>
        <color rgb="FF000000"/>
        <rFont val="DejaVu Sans"/>
        <family val="2"/>
      </rPr>
      <t xml:space="preserve">去弱留强评分增加一买低点风险惩罚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破位</t>
    </r>
    <r>
      <rPr>
        <sz val="11"/>
        <color rgb="FF000000"/>
        <rFont val="DejaVu Sans"/>
        <family val="2"/>
        <charset val="1"/>
      </rPr>
      <t xml:space="preserve">score=0,&lt;3%</t>
    </r>
    <r>
      <rPr>
        <sz val="11"/>
        <color rgb="FF000000"/>
        <rFont val="DejaVu Sans"/>
        <family val="2"/>
      </rPr>
      <t xml:space="preserve">乘</t>
    </r>
    <r>
      <rPr>
        <sz val="11"/>
        <color rgb="FF000000"/>
        <rFont val="DejaVu Sans"/>
        <family val="2"/>
        <charset val="1"/>
      </rPr>
      <t xml:space="preserve">0.4); 2)check_sell_compliance</t>
    </r>
    <r>
      <rPr>
        <sz val="11"/>
        <color rgb="FF000000"/>
        <rFont val="DejaVu Sans"/>
        <family val="2"/>
      </rPr>
      <t xml:space="preserve">增加破一买低允许减仓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不受</t>
    </r>
    <r>
      <rPr>
        <sz val="11"/>
        <color rgb="FF000000"/>
        <rFont val="DejaVu Sans"/>
        <family val="2"/>
        <charset val="1"/>
      </rPr>
      <t xml:space="preserve">DL_P&gt;0.8</t>
    </r>
    <r>
      <rPr>
        <sz val="11"/>
        <color rgb="FF000000"/>
        <rFont val="DejaVu Sans"/>
        <family val="2"/>
      </rPr>
      <t xml:space="preserve">限制</t>
    </r>
    <r>
      <rPr>
        <sz val="11"/>
        <color rgb="FF000000"/>
        <rFont val="DejaVu Sans"/>
        <family val="2"/>
        <charset val="1"/>
      </rPr>
      <t xml:space="preserve">); 3)</t>
    </r>
    <r>
      <rPr>
        <sz val="11"/>
        <color rgb="FF000000"/>
        <rFont val="DejaVu Sans"/>
        <family val="2"/>
      </rPr>
      <t xml:space="preserve">去弱留强分割逻辑</t>
    </r>
    <r>
      <rPr>
        <sz val="11"/>
        <color rgb="FF000000"/>
        <rFont val="DejaVu Sans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破位股强制进入</t>
    </r>
    <r>
      <rPr>
        <sz val="11"/>
        <color rgb="FF000000"/>
        <rFont val="DejaVu Sans"/>
        <family val="2"/>
        <charset val="1"/>
      </rPr>
      <t xml:space="preserve">sell_list. </t>
    </r>
    <r>
      <rPr>
        <sz val="11"/>
        <color rgb="FF000000"/>
        <rFont val="DejaVu Sans"/>
        <family val="2"/>
      </rPr>
      <t xml:space="preserve">贵绳离一买低</t>
    </r>
    <r>
      <rPr>
        <sz val="11"/>
        <color rgb="FF000000"/>
        <rFont val="DejaVu Sans"/>
        <family val="2"/>
        <charset val="1"/>
      </rPr>
      <t xml:space="preserve">8.69</t>
    </r>
    <r>
      <rPr>
        <sz val="11"/>
        <color rgb="FF000000"/>
        <rFont val="DejaVu Sans"/>
        <family val="2"/>
      </rPr>
      <t xml:space="preserve">仅</t>
    </r>
    <r>
      <rPr>
        <sz val="11"/>
        <color rgb="FF000000"/>
        <rFont val="DejaVu Sans"/>
        <family val="2"/>
        <charset val="1"/>
      </rPr>
      <t xml:space="preserve">2.9%→</t>
    </r>
    <r>
      <rPr>
        <sz val="11"/>
        <color rgb="FF000000"/>
        <rFont val="DejaVu Sans"/>
        <family val="2"/>
      </rPr>
      <t xml:space="preserve">高风险</t>
    </r>
    <r>
      <rPr>
        <sz val="11"/>
        <color rgb="FF000000"/>
        <rFont val="DejaVu Sans"/>
        <family val="2"/>
        <charset val="1"/>
      </rPr>
      <t xml:space="preserve">,</t>
    </r>
    <r>
      <rPr>
        <sz val="11"/>
        <color rgb="FF000000"/>
        <rFont val="DejaVu Sans"/>
        <family val="2"/>
      </rPr>
      <t xml:space="preserve">不加仓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东风</t>
    </r>
    <r>
      <rPr>
        <sz val="11"/>
        <color rgb="FF000000"/>
        <rFont val="DejaVu Sans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三力士</t>
    </r>
    <r>
      <rPr>
        <sz val="11"/>
        <color rgb="FF000000"/>
        <rFont val="DejaVu Sans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拱东已破位→明日</t>
    </r>
    <r>
      <rPr>
        <sz val="11"/>
        <color rgb="FF000000"/>
        <rFont val="DejaVu Sans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清仓</t>
    </r>
    <r>
      <rPr>
        <sz val="11"/>
        <color rgb="FF000000"/>
        <rFont val="DejaVu Sans"/>
        <family val="2"/>
        <charset val="1"/>
      </rPr>
      <t xml:space="preserve">.</t>
    </r>
  </si>
  <si>
    <r>
      <rPr>
        <sz val="11"/>
        <color rgb="FF000000"/>
        <rFont val="DejaVu Sans"/>
        <family val="2"/>
      </rPr>
      <t xml:space="preserve">严守一买低止损线</t>
    </r>
    <r>
      <rPr>
        <sz val="11"/>
        <color rgb="FF000000"/>
        <rFont val="DejaVu Sans"/>
        <family val="2"/>
        <charset val="1"/>
      </rPr>
      <t xml:space="preserve">, EP_L</t>
    </r>
    <r>
      <rPr>
        <sz val="11"/>
        <color rgb="FF000000"/>
        <rFont val="DejaVu Sans"/>
        <family val="2"/>
      </rPr>
      <t xml:space="preserve">是快照不预测未来</t>
    </r>
  </si>
  <si>
    <r>
      <rPr>
        <sz val="11"/>
        <color rgb="FF000000"/>
        <rFont val="Calibri"/>
        <family val="2"/>
        <charset val="1"/>
      </rPr>
      <t xml:space="preserve">7-31</t>
    </r>
    <r>
      <rPr>
        <sz val="11"/>
        <color rgb="FF000000"/>
        <rFont val="DejaVu Sans"/>
        <family val="2"/>
      </rPr>
      <t xml:space="preserve">午间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三力士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拱东已清仓</t>
    </r>
    <r>
      <rPr>
        <sz val="11"/>
        <color rgb="FF000000"/>
        <rFont val="Calibri"/>
        <family val="2"/>
        <charset val="1"/>
      </rPr>
      <t xml:space="preserve">(P0</t>
    </r>
    <r>
      <rPr>
        <sz val="11"/>
        <color rgb="FF000000"/>
        <rFont val="DejaVu Sans"/>
        <family val="2"/>
      </rPr>
      <t xml:space="preserve">执行</t>
    </r>
    <r>
      <rPr>
        <sz val="11"/>
        <color rgb="FF000000"/>
        <rFont val="Calibri"/>
        <family val="2"/>
        <charset val="1"/>
      </rPr>
      <t xml:space="preserve">2/3), </t>
    </r>
    <r>
      <rPr>
        <sz val="11"/>
        <color rgb="FF000000"/>
        <rFont val="DejaVu Sans"/>
        <family val="2"/>
      </rPr>
      <t xml:space="preserve">东风仍未清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连续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DejaVu Sans"/>
        <family val="2"/>
      </rPr>
      <t xml:space="preserve">天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</si>
  <si>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贵绳从高风险</t>
    </r>
    <r>
      <rPr>
        <sz val="11"/>
        <color rgb="FF000000"/>
        <rFont val="DejaVu Sans"/>
        <family val="2"/>
        <charset val="1"/>
      </rPr>
      <t xml:space="preserve">(+2.9%)</t>
    </r>
    <r>
      <rPr>
        <sz val="11"/>
        <color rgb="FF000000"/>
        <rFont val="DejaVu Sans"/>
        <family val="2"/>
      </rPr>
      <t xml:space="preserve">反弹到安全</t>
    </r>
    <r>
      <rPr>
        <sz val="11"/>
        <color rgb="FF000000"/>
        <rFont val="DejaVu Sans"/>
        <family val="2"/>
        <charset val="1"/>
      </rPr>
      <t xml:space="preserve">(+7.0%), </t>
    </r>
    <r>
      <rPr>
        <sz val="11"/>
        <color rgb="FF000000"/>
        <rFont val="DejaVu Sans"/>
        <family val="2"/>
      </rPr>
      <t xml:space="preserve">一买低风控验证有效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松芝更危险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离一买低仅</t>
    </r>
    <r>
      <rPr>
        <sz val="11"/>
        <color rgb="FF000000"/>
        <rFont val="DejaVu Sans"/>
        <family val="2"/>
        <charset val="1"/>
      </rPr>
      <t xml:space="preserve">+1.9%), </t>
    </r>
    <r>
      <rPr>
        <sz val="11"/>
        <color rgb="FF000000"/>
        <rFont val="DejaVu Sans"/>
        <family val="2"/>
      </rPr>
      <t xml:space="preserve">需密切关注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沃华评分最高</t>
    </r>
    <r>
      <rPr>
        <sz val="11"/>
        <color rgb="FF000000"/>
        <rFont val="DejaVu Sans"/>
        <family val="2"/>
        <charset val="1"/>
      </rPr>
      <t xml:space="preserve">(0.7783), </t>
    </r>
    <r>
      <rPr>
        <sz val="11"/>
        <color rgb="FF000000"/>
        <rFont val="DejaVu Sans"/>
        <family val="2"/>
      </rPr>
      <t xml:space="preserve">一买低</t>
    </r>
    <r>
      <rPr>
        <sz val="11"/>
        <color rgb="FF000000"/>
        <rFont val="DejaVu Sans"/>
        <family val="2"/>
        <charset val="1"/>
      </rPr>
      <t xml:space="preserve">5.60</t>
    </r>
    <r>
      <rPr>
        <sz val="11"/>
        <color rgb="FF000000"/>
        <rFont val="DejaVu Sans"/>
        <family val="2"/>
      </rPr>
      <t xml:space="preserve">距离</t>
    </r>
    <r>
      <rPr>
        <sz val="11"/>
        <color rgb="FF000000"/>
        <rFont val="DejaVu Sans"/>
        <family val="2"/>
        <charset val="1"/>
      </rPr>
      <t xml:space="preserve">+8.0%</t>
    </r>
    <r>
      <rPr>
        <sz val="11"/>
        <color rgb="FF000000"/>
        <rFont val="DejaVu Sans"/>
        <family val="2"/>
      </rPr>
      <t xml:space="preserve">安全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台华</t>
    </r>
    <r>
      <rPr>
        <sz val="11"/>
        <color rgb="FF000000"/>
        <rFont val="DejaVu Sans"/>
        <family val="2"/>
        <charset val="1"/>
      </rPr>
      <t xml:space="preserve">DL_P=0.00</t>
    </r>
    <r>
      <rPr>
        <sz val="11"/>
        <color rgb="FF000000"/>
        <rFont val="DejaVu Sans"/>
        <family val="2"/>
      </rPr>
      <t xml:space="preserve">异常持续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东风破位加深</t>
    </r>
    <r>
      <rPr>
        <sz val="11"/>
        <color rgb="FF000000"/>
        <rFont val="DejaVu Sans"/>
        <family val="2"/>
        <charset val="1"/>
      </rPr>
      <t xml:space="preserve">(-9.9%), </t>
    </r>
    <r>
      <rPr>
        <sz val="11"/>
        <color rgb="FF000000"/>
        <rFont val="DejaVu Sans"/>
        <family val="2"/>
      </rPr>
      <t xml:space="preserve">必须立即清仓</t>
    </r>
    <r>
      <rPr>
        <sz val="11"/>
        <color rgb="FF000000"/>
        <rFont val="DejaVu Sans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去弱留强排名</t>
    </r>
    <r>
      <rPr>
        <sz val="11"/>
        <color rgb="FF000000"/>
        <rFont val="DejaVu Sans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沃华</t>
    </r>
    <r>
      <rPr>
        <sz val="11"/>
        <color rgb="FF000000"/>
        <rFont val="DejaVu Sans"/>
        <family val="2"/>
        <charset val="1"/>
      </rPr>
      <t xml:space="preserve">&gt;</t>
    </r>
    <r>
      <rPr>
        <sz val="11"/>
        <color rgb="FF000000"/>
        <rFont val="DejaVu Sans"/>
        <family val="2"/>
      </rPr>
      <t xml:space="preserve">贵绳</t>
    </r>
    <r>
      <rPr>
        <sz val="11"/>
        <color rgb="FF000000"/>
        <rFont val="DejaVu Sans"/>
        <family val="2"/>
        <charset val="1"/>
      </rPr>
      <t xml:space="preserve">&gt;</t>
    </r>
    <r>
      <rPr>
        <sz val="11"/>
        <color rgb="FF000000"/>
        <rFont val="DejaVu Sans"/>
        <family val="2"/>
      </rPr>
      <t xml:space="preserve">日上</t>
    </r>
    <r>
      <rPr>
        <sz val="11"/>
        <color rgb="FF000000"/>
        <rFont val="DejaVu Sans"/>
        <family val="2"/>
        <charset val="1"/>
      </rPr>
      <t xml:space="preserve">&gt;</t>
    </r>
    <r>
      <rPr>
        <sz val="11"/>
        <color rgb="FF000000"/>
        <rFont val="DejaVu Sans"/>
        <family val="2"/>
      </rPr>
      <t xml:space="preserve">松芝</t>
    </r>
    <r>
      <rPr>
        <sz val="11"/>
        <color rgb="FF000000"/>
        <rFont val="DejaVu Sans"/>
        <family val="2"/>
        <charset val="1"/>
      </rPr>
      <t xml:space="preserve">&gt;</t>
    </r>
    <r>
      <rPr>
        <sz val="11"/>
        <color rgb="FF000000"/>
        <rFont val="DejaVu Sans"/>
        <family val="2"/>
      </rPr>
      <t xml:space="preserve">台华</t>
    </r>
    <r>
      <rPr>
        <sz val="11"/>
        <color rgb="FF000000"/>
        <rFont val="DejaVu Sans"/>
        <family val="2"/>
        <charset val="1"/>
      </rPr>
      <t xml:space="preserve">&gt;</t>
    </r>
    <r>
      <rPr>
        <sz val="11"/>
        <color rgb="FF000000"/>
        <rFont val="DejaVu Sans"/>
        <family val="2"/>
      </rPr>
      <t xml:space="preserve">东风</t>
    </r>
    <r>
      <rPr>
        <sz val="11"/>
        <color rgb="FF000000"/>
        <rFont val="DejaVu Sans"/>
        <family val="2"/>
        <charset val="1"/>
      </rPr>
      <t xml:space="preserve">.</t>
    </r>
  </si>
  <si>
    <r>
      <rPr>
        <sz val="11"/>
        <color rgb="FF000000"/>
        <rFont val="DejaVu Sans"/>
        <family val="2"/>
      </rPr>
      <t xml:space="preserve">东风连续</t>
    </r>
    <r>
      <rPr>
        <sz val="11"/>
        <color rgb="FF000000"/>
        <rFont val="DejaVu Sans"/>
        <family val="2"/>
        <charset val="1"/>
      </rPr>
      <t xml:space="preserve">3</t>
    </r>
    <r>
      <rPr>
        <sz val="11"/>
        <color rgb="FF000000"/>
        <rFont val="DejaVu Sans"/>
        <family val="2"/>
      </rPr>
      <t xml:space="preserve">天未清</t>
    </r>
    <r>
      <rPr>
        <sz val="11"/>
        <color rgb="FF000000"/>
        <rFont val="DejaVu Sans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纪律执行失败</t>
    </r>
    <r>
      <rPr>
        <sz val="11"/>
        <color rgb="FF000000"/>
        <rFont val="DejaVu Sans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今日必须完成</t>
    </r>
  </si>
  <si>
    <r>
      <rPr>
        <sz val="11"/>
        <color rgb="FF000000"/>
        <rFont val="DejaVu Sans"/>
        <family val="2"/>
      </rPr>
      <t xml:space="preserve">卖出三力士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破一买低</t>
    </r>
    <r>
      <rPr>
        <sz val="11"/>
        <color rgb="FF000000"/>
        <rFont val="DejaVu Sans"/>
        <family val="2"/>
        <charset val="1"/>
      </rPr>
      <t xml:space="preserve">)+</t>
    </r>
    <r>
      <rPr>
        <sz val="11"/>
        <color rgb="FF000000"/>
        <rFont val="DejaVu Sans"/>
        <family val="2"/>
      </rPr>
      <t xml:space="preserve">拱东医疗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去弱留强</t>
    </r>
    <r>
      <rPr>
        <sz val="11"/>
        <color rgb="FF000000"/>
        <rFont val="DejaVu Sans"/>
        <family val="2"/>
        <charset val="1"/>
      </rPr>
      <t xml:space="preserve">); </t>
    </r>
    <r>
      <rPr>
        <sz val="11"/>
        <color rgb="FF000000"/>
        <rFont val="DejaVu Sans"/>
        <family val="2"/>
      </rPr>
      <t xml:space="preserve">东风</t>
    </r>
    <r>
      <rPr>
        <sz val="11"/>
        <color rgb="FF000000"/>
        <rFont val="DejaVu Sans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仍未执行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连续</t>
    </r>
    <r>
      <rPr>
        <sz val="11"/>
        <color rgb="FF000000"/>
        <rFont val="DejaVu Sans"/>
        <family val="2"/>
        <charset val="1"/>
      </rPr>
      <t xml:space="preserve">4</t>
    </r>
    <r>
      <rPr>
        <sz val="11"/>
        <color rgb="FF000000"/>
        <rFont val="DejaVu Sans"/>
        <family val="2"/>
      </rPr>
      <t xml:space="preserve">天</t>
    </r>
    <r>
      <rPr>
        <sz val="11"/>
        <color rgb="FF000000"/>
        <rFont val="DejaVu Sans"/>
        <family val="2"/>
        <charset val="1"/>
      </rPr>
      <t xml:space="preserve">); </t>
    </r>
    <r>
      <rPr>
        <sz val="11"/>
        <color rgb="FF000000"/>
        <rFont val="DejaVu Sans"/>
        <family val="2"/>
      </rPr>
      <t xml:space="preserve">沃华</t>
    </r>
    <r>
      <rPr>
        <sz val="11"/>
        <color rgb="FF000000"/>
        <rFont val="DejaVu Sans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贵绳加仓后浮盈转正</t>
    </r>
  </si>
  <si>
    <t xml:space="preserve">周末复盘</t>
  </si>
  <si>
    <r>
      <rPr>
        <sz val="11"/>
        <color rgb="FF000000"/>
        <rFont val="Noto Sans CJK SC"/>
        <family val="2"/>
        <charset val="1"/>
      </rPr>
      <t xml:space="preserve">[trae] </t>
    </r>
    <r>
      <rPr>
        <sz val="11"/>
        <color rgb="FF000000"/>
        <rFont val="DejaVu Sans"/>
        <family val="2"/>
      </rPr>
      <t xml:space="preserve">周末复盘 </t>
    </r>
    <r>
      <rPr>
        <sz val="11"/>
        <color rgb="FF000000"/>
        <rFont val="Noto Sans CJK SC"/>
        <family val="2"/>
        <charset val="1"/>
      </rPr>
      <t xml:space="preserve">2026-08-02 | </t>
    </r>
    <r>
      <rPr>
        <sz val="11"/>
        <color rgb="FF000000"/>
        <rFont val="DejaVu Sans"/>
        <family val="2"/>
      </rPr>
      <t xml:space="preserve">总资产</t>
    </r>
    <r>
      <rPr>
        <sz val="11"/>
        <color rgb="FF000000"/>
        <rFont val="Noto Sans CJK SC"/>
        <family val="2"/>
        <charset val="1"/>
      </rPr>
      <t xml:space="preserve">¥21370.80 </t>
    </r>
    <r>
      <rPr>
        <sz val="11"/>
        <color rgb="FF000000"/>
        <rFont val="DejaVu Sans"/>
        <family val="2"/>
      </rPr>
      <t xml:space="preserve">仓位</t>
    </r>
    <r>
      <rPr>
        <sz val="11"/>
        <color rgb="FF000000"/>
        <rFont val="Noto Sans CJK SC"/>
        <family val="2"/>
        <charset val="1"/>
      </rPr>
      <t xml:space="preserve">37.4% | </t>
    </r>
    <r>
      <rPr>
        <sz val="11"/>
        <color rgb="FF000000"/>
        <rFont val="DejaVu Sans"/>
        <family val="2"/>
      </rPr>
      <t xml:space="preserve">持仓</t>
    </r>
    <r>
      <rPr>
        <sz val="11"/>
        <color rgb="FF000000"/>
        <rFont val="Noto Sans CJK SC"/>
        <family val="2"/>
        <charset val="1"/>
      </rPr>
      <t xml:space="preserve">6</t>
    </r>
    <r>
      <rPr>
        <sz val="11"/>
        <color rgb="FF000000"/>
        <rFont val="DejaVu Sans"/>
        <family val="2"/>
      </rPr>
      <t xml:space="preserve">只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贵绳</t>
    </r>
    <r>
      <rPr>
        <sz val="11"/>
        <color rgb="FF000000"/>
        <rFont val="Noto Sans CJK SC"/>
        <family val="2"/>
        <charset val="1"/>
      </rPr>
      <t xml:space="preserve">+1.6% </t>
    </r>
    <r>
      <rPr>
        <sz val="11"/>
        <color rgb="FF000000"/>
        <rFont val="DejaVu Sans"/>
        <family val="2"/>
      </rPr>
      <t xml:space="preserve">沃华</t>
    </r>
    <r>
      <rPr>
        <sz val="11"/>
        <color rgb="FF000000"/>
        <rFont val="Noto Sans CJK SC"/>
        <family val="2"/>
        <charset val="1"/>
      </rPr>
      <t xml:space="preserve">+1.3% </t>
    </r>
    <r>
      <rPr>
        <sz val="11"/>
        <color rgb="FF000000"/>
        <rFont val="DejaVu Sans"/>
        <family val="2"/>
      </rPr>
      <t xml:space="preserve">台华</t>
    </r>
    <r>
      <rPr>
        <sz val="11"/>
        <color rgb="FF000000"/>
        <rFont val="Noto Sans CJK SC"/>
        <family val="2"/>
        <charset val="1"/>
      </rPr>
      <t xml:space="preserve">+3.6% </t>
    </r>
    <r>
      <rPr>
        <sz val="11"/>
        <color rgb="FF000000"/>
        <rFont val="DejaVu Sans"/>
        <family val="2"/>
      </rPr>
      <t xml:space="preserve">日上</t>
    </r>
    <r>
      <rPr>
        <sz val="11"/>
        <color rgb="FF000000"/>
        <rFont val="Noto Sans CJK SC"/>
        <family val="2"/>
        <charset val="1"/>
      </rPr>
      <t xml:space="preserve">+1.8% </t>
    </r>
    <r>
      <rPr>
        <sz val="11"/>
        <color rgb="FF000000"/>
        <rFont val="DejaVu Sans"/>
        <family val="2"/>
      </rPr>
      <t xml:space="preserve">东风</t>
    </r>
    <r>
      <rPr>
        <sz val="11"/>
        <color rgb="FF000000"/>
        <rFont val="Noto Sans CJK SC"/>
        <family val="2"/>
        <charset val="1"/>
      </rPr>
      <t xml:space="preserve">-34.6% </t>
    </r>
    <r>
      <rPr>
        <sz val="11"/>
        <color rgb="FF000000"/>
        <rFont val="DejaVu Sans"/>
        <family val="2"/>
      </rPr>
      <t xml:space="preserve">松芝</t>
    </r>
    <r>
      <rPr>
        <sz val="11"/>
        <color rgb="FF000000"/>
        <rFont val="Noto Sans CJK SC"/>
        <family val="2"/>
        <charset val="1"/>
      </rPr>
      <t xml:space="preserve">+28.6% | </t>
    </r>
    <r>
      <rPr>
        <sz val="11"/>
        <color rgb="FF000000"/>
        <rFont val="DejaVu Sans"/>
        <family val="2"/>
      </rPr>
      <t xml:space="preserve">东风股份</t>
    </r>
    <r>
      <rPr>
        <sz val="11"/>
        <color rgb="FF000000"/>
        <rFont val="Noto Sans CJK SC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清仓仍未执行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连续多日破一买低点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浮亏</t>
    </r>
    <r>
      <rPr>
        <sz val="11"/>
        <color rgb="FF000000"/>
        <rFont val="Noto Sans CJK SC"/>
        <family val="2"/>
        <charset val="1"/>
      </rPr>
      <t xml:space="preserve">-301</t>
    </r>
    <r>
      <rPr>
        <sz val="11"/>
        <color rgb="FF000000"/>
        <rFont val="DejaVu Sans"/>
        <family val="2"/>
      </rPr>
      <t xml:space="preserve">元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DejaVu Sans"/>
        <family val="2"/>
      </rPr>
      <t xml:space="preserve">松芝浮盈最高</t>
    </r>
    <r>
      <rPr>
        <sz val="11"/>
        <color rgb="FF000000"/>
        <rFont val="Noto Sans CJK SC"/>
        <family val="2"/>
        <charset val="1"/>
      </rPr>
      <t xml:space="preserve">+108</t>
    </r>
    <r>
      <rPr>
        <sz val="11"/>
        <color rgb="FF000000"/>
        <rFont val="DejaVu Sans"/>
        <family val="2"/>
      </rPr>
      <t xml:space="preserve">元</t>
    </r>
    <r>
      <rPr>
        <sz val="11"/>
        <color rgb="FF000000"/>
        <rFont val="Noto Sans CJK SC"/>
        <family val="2"/>
        <charset val="1"/>
      </rPr>
      <t xml:space="preserve">(28.6%), </t>
    </r>
    <r>
      <rPr>
        <sz val="11"/>
        <color rgb="FF000000"/>
        <rFont val="DejaVu Sans"/>
        <family val="2"/>
      </rPr>
      <t xml:space="preserve">但数量仅</t>
    </r>
    <r>
      <rPr>
        <sz val="11"/>
        <color rgb="FF000000"/>
        <rFont val="Noto Sans CJK SC"/>
        <family val="2"/>
        <charset val="1"/>
      </rPr>
      <t xml:space="preserve">100</t>
    </r>
    <r>
      <rPr>
        <sz val="11"/>
        <color rgb="FF000000"/>
        <rFont val="DejaVu Sans"/>
        <family val="2"/>
      </rPr>
      <t xml:space="preserve">股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DejaVu Sans"/>
        <family val="2"/>
      </rPr>
      <t xml:space="preserve">整体浮亏</t>
    </r>
    <r>
      <rPr>
        <sz val="11"/>
        <color rgb="FF000000"/>
        <rFont val="Noto Sans CJK SC"/>
        <family val="2"/>
        <charset val="1"/>
      </rPr>
      <t xml:space="preserve">-74</t>
    </r>
    <r>
      <rPr>
        <sz val="11"/>
        <color rgb="FF000000"/>
        <rFont val="DejaVu Sans"/>
        <family val="2"/>
      </rPr>
      <t xml:space="preserve">元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若剔除东风则</t>
    </r>
    <r>
      <rPr>
        <sz val="11"/>
        <color rgb="FF000000"/>
        <rFont val="Noto Sans CJK SC"/>
        <family val="2"/>
        <charset val="1"/>
      </rPr>
      <t xml:space="preserve">+227</t>
    </r>
    <r>
      <rPr>
        <sz val="11"/>
        <color rgb="FF000000"/>
        <rFont val="DejaVu Sans"/>
        <family val="2"/>
      </rPr>
      <t xml:space="preserve">元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DejaVu Sans"/>
        <family val="2"/>
      </rPr>
      <t xml:space="preserve">周一必须执行</t>
    </r>
    <r>
      <rPr>
        <sz val="11"/>
        <color rgb="FF000000"/>
        <rFont val="Noto Sans CJK SC"/>
        <family val="2"/>
        <charset val="1"/>
      </rPr>
      <t xml:space="preserve">: 1.</t>
    </r>
    <r>
      <rPr>
        <sz val="11"/>
        <color rgb="FF000000"/>
        <rFont val="DejaVu Sans"/>
        <family val="2"/>
      </rPr>
      <t xml:space="preserve">东风股份</t>
    </r>
    <r>
      <rPr>
        <sz val="11"/>
        <color rgb="FF000000"/>
        <rFont val="Noto Sans CJK SC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清仓 </t>
    </r>
    <r>
      <rPr>
        <sz val="11"/>
        <color rgb="FF000000"/>
        <rFont val="Noto Sans CJK SC"/>
        <family val="2"/>
        <charset val="1"/>
      </rPr>
      <t xml:space="preserve">2.</t>
    </r>
    <r>
      <rPr>
        <sz val="11"/>
        <color rgb="FF000000"/>
        <rFont val="DejaVu Sans"/>
        <family val="2"/>
      </rPr>
      <t xml:space="preserve">评估去弱留强 </t>
    </r>
    <r>
      <rPr>
        <sz val="11"/>
        <color rgb="FF000000"/>
        <rFont val="Noto Sans CJK SC"/>
        <family val="2"/>
        <charset val="1"/>
      </rPr>
      <t xml:space="preserve">3.</t>
    </r>
    <r>
      <rPr>
        <sz val="11"/>
        <color rgb="FF000000"/>
        <rFont val="DejaVu Sans"/>
        <family val="2"/>
      </rPr>
      <t xml:space="preserve">关注松芝是否达到止盈区间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DejaVu Sans"/>
        <family val="2"/>
      </rPr>
      <t xml:space="preserve">教训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止损纪律执行拖延是最大问题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必须无条件执行</t>
    </r>
    <r>
      <rPr>
        <sz val="11"/>
        <color rgb="FF000000"/>
        <rFont val="Noto Sans CJK SC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级清仓</t>
    </r>
  </si>
  <si>
    <t xml:space="preserve">心态更新</t>
  </si>
  <si>
    <r>
      <rPr>
        <sz val="11"/>
        <color rgb="FF000000"/>
        <rFont val="Calibri"/>
        <family val="2"/>
        <charset val="1"/>
      </rPr>
      <t xml:space="preserve">[trae] </t>
    </r>
    <r>
      <rPr>
        <sz val="11"/>
        <color rgb="FF000000"/>
        <rFont val="DejaVu Sans"/>
        <family val="2"/>
      </rPr>
      <t xml:space="preserve">心态更新 </t>
    </r>
    <r>
      <rPr>
        <sz val="11"/>
        <color rgb="FF000000"/>
        <rFont val="Calibri"/>
        <family val="2"/>
        <charset val="1"/>
      </rPr>
      <t xml:space="preserve">2026-08-02: </t>
    </r>
    <r>
      <rPr>
        <sz val="11"/>
        <color rgb="FF000000"/>
        <rFont val="DejaVu Sans"/>
        <family val="2"/>
      </rPr>
      <t xml:space="preserve">周末复盘确认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东风股份</t>
    </r>
    <r>
      <rPr>
        <sz val="11"/>
        <color rgb="FF000000"/>
        <rFont val="Calibri"/>
        <family val="2"/>
        <charset val="1"/>
      </rPr>
      <t xml:space="preserve">P0</t>
    </r>
    <r>
      <rPr>
        <sz val="11"/>
        <color rgb="FF000000"/>
        <rFont val="DejaVu Sans"/>
        <family val="2"/>
      </rPr>
      <t xml:space="preserve">清仓拖延是本周最大教训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止损纪律必须无条件执行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松芝浮盈</t>
    </r>
    <r>
      <rPr>
        <sz val="11"/>
        <color rgb="FF000000"/>
        <rFont val="Calibri"/>
        <family val="2"/>
        <charset val="1"/>
      </rPr>
      <t xml:space="preserve">+28.6%</t>
    </r>
    <r>
      <rPr>
        <sz val="11"/>
        <color rgb="FF000000"/>
        <rFont val="DejaVu Sans"/>
        <family val="2"/>
      </rPr>
      <t xml:space="preserve">但仓位极小</t>
    </r>
    <r>
      <rPr>
        <sz val="11"/>
        <color rgb="FF000000"/>
        <rFont val="Calibri"/>
        <family val="2"/>
        <charset val="1"/>
      </rPr>
      <t xml:space="preserve">(100</t>
    </r>
    <r>
      <rPr>
        <sz val="11"/>
        <color rgb="FF000000"/>
        <rFont val="DejaVu Sans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000000"/>
        <rFont val="DejaVu Sans"/>
        <family val="2"/>
      </rPr>
      <t xml:space="preserve">说明选股方向对但仓位管理不到位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沃华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贵绳加仓后需密切关注二买确认</t>
    </r>
    <r>
      <rPr>
        <sz val="11"/>
        <color rgb="FF000000"/>
        <rFont val="Calibri"/>
        <family val="2"/>
        <charset val="1"/>
      </rPr>
      <t xml:space="preserve">, ep_l&gt;0.6</t>
    </r>
    <r>
      <rPr>
        <sz val="11"/>
        <color rgb="FF000000"/>
        <rFont val="DejaVu Sans"/>
        <family val="2"/>
      </rPr>
      <t xml:space="preserve">是加仓安全线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破位必须减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下周执行重点</t>
    </r>
    <r>
      <rPr>
        <sz val="11"/>
        <color rgb="FF000000"/>
        <rFont val="Calibri"/>
        <family val="2"/>
        <charset val="1"/>
      </rPr>
      <t xml:space="preserve">: 1.</t>
    </r>
    <r>
      <rPr>
        <sz val="11"/>
        <color rgb="FF000000"/>
        <rFont val="DejaVu Sans"/>
        <family val="2"/>
      </rPr>
      <t xml:space="preserve">周一开盘立即清仓东风</t>
    </r>
    <r>
      <rPr>
        <sz val="11"/>
        <color rgb="FF000000"/>
        <rFont val="Calibri"/>
        <family val="2"/>
        <charset val="1"/>
      </rPr>
      <t xml:space="preserve">(P0, </t>
    </r>
    <r>
      <rPr>
        <sz val="11"/>
        <color rgb="FF000000"/>
        <rFont val="DejaVu Sans"/>
        <family val="2"/>
      </rPr>
      <t xml:space="preserve">不犹豫</t>
    </r>
    <r>
      <rPr>
        <sz val="11"/>
        <color rgb="FF000000"/>
        <rFont val="Calibri"/>
        <family val="2"/>
        <charset val="1"/>
      </rPr>
      <t xml:space="preserve">) 2.</t>
    </r>
    <r>
      <rPr>
        <sz val="11"/>
        <color rgb="FF000000"/>
        <rFont val="DejaVu Sans"/>
        <family val="2"/>
      </rPr>
      <t xml:space="preserve">松芝触及止盈区间分批兑现 </t>
    </r>
    <r>
      <rPr>
        <sz val="11"/>
        <color rgb="FF000000"/>
        <rFont val="Calibri"/>
        <family val="2"/>
        <charset val="1"/>
      </rPr>
      <t xml:space="preserve">3.</t>
    </r>
    <r>
      <rPr>
        <sz val="11"/>
        <color rgb="FF000000"/>
        <rFont val="DejaVu Sans"/>
        <family val="2"/>
      </rPr>
      <t xml:space="preserve">沃华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贵绳只加仓不新开 </t>
    </r>
    <r>
      <rPr>
        <sz val="11"/>
        <color rgb="FF000000"/>
        <rFont val="Calibri"/>
        <family val="2"/>
        <charset val="1"/>
      </rPr>
      <t xml:space="preserve">4.</t>
    </r>
    <r>
      <rPr>
        <sz val="11"/>
        <color rgb="FF000000"/>
        <rFont val="DejaVu Sans"/>
        <family val="2"/>
      </rPr>
      <t xml:space="preserve">严格只在候选池内交易 </t>
    </r>
    <r>
      <rPr>
        <sz val="11"/>
        <color rgb="FF000000"/>
        <rFont val="Calibri"/>
        <family val="2"/>
        <charset val="1"/>
      </rPr>
      <t xml:space="preserve">5.</t>
    </r>
    <r>
      <rPr>
        <sz val="11"/>
        <color rgb="FF000000"/>
        <rFont val="DejaVu Sans"/>
        <family val="2"/>
      </rPr>
      <t xml:space="preserve">不在计划内默认不动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心态核心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慢即是快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结构优先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纪律至上</t>
    </r>
    <r>
      <rPr>
        <sz val="11"/>
        <color rgb="FF000000"/>
        <rFont val="Calibri"/>
        <family val="2"/>
        <charset val="1"/>
      </rPr>
      <t xml:space="preserve">.</t>
    </r>
  </si>
  <si>
    <t xml:space="preserve">周收益额</t>
  </si>
  <si>
    <t xml:space="preserve">周收益率</t>
  </si>
  <si>
    <t xml:space="preserve">起始资产</t>
  </si>
  <si>
    <t xml:space="preserve">期末资产</t>
  </si>
  <si>
    <t xml:space="preserve">持仓数</t>
  </si>
  <si>
    <t xml:space="preserve">交易笔数</t>
  </si>
  <si>
    <t xml:space="preserve">违规次数</t>
  </si>
  <si>
    <r>
      <rPr>
        <b val="true"/>
        <sz val="11"/>
        <color rgb="FFFFFFFF"/>
        <rFont val="Cambria"/>
        <family val="0"/>
        <charset val="1"/>
      </rPr>
      <t xml:space="preserve">P0</t>
    </r>
    <r>
      <rPr>
        <b val="true"/>
        <sz val="11"/>
        <color rgb="FFFFFFFF"/>
        <rFont val="DejaVu Sans"/>
        <family val="2"/>
      </rPr>
      <t xml:space="preserve">执行</t>
    </r>
  </si>
  <si>
    <r>
      <rPr>
        <b val="true"/>
        <sz val="11"/>
        <color rgb="FFFFFFFF"/>
        <rFont val="Cambria"/>
        <family val="0"/>
        <charset val="1"/>
      </rPr>
      <t xml:space="preserve">Codex</t>
    </r>
    <r>
      <rPr>
        <b val="true"/>
        <sz val="11"/>
        <color rgb="FFFFFFFF"/>
        <rFont val="DejaVu Sans"/>
        <family val="2"/>
      </rPr>
      <t xml:space="preserve">评分</t>
    </r>
  </si>
  <si>
    <t xml:space="preserve">复盘摘要</t>
  </si>
  <si>
    <t xml:space="preserve">止损次数</t>
  </si>
  <si>
    <t xml:space="preserve">赚钱效应分数均值</t>
  </si>
  <si>
    <t xml:space="preserve">亏钱效应分数均值</t>
  </si>
  <si>
    <t xml:space="preserve">当前市场状态主判断</t>
  </si>
  <si>
    <t xml:space="preserve">本周最大问题</t>
  </si>
  <si>
    <t xml:space="preserve">本周执行最好的点</t>
  </si>
  <si>
    <t xml:space="preserve">下周是否允许新开仓</t>
  </si>
  <si>
    <t xml:space="preserve">下周总仓位建议</t>
  </si>
  <si>
    <t xml:space="preserve">下周是否考虑转入</t>
  </si>
  <si>
    <t xml:space="preserve">下周重点观察股</t>
  </si>
  <si>
    <t xml:space="preserve">日复利目标完成</t>
  </si>
  <si>
    <t xml:space="preserve">周复利目标完成</t>
  </si>
  <si>
    <t xml:space="preserve">月复利目标完成</t>
  </si>
  <si>
    <t xml:space="preserve">当下累计复利率</t>
  </si>
  <si>
    <r>
      <rPr>
        <b val="true"/>
        <sz val="11"/>
        <color rgb="FFFFFFFF"/>
        <rFont val="DejaVu Sans"/>
        <family val="2"/>
      </rPr>
      <t xml:space="preserve">当下正期望</t>
    </r>
    <r>
      <rPr>
        <b val="true"/>
        <sz val="11"/>
        <color rgb="FFFFFFFF"/>
        <rFont val="DejaVu Sans"/>
        <family val="2"/>
        <charset val="1"/>
      </rPr>
      <t xml:space="preserve">R</t>
    </r>
    <r>
      <rPr>
        <b val="true"/>
        <sz val="11"/>
        <color rgb="FFFFFFFF"/>
        <rFont val="DejaVu Sans"/>
        <family val="2"/>
      </rPr>
      <t xml:space="preserve">值</t>
    </r>
  </si>
  <si>
    <t xml:space="preserve">系统盈亏比</t>
  </si>
  <si>
    <t xml:space="preserve">账户规模增长</t>
  </si>
  <si>
    <t xml:space="preserve">增长目标进度</t>
  </si>
  <si>
    <t xml:space="preserve">复利追踪备注</t>
  </si>
  <si>
    <r>
      <rPr>
        <b val="true"/>
        <sz val="11"/>
        <color rgb="FFFFFFFF"/>
        <rFont val="DejaVu Sans"/>
        <family val="2"/>
      </rPr>
      <t xml:space="preserve">做</t>
    </r>
    <r>
      <rPr>
        <b val="true"/>
        <sz val="11"/>
        <color rgb="FFFFFFFF"/>
        <rFont val="DejaVu Sans"/>
        <family val="2"/>
        <charset val="1"/>
      </rPr>
      <t xml:space="preserve">T</t>
    </r>
    <r>
      <rPr>
        <b val="true"/>
        <sz val="11"/>
        <color rgb="FFFFFFFF"/>
        <rFont val="DejaVu Sans"/>
        <family val="2"/>
      </rPr>
      <t xml:space="preserve">统计</t>
    </r>
  </si>
  <si>
    <t xml:space="preserve">建清仓成功率</t>
  </si>
  <si>
    <t xml:space="preserve">平均持仓天数</t>
  </si>
  <si>
    <t xml:space="preserve">07/20-07/24</t>
  </si>
  <si>
    <t xml:space="preserve">胜胜胜胜负</t>
  </si>
  <si>
    <r>
      <rPr>
        <sz val="11"/>
        <color rgb="FF1F4E79"/>
        <rFont val="Noto Sans CJK SC"/>
        <family val="2"/>
        <charset val="1"/>
      </rPr>
      <t xml:space="preserve">5</t>
    </r>
    <r>
      <rPr>
        <sz val="11"/>
        <color rgb="FF1F4E79"/>
        <rFont val="DejaVu Sans"/>
        <family val="2"/>
      </rPr>
      <t xml:space="preserve">只新开仓日线中枢破位</t>
    </r>
    <r>
      <rPr>
        <sz val="11"/>
        <color rgb="FF1F4E79"/>
        <rFont val="Noto Sans CJK SC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创力</t>
    </r>
    <r>
      <rPr>
        <sz val="11"/>
        <color rgb="FF1F4E79"/>
        <rFont val="Noto Sans CJK SC"/>
        <family val="2"/>
        <charset val="1"/>
      </rPr>
      <t xml:space="preserve">-1.8%/</t>
    </r>
    <r>
      <rPr>
        <sz val="11"/>
        <color rgb="FF1F4E79"/>
        <rFont val="DejaVu Sans"/>
        <family val="2"/>
      </rPr>
      <t xml:space="preserve">新五丰</t>
    </r>
    <r>
      <rPr>
        <sz val="11"/>
        <color rgb="FF1F4E79"/>
        <rFont val="Noto Sans CJK SC"/>
        <family val="2"/>
        <charset val="1"/>
      </rPr>
      <t xml:space="preserve">-3.1%/</t>
    </r>
    <r>
      <rPr>
        <sz val="11"/>
        <color rgb="FF1F4E79"/>
        <rFont val="DejaVu Sans"/>
        <family val="2"/>
      </rPr>
      <t xml:space="preserve">方盛</t>
    </r>
    <r>
      <rPr>
        <sz val="11"/>
        <color rgb="FF1F4E79"/>
        <rFont val="Noto Sans CJK SC"/>
        <family val="2"/>
        <charset val="1"/>
      </rPr>
      <t xml:space="preserve">-9.4%/</t>
    </r>
    <r>
      <rPr>
        <sz val="11"/>
        <color rgb="FF1F4E79"/>
        <rFont val="DejaVu Sans"/>
        <family val="2"/>
      </rPr>
      <t xml:space="preserve">建研</t>
    </r>
    <r>
      <rPr>
        <sz val="11"/>
        <color rgb="FF1F4E79"/>
        <rFont val="Noto Sans CJK SC"/>
        <family val="2"/>
        <charset val="1"/>
      </rPr>
      <t xml:space="preserve">-0.2%/</t>
    </r>
    <r>
      <rPr>
        <sz val="11"/>
        <color rgb="FF1F4E79"/>
        <rFont val="DejaVu Sans"/>
        <family val="2"/>
      </rPr>
      <t xml:space="preserve">曲美</t>
    </r>
    <r>
      <rPr>
        <sz val="11"/>
        <color rgb="FF1F4E79"/>
        <rFont val="Noto Sans CJK SC"/>
        <family val="2"/>
        <charset val="1"/>
      </rPr>
      <t xml:space="preserve">-2.8%),</t>
    </r>
    <r>
      <rPr>
        <sz val="11"/>
        <color rgb="FF1F4E79"/>
        <rFont val="DejaVu Sans"/>
        <family val="2"/>
      </rPr>
      <t xml:space="preserve">仅隆基合规</t>
    </r>
    <r>
      <rPr>
        <sz val="11"/>
        <color rgb="FF1F4E79"/>
        <rFont val="Noto Sans CJK SC"/>
        <family val="2"/>
        <charset val="1"/>
      </rPr>
      <t xml:space="preserve">; </t>
    </r>
    <r>
      <rPr>
        <sz val="11"/>
        <color rgb="FF1F4E79"/>
        <rFont val="DejaVu Sans"/>
        <family val="2"/>
      </rPr>
      <t xml:space="preserve">买入时未充分验证中枢位置</t>
    </r>
  </si>
  <si>
    <r>
      <rPr>
        <sz val="11"/>
        <color rgb="FF1F4E79"/>
        <rFont val="DejaVu Sans"/>
        <family val="2"/>
      </rPr>
      <t xml:space="preserve">万华化学清仓获利</t>
    </r>
    <r>
      <rPr>
        <sz val="11"/>
        <color rgb="FF1F4E79"/>
        <rFont val="DejaVu Sans"/>
        <family val="2"/>
        <charset val="1"/>
      </rPr>
      <t xml:space="preserve">+933</t>
    </r>
    <r>
      <rPr>
        <sz val="11"/>
        <color rgb="FF1F4E79"/>
        <rFont val="DejaVu Sans"/>
        <family val="2"/>
      </rPr>
      <t xml:space="preserve">元</t>
    </r>
    <r>
      <rPr>
        <sz val="11"/>
        <color rgb="FF1F4E79"/>
        <rFont val="DejaVu Sans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周收益</t>
    </r>
    <r>
      <rPr>
        <sz val="11"/>
        <color rgb="FF1F4E79"/>
        <rFont val="DejaVu Sans"/>
        <family val="2"/>
        <charset val="1"/>
      </rPr>
      <t xml:space="preserve">+2.54%); </t>
    </r>
    <r>
      <rPr>
        <sz val="11"/>
        <color rgb="FF1F4E79"/>
        <rFont val="DejaVu Sans"/>
        <family val="2"/>
      </rPr>
      <t xml:space="preserve">曲美家居原挂</t>
    </r>
    <r>
      <rPr>
        <sz val="11"/>
        <color rgb="FF1F4E79"/>
        <rFont val="DejaVu Sans"/>
        <family val="2"/>
        <charset val="1"/>
      </rPr>
      <t xml:space="preserve">2100</t>
    </r>
    <r>
      <rPr>
        <sz val="11"/>
        <color rgb="FF1F4E79"/>
        <rFont val="DejaVu Sans"/>
        <family val="2"/>
      </rPr>
      <t xml:space="preserve">股超限减至</t>
    </r>
    <r>
      <rPr>
        <sz val="11"/>
        <color rgb="FF1F4E79"/>
        <rFont val="DejaVu Sans"/>
        <family val="2"/>
        <charset val="1"/>
      </rPr>
      <t xml:space="preserve">500</t>
    </r>
    <r>
      <rPr>
        <sz val="11"/>
        <color rgb="FF1F4E79"/>
        <rFont val="DejaVu Sans"/>
        <family val="2"/>
      </rPr>
      <t xml:space="preserve">股后合规</t>
    </r>
  </si>
  <si>
    <r>
      <rPr>
        <sz val="11"/>
        <color rgb="FF1F4E79"/>
        <rFont val="DejaVu Sans"/>
        <family val="2"/>
      </rPr>
      <t xml:space="preserve">开滦股份</t>
    </r>
    <r>
      <rPr>
        <sz val="11"/>
        <color rgb="FF1F4E79"/>
        <rFont val="DejaVu Sans"/>
        <family val="2"/>
        <charset val="1"/>
      </rPr>
      <t xml:space="preserve">(600997), </t>
    </r>
    <r>
      <rPr>
        <sz val="11"/>
        <color rgb="FF1F4E79"/>
        <rFont val="DejaVu Sans"/>
        <family val="2"/>
      </rPr>
      <t xml:space="preserve">汇嘉时代</t>
    </r>
    <r>
      <rPr>
        <sz val="11"/>
        <color rgb="FF1F4E79"/>
        <rFont val="DejaVu Sans"/>
        <family val="2"/>
        <charset val="1"/>
      </rPr>
      <t xml:space="preserve">(603101), </t>
    </r>
    <r>
      <rPr>
        <sz val="11"/>
        <color rgb="FF1F4E79"/>
        <rFont val="DejaVu Sans"/>
        <family val="2"/>
      </rPr>
      <t xml:space="preserve">宝钢包装</t>
    </r>
    <r>
      <rPr>
        <sz val="11"/>
        <color rgb="FF1F4E79"/>
        <rFont val="DejaVu Sans"/>
        <family val="2"/>
        <charset val="1"/>
      </rPr>
      <t xml:space="preserve">(601968), </t>
    </r>
    <r>
      <rPr>
        <sz val="11"/>
        <color rgb="FF1F4E79"/>
        <rFont val="DejaVu Sans"/>
        <family val="2"/>
      </rPr>
      <t xml:space="preserve">家家悦</t>
    </r>
    <r>
      <rPr>
        <sz val="11"/>
        <color rgb="FF1F4E79"/>
        <rFont val="DejaVu Sans"/>
        <family val="2"/>
        <charset val="1"/>
      </rPr>
      <t xml:space="preserve">(603708), </t>
    </r>
    <r>
      <rPr>
        <sz val="11"/>
        <color rgb="FF1F4E79"/>
        <rFont val="DejaVu Sans"/>
        <family val="2"/>
      </rPr>
      <t xml:space="preserve">一鸣食品</t>
    </r>
    <r>
      <rPr>
        <sz val="11"/>
        <color rgb="FF1F4E79"/>
        <rFont val="DejaVu Sans"/>
        <family val="2"/>
        <charset val="1"/>
      </rPr>
      <t xml:space="preserve">(605179)</t>
    </r>
  </si>
  <si>
    <r>
      <rPr>
        <sz val="11"/>
        <color rgb="FF1F4E79"/>
        <rFont val="DejaVu Sans"/>
        <family val="2"/>
      </rPr>
      <t xml:space="preserve">心态均分</t>
    </r>
    <r>
      <rPr>
        <sz val="11"/>
        <color rgb="FF1F4E79"/>
        <rFont val="DejaVu Sans"/>
        <family val="2"/>
        <charset val="1"/>
      </rPr>
      <t xml:space="preserve">68, </t>
    </r>
    <r>
      <rPr>
        <sz val="11"/>
        <color rgb="FF1F4E79"/>
        <rFont val="DejaVu Sans"/>
        <family val="2"/>
      </rPr>
      <t xml:space="preserve">当前总仓位</t>
    </r>
    <r>
      <rPr>
        <sz val="11"/>
        <color rgb="FF1F4E79"/>
        <rFont val="DejaVu Sans"/>
        <family val="2"/>
        <charset val="1"/>
      </rPr>
      <t xml:space="preserve">40.4%</t>
    </r>
  </si>
  <si>
    <r>
      <rPr>
        <sz val="10"/>
        <rFont val="DejaVu Sans"/>
        <family val="2"/>
      </rPr>
      <t xml:space="preserve">是 </t>
    </r>
    <r>
      <rPr>
        <sz val="10"/>
        <rFont val="DejaVu Sans"/>
        <family val="2"/>
        <charset val="1"/>
      </rPr>
      <t xml:space="preserve">(TWR0.503% vs</t>
    </r>
    <r>
      <rPr>
        <sz val="10"/>
        <rFont val="DejaVu Sans"/>
        <family val="2"/>
      </rPr>
      <t xml:space="preserve">目标</t>
    </r>
    <r>
      <rPr>
        <sz val="10"/>
        <rFont val="DejaVu Sans"/>
        <family val="2"/>
        <charset val="1"/>
      </rPr>
      <t xml:space="preserve">0.0118%)</t>
    </r>
  </si>
  <si>
    <r>
      <rPr>
        <sz val="10"/>
        <rFont val="DejaVu Sans"/>
        <family val="2"/>
      </rPr>
      <t xml:space="preserve">是 </t>
    </r>
    <r>
      <rPr>
        <sz val="10"/>
        <rFont val="DejaVu Sans"/>
        <family val="2"/>
        <charset val="1"/>
      </rPr>
      <t xml:space="preserve">(TWR2.540% vs</t>
    </r>
    <r>
      <rPr>
        <sz val="10"/>
        <rFont val="DejaVu Sans"/>
        <family val="2"/>
      </rPr>
      <t xml:space="preserve">目标</t>
    </r>
    <r>
      <rPr>
        <sz val="10"/>
        <rFont val="DejaVu Sans"/>
        <family val="2"/>
        <charset val="1"/>
      </rPr>
      <t xml:space="preserve">0.0591%)</t>
    </r>
  </si>
  <si>
    <r>
      <rPr>
        <sz val="10"/>
        <rFont val="DejaVu Sans"/>
        <family val="2"/>
      </rPr>
      <t xml:space="preserve">是 </t>
    </r>
    <r>
      <rPr>
        <sz val="10"/>
        <rFont val="DejaVu Sans"/>
        <family val="2"/>
        <charset val="1"/>
      </rPr>
      <t xml:space="preserve">(TWR12.637% vs</t>
    </r>
    <r>
      <rPr>
        <sz val="10"/>
        <rFont val="DejaVu Sans"/>
        <family val="2"/>
      </rPr>
      <t xml:space="preserve">目标</t>
    </r>
    <r>
      <rPr>
        <sz val="10"/>
        <rFont val="DejaVu Sans"/>
        <family val="2"/>
        <charset val="1"/>
      </rPr>
      <t xml:space="preserve">0.2466%)</t>
    </r>
  </si>
  <si>
    <r>
      <rPr>
        <sz val="10"/>
        <rFont val="Cambria"/>
        <family val="0"/>
        <charset val="1"/>
      </rPr>
      <t xml:space="preserve">[</t>
    </r>
    <r>
      <rPr>
        <sz val="10"/>
        <rFont val="DejaVu Sans"/>
        <family val="2"/>
      </rPr>
      <t xml:space="preserve">主</t>
    </r>
    <r>
      <rPr>
        <sz val="10"/>
        <rFont val="Cambria"/>
        <family val="0"/>
        <charset val="1"/>
      </rPr>
      <t xml:space="preserve">]TWR:94.9%</t>
    </r>
    <r>
      <rPr>
        <sz val="10"/>
        <rFont val="DejaVu Sans"/>
        <family val="2"/>
      </rPr>
      <t xml:space="preserve">年化</t>
    </r>
    <r>
      <rPr>
        <sz val="10"/>
        <rFont val="Cambria"/>
        <family val="0"/>
        <charset val="1"/>
      </rPr>
      <t xml:space="preserve">294.2% [</t>
    </r>
    <r>
      <rPr>
        <sz val="10"/>
        <rFont val="DejaVu Sans"/>
        <family val="2"/>
      </rPr>
      <t xml:space="preserve">辅</t>
    </r>
    <r>
      <rPr>
        <sz val="10"/>
        <rFont val="Cambria"/>
        <family val="0"/>
        <charset val="1"/>
      </rPr>
      <t xml:space="preserve">]</t>
    </r>
    <r>
      <rPr>
        <sz val="10"/>
        <rFont val="DejaVu Sans"/>
        <family val="2"/>
      </rPr>
      <t xml:space="preserve">动态</t>
    </r>
    <r>
      <rPr>
        <sz val="10"/>
        <rFont val="Cambria"/>
        <family val="0"/>
        <charset val="1"/>
      </rPr>
      <t xml:space="preserve">:119.6%</t>
    </r>
    <r>
      <rPr>
        <sz val="10"/>
        <rFont val="DejaVu Sans"/>
        <family val="2"/>
      </rPr>
      <t xml:space="preserve">年化</t>
    </r>
    <r>
      <rPr>
        <sz val="10"/>
        <rFont val="Cambria"/>
        <family val="0"/>
        <charset val="1"/>
      </rPr>
      <t xml:space="preserve">403.8%</t>
    </r>
  </si>
  <si>
    <r>
      <rPr>
        <sz val="10"/>
        <rFont val="DejaVu Sans"/>
        <family val="2"/>
      </rPr>
      <t xml:space="preserve">平均</t>
    </r>
    <r>
      <rPr>
        <sz val="10"/>
        <rFont val="DejaVu Sans"/>
        <family val="2"/>
        <charset val="1"/>
      </rPr>
      <t xml:space="preserve">R=2.1432, </t>
    </r>
    <r>
      <rPr>
        <sz val="10"/>
        <rFont val="DejaVu Sans"/>
        <family val="2"/>
      </rPr>
      <t xml:space="preserve">累计</t>
    </r>
    <r>
      <rPr>
        <sz val="10"/>
        <rFont val="DejaVu Sans"/>
        <family val="2"/>
        <charset val="1"/>
      </rPr>
      <t xml:space="preserve">R=15.0027, </t>
    </r>
    <r>
      <rPr>
        <sz val="10"/>
        <rFont val="DejaVu Sans"/>
        <family val="2"/>
      </rPr>
      <t xml:space="preserve">最大</t>
    </r>
    <r>
      <rPr>
        <sz val="10"/>
        <rFont val="DejaVu Sans"/>
        <family val="2"/>
        <charset val="1"/>
      </rPr>
      <t xml:space="preserve">R=9.0824, </t>
    </r>
    <r>
      <rPr>
        <sz val="10"/>
        <rFont val="DejaVu Sans"/>
        <family val="2"/>
      </rPr>
      <t xml:space="preserve">最大亏损</t>
    </r>
    <r>
      <rPr>
        <sz val="10"/>
        <rFont val="DejaVu Sans"/>
        <family val="2"/>
        <charset val="1"/>
      </rPr>
      <t xml:space="preserve">R=-0.4017</t>
    </r>
  </si>
  <si>
    <r>
      <rPr>
        <sz val="10"/>
        <rFont val="DejaVu Sans"/>
        <family val="2"/>
      </rPr>
      <t xml:space="preserve">婴儿阶段</t>
    </r>
    <r>
      <rPr>
        <sz val="10"/>
        <rFont val="DejaVu Sans"/>
        <family val="2"/>
        <charset val="1"/>
      </rPr>
      <t xml:space="preserve">, ¥20,842/¥30,000</t>
    </r>
    <r>
      <rPr>
        <sz val="10"/>
        <rFont val="DejaVu Sans"/>
        <family val="2"/>
      </rPr>
      <t xml:space="preserve">目标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幼儿</t>
    </r>
    <r>
      <rPr>
        <sz val="10"/>
        <rFont val="DejaVu Sans"/>
        <family val="2"/>
        <charset val="1"/>
      </rPr>
      <t xml:space="preserve">)</t>
    </r>
  </si>
  <si>
    <t xml:space="preserve">69.5%</t>
  </si>
  <si>
    <r>
      <rPr>
        <sz val="10"/>
        <rFont val="DejaVu Sans"/>
        <family val="2"/>
      </rPr>
      <t xml:space="preserve">主</t>
    </r>
    <r>
      <rPr>
        <sz val="10"/>
        <rFont val="DejaVu Sans"/>
        <family val="2"/>
        <charset val="1"/>
      </rPr>
      <t xml:space="preserve">:TWR</t>
    </r>
    <r>
      <rPr>
        <sz val="10"/>
        <rFont val="DejaVu Sans"/>
        <family val="2"/>
      </rPr>
      <t xml:space="preserve">本金</t>
    </r>
    <r>
      <rPr>
        <sz val="10"/>
        <rFont val="DejaVu Sans"/>
        <family val="2"/>
        <charset val="1"/>
      </rPr>
      <t xml:space="preserve">¥10,693 </t>
    </r>
    <r>
      <rPr>
        <sz val="10"/>
        <rFont val="DejaVu Sans"/>
        <family val="2"/>
      </rPr>
      <t xml:space="preserve">辅</t>
    </r>
    <r>
      <rPr>
        <sz val="10"/>
        <rFont val="DejaVu Sans"/>
        <family val="2"/>
        <charset val="1"/>
      </rPr>
      <t xml:space="preserve">:</t>
    </r>
    <r>
      <rPr>
        <sz val="10"/>
        <rFont val="DejaVu Sans"/>
        <family val="2"/>
      </rPr>
      <t xml:space="preserve">动态</t>
    </r>
    <r>
      <rPr>
        <sz val="10"/>
        <rFont val="DejaVu Sans"/>
        <family val="2"/>
        <charset val="1"/>
      </rPr>
      <t xml:space="preserve">¥8,484(41%</t>
    </r>
    <r>
      <rPr>
        <sz val="10"/>
        <rFont val="DejaVu Sans"/>
        <family val="2"/>
      </rPr>
      <t xml:space="preserve">仓位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系统</t>
    </r>
    <r>
      <rPr>
        <sz val="10"/>
        <rFont val="DejaVu Sans"/>
        <family val="2"/>
        <charset val="1"/>
      </rPr>
      <t xml:space="preserve">=</t>
    </r>
    <r>
      <rPr>
        <sz val="10"/>
        <rFont val="DejaVu Sans"/>
        <family val="2"/>
      </rPr>
      <t xml:space="preserve">正期望系统 ✅ 胜率</t>
    </r>
    <r>
      <rPr>
        <sz val="10"/>
        <rFont val="DejaVu Sans"/>
        <family val="2"/>
        <charset val="1"/>
      </rPr>
      <t xml:space="preserve">71% </t>
    </r>
    <r>
      <rPr>
        <sz val="10"/>
        <rFont val="DejaVu Sans"/>
        <family val="2"/>
      </rPr>
      <t xml:space="preserve">距幼儿差</t>
    </r>
    <r>
      <rPr>
        <sz val="10"/>
        <rFont val="DejaVu Sans"/>
        <family val="2"/>
        <charset val="1"/>
      </rPr>
      <t xml:space="preserve">¥9,158</t>
    </r>
  </si>
  <si>
    <r>
      <rPr>
        <sz val="10"/>
        <rFont val="Cambria"/>
        <family val="0"/>
        <charset val="1"/>
      </rPr>
      <t xml:space="preserve">2</t>
    </r>
    <r>
      <rPr>
        <sz val="10"/>
        <rFont val="DejaVu Sans"/>
        <family val="2"/>
      </rPr>
      <t xml:space="preserve">次</t>
    </r>
    <r>
      <rPr>
        <sz val="10"/>
        <rFont val="Cambria"/>
        <family val="0"/>
        <charset val="1"/>
      </rPr>
      <t xml:space="preserve">, </t>
    </r>
    <r>
      <rPr>
        <sz val="10"/>
        <rFont val="DejaVu Sans"/>
        <family val="2"/>
      </rPr>
      <t xml:space="preserve">成功率</t>
    </r>
    <r>
      <rPr>
        <sz val="10"/>
        <rFont val="Cambria"/>
        <family val="0"/>
        <charset val="1"/>
      </rPr>
      <t xml:space="preserve">100% (2/2)</t>
    </r>
  </si>
  <si>
    <t xml:space="preserve">71% (5/7)</t>
  </si>
  <si>
    <r>
      <rPr>
        <sz val="10"/>
        <rFont val="Cambria"/>
        <family val="0"/>
        <charset val="1"/>
      </rPr>
      <t xml:space="preserve">27</t>
    </r>
    <r>
      <rPr>
        <sz val="10"/>
        <rFont val="DejaVu Sans"/>
        <family val="2"/>
      </rPr>
      <t xml:space="preserve">天</t>
    </r>
  </si>
  <si>
    <t xml:space="preserve">2026-08-02</t>
  </si>
  <si>
    <t xml:space="preserve">2.53%</t>
  </si>
  <si>
    <t xml:space="preserve">2/3</t>
  </si>
  <si>
    <r>
      <rPr>
        <sz val="11"/>
        <color rgb="FF1F4E79"/>
        <rFont val="DejaVu Sans"/>
        <family val="2"/>
      </rPr>
      <t xml:space="preserve">同花顺复核修正</t>
    </r>
    <r>
      <rPr>
        <sz val="11"/>
        <color rgb="FF1F4E79"/>
        <rFont val="DejaVu Sans"/>
        <family val="2"/>
        <charset val="1"/>
      </rPr>
      <t xml:space="preserve">: </t>
    </r>
    <r>
      <rPr>
        <sz val="11"/>
        <color rgb="FF1F4E79"/>
        <rFont val="DejaVu Sans"/>
        <family val="2"/>
      </rPr>
      <t xml:space="preserve">期初资产</t>
    </r>
    <r>
      <rPr>
        <sz val="11"/>
        <color rgb="FF1F4E79"/>
        <rFont val="DejaVu Sans"/>
        <family val="2"/>
        <charset val="1"/>
      </rPr>
      <t xml:space="preserve">¥21092.63→¥20842.92(</t>
    </r>
    <r>
      <rPr>
        <sz val="11"/>
        <color rgb="FF1F4E79"/>
        <rFont val="DejaVu Sans"/>
        <family val="2"/>
      </rPr>
      <t xml:space="preserve">差</t>
    </r>
    <r>
      <rPr>
        <sz val="11"/>
        <color rgb="FF1F4E79"/>
        <rFont val="DejaVu Sans"/>
        <family val="2"/>
        <charset val="1"/>
      </rPr>
      <t xml:space="preserve">¥249.71); </t>
    </r>
    <r>
      <rPr>
        <sz val="11"/>
        <color rgb="FF1F4E79"/>
        <rFont val="DejaVu Sans"/>
        <family val="2"/>
      </rPr>
      <t xml:space="preserve">周收益</t>
    </r>
    <r>
      <rPr>
        <sz val="11"/>
        <color rgb="FF1F4E79"/>
        <rFont val="DejaVu Sans"/>
        <family val="2"/>
        <charset val="1"/>
      </rPr>
      <t xml:space="preserve">¥527.88(+2.53%)</t>
    </r>
    <r>
      <rPr>
        <sz val="11"/>
        <color rgb="FF1F4E79"/>
        <rFont val="DejaVu Sans"/>
        <family val="2"/>
      </rPr>
      <t xml:space="preserve">非</t>
    </r>
    <r>
      <rPr>
        <sz val="11"/>
        <color rgb="FF1F4E79"/>
        <rFont val="DejaVu Sans"/>
        <family val="2"/>
        <charset val="1"/>
      </rPr>
      <t xml:space="preserve">¥278.17; </t>
    </r>
    <r>
      <rPr>
        <sz val="11"/>
        <color rgb="FF1F4E79"/>
        <rFont val="DejaVu Sans"/>
        <family val="2"/>
      </rPr>
      <t xml:space="preserve">交易成本</t>
    </r>
    <r>
      <rPr>
        <sz val="11"/>
        <color rgb="FF1F4E79"/>
        <rFont val="DejaVu Sans"/>
        <family val="2"/>
        <charset val="1"/>
      </rPr>
      <t xml:space="preserve">: </t>
    </r>
    <r>
      <rPr>
        <sz val="11"/>
        <color rgb="FF1F4E79"/>
        <rFont val="DejaVu Sans"/>
        <family val="2"/>
      </rPr>
      <t xml:space="preserve">印花税</t>
    </r>
    <r>
      <rPr>
        <sz val="11"/>
        <color rgb="FF1F4E79"/>
        <rFont val="DejaVu Sans"/>
        <family val="2"/>
        <charset val="1"/>
      </rPr>
      <t xml:space="preserve">¥22.21+</t>
    </r>
    <r>
      <rPr>
        <sz val="11"/>
        <color rgb="FF1F4E79"/>
        <rFont val="DejaVu Sans"/>
        <family val="2"/>
      </rPr>
      <t xml:space="preserve">佣金</t>
    </r>
    <r>
      <rPr>
        <sz val="11"/>
        <color rgb="FF1F4E79"/>
        <rFont val="DejaVu Sans"/>
        <family val="2"/>
        <charset val="1"/>
      </rPr>
      <t xml:space="preserve">¥48=¥70.21; </t>
    </r>
    <r>
      <rPr>
        <sz val="11"/>
        <color rgb="FF1F4E79"/>
        <rFont val="DejaVu Sans"/>
        <family val="2"/>
      </rPr>
      <t xml:space="preserve">做</t>
    </r>
    <r>
      <rPr>
        <sz val="11"/>
        <color rgb="FF1F4E79"/>
        <rFont val="DejaVu Sans"/>
        <family val="2"/>
        <charset val="1"/>
      </rPr>
      <t xml:space="preserve">T</t>
    </r>
    <r>
      <rPr>
        <sz val="11"/>
        <color rgb="FF1F4E79"/>
        <rFont val="DejaVu Sans"/>
        <family val="2"/>
      </rPr>
      <t xml:space="preserve">亏损</t>
    </r>
    <r>
      <rPr>
        <sz val="11"/>
        <color rgb="FF1F4E79"/>
        <rFont val="DejaVu Sans"/>
        <family val="2"/>
        <charset val="1"/>
      </rPr>
      <t xml:space="preserve">¥3.47; </t>
    </r>
    <r>
      <rPr>
        <sz val="11"/>
        <color rgb="FF1F4E79"/>
        <rFont val="DejaVu Sans"/>
        <family val="2"/>
      </rPr>
      <t xml:space="preserve">最大回撤</t>
    </r>
    <r>
      <rPr>
        <sz val="11"/>
        <color rgb="FF1F4E79"/>
        <rFont val="DejaVu Sans"/>
        <family val="2"/>
        <charset val="1"/>
      </rPr>
      <t xml:space="preserve">-0.43%(¥90.92); </t>
    </r>
    <r>
      <rPr>
        <sz val="11"/>
        <color rgb="FF1F4E79"/>
        <rFont val="DejaVu Sans"/>
        <family val="2"/>
      </rPr>
      <t xml:space="preserve">盈利</t>
    </r>
    <r>
      <rPr>
        <sz val="11"/>
        <color rgb="FF1F4E79"/>
        <rFont val="DejaVu Sans"/>
        <family val="2"/>
        <charset val="1"/>
      </rPr>
      <t xml:space="preserve">4</t>
    </r>
    <r>
      <rPr>
        <sz val="11"/>
        <color rgb="FF1F4E79"/>
        <rFont val="DejaVu Sans"/>
        <family val="2"/>
      </rPr>
      <t xml:space="preserve">天</t>
    </r>
    <r>
      <rPr>
        <sz val="11"/>
        <color rgb="FF1F4E79"/>
        <rFont val="DejaVu Sans"/>
        <family val="2"/>
        <charset val="1"/>
      </rPr>
      <t xml:space="preserve">/</t>
    </r>
    <r>
      <rPr>
        <sz val="11"/>
        <color rgb="FF1F4E79"/>
        <rFont val="DejaVu Sans"/>
        <family val="2"/>
      </rPr>
      <t xml:space="preserve">亏损</t>
    </r>
    <r>
      <rPr>
        <sz val="11"/>
        <color rgb="FF1F4E79"/>
        <rFont val="DejaVu Sans"/>
        <family val="2"/>
        <charset val="1"/>
      </rPr>
      <t xml:space="preserve">1</t>
    </r>
    <r>
      <rPr>
        <sz val="11"/>
        <color rgb="FF1F4E79"/>
        <rFont val="DejaVu Sans"/>
        <family val="2"/>
      </rPr>
      <t xml:space="preserve">天</t>
    </r>
    <r>
      <rPr>
        <sz val="11"/>
        <color rgb="FF1F4E79"/>
        <rFont val="DejaVu Sans"/>
        <family val="2"/>
        <charset val="1"/>
      </rPr>
      <t xml:space="preserve">, </t>
    </r>
    <r>
      <rPr>
        <sz val="11"/>
        <color rgb="FF1F4E79"/>
        <rFont val="DejaVu Sans"/>
        <family val="2"/>
      </rPr>
      <t xml:space="preserve">最大连盈</t>
    </r>
    <r>
      <rPr>
        <sz val="11"/>
        <color rgb="FF1F4E79"/>
        <rFont val="DejaVu Sans"/>
        <family val="2"/>
        <charset val="1"/>
      </rPr>
      <t xml:space="preserve">3</t>
    </r>
    <r>
      <rPr>
        <sz val="11"/>
        <color rgb="FF1F4E79"/>
        <rFont val="DejaVu Sans"/>
        <family val="2"/>
      </rPr>
      <t xml:space="preserve">天</t>
    </r>
    <r>
      <rPr>
        <sz val="11"/>
        <color rgb="FF1F4E79"/>
        <rFont val="DejaVu Sans"/>
        <family val="2"/>
        <charset val="1"/>
      </rPr>
      <t xml:space="preserve">; </t>
    </r>
    <r>
      <rPr>
        <sz val="11"/>
        <color rgb="FF1F4E79"/>
        <rFont val="DejaVu Sans"/>
        <family val="2"/>
      </rPr>
      <t xml:space="preserve">最大盈利个股万华化学</t>
    </r>
    <r>
      <rPr>
        <sz val="11"/>
        <color rgb="FF1F4E79"/>
        <rFont val="DejaVu Sans"/>
        <family val="2"/>
        <charset val="1"/>
      </rPr>
      <t xml:space="preserve">, </t>
    </r>
    <r>
      <rPr>
        <sz val="11"/>
        <color rgb="FF1F4E79"/>
        <rFont val="DejaVu Sans"/>
        <family val="2"/>
      </rPr>
      <t xml:space="preserve">最大亏损方盛制药</t>
    </r>
    <r>
      <rPr>
        <sz val="11"/>
        <color rgb="FF1F4E79"/>
        <rFont val="DejaVu Sans"/>
        <family val="2"/>
        <charset val="1"/>
      </rPr>
      <t xml:space="preserve">(</t>
    </r>
    <r>
      <rPr>
        <sz val="11"/>
        <color rgb="FF1F4E79"/>
        <rFont val="DejaVu Sans"/>
        <family val="2"/>
      </rPr>
      <t xml:space="preserve">均已清仓</t>
    </r>
    <r>
      <rPr>
        <sz val="11"/>
        <color rgb="FF1F4E79"/>
        <rFont val="DejaVu Sans"/>
        <family val="2"/>
        <charset val="1"/>
      </rPr>
      <t xml:space="preserve">); </t>
    </r>
    <r>
      <rPr>
        <sz val="11"/>
        <color rgb="FF1F4E79"/>
        <rFont val="DejaVu Sans"/>
        <family val="2"/>
      </rPr>
      <t xml:space="preserve">仓位</t>
    </r>
    <r>
      <rPr>
        <sz val="11"/>
        <color rgb="FF1F4E79"/>
        <rFont val="DejaVu Sans"/>
        <family val="2"/>
        <charset val="1"/>
      </rPr>
      <t xml:space="preserve">11%→54%→37%; </t>
    </r>
    <r>
      <rPr>
        <sz val="11"/>
        <color rgb="FF1F4E79"/>
        <rFont val="DejaVu Sans"/>
        <family val="2"/>
      </rPr>
      <t xml:space="preserve">清仓三力士</t>
    </r>
    <r>
      <rPr>
        <sz val="11"/>
        <color rgb="FF1F4E79"/>
        <rFont val="DejaVu Sans"/>
        <family val="2"/>
        <charset val="1"/>
      </rPr>
      <t xml:space="preserve">+</t>
    </r>
    <r>
      <rPr>
        <sz val="11"/>
        <color rgb="FF1F4E79"/>
        <rFont val="DejaVu Sans"/>
        <family val="2"/>
      </rPr>
      <t xml:space="preserve">拱东</t>
    </r>
    <r>
      <rPr>
        <sz val="11"/>
        <color rgb="FF1F4E79"/>
        <rFont val="DejaVu Sans"/>
        <family val="2"/>
        <charset val="1"/>
      </rPr>
      <t xml:space="preserve">(P0 2/3); </t>
    </r>
    <r>
      <rPr>
        <sz val="11"/>
        <color rgb="FF1F4E79"/>
        <rFont val="DejaVu Sans"/>
        <family val="2"/>
      </rPr>
      <t xml:space="preserve">东风</t>
    </r>
    <r>
      <rPr>
        <sz val="11"/>
        <color rgb="FF1F4E79"/>
        <rFont val="DejaVu Sans"/>
        <family val="2"/>
        <charset val="1"/>
      </rPr>
      <t xml:space="preserve">-34.6%</t>
    </r>
    <r>
      <rPr>
        <sz val="11"/>
        <color rgb="FF1F4E79"/>
        <rFont val="DejaVu Sans"/>
        <family val="2"/>
      </rPr>
      <t xml:space="preserve">仍未清仓</t>
    </r>
    <r>
      <rPr>
        <sz val="11"/>
        <color rgb="FF1F4E79"/>
        <rFont val="DejaVu Sans"/>
        <family val="2"/>
        <charset val="1"/>
      </rPr>
      <t xml:space="preserve">; </t>
    </r>
    <r>
      <rPr>
        <sz val="11"/>
        <color rgb="FF1F4E79"/>
        <rFont val="DejaVu Sans"/>
        <family val="2"/>
      </rPr>
      <t xml:space="preserve">松芝</t>
    </r>
    <r>
      <rPr>
        <sz val="11"/>
        <color rgb="FF1F4E79"/>
        <rFont val="DejaVu Sans"/>
        <family val="2"/>
        <charset val="1"/>
      </rPr>
      <t xml:space="preserve">+28.6%</t>
    </r>
    <r>
      <rPr>
        <sz val="11"/>
        <color rgb="FF1F4E79"/>
        <rFont val="DejaVu Sans"/>
        <family val="2"/>
      </rPr>
      <t xml:space="preserve">需止盈</t>
    </r>
  </si>
  <si>
    <t xml:space="preserve">Price</t>
  </si>
  <si>
    <t xml:space="preserve">Tier</t>
  </si>
  <si>
    <t xml:space="preserve">最小可买股数</t>
  </si>
  <si>
    <r>
      <rPr>
        <b val="true"/>
        <sz val="10"/>
        <color rgb="FF1F2937"/>
        <rFont val="DejaVu Sans"/>
        <family val="2"/>
      </rPr>
      <t xml:space="preserve">上一交易日</t>
    </r>
    <r>
      <rPr>
        <b val="true"/>
        <sz val="10"/>
        <color rgb="FF1F2937"/>
        <rFont val="DejaVu Sans"/>
        <family val="2"/>
        <charset val="1"/>
      </rPr>
      <t xml:space="preserve">Tier</t>
    </r>
  </si>
  <si>
    <t xml:space="preserve">是否观察转核心</t>
  </si>
  <si>
    <t xml:space="preserve">信号状态</t>
  </si>
  <si>
    <t xml:space="preserve">002827</t>
  </si>
  <si>
    <t xml:space="preserve">高争民爆</t>
  </si>
  <si>
    <t xml:space="preserve">核心池</t>
  </si>
  <si>
    <t xml:space="preserve">002329</t>
  </si>
  <si>
    <t xml:space="preserve">皇氏集团</t>
  </si>
  <si>
    <t xml:space="preserve">000963</t>
  </si>
  <si>
    <t xml:space="preserve">华东医药</t>
  </si>
  <si>
    <t xml:space="preserve">601121</t>
  </si>
  <si>
    <t xml:space="preserve">宝地矿业</t>
  </si>
  <si>
    <t xml:space="preserve">603207</t>
  </si>
  <si>
    <t xml:space="preserve">小方制药</t>
  </si>
  <si>
    <t xml:space="preserve">002853</t>
  </si>
  <si>
    <t xml:space="preserve">皮阿诺</t>
  </si>
  <si>
    <t xml:space="preserve">002099</t>
  </si>
  <si>
    <t xml:space="preserve">海翔药业</t>
  </si>
  <si>
    <t xml:space="preserve">观察池</t>
  </si>
  <si>
    <t xml:space="preserve">000567</t>
  </si>
  <si>
    <t xml:space="preserve">海德股份</t>
  </si>
  <si>
    <t xml:space="preserve">002038</t>
  </si>
  <si>
    <t xml:space="preserve">双鹭药业</t>
  </si>
  <si>
    <t xml:space="preserve">002923</t>
  </si>
  <si>
    <t xml:space="preserve">润都股份</t>
  </si>
  <si>
    <t xml:space="preserve">002986</t>
  </si>
  <si>
    <t xml:space="preserve">宇新股份</t>
  </si>
  <si>
    <t xml:space="preserve">002622</t>
  </si>
  <si>
    <t xml:space="preserve">皓宸医疗</t>
  </si>
  <si>
    <t xml:space="preserve">002486</t>
  </si>
  <si>
    <t xml:space="preserve">嘉麟杰</t>
  </si>
  <si>
    <t xml:space="preserve">002840</t>
  </si>
  <si>
    <t xml:space="preserve">华统股份</t>
  </si>
  <si>
    <t xml:space="preserve">002517</t>
  </si>
  <si>
    <t xml:space="preserve">恺英网络</t>
  </si>
  <si>
    <t xml:space="preserve">603011</t>
  </si>
  <si>
    <t xml:space="preserve">合锻智能</t>
  </si>
  <si>
    <t xml:space="preserve">边缘池</t>
  </si>
  <si>
    <t xml:space="preserve">603179</t>
  </si>
  <si>
    <t xml:space="preserve">新泉股份</t>
  </si>
  <si>
    <t xml:space="preserve">603409</t>
  </si>
  <si>
    <t xml:space="preserve">汇通控股</t>
  </si>
  <si>
    <t xml:space="preserve">603648</t>
  </si>
  <si>
    <t xml:space="preserve">畅联股份</t>
  </si>
  <si>
    <t xml:space="preserve">603199</t>
  </si>
  <si>
    <t xml:space="preserve">九华旅游</t>
  </si>
  <si>
    <t xml:space="preserve">605007</t>
  </si>
  <si>
    <t xml:space="preserve">五洲特纸</t>
  </si>
  <si>
    <t xml:space="preserve">603682</t>
  </si>
  <si>
    <t xml:space="preserve">锦和商管</t>
  </si>
  <si>
    <t xml:space="preserve">2026-07-26</t>
  </si>
  <si>
    <t xml:space="preserve">已剔除</t>
  </si>
  <si>
    <r>
      <rPr>
        <sz val="11"/>
        <color rgb="FF000000"/>
        <rFont val="Calibri"/>
        <family val="2"/>
        <charset val="1"/>
      </rPr>
      <t xml:space="preserve">V3.1</t>
    </r>
    <r>
      <rPr>
        <sz val="11"/>
        <color rgb="FF000000"/>
        <rFont val="DejaVu Sans"/>
        <family val="2"/>
      </rPr>
      <t xml:space="preserve">无信号</t>
    </r>
    <r>
      <rPr>
        <sz val="11"/>
        <color rgb="FF000000"/>
        <rFont val="Calibri"/>
        <family val="2"/>
        <charset val="1"/>
      </rPr>
      <t xml:space="preserve">(30min</t>
    </r>
    <r>
      <rPr>
        <sz val="11"/>
        <color rgb="FF000000"/>
        <rFont val="DejaVu Sans"/>
        <family val="2"/>
      </rPr>
      <t xml:space="preserve">未确认</t>
    </r>
    <r>
      <rPr>
        <sz val="11"/>
        <color rgb="FF000000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</si>
</sst>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¥#,##0.00"/>
    <numFmt numFmtId="166" formatCode="0.00%"/>
    <numFmt numFmtId="167" formatCode="#,##0"/>
    <numFmt numFmtId="168" formatCode="yyyy\-mm\-dd\ h:mm:ss"/>
    <numFmt numFmtId="169" formatCode="yyyy\-mm\-dd"/>
    <numFmt numFmtId="170" formatCode="General"/>
    <numFmt numFmtId="171" formatCode="#,##0.00"/>
    <numFmt numFmtId="172" formatCode="0.00"/>
    <numFmt numFmtId="173" formatCode="0.0%"/>
    <numFmt numFmtId="174" formatCode="0"/>
    <numFmt numFmtId="175" formatCode="0.0"/>
  </numFmts>
  <fonts count="3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DejaVu Sans"/>
      <family val="2"/>
      <charset val="1"/>
    </font>
    <font>
      <sz val="11"/>
      <name val="Arial"/>
      <family val="0"/>
      <charset val="1"/>
    </font>
    <font>
      <sz val="11"/>
      <name val="DejaVu Sans"/>
      <family val="2"/>
    </font>
    <font>
      <sz val="11"/>
      <name val="DejaVu Sans"/>
      <family val="2"/>
      <charset val="1"/>
    </font>
    <font>
      <b val="true"/>
      <sz val="13"/>
      <name val="DejaVu Sans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4E79"/>
      <name val="DejaVu Sans"/>
      <family val="2"/>
    </font>
    <font>
      <sz val="11"/>
      <color rgb="FF1F4E79"/>
      <name val="Cambria"/>
      <family val="0"/>
      <charset val="1"/>
    </font>
    <font>
      <sz val="11"/>
      <color rgb="FF1F4E79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11"/>
      <color rgb="FF000000"/>
      <name val="DejaVu Sans"/>
      <family val="2"/>
    </font>
    <font>
      <sz val="11"/>
      <color rgb="FF000000"/>
      <name val="DejaVu Sans"/>
      <family val="2"/>
      <charset val="1"/>
    </font>
    <font>
      <b val="true"/>
      <sz val="10"/>
      <color rgb="FF1F2937"/>
      <name val="DejaVu Sans"/>
      <family val="2"/>
    </font>
    <font>
      <sz val="11"/>
      <color rgb="FF000000"/>
      <name val="Cambria"/>
      <family val="0"/>
      <charset val="1"/>
    </font>
    <font>
      <sz val="11"/>
      <color rgb="FF1F4E79"/>
      <name val="Noto Sans CJK SC"/>
      <family val="2"/>
      <charset val="1"/>
    </font>
    <font>
      <b val="true"/>
      <sz val="10"/>
      <color rgb="FF1F2937"/>
      <name val="Cambria"/>
      <family val="0"/>
      <charset val="1"/>
    </font>
    <font>
      <b val="true"/>
      <sz val="10"/>
      <color rgb="FF1F2937"/>
      <name val="DejaVu Sans"/>
      <family val="2"/>
      <charset val="1"/>
    </font>
    <font>
      <b val="true"/>
      <sz val="14"/>
      <color rgb="FF17365D"/>
      <name val="DejaVu Sans"/>
      <family val="2"/>
    </font>
    <font>
      <b val="true"/>
      <sz val="11"/>
      <color rgb="FF1F4E79"/>
      <name val="DejaVu Sans"/>
      <family val="2"/>
    </font>
    <font>
      <b val="true"/>
      <sz val="11"/>
      <color rgb="FF1F4E79"/>
      <name val="DejaVu Sans"/>
      <family val="2"/>
      <charset val="1"/>
    </font>
    <font>
      <b val="true"/>
      <sz val="12"/>
      <name val="DejaVu Sans"/>
      <family val="2"/>
    </font>
    <font>
      <sz val="11"/>
      <color rgb="FF000000"/>
      <name val="Noto Sans CJK SC"/>
      <family val="2"/>
      <charset val="1"/>
    </font>
    <font>
      <b val="true"/>
      <sz val="12"/>
      <color rgb="FF17365D"/>
      <name val="DejaVu Sans"/>
      <family val="2"/>
    </font>
    <font>
      <sz val="11"/>
      <color rgb="FF6B7280"/>
      <name val="Cambria"/>
      <family val="0"/>
      <charset val="1"/>
    </font>
    <font>
      <sz val="11"/>
      <color rgb="FF6B7280"/>
      <name val="DejaVu Sans"/>
      <family val="2"/>
    </font>
    <font>
      <sz val="11"/>
      <color rgb="FF6B7280"/>
      <name val="DejaVu Sans"/>
      <family val="2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sz val="10"/>
      <name val="Cambria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8E1"/>
        <bgColor rgb="FFFFF2CC"/>
      </patternFill>
    </fill>
    <fill>
      <patternFill patternType="solid">
        <fgColor rgb="FFEAF7EE"/>
        <bgColor rgb="FFEEF3F8"/>
      </patternFill>
    </fill>
    <fill>
      <patternFill patternType="solid">
        <fgColor rgb="FFE8F0FE"/>
        <bgColor rgb="FFEAF2FF"/>
      </patternFill>
    </fill>
    <fill>
      <patternFill patternType="solid">
        <fgColor rgb="FFF3E5F5"/>
        <bgColor rgb="FFE8F0FE"/>
      </patternFill>
    </fill>
    <fill>
      <patternFill patternType="solid">
        <fgColor rgb="FFFFCCCC"/>
        <bgColor rgb="FFFFC7CE"/>
      </patternFill>
    </fill>
    <fill>
      <patternFill patternType="solid">
        <fgColor rgb="FFCCFFCC"/>
        <bgColor rgb="FFC6EFCE"/>
      </patternFill>
    </fill>
    <fill>
      <patternFill patternType="solid">
        <fgColor rgb="FFFFFFCC"/>
        <bgColor rgb="FFFFF8E1"/>
      </patternFill>
    </fill>
    <fill>
      <patternFill patternType="solid">
        <fgColor rgb="FFF3F6F8"/>
        <bgColor rgb="FFEEF3F8"/>
      </patternFill>
    </fill>
    <fill>
      <patternFill patternType="solid">
        <fgColor rgb="FFFFFFFF"/>
        <bgColor rgb="FFF3F6F8"/>
      </patternFill>
    </fill>
    <fill>
      <patternFill patternType="solid">
        <fgColor rgb="FFFFF2CC"/>
        <bgColor rgb="FFFFF8E1"/>
      </patternFill>
    </fill>
    <fill>
      <patternFill patternType="solid">
        <fgColor rgb="FFEEF3F8"/>
        <bgColor rgb="FFEAF2FF"/>
      </patternFill>
    </fill>
    <fill>
      <patternFill patternType="solid">
        <fgColor rgb="FF4472C4"/>
        <bgColor rgb="FF2F5496"/>
      </patternFill>
    </fill>
    <fill>
      <patternFill patternType="solid">
        <fgColor rgb="FFD6E4F0"/>
        <bgColor rgb="FFD9E2EA"/>
      </patternFill>
    </fill>
    <fill>
      <patternFill patternType="solid">
        <fgColor rgb="FFE0E0E0"/>
        <bgColor rgb="FFD9DEE7"/>
      </patternFill>
    </fill>
    <fill>
      <patternFill patternType="solid">
        <fgColor rgb="FFEAF2FF"/>
        <bgColor rgb="FFE8F0FE"/>
      </patternFill>
    </fill>
    <fill>
      <patternFill patternType="solid">
        <fgColor rgb="FF2F5496"/>
        <bgColor rgb="FF1F4E79"/>
      </patternFill>
    </fill>
    <fill>
      <patternFill patternType="solid">
        <fgColor rgb="FFC6EFCE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1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21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21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10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0" fillId="11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15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22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22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8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2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9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5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2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2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4" fontId="21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5" fontId="21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1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5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 patternType="solid">
          <fgColor rgb="FFF3F6F8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F0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E0E0"/>
      <rgbColor rgb="FF808080"/>
      <rgbColor rgb="FFC6EFCE"/>
      <rgbColor rgb="FF993366"/>
      <rgbColor rgb="FFFFFFCC"/>
      <rgbColor rgb="FFD9EAF7"/>
      <rgbColor rgb="FF660066"/>
      <rgbColor rgb="FFE8F0FE"/>
      <rgbColor rgb="FF1F4E79"/>
      <rgbColor rgb="FFD9DEE7"/>
      <rgbColor rgb="FF000080"/>
      <rgbColor rgb="FFFF00FF"/>
      <rgbColor rgb="FFFFF8E1"/>
      <rgbColor rgb="FF00FFFF"/>
      <rgbColor rgb="FF800080"/>
      <rgbColor rgb="FF800000"/>
      <rgbColor rgb="FF008080"/>
      <rgbColor rgb="FF0000FF"/>
      <rgbColor rgb="FF00CCFF"/>
      <rgbColor rgb="FFEAF7EE"/>
      <rgbColor rgb="FFCCFFCC"/>
      <rgbColor rgb="FFFFF2CC"/>
      <rgbColor rgb="FFD6E4F0"/>
      <rgbColor rgb="FFFFC7CE"/>
      <rgbColor rgb="FFD9E2EA"/>
      <rgbColor rgb="FFFFCCCC"/>
      <rgbColor rgb="FF4472C4"/>
      <rgbColor rgb="FFEAF2FF"/>
      <rgbColor rgb="FFEEF3F8"/>
      <rgbColor rgb="FFFCE4D6"/>
      <rgbColor rgb="FFF3F6F8"/>
      <rgbColor rgb="FFFF6600"/>
      <rgbColor rgb="FF6B7280"/>
      <rgbColor rgb="FFF3E5F5"/>
      <rgbColor rgb="FF17365D"/>
      <rgbColor rgb="FF339966"/>
      <rgbColor rgb="FF003300"/>
      <rgbColor rgb="FF333300"/>
      <rgbColor rgb="FF993300"/>
      <rgbColor rgb="FF993366"/>
      <rgbColor rgb="FF2F549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8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0" hidden="false" customHeight="true" outlineLevel="0" collapsed="false">
      <c r="A2" s="3" t="s">
        <v>7</v>
      </c>
      <c r="B2" s="4" t="s">
        <v>8</v>
      </c>
      <c r="C2" s="5" t="s">
        <v>9</v>
      </c>
      <c r="D2" s="6" t="s">
        <v>10</v>
      </c>
      <c r="E2" s="5" t="s">
        <v>11</v>
      </c>
      <c r="F2" s="6" t="s">
        <v>12</v>
      </c>
      <c r="G2" s="5" t="s">
        <v>13</v>
      </c>
    </row>
    <row r="3" customFormat="false" ht="30" hidden="false" customHeight="true" outlineLevel="0" collapsed="false">
      <c r="A3" s="3" t="s">
        <v>7</v>
      </c>
      <c r="B3" s="4" t="s">
        <v>14</v>
      </c>
      <c r="C3" s="6" t="s">
        <v>15</v>
      </c>
      <c r="D3" s="6" t="s">
        <v>16</v>
      </c>
      <c r="E3" s="5" t="s">
        <v>11</v>
      </c>
      <c r="F3" s="6" t="s">
        <v>17</v>
      </c>
      <c r="G3" s="6" t="s">
        <v>18</v>
      </c>
    </row>
    <row r="4" customFormat="false" ht="30" hidden="false" customHeight="true" outlineLevel="0" collapsed="false">
      <c r="A4" s="3" t="s">
        <v>7</v>
      </c>
      <c r="B4" s="4" t="s">
        <v>19</v>
      </c>
      <c r="C4" s="6" t="s">
        <v>20</v>
      </c>
      <c r="D4" s="6" t="s">
        <v>21</v>
      </c>
      <c r="E4" s="5" t="s">
        <v>11</v>
      </c>
      <c r="F4" s="5" t="s">
        <v>11</v>
      </c>
      <c r="G4" s="6" t="s">
        <v>22</v>
      </c>
    </row>
    <row r="5" customFormat="false" ht="30" hidden="false" customHeight="true" outlineLevel="0" collapsed="false">
      <c r="A5" s="3" t="s">
        <v>23</v>
      </c>
      <c r="B5" s="3" t="s">
        <v>11</v>
      </c>
      <c r="C5" s="6" t="s">
        <v>24</v>
      </c>
      <c r="D5" s="6" t="s">
        <v>25</v>
      </c>
      <c r="E5" s="5" t="s">
        <v>11</v>
      </c>
      <c r="F5" s="5" t="s">
        <v>11</v>
      </c>
      <c r="G5" s="6" t="s">
        <v>26</v>
      </c>
    </row>
    <row r="6" customFormat="false" ht="30" hidden="false" customHeight="true" outlineLevel="0" collapsed="false">
      <c r="A6" s="7" t="s">
        <v>27</v>
      </c>
      <c r="B6" s="8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10" t="s">
        <v>33</v>
      </c>
    </row>
    <row r="7" customFormat="false" ht="30" hidden="false" customHeight="true" outlineLevel="0" collapsed="false">
      <c r="A7" s="7" t="s">
        <v>27</v>
      </c>
      <c r="B7" s="8" t="s">
        <v>34</v>
      </c>
      <c r="C7" s="9" t="s">
        <v>35</v>
      </c>
      <c r="D7" s="9" t="s">
        <v>36</v>
      </c>
      <c r="E7" s="9" t="s">
        <v>31</v>
      </c>
      <c r="F7" s="9" t="s">
        <v>37</v>
      </c>
      <c r="G7" s="10" t="s">
        <v>38</v>
      </c>
    </row>
    <row r="8" customFormat="false" ht="30" hidden="false" customHeight="true" outlineLevel="0" collapsed="false">
      <c r="A8" s="3" t="s">
        <v>39</v>
      </c>
      <c r="B8" s="4" t="s">
        <v>40</v>
      </c>
      <c r="C8" s="6" t="s">
        <v>41</v>
      </c>
      <c r="D8" s="6" t="s">
        <v>42</v>
      </c>
      <c r="E8" s="5" t="s">
        <v>11</v>
      </c>
      <c r="F8" s="5" t="s">
        <v>11</v>
      </c>
      <c r="G8" s="6" t="s">
        <v>43</v>
      </c>
    </row>
    <row r="9" customFormat="false" ht="30" hidden="false" customHeight="true" outlineLevel="0" collapsed="false">
      <c r="A9" s="3" t="s">
        <v>39</v>
      </c>
      <c r="B9" s="4" t="s">
        <v>44</v>
      </c>
      <c r="C9" s="6" t="s">
        <v>45</v>
      </c>
      <c r="D9" s="6" t="s">
        <v>21</v>
      </c>
      <c r="E9" s="5" t="s">
        <v>11</v>
      </c>
      <c r="F9" s="5" t="s">
        <v>11</v>
      </c>
      <c r="G9" s="6" t="s">
        <v>46</v>
      </c>
    </row>
    <row r="10" customFormat="false" ht="30" hidden="false" customHeight="true" outlineLevel="0" collapsed="false">
      <c r="A10" s="3" t="s">
        <v>39</v>
      </c>
      <c r="B10" s="4" t="s">
        <v>47</v>
      </c>
      <c r="C10" s="6" t="s">
        <v>48</v>
      </c>
      <c r="D10" s="6" t="s">
        <v>21</v>
      </c>
      <c r="E10" s="5" t="s">
        <v>11</v>
      </c>
      <c r="F10" s="5" t="s">
        <v>11</v>
      </c>
      <c r="G10" s="6" t="s">
        <v>49</v>
      </c>
    </row>
    <row r="11" customFormat="false" ht="30" hidden="false" customHeight="true" outlineLevel="0" collapsed="false">
      <c r="A11" s="11" t="s">
        <v>50</v>
      </c>
      <c r="B11" s="12" t="s">
        <v>51</v>
      </c>
      <c r="C11" s="13" t="s">
        <v>52</v>
      </c>
      <c r="D11" s="14" t="s">
        <v>53</v>
      </c>
      <c r="E11" s="14" t="s">
        <v>11</v>
      </c>
      <c r="F11" s="14" t="s">
        <v>11</v>
      </c>
      <c r="G11" s="13" t="s">
        <v>54</v>
      </c>
    </row>
    <row r="12" customFormat="false" ht="30" hidden="false" customHeight="true" outlineLevel="0" collapsed="false">
      <c r="A12" s="11" t="s">
        <v>50</v>
      </c>
      <c r="B12" s="12" t="s">
        <v>55</v>
      </c>
      <c r="C12" s="14" t="s">
        <v>56</v>
      </c>
      <c r="D12" s="14" t="s">
        <v>57</v>
      </c>
      <c r="E12" s="14" t="s">
        <v>11</v>
      </c>
      <c r="F12" s="14" t="s">
        <v>11</v>
      </c>
      <c r="G12" s="13" t="s">
        <v>58</v>
      </c>
    </row>
    <row r="13" customFormat="false" ht="30" hidden="false" customHeight="true" outlineLevel="0" collapsed="false">
      <c r="A13" s="11" t="s">
        <v>59</v>
      </c>
      <c r="B13" s="12" t="s">
        <v>60</v>
      </c>
      <c r="C13" s="13" t="s">
        <v>61</v>
      </c>
      <c r="D13" s="14" t="s">
        <v>62</v>
      </c>
      <c r="E13" s="14" t="s">
        <v>11</v>
      </c>
      <c r="F13" s="14" t="s">
        <v>11</v>
      </c>
      <c r="G13" s="13" t="s">
        <v>63</v>
      </c>
    </row>
    <row r="14" customFormat="false" ht="30" hidden="false" customHeight="true" outlineLevel="0" collapsed="false">
      <c r="A14" s="15" t="s">
        <v>64</v>
      </c>
      <c r="B14" s="16" t="s">
        <v>65</v>
      </c>
      <c r="C14" s="17" t="s">
        <v>66</v>
      </c>
      <c r="D14" s="18" t="s">
        <v>67</v>
      </c>
      <c r="E14" s="18" t="s">
        <v>11</v>
      </c>
      <c r="F14" s="18" t="s">
        <v>11</v>
      </c>
      <c r="G14" s="17" t="s">
        <v>68</v>
      </c>
    </row>
    <row r="15" customFormat="false" ht="30" hidden="false" customHeight="true" outlineLevel="0" collapsed="false">
      <c r="A15" s="15" t="s">
        <v>64</v>
      </c>
      <c r="B15" s="16" t="s">
        <v>69</v>
      </c>
      <c r="C15" s="18" t="s">
        <v>70</v>
      </c>
      <c r="D15" s="18" t="s">
        <v>11</v>
      </c>
      <c r="E15" s="18" t="s">
        <v>11</v>
      </c>
      <c r="F15" s="18" t="s">
        <v>11</v>
      </c>
      <c r="G15" s="17" t="s">
        <v>71</v>
      </c>
    </row>
    <row r="16" customFormat="false" ht="30" hidden="false" customHeight="true" outlineLevel="0" collapsed="false">
      <c r="A16" s="15" t="s">
        <v>64</v>
      </c>
      <c r="B16" s="16" t="s">
        <v>72</v>
      </c>
      <c r="C16" s="17" t="s">
        <v>73</v>
      </c>
      <c r="D16" s="17" t="s">
        <v>74</v>
      </c>
      <c r="E16" s="18" t="s">
        <v>11</v>
      </c>
      <c r="F16" s="18" t="s">
        <v>11</v>
      </c>
      <c r="G16" s="17" t="s">
        <v>75</v>
      </c>
    </row>
    <row r="17" customFormat="false" ht="30" hidden="false" customHeight="true" outlineLevel="0" collapsed="false">
      <c r="A17" s="15" t="s">
        <v>64</v>
      </c>
      <c r="B17" s="16" t="s">
        <v>76</v>
      </c>
      <c r="C17" s="17" t="s">
        <v>77</v>
      </c>
      <c r="D17" s="17" t="s">
        <v>78</v>
      </c>
      <c r="E17" s="18" t="s">
        <v>11</v>
      </c>
      <c r="F17" s="18" t="s">
        <v>11</v>
      </c>
      <c r="G17" s="17" t="s">
        <v>79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9" t="s">
        <v>80</v>
      </c>
    </row>
    <row r="20" customFormat="false" ht="15" hidden="false" customHeight="true" outlineLevel="0" collapsed="false">
      <c r="A20" s="12" t="s">
        <v>81</v>
      </c>
      <c r="B20" s="12" t="s">
        <v>82</v>
      </c>
      <c r="C20" s="12" t="s">
        <v>2</v>
      </c>
      <c r="D20" s="12" t="s">
        <v>83</v>
      </c>
      <c r="E20" s="12" t="s">
        <v>84</v>
      </c>
      <c r="F20" s="12" t="s">
        <v>85</v>
      </c>
      <c r="G20" s="12" t="s">
        <v>6</v>
      </c>
    </row>
    <row r="21" customFormat="false" ht="45" hidden="false" customHeight="true" outlineLevel="0" collapsed="false">
      <c r="A21" s="20" t="s">
        <v>86</v>
      </c>
      <c r="B21" s="20" t="s">
        <v>87</v>
      </c>
      <c r="C21" s="20" t="s">
        <v>88</v>
      </c>
      <c r="D21" s="20" t="s">
        <v>89</v>
      </c>
      <c r="E21" s="20" t="s">
        <v>90</v>
      </c>
      <c r="F21" s="20" t="s">
        <v>91</v>
      </c>
      <c r="G21" s="20"/>
    </row>
    <row r="22" customFormat="false" ht="45" hidden="false" customHeight="true" outlineLevel="0" collapsed="false">
      <c r="A22" s="20" t="s">
        <v>92</v>
      </c>
      <c r="B22" s="20" t="s">
        <v>93</v>
      </c>
      <c r="C22" s="20" t="s">
        <v>94</v>
      </c>
      <c r="D22" s="20" t="s">
        <v>89</v>
      </c>
      <c r="E22" s="20" t="s">
        <v>95</v>
      </c>
      <c r="F22" s="20" t="s">
        <v>96</v>
      </c>
      <c r="G22" s="21"/>
    </row>
    <row r="23" customFormat="false" ht="45" hidden="false" customHeight="true" outlineLevel="0" collapsed="false">
      <c r="A23" s="22" t="s">
        <v>97</v>
      </c>
      <c r="B23" s="22" t="s">
        <v>98</v>
      </c>
      <c r="C23" s="22" t="s">
        <v>99</v>
      </c>
      <c r="D23" s="22" t="s">
        <v>100</v>
      </c>
      <c r="E23" s="23" t="s">
        <v>11</v>
      </c>
      <c r="F23" s="22" t="s">
        <v>101</v>
      </c>
      <c r="G23" s="23"/>
    </row>
    <row r="24" customFormat="false" ht="45" hidden="false" customHeight="true" outlineLevel="0" collapsed="false">
      <c r="A24" s="22" t="s">
        <v>102</v>
      </c>
      <c r="B24" s="22" t="s">
        <v>103</v>
      </c>
      <c r="C24" s="22" t="s">
        <v>104</v>
      </c>
      <c r="D24" s="22" t="s">
        <v>100</v>
      </c>
      <c r="E24" s="23" t="s">
        <v>11</v>
      </c>
      <c r="F24" s="22" t="s">
        <v>101</v>
      </c>
      <c r="G24" s="23"/>
    </row>
    <row r="25" customFormat="false" ht="45" hidden="false" customHeight="true" outlineLevel="0" collapsed="false">
      <c r="A25" s="22" t="s">
        <v>105</v>
      </c>
      <c r="B25" s="22" t="s">
        <v>106</v>
      </c>
      <c r="C25" s="22" t="s">
        <v>107</v>
      </c>
      <c r="D25" s="22" t="s">
        <v>100</v>
      </c>
      <c r="E25" s="23" t="s">
        <v>11</v>
      </c>
      <c r="F25" s="22" t="s">
        <v>101</v>
      </c>
      <c r="G25" s="23"/>
    </row>
    <row r="26" customFormat="false" ht="45" hidden="false" customHeight="true" outlineLevel="0" collapsed="false">
      <c r="A26" s="22" t="s">
        <v>108</v>
      </c>
      <c r="B26" s="22" t="s">
        <v>109</v>
      </c>
      <c r="C26" s="23" t="s">
        <v>110</v>
      </c>
      <c r="D26" s="22" t="s">
        <v>100</v>
      </c>
      <c r="E26" s="23" t="s">
        <v>11</v>
      </c>
      <c r="F26" s="22" t="s">
        <v>101</v>
      </c>
      <c r="G26" s="23"/>
    </row>
    <row r="27" customFormat="false" ht="45" hidden="false" customHeight="true" outlineLevel="0" collapsed="false">
      <c r="A27" s="22" t="s">
        <v>111</v>
      </c>
      <c r="B27" s="22" t="s">
        <v>112</v>
      </c>
      <c r="C27" s="23" t="s">
        <v>113</v>
      </c>
      <c r="D27" s="22" t="s">
        <v>100</v>
      </c>
      <c r="E27" s="23" t="s">
        <v>11</v>
      </c>
      <c r="F27" s="22" t="s">
        <v>101</v>
      </c>
      <c r="G27" s="23"/>
    </row>
    <row r="28" customFormat="false" ht="45" hidden="false" customHeight="true" outlineLevel="0" collapsed="false">
      <c r="A28" s="22" t="s">
        <v>114</v>
      </c>
      <c r="B28" s="22" t="s">
        <v>115</v>
      </c>
      <c r="C28" s="22" t="s">
        <v>116</v>
      </c>
      <c r="D28" s="22" t="s">
        <v>100</v>
      </c>
      <c r="E28" s="22" t="s">
        <v>117</v>
      </c>
      <c r="F28" s="22" t="s">
        <v>101</v>
      </c>
      <c r="G28" s="23"/>
    </row>
    <row r="29" customFormat="false" ht="45" hidden="false" customHeight="true" outlineLevel="0" collapsed="false">
      <c r="A29" s="22" t="s">
        <v>118</v>
      </c>
      <c r="B29" s="22" t="s">
        <v>119</v>
      </c>
      <c r="C29" s="22" t="s">
        <v>120</v>
      </c>
      <c r="D29" s="22" t="s">
        <v>100</v>
      </c>
      <c r="E29" s="23" t="s">
        <v>11</v>
      </c>
      <c r="F29" s="22" t="s">
        <v>101</v>
      </c>
      <c r="G29" s="23"/>
    </row>
    <row r="30" customFormat="false" ht="39.75" hidden="false" customHeight="true" outlineLevel="0" collapsed="false">
      <c r="A30" s="24" t="s">
        <v>121</v>
      </c>
      <c r="B30" s="24"/>
      <c r="C30" s="25" t="s">
        <v>122</v>
      </c>
      <c r="D30" s="26"/>
      <c r="E30" s="26"/>
      <c r="F30" s="24"/>
      <c r="G30" s="24"/>
    </row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</sheetData>
  <sheetProtection sheet="true" password="c42e"/>
  <autoFilter ref="A1:G21"/>
  <conditionalFormatting sqref="D2:D201">
    <cfRule type="expression" priority="2" aboveAverage="0" equalAverage="0" bottom="0" percent="0" rank="0" text="" dxfId="9">
      <formula>D2="是"</formula>
    </cfRule>
    <cfRule type="expression" priority="3" aboveAverage="0" equalAverage="0" bottom="0" percent="0" rank="0" text="" dxfId="10">
      <formula>D2="否"</formula>
    </cfRule>
  </conditionalFormatting>
  <conditionalFormatting sqref="E2:E201">
    <cfRule type="expression" priority="4" aboveAverage="0" equalAverage="0" bottom="0" percent="0" rank="0" text="" dxfId="9">
      <formula>E2="是"</formula>
    </cfRule>
    <cfRule type="expression" priority="5" aboveAverage="0" equalAverage="0" bottom="0" percent="0" rank="0" text="" dxfId="10">
      <formula>E2="否"</formula>
    </cfRule>
  </conditionalFormatting>
  <dataValidations count="1">
    <dataValidation allowBlank="true" errorStyle="stop" operator="between" showDropDown="false" showErrorMessage="false" showInputMessage="false" sqref="E2:E201" type="list">
      <formula1>"是,否,不适用"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7" min="1" style="1" width="12"/>
    <col collapsed="false" customWidth="true" hidden="false" outlineLevel="0" max="8" min="8" style="1" width="26"/>
  </cols>
  <sheetData>
    <row r="1" customFormat="false" ht="15" hidden="false" customHeight="true" outlineLevel="0" collapsed="false">
      <c r="A1" s="2" t="s">
        <v>123</v>
      </c>
      <c r="B1" s="2" t="s">
        <v>124</v>
      </c>
      <c r="C1" s="27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6</v>
      </c>
    </row>
    <row r="2" customFormat="false" ht="15" hidden="false" customHeight="true" outlineLevel="0" collapsed="false">
      <c r="A2" s="28" t="s">
        <v>130</v>
      </c>
      <c r="B2" s="29" t="s">
        <v>131</v>
      </c>
      <c r="C2" s="28" t="s">
        <v>132</v>
      </c>
      <c r="D2" s="29" t="s">
        <v>133</v>
      </c>
      <c r="E2" s="29" t="s">
        <v>134</v>
      </c>
      <c r="F2" s="28" t="s">
        <v>135</v>
      </c>
      <c r="G2" s="28" t="s">
        <v>136</v>
      </c>
      <c r="H2" s="28" t="s">
        <v>137</v>
      </c>
    </row>
    <row r="3" customFormat="false" ht="15" hidden="false" customHeight="true" outlineLevel="0" collapsed="false">
      <c r="A3" s="30" t="s">
        <v>130</v>
      </c>
      <c r="B3" s="30" t="s">
        <v>138</v>
      </c>
      <c r="C3" s="30" t="s">
        <v>139</v>
      </c>
      <c r="D3" s="31" t="s">
        <v>140</v>
      </c>
      <c r="E3" s="31" t="s">
        <v>141</v>
      </c>
      <c r="F3" s="30" t="s">
        <v>142</v>
      </c>
      <c r="G3" s="30" t="s">
        <v>143</v>
      </c>
      <c r="H3" s="30" t="s">
        <v>144</v>
      </c>
    </row>
    <row r="4" customFormat="false" ht="15" hidden="false" customHeight="true" outlineLevel="0" collapsed="false">
      <c r="A4" s="28" t="s">
        <v>130</v>
      </c>
      <c r="B4" s="28" t="s">
        <v>145</v>
      </c>
      <c r="C4" s="28" t="s">
        <v>146</v>
      </c>
      <c r="D4" s="28" t="s">
        <v>147</v>
      </c>
      <c r="E4" s="29" t="s">
        <v>148</v>
      </c>
      <c r="F4" s="28" t="s">
        <v>149</v>
      </c>
      <c r="G4" s="28" t="s">
        <v>150</v>
      </c>
      <c r="H4" s="28" t="s">
        <v>151</v>
      </c>
    </row>
    <row r="5" customFormat="false" ht="15" hidden="false" customHeight="true" outlineLevel="0" collapsed="false">
      <c r="A5" s="30" t="s">
        <v>152</v>
      </c>
      <c r="B5" s="30" t="s">
        <v>153</v>
      </c>
      <c r="C5" s="30" t="s">
        <v>154</v>
      </c>
      <c r="D5" s="31" t="s">
        <v>155</v>
      </c>
      <c r="E5" s="31" t="s">
        <v>156</v>
      </c>
      <c r="F5" s="30" t="s">
        <v>157</v>
      </c>
      <c r="G5" s="30" t="s">
        <v>158</v>
      </c>
      <c r="H5" s="30" t="s">
        <v>159</v>
      </c>
    </row>
    <row r="6" customFormat="false" ht="15" hidden="false" customHeight="true" outlineLevel="0" collapsed="false">
      <c r="A6" s="28" t="s">
        <v>152</v>
      </c>
      <c r="B6" s="28" t="s">
        <v>160</v>
      </c>
      <c r="C6" s="28" t="s">
        <v>161</v>
      </c>
      <c r="D6" s="29" t="s">
        <v>162</v>
      </c>
      <c r="E6" s="29" t="s">
        <v>163</v>
      </c>
      <c r="F6" s="28" t="s">
        <v>164</v>
      </c>
      <c r="G6" s="28" t="s">
        <v>165</v>
      </c>
      <c r="H6" s="28" t="s">
        <v>166</v>
      </c>
    </row>
    <row r="7" customFormat="false" ht="15" hidden="false" customHeight="true" outlineLevel="0" collapsed="false">
      <c r="A7" s="30" t="s">
        <v>167</v>
      </c>
      <c r="B7" s="30" t="s">
        <v>168</v>
      </c>
      <c r="C7" s="30" t="s">
        <v>169</v>
      </c>
      <c r="D7" s="31" t="s">
        <v>170</v>
      </c>
      <c r="E7" s="31" t="s">
        <v>171</v>
      </c>
      <c r="F7" s="30" t="s">
        <v>172</v>
      </c>
      <c r="G7" s="30" t="s">
        <v>173</v>
      </c>
      <c r="H7" s="30" t="s">
        <v>174</v>
      </c>
    </row>
    <row r="8" customFormat="false" ht="15" hidden="false" customHeight="true" outlineLevel="0" collapsed="false">
      <c r="A8" s="28" t="s">
        <v>167</v>
      </c>
      <c r="B8" s="29" t="s">
        <v>175</v>
      </c>
      <c r="C8" s="28" t="s">
        <v>176</v>
      </c>
      <c r="D8" s="29" t="s">
        <v>177</v>
      </c>
      <c r="E8" s="29" t="s">
        <v>178</v>
      </c>
      <c r="F8" s="28" t="s">
        <v>179</v>
      </c>
      <c r="G8" s="28" t="s">
        <v>143</v>
      </c>
      <c r="H8" s="28" t="s">
        <v>180</v>
      </c>
    </row>
    <row r="9" customFormat="false" ht="15" hidden="false" customHeight="true" outlineLevel="0" collapsed="false">
      <c r="A9" s="30" t="s">
        <v>181</v>
      </c>
      <c r="B9" s="31" t="s">
        <v>182</v>
      </c>
      <c r="C9" s="30" t="s">
        <v>183</v>
      </c>
      <c r="D9" s="30" t="s">
        <v>184</v>
      </c>
      <c r="E9" s="30" t="s">
        <v>185</v>
      </c>
      <c r="F9" s="30" t="s">
        <v>186</v>
      </c>
      <c r="G9" s="30" t="s">
        <v>187</v>
      </c>
      <c r="H9" s="30" t="s">
        <v>188</v>
      </c>
    </row>
    <row r="10" customFormat="false" ht="15" hidden="false" customHeight="true" outlineLevel="0" collapsed="false">
      <c r="A10" s="28" t="s">
        <v>181</v>
      </c>
      <c r="B10" s="29" t="s">
        <v>189</v>
      </c>
      <c r="C10" s="28" t="s">
        <v>190</v>
      </c>
      <c r="D10" s="28" t="s">
        <v>191</v>
      </c>
      <c r="E10" s="29" t="s">
        <v>192</v>
      </c>
      <c r="F10" s="28" t="s">
        <v>193</v>
      </c>
      <c r="G10" s="28" t="s">
        <v>143</v>
      </c>
      <c r="H10" s="28" t="s">
        <v>194</v>
      </c>
    </row>
    <row r="11" customFormat="false" ht="15" hidden="false" customHeight="true" outlineLevel="0" collapsed="false">
      <c r="A11" s="30" t="s">
        <v>181</v>
      </c>
      <c r="B11" s="31" t="s">
        <v>195</v>
      </c>
      <c r="C11" s="30" t="s">
        <v>196</v>
      </c>
      <c r="D11" s="31" t="s">
        <v>197</v>
      </c>
      <c r="E11" s="31" t="s">
        <v>198</v>
      </c>
      <c r="F11" s="30" t="s">
        <v>199</v>
      </c>
      <c r="G11" s="30" t="s">
        <v>200</v>
      </c>
      <c r="H11" s="31" t="s">
        <v>201</v>
      </c>
    </row>
    <row r="12" customFormat="false" ht="15" hidden="false" customHeight="true" outlineLevel="0" collapsed="false">
      <c r="A12" s="28" t="s">
        <v>202</v>
      </c>
      <c r="B12" s="29" t="s">
        <v>203</v>
      </c>
      <c r="C12" s="28" t="s">
        <v>204</v>
      </c>
      <c r="D12" s="29" t="s">
        <v>205</v>
      </c>
      <c r="E12" s="28" t="s">
        <v>206</v>
      </c>
      <c r="F12" s="28" t="s">
        <v>207</v>
      </c>
      <c r="G12" s="28" t="s">
        <v>208</v>
      </c>
      <c r="H12" s="28" t="s">
        <v>209</v>
      </c>
    </row>
    <row r="13" customFormat="false" ht="15" hidden="false" customHeight="true" outlineLevel="0" collapsed="false">
      <c r="A13" s="30" t="s">
        <v>202</v>
      </c>
      <c r="B13" s="31" t="s">
        <v>210</v>
      </c>
      <c r="C13" s="30" t="s">
        <v>211</v>
      </c>
      <c r="D13" s="31" t="s">
        <v>212</v>
      </c>
      <c r="E13" s="30" t="s">
        <v>206</v>
      </c>
      <c r="F13" s="30" t="s">
        <v>213</v>
      </c>
      <c r="G13" s="30" t="s">
        <v>200</v>
      </c>
      <c r="H13" s="30" t="s">
        <v>214</v>
      </c>
    </row>
    <row r="14" customFormat="false" ht="15" hidden="false" customHeight="true" outlineLevel="0" collapsed="false">
      <c r="A14" s="28" t="s">
        <v>202</v>
      </c>
      <c r="B14" s="29" t="s">
        <v>215</v>
      </c>
      <c r="C14" s="28" t="s">
        <v>161</v>
      </c>
      <c r="D14" s="28" t="s">
        <v>216</v>
      </c>
      <c r="E14" s="28" t="s">
        <v>206</v>
      </c>
      <c r="F14" s="28" t="s">
        <v>217</v>
      </c>
      <c r="G14" s="28" t="s">
        <v>208</v>
      </c>
      <c r="H14" s="28" t="s">
        <v>218</v>
      </c>
    </row>
    <row r="15" customFormat="false" ht="15" hidden="false" customHeight="true" outlineLevel="0" collapsed="false">
      <c r="A15" s="30" t="s">
        <v>219</v>
      </c>
      <c r="B15" s="30" t="s">
        <v>220</v>
      </c>
      <c r="C15" s="30" t="s">
        <v>221</v>
      </c>
      <c r="D15" s="30" t="s">
        <v>222</v>
      </c>
      <c r="E15" s="31" t="s">
        <v>223</v>
      </c>
      <c r="F15" s="30" t="s">
        <v>224</v>
      </c>
      <c r="G15" s="30" t="s">
        <v>225</v>
      </c>
      <c r="H15" s="30" t="s">
        <v>226</v>
      </c>
    </row>
    <row r="16" customFormat="false" ht="15" hidden="false" customHeight="true" outlineLevel="0" collapsed="false">
      <c r="A16" s="28" t="s">
        <v>219</v>
      </c>
      <c r="B16" s="28" t="s">
        <v>227</v>
      </c>
      <c r="C16" s="28" t="s">
        <v>228</v>
      </c>
      <c r="D16" s="28" t="s">
        <v>229</v>
      </c>
      <c r="E16" s="29" t="s">
        <v>230</v>
      </c>
      <c r="F16" s="28" t="s">
        <v>231</v>
      </c>
      <c r="G16" s="28" t="s">
        <v>225</v>
      </c>
      <c r="H16" s="28" t="s">
        <v>232</v>
      </c>
    </row>
    <row r="17" customFormat="false" ht="15" hidden="false" customHeight="true" outlineLevel="0" collapsed="false">
      <c r="A17" s="30" t="s">
        <v>219</v>
      </c>
      <c r="B17" s="30" t="s">
        <v>233</v>
      </c>
      <c r="C17" s="30" t="s">
        <v>234</v>
      </c>
      <c r="D17" s="31" t="s">
        <v>235</v>
      </c>
      <c r="E17" s="31" t="s">
        <v>236</v>
      </c>
      <c r="F17" s="30" t="s">
        <v>237</v>
      </c>
      <c r="G17" s="30" t="s">
        <v>158</v>
      </c>
      <c r="H17" s="30" t="s">
        <v>238</v>
      </c>
    </row>
    <row r="18" customFormat="false" ht="15" hidden="false" customHeight="true" outlineLevel="0" collapsed="false">
      <c r="A18" s="28" t="s">
        <v>219</v>
      </c>
      <c r="B18" s="28" t="s">
        <v>239</v>
      </c>
      <c r="C18" s="28" t="s">
        <v>240</v>
      </c>
      <c r="D18" s="28" t="s">
        <v>241</v>
      </c>
      <c r="E18" s="29" t="s">
        <v>242</v>
      </c>
      <c r="F18" s="28" t="s">
        <v>243</v>
      </c>
      <c r="G18" s="28" t="s">
        <v>143</v>
      </c>
      <c r="H18" s="28" t="s">
        <v>244</v>
      </c>
    </row>
    <row r="19" customFormat="false" ht="15" hidden="false" customHeight="true" outlineLevel="0" collapsed="false">
      <c r="A19" s="30" t="s">
        <v>245</v>
      </c>
      <c r="B19" s="30" t="s">
        <v>246</v>
      </c>
      <c r="C19" s="30" t="s">
        <v>247</v>
      </c>
      <c r="D19" s="31" t="s">
        <v>248</v>
      </c>
      <c r="E19" s="31" t="s">
        <v>249</v>
      </c>
      <c r="F19" s="30" t="s">
        <v>250</v>
      </c>
      <c r="G19" s="30" t="s">
        <v>143</v>
      </c>
      <c r="H19" s="30" t="s">
        <v>251</v>
      </c>
    </row>
    <row r="20" customFormat="false" ht="15" hidden="false" customHeight="true" outlineLevel="0" collapsed="false">
      <c r="A20" s="28" t="s">
        <v>245</v>
      </c>
      <c r="B20" s="28" t="s">
        <v>252</v>
      </c>
      <c r="C20" s="28" t="s">
        <v>253</v>
      </c>
      <c r="D20" s="28" t="s">
        <v>254</v>
      </c>
      <c r="E20" s="28" t="s">
        <v>255</v>
      </c>
      <c r="F20" s="28" t="s">
        <v>256</v>
      </c>
      <c r="G20" s="28" t="s">
        <v>257</v>
      </c>
      <c r="H20" s="28" t="s">
        <v>258</v>
      </c>
    </row>
    <row r="21" customFormat="false" ht="15" hidden="false" customHeight="true" outlineLevel="0" collapsed="false">
      <c r="A21" s="30" t="s">
        <v>245</v>
      </c>
      <c r="B21" s="30" t="s">
        <v>259</v>
      </c>
      <c r="C21" s="30" t="s">
        <v>260</v>
      </c>
      <c r="D21" s="30" t="s">
        <v>261</v>
      </c>
      <c r="E21" s="31" t="s">
        <v>262</v>
      </c>
      <c r="F21" s="30" t="s">
        <v>263</v>
      </c>
      <c r="G21" s="30" t="s">
        <v>143</v>
      </c>
      <c r="H21" s="30" t="s">
        <v>264</v>
      </c>
    </row>
    <row r="22" customFormat="false" ht="15" hidden="false" customHeight="true" outlineLevel="0" collapsed="false">
      <c r="A22" s="28" t="s">
        <v>245</v>
      </c>
      <c r="B22" s="28" t="s">
        <v>265</v>
      </c>
      <c r="C22" s="28" t="s">
        <v>266</v>
      </c>
      <c r="D22" s="28" t="s">
        <v>267</v>
      </c>
      <c r="E22" s="29" t="s">
        <v>268</v>
      </c>
      <c r="F22" s="28" t="s">
        <v>269</v>
      </c>
      <c r="G22" s="28" t="s">
        <v>143</v>
      </c>
      <c r="H22" s="28" t="s">
        <v>270</v>
      </c>
    </row>
    <row r="23" customFormat="false" ht="1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</row>
    <row r="25" customFormat="false" ht="15" hidden="false" customHeight="true" outlineLevel="0" collapsed="false">
      <c r="A25" s="30"/>
      <c r="B25" s="30"/>
      <c r="C25" s="30"/>
      <c r="D25" s="30"/>
      <c r="E25" s="30"/>
      <c r="F25" s="30"/>
      <c r="G25" s="30"/>
      <c r="H25" s="30"/>
    </row>
    <row r="26" customFormat="false" ht="1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</row>
    <row r="27" customFormat="false" ht="15" hidden="false" customHeight="true" outlineLevel="0" collapsed="false">
      <c r="A27" s="30"/>
      <c r="B27" s="30"/>
      <c r="C27" s="30"/>
      <c r="D27" s="30"/>
      <c r="E27" s="30"/>
      <c r="F27" s="30"/>
      <c r="G27" s="30"/>
      <c r="H27" s="30"/>
    </row>
    <row r="28" customFormat="false" ht="1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</row>
    <row r="29" customFormat="false" ht="15" hidden="false" customHeight="true" outlineLevel="0" collapsed="false">
      <c r="A29" s="30"/>
      <c r="B29" s="30"/>
      <c r="C29" s="30"/>
      <c r="D29" s="30"/>
      <c r="E29" s="30"/>
      <c r="F29" s="30"/>
      <c r="G29" s="30"/>
      <c r="H29" s="30"/>
    </row>
    <row r="30" customFormat="false" ht="1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</row>
    <row r="31" customFormat="false" ht="15" hidden="false" customHeight="true" outlineLevel="0" collapsed="false">
      <c r="A31" s="30"/>
      <c r="B31" s="30"/>
      <c r="C31" s="30"/>
      <c r="D31" s="30"/>
      <c r="E31" s="30"/>
      <c r="F31" s="30"/>
      <c r="G31" s="30"/>
      <c r="H31" s="30"/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</row>
    <row r="33" customFormat="false" ht="15" hidden="false" customHeight="true" outlineLevel="0" collapsed="false">
      <c r="A33" s="30"/>
      <c r="B33" s="30"/>
      <c r="C33" s="30"/>
      <c r="D33" s="30"/>
      <c r="E33" s="30"/>
      <c r="F33" s="30"/>
      <c r="G33" s="30"/>
      <c r="H33" s="30"/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</row>
    <row r="35" customFormat="false" ht="15" hidden="false" customHeight="true" outlineLevel="0" collapsed="false">
      <c r="A35" s="30"/>
      <c r="B35" s="30"/>
      <c r="C35" s="30"/>
      <c r="D35" s="30"/>
      <c r="E35" s="30"/>
      <c r="F35" s="30"/>
      <c r="G35" s="30"/>
      <c r="H35" s="30"/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</row>
    <row r="37" customFormat="false" ht="15" hidden="false" customHeight="true" outlineLevel="0" collapsed="false">
      <c r="A37" s="30"/>
      <c r="B37" s="30"/>
      <c r="C37" s="30"/>
      <c r="D37" s="30"/>
      <c r="E37" s="30"/>
      <c r="F37" s="30"/>
      <c r="G37" s="30"/>
      <c r="H37" s="30"/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30"/>
      <c r="B39" s="30"/>
      <c r="C39" s="30"/>
      <c r="D39" s="30"/>
      <c r="E39" s="30"/>
      <c r="F39" s="30"/>
      <c r="G39" s="30"/>
      <c r="H39" s="30"/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30"/>
      <c r="B41" s="30"/>
      <c r="C41" s="30"/>
      <c r="D41" s="30"/>
      <c r="E41" s="30"/>
      <c r="F41" s="30"/>
      <c r="G41" s="30"/>
      <c r="H41" s="30"/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</row>
    <row r="43" customFormat="false" ht="15" hidden="false" customHeight="true" outlineLevel="0" collapsed="false">
      <c r="A43" s="30"/>
      <c r="B43" s="30"/>
      <c r="C43" s="30"/>
      <c r="D43" s="30"/>
      <c r="E43" s="30"/>
      <c r="F43" s="30"/>
      <c r="G43" s="30"/>
      <c r="H43" s="30"/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</row>
    <row r="45" customFormat="false" ht="15" hidden="false" customHeight="true" outlineLevel="0" collapsed="false">
      <c r="A45" s="30"/>
      <c r="B45" s="30"/>
      <c r="C45" s="30"/>
      <c r="D45" s="30"/>
      <c r="E45" s="30"/>
      <c r="F45" s="30"/>
      <c r="G45" s="30"/>
      <c r="H45" s="30"/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</row>
    <row r="47" customFormat="false" ht="15" hidden="false" customHeight="true" outlineLevel="0" collapsed="false">
      <c r="A47" s="30"/>
      <c r="B47" s="30"/>
      <c r="C47" s="30"/>
      <c r="D47" s="30"/>
      <c r="E47" s="30"/>
      <c r="F47" s="30"/>
      <c r="G47" s="30"/>
      <c r="H47" s="30"/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</row>
    <row r="49" customFormat="false" ht="15" hidden="false" customHeight="true" outlineLevel="0" collapsed="false">
      <c r="A49" s="30"/>
      <c r="B49" s="30"/>
      <c r="C49" s="30"/>
      <c r="D49" s="30"/>
      <c r="E49" s="30"/>
      <c r="F49" s="30"/>
      <c r="G49" s="30"/>
      <c r="H49" s="30"/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</row>
    <row r="51" customFormat="false" ht="15" hidden="false" customHeight="true" outlineLevel="0" collapsed="false">
      <c r="A51" s="30"/>
      <c r="B51" s="30"/>
      <c r="C51" s="30"/>
      <c r="D51" s="30"/>
      <c r="E51" s="30"/>
      <c r="F51" s="30"/>
      <c r="G51" s="30"/>
      <c r="H51" s="30"/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</row>
    <row r="53" customFormat="false" ht="15" hidden="false" customHeight="true" outlineLevel="0" collapsed="false">
      <c r="A53" s="30"/>
      <c r="B53" s="30"/>
      <c r="C53" s="30"/>
      <c r="D53" s="30"/>
      <c r="E53" s="30"/>
      <c r="F53" s="30"/>
      <c r="G53" s="30"/>
      <c r="H53" s="30"/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</row>
    <row r="55" customFormat="false" ht="15" hidden="false" customHeight="true" outlineLevel="0" collapsed="false">
      <c r="A55" s="30"/>
      <c r="B55" s="30"/>
      <c r="C55" s="30"/>
      <c r="D55" s="30"/>
      <c r="E55" s="30"/>
      <c r="F55" s="30"/>
      <c r="G55" s="30"/>
      <c r="H55" s="30"/>
    </row>
    <row r="56" customFormat="false" ht="1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</row>
    <row r="57" customFormat="false" ht="15" hidden="false" customHeight="true" outlineLevel="0" collapsed="false">
      <c r="A57" s="30"/>
      <c r="B57" s="30"/>
      <c r="C57" s="30"/>
      <c r="D57" s="30"/>
      <c r="E57" s="30"/>
      <c r="F57" s="30"/>
      <c r="G57" s="30"/>
      <c r="H57" s="30"/>
    </row>
    <row r="58" customFormat="false" ht="1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</row>
    <row r="59" customFormat="false" ht="15" hidden="false" customHeight="true" outlineLevel="0" collapsed="false">
      <c r="A59" s="30"/>
      <c r="B59" s="30"/>
      <c r="C59" s="30"/>
      <c r="D59" s="30"/>
      <c r="E59" s="30"/>
      <c r="F59" s="30"/>
      <c r="G59" s="30"/>
      <c r="H59" s="30"/>
    </row>
    <row r="60" customFormat="false" ht="1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</row>
    <row r="61" customFormat="false" ht="15" hidden="false" customHeight="true" outlineLevel="0" collapsed="false">
      <c r="A61" s="30"/>
      <c r="B61" s="30"/>
      <c r="C61" s="30"/>
      <c r="D61" s="30"/>
      <c r="E61" s="30"/>
      <c r="F61" s="30"/>
      <c r="G61" s="30"/>
      <c r="H61" s="30"/>
    </row>
    <row r="62" customFormat="false" ht="1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</row>
    <row r="63" customFormat="false" ht="15" hidden="false" customHeight="true" outlineLevel="0" collapsed="false">
      <c r="A63" s="30"/>
      <c r="B63" s="30"/>
      <c r="C63" s="30"/>
      <c r="D63" s="30"/>
      <c r="E63" s="30"/>
      <c r="F63" s="30"/>
      <c r="G63" s="30"/>
      <c r="H63" s="30"/>
    </row>
    <row r="64" customFormat="false" ht="1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</row>
    <row r="65" customFormat="false" ht="15" hidden="false" customHeight="true" outlineLevel="0" collapsed="false">
      <c r="A65" s="30"/>
      <c r="B65" s="30"/>
      <c r="C65" s="30"/>
      <c r="D65" s="30"/>
      <c r="E65" s="30"/>
      <c r="F65" s="30"/>
      <c r="G65" s="30"/>
      <c r="H65" s="30"/>
    </row>
    <row r="66" customFormat="false" ht="1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</row>
    <row r="67" customFormat="false" ht="15" hidden="false" customHeight="true" outlineLevel="0" collapsed="false">
      <c r="A67" s="30"/>
      <c r="B67" s="30"/>
      <c r="C67" s="30"/>
      <c r="D67" s="30"/>
      <c r="E67" s="30"/>
      <c r="F67" s="30"/>
      <c r="G67" s="30"/>
      <c r="H67" s="30"/>
    </row>
    <row r="68" customFormat="false" ht="1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</row>
    <row r="69" customFormat="false" ht="15" hidden="false" customHeight="true" outlineLevel="0" collapsed="false">
      <c r="A69" s="30"/>
      <c r="B69" s="30"/>
      <c r="C69" s="30"/>
      <c r="D69" s="30"/>
      <c r="E69" s="30"/>
      <c r="F69" s="30"/>
      <c r="G69" s="30"/>
      <c r="H69" s="30"/>
    </row>
    <row r="70" customFormat="false" ht="1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</row>
    <row r="71" customFormat="false" ht="15" hidden="false" customHeight="true" outlineLevel="0" collapsed="false">
      <c r="A71" s="30"/>
      <c r="B71" s="30"/>
      <c r="C71" s="30"/>
      <c r="D71" s="30"/>
      <c r="E71" s="30"/>
      <c r="F71" s="30"/>
      <c r="G71" s="30"/>
      <c r="H71" s="30"/>
    </row>
    <row r="72" customFormat="false" ht="1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</row>
    <row r="73" customFormat="false" ht="15" hidden="false" customHeight="true" outlineLevel="0" collapsed="false">
      <c r="A73" s="30"/>
      <c r="B73" s="30"/>
      <c r="C73" s="30"/>
      <c r="D73" s="30"/>
      <c r="E73" s="30"/>
      <c r="F73" s="30"/>
      <c r="G73" s="30"/>
      <c r="H73" s="30"/>
    </row>
    <row r="74" customFormat="false" ht="1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</row>
    <row r="75" customFormat="false" ht="15" hidden="false" customHeight="true" outlineLevel="0" collapsed="false">
      <c r="A75" s="30"/>
      <c r="B75" s="30"/>
      <c r="C75" s="30"/>
      <c r="D75" s="30"/>
      <c r="E75" s="30"/>
      <c r="F75" s="30"/>
      <c r="G75" s="30"/>
      <c r="H75" s="30"/>
    </row>
    <row r="76" customFormat="false" ht="1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</row>
    <row r="77" customFormat="false" ht="15" hidden="false" customHeight="true" outlineLevel="0" collapsed="false">
      <c r="A77" s="30"/>
      <c r="B77" s="30"/>
      <c r="C77" s="30"/>
      <c r="D77" s="30"/>
      <c r="E77" s="30"/>
      <c r="F77" s="30"/>
      <c r="G77" s="30"/>
      <c r="H77" s="30"/>
    </row>
    <row r="78" customFormat="false" ht="1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</row>
    <row r="79" customFormat="false" ht="15" hidden="false" customHeight="true" outlineLevel="0" collapsed="false">
      <c r="A79" s="30"/>
      <c r="B79" s="30"/>
      <c r="C79" s="30"/>
      <c r="D79" s="30"/>
      <c r="E79" s="30"/>
      <c r="F79" s="30"/>
      <c r="G79" s="30"/>
      <c r="H79" s="30"/>
    </row>
    <row r="80" customFormat="false" ht="1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</row>
    <row r="81" customFormat="false" ht="15" hidden="false" customHeight="true" outlineLevel="0" collapsed="false">
      <c r="A81" s="30"/>
      <c r="B81" s="30"/>
      <c r="C81" s="30"/>
      <c r="D81" s="30"/>
      <c r="E81" s="30"/>
      <c r="F81" s="30"/>
      <c r="G81" s="30"/>
      <c r="H81" s="30"/>
    </row>
    <row r="82" customFormat="false" ht="1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</row>
    <row r="83" customFormat="false" ht="15" hidden="false" customHeight="true" outlineLevel="0" collapsed="false">
      <c r="A83" s="30"/>
      <c r="B83" s="30"/>
      <c r="C83" s="30"/>
      <c r="D83" s="30"/>
      <c r="E83" s="30"/>
      <c r="F83" s="30"/>
      <c r="G83" s="30"/>
      <c r="H83" s="30"/>
    </row>
    <row r="84" customFormat="false" ht="1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</row>
    <row r="85" customFormat="false" ht="15" hidden="false" customHeight="true" outlineLevel="0" collapsed="false">
      <c r="A85" s="30"/>
      <c r="B85" s="30"/>
      <c r="C85" s="30"/>
      <c r="D85" s="30"/>
      <c r="E85" s="30"/>
      <c r="F85" s="30"/>
      <c r="G85" s="30"/>
      <c r="H85" s="30"/>
    </row>
    <row r="86" customFormat="false" ht="1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</row>
    <row r="87" customFormat="false" ht="15" hidden="false" customHeight="true" outlineLevel="0" collapsed="false">
      <c r="A87" s="30"/>
      <c r="B87" s="30"/>
      <c r="C87" s="30"/>
      <c r="D87" s="30"/>
      <c r="E87" s="30"/>
      <c r="F87" s="30"/>
      <c r="G87" s="30"/>
      <c r="H87" s="30"/>
    </row>
    <row r="88" customFormat="false" ht="1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</row>
    <row r="89" customFormat="false" ht="15" hidden="false" customHeight="true" outlineLevel="0" collapsed="false">
      <c r="A89" s="30"/>
      <c r="B89" s="30"/>
      <c r="C89" s="30"/>
      <c r="D89" s="30"/>
      <c r="E89" s="30"/>
      <c r="F89" s="30"/>
      <c r="G89" s="30"/>
      <c r="H89" s="30"/>
    </row>
    <row r="90" customFormat="false" ht="1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</row>
    <row r="91" customFormat="false" ht="15" hidden="false" customHeight="true" outlineLevel="0" collapsed="false">
      <c r="A91" s="30"/>
      <c r="B91" s="30"/>
      <c r="C91" s="30"/>
      <c r="D91" s="30"/>
      <c r="E91" s="30"/>
      <c r="F91" s="30"/>
      <c r="G91" s="30"/>
      <c r="H91" s="30"/>
    </row>
    <row r="92" customFormat="false" ht="1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</row>
    <row r="93" customFormat="false" ht="15" hidden="false" customHeight="true" outlineLevel="0" collapsed="false">
      <c r="A93" s="30"/>
      <c r="B93" s="30"/>
      <c r="C93" s="30"/>
      <c r="D93" s="30"/>
      <c r="E93" s="30"/>
      <c r="F93" s="30"/>
      <c r="G93" s="30"/>
      <c r="H93" s="30"/>
    </row>
    <row r="94" customFormat="false" ht="1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</row>
    <row r="95" customFormat="false" ht="15" hidden="false" customHeight="true" outlineLevel="0" collapsed="false">
      <c r="A95" s="30"/>
      <c r="B95" s="30"/>
      <c r="C95" s="30"/>
      <c r="D95" s="30"/>
      <c r="E95" s="30"/>
      <c r="F95" s="30"/>
      <c r="G95" s="30"/>
      <c r="H95" s="30"/>
    </row>
    <row r="96" customFormat="false" ht="1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</row>
    <row r="97" customFormat="false" ht="15" hidden="false" customHeight="true" outlineLevel="0" collapsed="false">
      <c r="A97" s="30"/>
      <c r="B97" s="30"/>
      <c r="C97" s="30"/>
      <c r="D97" s="30"/>
      <c r="E97" s="30"/>
      <c r="F97" s="30"/>
      <c r="G97" s="30"/>
      <c r="H97" s="30"/>
    </row>
    <row r="98" customFormat="false" ht="1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</row>
    <row r="99" customFormat="false" ht="15" hidden="false" customHeight="true" outlineLevel="0" collapsed="false">
      <c r="A99" s="30"/>
      <c r="B99" s="30"/>
      <c r="C99" s="30"/>
      <c r="D99" s="30"/>
      <c r="E99" s="30"/>
      <c r="F99" s="30"/>
      <c r="G99" s="30"/>
      <c r="H99" s="30"/>
    </row>
    <row r="100" customFormat="false" ht="1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</row>
    <row r="101" customFormat="false" ht="15" hidden="false" customHeight="true" outlineLevel="0" collapsed="false">
      <c r="A101" s="30"/>
      <c r="B101" s="30"/>
      <c r="C101" s="30"/>
      <c r="D101" s="30"/>
      <c r="E101" s="30"/>
      <c r="F101" s="30"/>
      <c r="G101" s="30"/>
      <c r="H101" s="30"/>
    </row>
    <row r="102" customFormat="false" ht="1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</row>
    <row r="103" customFormat="false" ht="15" hidden="false" customHeight="true" outlineLevel="0" collapsed="false">
      <c r="A103" s="30"/>
      <c r="B103" s="30"/>
      <c r="C103" s="30"/>
      <c r="D103" s="30"/>
      <c r="E103" s="30"/>
      <c r="F103" s="30"/>
      <c r="G103" s="30"/>
      <c r="H103" s="30"/>
    </row>
    <row r="104" customFormat="false" ht="1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</row>
    <row r="105" customFormat="false" ht="15" hidden="false" customHeight="true" outlineLevel="0" collapsed="false">
      <c r="A105" s="30"/>
      <c r="B105" s="30"/>
      <c r="C105" s="30"/>
      <c r="D105" s="30"/>
      <c r="E105" s="30"/>
      <c r="F105" s="30"/>
      <c r="G105" s="30"/>
      <c r="H105" s="30"/>
    </row>
    <row r="106" customFormat="false" ht="1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</row>
    <row r="107" customFormat="false" ht="15" hidden="false" customHeight="true" outlineLevel="0" collapsed="false">
      <c r="A107" s="30"/>
      <c r="B107" s="30"/>
      <c r="C107" s="30"/>
      <c r="D107" s="30"/>
      <c r="E107" s="30"/>
      <c r="F107" s="30"/>
      <c r="G107" s="30"/>
      <c r="H107" s="30"/>
    </row>
    <row r="108" customFormat="false" ht="1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</row>
    <row r="109" customFormat="false" ht="15" hidden="false" customHeight="true" outlineLevel="0" collapsed="false">
      <c r="A109" s="30"/>
      <c r="B109" s="30"/>
      <c r="C109" s="30"/>
      <c r="D109" s="30"/>
      <c r="E109" s="30"/>
      <c r="F109" s="30"/>
      <c r="G109" s="30"/>
      <c r="H109" s="30"/>
    </row>
    <row r="110" customFormat="false" ht="1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</row>
    <row r="111" customFormat="false" ht="15" hidden="false" customHeight="true" outlineLevel="0" collapsed="false">
      <c r="A111" s="30"/>
      <c r="B111" s="30"/>
      <c r="C111" s="30"/>
      <c r="D111" s="30"/>
      <c r="E111" s="30"/>
      <c r="F111" s="30"/>
      <c r="G111" s="30"/>
      <c r="H111" s="30"/>
    </row>
    <row r="112" customFormat="false" ht="1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</row>
    <row r="113" customFormat="false" ht="15" hidden="false" customHeight="true" outlineLevel="0" collapsed="false">
      <c r="A113" s="30"/>
      <c r="B113" s="30"/>
      <c r="C113" s="30"/>
      <c r="D113" s="30"/>
      <c r="E113" s="30"/>
      <c r="F113" s="30"/>
      <c r="G113" s="30"/>
      <c r="H113" s="30"/>
    </row>
    <row r="114" customFormat="false" ht="1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</row>
    <row r="115" customFormat="false" ht="15" hidden="false" customHeight="true" outlineLevel="0" collapsed="false">
      <c r="A115" s="30"/>
      <c r="B115" s="30"/>
      <c r="C115" s="30"/>
      <c r="D115" s="30"/>
      <c r="E115" s="30"/>
      <c r="F115" s="30"/>
      <c r="G115" s="30"/>
      <c r="H115" s="30"/>
    </row>
    <row r="116" customFormat="false" ht="1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</row>
    <row r="117" customFormat="false" ht="15" hidden="false" customHeight="true" outlineLevel="0" collapsed="false">
      <c r="A117" s="30"/>
      <c r="B117" s="30"/>
      <c r="C117" s="30"/>
      <c r="D117" s="30"/>
      <c r="E117" s="30"/>
      <c r="F117" s="30"/>
      <c r="G117" s="30"/>
      <c r="H117" s="30"/>
    </row>
    <row r="118" customFormat="false" ht="1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</row>
    <row r="119" customFormat="false" ht="15" hidden="false" customHeight="true" outlineLevel="0" collapsed="false">
      <c r="A119" s="30"/>
      <c r="B119" s="30"/>
      <c r="C119" s="30"/>
      <c r="D119" s="30"/>
      <c r="E119" s="30"/>
      <c r="F119" s="30"/>
      <c r="G119" s="30"/>
      <c r="H119" s="30"/>
    </row>
    <row r="120" customFormat="false" ht="1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</row>
    <row r="121" customFormat="false" ht="15" hidden="false" customHeight="true" outlineLevel="0" collapsed="false">
      <c r="A121" s="30"/>
      <c r="B121" s="30"/>
      <c r="C121" s="30"/>
      <c r="D121" s="30"/>
      <c r="E121" s="30"/>
      <c r="F121" s="30"/>
      <c r="G121" s="30"/>
      <c r="H121" s="30"/>
    </row>
    <row r="122" customFormat="false" ht="1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</row>
    <row r="123" customFormat="false" ht="15" hidden="false" customHeight="true" outlineLevel="0" collapsed="false">
      <c r="A123" s="30"/>
      <c r="B123" s="30"/>
      <c r="C123" s="30"/>
      <c r="D123" s="30"/>
      <c r="E123" s="30"/>
      <c r="F123" s="30"/>
      <c r="G123" s="30"/>
      <c r="H123" s="30"/>
    </row>
    <row r="124" customFormat="false" ht="1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</row>
    <row r="125" customFormat="false" ht="15" hidden="false" customHeight="true" outlineLevel="0" collapsed="false">
      <c r="A125" s="30"/>
      <c r="B125" s="30"/>
      <c r="C125" s="30"/>
      <c r="D125" s="30"/>
      <c r="E125" s="30"/>
      <c r="F125" s="30"/>
      <c r="G125" s="30"/>
      <c r="H125" s="30"/>
    </row>
    <row r="126" customFormat="false" ht="1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</row>
    <row r="127" customFormat="false" ht="15" hidden="false" customHeight="true" outlineLevel="0" collapsed="false">
      <c r="A127" s="30"/>
      <c r="B127" s="30"/>
      <c r="C127" s="30"/>
      <c r="D127" s="30"/>
      <c r="E127" s="30"/>
      <c r="F127" s="30"/>
      <c r="G127" s="30"/>
      <c r="H127" s="30"/>
    </row>
    <row r="128" customFormat="false" ht="1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</row>
    <row r="129" customFormat="false" ht="15" hidden="false" customHeight="true" outlineLevel="0" collapsed="false">
      <c r="A129" s="30"/>
      <c r="B129" s="30"/>
      <c r="C129" s="30"/>
      <c r="D129" s="30"/>
      <c r="E129" s="30"/>
      <c r="F129" s="30"/>
      <c r="G129" s="30"/>
      <c r="H129" s="30"/>
    </row>
    <row r="130" customFormat="false" ht="1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</row>
    <row r="131" customFormat="false" ht="15" hidden="false" customHeight="true" outlineLevel="0" collapsed="false">
      <c r="A131" s="30"/>
      <c r="B131" s="30"/>
      <c r="C131" s="30"/>
      <c r="D131" s="30"/>
      <c r="E131" s="30"/>
      <c r="F131" s="30"/>
      <c r="G131" s="30"/>
      <c r="H131" s="30"/>
    </row>
    <row r="132" customFormat="false" ht="1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</row>
    <row r="133" customFormat="false" ht="15" hidden="false" customHeight="true" outlineLevel="0" collapsed="false">
      <c r="A133" s="30"/>
      <c r="B133" s="30"/>
      <c r="C133" s="30"/>
      <c r="D133" s="30"/>
      <c r="E133" s="30"/>
      <c r="F133" s="30"/>
      <c r="G133" s="30"/>
      <c r="H133" s="30"/>
    </row>
    <row r="134" customFormat="false" ht="1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</row>
    <row r="135" customFormat="false" ht="15" hidden="false" customHeight="true" outlineLevel="0" collapsed="false">
      <c r="A135" s="30"/>
      <c r="B135" s="30"/>
      <c r="C135" s="30"/>
      <c r="D135" s="30"/>
      <c r="E135" s="30"/>
      <c r="F135" s="30"/>
      <c r="G135" s="30"/>
      <c r="H135" s="30"/>
    </row>
    <row r="136" customFormat="false" ht="1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</row>
    <row r="137" customFormat="false" ht="15" hidden="false" customHeight="true" outlineLevel="0" collapsed="false">
      <c r="A137" s="30"/>
      <c r="B137" s="30"/>
      <c r="C137" s="30"/>
      <c r="D137" s="30"/>
      <c r="E137" s="30"/>
      <c r="F137" s="30"/>
      <c r="G137" s="30"/>
      <c r="H137" s="30"/>
    </row>
    <row r="138" customFormat="false" ht="1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</row>
    <row r="139" customFormat="false" ht="15" hidden="false" customHeight="true" outlineLevel="0" collapsed="false">
      <c r="A139" s="30"/>
      <c r="B139" s="30"/>
      <c r="C139" s="30"/>
      <c r="D139" s="30"/>
      <c r="E139" s="30"/>
      <c r="F139" s="30"/>
      <c r="G139" s="30"/>
      <c r="H139" s="30"/>
    </row>
    <row r="140" customFormat="false" ht="1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</row>
    <row r="141" customFormat="false" ht="15" hidden="false" customHeight="true" outlineLevel="0" collapsed="false">
      <c r="A141" s="30"/>
      <c r="B141" s="30"/>
      <c r="C141" s="30"/>
      <c r="D141" s="30"/>
      <c r="E141" s="30"/>
      <c r="F141" s="30"/>
      <c r="G141" s="30"/>
      <c r="H141" s="30"/>
    </row>
    <row r="142" customFormat="false" ht="1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</row>
    <row r="143" customFormat="false" ht="15" hidden="false" customHeight="true" outlineLevel="0" collapsed="false">
      <c r="A143" s="30"/>
      <c r="B143" s="30"/>
      <c r="C143" s="30"/>
      <c r="D143" s="30"/>
      <c r="E143" s="30"/>
      <c r="F143" s="30"/>
      <c r="G143" s="30"/>
      <c r="H143" s="30"/>
    </row>
    <row r="144" customFormat="false" ht="1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</row>
    <row r="145" customFormat="false" ht="15" hidden="false" customHeight="true" outlineLevel="0" collapsed="false">
      <c r="A145" s="30"/>
      <c r="B145" s="30"/>
      <c r="C145" s="30"/>
      <c r="D145" s="30"/>
      <c r="E145" s="30"/>
      <c r="F145" s="30"/>
      <c r="G145" s="30"/>
      <c r="H145" s="30"/>
    </row>
    <row r="146" customFormat="false" ht="1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</row>
    <row r="147" customFormat="false" ht="15" hidden="false" customHeight="true" outlineLevel="0" collapsed="false">
      <c r="A147" s="30"/>
      <c r="B147" s="30"/>
      <c r="C147" s="30"/>
      <c r="D147" s="30"/>
      <c r="E147" s="30"/>
      <c r="F147" s="30"/>
      <c r="G147" s="30"/>
      <c r="H147" s="30"/>
    </row>
    <row r="148" customFormat="false" ht="1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</row>
    <row r="149" customFormat="false" ht="15" hidden="false" customHeight="true" outlineLevel="0" collapsed="false">
      <c r="A149" s="30"/>
      <c r="B149" s="30"/>
      <c r="C149" s="30"/>
      <c r="D149" s="30"/>
      <c r="E149" s="30"/>
      <c r="F149" s="30"/>
      <c r="G149" s="30"/>
      <c r="H149" s="30"/>
    </row>
    <row r="150" customFormat="false" ht="1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</row>
    <row r="151" customFormat="false" ht="15" hidden="false" customHeight="true" outlineLevel="0" collapsed="false">
      <c r="A151" s="30"/>
      <c r="B151" s="30"/>
      <c r="C151" s="30"/>
      <c r="D151" s="30"/>
      <c r="E151" s="30"/>
      <c r="F151" s="30"/>
      <c r="G151" s="30"/>
      <c r="H151" s="30"/>
    </row>
    <row r="152" customFormat="false" ht="1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</row>
    <row r="153" customFormat="false" ht="15" hidden="false" customHeight="true" outlineLevel="0" collapsed="false">
      <c r="A153" s="30"/>
      <c r="B153" s="30"/>
      <c r="C153" s="30"/>
      <c r="D153" s="30"/>
      <c r="E153" s="30"/>
      <c r="F153" s="30"/>
      <c r="G153" s="30"/>
      <c r="H153" s="30"/>
    </row>
    <row r="154" customFormat="false" ht="1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</row>
    <row r="155" customFormat="false" ht="15" hidden="false" customHeight="true" outlineLevel="0" collapsed="false">
      <c r="A155" s="30"/>
      <c r="B155" s="30"/>
      <c r="C155" s="30"/>
      <c r="D155" s="30"/>
      <c r="E155" s="30"/>
      <c r="F155" s="30"/>
      <c r="G155" s="30"/>
      <c r="H155" s="30"/>
    </row>
    <row r="156" customFormat="false" ht="1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</row>
    <row r="157" customFormat="false" ht="15" hidden="false" customHeight="true" outlineLevel="0" collapsed="false">
      <c r="A157" s="30"/>
      <c r="B157" s="30"/>
      <c r="C157" s="30"/>
      <c r="D157" s="30"/>
      <c r="E157" s="30"/>
      <c r="F157" s="30"/>
      <c r="G157" s="30"/>
      <c r="H157" s="30"/>
    </row>
    <row r="158" customFormat="false" ht="1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</row>
    <row r="159" customFormat="false" ht="15" hidden="false" customHeight="true" outlineLevel="0" collapsed="false">
      <c r="A159" s="30"/>
      <c r="B159" s="30"/>
      <c r="C159" s="30"/>
      <c r="D159" s="30"/>
      <c r="E159" s="30"/>
      <c r="F159" s="30"/>
      <c r="G159" s="30"/>
      <c r="H159" s="30"/>
    </row>
    <row r="160" customFormat="false" ht="1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</row>
    <row r="161" customFormat="false" ht="15" hidden="false" customHeight="true" outlineLevel="0" collapsed="false">
      <c r="A161" s="30"/>
      <c r="B161" s="30"/>
      <c r="C161" s="30"/>
      <c r="D161" s="30"/>
      <c r="E161" s="30"/>
      <c r="F161" s="30"/>
      <c r="G161" s="30"/>
      <c r="H161" s="30"/>
    </row>
    <row r="162" customFormat="false" ht="1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</row>
    <row r="163" customFormat="false" ht="15" hidden="false" customHeight="true" outlineLevel="0" collapsed="false">
      <c r="A163" s="30"/>
      <c r="B163" s="30"/>
      <c r="C163" s="30"/>
      <c r="D163" s="30"/>
      <c r="E163" s="30"/>
      <c r="F163" s="30"/>
      <c r="G163" s="30"/>
      <c r="H163" s="30"/>
    </row>
    <row r="164" customFormat="false" ht="1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</row>
    <row r="165" customFormat="false" ht="15" hidden="false" customHeight="true" outlineLevel="0" collapsed="false">
      <c r="A165" s="30"/>
      <c r="B165" s="30"/>
      <c r="C165" s="30"/>
      <c r="D165" s="30"/>
      <c r="E165" s="30"/>
      <c r="F165" s="30"/>
      <c r="G165" s="30"/>
      <c r="H165" s="30"/>
    </row>
    <row r="166" customFormat="false" ht="1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</row>
    <row r="167" customFormat="false" ht="15" hidden="false" customHeight="true" outlineLevel="0" collapsed="false">
      <c r="A167" s="30"/>
      <c r="B167" s="30"/>
      <c r="C167" s="30"/>
      <c r="D167" s="30"/>
      <c r="E167" s="30"/>
      <c r="F167" s="30"/>
      <c r="G167" s="30"/>
      <c r="H167" s="30"/>
    </row>
    <row r="168" customFormat="false" ht="1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</row>
    <row r="169" customFormat="false" ht="15" hidden="false" customHeight="true" outlineLevel="0" collapsed="false">
      <c r="A169" s="30"/>
      <c r="B169" s="30"/>
      <c r="C169" s="30"/>
      <c r="D169" s="30"/>
      <c r="E169" s="30"/>
      <c r="F169" s="30"/>
      <c r="G169" s="30"/>
      <c r="H169" s="30"/>
    </row>
    <row r="170" customFormat="false" ht="1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</row>
    <row r="171" customFormat="false" ht="15" hidden="false" customHeight="true" outlineLevel="0" collapsed="false">
      <c r="A171" s="30"/>
      <c r="B171" s="30"/>
      <c r="C171" s="30"/>
      <c r="D171" s="30"/>
      <c r="E171" s="30"/>
      <c r="F171" s="30"/>
      <c r="G171" s="30"/>
      <c r="H171" s="30"/>
    </row>
    <row r="172" customFormat="false" ht="1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</row>
    <row r="173" customFormat="false" ht="15" hidden="false" customHeight="true" outlineLevel="0" collapsed="false">
      <c r="A173" s="30"/>
      <c r="B173" s="30"/>
      <c r="C173" s="30"/>
      <c r="D173" s="30"/>
      <c r="E173" s="30"/>
      <c r="F173" s="30"/>
      <c r="G173" s="30"/>
      <c r="H173" s="30"/>
    </row>
    <row r="174" customFormat="false" ht="1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</row>
    <row r="175" customFormat="false" ht="15" hidden="false" customHeight="true" outlineLevel="0" collapsed="false">
      <c r="A175" s="30"/>
      <c r="B175" s="30"/>
      <c r="C175" s="30"/>
      <c r="D175" s="30"/>
      <c r="E175" s="30"/>
      <c r="F175" s="30"/>
      <c r="G175" s="30"/>
      <c r="H175" s="30"/>
    </row>
    <row r="176" customFormat="false" ht="1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</row>
    <row r="177" customFormat="false" ht="15" hidden="false" customHeight="true" outlineLevel="0" collapsed="false">
      <c r="A177" s="30"/>
      <c r="B177" s="30"/>
      <c r="C177" s="30"/>
      <c r="D177" s="30"/>
      <c r="E177" s="30"/>
      <c r="F177" s="30"/>
      <c r="G177" s="30"/>
      <c r="H177" s="30"/>
    </row>
    <row r="178" customFormat="false" ht="1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</row>
    <row r="179" customFormat="false" ht="15" hidden="false" customHeight="true" outlineLevel="0" collapsed="false">
      <c r="A179" s="30"/>
      <c r="B179" s="30"/>
      <c r="C179" s="30"/>
      <c r="D179" s="30"/>
      <c r="E179" s="30"/>
      <c r="F179" s="30"/>
      <c r="G179" s="30"/>
      <c r="H179" s="30"/>
    </row>
    <row r="180" customFormat="false" ht="1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</row>
    <row r="181" customFormat="false" ht="15" hidden="false" customHeight="true" outlineLevel="0" collapsed="false">
      <c r="A181" s="30"/>
      <c r="B181" s="30"/>
      <c r="C181" s="30"/>
      <c r="D181" s="30"/>
      <c r="E181" s="30"/>
      <c r="F181" s="30"/>
      <c r="G181" s="30"/>
      <c r="H181" s="30"/>
    </row>
    <row r="182" customFormat="false" ht="1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</row>
    <row r="183" customFormat="false" ht="15" hidden="false" customHeight="true" outlineLevel="0" collapsed="false">
      <c r="A183" s="30"/>
      <c r="B183" s="30"/>
      <c r="C183" s="30"/>
      <c r="D183" s="30"/>
      <c r="E183" s="30"/>
      <c r="F183" s="30"/>
      <c r="G183" s="30"/>
      <c r="H183" s="30"/>
    </row>
    <row r="184" customFormat="false" ht="1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</row>
    <row r="185" customFormat="false" ht="15" hidden="false" customHeight="true" outlineLevel="0" collapsed="false">
      <c r="A185" s="30"/>
      <c r="B185" s="30"/>
      <c r="C185" s="30"/>
      <c r="D185" s="30"/>
      <c r="E185" s="30"/>
      <c r="F185" s="30"/>
      <c r="G185" s="30"/>
      <c r="H185" s="30"/>
    </row>
    <row r="186" customFormat="false" ht="1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</row>
    <row r="187" customFormat="false" ht="15" hidden="false" customHeight="true" outlineLevel="0" collapsed="false">
      <c r="A187" s="30"/>
      <c r="B187" s="30"/>
      <c r="C187" s="30"/>
      <c r="D187" s="30"/>
      <c r="E187" s="30"/>
      <c r="F187" s="30"/>
      <c r="G187" s="30"/>
      <c r="H187" s="30"/>
    </row>
    <row r="188" customFormat="false" ht="1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</row>
    <row r="189" customFormat="false" ht="15" hidden="false" customHeight="true" outlineLevel="0" collapsed="false">
      <c r="A189" s="30"/>
      <c r="B189" s="30"/>
      <c r="C189" s="30"/>
      <c r="D189" s="30"/>
      <c r="E189" s="30"/>
      <c r="F189" s="30"/>
      <c r="G189" s="30"/>
      <c r="H189" s="30"/>
    </row>
    <row r="190" customFormat="false" ht="1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</row>
    <row r="191" customFormat="false" ht="15" hidden="false" customHeight="true" outlineLevel="0" collapsed="false">
      <c r="A191" s="30"/>
      <c r="B191" s="30"/>
      <c r="C191" s="30"/>
      <c r="D191" s="30"/>
      <c r="E191" s="30"/>
      <c r="F191" s="30"/>
      <c r="G191" s="30"/>
      <c r="H191" s="30"/>
    </row>
    <row r="192" customFormat="false" ht="1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</row>
    <row r="193" customFormat="false" ht="15" hidden="false" customHeight="true" outlineLevel="0" collapsed="false">
      <c r="A193" s="30"/>
      <c r="B193" s="30"/>
      <c r="C193" s="30"/>
      <c r="D193" s="30"/>
      <c r="E193" s="30"/>
      <c r="F193" s="30"/>
      <c r="G193" s="30"/>
      <c r="H193" s="30"/>
    </row>
    <row r="194" customFormat="false" ht="1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</row>
    <row r="195" customFormat="false" ht="15" hidden="false" customHeight="true" outlineLevel="0" collapsed="false">
      <c r="A195" s="30"/>
      <c r="B195" s="30"/>
      <c r="C195" s="30"/>
      <c r="D195" s="30"/>
      <c r="E195" s="30"/>
      <c r="F195" s="30"/>
      <c r="G195" s="30"/>
      <c r="H195" s="30"/>
    </row>
    <row r="196" customFormat="false" ht="1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</row>
    <row r="197" customFormat="false" ht="15" hidden="false" customHeight="true" outlineLevel="0" collapsed="false">
      <c r="A197" s="30"/>
      <c r="B197" s="30"/>
      <c r="C197" s="30"/>
      <c r="D197" s="30"/>
      <c r="E197" s="30"/>
      <c r="F197" s="30"/>
      <c r="G197" s="30"/>
      <c r="H197" s="30"/>
    </row>
    <row r="198" customFormat="false" ht="1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</row>
    <row r="199" customFormat="false" ht="15" hidden="false" customHeight="true" outlineLevel="0" collapsed="false">
      <c r="A199" s="30"/>
      <c r="B199" s="30"/>
      <c r="C199" s="30"/>
      <c r="D199" s="30"/>
      <c r="E199" s="30"/>
      <c r="F199" s="30"/>
      <c r="G199" s="30"/>
      <c r="H199" s="30"/>
    </row>
    <row r="200" customFormat="false" ht="1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</row>
    <row r="201" customFormat="false" ht="15" hidden="false" customHeight="true" outlineLevel="0" collapsed="false">
      <c r="A201" s="30"/>
      <c r="B201" s="30"/>
      <c r="C201" s="30"/>
      <c r="D201" s="30"/>
      <c r="E201" s="30"/>
      <c r="F201" s="30"/>
      <c r="G201" s="30"/>
      <c r="H201" s="30"/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3" min="10" style="1" width="12"/>
    <col collapsed="false" customWidth="true" hidden="false" outlineLevel="0" max="15" min="14" style="1" width="13"/>
    <col collapsed="false" customWidth="true" hidden="false" outlineLevel="0" max="18" min="16" style="1" width="12"/>
    <col collapsed="false" customWidth="true" hidden="false" outlineLevel="0" max="19" min="19" style="1" width="13"/>
    <col collapsed="false" customWidth="true" hidden="false" outlineLevel="0" max="23" min="20" style="1" width="12"/>
    <col collapsed="false" customWidth="true" hidden="false" outlineLevel="0" max="25" min="24" style="1" width="14"/>
    <col collapsed="false" customWidth="true" hidden="false" outlineLevel="0" max="26" min="26" style="1" width="26"/>
    <col collapsed="false" customWidth="true" hidden="false" outlineLevel="0" max="27" min="27" style="1" width="12"/>
    <col collapsed="false" customWidth="true" hidden="false" outlineLevel="0" max="28" min="28" style="1" width="13"/>
    <col collapsed="false" customWidth="true" hidden="false" outlineLevel="0" max="29" min="29" style="1" width="12"/>
    <col collapsed="false" customWidth="true" hidden="false" outlineLevel="0" max="30" min="30" style="1" width="14"/>
    <col collapsed="false" customWidth="true" hidden="false" outlineLevel="0" max="31" min="31" style="1" width="12"/>
    <col collapsed="false" customWidth="true" hidden="false" outlineLevel="0" max="43" min="32" style="1" width="14"/>
    <col collapsed="false" customWidth="true" hidden="false" outlineLevel="0" max="51" min="44" style="1" width="16"/>
  </cols>
  <sheetData>
    <row r="1" customFormat="false" ht="15" hidden="false" customHeight="true" outlineLevel="0" collapsed="false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  <c r="G1" s="2" t="s">
        <v>277</v>
      </c>
      <c r="H1" s="2" t="s">
        <v>278</v>
      </c>
      <c r="I1" s="2" t="s">
        <v>279</v>
      </c>
      <c r="J1" s="2" t="s">
        <v>280</v>
      </c>
      <c r="K1" s="2" t="s">
        <v>281</v>
      </c>
      <c r="L1" s="2" t="s">
        <v>153</v>
      </c>
      <c r="M1" s="2" t="s">
        <v>168</v>
      </c>
      <c r="N1" s="2" t="s">
        <v>282</v>
      </c>
      <c r="O1" s="2" t="s">
        <v>283</v>
      </c>
      <c r="P1" s="2" t="s">
        <v>284</v>
      </c>
      <c r="Q1" s="27" t="s">
        <v>285</v>
      </c>
      <c r="R1" s="2" t="s">
        <v>286</v>
      </c>
      <c r="S1" s="2" t="s">
        <v>287</v>
      </c>
      <c r="T1" s="2" t="s">
        <v>288</v>
      </c>
      <c r="U1" s="2" t="s">
        <v>289</v>
      </c>
      <c r="V1" s="2" t="s">
        <v>290</v>
      </c>
      <c r="W1" s="2" t="s">
        <v>291</v>
      </c>
      <c r="X1" s="2" t="s">
        <v>292</v>
      </c>
      <c r="Y1" s="2" t="s">
        <v>293</v>
      </c>
      <c r="Z1" s="2" t="s">
        <v>6</v>
      </c>
      <c r="AA1" s="2" t="s">
        <v>294</v>
      </c>
      <c r="AB1" s="2" t="s">
        <v>295</v>
      </c>
      <c r="AC1" s="2" t="s">
        <v>296</v>
      </c>
      <c r="AD1" s="2" t="s">
        <v>297</v>
      </c>
      <c r="AE1" s="2" t="s">
        <v>298</v>
      </c>
      <c r="AF1" s="32" t="s">
        <v>299</v>
      </c>
      <c r="AG1" s="32" t="s">
        <v>300</v>
      </c>
      <c r="AH1" s="32" t="s">
        <v>301</v>
      </c>
      <c r="AI1" s="32" t="s">
        <v>302</v>
      </c>
      <c r="AJ1" s="32" t="s">
        <v>303</v>
      </c>
      <c r="AK1" s="32" t="s">
        <v>304</v>
      </c>
      <c r="AL1" s="32" t="s">
        <v>305</v>
      </c>
      <c r="AM1" s="32" t="s">
        <v>306</v>
      </c>
      <c r="AN1" s="32" t="s">
        <v>307</v>
      </c>
      <c r="AO1" s="32" t="s">
        <v>308</v>
      </c>
      <c r="AP1" s="32" t="s">
        <v>309</v>
      </c>
      <c r="AQ1" s="32" t="s">
        <v>310</v>
      </c>
      <c r="AR1" s="33" t="s">
        <v>311</v>
      </c>
      <c r="AS1" s="33" t="s">
        <v>312</v>
      </c>
      <c r="AT1" s="33" t="s">
        <v>313</v>
      </c>
      <c r="AU1" s="33" t="s">
        <v>314</v>
      </c>
      <c r="AV1" s="33" t="s">
        <v>315</v>
      </c>
      <c r="AW1" s="33" t="s">
        <v>316</v>
      </c>
      <c r="AX1" s="33" t="s">
        <v>317</v>
      </c>
      <c r="AY1" s="33" t="s">
        <v>318</v>
      </c>
    </row>
    <row r="2" customFormat="false" ht="15" hidden="false" customHeight="true" outlineLevel="0" collapsed="false">
      <c r="A2" s="29" t="s">
        <v>319</v>
      </c>
      <c r="B2" s="34" t="n">
        <v>6683.54</v>
      </c>
      <c r="C2" s="34" t="n">
        <v>0</v>
      </c>
      <c r="D2" s="35" t="n">
        <f aca="false">IF($A2="","",SUMIFS(持仓表!$J:$J,持仓表!$A:$A,$A2))</f>
        <v>0</v>
      </c>
      <c r="E2" s="36" t="n">
        <f aca="false">IFERROR(D2/B2,0)</f>
        <v>0</v>
      </c>
      <c r="F2" s="34" t="n">
        <v>2700</v>
      </c>
      <c r="G2" s="35" t="n">
        <f aca="false">IF($B2="","",MAX($B$2:B2))</f>
        <v>6683.54</v>
      </c>
      <c r="H2" s="36" t="n">
        <f aca="false">IFERROR((B2-$AA$2-SUM($F$2:F2))/($AA$2+SUM($F$2:F2)),0)</f>
        <v>-0.287737889964768</v>
      </c>
      <c r="I2" s="36" t="n">
        <f aca="false">IFERROR((B2-G2)/G2,0)</f>
        <v>0</v>
      </c>
      <c r="J2" s="28" t="s">
        <v>320</v>
      </c>
      <c r="K2" s="29" t="s">
        <v>321</v>
      </c>
      <c r="L2" s="37" t="n">
        <v>2</v>
      </c>
      <c r="M2" s="37" t="n">
        <v>2</v>
      </c>
      <c r="N2" s="36" t="n">
        <f aca="false">IF($B2="","",MIN(70%,IF($I2&lt;=-15%,10%,IF($I2&lt;=-10%,30%,IF($M2&gt;=4,10%,IF($M2&gt;=3,30%,IF($J2="强",IF($K2="A",70%,IF($K2="B",60%,40%)),IF($J2="中性",IF($K2="A",50%,IF($K2="B",40%,25%)),IF($K2="A",30%,IF($K2="B",20%,10%))))))))))</f>
        <v>0.4</v>
      </c>
      <c r="O2" s="36" t="n">
        <f aca="false">IF($B2="","",IF(B2&lt;30000,35%,IF(B2&lt;50000,30%,IF(B2&lt;100000,25%,20%))))</f>
        <v>0.35</v>
      </c>
      <c r="P2" s="38" t="n">
        <f aca="false">IF($A2="","",COUNTIFS(持仓表!$A:$A,$A2,持仓表!$G:$G,"&gt;0"))</f>
        <v>0</v>
      </c>
      <c r="Q2" s="38" t="n">
        <f aca="false">IF($A2="","",COUNTIFS(持仓表!$A:$A,$A2,持仓表!$D:$D,"是",持仓表!$G:$G,"&gt;0"))</f>
        <v>0</v>
      </c>
      <c r="R2" s="38" t="n">
        <f aca="false">IF($A2="","",MAX(0,P2-Q2))</f>
        <v>0</v>
      </c>
      <c r="S2" s="38" t="n">
        <f aca="false">IF($B2="","",IF(B2&lt;50000,3,IF(B2&lt;100000,4,5)))</f>
        <v>3</v>
      </c>
      <c r="T2" s="39" t="str">
        <f aca="false">IF($A2="","",IF(OR(M2&gt;=4,I2&lt;=-8%),"防守",IF(OR(M2&gt;=2,I2&lt;=-5%),"警戒","正常")))</f>
        <v>警戒</v>
      </c>
      <c r="U2" s="39" t="str">
        <f aca="false">IF($A2="","",IF(AND(L2&gt;=3,M2&lt;=2,T2&lt;&gt;"防守"),"是","否"))</f>
        <v>否</v>
      </c>
      <c r="V2" s="39" t="str">
        <f aca="false">IF($A2="","",IF(AND(E2&lt;N2,R2&lt;S2,M2&lt;=2,I2&gt;-15%),"是","否"))</f>
        <v>是</v>
      </c>
      <c r="W2" s="39" t="str">
        <f aca="false">IF($A2="","",IF(OR(M2&gt;=3,I2&lt;=-15%),"是","否"))</f>
        <v>否</v>
      </c>
      <c r="X2" s="35" t="n">
        <f aca="false">IF($A2="","",IFERROR(maxifs(候选池!$AB:$AB,候选池!$A:$A,$A2),0))</f>
        <v>0</v>
      </c>
      <c r="Y2" s="35" t="n">
        <f aca="false">IF($A2="","",IF(OR(M2&gt;=4,I2&lt;=-8%),MAX(0,B2*60%-C2),IF(AND(ISNUMBER(AD2),B2&gt;AD2),IF(B2&lt;30000,0,IF(B2&lt;100000,MAX(0,(B2-AD2)*0.2),MAX(0,(B2-AD2)*0.3))),0)))</f>
        <v>0</v>
      </c>
      <c r="Z2" s="28"/>
      <c r="AA2" s="39" t="n">
        <v>6683.54</v>
      </c>
      <c r="AB2" s="40" t="n">
        <f aca="false">IF($A2="","",IF(B2&lt;30000,0.03,IF(B2&lt;100000,0.02,0.015)))</f>
        <v>0.03</v>
      </c>
      <c r="AC2" s="38" t="n">
        <f aca="false">IF($A2="","",IFERROR(DATEDIF($A$2,$A2,"m"),0))</f>
        <v>0</v>
      </c>
      <c r="AD2" s="35" t="n">
        <f aca="false">IF($A2="","",IF(OR(AA2="",AB2="",AC2=""),"",AA2*POWER(1+AB2,AC2)))</f>
        <v>6683.54</v>
      </c>
      <c r="AE2" s="41" t="n">
        <f aca="false">IF($A2="","",IF(OR(AD2="",AD2=0),"",B2/AD2-1))</f>
        <v>0</v>
      </c>
      <c r="AF2" s="1" t="n">
        <v>2</v>
      </c>
      <c r="AG2" s="1" t="str">
        <f aca="false">IF($A2="","",IF(B2&lt;30000,"婴儿",IF(B2&lt;100000,"成长","成熟")))</f>
        <v>婴儿</v>
      </c>
      <c r="AH2" s="42" t="n">
        <v>0.7073</v>
      </c>
      <c r="AI2" s="1" t="n">
        <v>38</v>
      </c>
      <c r="AJ2" s="42" t="n">
        <v>1</v>
      </c>
      <c r="AK2" s="42" t="n">
        <v>0.0002</v>
      </c>
      <c r="AL2" s="1" t="n">
        <v>0</v>
      </c>
      <c r="AM2" s="42" t="n">
        <v>0</v>
      </c>
      <c r="AN2" s="32" t="s">
        <v>322</v>
      </c>
      <c r="AO2" s="32" t="s">
        <v>323</v>
      </c>
      <c r="AP2" s="32" t="s">
        <v>324</v>
      </c>
      <c r="AQ2" s="43" t="n">
        <f aca="false">IF($A2="","",B2-$AA$2-SUM($F$2:F2))</f>
        <v>-2700</v>
      </c>
      <c r="AR2" s="1" t="n">
        <f aca="false">IF($A2="","",30000)</f>
        <v>30000</v>
      </c>
      <c r="AS2" s="1" t="n">
        <f aca="false">IF($A2="","",AR2-B2)</f>
        <v>23316.46</v>
      </c>
      <c r="AT2" s="1" t="n">
        <f aca="false">IF($A2="","",IFERROR(B2/AR2,0))</f>
        <v>0.222784666666667</v>
      </c>
      <c r="AU2" s="1" t="n">
        <f aca="false">IF($A2="","",IFERROR(B2*O2,0))</f>
        <v>2339.239</v>
      </c>
      <c r="AV2" s="1" t="n">
        <f aca="false">IF($A2="","",IFERROR(C2/B2,0))</f>
        <v>0</v>
      </c>
      <c r="AW2" s="1" t="n">
        <f aca="false">IF($A2="","",MAX(0,R2-S2))</f>
        <v>0</v>
      </c>
      <c r="AX2" s="1" t="str">
        <f aca="false">IF($A2="","",IF(AW2&gt;0,"优先降持仓数",IF(C2&lt;=0,"现金不足","允许评估")))</f>
        <v>现金不足</v>
      </c>
      <c r="AY2" s="1" t="str">
        <f aca="false">IF($A2="","",IF(B2&lt;30000,"婴儿阶段: 优先活下来,禁止单票失控,限制持仓数,服务3W目标","幼儿阶段达成"))</f>
        <v>婴儿阶段: 优先活下来,禁止单票失控,限制持仓数,服务3W目标</v>
      </c>
    </row>
    <row r="3" customFormat="false" ht="15" hidden="false" customHeight="true" outlineLevel="0" collapsed="false">
      <c r="A3" s="31" t="s">
        <v>325</v>
      </c>
      <c r="B3" s="44" t="n">
        <v>9520.45</v>
      </c>
      <c r="C3" s="44" t="n">
        <v>0</v>
      </c>
      <c r="D3" s="35" t="n">
        <f aca="false">IF($A3="","",SUMIFS(持仓表!$J:$J,持仓表!$A:$A,$A3))</f>
        <v>0</v>
      </c>
      <c r="E3" s="36" t="n">
        <f aca="false">IFERROR(D3/B3,0)</f>
        <v>0</v>
      </c>
      <c r="F3" s="44" t="n">
        <v>0</v>
      </c>
      <c r="G3" s="35" t="n">
        <f aca="false">IF($B3="","",MAX($B$2:B3))</f>
        <v>9520.45</v>
      </c>
      <c r="H3" s="36" t="n">
        <f aca="false">IFERROR((B3-$AA$2-SUM($F$2:F3))/($AA$2+SUM($F$2:F3)),0)</f>
        <v>0.0145904424129913</v>
      </c>
      <c r="I3" s="36" t="n">
        <f aca="false">IFERROR((B3-G3)/G3,0)</f>
        <v>0</v>
      </c>
      <c r="J3" s="30" t="s">
        <v>326</v>
      </c>
      <c r="K3" s="31" t="s">
        <v>327</v>
      </c>
      <c r="L3" s="45" t="n">
        <v>3</v>
      </c>
      <c r="M3" s="45" t="n">
        <v>1</v>
      </c>
      <c r="N3" s="36" t="n">
        <f aca="false">IF($B3="","",MIN(70%,IF($I3&lt;=-15%,10%,IF($I3&lt;=-10%,30%,IF($M3&gt;=4,10%,IF($M3&gt;=3,30%,IF($J3="强",IF($K3="A",70%,IF($K3="B",60%,40%)),IF($J3="中性",IF($K3="A",50%,IF($K3="B",40%,25%)),IF($K3="A",30%,IF($K3="B",20%,10%))))))))))</f>
        <v>0.7</v>
      </c>
      <c r="O3" s="36" t="n">
        <f aca="false">IF($B3="","",IF(B3&lt;30000,35%,IF(B3&lt;50000,30%,IF(B3&lt;100000,25%,20%))))</f>
        <v>0.35</v>
      </c>
      <c r="P3" s="38" t="n">
        <f aca="false">IF($A3="","",COUNTIFS(持仓表!$A:$A,$A3,持仓表!$G:$G,"&gt;0"))</f>
        <v>0</v>
      </c>
      <c r="Q3" s="38" t="n">
        <f aca="false">IF($A3="","",COUNTIFS(持仓表!$A:$A,$A3,持仓表!$D:$D,"是",持仓表!$G:$G,"&gt;0"))</f>
        <v>0</v>
      </c>
      <c r="R3" s="38" t="n">
        <f aca="false">IF($A3="","",MAX(0,P3-Q3))</f>
        <v>0</v>
      </c>
      <c r="S3" s="38" t="n">
        <f aca="false">IF($B3="","",IF(B3&lt;50000,3,IF(B3&lt;100000,4,5)))</f>
        <v>3</v>
      </c>
      <c r="T3" s="39" t="str">
        <f aca="false">IF($A3="","",IF(OR(M3&gt;=4,I3&lt;=-8%),"防守",IF(OR(M3&gt;=2,I3&lt;=-5%),"警戒","正常")))</f>
        <v>正常</v>
      </c>
      <c r="U3" s="39" t="str">
        <f aca="false">IF($A3="","",IF(AND(L3&gt;=3,M3&lt;=2,T3&lt;&gt;"防守"),"是","否"))</f>
        <v>是</v>
      </c>
      <c r="V3" s="39" t="str">
        <f aca="false">IF($A3="","",IF(AND(E3&lt;N3,R3&lt;S3,M3&lt;=2,I3&gt;-15%),"是","否"))</f>
        <v>是</v>
      </c>
      <c r="W3" s="39" t="str">
        <f aca="false">IF($A3="","",IF(OR(M3&gt;=3,I3&lt;=-15%),"是","否"))</f>
        <v>否</v>
      </c>
      <c r="X3" s="35" t="n">
        <f aca="false">IF($A3="","",IFERROR(maxifs(候选池!$AB:$AB,候选池!$A:$A,$A3),0))</f>
        <v>0</v>
      </c>
      <c r="Y3" s="35" t="n">
        <f aca="false">IF($A3="","",IF(OR(M3&gt;=4,I3&lt;=-8%),MAX(0,B3*60%-C3),IF(AND(ISNUMBER(AD3),B3&gt;AD3),IF(B3&lt;30000,0,IF(B3&lt;100000,MAX(0,(B3-AD3)*0.2),MAX(0,(B3-AD3)*0.3))),0)))</f>
        <v>0</v>
      </c>
      <c r="Z3" s="30"/>
      <c r="AA3" s="39" t="n">
        <f aca="false">IF($A3="","",IF($AA$2&lt;&gt;"",$AA$2,""))</f>
        <v>6683.54</v>
      </c>
      <c r="AB3" s="46" t="n">
        <f aca="false">IF($A3="","",IF(B3&lt;30000,0.03,IF(B3&lt;100000,0.02,0.015)))</f>
        <v>0.03</v>
      </c>
      <c r="AC3" s="38" t="n">
        <f aca="false">IF($A3="","",IFERROR(DATEDIF($A$2,$A3,"m"),0))</f>
        <v>0</v>
      </c>
      <c r="AD3" s="35" t="n">
        <f aca="false">IF($A3="","",IF(OR(AA3="",AB3="",AC3=""),"",AA3*POWER(1+AB3,AC3)))</f>
        <v>6683.54</v>
      </c>
      <c r="AE3" s="47" t="n">
        <f aca="false">IF($A3="","",IF(OR(AD3="",AD3=0),"",B3/AD3-1))</f>
        <v>0.424462186206711</v>
      </c>
      <c r="AF3" s="1" t="n">
        <v>1</v>
      </c>
      <c r="AG3" s="1" t="str">
        <f aca="false">IF($A3="","",IF(B3&lt;30000,"婴儿",IF(B3&lt;100000,"成长","成熟")))</f>
        <v>婴儿</v>
      </c>
      <c r="AH3" s="42" t="n">
        <v>0.5625</v>
      </c>
      <c r="AI3" s="1" t="n">
        <v>62</v>
      </c>
      <c r="AJ3" s="42" t="n">
        <v>1</v>
      </c>
      <c r="AK3" s="42" t="n">
        <v>0.2272</v>
      </c>
      <c r="AL3" s="1" t="n">
        <v>0</v>
      </c>
      <c r="AM3" s="42" t="n">
        <v>0</v>
      </c>
      <c r="AN3" s="32" t="s">
        <v>328</v>
      </c>
      <c r="AO3" s="32" t="s">
        <v>329</v>
      </c>
      <c r="AP3" s="32" t="s">
        <v>206</v>
      </c>
      <c r="AQ3" s="43" t="n">
        <f aca="false">IF($A3="","",B3-$AA$2-SUM($F$2:F3))</f>
        <v>136.910000000001</v>
      </c>
      <c r="AR3" s="1" t="n">
        <f aca="false">IF($A3="","",30000)</f>
        <v>30000</v>
      </c>
      <c r="AS3" s="1" t="n">
        <f aca="false">IF($A3="","",AR3-B3)</f>
        <v>20479.55</v>
      </c>
      <c r="AT3" s="1" t="n">
        <f aca="false">IF($A3="","",IFERROR(B3/AR3,0))</f>
        <v>0.317348333333333</v>
      </c>
      <c r="AU3" s="1" t="n">
        <f aca="false">IF($A3="","",IFERROR(B3*O3,0))</f>
        <v>3332.1575</v>
      </c>
      <c r="AV3" s="1" t="n">
        <f aca="false">IF($A3="","",IFERROR(C3/B3,0))</f>
        <v>0</v>
      </c>
      <c r="AW3" s="1" t="n">
        <f aca="false">IF($A3="","",MAX(0,R3-S3))</f>
        <v>0</v>
      </c>
      <c r="AX3" s="1" t="str">
        <f aca="false">IF($A3="","",IF(AW3&gt;0,"优先降持仓数",IF(C3&lt;=0,"现金不足","允许评估")))</f>
        <v>现金不足</v>
      </c>
      <c r="AY3" s="1" t="str">
        <f aca="false">IF($A3="","",IF(B3&lt;30000,"婴儿阶段: 优先活下来,禁止单票失控,限制持仓数,服务3W目标","幼儿阶段达成"))</f>
        <v>婴儿阶段: 优先活下来,禁止单票失控,限制持仓数,服务3W目标</v>
      </c>
    </row>
    <row r="4" customFormat="false" ht="15" hidden="false" customHeight="true" outlineLevel="0" collapsed="false">
      <c r="A4" s="29" t="s">
        <v>330</v>
      </c>
      <c r="B4" s="34" t="n">
        <v>11454.37</v>
      </c>
      <c r="C4" s="34" t="n">
        <v>0</v>
      </c>
      <c r="D4" s="35" t="n">
        <f aca="false">IF($A4="","",SUMIFS(持仓表!$J:$J,持仓表!$A:$A,$A4))</f>
        <v>0</v>
      </c>
      <c r="E4" s="36" t="n">
        <f aca="false">IFERROR(D4/B4,0)</f>
        <v>0</v>
      </c>
      <c r="F4" s="34" t="n">
        <v>0</v>
      </c>
      <c r="G4" s="35" t="n">
        <f aca="false">IF($B4="","",MAX($B$2:B4))</f>
        <v>11454.37</v>
      </c>
      <c r="H4" s="36" t="n">
        <f aca="false">IFERROR((B4-$AA$2-SUM($F$2:F4))/($AA$2+SUM($F$2:F4)),0)</f>
        <v>0.220687501731756</v>
      </c>
      <c r="I4" s="36" t="n">
        <f aca="false">IFERROR((B4-G4)/G4,0)</f>
        <v>0</v>
      </c>
      <c r="J4" s="28" t="s">
        <v>331</v>
      </c>
      <c r="K4" s="29" t="s">
        <v>332</v>
      </c>
      <c r="L4" s="37" t="n">
        <v>1</v>
      </c>
      <c r="M4" s="37" t="n">
        <v>3</v>
      </c>
      <c r="N4" s="36" t="n">
        <f aca="false">IF($B4="","",MIN(70%,IF($I4&lt;=-15%,10%,IF($I4&lt;=-10%,30%,IF($M4&gt;=4,10%,IF($M4&gt;=3,30%,IF($J4="强",IF($K4="A",70%,IF($K4="B",60%,40%)),IF($J4="中性",IF($K4="A",50%,IF($K4="B",40%,25%)),IF($K4="A",30%,IF($K4="B",20%,10%))))))))))</f>
        <v>0.3</v>
      </c>
      <c r="O4" s="36" t="n">
        <f aca="false">IF($B4="","",IF(B4&lt;30000,35%,IF(B4&lt;50000,30%,IF(B4&lt;100000,25%,20%))))</f>
        <v>0.35</v>
      </c>
      <c r="P4" s="38" t="n">
        <f aca="false">IF($A4="","",COUNTIFS(持仓表!$A:$A,$A4,持仓表!$G:$G,"&gt;0"))</f>
        <v>0</v>
      </c>
      <c r="Q4" s="38" t="n">
        <f aca="false">IF($A4="","",COUNTIFS(持仓表!$A:$A,$A4,持仓表!$D:$D,"是",持仓表!$G:$G,"&gt;0"))</f>
        <v>0</v>
      </c>
      <c r="R4" s="38" t="n">
        <f aca="false">IF($A4="","",MAX(0,P4-Q4))</f>
        <v>0</v>
      </c>
      <c r="S4" s="38" t="n">
        <f aca="false">IF($B4="","",IF(B4&lt;50000,3,IF(B4&lt;100000,4,5)))</f>
        <v>3</v>
      </c>
      <c r="T4" s="39" t="str">
        <f aca="false">IF($A4="","",IF(OR(M4&gt;=4,I4&lt;=-8%),"防守",IF(OR(M4&gt;=2,I4&lt;=-5%),"警戒","正常")))</f>
        <v>警戒</v>
      </c>
      <c r="U4" s="39" t="str">
        <f aca="false">IF($A4="","",IF(AND(L4&gt;=3,M4&lt;=2,T4&lt;&gt;"防守"),"是","否"))</f>
        <v>否</v>
      </c>
      <c r="V4" s="39" t="str">
        <f aca="false">IF($A4="","",IF(AND(E4&lt;N4,R4&lt;S4,M4&lt;=2,I4&gt;-15%),"是","否"))</f>
        <v>否</v>
      </c>
      <c r="W4" s="39" t="str">
        <f aca="false">IF($A4="","",IF(OR(M4&gt;=3,I4&lt;=-15%),"是","否"))</f>
        <v>是</v>
      </c>
      <c r="X4" s="35" t="n">
        <f aca="false">IF($A4="","",IFERROR(maxifs(候选池!$AB:$AB,候选池!$A:$A,$A4),0))</f>
        <v>0</v>
      </c>
      <c r="Y4" s="35" t="n">
        <f aca="false">IF($A4="","",IF(OR(M4&gt;=4,I4&lt;=-8%),MAX(0,B4*60%-C4),IF(AND(ISNUMBER(AD4),B4&gt;AD4),IF(B4&lt;30000,0,IF(B4&lt;100000,MAX(0,(B4-AD4)*0.2),MAX(0,(B4-AD4)*0.3))),0)))</f>
        <v>0</v>
      </c>
      <c r="Z4" s="28"/>
      <c r="AA4" s="39" t="n">
        <f aca="false">IF($A4="","",IF($AA$2&lt;&gt;"",$AA$2,""))</f>
        <v>6683.54</v>
      </c>
      <c r="AB4" s="40" t="n">
        <f aca="false">IF($A4="","",IF(B4&lt;30000,0.03,IF(B4&lt;100000,0.02,0.015)))</f>
        <v>0.03</v>
      </c>
      <c r="AC4" s="38" t="n">
        <f aca="false">IF($A4="","",IFERROR(DATEDIF($A$2,$A4,"m"),0))</f>
        <v>2</v>
      </c>
      <c r="AD4" s="35" t="n">
        <f aca="false">IF($A4="","",IF(OR(AA4="",AB4="",AC4=""),"",AA4*POWER(1+AB4,AC4)))</f>
        <v>7090.567586</v>
      </c>
      <c r="AE4" s="41" t="n">
        <f aca="false">IF($A4="","",IF(OR(AD4="",AD4=0),"",B4/AD4-1))</f>
        <v>0.615437672805789</v>
      </c>
      <c r="AF4" s="1" t="n">
        <v>0</v>
      </c>
      <c r="AG4" s="1" t="str">
        <f aca="false">IF($A4="","",IF(B4&lt;30000,"婴儿",IF(B4&lt;100000,"成长","成熟")))</f>
        <v>婴儿</v>
      </c>
      <c r="AH4" s="42" t="n">
        <v>0.7306</v>
      </c>
      <c r="AI4" s="1" t="n">
        <v>0</v>
      </c>
      <c r="AJ4" s="42" t="n">
        <v>0</v>
      </c>
      <c r="AK4" s="42" t="n">
        <v>0</v>
      </c>
      <c r="AL4" s="1" t="n">
        <v>2</v>
      </c>
      <c r="AM4" s="42" t="n">
        <v>1</v>
      </c>
      <c r="AN4" s="32" t="s">
        <v>328</v>
      </c>
      <c r="AO4" s="32" t="s">
        <v>329</v>
      </c>
      <c r="AP4" s="32" t="s">
        <v>206</v>
      </c>
      <c r="AQ4" s="43" t="n">
        <f aca="false">IF($A4="","",B4-$AA$2-SUM($F$2:F4))</f>
        <v>2070.83</v>
      </c>
      <c r="AR4" s="1" t="n">
        <f aca="false">IF($A4="","",30000)</f>
        <v>30000</v>
      </c>
      <c r="AS4" s="1" t="n">
        <f aca="false">IF($A4="","",AR4-B4)</f>
        <v>18545.63</v>
      </c>
      <c r="AT4" s="1" t="n">
        <f aca="false">IF($A4="","",IFERROR(B4/AR4,0))</f>
        <v>0.381812333333333</v>
      </c>
      <c r="AU4" s="1" t="n">
        <f aca="false">IF($A4="","",IFERROR(B4*O4,0))</f>
        <v>4009.0295</v>
      </c>
      <c r="AV4" s="1" t="n">
        <f aca="false">IF($A4="","",IFERROR(C4/B4,0))</f>
        <v>0</v>
      </c>
      <c r="AW4" s="1" t="n">
        <f aca="false">IF($A4="","",MAX(0,R4-S4))</f>
        <v>0</v>
      </c>
      <c r="AX4" s="1" t="str">
        <f aca="false">IF($A4="","",IF(AW4&gt;0,"优先降持仓数",IF(C4&lt;=0,"现金不足","允许评估")))</f>
        <v>现金不足</v>
      </c>
      <c r="AY4" s="1" t="str">
        <f aca="false">IF($A4="","",IF(B4&lt;30000,"婴儿阶段: 优先活下来,禁止单票失控,限制持仓数,服务3W目标","幼儿阶段达成"))</f>
        <v>婴儿阶段: 优先活下来,禁止单票失控,限制持仓数,服务3W目标</v>
      </c>
    </row>
    <row r="5" customFormat="false" ht="15" hidden="false" customHeight="true" outlineLevel="0" collapsed="false">
      <c r="A5" s="31" t="s">
        <v>333</v>
      </c>
      <c r="B5" s="44" t="n">
        <v>14148.37</v>
      </c>
      <c r="C5" s="44" t="n">
        <v>0</v>
      </c>
      <c r="D5" s="35" t="n">
        <f aca="false">IF($A5="","",SUMIFS(持仓表!$J:$J,持仓表!$A:$A,$A5))</f>
        <v>0</v>
      </c>
      <c r="E5" s="36" t="n">
        <f aca="false">IFERROR(D5/B5,0)</f>
        <v>0</v>
      </c>
      <c r="F5" s="44" t="n">
        <v>0</v>
      </c>
      <c r="G5" s="35" t="n">
        <f aca="false">IF($B5="","",MAX($B$2:B5))</f>
        <v>14148.37</v>
      </c>
      <c r="H5" s="36" t="n">
        <f aca="false">IFERROR((B5-$AA$2-SUM($F$2:F5))/($AA$2+SUM($F$2:F5)),0)</f>
        <v>0.507785974163269</v>
      </c>
      <c r="I5" s="36" t="n">
        <f aca="false">IFERROR((B5-G5)/G5,0)</f>
        <v>0</v>
      </c>
      <c r="J5" s="30" t="s">
        <v>326</v>
      </c>
      <c r="K5" s="31" t="s">
        <v>327</v>
      </c>
      <c r="L5" s="45" t="n">
        <v>4</v>
      </c>
      <c r="M5" s="45" t="n">
        <v>1</v>
      </c>
      <c r="N5" s="36" t="n">
        <f aca="false">IF($B5="","",MIN(70%,IF($I5&lt;=-15%,10%,IF($I5&lt;=-10%,30%,IF($M5&gt;=4,10%,IF($M5&gt;=3,30%,IF($J5="强",IF($K5="A",70%,IF($K5="B",60%,40%)),IF($J5="中性",IF($K5="A",50%,IF($K5="B",40%,25%)),IF($K5="A",30%,IF($K5="B",20%,10%))))))))))</f>
        <v>0.7</v>
      </c>
      <c r="O5" s="36" t="n">
        <f aca="false">IF($B5="","",IF(B5&lt;30000,35%,IF(B5&lt;50000,30%,IF(B5&lt;100000,25%,20%))))</f>
        <v>0.35</v>
      </c>
      <c r="P5" s="38" t="n">
        <f aca="false">IF($A5="","",COUNTIFS(持仓表!$A:$A,$A5,持仓表!$G:$G,"&gt;0"))</f>
        <v>0</v>
      </c>
      <c r="Q5" s="38" t="n">
        <f aca="false">IF($A5="","",COUNTIFS(持仓表!$A:$A,$A5,持仓表!$D:$D,"是",持仓表!$G:$G,"&gt;0"))</f>
        <v>0</v>
      </c>
      <c r="R5" s="38" t="n">
        <f aca="false">IF($A5="","",MAX(0,P5-Q5))</f>
        <v>0</v>
      </c>
      <c r="S5" s="38" t="n">
        <f aca="false">IF($B5="","",IF(B5&lt;50000,3,IF(B5&lt;100000,4,5)))</f>
        <v>3</v>
      </c>
      <c r="T5" s="39" t="str">
        <f aca="false">IF($A5="","",IF(OR(M5&gt;=4,I5&lt;=-8%),"防守",IF(OR(M5&gt;=2,I5&lt;=-5%),"警戒","正常")))</f>
        <v>正常</v>
      </c>
      <c r="U5" s="39" t="str">
        <f aca="false">IF($A5="","",IF(AND(L5&gt;=3,M5&lt;=2,T5&lt;&gt;"防守"),"是","否"))</f>
        <v>是</v>
      </c>
      <c r="V5" s="39" t="str">
        <f aca="false">IF($A5="","",IF(AND(E5&lt;N5,R5&lt;S5,M5&lt;=2,I5&gt;-15%),"是","否"))</f>
        <v>是</v>
      </c>
      <c r="W5" s="39" t="str">
        <f aca="false">IF($A5="","",IF(OR(M5&gt;=3,I5&lt;=-15%),"是","否"))</f>
        <v>否</v>
      </c>
      <c r="X5" s="35" t="n">
        <f aca="false">IF($A5="","",IFERROR(maxifs(候选池!$AB:$AB,候选池!$A:$A,$A5),0))</f>
        <v>0</v>
      </c>
      <c r="Y5" s="35" t="n">
        <f aca="false">IF($A5="","",IF(OR(M5&gt;=4,I5&lt;=-8%),MAX(0,B5*60%-C5),IF(AND(ISNUMBER(AD5),B5&gt;AD5),IF(B5&lt;30000,0,IF(B5&lt;100000,MAX(0,(B5-AD5)*0.2),MAX(0,(B5-AD5)*0.3))),0)))</f>
        <v>0</v>
      </c>
      <c r="Z5" s="30"/>
      <c r="AA5" s="39" t="n">
        <f aca="false">IF($A5="","",IF($AA$2&lt;&gt;"",$AA$2,""))</f>
        <v>6683.54</v>
      </c>
      <c r="AB5" s="46" t="n">
        <f aca="false">IF($A5="","",IF(B5&lt;30000,0.03,IF(B5&lt;100000,0.02,0.015)))</f>
        <v>0.03</v>
      </c>
      <c r="AC5" s="38" t="n">
        <f aca="false">IF($A5="","",IFERROR(DATEDIF($A$2,$A5,"m"),0))</f>
        <v>2</v>
      </c>
      <c r="AD5" s="35" t="n">
        <f aca="false">IF($A5="","",IF(OR(AA5="",AB5="",AC5=""),"",AA5*POWER(1+AB5,AC5)))</f>
        <v>7090.567586</v>
      </c>
      <c r="AE5" s="47" t="n">
        <f aca="false">IF($A5="","",IF(OR(AD5="",AD5=0),"",B5/AD5-1))</f>
        <v>0.995379048065956</v>
      </c>
      <c r="AF5" s="1" t="n">
        <v>2</v>
      </c>
      <c r="AG5" s="1" t="str">
        <f aca="false">IF($A5="","",IF(B5&lt;30000,"婴儿",IF(B5&lt;100000,"成长","成熟")))</f>
        <v>婴儿</v>
      </c>
      <c r="AH5" s="42" t="n">
        <v>0.7543</v>
      </c>
      <c r="AI5" s="1" t="n">
        <v>0</v>
      </c>
      <c r="AJ5" s="42" t="n">
        <v>0</v>
      </c>
      <c r="AK5" s="42" t="n">
        <v>0</v>
      </c>
      <c r="AL5" s="1" t="n">
        <v>0</v>
      </c>
      <c r="AM5" s="42" t="n">
        <v>0</v>
      </c>
      <c r="AN5" s="32" t="s">
        <v>328</v>
      </c>
      <c r="AO5" s="32" t="s">
        <v>329</v>
      </c>
      <c r="AP5" s="32" t="s">
        <v>206</v>
      </c>
      <c r="AQ5" s="43" t="n">
        <f aca="false">IF($A5="","",B5-$AA$2-SUM($F$2:F5))</f>
        <v>4764.83</v>
      </c>
      <c r="AR5" s="1" t="n">
        <f aca="false">IF($A5="","",30000)</f>
        <v>30000</v>
      </c>
      <c r="AS5" s="1" t="n">
        <f aca="false">IF($A5="","",AR5-B5)</f>
        <v>15851.63</v>
      </c>
      <c r="AT5" s="1" t="n">
        <f aca="false">IF($A5="","",IFERROR(B5/AR5,0))</f>
        <v>0.471612333333333</v>
      </c>
      <c r="AU5" s="1" t="n">
        <f aca="false">IF($A5="","",IFERROR(B5*O5,0))</f>
        <v>4951.9295</v>
      </c>
      <c r="AV5" s="1" t="n">
        <f aca="false">IF($A5="","",IFERROR(C5/B5,0))</f>
        <v>0</v>
      </c>
      <c r="AW5" s="1" t="n">
        <f aca="false">IF($A5="","",MAX(0,R5-S5))</f>
        <v>0</v>
      </c>
      <c r="AX5" s="1" t="str">
        <f aca="false">IF($A5="","",IF(AW5&gt;0,"优先降持仓数",IF(C5&lt;=0,"现金不足","允许评估")))</f>
        <v>现金不足</v>
      </c>
      <c r="AY5" s="1" t="str">
        <f aca="false">IF($A5="","",IF(B5&lt;30000,"婴儿阶段: 优先活下来,禁止单票失控,限制持仓数,服务3W目标","幼儿阶段达成"))</f>
        <v>婴儿阶段: 优先活下来,禁止单票失控,限制持仓数,服务3W目标</v>
      </c>
    </row>
    <row r="6" customFormat="false" ht="15" hidden="false" customHeight="true" outlineLevel="0" collapsed="false">
      <c r="A6" s="29" t="s">
        <v>334</v>
      </c>
      <c r="B6" s="34" t="n">
        <v>17086.37</v>
      </c>
      <c r="C6" s="34" t="n">
        <v>0</v>
      </c>
      <c r="D6" s="35" t="n">
        <f aca="false">IF($A6="","",SUMIFS(持仓表!$J:$J,持仓表!$A:$A,$A6))</f>
        <v>0</v>
      </c>
      <c r="E6" s="36" t="n">
        <f aca="false">IFERROR(D6/B6,0)</f>
        <v>0</v>
      </c>
      <c r="F6" s="34" t="n">
        <v>0</v>
      </c>
      <c r="G6" s="35" t="n">
        <f aca="false">IF($B6="","",MAX($B$2:B6))</f>
        <v>17086.37</v>
      </c>
      <c r="H6" s="36" t="n">
        <f aca="false">IFERROR((B6-$AA$2-SUM($F$2:F6))/($AA$2+SUM($F$2:F6)),0)</f>
        <v>0.820887426280487</v>
      </c>
      <c r="I6" s="36" t="n">
        <f aca="false">IFERROR((B6-G6)/G6,0)</f>
        <v>0</v>
      </c>
      <c r="J6" s="28" t="s">
        <v>326</v>
      </c>
      <c r="K6" s="29" t="s">
        <v>327</v>
      </c>
      <c r="L6" s="37" t="n">
        <v>4</v>
      </c>
      <c r="M6" s="37" t="n">
        <v>1</v>
      </c>
      <c r="N6" s="36" t="n">
        <f aca="false">IF($B6="","",MIN(70%,IF($I6&lt;=-15%,10%,IF($I6&lt;=-10%,30%,IF($M6&gt;=4,10%,IF($M6&gt;=3,30%,IF($J6="强",IF($K6="A",70%,IF($K6="B",60%,40%)),IF($J6="中性",IF($K6="A",50%,IF($K6="B",40%,25%)),IF($K6="A",30%,IF($K6="B",20%,10%))))))))))</f>
        <v>0.7</v>
      </c>
      <c r="O6" s="36" t="n">
        <f aca="false">IF($B6="","",IF(B6&lt;30000,35%,IF(B6&lt;50000,30%,IF(B6&lt;100000,25%,20%))))</f>
        <v>0.35</v>
      </c>
      <c r="P6" s="38" t="n">
        <f aca="false">IF($A6="","",COUNTIFS(持仓表!$A:$A,$A6,持仓表!$G:$G,"&gt;0"))</f>
        <v>0</v>
      </c>
      <c r="Q6" s="38" t="n">
        <f aca="false">IF($A6="","",COUNTIFS(持仓表!$A:$A,$A6,持仓表!$D:$D,"是",持仓表!$G:$G,"&gt;0"))</f>
        <v>0</v>
      </c>
      <c r="R6" s="38" t="n">
        <f aca="false">IF($A6="","",MAX(0,P6-Q6))</f>
        <v>0</v>
      </c>
      <c r="S6" s="38" t="n">
        <f aca="false">IF($B6="","",IF(B6&lt;50000,3,IF(B6&lt;100000,4,5)))</f>
        <v>3</v>
      </c>
      <c r="T6" s="39" t="str">
        <f aca="false">IF($A6="","",IF(OR(M6&gt;=4,I6&lt;=-8%),"防守",IF(OR(M6&gt;=2,I6&lt;=-5%),"警戒","正常")))</f>
        <v>正常</v>
      </c>
      <c r="U6" s="39" t="str">
        <f aca="false">IF($A6="","",IF(AND(L6&gt;=3,M6&lt;=2,T6&lt;&gt;"防守"),"是","否"))</f>
        <v>是</v>
      </c>
      <c r="V6" s="39" t="str">
        <f aca="false">IF($A6="","",IF(AND(E6&lt;N6,R6&lt;S6,M6&lt;=2,I6&gt;-15%),"是","否"))</f>
        <v>是</v>
      </c>
      <c r="W6" s="39" t="str">
        <f aca="false">IF($A6="","",IF(OR(M6&gt;=3,I6&lt;=-15%),"是","否"))</f>
        <v>否</v>
      </c>
      <c r="X6" s="35" t="n">
        <f aca="false">IF($A6="","",IFERROR(maxifs(候选池!$AB:$AB,候选池!$A:$A,$A6),0))</f>
        <v>0</v>
      </c>
      <c r="Y6" s="35" t="n">
        <f aca="false">IF($A6="","",IF(OR(M6&gt;=4,I6&lt;=-8%),MAX(0,B6*60%-C6),IF(AND(ISNUMBER(AD6),B6&gt;AD6),IF(B6&lt;30000,0,IF(B6&lt;100000,MAX(0,(B6-AD6)*0.2),MAX(0,(B6-AD6)*0.3))),0)))</f>
        <v>0</v>
      </c>
      <c r="Z6" s="28"/>
      <c r="AA6" s="39" t="n">
        <f aca="false">IF($A6="","",IF($AA$2&lt;&gt;"",$AA$2,""))</f>
        <v>6683.54</v>
      </c>
      <c r="AB6" s="40" t="n">
        <f aca="false">IF($A6="","",IF(B6&lt;30000,0.03,IF(B6&lt;100000,0.02,0.015)))</f>
        <v>0.03</v>
      </c>
      <c r="AC6" s="38" t="n">
        <f aca="false">IF($A6="","",IFERROR(DATEDIF($A$2,$A6,"m"),0))</f>
        <v>4</v>
      </c>
      <c r="AD6" s="35" t="n">
        <f aca="false">IF($A6="","",IF(OR(AA6="",AB6="",AC6=""),"",AA6*POWER(1+AB6,AC6)))</f>
        <v>7522.3831519874</v>
      </c>
      <c r="AE6" s="41" t="n">
        <f aca="false">IF($A6="","",IF(OR(AD6="",AD6=0),"",B6/AD6-1))</f>
        <v>1.27140384300763</v>
      </c>
      <c r="AF6" s="1" t="n">
        <v>1</v>
      </c>
      <c r="AG6" s="1" t="str">
        <f aca="false">IF($A6="","",IF(B6&lt;30000,"婴儿",IF(B6&lt;100000,"成长","成熟")))</f>
        <v>婴儿</v>
      </c>
      <c r="AH6" s="42" t="n">
        <v>0.7849</v>
      </c>
      <c r="AI6" s="1" t="n">
        <v>0</v>
      </c>
      <c r="AJ6" s="42" t="n">
        <v>0</v>
      </c>
      <c r="AK6" s="42" t="n">
        <v>0</v>
      </c>
      <c r="AL6" s="1" t="n">
        <v>0</v>
      </c>
      <c r="AM6" s="42" t="n">
        <v>0</v>
      </c>
      <c r="AN6" s="32" t="s">
        <v>335</v>
      </c>
      <c r="AO6" s="32" t="s">
        <v>336</v>
      </c>
      <c r="AP6" s="32" t="s">
        <v>206</v>
      </c>
      <c r="AQ6" s="43" t="n">
        <f aca="false">IF($A6="","",B6-$AA$2-SUM($F$2:F6))</f>
        <v>7702.83</v>
      </c>
      <c r="AR6" s="1" t="n">
        <f aca="false">IF($A6="","",30000)</f>
        <v>30000</v>
      </c>
      <c r="AS6" s="1" t="n">
        <f aca="false">IF($A6="","",AR6-B6)</f>
        <v>12913.63</v>
      </c>
      <c r="AT6" s="1" t="n">
        <f aca="false">IF($A6="","",IFERROR(B6/AR6,0))</f>
        <v>0.569545666666667</v>
      </c>
      <c r="AU6" s="1" t="n">
        <f aca="false">IF($A6="","",IFERROR(B6*O6,0))</f>
        <v>5980.2295</v>
      </c>
      <c r="AV6" s="1" t="n">
        <f aca="false">IF($A6="","",IFERROR(C6/B6,0))</f>
        <v>0</v>
      </c>
      <c r="AW6" s="1" t="n">
        <f aca="false">IF($A6="","",MAX(0,R6-S6))</f>
        <v>0</v>
      </c>
      <c r="AX6" s="1" t="str">
        <f aca="false">IF($A6="","",IF(AW6&gt;0,"优先降持仓数",IF(C6&lt;=0,"现金不足","允许评估")))</f>
        <v>现金不足</v>
      </c>
      <c r="AY6" s="1" t="str">
        <f aca="false">IF($A6="","",IF(B6&lt;30000,"婴儿阶段: 优先活下来,禁止单票失控,限制持仓数,服务3W目标","幼儿阶段达成"))</f>
        <v>婴儿阶段: 优先活下来,禁止单票失控,限制持仓数,服务3W目标</v>
      </c>
    </row>
    <row r="7" customFormat="false" ht="15" hidden="false" customHeight="true" outlineLevel="0" collapsed="false">
      <c r="A7" s="31" t="s">
        <v>337</v>
      </c>
      <c r="B7" s="44" t="n">
        <v>18504</v>
      </c>
      <c r="C7" s="44" t="n">
        <v>0</v>
      </c>
      <c r="D7" s="35" t="n">
        <f aca="false">IF($A7="","",SUMIFS(持仓表!$J:$J,持仓表!$A:$A,$A7))</f>
        <v>0</v>
      </c>
      <c r="E7" s="36" t="n">
        <f aca="false">IFERROR(D7/B7,0)</f>
        <v>0</v>
      </c>
      <c r="F7" s="44" t="n">
        <v>0</v>
      </c>
      <c r="G7" s="35" t="n">
        <f aca="false">IF($B7="","",MAX($B$2:B7))</f>
        <v>18504</v>
      </c>
      <c r="H7" s="36" t="n">
        <f aca="false">IFERROR((B7-$AA$2-SUM($F$2:F7))/($AA$2+SUM($F$2:F7)),0)</f>
        <v>0.971963672558544</v>
      </c>
      <c r="I7" s="36" t="n">
        <f aca="false">IFERROR((B7-G7)/G7,0)</f>
        <v>0</v>
      </c>
      <c r="J7" s="30" t="s">
        <v>320</v>
      </c>
      <c r="K7" s="31" t="s">
        <v>321</v>
      </c>
      <c r="L7" s="45" t="n">
        <v>3</v>
      </c>
      <c r="M7" s="45" t="n">
        <v>2</v>
      </c>
      <c r="N7" s="36" t="n">
        <f aca="false">IF($B7="","",MIN(70%,IF($I7&lt;=-15%,10%,IF($I7&lt;=-10%,30%,IF($M7&gt;=4,10%,IF($M7&gt;=3,30%,IF($J7="强",IF($K7="A",70%,IF($K7="B",60%,40%)),IF($J7="中性",IF($K7="A",50%,IF($K7="B",40%,25%)),IF($K7="A",30%,IF($K7="B",20%,10%))))))))))</f>
        <v>0.4</v>
      </c>
      <c r="O7" s="36" t="n">
        <f aca="false">IF($B7="","",IF(B7&lt;30000,35%,IF(B7&lt;50000,30%,IF(B7&lt;100000,25%,20%))))</f>
        <v>0.35</v>
      </c>
      <c r="P7" s="38" t="n">
        <f aca="false">IF($A7="","",COUNTIFS(持仓表!$A:$A,$A7,持仓表!$G:$G,"&gt;0"))</f>
        <v>0</v>
      </c>
      <c r="Q7" s="38" t="n">
        <f aca="false">IF($A7="","",COUNTIFS(持仓表!$A:$A,$A7,持仓表!$D:$D,"是",持仓表!$G:$G,"&gt;0"))</f>
        <v>0</v>
      </c>
      <c r="R7" s="38" t="n">
        <f aca="false">IF($A7="","",MAX(0,P7-Q7))</f>
        <v>0</v>
      </c>
      <c r="S7" s="38" t="n">
        <f aca="false">IF($B7="","",IF(B7&lt;50000,3,IF(B7&lt;100000,4,5)))</f>
        <v>3</v>
      </c>
      <c r="T7" s="39" t="str">
        <f aca="false">IF($A7="","",IF(OR(M7&gt;=4,I7&lt;=-8%),"防守",IF(OR(M7&gt;=2,I7&lt;=-5%),"警戒","正常")))</f>
        <v>警戒</v>
      </c>
      <c r="U7" s="39" t="str">
        <f aca="false">IF($A7="","",IF(AND(L7&gt;=3,M7&lt;=2,T7&lt;&gt;"防守"),"是","否"))</f>
        <v>是</v>
      </c>
      <c r="V7" s="39" t="str">
        <f aca="false">IF($A7="","",IF(AND(E7&lt;N7,R7&lt;S7,M7&lt;=2,I7&gt;-15%),"是","否"))</f>
        <v>是</v>
      </c>
      <c r="W7" s="39" t="str">
        <f aca="false">IF($A7="","",IF(OR(M7&gt;=3,I7&lt;=-15%),"是","否"))</f>
        <v>否</v>
      </c>
      <c r="X7" s="35" t="n">
        <f aca="false">IF($A7="","",IFERROR(maxifs(候选池!$AB:$AB,候选池!$A:$A,$A7),0))</f>
        <v>0</v>
      </c>
      <c r="Y7" s="35" t="n">
        <f aca="false">IF($A7="","",IF(OR(M7&gt;=4,I7&lt;=-8%),MAX(0,B7*60%-C7),IF(AND(ISNUMBER(AD7),B7&gt;AD7),IF(B7&lt;30000,0,IF(B7&lt;100000,MAX(0,(B7-AD7)*0.2),MAX(0,(B7-AD7)*0.3))),0)))</f>
        <v>0</v>
      </c>
      <c r="Z7" s="30"/>
      <c r="AA7" s="39" t="n">
        <f aca="false">IF($A7="","",IF($AA$2&lt;&gt;"",$AA$2,""))</f>
        <v>6683.54</v>
      </c>
      <c r="AB7" s="46" t="n">
        <f aca="false">IF($A7="","",IF(B7&lt;30000,0.03,IF(B7&lt;100000,0.02,0.015)))</f>
        <v>0.03</v>
      </c>
      <c r="AC7" s="38" t="n">
        <f aca="false">IF($A7="","",IFERROR(DATEDIF($A$2,$A7,"m"),0))</f>
        <v>4</v>
      </c>
      <c r="AD7" s="35" t="n">
        <f aca="false">IF($A7="","",IF(OR(AA7="",AB7="",AC7=""),"",AA7*POWER(1+AB7,AC7)))</f>
        <v>7522.3831519874</v>
      </c>
      <c r="AE7" s="47" t="n">
        <f aca="false">IF($A7="","",IF(OR(AD7="",AD7=0),"",B7/AD7-1))</f>
        <v>1.45985874770435</v>
      </c>
      <c r="AF7" s="1" t="n">
        <v>2</v>
      </c>
      <c r="AG7" s="1" t="str">
        <f aca="false">IF($A7="","",IF(B7&lt;30000,"婴儿",IF(B7&lt;100000,"成长","成熟")))</f>
        <v>婴儿</v>
      </c>
      <c r="AH7" s="42" t="n">
        <v>0.7012</v>
      </c>
      <c r="AI7" s="1" t="n">
        <v>80</v>
      </c>
      <c r="AJ7" s="42" t="n">
        <v>1</v>
      </c>
      <c r="AK7" s="42" t="n">
        <v>0.3937</v>
      </c>
      <c r="AL7" s="1" t="n">
        <v>0</v>
      </c>
      <c r="AM7" s="42" t="n">
        <v>0</v>
      </c>
      <c r="AN7" s="32" t="s">
        <v>335</v>
      </c>
      <c r="AO7" s="32" t="s">
        <v>336</v>
      </c>
      <c r="AP7" s="32" t="s">
        <v>206</v>
      </c>
      <c r="AQ7" s="43" t="n">
        <f aca="false">IF($A7="","",B7-$AA$2-SUM($F$2:F7))</f>
        <v>9120.46</v>
      </c>
      <c r="AR7" s="1" t="n">
        <f aca="false">IF($A7="","",30000)</f>
        <v>30000</v>
      </c>
      <c r="AS7" s="1" t="n">
        <f aca="false">IF($A7="","",AR7-B7)</f>
        <v>11496</v>
      </c>
      <c r="AT7" s="1" t="n">
        <f aca="false">IF($A7="","",IFERROR(B7/AR7,0))</f>
        <v>0.6168</v>
      </c>
      <c r="AU7" s="1" t="n">
        <f aca="false">IF($A7="","",IFERROR(B7*O7,0))</f>
        <v>6476.4</v>
      </c>
      <c r="AV7" s="1" t="n">
        <f aca="false">IF($A7="","",IFERROR(C7/B7,0))</f>
        <v>0</v>
      </c>
      <c r="AW7" s="1" t="n">
        <f aca="false">IF($A7="","",MAX(0,R7-S7))</f>
        <v>0</v>
      </c>
      <c r="AX7" s="1" t="str">
        <f aca="false">IF($A7="","",IF(AW7&gt;0,"优先降持仓数",IF(C7&lt;=0,"现金不足","允许评估")))</f>
        <v>现金不足</v>
      </c>
      <c r="AY7" s="1" t="str">
        <f aca="false">IF($A7="","",IF(B7&lt;30000,"婴儿阶段: 优先活下来,禁止单票失控,限制持仓数,服务3W目标","幼儿阶段达成"))</f>
        <v>婴儿阶段: 优先活下来,禁止单票失控,限制持仓数,服务3W目标</v>
      </c>
    </row>
    <row r="8" customFormat="false" ht="15" hidden="false" customHeight="true" outlineLevel="0" collapsed="false">
      <c r="A8" s="48" t="n">
        <v>46224</v>
      </c>
      <c r="B8" s="34" t="n">
        <v>20326.12</v>
      </c>
      <c r="C8" s="34" t="n">
        <v>7847.12</v>
      </c>
      <c r="D8" s="35" t="n">
        <f aca="false">IF($A8="","",SUMIFS(持仓表!$J:$J,持仓表!$A:$A,$A8))</f>
        <v>0</v>
      </c>
      <c r="E8" s="36" t="n">
        <f aca="false">IFERROR(D8/B8,0)</f>
        <v>0</v>
      </c>
      <c r="F8" s="34" t="n">
        <v>1309</v>
      </c>
      <c r="G8" s="35" t="n">
        <f aca="false">IF($B8="","",MAX($B$2:B8))</f>
        <v>20326.12</v>
      </c>
      <c r="H8" s="36" t="n">
        <f aca="false">IFERROR((B8-$AA$2-SUM($F$2:F8))/($AA$2+SUM($F$2:F8)),0)</f>
        <v>0.90096272728463</v>
      </c>
      <c r="I8" s="36" t="n">
        <f aca="false">IFERROR((B8-G8)/G8,0)</f>
        <v>0</v>
      </c>
      <c r="J8" s="28" t="s">
        <v>320</v>
      </c>
      <c r="K8" s="29" t="s">
        <v>321</v>
      </c>
      <c r="L8" s="37" t="n">
        <v>3</v>
      </c>
      <c r="M8" s="37" t="n">
        <v>2</v>
      </c>
      <c r="N8" s="36" t="n">
        <f aca="false">IF($B8="","",MIN(70%,IF($I8&lt;=-15%,10%,IF($I8&lt;=-10%,30%,IF($M8&gt;=4,10%,IF($M8&gt;=3,30%,IF($J8="强",IF($K8="A",70%,IF($K8="B",60%,40%)),IF($J8="中性",IF($K8="A",50%,IF($K8="B",40%,25%)),IF($K8="A",30%,IF($K8="B",20%,10%))))))))))</f>
        <v>0.4</v>
      </c>
      <c r="O8" s="36" t="n">
        <f aca="false">IF($B8="","",IF(B8&lt;30000,35%,IF(B8&lt;50000,30%,IF(B8&lt;100000,25%,20%))))</f>
        <v>0.35</v>
      </c>
      <c r="P8" s="38" t="n">
        <f aca="false">IF($A8="","",COUNTIFS(持仓表!$A:$A,$A8,持仓表!$G:$G,"&gt;0"))</f>
        <v>0</v>
      </c>
      <c r="Q8" s="38" t="n">
        <f aca="false">IF($A8="","",COUNTIFS(持仓表!$A:$A,$A8,持仓表!$D:$D,"是",持仓表!$G:$G,"&gt;0"))</f>
        <v>0</v>
      </c>
      <c r="R8" s="38" t="n">
        <f aca="false">IF($A8="","",MAX(0,P8-Q8))</f>
        <v>0</v>
      </c>
      <c r="S8" s="38" t="n">
        <f aca="false">IF($B8="","",IF(B8&lt;50000,3,IF(B8&lt;100000,4,5)))</f>
        <v>3</v>
      </c>
      <c r="T8" s="39" t="str">
        <f aca="false">IF($A8="","",IF(OR(M8&gt;=4,I8&lt;=-8%),"防守",IF(OR(M8&gt;=2,I8&lt;=-5%),"警戒","正常")))</f>
        <v>警戒</v>
      </c>
      <c r="U8" s="39" t="str">
        <f aca="false">IF($A8="","",IF(AND(L8&gt;=3,M8&lt;=2,T8&lt;&gt;"防守"),"是","否"))</f>
        <v>是</v>
      </c>
      <c r="V8" s="39" t="str">
        <f aca="false">IF($A8="","",IF(AND(E8&lt;N8,R8&lt;S8,M8&lt;=2,I8&gt;-15%),"是","否"))</f>
        <v>是</v>
      </c>
      <c r="W8" s="39" t="str">
        <f aca="false">IF($A8="","",IF(OR(M8&gt;=3,I8&lt;=-15%),"是","否"))</f>
        <v>否</v>
      </c>
      <c r="X8" s="35" t="n">
        <f aca="false">IF($A8="","",IFERROR(maxifs(候选池!$AB:$AB,候选池!$A:$A,$A8),0))</f>
        <v>0</v>
      </c>
      <c r="Y8" s="35" t="n">
        <f aca="false">IF($A8="","",IF(OR(M8&gt;=4,I8&lt;=-8%),MAX(0,B8*60%-C8),IF(AND(ISNUMBER(AD8),B8&gt;AD8),IF(B8&lt;30000,0,IF(B8&lt;100000,MAX(0,(B8-AD8)*0.2),MAX(0,(B8-AD8)*0.3))),0)))</f>
        <v>0</v>
      </c>
      <c r="Z8" s="29" t="s">
        <v>338</v>
      </c>
      <c r="AA8" s="39" t="n">
        <f aca="false">IF($A8="","",IF($AA$2&lt;&gt;"",$AA$2,""))</f>
        <v>6683.54</v>
      </c>
      <c r="AB8" s="40" t="n">
        <f aca="false">IF($A8="","",IF(B8&lt;30000,0.03,IF(B8&lt;100000,0.02,0.015)))</f>
        <v>0.03</v>
      </c>
      <c r="AC8" s="38" t="n">
        <f aca="false">IF($A8="","",IFERROR(DATEDIF($A$2,$A8,"m"),0))</f>
        <v>5</v>
      </c>
      <c r="AD8" s="35" t="n">
        <f aca="false">IF($A8="","",IF(OR(AA8="",AB8="",AC8=""),"",AA8*POWER(1+AB8,AC8)))</f>
        <v>7748.05464654702</v>
      </c>
      <c r="AE8" s="41" t="n">
        <f aca="false">IF($A8="","",IF(OR(AD8="",AD8=0),"",B8/AD8-1))</f>
        <v>1.62338366560934</v>
      </c>
      <c r="AF8" s="1" t="n">
        <v>2</v>
      </c>
      <c r="AG8" s="1" t="str">
        <f aca="false">IF($A8="","",IF(B8&lt;30000,"婴儿",IF(B8&lt;100000,"成长","成熟")))</f>
        <v>婴儿</v>
      </c>
      <c r="AH8" s="42" t="n">
        <v>0.3423</v>
      </c>
      <c r="AI8" s="1" t="n">
        <v>5</v>
      </c>
      <c r="AJ8" s="42" t="n">
        <v>1</v>
      </c>
      <c r="AK8" s="42" t="n">
        <v>0.0058</v>
      </c>
      <c r="AL8" s="1" t="n">
        <v>1</v>
      </c>
      <c r="AM8" s="42" t="n">
        <v>0</v>
      </c>
      <c r="AN8" s="32" t="s">
        <v>339</v>
      </c>
      <c r="AO8" s="32" t="s">
        <v>340</v>
      </c>
      <c r="AP8" s="32" t="s">
        <v>206</v>
      </c>
      <c r="AQ8" s="43" t="n">
        <f aca="false">IF($A8="","",B8-$AA$2-SUM($F$2:F8))</f>
        <v>9633.58</v>
      </c>
      <c r="AR8" s="1" t="n">
        <f aca="false">IF($A8="","",30000)</f>
        <v>30000</v>
      </c>
      <c r="AS8" s="1" t="n">
        <f aca="false">IF($A8="","",AR8-B8)</f>
        <v>9673.88</v>
      </c>
      <c r="AT8" s="1" t="n">
        <f aca="false">IF($A8="","",IFERROR(B8/AR8,0))</f>
        <v>0.677537333333333</v>
      </c>
      <c r="AU8" s="1" t="n">
        <f aca="false">IF($A8="","",IFERROR(B8*O8,0))</f>
        <v>7114.142</v>
      </c>
      <c r="AV8" s="1" t="n">
        <f aca="false">IF($A8="","",IFERROR(C8/B8,0))</f>
        <v>0.386060891109567</v>
      </c>
      <c r="AW8" s="1" t="n">
        <f aca="false">IF($A8="","",MAX(0,R8-S8))</f>
        <v>0</v>
      </c>
      <c r="AX8" s="1" t="str">
        <f aca="false">IF($A8="","",IF(AW8&gt;0,"优先降持仓数",IF(C8&lt;=0,"现金不足","允许评估")))</f>
        <v>允许评估</v>
      </c>
      <c r="AY8" s="1" t="str">
        <f aca="false">IF($A8="","",IF(B8&lt;30000,"婴儿阶段: 优先活下来,禁止单票失控,限制持仓数,服务3W目标","幼儿阶段达成"))</f>
        <v>婴儿阶段: 优先活下来,禁止单票失控,限制持仓数,服务3W目标</v>
      </c>
    </row>
    <row r="9" customFormat="false" ht="15" hidden="false" customHeight="true" outlineLevel="0" collapsed="false">
      <c r="A9" s="49" t="n">
        <v>46225</v>
      </c>
      <c r="B9" s="44" t="n">
        <v>20798.12</v>
      </c>
      <c r="C9" s="44" t="n">
        <v>7847.12</v>
      </c>
      <c r="D9" s="35" t="n">
        <f aca="false">IF($A9="","",SUMIFS(持仓表!$J:$J,持仓表!$A:$A,$A9))</f>
        <v>0</v>
      </c>
      <c r="E9" s="36" t="n">
        <f aca="false">IFERROR(D9/B9,0)</f>
        <v>0</v>
      </c>
      <c r="F9" s="44"/>
      <c r="G9" s="35" t="n">
        <f aca="false">IF($B9="","",MAX($B$2:B9))</f>
        <v>20798.12</v>
      </c>
      <c r="H9" s="36" t="n">
        <f aca="false">IFERROR((B9-$AA$2-SUM($F$2:F9))/($AA$2+SUM($F$2:F9)),0)</f>
        <v>0.945105653100199</v>
      </c>
      <c r="I9" s="36" t="n">
        <f aca="false">IFERROR((B9-G9)/G9,0)</f>
        <v>0</v>
      </c>
      <c r="J9" s="30"/>
      <c r="K9" s="31"/>
      <c r="L9" s="45"/>
      <c r="M9" s="45"/>
      <c r="N9" s="36" t="n">
        <f aca="false">IF($B9="","",MIN(70%,IF($I9&lt;=-15%,10%,IF($I9&lt;=-10%,30%,IF($M9&gt;=4,10%,IF($M9&gt;=3,30%,IF($J9="强",IF($K9="A",70%,IF($K9="B",60%,40%)),IF($J9="中性",IF($K9="A",50%,IF($K9="B",40%,25%)),IF($K9="A",30%,IF($K9="B",20%,10%))))))))))</f>
        <v>0.1</v>
      </c>
      <c r="O9" s="36" t="n">
        <f aca="false">IF($B9="","",IF(B9&lt;30000,35%,IF(B9&lt;50000,30%,IF(B9&lt;100000,25%,20%))))</f>
        <v>0.35</v>
      </c>
      <c r="P9" s="38" t="n">
        <f aca="false">IF($A9="","",COUNTIFS(持仓表!$A:$A,$A9,持仓表!$G:$G,"&gt;0"))</f>
        <v>0</v>
      </c>
      <c r="Q9" s="38" t="n">
        <f aca="false">IF($A9="","",COUNTIFS(持仓表!$A:$A,$A9,持仓表!$D:$D,"是",持仓表!$G:$G,"&gt;0"))</f>
        <v>0</v>
      </c>
      <c r="R9" s="38" t="n">
        <f aca="false">IF($A9="","",MAX(0,P9-Q9))</f>
        <v>0</v>
      </c>
      <c r="S9" s="38" t="n">
        <f aca="false">IF($B9="","",IF(B9&lt;50000,3,IF(B9&lt;100000,4,5)))</f>
        <v>3</v>
      </c>
      <c r="T9" s="39" t="str">
        <f aca="false">IF($A9="","",IF(OR(M9&gt;=4,I9&lt;=-8%),"防守",IF(OR(M9&gt;=2,I9&lt;=-5%),"警戒","正常")))</f>
        <v>正常</v>
      </c>
      <c r="U9" s="39" t="str">
        <f aca="false">IF($A9="","",IF(AND(L9&gt;=3,M9&lt;=2,T9&lt;&gt;"防守"),"是","否"))</f>
        <v>否</v>
      </c>
      <c r="V9" s="39" t="str">
        <f aca="false">IF($A9="","",IF(AND(E9&lt;N9,R9&lt;S9,M9&lt;=2,I9&gt;-15%),"是","否"))</f>
        <v>是</v>
      </c>
      <c r="W9" s="39" t="str">
        <f aca="false">IF($A9="","",IF(OR(M9&gt;=3,I9&lt;=-15%),"是","否"))</f>
        <v>否</v>
      </c>
      <c r="X9" s="35" t="n">
        <f aca="false">IF($A9="","",IFERROR(maxifs(候选池!$AB:$AB,候选池!$A:$A,$A9),0))</f>
        <v>0</v>
      </c>
      <c r="Y9" s="35" t="n">
        <f aca="false">IF($A9="","",IF(OR(M9&gt;=4,I9&lt;=-8%),MAX(0,B9*60%-C9),IF(AND(ISNUMBER(AD9),B9&gt;AD9),IF(B9&lt;30000,0,IF(B9&lt;100000,MAX(0,(B9-AD9)*0.2),MAX(0,(B9-AD9)*0.3))),0)))</f>
        <v>0</v>
      </c>
      <c r="Z9" s="30"/>
      <c r="AA9" s="39" t="n">
        <f aca="false">IF($A9="","",IF($AA$2&lt;&gt;"",$AA$2,""))</f>
        <v>6683.54</v>
      </c>
      <c r="AB9" s="30" t="n">
        <f aca="false">IF($A9="","",IF(B9&lt;30000,0.03,IF(B9&lt;100000,0.02,0.015)))</f>
        <v>0.03</v>
      </c>
      <c r="AC9" s="38" t="n">
        <f aca="false">IF($A9="","",IFERROR(DATEDIF($A$2,$A9,"m"),0))</f>
        <v>5</v>
      </c>
      <c r="AD9" s="35" t="n">
        <f aca="false">IF($A9="","",IF(OR(AA9="",AB9="",AC9=""),"",AA9*POWER(1+AB9,AC9)))</f>
        <v>7748.05464654702</v>
      </c>
      <c r="AE9" s="47" t="n">
        <f aca="false">IF($A9="","",IF(OR(AD9="",AD9=0),"",B9/AD9-1))</f>
        <v>1.68430218277679</v>
      </c>
      <c r="AG9" s="1" t="str">
        <f aca="false">IF($A9="","",IF(B9&lt;30000,"婴儿",IF(B9&lt;100000,"成长","成熟")))</f>
        <v>婴儿</v>
      </c>
      <c r="AH9" s="42"/>
      <c r="AJ9" s="42"/>
      <c r="AK9" s="42"/>
      <c r="AM9" s="42"/>
      <c r="AP9" s="32"/>
      <c r="AQ9" s="43" t="n">
        <f aca="false">IF($A9="","",B9-$AA$2-SUM($F$2:F9))</f>
        <v>10105.58</v>
      </c>
      <c r="AR9" s="1" t="n">
        <f aca="false">IF($A9="","",30000)</f>
        <v>30000</v>
      </c>
      <c r="AS9" s="1" t="n">
        <f aca="false">IF($A9="","",AR9-B9)</f>
        <v>9201.88</v>
      </c>
      <c r="AT9" s="1" t="n">
        <f aca="false">IF($A9="","",IFERROR(B9/AR9,0))</f>
        <v>0.693270666666667</v>
      </c>
      <c r="AU9" s="1" t="n">
        <f aca="false">IF($A9="","",IFERROR(B9*O9,0))</f>
        <v>7279.342</v>
      </c>
      <c r="AV9" s="1" t="n">
        <f aca="false">IF($A9="","",IFERROR(C9/B9,0))</f>
        <v>0.377299486684373</v>
      </c>
      <c r="AW9" s="1" t="n">
        <f aca="false">IF($A9="","",MAX(0,R9-S9))</f>
        <v>0</v>
      </c>
      <c r="AX9" s="1" t="str">
        <f aca="false">IF($A9="","",IF(AW9&gt;0,"优先降持仓数",IF(C9&lt;=0,"现金不足","允许评估")))</f>
        <v>允许评估</v>
      </c>
      <c r="AY9" s="1" t="str">
        <f aca="false">IF($A9="","",IF(B9&lt;30000,"婴儿阶段: 优先活下来,禁止单票失控,限制持仓数,服务3W目标","幼儿阶段达成"))</f>
        <v>婴儿阶段: 优先活下来,禁止单票失控,限制持仓数,服务3W目标</v>
      </c>
    </row>
    <row r="10" customFormat="false" ht="15" hidden="false" customHeight="true" outlineLevel="0" collapsed="false">
      <c r="A10" s="49" t="n">
        <v>46226</v>
      </c>
      <c r="B10" s="44" t="n">
        <v>21004.83</v>
      </c>
      <c r="C10" s="44" t="n">
        <v>10362.83</v>
      </c>
      <c r="D10" s="35" t="n">
        <f aca="false">IF($A10="","",SUMIFS(持仓表!$J:$J,持仓表!$A:$A,$A10))</f>
        <v>0</v>
      </c>
      <c r="E10" s="36" t="n">
        <f aca="false">IFERROR(D10/B10,0)</f>
        <v>0</v>
      </c>
      <c r="F10" s="44"/>
      <c r="G10" s="35" t="n">
        <f aca="false">IF($B10="","",MAX($B$2:B10))</f>
        <v>21004.83</v>
      </c>
      <c r="H10" s="36" t="n">
        <f aca="false">IFERROR((B10-$AA$2-SUM($F$2:F10))/($AA$2+SUM($F$2:F10)),0)</f>
        <v>0.964437823005572</v>
      </c>
      <c r="I10" s="36" t="n">
        <f aca="false">IFERROR((B10-G10)/G10,0)</f>
        <v>0</v>
      </c>
      <c r="J10" s="30"/>
      <c r="K10" s="31"/>
      <c r="L10" s="45"/>
      <c r="M10" s="45"/>
      <c r="N10" s="36" t="n">
        <f aca="false">IF($B10="","",MIN(70%,IF($I10&lt;=-15%,10%,IF($I10&lt;=-10%,30%,IF($M10&gt;=4,10%,IF($M10&gt;=3,30%,IF($J10="强",IF($K10="A",70%,IF($K10="B",60%,40%)),IF($J10="中性",IF($K10="A",50%,IF($K10="B",40%,25%)),IF($K10="A",30%,IF($K10="B",20%,10%))))))))))</f>
        <v>0.1</v>
      </c>
      <c r="O10" s="36" t="n">
        <f aca="false">IF($B10="","",IF(B10&lt;30000,35%,IF(B10&lt;50000,30%,IF(B10&lt;100000,25%,20%))))</f>
        <v>0.35</v>
      </c>
      <c r="P10" s="38" t="n">
        <f aca="false">IF($A10="","",COUNTIFS(持仓表!$A:$A,$A10,持仓表!$G:$G,"&gt;0"))</f>
        <v>0</v>
      </c>
      <c r="Q10" s="38" t="n">
        <f aca="false">IF($A10="","",COUNTIFS(持仓表!$A:$A,$A10,持仓表!$D:$D,"是",持仓表!$G:$G,"&gt;0"))</f>
        <v>0</v>
      </c>
      <c r="R10" s="38" t="n">
        <f aca="false">IF($A10="","",MAX(0,P10-Q10))</f>
        <v>0</v>
      </c>
      <c r="S10" s="38" t="n">
        <f aca="false">IF($B10="","",IF(B10&lt;50000,3,IF(B10&lt;100000,4,5)))</f>
        <v>3</v>
      </c>
      <c r="T10" s="39" t="str">
        <f aca="false">IF($A10="","",IF(OR(M10&gt;=4,I10&lt;=-8%),"防守",IF(OR(M10&gt;=2,I10&lt;=-5%),"警戒","正常")))</f>
        <v>正常</v>
      </c>
      <c r="U10" s="39" t="str">
        <f aca="false">IF($A10="","",IF(AND(L10&gt;=3,M10&lt;=2,T10&lt;&gt;"防守"),"是","否"))</f>
        <v>否</v>
      </c>
      <c r="V10" s="39" t="str">
        <f aca="false">IF($A10="","",IF(AND(E10&lt;N10,R10&lt;S10,M10&lt;=2,I10&gt;-15%),"是","否"))</f>
        <v>是</v>
      </c>
      <c r="W10" s="39" t="str">
        <f aca="false">IF($A10="","",IF(OR(M10&gt;=3,I10&lt;=-15%),"是","否"))</f>
        <v>否</v>
      </c>
      <c r="X10" s="35" t="n">
        <f aca="false">IF($A10="","",IFERROR(maxifs(候选池!$AB:$AB,候选池!$A:$A,$A10),0))</f>
        <v>0</v>
      </c>
      <c r="Y10" s="35" t="n">
        <f aca="false">IF($A10="","",IF(OR(M10&gt;=4,I10&lt;=-8%),MAX(0,B10*60%-C10),IF(AND(ISNUMBER(AD10),B10&gt;AD10),IF(B10&lt;30000,0,IF(B10&lt;100000,MAX(0,(B10-AD10)*0.2),MAX(0,(B10-AD10)*0.3))),0)))</f>
        <v>0</v>
      </c>
      <c r="Z10" s="30"/>
      <c r="AA10" s="39" t="n">
        <f aca="false">IF($A10="","",IF($AA$2&lt;&gt;"",$AA$2,""))</f>
        <v>6683.54</v>
      </c>
      <c r="AB10" s="30" t="n">
        <f aca="false">IF($A10="","",IF(B10&lt;30000,0.03,IF(B10&lt;100000,0.02,0.015)))</f>
        <v>0.03</v>
      </c>
      <c r="AC10" s="38" t="n">
        <f aca="false">IF($A10="","",IFERROR(DATEDIF($A$2,$A10,"m"),0))</f>
        <v>5</v>
      </c>
      <c r="AD10" s="35" t="n">
        <f aca="false">IF($A10="","",IF(OR(AA10="",AB10="",AC10=""),"",AA10*POWER(1+AB10,AC10)))</f>
        <v>7748.05464654702</v>
      </c>
      <c r="AE10" s="47" t="n">
        <f aca="false">IF($A10="","",IF(OR(AD10="",AD10=0),"",B10/AD10-1))</f>
        <v>1.7109811376151</v>
      </c>
      <c r="AG10" s="1" t="str">
        <f aca="false">IF($A10="","",IF(B10&lt;30000,"婴儿",IF(B10&lt;100000,"成长","成熟")))</f>
        <v>婴儿</v>
      </c>
      <c r="AH10" s="42"/>
      <c r="AJ10" s="42"/>
      <c r="AK10" s="42"/>
      <c r="AM10" s="42"/>
      <c r="AP10" s="32"/>
      <c r="AQ10" s="43" t="n">
        <f aca="false">IF($A10="","",B10-$AA$2-SUM($F$2:F10))</f>
        <v>10312.29</v>
      </c>
      <c r="AR10" s="1" t="n">
        <f aca="false">IF($A10="","",30000)</f>
        <v>30000</v>
      </c>
      <c r="AS10" s="1" t="n">
        <f aca="false">IF($A10="","",AR10-B10)</f>
        <v>8995.17</v>
      </c>
      <c r="AT10" s="1" t="n">
        <f aca="false">IF($A10="","",IFERROR(B10/AR10,0))</f>
        <v>0.700161</v>
      </c>
      <c r="AU10" s="1" t="n">
        <f aca="false">IF($A10="","",IFERROR(B10*O10,0))</f>
        <v>7351.6905</v>
      </c>
      <c r="AV10" s="1" t="n">
        <f aca="false">IF($A10="","",IFERROR(C10/B10,0))</f>
        <v>0.49335462367465</v>
      </c>
      <c r="AW10" s="1" t="n">
        <f aca="false">IF($A10="","",MAX(0,R10-S10))</f>
        <v>0</v>
      </c>
      <c r="AX10" s="1" t="str">
        <f aca="false">IF($A10="","",IF(AW10&gt;0,"优先降持仓数",IF(C10&lt;=0,"现金不足","允许评估")))</f>
        <v>允许评估</v>
      </c>
      <c r="AY10" s="1" t="str">
        <f aca="false">IF($A10="","",IF(B10&lt;30000,"婴儿阶段: 优先活下来,禁止单票失控,限制持仓数,服务3W目标","幼儿阶段达成"))</f>
        <v>婴儿阶段: 优先活下来,禁止单票失控,限制持仓数,服务3W目标</v>
      </c>
    </row>
    <row r="11" customFormat="false" ht="15" hidden="false" customHeight="true" outlineLevel="0" collapsed="false">
      <c r="A11" s="50" t="n">
        <v>46227</v>
      </c>
      <c r="B11" s="34" t="n">
        <v>20842.32</v>
      </c>
      <c r="C11" s="34" t="n">
        <v>12358.32</v>
      </c>
      <c r="D11" s="35" t="n">
        <f aca="false">IF($A11="","",SUMIFS(持仓表!$J:$J,持仓表!$A:$A,$A11))</f>
        <v>540</v>
      </c>
      <c r="E11" s="36" t="n">
        <f aca="false">IFERROR(D11/B11,0)</f>
        <v>0.0259088239696924</v>
      </c>
      <c r="F11" s="34" t="n">
        <v>0</v>
      </c>
      <c r="G11" s="35" t="n">
        <f aca="false">IF($B11="","",MAX($B$2:B11))</f>
        <v>21004.83</v>
      </c>
      <c r="H11" s="36" t="n">
        <f aca="false">IFERROR((B11-$AA$2-SUM($F$2:F11))/($AA$2+SUM($F$2:F11)),0)</f>
        <v>0.949239376238013</v>
      </c>
      <c r="I11" s="36" t="n">
        <f aca="false">IFERROR((B11-G11)/G11,0)</f>
        <v>-0.00773679196641925</v>
      </c>
      <c r="J11" s="28"/>
      <c r="K11" s="29"/>
      <c r="L11" s="37"/>
      <c r="M11" s="37"/>
      <c r="N11" s="36" t="n">
        <f aca="false">IF($B11="","",MIN(70%,IF($I11&lt;=-15%,10%,IF($I11&lt;=-10%,30%,IF($M11&gt;=4,10%,IF($M11&gt;=3,30%,IF($J11="强",IF($K11="A",70%,IF($K11="B",60%,40%)),IF($J11="中性",IF($K11="A",50%,IF($K11="B",40%,25%)),IF($K11="A",30%,IF($K11="B",20%,10%))))))))))</f>
        <v>0.1</v>
      </c>
      <c r="O11" s="36" t="n">
        <f aca="false">IF($B11="","",IF(B11&lt;30000,35%,IF(B11&lt;50000,30%,IF(B11&lt;100000,25%,20%))))</f>
        <v>0.35</v>
      </c>
      <c r="P11" s="38" t="n">
        <f aca="false">IF($A11="","",COUNTIFS(持仓表!$A:$A,$A11,持仓表!$G:$G,"&gt;0"))</f>
        <v>1</v>
      </c>
      <c r="Q11" s="38" t="n">
        <f aca="false">IF($A11="","",COUNTIFS(持仓表!$A:$A,$A11,持仓表!$D:$D,"是",持仓表!$G:$G,"&gt;0"))</f>
        <v>1</v>
      </c>
      <c r="R11" s="38" t="n">
        <f aca="false">IF($A11="","",MAX(0,P11-Q11))</f>
        <v>0</v>
      </c>
      <c r="S11" s="38" t="n">
        <f aca="false">IF($B11="","",IF(B11&lt;50000,3,IF(B11&lt;100000,4,5)))</f>
        <v>3</v>
      </c>
      <c r="T11" s="39" t="str">
        <f aca="false">IF($A11="","",IF(OR(M11&gt;=4,I11&lt;=-8%),"防守",IF(OR(M11&gt;=2,I11&lt;=-5%),"警戒","正常")))</f>
        <v>正常</v>
      </c>
      <c r="U11" s="39" t="str">
        <f aca="false">IF($A11="","",IF(AND(L11&gt;=3,M11&lt;=2,T11&lt;&gt;"防守"),"是","否"))</f>
        <v>否</v>
      </c>
      <c r="V11" s="39" t="str">
        <f aca="false">IF($A11="","",IF(AND(E11&lt;N11,R11&lt;S11,M11&lt;=2,I11&gt;-15%),"是","否"))</f>
        <v>是</v>
      </c>
      <c r="W11" s="39" t="str">
        <f aca="false">IF($A11="","",IF(OR(M11&gt;=3,I11&lt;=-15%),"是","否"))</f>
        <v>否</v>
      </c>
      <c r="X11" s="35" t="n">
        <f aca="false">IF($A11="","",IFERROR(maxifs(候选池!$AB:$AB,候选池!$A:$A,$A11),0))</f>
        <v>0</v>
      </c>
      <c r="Y11" s="35" t="n">
        <f aca="false">IF($A11="","",IF(OR(M11&gt;=4,I11&lt;=-8%),MAX(0,B11*60%-C11),IF(AND(ISNUMBER(AD11),B11&gt;AD11),IF(B11&lt;30000,0,IF(B11&lt;100000,MAX(0,(B11-AD11)*0.2),MAX(0,(B11-AD11)*0.3))),0)))</f>
        <v>0</v>
      </c>
      <c r="Z11" s="28"/>
      <c r="AA11" s="39" t="n">
        <f aca="false">IF($A11="","",IF($AA$2&lt;&gt;"",$AA$2,""))</f>
        <v>6683.54</v>
      </c>
      <c r="AB11" s="28" t="n">
        <f aca="false">IF($A11="","",IF(B11&lt;30000,0.03,IF(B11&lt;100000,0.02,0.015)))</f>
        <v>0.03</v>
      </c>
      <c r="AC11" s="38" t="n">
        <f aca="false">IF($A11="","",IFERROR(DATEDIF($A$2,$A11,"m"),0))</f>
        <v>5</v>
      </c>
      <c r="AD11" s="35" t="n">
        <f aca="false">IF($A11="","",IF(OR(AA11="",AB11="",AC11=""),"",AA11*POWER(1+AB11,AC11)))</f>
        <v>7748.05464654702</v>
      </c>
      <c r="AE11" s="41" t="n">
        <f aca="false">IF($A11="","",IF(OR(AD11="",AD11=0),"",B11/AD11-1))</f>
        <v>1.69000684052848</v>
      </c>
      <c r="AG11" s="1" t="str">
        <f aca="false">IF($A11="","",IF(B11&lt;30000,"婴儿",IF(B11&lt;100000,"成长","成熟")))</f>
        <v>婴儿</v>
      </c>
      <c r="AH11" s="42"/>
      <c r="AJ11" s="42"/>
      <c r="AK11" s="42"/>
      <c r="AM11" s="42"/>
      <c r="AP11" s="32"/>
      <c r="AQ11" s="43" t="n">
        <f aca="false">IF($A11="","",B11-$AA$2-SUM($F$2:F11))</f>
        <v>10149.78</v>
      </c>
      <c r="AR11" s="1" t="n">
        <f aca="false">IF($A11="","",30000)</f>
        <v>30000</v>
      </c>
      <c r="AS11" s="1" t="n">
        <f aca="false">IF($A11="","",AR11-B11)</f>
        <v>9157.68</v>
      </c>
      <c r="AT11" s="1" t="n">
        <f aca="false">IF($A11="","",IFERROR(B11/AR11,0))</f>
        <v>0.694744</v>
      </c>
      <c r="AU11" s="1" t="n">
        <f aca="false">IF($A11="","",IFERROR(B11*O11,0))</f>
        <v>7294.812</v>
      </c>
      <c r="AV11" s="1" t="n">
        <f aca="false">IF($A11="","",IFERROR(C11/B11,0))</f>
        <v>0.592943587853943</v>
      </c>
      <c r="AW11" s="1" t="n">
        <f aca="false">IF($A11="","",MAX(0,R11-S11))</f>
        <v>0</v>
      </c>
      <c r="AX11" s="1" t="str">
        <f aca="false">IF($A11="","",IF(AW11&gt;0,"优先降持仓数",IF(C11&lt;=0,"现金不足","允许评估")))</f>
        <v>允许评估</v>
      </c>
      <c r="AY11" s="32" t="str">
        <f aca="false">IF($A11="","",IF(B11&lt;30000,"婴儿阶段: 优先活下来,禁止单票失控,限制持仓数,服务3W目标","幼儿阶段达成"))</f>
        <v>婴儿阶段: 优先活下来,禁止单票失控,限制持仓数,服务3W目标</v>
      </c>
    </row>
    <row r="12" customFormat="false" ht="15" hidden="false" customHeight="true" outlineLevel="0" collapsed="false">
      <c r="A12" s="51" t="n">
        <v>46230</v>
      </c>
      <c r="B12" s="34" t="n">
        <v>20842.92</v>
      </c>
      <c r="C12" s="34" t="n">
        <v>12599.63</v>
      </c>
      <c r="D12" s="35" t="n">
        <f aca="false">IF($A12="","",SUMIFS(持仓表!$J:$J,持仓表!$A:$A,$A12))</f>
        <v>2384</v>
      </c>
      <c r="E12" s="36" t="n">
        <f aca="false">IFERROR(D12/B12,0)</f>
        <v>0.114379367190394</v>
      </c>
      <c r="F12" s="34"/>
      <c r="G12" s="35" t="n">
        <f aca="false">IF($B12="","",MAX($B$2:B12))</f>
        <v>21004.83</v>
      </c>
      <c r="H12" s="36" t="n">
        <f aca="false">IFERROR((B12-$AA$2-SUM($F$2:F12))/($AA$2+SUM($F$2:F12)),0)</f>
        <v>0.949295490126761</v>
      </c>
      <c r="I12" s="36" t="n">
        <f aca="false">IFERROR((B12-G12)/G12,0)</f>
        <v>-0.00770822710776538</v>
      </c>
      <c r="J12" s="28"/>
      <c r="K12" s="29"/>
      <c r="L12" s="37"/>
      <c r="M12" s="37"/>
      <c r="N12" s="36" t="n">
        <f aca="false">IF($B12="","",MIN(70%,IF($I12&lt;=-15%,10%,IF($I12&lt;=-10%,30%,IF($M12&gt;=4,10%,IF($M12&gt;=3,30%,IF($J12="强",IF($K12="A",70%,IF($K12="B",60%,40%)),IF($J12="中性",IF($K12="A",50%,IF($K12="B",40%,25%)),IF($K12="A",30%,IF($K12="B",20%,10%))))))))))</f>
        <v>0.1</v>
      </c>
      <c r="O12" s="36" t="n">
        <f aca="false">IF($B12="","",IF(B12&lt;30000,35%,IF(B12&lt;50000,30%,IF(B12&lt;100000,25%,20%))))</f>
        <v>0.35</v>
      </c>
      <c r="P12" s="38" t="n">
        <f aca="false">IF($A12="","",COUNTIFS(持仓表!$A:$A,$A12,持仓表!$G:$G,"&gt;0"))</f>
        <v>2</v>
      </c>
      <c r="Q12" s="38" t="n">
        <f aca="false">IF($A12="","",COUNTIFS(持仓表!$A:$A,$A12,持仓表!$D:$D,"是",持仓表!$G:$G,"&gt;0"))</f>
        <v>0</v>
      </c>
      <c r="R12" s="38" t="n">
        <f aca="false">IF($A12="","",MAX(0,P12-Q12))</f>
        <v>2</v>
      </c>
      <c r="S12" s="38" t="n">
        <f aca="false">IF($B12="","",IF(B12&lt;50000,3,IF(B12&lt;100000,4,5)))</f>
        <v>3</v>
      </c>
      <c r="T12" s="39" t="str">
        <f aca="false">IF($A12="","",IF(OR(M12&gt;=4,I12&lt;=-8%),"防守",IF(OR(M12&gt;=2,I12&lt;=-5%),"警戒","正常")))</f>
        <v>正常</v>
      </c>
      <c r="U12" s="39" t="str">
        <f aca="false">IF($A12="","",IF(AND(L12&gt;=3,M12&lt;=2,T12&lt;&gt;"防守"),"是","否"))</f>
        <v>否</v>
      </c>
      <c r="V12" s="39" t="str">
        <f aca="false">IF($A12="","",IF(AND(E12&lt;N12,R12&lt;S12,M12&lt;=2,I12&gt;-15%),"是","否"))</f>
        <v>否</v>
      </c>
      <c r="W12" s="39" t="str">
        <f aca="false">IF($A12="","",IF(OR(M12&gt;=3,I12&lt;=-15%),"是","否"))</f>
        <v>否</v>
      </c>
      <c r="X12" s="35" t="n">
        <f aca="false">IF($A12="","",IFERROR(maxifs(候选池!$AB:$AB,候选池!$A:$A,$A12),0))</f>
        <v>0</v>
      </c>
      <c r="Y12" s="35" t="n">
        <f aca="false">IF($A12="","",IF(OR(M12&gt;=4,I12&lt;=-8%),MAX(0,B12*60%-C12),IF(AND(ISNUMBER(AD12),B12&gt;AD12),IF(B12&lt;30000,0,IF(B12&lt;100000,MAX(0,(B12-AD12)*0.2),MAX(0,(B12-AD12)*0.3))),0)))</f>
        <v>0</v>
      </c>
      <c r="Z12" s="28"/>
      <c r="AA12" s="39" t="n">
        <f aca="false">IF($A12="","",IF($AA$2&lt;&gt;"",$AA$2,""))</f>
        <v>6683.54</v>
      </c>
      <c r="AB12" s="28" t="n">
        <f aca="false">IF($A12="","",IF(B12&lt;30000,0.03,IF(B12&lt;100000,0.02,0.015)))</f>
        <v>0.03</v>
      </c>
      <c r="AC12" s="38" t="n">
        <f aca="false">IF($A12="","",IFERROR(DATEDIF($A$2,$A12,"m"),0))</f>
        <v>5</v>
      </c>
      <c r="AD12" s="35" t="n">
        <f aca="false">IF($A12="","",IF(OR(AA12="",AB12="",AC12=""),"",AA12*POWER(1+AB12,AC12)))</f>
        <v>7748.05464654702</v>
      </c>
      <c r="AE12" s="41" t="n">
        <f aca="false">IF($A12="","",IF(OR(AD12="",AD12=0),"",B12/AD12-1))</f>
        <v>1.69008427932149</v>
      </c>
      <c r="AG12" s="1" t="str">
        <f aca="false">IF($A12="","",IF(B12&lt;30000,"婴儿",IF(B12&lt;100000,"成长","成熟")))</f>
        <v>婴儿</v>
      </c>
      <c r="AH12" s="42"/>
      <c r="AJ12" s="42"/>
      <c r="AK12" s="42"/>
      <c r="AM12" s="42"/>
      <c r="AP12" s="32"/>
      <c r="AQ12" s="43" t="n">
        <f aca="false">IF($A12="","",B12-$AA$2-SUM($F$2:F12))</f>
        <v>10150.38</v>
      </c>
      <c r="AR12" s="1" t="n">
        <f aca="false">IF($A12="","",30000)</f>
        <v>30000</v>
      </c>
      <c r="AS12" s="1" t="n">
        <f aca="false">IF($A12="","",AR12-B12)</f>
        <v>9157.08</v>
      </c>
      <c r="AT12" s="1" t="n">
        <f aca="false">IF($A12="","",IFERROR(B12/AR12,0))</f>
        <v>0.694764</v>
      </c>
      <c r="AU12" s="1" t="n">
        <f aca="false">IF($A12="","",IFERROR(B12*O12,0))</f>
        <v>7295.022</v>
      </c>
      <c r="AV12" s="1" t="n">
        <f aca="false">IF($A12="","",IFERROR(C12/B12,0))</f>
        <v>0.604504071406502</v>
      </c>
      <c r="AW12" s="1" t="n">
        <f aca="false">IF($A12="","",MAX(0,R12-S12))</f>
        <v>0</v>
      </c>
      <c r="AX12" s="1" t="str">
        <f aca="false">IF($A12="","",IF(AW12&gt;0,"优先降持仓数",IF(C12&lt;=0,"现金不足","允许评估")))</f>
        <v>允许评估</v>
      </c>
      <c r="AY12" s="1" t="str">
        <f aca="false">IF($A12="","",IF(B12&lt;30000,"婴儿阶段: 优先活下来,禁止单票失控,限制持仓数,服务3W目标","幼儿阶段达成"))</f>
        <v>婴儿阶段: 优先活下来,禁止单票失控,限制持仓数,服务3W目标</v>
      </c>
    </row>
    <row r="13" customFormat="false" ht="15" hidden="false" customHeight="true" outlineLevel="0" collapsed="false">
      <c r="A13" s="52" t="n">
        <v>46231</v>
      </c>
      <c r="B13" s="34" t="n">
        <v>21142.56</v>
      </c>
      <c r="C13" s="34" t="n">
        <v>13615.56</v>
      </c>
      <c r="D13" s="35" t="n">
        <f aca="false">IF($A13="","",SUMIFS(持仓表!$J:$J,持仓表!$A:$A,$A13))</f>
        <v>7544</v>
      </c>
      <c r="E13" s="36" t="n">
        <f aca="false">IFERROR(D13/B13,0)</f>
        <v>0.35681582551971</v>
      </c>
      <c r="F13" s="34" t="n">
        <v>0</v>
      </c>
      <c r="G13" s="35" t="n">
        <f aca="false">IF($B13="","",MAX($B$2:B13))</f>
        <v>21142.56</v>
      </c>
      <c r="H13" s="36" t="n">
        <f aca="false">IFERROR((B13-$AA$2-SUM($F$2:F13))/($AA$2+SUM($F$2:F13)),0)</f>
        <v>0.977318766167814</v>
      </c>
      <c r="I13" s="36" t="n">
        <f aca="false">IFERROR((B13-G13)/G13,0)</f>
        <v>0</v>
      </c>
      <c r="J13" s="28" t="s">
        <v>341</v>
      </c>
      <c r="K13" s="29" t="s">
        <v>321</v>
      </c>
      <c r="L13" s="37" t="n">
        <v>2</v>
      </c>
      <c r="M13" s="37" t="n">
        <v>2</v>
      </c>
      <c r="N13" s="36" t="n">
        <f aca="false">IF($B13="","",MIN(70%,IF($I13&lt;=-15%,10%,IF($I13&lt;=-10%,30%,IF($M13&gt;=4,10%,IF($M13&gt;=3,30%,IF($J13="强",IF($K13="A",70%,IF($K13="B",60%,40%)),IF($J13="中性",IF($K13="A",50%,IF($K13="B",40%,25%)),IF($K13="A",30%,IF($K13="B",20%,10%))))))))))</f>
        <v>0.2</v>
      </c>
      <c r="O13" s="36" t="n">
        <f aca="false">IF($B13="","",IF(B13&lt;30000,35%,IF(B13&lt;50000,30%,IF(B13&lt;100000,25%,20%))))</f>
        <v>0.35</v>
      </c>
      <c r="P13" s="38" t="n">
        <f aca="false">IF($A13="","",COUNTIFS(持仓表!$A:$A,$A13,持仓表!$G:$G,"&gt;0"))</f>
        <v>6</v>
      </c>
      <c r="Q13" s="38" t="n">
        <f aca="false">IF($A13="","",COUNTIFS(持仓表!$A:$A,$A13,持仓表!$D:$D,"是",持仓表!$G:$G,"&gt;0"))</f>
        <v>2</v>
      </c>
      <c r="R13" s="38" t="n">
        <f aca="false">IF($A13="","",MAX(0,P13-Q13))</f>
        <v>4</v>
      </c>
      <c r="S13" s="38" t="n">
        <f aca="false">IF($B13="","",IF(B13&lt;50000,3,IF(B13&lt;100000,4,5)))</f>
        <v>3</v>
      </c>
      <c r="T13" s="39" t="str">
        <f aca="false">IF($A13="","",IF(OR(M13&gt;=4,I13&lt;=-8%),"防守",IF(OR(M13&gt;=2,I13&lt;=-5%),"警戒","正常")))</f>
        <v>警戒</v>
      </c>
      <c r="U13" s="39" t="str">
        <f aca="false">IF($A13="","",IF(AND(L13&gt;=3,M13&lt;=2,T13&lt;&gt;"防守"),"是","否"))</f>
        <v>否</v>
      </c>
      <c r="V13" s="39" t="str">
        <f aca="false">IF($A13="","",IF(AND(E13&lt;N13,R13&lt;S13,M13&lt;=2,I13&gt;-15%),"是","否"))</f>
        <v>否</v>
      </c>
      <c r="W13" s="39" t="str">
        <f aca="false">IF($A13="","",IF(OR(M13&gt;=3,I13&lt;=-15%),"是","否"))</f>
        <v>否</v>
      </c>
      <c r="X13" s="35" t="n">
        <f aca="false">IF($A13="","",IFERROR(maxifs(候选池!$AB:$AB,候选池!$A:$A,$A13),0))</f>
        <v>0</v>
      </c>
      <c r="Y13" s="53" t="s">
        <v>342</v>
      </c>
      <c r="Z13" s="28"/>
      <c r="AA13" s="39" t="n">
        <f aca="false">IF($A13="","",IF($AA$2&lt;&gt;"",$AA$2,""))</f>
        <v>6683.54</v>
      </c>
      <c r="AB13" s="28" t="n">
        <f aca="false">IF($A13="","",IF(B13&lt;30000,0.03,IF(B13&lt;100000,0.02,0.015)))</f>
        <v>0.03</v>
      </c>
      <c r="AC13" s="38" t="n">
        <f aca="false">IF($A13="","",IFERROR(DATEDIF($A$2,$A13,"m"),0))</f>
        <v>5</v>
      </c>
      <c r="AD13" s="35" t="n">
        <f aca="false">IF($A13="","",IF(OR(AA13="",AB13="",AC13=""),"",AA13*POWER(1+AB13,AC13)))</f>
        <v>7748.05464654702</v>
      </c>
      <c r="AE13" s="41" t="n">
        <f aca="false">IF($A13="","",IF(OR(AD13="",AD13=0),"",B13/AD13-1))</f>
        <v>1.72875721255042</v>
      </c>
      <c r="AG13" s="1" t="str">
        <f aca="false">IF($A13="","",IF(B13&lt;30000,"婴儿",IF(B13&lt;100000,"成长","成熟")))</f>
        <v>婴儿</v>
      </c>
      <c r="AH13" s="42"/>
      <c r="AJ13" s="42"/>
      <c r="AK13" s="42"/>
      <c r="AM13" s="42"/>
      <c r="AP13" s="32"/>
      <c r="AQ13" s="43" t="n">
        <f aca="false">IF($A13="","",B13-$AA$2-SUM($F$2:F13))</f>
        <v>10450.02</v>
      </c>
      <c r="AR13" s="1" t="n">
        <f aca="false">IF($A13="","",30000)</f>
        <v>30000</v>
      </c>
      <c r="AS13" s="1" t="n">
        <f aca="false">IF($A13="","",AR13-B13)</f>
        <v>8857.44</v>
      </c>
      <c r="AT13" s="1" t="n">
        <f aca="false">IF($A13="","",IFERROR(B13/AR13,0))</f>
        <v>0.704752</v>
      </c>
      <c r="AU13" s="1" t="n">
        <f aca="false">IF($A13="","",IFERROR(B13*O13,0))</f>
        <v>7399.896</v>
      </c>
      <c r="AV13" s="1" t="n">
        <f aca="false">IF($A13="","",IFERROR(C13/B13,0))</f>
        <v>0.643988239834722</v>
      </c>
      <c r="AW13" s="1" t="n">
        <f aca="false">IF($A13="","",MAX(0,R13-S13))</f>
        <v>1</v>
      </c>
      <c r="AX13" s="1" t="str">
        <f aca="false">IF($A13="","",IF(AW13&gt;0,"优先降持仓数",IF(C13&lt;=0,"现金不足","允许评估")))</f>
        <v>优先降持仓数</v>
      </c>
      <c r="AY13" s="1" t="str">
        <f aca="false">IF($A13="","",IF(B13&lt;30000,"婴儿阶段: 优先活下来,禁止单票失控,限制持仓数,服务3W目标","幼儿阶段达成"))</f>
        <v>婴儿阶段: 优先活下来,禁止单票失控,限制持仓数,服务3W目标</v>
      </c>
    </row>
    <row r="14" customFormat="false" ht="15" hidden="false" customHeight="true" outlineLevel="0" collapsed="false">
      <c r="A14" s="54" t="n">
        <v>46232</v>
      </c>
      <c r="B14" s="44" t="n">
        <v>21311.32</v>
      </c>
      <c r="C14" s="44" t="n">
        <v>9793.32</v>
      </c>
      <c r="D14" s="35" t="n">
        <v>11514</v>
      </c>
      <c r="E14" s="36" t="n">
        <f aca="false">IFERROR(D14/B14,0)</f>
        <v>0.540276247552944</v>
      </c>
      <c r="F14" s="44" t="n">
        <v>8</v>
      </c>
      <c r="G14" s="35" t="n">
        <f aca="false">IF($B14="","",MAX($B$2:B14))</f>
        <v>21311.32</v>
      </c>
      <c r="H14" s="36" t="n">
        <f aca="false">IFERROR((B14-$AA$2-SUM($F$2:F14))/($AA$2+SUM($F$2:F14)),0)</f>
        <v>0.991611638291152</v>
      </c>
      <c r="I14" s="36" t="n">
        <f aca="false">IFERROR((B14-G14)/G14,0)</f>
        <v>0</v>
      </c>
      <c r="J14" s="30"/>
      <c r="K14" s="31"/>
      <c r="L14" s="45"/>
      <c r="M14" s="45"/>
      <c r="N14" s="36" t="n">
        <f aca="false">IF($B14="","",MIN(70%,IF($I14&lt;=-15%,10%,IF($I14&lt;=-10%,30%,IF($M14&gt;=4,10%,IF($M14&gt;=3,30%,IF($J14="强",IF($K14="A",70%,IF($K14="B",60%,40%)),IF($J14="中性",IF($K14="A",50%,IF($K14="B",40%,25%)),IF($K14="A",30%,IF($K14="B",20%,10%))))))))))</f>
        <v>0.1</v>
      </c>
      <c r="O14" s="36" t="n">
        <f aca="false">IF($B14="","",IF(B14&lt;30000,35%,IF(B14&lt;50000,30%,IF(B14&lt;100000,25%,20%))))</f>
        <v>0.35</v>
      </c>
      <c r="P14" s="38" t="n">
        <f aca="false">IF($A14="","",COUNTIFS(持仓表!$A:$A,$A14,持仓表!$G:$G,"&gt;0"))</f>
        <v>6</v>
      </c>
      <c r="Q14" s="38" t="n">
        <f aca="false">IF($A14="","",COUNTIFS(持仓表!$A:$A,$A14,持仓表!$D:$D,"是",持仓表!$G:$G,"&gt;0"))</f>
        <v>1</v>
      </c>
      <c r="R14" s="38" t="n">
        <f aca="false">IF($A14="","",MAX(0,P14-Q14))</f>
        <v>5</v>
      </c>
      <c r="S14" s="38" t="n">
        <f aca="false">IF($B14="","",IF(B14&lt;50000,3,IF(B14&lt;100000,4,5)))</f>
        <v>3</v>
      </c>
      <c r="T14" s="39" t="str">
        <f aca="false">IF($A14="","",IF(OR(M14&gt;=4,I14&lt;=-8%),"防守",IF(OR(M14&gt;=2,I14&lt;=-5%),"警戒","正常")))</f>
        <v>正常</v>
      </c>
      <c r="U14" s="39" t="str">
        <f aca="false">IF($A14="","",IF(AND(L14&gt;=3,M14&lt;=2,T14&lt;&gt;"防守"),"是","否"))</f>
        <v>否</v>
      </c>
      <c r="V14" s="39" t="str">
        <f aca="false">IF($A14="","",IF(AND(E14&lt;N14,R14&lt;S14,M14&lt;=2,I14&gt;-15%),"是","否"))</f>
        <v>否</v>
      </c>
      <c r="W14" s="39" t="str">
        <f aca="false">IF($A14="","",IF(OR(M14&gt;=3,I14&lt;=-15%),"是","否"))</f>
        <v>否</v>
      </c>
      <c r="X14" s="35" t="n">
        <f aca="false">IF($A14="","",IFERROR(maxifs(候选池!$AB:$AB,候选池!$A:$A,$A14),0))</f>
        <v>0</v>
      </c>
      <c r="Y14" s="35" t="n">
        <f aca="false">IF($A14="","",IF(OR(M14&gt;=4,I14&lt;=-8%),MAX(0,B14*60%-C14),IF(AND(ISNUMBER(AD14),B14&gt;AD14),IF(B14&lt;30000,0,IF(B14&lt;100000,MAX(0,(B14-AD14)*0.2),MAX(0,(B14-AD14)*0.3))),0)))</f>
        <v>0</v>
      </c>
      <c r="Z14" s="30"/>
      <c r="AA14" s="39" t="n">
        <f aca="false">IF($A14="","",IF($AA$2&lt;&gt;"",$AA$2,""))</f>
        <v>6683.54</v>
      </c>
      <c r="AB14" s="30" t="n">
        <f aca="false">IF($A14="","",IF(B14&lt;30000,0.03,IF(B14&lt;100000,0.02,0.015)))</f>
        <v>0.03</v>
      </c>
      <c r="AC14" s="38" t="n">
        <f aca="false">IF($A14="","",IFERROR(DATEDIF($A$2,$A14,"m"),0))</f>
        <v>5</v>
      </c>
      <c r="AD14" s="35" t="n">
        <f aca="false">IF($A14="","",IF(OR(AA14="",AB14="",AC14=""),"",AA14*POWER(1+AB14,AC14)))</f>
        <v>7748.05464654702</v>
      </c>
      <c r="AE14" s="47" t="n">
        <f aca="false">IF($A14="","",IF(OR(AD14="",AD14=0),"",B14/AD14-1))</f>
        <v>1.75053816373089</v>
      </c>
      <c r="AG14" s="1" t="str">
        <f aca="false">IF($A14="","",IF(B14&lt;30000,"婴儿",IF(B14&lt;100000,"成长","成熟")))</f>
        <v>婴儿</v>
      </c>
      <c r="AH14" s="42"/>
      <c r="AJ14" s="42"/>
      <c r="AK14" s="42"/>
      <c r="AM14" s="42"/>
      <c r="AP14" s="32"/>
      <c r="AQ14" s="43" t="n">
        <f aca="false">IF($A14="","",B14-$AA$2-SUM($F$2:F17))</f>
        <v>10610.78</v>
      </c>
      <c r="AR14" s="1" t="n">
        <f aca="false">IF($A14="","",30000)</f>
        <v>30000</v>
      </c>
      <c r="AS14" s="1" t="n">
        <f aca="false">IF($A14="","",AR14-B14)</f>
        <v>8688.68</v>
      </c>
      <c r="AT14" s="1" t="n">
        <f aca="false">IF($A14="","",IFERROR(B14/AR14,0))</f>
        <v>0.710377333333333</v>
      </c>
      <c r="AU14" s="1" t="n">
        <f aca="false">IF($A14="","",IFERROR(B14*O14,0))</f>
        <v>7458.962</v>
      </c>
      <c r="AV14" s="1" t="n">
        <f aca="false">IF($A14="","",IFERROR(C14/B14,0))</f>
        <v>0.459536058770644</v>
      </c>
      <c r="AW14" s="1" t="n">
        <f aca="false">IF($A14="","",MAX(0,R14-S14))</f>
        <v>2</v>
      </c>
      <c r="AX14" s="1" t="str">
        <f aca="false">IF($A14="","",IF(AW14&gt;0,"优先降持仓数",IF(C14&lt;=0,"现金不足","允许评估")))</f>
        <v>优先降持仓数</v>
      </c>
      <c r="AY14" s="1" t="str">
        <f aca="false">IF($A14="","",IF(B14&lt;30000,"婴儿阶段: 优先活下来,禁止单票失控,限制持仓数,服务3W目标","幼儿阶段达成"))</f>
        <v>婴儿阶段: 优先活下来,禁止单票失控,限制持仓数,服务3W目标</v>
      </c>
    </row>
    <row r="15" customFormat="false" ht="15" hidden="false" customHeight="true" outlineLevel="0" collapsed="false">
      <c r="A15" s="54" t="n">
        <v>46233.7388888889</v>
      </c>
      <c r="B15" s="44" t="n">
        <v>21220.1</v>
      </c>
      <c r="C15" s="44" t="n">
        <v>13376.1</v>
      </c>
      <c r="D15" s="35" t="n">
        <v>7844</v>
      </c>
      <c r="E15" s="36" t="n">
        <f aca="false">IFERROR(D15/B15,0)</f>
        <v>0.369649530398066</v>
      </c>
      <c r="F15" s="44" t="n">
        <v>0</v>
      </c>
      <c r="G15" s="35" t="n">
        <f aca="false">IF($B15="","",MAX($B$2:B16))</f>
        <v>21311.32</v>
      </c>
      <c r="H15" s="36" t="n">
        <f aca="false">IFERROR((B15-$AA$2-SUM($F$2:F16))/($AA$2+SUM($F$2:F16)),0)</f>
        <v>0.983086834870016</v>
      </c>
      <c r="I15" s="36" t="n">
        <f aca="false">IFERROR((B15-G15)/G15,0)</f>
        <v>-0.00428035429058365</v>
      </c>
      <c r="J15" s="30"/>
      <c r="K15" s="31"/>
      <c r="L15" s="45"/>
      <c r="M15" s="45"/>
      <c r="N15" s="36" t="n">
        <f aca="false">IF($B15="","",MIN(70%,IF($I15&lt;=-15%,10%,IF($I15&lt;=-10%,30%,IF($M15&gt;=4,10%,IF($M15&gt;=3,30%,IF($J15="强",IF($K15="A",70%,IF($K15="B",60%,40%)),IF($J15="中性",IF($K15="A",50%,IF($K15="B",40%,25%)),IF($K15="A",30%,IF($K15="B",20%,10%))))))))))</f>
        <v>0.1</v>
      </c>
      <c r="O15" s="36" t="n">
        <f aca="false">IF($B15="","",IF(B15&lt;30000,35%,IF(B15&lt;50000,30%,IF(B15&lt;100000,25%,20%))))</f>
        <v>0.35</v>
      </c>
      <c r="P15" s="38" t="n">
        <f aca="false">IF($A15="","",COUNTIFS(持仓表!$A:$A,$A15,持仓表!$G:$G,"&gt;0"))</f>
        <v>0</v>
      </c>
      <c r="Q15" s="38" t="n">
        <f aca="false">IF($A15="","",COUNTIFS(持仓表!$A:$A,$A15,持仓表!$D:$D,"是",持仓表!$G:$G,"&gt;0"))</f>
        <v>0</v>
      </c>
      <c r="R15" s="38" t="n">
        <f aca="false">IF($A15="","",MAX(0,P15-Q15))</f>
        <v>0</v>
      </c>
      <c r="S15" s="38" t="n">
        <f aca="false">IF($B15="","",IF(B15&lt;50000,3,IF(B15&lt;100000,4,5)))</f>
        <v>3</v>
      </c>
      <c r="T15" s="39" t="str">
        <f aca="false">IF($A15="","",IF(OR(M15&gt;=4,I15&lt;=-8%),"防守",IF(OR(M15&gt;=2,I15&lt;=-5%),"警戒","正常")))</f>
        <v>正常</v>
      </c>
      <c r="U15" s="39" t="str">
        <f aca="false">IF($A15="","",IF(AND(L15&gt;=3,M15&lt;=2,T15&lt;&gt;"防守"),"是","否"))</f>
        <v>否</v>
      </c>
      <c r="V15" s="39" t="str">
        <f aca="false">IF($A15="","",IF(AND(E15&lt;N15,R15&lt;S15,M15&lt;=2,I15&gt;-15%),"是","否"))</f>
        <v>否</v>
      </c>
      <c r="W15" s="39" t="str">
        <f aca="false">IF($A15="","",IF(OR(M15&gt;=3,I15&lt;=-15%),"是","否"))</f>
        <v>否</v>
      </c>
      <c r="X15" s="35" t="n">
        <f aca="false">IF($A15="","",IFERROR(maxifs(候选池!$AB:$AB,候选池!$A:$A,$A15),0))</f>
        <v>0</v>
      </c>
      <c r="Y15" s="35" t="n">
        <f aca="false">IF($A15="","",IF(OR(M15&gt;=4,I15&lt;=-8%),MAX(0,B15*60%-C15),IF(AND(ISNUMBER(AD15),B15&gt;AD15),IF(B15&lt;30000,0,IF(B15&lt;100000,MAX(0,(B15-AD15)*0.2),MAX(0,(B15-AD15)*0.3))),0)))</f>
        <v>0</v>
      </c>
      <c r="Z15" s="30" t="s">
        <v>343</v>
      </c>
      <c r="AA15" s="39" t="n">
        <f aca="false">IF($A15="","",IF($AA$2&lt;&gt;"",$AA$2,""))</f>
        <v>6683.54</v>
      </c>
      <c r="AB15" s="30" t="n">
        <f aca="false">IF($A15="","",IF(B15&lt;30000,0.03,IF(B15&lt;100000,0.02,0.015)))</f>
        <v>0.03</v>
      </c>
      <c r="AC15" s="38" t="n">
        <f aca="false">IF($A15="","",IFERROR(DATEDIF($A$2,$A15,"m"),0))</f>
        <v>5</v>
      </c>
      <c r="AD15" s="35" t="n">
        <f aca="false">IF($A15="","",IF(OR(AA15="",AB15="",AC15=""),"",AA15*POWER(1+AB15,AC15)))</f>
        <v>7748.05464654702</v>
      </c>
      <c r="AE15" s="47" t="n">
        <f aca="false">IF($A15="","",IF(OR(AD15="",AD15=0),"",B15/AD15-1))</f>
        <v>1.73876488590035</v>
      </c>
      <c r="AG15" s="1" t="str">
        <f aca="false">IF($A15="","",IF(B15&lt;30000,"婴儿",IF(B15&lt;100000,"成长","成熟")))</f>
        <v>婴儿</v>
      </c>
      <c r="AH15" s="42"/>
      <c r="AJ15" s="42"/>
      <c r="AK15" s="42"/>
      <c r="AM15" s="42"/>
      <c r="AP15" s="32"/>
      <c r="AQ15" s="43" t="n">
        <f aca="false">IF($A15="","",B15-$AA$2-SUM($F$2:F17))</f>
        <v>10519.56</v>
      </c>
      <c r="AR15" s="1" t="n">
        <f aca="false">IF($A15="","",30000)</f>
        <v>30000</v>
      </c>
      <c r="AS15" s="1" t="n">
        <f aca="false">IF($A15="","",AR15-B15)</f>
        <v>8779.9</v>
      </c>
      <c r="AT15" s="1" t="n">
        <f aca="false">IF($A15="","",IFERROR(B15/AR15,0))</f>
        <v>0.707336666666667</v>
      </c>
      <c r="AU15" s="1" t="n">
        <f aca="false">IF($A15="","",IFERROR(B15*O15,0))</f>
        <v>7427.035</v>
      </c>
      <c r="AV15" s="1" t="n">
        <f aca="false">IF($A15="","",IFERROR(C15/B15,0))</f>
        <v>0.630350469601934</v>
      </c>
      <c r="AW15" s="1" t="n">
        <f aca="false">IF($A15="","",MAX(0,R15-S15))</f>
        <v>0</v>
      </c>
      <c r="AX15" s="1" t="str">
        <f aca="false">IF($A15="","",IF(AW15&gt;0,"优先降持仓数",IF(C15&lt;=0,"现金不足","允许评估")))</f>
        <v>允许评估</v>
      </c>
      <c r="AY15" s="1" t="str">
        <f aca="false">IF($A15="","",IF(B15&lt;30000,"婴儿阶段: 优先活下来,禁止单票失控,限制持仓数,服务3W目标","幼儿阶段达成"))</f>
        <v>婴儿阶段: 优先活下来,禁止单票失控,限制持仓数,服务3W目标</v>
      </c>
    </row>
    <row r="16" customFormat="false" ht="15" hidden="false" customHeight="true" outlineLevel="0" collapsed="false">
      <c r="A16" s="30"/>
      <c r="B16" s="44"/>
      <c r="C16" s="44"/>
      <c r="D16" s="35" t="str">
        <f aca="false">IF($A21="","",SUMIFS(持仓表!$J:$J,持仓表!$A:$A,$A21))</f>
        <v/>
      </c>
      <c r="E16" s="36" t="n">
        <f aca="false">IFERROR(D21/B21,0)</f>
        <v>0</v>
      </c>
      <c r="F16" s="44"/>
      <c r="G16" s="35" t="str">
        <f aca="false">IF($B21="","",MAX($B$2:B21))</f>
        <v/>
      </c>
      <c r="H16" s="36" t="n">
        <f aca="false">IFERROR((B21-F21)/F21,0)</f>
        <v>0</v>
      </c>
      <c r="I16" s="36" t="n">
        <f aca="false">IFERROR((B21-G21)/G21,0)</f>
        <v>0</v>
      </c>
      <c r="J16" s="30"/>
      <c r="K16" s="31"/>
      <c r="L16" s="45"/>
      <c r="M16" s="45"/>
      <c r="N16" s="36" t="str">
        <f aca="false">IF($B21="","",MIN(70%,IF($I21&lt;=-15%,10%,IF($I21&lt;=-10%,30%,IF($M21&gt;=4,10%,IF($M21&gt;=3,30%,IF($J21="强",IF($K21="A",70%,IF($K21="B",60%,40%)),IF($J21="中性",IF($K21="A",50%,IF($K21="B",40%,25%)),IF($K21="A",30%,IF($K21="B",20%,10%))))))))))</f>
        <v/>
      </c>
      <c r="O16" s="36" t="str">
        <f aca="false">IF($B21="","",IF(B21&lt;30000,35%,IF(B21&lt;50000,30%,IF(B21&lt;100000,25%,20%))))</f>
        <v/>
      </c>
      <c r="P16" s="38" t="str">
        <f aca="false">IF($A21="","",COUNTIFS(持仓表!$A:$A,$A21,持仓表!$G:$G,"&gt;0"))</f>
        <v/>
      </c>
      <c r="Q16" s="38" t="str">
        <f aca="false">IF($A21="","",COUNTIFS(持仓表!$A:$A,$A21,持仓表!$D:$D,"是",持仓表!$G:$G,"&gt;0"))</f>
        <v/>
      </c>
      <c r="R16" s="38" t="str">
        <f aca="false">IF($A21="","",MAX(0,P21-Q21))</f>
        <v/>
      </c>
      <c r="S16" s="38" t="str">
        <f aca="false">IF($B21="","",IF(B21&lt;50000,3,IF(B21&lt;100000,4,5)))</f>
        <v/>
      </c>
      <c r="T16" s="39" t="str">
        <f aca="false">IF($A21="","",IF(OR(M21&gt;=4,I21&lt;=-8%),"防守",IF(OR(M21&gt;=2,I21&lt;=-5%),"警戒","正常")))</f>
        <v/>
      </c>
      <c r="U16" s="39" t="str">
        <f aca="false">IF($A21="","",IF(AND(L21&gt;=3,M21&lt;=2,T21&lt;&gt;"防守"),"是","否"))</f>
        <v/>
      </c>
      <c r="V16" s="39" t="str">
        <f aca="false">IF($A21="","",IF(AND(E21&lt;N21,R21&lt;S21,M21&lt;=2,I21&gt;-15%),"是","否"))</f>
        <v/>
      </c>
      <c r="W16" s="39" t="str">
        <f aca="false">IF($A21="","",IF(OR(M21&gt;=3,I21&lt;=-15%),"是","否"))</f>
        <v/>
      </c>
      <c r="X16" s="35" t="str">
        <f aca="false">IF($A21="","",IFERROR(maxifs(候选池!$AB:$AB,候选池!$A:$A,$A21),0))</f>
        <v/>
      </c>
      <c r="Y16" s="35" t="str">
        <f aca="false">IF($A21="","",IF(OR(M21&gt;=4,I21&lt;=-8%),MAX(0,B21*60%-C21),IF(AND(ISNUMBER(AD21),B21&gt;AD21),IF(B21&lt;30000,0,IF(B21&lt;100000,MAX(0,(B21-AD21)*0.2),MAX(0,(B21-AD21)*0.3))),0)))</f>
        <v/>
      </c>
      <c r="Z16" s="30"/>
      <c r="AA16" s="39" t="str">
        <f aca="false">IF($A21="","",IF($AA$2&lt;&gt;"",$AA$2,""))</f>
        <v/>
      </c>
      <c r="AB16" s="30" t="str">
        <f aca="false">IF($A21="","",IF(B21&lt;30000,0.03,IF(B21&lt;100000,0.02,0.015)))</f>
        <v/>
      </c>
      <c r="AC16" s="38" t="str">
        <f aca="false">IF($A21="","",IFERROR(DATEDIF($A$2,$A21,"m"),0))</f>
        <v/>
      </c>
      <c r="AD16" s="35" t="str">
        <f aca="false">IF($A21="","",IF(OR(AA21="",AB21="",AC21=""),"",AA21*POWER(1+AB21,AC21)))</f>
        <v/>
      </c>
      <c r="AE16" s="47" t="str">
        <f aca="false">IF($A21="","",IF(OR(AD21="",AD21=0),"",B21/AD21-1))</f>
        <v/>
      </c>
      <c r="AG16" s="1" t="str">
        <f aca="false">IF($A21="","",IF(B21&lt;30000,"婴儿",IF(B21&lt;100000,"成长","成熟")))</f>
        <v/>
      </c>
      <c r="AH16" s="42"/>
      <c r="AJ16" s="42"/>
      <c r="AK16" s="42"/>
      <c r="AM16" s="42"/>
      <c r="AP16" s="32"/>
      <c r="AQ16" s="43" t="str">
        <f aca="false">IF($A21="","",B21-$AA$2-SUM($F$2:F21))</f>
        <v/>
      </c>
      <c r="AR16" s="1" t="str">
        <f aca="false">IF($A20="","",30000)</f>
        <v/>
      </c>
      <c r="AS16" s="1" t="str">
        <f aca="false">IF($A20="","",AR20-B20)</f>
        <v/>
      </c>
      <c r="AT16" s="1" t="str">
        <f aca="false">IF($A20="","",IFERROR(B20/AR20,0))</f>
        <v/>
      </c>
      <c r="AU16" s="1" t="str">
        <f aca="false">IF($A20="","",IFERROR(B20*O20,0))</f>
        <v/>
      </c>
      <c r="AV16" s="1" t="str">
        <f aca="false">IF($A20="","",IFERROR(C20/B20,0))</f>
        <v/>
      </c>
      <c r="AW16" s="1" t="str">
        <f aca="false">IF($A20="","",MAX(0,R20-S20))</f>
        <v/>
      </c>
      <c r="AX16" s="1" t="str">
        <f aca="false">IF($A20="","",IF(AW20&gt;0,"优先降持仓数",IF(C20&lt;=0,"现金不足","允许评估")))</f>
        <v/>
      </c>
      <c r="AY16" s="1" t="str">
        <f aca="false">IF($A20="","",IF(B20&lt;30000,"婴儿阶段: 优先活下来,禁止单票失控,限制持仓数,服务3W目标","幼儿阶段达成"))</f>
        <v/>
      </c>
    </row>
    <row r="17" customFormat="false" ht="15" hidden="false" customHeight="true" outlineLevel="0" collapsed="false">
      <c r="A17" s="28"/>
      <c r="B17" s="34"/>
      <c r="C17" s="34"/>
      <c r="D17" s="35" t="str">
        <f aca="false">IF($A22="","",SUMIFS(持仓表!$J:$J,持仓表!$A:$A,$A22))</f>
        <v/>
      </c>
      <c r="E17" s="36" t="n">
        <f aca="false">IFERROR(D22/B22,0)</f>
        <v>0</v>
      </c>
      <c r="F17" s="34"/>
      <c r="G17" s="35" t="str">
        <f aca="false">IF($B22="","",MAX($B$2:B22))</f>
        <v/>
      </c>
      <c r="H17" s="36" t="n">
        <f aca="false">IFERROR((B22-F22)/F22,0)</f>
        <v>0</v>
      </c>
      <c r="I17" s="36" t="n">
        <f aca="false">IFERROR((B22-G22)/G22,0)</f>
        <v>0</v>
      </c>
      <c r="J17" s="28"/>
      <c r="K17" s="29"/>
      <c r="L17" s="37"/>
      <c r="M17" s="37"/>
      <c r="N17" s="36" t="str">
        <f aca="false">IF($B22="","",MIN(70%,IF($I22&lt;=-15%,10%,IF($I22&lt;=-10%,30%,IF($M22&gt;=4,10%,IF($M22&gt;=3,30%,IF($J22="强",IF($K22="A",70%,IF($K22="B",60%,40%)),IF($J22="中性",IF($K22="A",50%,IF($K22="B",40%,25%)),IF($K22="A",30%,IF($K22="B",20%,10%))))))))))</f>
        <v/>
      </c>
      <c r="O17" s="36" t="str">
        <f aca="false">IF($B22="","",IF(B22&lt;30000,35%,IF(B22&lt;50000,30%,IF(B22&lt;100000,25%,20%))))</f>
        <v/>
      </c>
      <c r="P17" s="38" t="str">
        <f aca="false">IF($A22="","",COUNTIFS(持仓表!$A:$A,$A22,持仓表!$G:$G,"&gt;0"))</f>
        <v/>
      </c>
      <c r="Q17" s="38" t="str">
        <f aca="false">IF($A22="","",COUNTIFS(持仓表!$A:$A,$A22,持仓表!$D:$D,"是",持仓表!$G:$G,"&gt;0"))</f>
        <v/>
      </c>
      <c r="R17" s="38" t="str">
        <f aca="false">IF($A22="","",MAX(0,P22-Q22))</f>
        <v/>
      </c>
      <c r="S17" s="38" t="str">
        <f aca="false">IF($B22="","",IF(B22&lt;50000,3,IF(B22&lt;100000,4,5)))</f>
        <v/>
      </c>
      <c r="T17" s="39" t="str">
        <f aca="false">IF($A22="","",IF(OR(M22&gt;=4,I22&lt;=-8%),"防守",IF(OR(M22&gt;=2,I22&lt;=-5%),"警戒","正常")))</f>
        <v/>
      </c>
      <c r="U17" s="39" t="str">
        <f aca="false">IF($A22="","",IF(AND(L22&gt;=3,M22&lt;=2,T22&lt;&gt;"防守"),"是","否"))</f>
        <v/>
      </c>
      <c r="V17" s="39" t="str">
        <f aca="false">IF($A22="","",IF(AND(E22&lt;N22,R22&lt;S22,M22&lt;=2,I22&gt;-15%),"是","否"))</f>
        <v/>
      </c>
      <c r="W17" s="39" t="str">
        <f aca="false">IF($A22="","",IF(OR(M22&gt;=3,I22&lt;=-15%),"是","否"))</f>
        <v/>
      </c>
      <c r="X17" s="35" t="str">
        <f aca="false">IF($A22="","",IFERROR(maxifs(候选池!$AB:$AB,候选池!$A:$A,$A22),0))</f>
        <v/>
      </c>
      <c r="Y17" s="35" t="str">
        <f aca="false">IF($A22="","",IF(OR(M22&gt;=4,I22&lt;=-8%),MAX(0,B22*60%-C22),IF(AND(ISNUMBER(AD22),B22&gt;AD22),IF(B22&lt;30000,0,IF(B22&lt;100000,MAX(0,(B22-AD22)*0.2),MAX(0,(B22-AD22)*0.3))),0)))</f>
        <v/>
      </c>
      <c r="Z17" s="28"/>
      <c r="AA17" s="39" t="str">
        <f aca="false">IF($A22="","",IF($AA$2&lt;&gt;"",$AA$2,""))</f>
        <v/>
      </c>
      <c r="AB17" s="28" t="str">
        <f aca="false">IF($A22="","",IF(B22&lt;30000,0.03,IF(B22&lt;100000,0.02,0.015)))</f>
        <v/>
      </c>
      <c r="AC17" s="38" t="str">
        <f aca="false">IF($A22="","",IFERROR(DATEDIF($A$2,$A22,"m"),0))</f>
        <v/>
      </c>
      <c r="AD17" s="35" t="str">
        <f aca="false">IF($A22="","",IF(OR(AA22="",AB22="",AC22=""),"",AA22*POWER(1+AB22,AC22)))</f>
        <v/>
      </c>
      <c r="AE17" s="41" t="str">
        <f aca="false">IF($A22="","",IF(OR(AD22="",AD22=0),"",B22/AD22-1))</f>
        <v/>
      </c>
      <c r="AG17" s="1" t="str">
        <f aca="false">IF($A22="","",IF(B22&lt;30000,"婴儿",IF(B22&lt;100000,"成长","成熟")))</f>
        <v/>
      </c>
      <c r="AH17" s="42"/>
      <c r="AJ17" s="42"/>
      <c r="AK17" s="42"/>
      <c r="AM17" s="42"/>
      <c r="AP17" s="32"/>
      <c r="AQ17" s="43" t="str">
        <f aca="false">IF($A22="","",B22-$AA$2-SUM($F$2:F22))</f>
        <v/>
      </c>
      <c r="AR17" s="1" t="str">
        <f aca="false">IF($A21="","",30000)</f>
        <v/>
      </c>
      <c r="AS17" s="1" t="str">
        <f aca="false">IF($A21="","",AR21-B21)</f>
        <v/>
      </c>
      <c r="AT17" s="1" t="str">
        <f aca="false">IF($A21="","",IFERROR(B21/AR21,0))</f>
        <v/>
      </c>
      <c r="AU17" s="1" t="str">
        <f aca="false">IF($A21="","",IFERROR(B21*O21,0))</f>
        <v/>
      </c>
      <c r="AV17" s="1" t="str">
        <f aca="false">IF($A21="","",IFERROR(C21/B21,0))</f>
        <v/>
      </c>
      <c r="AW17" s="1" t="str">
        <f aca="false">IF($A21="","",MAX(0,R21-S21))</f>
        <v/>
      </c>
      <c r="AX17" s="1" t="str">
        <f aca="false">IF($A21="","",IF(AW21&gt;0,"优先降持仓数",IF(C21&lt;=0,"现金不足","允许评估")))</f>
        <v/>
      </c>
      <c r="AY17" s="1" t="str">
        <f aca="false">IF($A21="","",IF(B21&lt;30000,"婴儿阶段: 优先活下来,禁止单票失控,限制持仓数,服务3W目标","幼儿阶段达成"))</f>
        <v/>
      </c>
    </row>
    <row r="18" customFormat="false" ht="15" hidden="false" customHeight="true" outlineLevel="0" collapsed="false">
      <c r="A18" s="30"/>
      <c r="B18" s="44"/>
      <c r="C18" s="44"/>
      <c r="D18" s="35" t="str">
        <f aca="false">IF($A23="","",SUMIFS(持仓表!$J:$J,持仓表!$A:$A,$A23))</f>
        <v/>
      </c>
      <c r="E18" s="36" t="n">
        <f aca="false">IFERROR(D23/B23,0)</f>
        <v>0</v>
      </c>
      <c r="F18" s="44"/>
      <c r="G18" s="35" t="str">
        <f aca="false">IF($B23="","",MAX($B$2:B23))</f>
        <v/>
      </c>
      <c r="H18" s="36" t="n">
        <f aca="false">IFERROR((B23-F23)/F23,0)</f>
        <v>0</v>
      </c>
      <c r="I18" s="36" t="n">
        <f aca="false">IFERROR((B23-G23)/G23,0)</f>
        <v>0</v>
      </c>
      <c r="J18" s="30"/>
      <c r="K18" s="31"/>
      <c r="L18" s="45"/>
      <c r="M18" s="45"/>
      <c r="N18" s="36" t="str">
        <f aca="false">IF($B23="","",MIN(70%,IF($I23&lt;=-15%,10%,IF($I23&lt;=-10%,30%,IF($M23&gt;=4,10%,IF($M23&gt;=3,30%,IF($J23="强",IF($K23="A",70%,IF($K23="B",60%,40%)),IF($J23="中性",IF($K23="A",50%,IF($K23="B",40%,25%)),IF($K23="A",30%,IF($K23="B",20%,10%))))))))))</f>
        <v/>
      </c>
      <c r="O18" s="36" t="str">
        <f aca="false">IF($B23="","",IF(B23&lt;30000,35%,IF(B23&lt;50000,30%,IF(B23&lt;100000,25%,20%))))</f>
        <v/>
      </c>
      <c r="P18" s="38" t="str">
        <f aca="false">IF($A23="","",COUNTIFS(持仓表!$A:$A,$A23,持仓表!$G:$G,"&gt;0"))</f>
        <v/>
      </c>
      <c r="Q18" s="38" t="str">
        <f aca="false">IF($A23="","",COUNTIFS(持仓表!$A:$A,$A23,持仓表!$D:$D,"是",持仓表!$G:$G,"&gt;0"))</f>
        <v/>
      </c>
      <c r="R18" s="38" t="str">
        <f aca="false">IF($A23="","",MAX(0,P23-Q23))</f>
        <v/>
      </c>
      <c r="S18" s="38" t="str">
        <f aca="false">IF($B23="","",IF(B23&lt;50000,3,IF(B23&lt;100000,4,5)))</f>
        <v/>
      </c>
      <c r="T18" s="39" t="str">
        <f aca="false">IF($A23="","",IF(OR(M23&gt;=4,I23&lt;=-8%),"防守",IF(OR(M23&gt;=2,I23&lt;=-5%),"警戒","正常")))</f>
        <v/>
      </c>
      <c r="U18" s="39" t="str">
        <f aca="false">IF($A23="","",IF(AND(L23&gt;=3,M23&lt;=2,T23&lt;&gt;"防守"),"是","否"))</f>
        <v/>
      </c>
      <c r="V18" s="39" t="str">
        <f aca="false">IF($A23="","",IF(AND(E23&lt;N23,R23&lt;S23,M23&lt;=2,I23&gt;-15%),"是","否"))</f>
        <v/>
      </c>
      <c r="W18" s="39" t="str">
        <f aca="false">IF($A23="","",IF(OR(M23&gt;=3,I23&lt;=-15%),"是","否"))</f>
        <v/>
      </c>
      <c r="X18" s="35" t="str">
        <f aca="false">IF($A23="","",IFERROR(maxifs(候选池!$AB:$AB,候选池!$A:$A,$A23),0))</f>
        <v/>
      </c>
      <c r="Y18" s="35" t="str">
        <f aca="false">IF($A23="","",IF(OR(M23&gt;=4,I23&lt;=-8%),MAX(0,B23*60%-C23),IF(AND(ISNUMBER(AD23),B23&gt;AD23),IF(B23&lt;30000,0,IF(B23&lt;100000,MAX(0,(B23-AD23)*0.2),MAX(0,(B23-AD23)*0.3))),0)))</f>
        <v/>
      </c>
      <c r="Z18" s="30"/>
      <c r="AA18" s="39" t="str">
        <f aca="false">IF($A23="","",IF($AA$2&lt;&gt;"",$AA$2,""))</f>
        <v/>
      </c>
      <c r="AB18" s="30" t="str">
        <f aca="false">IF($A23="","",IF(B23&lt;30000,0.03,IF(B23&lt;100000,0.02,0.015)))</f>
        <v/>
      </c>
      <c r="AC18" s="38" t="str">
        <f aca="false">IF($A23="","",IFERROR(DATEDIF($A$2,$A23,"m"),0))</f>
        <v/>
      </c>
      <c r="AD18" s="35" t="str">
        <f aca="false">IF($A23="","",IF(OR(AA23="",AB23="",AC23=""),"",AA23*POWER(1+AB23,AC23)))</f>
        <v/>
      </c>
      <c r="AE18" s="47" t="str">
        <f aca="false">IF($A23="","",IF(OR(AD23="",AD23=0),"",B23/AD23-1))</f>
        <v/>
      </c>
      <c r="AG18" s="1" t="str">
        <f aca="false">IF($A23="","",IF(B23&lt;30000,"婴儿",IF(B23&lt;100000,"成长","成熟")))</f>
        <v/>
      </c>
      <c r="AH18" s="42"/>
      <c r="AJ18" s="42"/>
      <c r="AK18" s="42"/>
      <c r="AM18" s="42"/>
      <c r="AP18" s="32"/>
      <c r="AQ18" s="43" t="str">
        <f aca="false">IF($A23="","",B23-$AA$2-SUM($F$2:F23))</f>
        <v/>
      </c>
      <c r="AR18" s="1" t="str">
        <f aca="false">IF($A22="","",30000)</f>
        <v/>
      </c>
      <c r="AS18" s="1" t="str">
        <f aca="false">IF($A22="","",AR22-B22)</f>
        <v/>
      </c>
      <c r="AT18" s="1" t="str">
        <f aca="false">IF($A22="","",IFERROR(B22/AR22,0))</f>
        <v/>
      </c>
      <c r="AU18" s="1" t="str">
        <f aca="false">IF($A22="","",IFERROR(B22*O22,0))</f>
        <v/>
      </c>
      <c r="AV18" s="1" t="str">
        <f aca="false">IF($A22="","",IFERROR(C22/B22,0))</f>
        <v/>
      </c>
      <c r="AW18" s="1" t="str">
        <f aca="false">IF($A22="","",MAX(0,R22-S22))</f>
        <v/>
      </c>
      <c r="AX18" s="1" t="str">
        <f aca="false">IF($A22="","",IF(AW22&gt;0,"优先降持仓数",IF(C22&lt;=0,"现金不足","允许评估")))</f>
        <v/>
      </c>
      <c r="AY18" s="1" t="str">
        <f aca="false">IF($A22="","",IF(B22&lt;30000,"婴儿阶段: 优先活下来,禁止单票失控,限制持仓数,服务3W目标","幼儿阶段达成"))</f>
        <v/>
      </c>
    </row>
    <row r="19" customFormat="false" ht="15" hidden="false" customHeight="true" outlineLevel="0" collapsed="false">
      <c r="A19" s="28"/>
      <c r="B19" s="34"/>
      <c r="C19" s="34"/>
      <c r="D19" s="35" t="str">
        <f aca="false">IF($A24="","",SUMIFS(持仓表!$J:$J,持仓表!$A:$A,$A24))</f>
        <v/>
      </c>
      <c r="E19" s="36" t="n">
        <f aca="false">IFERROR(D24/B24,0)</f>
        <v>0</v>
      </c>
      <c r="F19" s="34"/>
      <c r="G19" s="35" t="str">
        <f aca="false">IF($B24="","",MAX($B$2:B24))</f>
        <v/>
      </c>
      <c r="H19" s="36" t="n">
        <f aca="false">IFERROR((B24-F24)/F24,0)</f>
        <v>0</v>
      </c>
      <c r="I19" s="36" t="n">
        <f aca="false">IFERROR((B24-G24)/G24,0)</f>
        <v>0</v>
      </c>
      <c r="J19" s="28"/>
      <c r="K19" s="29"/>
      <c r="L19" s="37"/>
      <c r="M19" s="37"/>
      <c r="N19" s="36" t="str">
        <f aca="false">IF($B24="","",MIN(70%,IF($I24&lt;=-15%,10%,IF($I24&lt;=-10%,30%,IF($M24&gt;=4,10%,IF($M24&gt;=3,30%,IF($J24="强",IF($K24="A",70%,IF($K24="B",60%,40%)),IF($J24="中性",IF($K24="A",50%,IF($K24="B",40%,25%)),IF($K24="A",30%,IF($K24="B",20%,10%))))))))))</f>
        <v/>
      </c>
      <c r="O19" s="36" t="str">
        <f aca="false">IF($B24="","",IF(B24&lt;30000,35%,IF(B24&lt;50000,30%,IF(B24&lt;100000,25%,20%))))</f>
        <v/>
      </c>
      <c r="P19" s="38" t="str">
        <f aca="false">IF($A24="","",COUNTIFS(持仓表!$A:$A,$A24,持仓表!$G:$G,"&gt;0"))</f>
        <v/>
      </c>
      <c r="Q19" s="38" t="str">
        <f aca="false">IF($A24="","",COUNTIFS(持仓表!$A:$A,$A24,持仓表!$D:$D,"是",持仓表!$G:$G,"&gt;0"))</f>
        <v/>
      </c>
      <c r="R19" s="38" t="str">
        <f aca="false">IF($A24="","",MAX(0,P24-Q24))</f>
        <v/>
      </c>
      <c r="S19" s="38" t="str">
        <f aca="false">IF($B24="","",IF(B24&lt;50000,3,IF(B24&lt;100000,4,5)))</f>
        <v/>
      </c>
      <c r="T19" s="39" t="str">
        <f aca="false">IF($A24="","",IF(OR(M24&gt;=4,I24&lt;=-8%),"防守",IF(OR(M24&gt;=2,I24&lt;=-5%),"警戒","正常")))</f>
        <v/>
      </c>
      <c r="U19" s="39" t="str">
        <f aca="false">IF($A24="","",IF(AND(L24&gt;=3,M24&lt;=2,T24&lt;&gt;"防守"),"是","否"))</f>
        <v/>
      </c>
      <c r="V19" s="39" t="str">
        <f aca="false">IF($A24="","",IF(AND(E24&lt;N24,R24&lt;S24,M24&lt;=2,I24&gt;-15%),"是","否"))</f>
        <v/>
      </c>
      <c r="W19" s="39" t="str">
        <f aca="false">IF($A24="","",IF(OR(M24&gt;=3,I24&lt;=-15%),"是","否"))</f>
        <v/>
      </c>
      <c r="X19" s="35" t="str">
        <f aca="false">IF($A24="","",IFERROR(maxifs(候选池!$AB:$AB,候选池!$A:$A,$A24),0))</f>
        <v/>
      </c>
      <c r="Y19" s="35" t="str">
        <f aca="false">IF($A24="","",IF(OR(M24&gt;=4,I24&lt;=-8%),MAX(0,B24*60%-C24),IF(AND(ISNUMBER(AD24),B24&gt;AD24),IF(B24&lt;30000,0,IF(B24&lt;100000,MAX(0,(B24-AD24)*0.2),MAX(0,(B24-AD24)*0.3))),0)))</f>
        <v/>
      </c>
      <c r="Z19" s="28"/>
      <c r="AA19" s="39" t="str">
        <f aca="false">IF($A24="","",IF($AA$2&lt;&gt;"",$AA$2,""))</f>
        <v/>
      </c>
      <c r="AB19" s="28" t="str">
        <f aca="false">IF($A24="","",IF(B24&lt;30000,0.03,IF(B24&lt;100000,0.02,0.015)))</f>
        <v/>
      </c>
      <c r="AC19" s="38" t="str">
        <f aca="false">IF($A24="","",IFERROR(DATEDIF($A$2,$A24,"m"),0))</f>
        <v/>
      </c>
      <c r="AD19" s="35" t="str">
        <f aca="false">IF($A24="","",IF(OR(AA24="",AB24="",AC24=""),"",AA24*POWER(1+AB24,AC24)))</f>
        <v/>
      </c>
      <c r="AE19" s="41" t="str">
        <f aca="false">IF($A24="","",IF(OR(AD24="",AD24=0),"",B24/AD24-1))</f>
        <v/>
      </c>
      <c r="AG19" s="1" t="str">
        <f aca="false">IF($A24="","",IF(B24&lt;30000,"婴儿",IF(B24&lt;100000,"成长","成熟")))</f>
        <v/>
      </c>
      <c r="AH19" s="42"/>
      <c r="AJ19" s="42"/>
      <c r="AK19" s="42"/>
      <c r="AM19" s="42"/>
      <c r="AP19" s="32"/>
      <c r="AQ19" s="43" t="str">
        <f aca="false">IF($A24="","",B24-$AA$2-SUM($F$2:F24))</f>
        <v/>
      </c>
      <c r="AR19" s="1" t="str">
        <f aca="false">IF($A23="","",30000)</f>
        <v/>
      </c>
      <c r="AS19" s="1" t="str">
        <f aca="false">IF($A23="","",AR23-B23)</f>
        <v/>
      </c>
      <c r="AT19" s="1" t="str">
        <f aca="false">IF($A23="","",IFERROR(B23/AR23,0))</f>
        <v/>
      </c>
      <c r="AU19" s="1" t="str">
        <f aca="false">IF($A23="","",IFERROR(B23*O23,0))</f>
        <v/>
      </c>
      <c r="AV19" s="1" t="str">
        <f aca="false">IF($A23="","",IFERROR(C23/B23,0))</f>
        <v/>
      </c>
      <c r="AW19" s="1" t="str">
        <f aca="false">IF($A23="","",MAX(0,R23-S23))</f>
        <v/>
      </c>
      <c r="AX19" s="1" t="str">
        <f aca="false">IF($A23="","",IF(AW23&gt;0,"优先降持仓数",IF(C23&lt;=0,"现金不足","允许评估")))</f>
        <v/>
      </c>
      <c r="AY19" s="1" t="str">
        <f aca="false">IF($A23="","",IF(B23&lt;30000,"婴儿阶段: 优先活下来,禁止单票失控,限制持仓数,服务3W目标","幼儿阶段达成"))</f>
        <v/>
      </c>
    </row>
    <row r="20" customFormat="false" ht="15" hidden="false" customHeight="true" outlineLevel="0" collapsed="false">
      <c r="A20" s="30"/>
      <c r="B20" s="44"/>
      <c r="C20" s="44"/>
      <c r="D20" s="35" t="str">
        <f aca="false">IF($A25="","",SUMIFS(持仓表!$J:$J,持仓表!$A:$A,$A25))</f>
        <v/>
      </c>
      <c r="E20" s="36" t="n">
        <f aca="false">IFERROR(D25/B25,0)</f>
        <v>0</v>
      </c>
      <c r="F20" s="44"/>
      <c r="G20" s="35" t="str">
        <f aca="false">IF($B25="","",MAX($B$2:B25))</f>
        <v/>
      </c>
      <c r="H20" s="36" t="n">
        <f aca="false">IFERROR((B25-F25)/F25,0)</f>
        <v>0</v>
      </c>
      <c r="I20" s="36" t="n">
        <f aca="false">IFERROR((B25-G25)/G25,0)</f>
        <v>0</v>
      </c>
      <c r="J20" s="30"/>
      <c r="K20" s="31"/>
      <c r="L20" s="45"/>
      <c r="M20" s="45"/>
      <c r="N20" s="36" t="str">
        <f aca="false">IF($B25="","",MIN(70%,IF($I25&lt;=-15%,10%,IF($I25&lt;=-10%,30%,IF($M25&gt;=4,10%,IF($M25&gt;=3,30%,IF($J25="强",IF($K25="A",70%,IF($K25="B",60%,40%)),IF($J25="中性",IF($K25="A",50%,IF($K25="B",40%,25%)),IF($K25="A",30%,IF($K25="B",20%,10%))))))))))</f>
        <v/>
      </c>
      <c r="O20" s="36" t="str">
        <f aca="false">IF($B25="","",IF(B25&lt;30000,35%,IF(B25&lt;50000,30%,IF(B25&lt;100000,25%,20%))))</f>
        <v/>
      </c>
      <c r="P20" s="38" t="str">
        <f aca="false">IF($A25="","",COUNTIFS(持仓表!$A:$A,$A25,持仓表!$G:$G,"&gt;0"))</f>
        <v/>
      </c>
      <c r="Q20" s="38" t="str">
        <f aca="false">IF($A25="","",COUNTIFS(持仓表!$A:$A,$A25,持仓表!$D:$D,"是",持仓表!$G:$G,"&gt;0"))</f>
        <v/>
      </c>
      <c r="R20" s="38" t="str">
        <f aca="false">IF($A25="","",MAX(0,P25-Q25))</f>
        <v/>
      </c>
      <c r="S20" s="38" t="str">
        <f aca="false">IF($B25="","",IF(B25&lt;50000,3,IF(B25&lt;100000,4,5)))</f>
        <v/>
      </c>
      <c r="T20" s="39" t="str">
        <f aca="false">IF($A25="","",IF(OR(M25&gt;=4,I25&lt;=-8%),"防守",IF(OR(M25&gt;=2,I25&lt;=-5%),"警戒","正常")))</f>
        <v/>
      </c>
      <c r="U20" s="39" t="str">
        <f aca="false">IF($A25="","",IF(AND(L25&gt;=3,M25&lt;=2,T25&lt;&gt;"防守"),"是","否"))</f>
        <v/>
      </c>
      <c r="V20" s="39" t="str">
        <f aca="false">IF($A25="","",IF(AND(E25&lt;N25,R25&lt;S25,M25&lt;=2,I25&gt;-15%),"是","否"))</f>
        <v/>
      </c>
      <c r="W20" s="39" t="str">
        <f aca="false">IF($A25="","",IF(OR(M25&gt;=3,I25&lt;=-15%),"是","否"))</f>
        <v/>
      </c>
      <c r="X20" s="35" t="str">
        <f aca="false">IF($A25="","",IFERROR(maxifs(候选池!$AB:$AB,候选池!$A:$A,$A25),0))</f>
        <v/>
      </c>
      <c r="Y20" s="35" t="str">
        <f aca="false">IF($A25="","",IF(OR(M25&gt;=4,I25&lt;=-8%),MAX(0,B25*60%-C25),IF(AND(ISNUMBER(AD25),B25&gt;AD25),IF(B25&lt;30000,0,IF(B25&lt;100000,MAX(0,(B25-AD25)*0.2),MAX(0,(B25-AD25)*0.3))),0)))</f>
        <v/>
      </c>
      <c r="Z20" s="30"/>
      <c r="AA20" s="39" t="str">
        <f aca="false">IF($A25="","",IF($AA$2&lt;&gt;"",$AA$2,""))</f>
        <v/>
      </c>
      <c r="AB20" s="30" t="str">
        <f aca="false">IF($A25="","",IF(B25&lt;30000,0.03,IF(B25&lt;100000,0.02,0.015)))</f>
        <v/>
      </c>
      <c r="AC20" s="38" t="str">
        <f aca="false">IF($A25="","",IFERROR(DATEDIF($A$2,$A25,"m"),0))</f>
        <v/>
      </c>
      <c r="AD20" s="35" t="str">
        <f aca="false">IF($A25="","",IF(OR(AA25="",AB25="",AC25=""),"",AA25*POWER(1+AB25,AC25)))</f>
        <v/>
      </c>
      <c r="AE20" s="47" t="str">
        <f aca="false">IF($A25="","",IF(OR(AD25="",AD25=0),"",B25/AD25-1))</f>
        <v/>
      </c>
      <c r="AG20" s="1" t="str">
        <f aca="false">IF($A25="","",IF(B25&lt;30000,"婴儿",IF(B25&lt;100000,"成长","成熟")))</f>
        <v/>
      </c>
      <c r="AH20" s="42"/>
      <c r="AJ20" s="42"/>
      <c r="AK20" s="42"/>
      <c r="AM20" s="42"/>
      <c r="AP20" s="32"/>
      <c r="AQ20" s="43" t="str">
        <f aca="false">IF($A25="","",B25-$AA$2-SUM($F$2:F25))</f>
        <v/>
      </c>
      <c r="AR20" s="1" t="str">
        <f aca="false">IF($A24="","",30000)</f>
        <v/>
      </c>
      <c r="AS20" s="1" t="str">
        <f aca="false">IF($A24="","",AR24-B24)</f>
        <v/>
      </c>
      <c r="AT20" s="1" t="str">
        <f aca="false">IF($A24="","",IFERROR(B24/AR24,0))</f>
        <v/>
      </c>
      <c r="AU20" s="1" t="str">
        <f aca="false">IF($A24="","",IFERROR(B24*O24,0))</f>
        <v/>
      </c>
      <c r="AV20" s="1" t="str">
        <f aca="false">IF($A24="","",IFERROR(C24/B24,0))</f>
        <v/>
      </c>
      <c r="AW20" s="1" t="str">
        <f aca="false">IF($A24="","",MAX(0,R24-S24))</f>
        <v/>
      </c>
      <c r="AX20" s="1" t="str">
        <f aca="false">IF($A24="","",IF(AW24&gt;0,"优先降持仓数",IF(C24&lt;=0,"现金不足","允许评估")))</f>
        <v/>
      </c>
      <c r="AY20" s="1" t="str">
        <f aca="false">IF($A24="","",IF(B24&lt;30000,"婴儿阶段: 优先活下来,禁止单票失控,限制持仓数,服务3W目标","幼儿阶段达成"))</f>
        <v/>
      </c>
    </row>
    <row r="21" customFormat="false" ht="15" hidden="false" customHeight="true" outlineLevel="0" collapsed="false">
      <c r="A21" s="28"/>
      <c r="B21" s="34"/>
      <c r="C21" s="34"/>
      <c r="D21" s="35" t="str">
        <f aca="false">IF($A26="","",SUMIFS(持仓表!$J:$J,持仓表!$A:$A,$A26))</f>
        <v/>
      </c>
      <c r="E21" s="36" t="n">
        <f aca="false">IFERROR(D26/B26,0)</f>
        <v>0</v>
      </c>
      <c r="F21" s="34"/>
      <c r="G21" s="35" t="str">
        <f aca="false">IF($B26="","",MAX($B$2:B26))</f>
        <v/>
      </c>
      <c r="H21" s="36" t="n">
        <f aca="false">IFERROR((B26-F26)/F26,0)</f>
        <v>0</v>
      </c>
      <c r="I21" s="36" t="n">
        <f aca="false">IFERROR((B26-G26)/G26,0)</f>
        <v>0</v>
      </c>
      <c r="J21" s="28"/>
      <c r="K21" s="29"/>
      <c r="L21" s="37"/>
      <c r="M21" s="37"/>
      <c r="N21" s="36" t="str">
        <f aca="false">IF($B26="","",MIN(70%,IF($I26&lt;=-15%,10%,IF($I26&lt;=-10%,30%,IF($M26&gt;=4,10%,IF($M26&gt;=3,30%,IF($J26="强",IF($K26="A",70%,IF($K26="B",60%,40%)),IF($J26="中性",IF($K26="A",50%,IF($K26="B",40%,25%)),IF($K26="A",30%,IF($K26="B",20%,10%))))))))))</f>
        <v/>
      </c>
      <c r="O21" s="36" t="str">
        <f aca="false">IF($B26="","",IF(B26&lt;30000,35%,IF(B26&lt;50000,30%,IF(B26&lt;100000,25%,20%))))</f>
        <v/>
      </c>
      <c r="P21" s="38" t="str">
        <f aca="false">IF($A26="","",COUNTIFS(持仓表!$A:$A,$A26,持仓表!$G:$G,"&gt;0"))</f>
        <v/>
      </c>
      <c r="Q21" s="38" t="str">
        <f aca="false">IF($A26="","",COUNTIFS(持仓表!$A:$A,$A26,持仓表!$D:$D,"是",持仓表!$G:$G,"&gt;0"))</f>
        <v/>
      </c>
      <c r="R21" s="38" t="str">
        <f aca="false">IF($A26="","",MAX(0,P26-Q26))</f>
        <v/>
      </c>
      <c r="S21" s="38" t="str">
        <f aca="false">IF($B26="","",IF(B26&lt;50000,3,IF(B26&lt;100000,4,5)))</f>
        <v/>
      </c>
      <c r="T21" s="39" t="str">
        <f aca="false">IF($A26="","",IF(OR(M26&gt;=4,I26&lt;=-8%),"防守",IF(OR(M26&gt;=2,I26&lt;=-5%),"警戒","正常")))</f>
        <v/>
      </c>
      <c r="U21" s="39" t="str">
        <f aca="false">IF($A26="","",IF(AND(L26&gt;=3,M26&lt;=2,T26&lt;&gt;"防守"),"是","否"))</f>
        <v/>
      </c>
      <c r="V21" s="39" t="str">
        <f aca="false">IF($A26="","",IF(AND(E26&lt;N26,R26&lt;S26,M26&lt;=2,I26&gt;-15%),"是","否"))</f>
        <v/>
      </c>
      <c r="W21" s="39" t="str">
        <f aca="false">IF($A26="","",IF(OR(M26&gt;=3,I26&lt;=-15%),"是","否"))</f>
        <v/>
      </c>
      <c r="X21" s="35" t="str">
        <f aca="false">IF($A26="","",IFERROR(maxifs(候选池!$AB:$AB,候选池!$A:$A,$A26),0))</f>
        <v/>
      </c>
      <c r="Y21" s="35" t="str">
        <f aca="false">IF($A26="","",IF(OR(M26&gt;=4,I26&lt;=-8%),MAX(0,B26*60%-C26),IF(AND(ISNUMBER(AD26),B26&gt;AD26),IF(B26&lt;30000,0,IF(B26&lt;100000,MAX(0,(B26-AD26)*0.2),MAX(0,(B26-AD26)*0.3))),0)))</f>
        <v/>
      </c>
      <c r="Z21" s="28"/>
      <c r="AA21" s="39" t="str">
        <f aca="false">IF($A26="","",IF($AA$2&lt;&gt;"",$AA$2,""))</f>
        <v/>
      </c>
      <c r="AB21" s="28" t="str">
        <f aca="false">IF($A26="","",IF(B26&lt;30000,0.03,IF(B26&lt;100000,0.02,0.015)))</f>
        <v/>
      </c>
      <c r="AC21" s="38" t="str">
        <f aca="false">IF($A26="","",IFERROR(DATEDIF($A$2,$A26,"m"),0))</f>
        <v/>
      </c>
      <c r="AD21" s="35" t="str">
        <f aca="false">IF($A26="","",IF(OR(AA26="",AB26="",AC26=""),"",AA26*POWER(1+AB26,AC26)))</f>
        <v/>
      </c>
      <c r="AE21" s="41" t="str">
        <f aca="false">IF($A26="","",IF(OR(AD26="",AD26=0),"",B26/AD26-1))</f>
        <v/>
      </c>
      <c r="AG21" s="1" t="str">
        <f aca="false">IF($A26="","",IF(B26&lt;30000,"婴儿",IF(B26&lt;100000,"成长","成熟")))</f>
        <v/>
      </c>
      <c r="AH21" s="42"/>
      <c r="AJ21" s="42"/>
      <c r="AK21" s="42"/>
      <c r="AM21" s="42"/>
      <c r="AP21" s="32"/>
      <c r="AQ21" s="43" t="str">
        <f aca="false">IF($A26="","",B26-$AA$2-SUM($F$2:F26))</f>
        <v/>
      </c>
      <c r="AR21" s="1" t="str">
        <f aca="false">IF($A25="","",30000)</f>
        <v/>
      </c>
      <c r="AS21" s="1" t="str">
        <f aca="false">IF($A25="","",AR25-B25)</f>
        <v/>
      </c>
      <c r="AT21" s="1" t="str">
        <f aca="false">IF($A25="","",IFERROR(B25/AR25,0))</f>
        <v/>
      </c>
      <c r="AU21" s="1" t="str">
        <f aca="false">IF($A25="","",IFERROR(B25*O25,0))</f>
        <v/>
      </c>
      <c r="AV21" s="1" t="str">
        <f aca="false">IF($A25="","",IFERROR(C25/B25,0))</f>
        <v/>
      </c>
      <c r="AW21" s="1" t="str">
        <f aca="false">IF($A25="","",MAX(0,R25-S25))</f>
        <v/>
      </c>
      <c r="AX21" s="1" t="str">
        <f aca="false">IF($A25="","",IF(AW25&gt;0,"优先降持仓数",IF(C25&lt;=0,"现金不足","允许评估")))</f>
        <v/>
      </c>
      <c r="AY21" s="1" t="str">
        <f aca="false">IF($A25="","",IF(B25&lt;30000,"婴儿阶段: 优先活下来,禁止单票失控,限制持仓数,服务3W目标","幼儿阶段达成"))</f>
        <v/>
      </c>
    </row>
    <row r="22" customFormat="false" ht="15" hidden="false" customHeight="true" outlineLevel="0" collapsed="false">
      <c r="A22" s="30"/>
      <c r="B22" s="44"/>
      <c r="C22" s="44"/>
      <c r="D22" s="35" t="str">
        <f aca="false">IF($A27="","",SUMIFS(持仓表!$J:$J,持仓表!$A:$A,$A27))</f>
        <v/>
      </c>
      <c r="E22" s="36" t="n">
        <f aca="false">IFERROR(D27/B27,0)</f>
        <v>0</v>
      </c>
      <c r="F22" s="44"/>
      <c r="G22" s="35" t="str">
        <f aca="false">IF($B27="","",MAX($B$2:B27))</f>
        <v/>
      </c>
      <c r="H22" s="36" t="n">
        <f aca="false">IFERROR((B27-F27)/F27,0)</f>
        <v>0</v>
      </c>
      <c r="I22" s="36" t="n">
        <f aca="false">IFERROR((B27-G27)/G27,0)</f>
        <v>0</v>
      </c>
      <c r="J22" s="30"/>
      <c r="K22" s="31"/>
      <c r="L22" s="45"/>
      <c r="M22" s="45"/>
      <c r="N22" s="36" t="str">
        <f aca="false">IF($B27="","",MIN(70%,IF($I27&lt;=-15%,10%,IF($I27&lt;=-10%,30%,IF($M27&gt;=4,10%,IF($M27&gt;=3,30%,IF($J27="强",IF($K27="A",70%,IF($K27="B",60%,40%)),IF($J27="中性",IF($K27="A",50%,IF($K27="B",40%,25%)),IF($K27="A",30%,IF($K27="B",20%,10%))))))))))</f>
        <v/>
      </c>
      <c r="O22" s="36" t="str">
        <f aca="false">IF($B27="","",IF(B27&lt;30000,35%,IF(B27&lt;50000,30%,IF(B27&lt;100000,25%,20%))))</f>
        <v/>
      </c>
      <c r="P22" s="38" t="str">
        <f aca="false">IF($A27="","",COUNTIFS(持仓表!$A:$A,$A27,持仓表!$G:$G,"&gt;0"))</f>
        <v/>
      </c>
      <c r="Q22" s="38" t="str">
        <f aca="false">IF($A27="","",COUNTIFS(持仓表!$A:$A,$A27,持仓表!$D:$D,"是",持仓表!$G:$G,"&gt;0"))</f>
        <v/>
      </c>
      <c r="R22" s="38" t="str">
        <f aca="false">IF($A27="","",MAX(0,P27-Q27))</f>
        <v/>
      </c>
      <c r="S22" s="38" t="str">
        <f aca="false">IF($B27="","",IF(B27&lt;50000,3,IF(B27&lt;100000,4,5)))</f>
        <v/>
      </c>
      <c r="T22" s="39" t="str">
        <f aca="false">IF($A27="","",IF(OR(M27&gt;=4,I27&lt;=-8%),"防守",IF(OR(M27&gt;=2,I27&lt;=-5%),"警戒","正常")))</f>
        <v/>
      </c>
      <c r="U22" s="39" t="str">
        <f aca="false">IF($A27="","",IF(AND(L27&gt;=3,M27&lt;=2,T27&lt;&gt;"防守"),"是","否"))</f>
        <v/>
      </c>
      <c r="V22" s="39" t="str">
        <f aca="false">IF($A27="","",IF(AND(E27&lt;N27,R27&lt;S27,M27&lt;=2,I27&gt;-15%),"是","否"))</f>
        <v/>
      </c>
      <c r="W22" s="39" t="str">
        <f aca="false">IF($A27="","",IF(OR(M27&gt;=3,I27&lt;=-15%),"是","否"))</f>
        <v/>
      </c>
      <c r="X22" s="35" t="str">
        <f aca="false">IF($A27="","",IFERROR(maxifs(候选池!$AB:$AB,候选池!$A:$A,$A27),0))</f>
        <v/>
      </c>
      <c r="Y22" s="35" t="str">
        <f aca="false">IF($A27="","",IF(OR(M27&gt;=4,I27&lt;=-8%),MAX(0,B27*60%-C27),IF(AND(ISNUMBER(AD27),B27&gt;AD27),IF(B27&lt;30000,0,IF(B27&lt;100000,MAX(0,(B27-AD27)*0.2),MAX(0,(B27-AD27)*0.3))),0)))</f>
        <v/>
      </c>
      <c r="Z22" s="30"/>
      <c r="AA22" s="39" t="str">
        <f aca="false">IF($A27="","",IF($AA$2&lt;&gt;"",$AA$2,""))</f>
        <v/>
      </c>
      <c r="AB22" s="30" t="str">
        <f aca="false">IF($A27="","",IF(B27&lt;30000,0.03,IF(B27&lt;100000,0.02,0.015)))</f>
        <v/>
      </c>
      <c r="AC22" s="38" t="str">
        <f aca="false">IF($A27="","",IFERROR(DATEDIF($A$2,$A27,"m"),0))</f>
        <v/>
      </c>
      <c r="AD22" s="35" t="str">
        <f aca="false">IF($A27="","",IF(OR(AA27="",AB27="",AC27=""),"",AA27*POWER(1+AB27,AC27)))</f>
        <v/>
      </c>
      <c r="AE22" s="47" t="str">
        <f aca="false">IF($A27="","",IF(OR(AD27="",AD27=0),"",B27/AD27-1))</f>
        <v/>
      </c>
      <c r="AG22" s="1" t="str">
        <f aca="false">IF($A27="","",IF(B27&lt;30000,"婴儿",IF(B27&lt;100000,"成长","成熟")))</f>
        <v/>
      </c>
      <c r="AH22" s="42"/>
      <c r="AJ22" s="42"/>
      <c r="AK22" s="42"/>
      <c r="AM22" s="42"/>
      <c r="AP22" s="32"/>
      <c r="AQ22" s="43" t="str">
        <f aca="false">IF($A27="","",B27-$AA$2-SUM($F$2:F27))</f>
        <v/>
      </c>
      <c r="AR22" s="1" t="str">
        <f aca="false">IF($A26="","",30000)</f>
        <v/>
      </c>
      <c r="AS22" s="1" t="str">
        <f aca="false">IF($A26="","",AR26-B26)</f>
        <v/>
      </c>
      <c r="AT22" s="1" t="str">
        <f aca="false">IF($A26="","",IFERROR(B26/AR26,0))</f>
        <v/>
      </c>
      <c r="AU22" s="1" t="str">
        <f aca="false">IF($A26="","",IFERROR(B26*O26,0))</f>
        <v/>
      </c>
      <c r="AV22" s="1" t="str">
        <f aca="false">IF($A26="","",IFERROR(C26/B26,0))</f>
        <v/>
      </c>
      <c r="AW22" s="1" t="str">
        <f aca="false">IF($A26="","",MAX(0,R26-S26))</f>
        <v/>
      </c>
      <c r="AX22" s="1" t="str">
        <f aca="false">IF($A26="","",IF(AW26&gt;0,"优先降持仓数",IF(C26&lt;=0,"现金不足","允许评估")))</f>
        <v/>
      </c>
      <c r="AY22" s="1" t="str">
        <f aca="false">IF($A26="","",IF(B26&lt;30000,"婴儿阶段: 优先活下来,禁止单票失控,限制持仓数,服务3W目标","幼儿阶段达成"))</f>
        <v/>
      </c>
    </row>
    <row r="23" customFormat="false" ht="15" hidden="false" customHeight="true" outlineLevel="0" collapsed="false">
      <c r="A23" s="28"/>
      <c r="B23" s="34"/>
      <c r="C23" s="34"/>
      <c r="D23" s="35" t="str">
        <f aca="false">IF($A28="","",SUMIFS(持仓表!$J:$J,持仓表!$A:$A,$A28))</f>
        <v/>
      </c>
      <c r="E23" s="36" t="n">
        <f aca="false">IFERROR(D28/B28,0)</f>
        <v>0</v>
      </c>
      <c r="F23" s="34"/>
      <c r="G23" s="35" t="str">
        <f aca="false">IF($B28="","",MAX($B$2:B28))</f>
        <v/>
      </c>
      <c r="H23" s="36" t="n">
        <f aca="false">IFERROR((B28-F28)/F28,0)</f>
        <v>0</v>
      </c>
      <c r="I23" s="36" t="n">
        <f aca="false">IFERROR((B28-G28)/G28,0)</f>
        <v>0</v>
      </c>
      <c r="J23" s="28"/>
      <c r="K23" s="29"/>
      <c r="L23" s="37"/>
      <c r="M23" s="37"/>
      <c r="N23" s="36" t="str">
        <f aca="false">IF($B28="","",MIN(70%,IF($I28&lt;=-15%,10%,IF($I28&lt;=-10%,30%,IF($M28&gt;=4,10%,IF($M28&gt;=3,30%,IF($J28="强",IF($K28="A",70%,IF($K28="B",60%,40%)),IF($J28="中性",IF($K28="A",50%,IF($K28="B",40%,25%)),IF($K28="A",30%,IF($K28="B",20%,10%))))))))))</f>
        <v/>
      </c>
      <c r="O23" s="36" t="str">
        <f aca="false">IF($B28="","",IF(B28&lt;30000,35%,IF(B28&lt;50000,30%,IF(B28&lt;100000,25%,20%))))</f>
        <v/>
      </c>
      <c r="P23" s="38" t="str">
        <f aca="false">IF($A28="","",COUNTIFS(持仓表!$A:$A,$A28,持仓表!$G:$G,"&gt;0"))</f>
        <v/>
      </c>
      <c r="Q23" s="38" t="str">
        <f aca="false">IF($A28="","",COUNTIFS(持仓表!$A:$A,$A28,持仓表!$D:$D,"是",持仓表!$G:$G,"&gt;0"))</f>
        <v/>
      </c>
      <c r="R23" s="38" t="str">
        <f aca="false">IF($A28="","",MAX(0,P28-Q28))</f>
        <v/>
      </c>
      <c r="S23" s="38" t="str">
        <f aca="false">IF($B28="","",IF(B28&lt;50000,3,IF(B28&lt;100000,4,5)))</f>
        <v/>
      </c>
      <c r="T23" s="39" t="str">
        <f aca="false">IF($A28="","",IF(OR(M28&gt;=4,I28&lt;=-8%),"防守",IF(OR(M28&gt;=2,I28&lt;=-5%),"警戒","正常")))</f>
        <v/>
      </c>
      <c r="U23" s="39" t="str">
        <f aca="false">IF($A28="","",IF(AND(L28&gt;=3,M28&lt;=2,T28&lt;&gt;"防守"),"是","否"))</f>
        <v/>
      </c>
      <c r="V23" s="39" t="str">
        <f aca="false">IF($A28="","",IF(AND(E28&lt;N28,R28&lt;S28,M28&lt;=2,I28&gt;-15%),"是","否"))</f>
        <v/>
      </c>
      <c r="W23" s="39" t="str">
        <f aca="false">IF($A28="","",IF(OR(M28&gt;=3,I28&lt;=-15%),"是","否"))</f>
        <v/>
      </c>
      <c r="X23" s="35" t="str">
        <f aca="false">IF($A28="","",IFERROR(maxifs(候选池!$AB:$AB,候选池!$A:$A,$A28),0))</f>
        <v/>
      </c>
      <c r="Y23" s="35" t="str">
        <f aca="false">IF($A28="","",IF(OR(M28&gt;=4,I28&lt;=-8%),MAX(0,B28*60%-C28),IF(AND(ISNUMBER(AD28),B28&gt;AD28),IF(B28&lt;30000,0,IF(B28&lt;100000,MAX(0,(B28-AD28)*0.2),MAX(0,(B28-AD28)*0.3))),0)))</f>
        <v/>
      </c>
      <c r="Z23" s="28"/>
      <c r="AA23" s="39" t="str">
        <f aca="false">IF($A28="","",IF($AA$2&lt;&gt;"",$AA$2,""))</f>
        <v/>
      </c>
      <c r="AB23" s="28" t="str">
        <f aca="false">IF($A28="","",IF(B28&lt;30000,0.03,IF(B28&lt;100000,0.02,0.015)))</f>
        <v/>
      </c>
      <c r="AC23" s="38" t="str">
        <f aca="false">IF($A28="","",IFERROR(DATEDIF($A$2,$A28,"m"),0))</f>
        <v/>
      </c>
      <c r="AD23" s="35" t="str">
        <f aca="false">IF($A28="","",IF(OR(AA28="",AB28="",AC28=""),"",AA28*POWER(1+AB28,AC28)))</f>
        <v/>
      </c>
      <c r="AE23" s="41" t="str">
        <f aca="false">IF($A28="","",IF(OR(AD28="",AD28=0),"",B28/AD28-1))</f>
        <v/>
      </c>
      <c r="AG23" s="1" t="str">
        <f aca="false">IF($A28="","",IF(B28&lt;30000,"婴儿",IF(B28&lt;100000,"成长","成熟")))</f>
        <v/>
      </c>
      <c r="AH23" s="42"/>
      <c r="AJ23" s="42"/>
      <c r="AK23" s="42"/>
      <c r="AM23" s="42"/>
      <c r="AP23" s="32"/>
      <c r="AQ23" s="43" t="str">
        <f aca="false">IF($A28="","",B28-$AA$2-SUM($F$2:F28))</f>
        <v/>
      </c>
      <c r="AR23" s="1" t="str">
        <f aca="false">IF($A27="","",30000)</f>
        <v/>
      </c>
      <c r="AS23" s="1" t="str">
        <f aca="false">IF($A27="","",AR27-B27)</f>
        <v/>
      </c>
      <c r="AT23" s="1" t="str">
        <f aca="false">IF($A27="","",IFERROR(B27/AR27,0))</f>
        <v/>
      </c>
      <c r="AU23" s="1" t="str">
        <f aca="false">IF($A27="","",IFERROR(B27*O27,0))</f>
        <v/>
      </c>
      <c r="AV23" s="1" t="str">
        <f aca="false">IF($A27="","",IFERROR(C27/B27,0))</f>
        <v/>
      </c>
      <c r="AW23" s="1" t="str">
        <f aca="false">IF($A27="","",MAX(0,R27-S27))</f>
        <v/>
      </c>
      <c r="AX23" s="1" t="str">
        <f aca="false">IF($A27="","",IF(AW27&gt;0,"优先降持仓数",IF(C27&lt;=0,"现金不足","允许评估")))</f>
        <v/>
      </c>
      <c r="AY23" s="1" t="str">
        <f aca="false">IF($A27="","",IF(B27&lt;30000,"婴儿阶段: 优先活下来,禁止单票失控,限制持仓数,服务3W目标","幼儿阶段达成"))</f>
        <v/>
      </c>
    </row>
    <row r="24" customFormat="false" ht="15" hidden="false" customHeight="true" outlineLevel="0" collapsed="false">
      <c r="A24" s="30"/>
      <c r="B24" s="44"/>
      <c r="C24" s="44"/>
      <c r="D24" s="35" t="str">
        <f aca="false">IF($A29="","",SUMIFS(持仓表!$J:$J,持仓表!$A:$A,$A29))</f>
        <v/>
      </c>
      <c r="E24" s="36" t="n">
        <f aca="false">IFERROR(D29/B29,0)</f>
        <v>0</v>
      </c>
      <c r="F24" s="44"/>
      <c r="G24" s="35" t="str">
        <f aca="false">IF($B29="","",MAX($B$2:B29))</f>
        <v/>
      </c>
      <c r="H24" s="36" t="n">
        <f aca="false">IFERROR((B29-F29)/F29,0)</f>
        <v>0</v>
      </c>
      <c r="I24" s="36" t="n">
        <f aca="false">IFERROR((B29-G29)/G29,0)</f>
        <v>0</v>
      </c>
      <c r="J24" s="30"/>
      <c r="K24" s="31"/>
      <c r="L24" s="45"/>
      <c r="M24" s="45"/>
      <c r="N24" s="36" t="str">
        <f aca="false">IF($B29="","",MIN(70%,IF($I29&lt;=-15%,10%,IF($I29&lt;=-10%,30%,IF($M29&gt;=4,10%,IF($M29&gt;=3,30%,IF($J29="强",IF($K29="A",70%,IF($K29="B",60%,40%)),IF($J29="中性",IF($K29="A",50%,IF($K29="B",40%,25%)),IF($K29="A",30%,IF($K29="B",20%,10%))))))))))</f>
        <v/>
      </c>
      <c r="O24" s="36" t="str">
        <f aca="false">IF($B29="","",IF(B29&lt;30000,35%,IF(B29&lt;50000,30%,IF(B29&lt;100000,25%,20%))))</f>
        <v/>
      </c>
      <c r="P24" s="38" t="str">
        <f aca="false">IF($A29="","",COUNTIFS(持仓表!$A:$A,$A29,持仓表!$G:$G,"&gt;0"))</f>
        <v/>
      </c>
      <c r="Q24" s="38" t="str">
        <f aca="false">IF($A29="","",COUNTIFS(持仓表!$A:$A,$A29,持仓表!$D:$D,"是",持仓表!$G:$G,"&gt;0"))</f>
        <v/>
      </c>
      <c r="R24" s="38" t="str">
        <f aca="false">IF($A29="","",MAX(0,P29-Q29))</f>
        <v/>
      </c>
      <c r="S24" s="38" t="str">
        <f aca="false">IF($B29="","",IF(B29&lt;50000,3,IF(B29&lt;100000,4,5)))</f>
        <v/>
      </c>
      <c r="T24" s="39" t="str">
        <f aca="false">IF($A29="","",IF(OR(M29&gt;=4,I29&lt;=-8%),"防守",IF(OR(M29&gt;=2,I29&lt;=-5%),"警戒","正常")))</f>
        <v/>
      </c>
      <c r="U24" s="39" t="str">
        <f aca="false">IF($A29="","",IF(AND(L29&gt;=3,M29&lt;=2,T29&lt;&gt;"防守"),"是","否"))</f>
        <v/>
      </c>
      <c r="V24" s="39" t="str">
        <f aca="false">IF($A29="","",IF(AND(E29&lt;N29,R29&lt;S29,M29&lt;=2,I29&gt;-15%),"是","否"))</f>
        <v/>
      </c>
      <c r="W24" s="39" t="str">
        <f aca="false">IF($A29="","",IF(OR(M29&gt;=3,I29&lt;=-15%),"是","否"))</f>
        <v/>
      </c>
      <c r="X24" s="35" t="str">
        <f aca="false">IF($A29="","",IFERROR(maxifs(候选池!$AB:$AB,候选池!$A:$A,$A29),0))</f>
        <v/>
      </c>
      <c r="Y24" s="35" t="str">
        <f aca="false">IF($A29="","",IF(OR(M29&gt;=4,I29&lt;=-8%),MAX(0,B29*60%-C29),IF(AND(ISNUMBER(AD29),B29&gt;AD29),IF(B29&lt;30000,0,IF(B29&lt;100000,MAX(0,(B29-AD29)*0.2),MAX(0,(B29-AD29)*0.3))),0)))</f>
        <v/>
      </c>
      <c r="Z24" s="30"/>
      <c r="AA24" s="39" t="str">
        <f aca="false">IF($A29="","",IF($AA$2&lt;&gt;"",$AA$2,""))</f>
        <v/>
      </c>
      <c r="AB24" s="30" t="str">
        <f aca="false">IF($A29="","",IF(B29&lt;30000,0.03,IF(B29&lt;100000,0.02,0.015)))</f>
        <v/>
      </c>
      <c r="AC24" s="38" t="str">
        <f aca="false">IF($A29="","",IFERROR(DATEDIF($A$2,$A29,"m"),0))</f>
        <v/>
      </c>
      <c r="AD24" s="35" t="str">
        <f aca="false">IF($A29="","",IF(OR(AA29="",AB29="",AC29=""),"",AA29*POWER(1+AB29,AC29)))</f>
        <v/>
      </c>
      <c r="AE24" s="47" t="str">
        <f aca="false">IF($A29="","",IF(OR(AD29="",AD29=0),"",B29/AD29-1))</f>
        <v/>
      </c>
      <c r="AG24" s="1" t="str">
        <f aca="false">IF($A29="","",IF(B29&lt;30000,"婴儿",IF(B29&lt;100000,"成长","成熟")))</f>
        <v/>
      </c>
      <c r="AH24" s="42"/>
      <c r="AJ24" s="42"/>
      <c r="AK24" s="42"/>
      <c r="AM24" s="42"/>
      <c r="AP24" s="32"/>
      <c r="AQ24" s="43" t="str">
        <f aca="false">IF($A29="","",B29-$AA$2-SUM($F$2:F29))</f>
        <v/>
      </c>
      <c r="AR24" s="1" t="str">
        <f aca="false">IF($A28="","",30000)</f>
        <v/>
      </c>
      <c r="AS24" s="1" t="str">
        <f aca="false">IF($A28="","",AR28-B28)</f>
        <v/>
      </c>
      <c r="AT24" s="1" t="str">
        <f aca="false">IF($A28="","",IFERROR(B28/AR28,0))</f>
        <v/>
      </c>
      <c r="AU24" s="1" t="str">
        <f aca="false">IF($A28="","",IFERROR(B28*O28,0))</f>
        <v/>
      </c>
      <c r="AV24" s="1" t="str">
        <f aca="false">IF($A28="","",IFERROR(C28/B28,0))</f>
        <v/>
      </c>
      <c r="AW24" s="1" t="str">
        <f aca="false">IF($A28="","",MAX(0,R28-S28))</f>
        <v/>
      </c>
      <c r="AX24" s="1" t="str">
        <f aca="false">IF($A28="","",IF(AW28&gt;0,"优先降持仓数",IF(C28&lt;=0,"现金不足","允许评估")))</f>
        <v/>
      </c>
      <c r="AY24" s="1" t="str">
        <f aca="false">IF($A28="","",IF(B28&lt;30000,"婴儿阶段: 优先活下来,禁止单票失控,限制持仓数,服务3W目标","幼儿阶段达成"))</f>
        <v/>
      </c>
    </row>
    <row r="25" customFormat="false" ht="15" hidden="false" customHeight="true" outlineLevel="0" collapsed="false">
      <c r="A25" s="28"/>
      <c r="B25" s="34"/>
      <c r="C25" s="34"/>
      <c r="D25" s="35" t="str">
        <f aca="false">IF($A30="","",SUMIFS(持仓表!$J:$J,持仓表!$A:$A,$A30))</f>
        <v/>
      </c>
      <c r="E25" s="36" t="n">
        <f aca="false">IFERROR(D30/B30,0)</f>
        <v>0</v>
      </c>
      <c r="F25" s="34"/>
      <c r="G25" s="35" t="str">
        <f aca="false">IF($B30="","",MAX($B$2:B30))</f>
        <v/>
      </c>
      <c r="H25" s="36" t="n">
        <f aca="false">IFERROR((B30-F30)/F30,0)</f>
        <v>0</v>
      </c>
      <c r="I25" s="36" t="n">
        <f aca="false">IFERROR((B30-G30)/G30,0)</f>
        <v>0</v>
      </c>
      <c r="J25" s="28"/>
      <c r="K25" s="29"/>
      <c r="L25" s="37"/>
      <c r="M25" s="37"/>
      <c r="N25" s="36" t="str">
        <f aca="false">IF($B30="","",MIN(70%,IF($I30&lt;=-15%,10%,IF($I30&lt;=-10%,30%,IF($M30&gt;=4,10%,IF($M30&gt;=3,30%,IF($J30="强",IF($K30="A",70%,IF($K30="B",60%,40%)),IF($J30="中性",IF($K30="A",50%,IF($K30="B",40%,25%)),IF($K30="A",30%,IF($K30="B",20%,10%))))))))))</f>
        <v/>
      </c>
      <c r="O25" s="36" t="str">
        <f aca="false">IF($B30="","",IF(B30&lt;30000,35%,IF(B30&lt;50000,30%,IF(B30&lt;100000,25%,20%))))</f>
        <v/>
      </c>
      <c r="P25" s="38" t="str">
        <f aca="false">IF($A30="","",COUNTIFS(持仓表!$A:$A,$A30,持仓表!$G:$G,"&gt;0"))</f>
        <v/>
      </c>
      <c r="Q25" s="38" t="str">
        <f aca="false">IF($A30="","",COUNTIFS(持仓表!$A:$A,$A30,持仓表!$D:$D,"是",持仓表!$G:$G,"&gt;0"))</f>
        <v/>
      </c>
      <c r="R25" s="38" t="str">
        <f aca="false">IF($A30="","",MAX(0,P30-Q30))</f>
        <v/>
      </c>
      <c r="S25" s="38" t="str">
        <f aca="false">IF($B30="","",IF(B30&lt;50000,3,IF(B30&lt;100000,4,5)))</f>
        <v/>
      </c>
      <c r="T25" s="39" t="str">
        <f aca="false">IF($A30="","",IF(OR(M30&gt;=4,I30&lt;=-8%),"防守",IF(OR(M30&gt;=2,I30&lt;=-5%),"警戒","正常")))</f>
        <v/>
      </c>
      <c r="U25" s="39" t="str">
        <f aca="false">IF($A30="","",IF(AND(L30&gt;=3,M30&lt;=2,T30&lt;&gt;"防守"),"是","否"))</f>
        <v/>
      </c>
      <c r="V25" s="39" t="str">
        <f aca="false">IF($A30="","",IF(AND(E30&lt;N30,R30&lt;S30,M30&lt;=2,I30&gt;-15%),"是","否"))</f>
        <v/>
      </c>
      <c r="W25" s="39" t="str">
        <f aca="false">IF($A30="","",IF(OR(M30&gt;=3,I30&lt;=-15%),"是","否"))</f>
        <v/>
      </c>
      <c r="X25" s="35" t="str">
        <f aca="false">IF($A30="","",IFERROR(maxifs(候选池!$AB:$AB,候选池!$A:$A,$A30),0))</f>
        <v/>
      </c>
      <c r="Y25" s="35" t="str">
        <f aca="false">IF($A30="","",IF(OR(M30&gt;=4,I30&lt;=-8%),MAX(0,B30*60%-C30),IF(AND(ISNUMBER(AD30),B30&gt;AD30),IF(B30&lt;30000,0,IF(B30&lt;100000,MAX(0,(B30-AD30)*0.2),MAX(0,(B30-AD30)*0.3))),0)))</f>
        <v/>
      </c>
      <c r="Z25" s="28"/>
      <c r="AA25" s="39" t="str">
        <f aca="false">IF($A30="","",IF($AA$2&lt;&gt;"",$AA$2,""))</f>
        <v/>
      </c>
      <c r="AB25" s="28" t="str">
        <f aca="false">IF($A30="","",IF(B30&lt;30000,0.03,IF(B30&lt;100000,0.02,0.015)))</f>
        <v/>
      </c>
      <c r="AC25" s="38" t="str">
        <f aca="false">IF($A30="","",IFERROR(DATEDIF($A$2,$A30,"m"),0))</f>
        <v/>
      </c>
      <c r="AD25" s="35" t="str">
        <f aca="false">IF($A30="","",IF(OR(AA30="",AB30="",AC30=""),"",AA30*POWER(1+AB30,AC30)))</f>
        <v/>
      </c>
      <c r="AE25" s="41" t="str">
        <f aca="false">IF($A30="","",IF(OR(AD30="",AD30=0),"",B30/AD30-1))</f>
        <v/>
      </c>
      <c r="AG25" s="1" t="str">
        <f aca="false">IF($A30="","",IF(B30&lt;30000,"婴儿",IF(B30&lt;100000,"成长","成熟")))</f>
        <v/>
      </c>
      <c r="AH25" s="42"/>
      <c r="AJ25" s="42"/>
      <c r="AK25" s="42"/>
      <c r="AM25" s="42"/>
      <c r="AP25" s="32"/>
      <c r="AQ25" s="43" t="str">
        <f aca="false">IF($A30="","",B30-$AA$2-SUM($F$2:F30))</f>
        <v/>
      </c>
      <c r="AR25" s="1" t="str">
        <f aca="false">IF($A29="","",30000)</f>
        <v/>
      </c>
      <c r="AS25" s="1" t="str">
        <f aca="false">IF($A29="","",AR29-B29)</f>
        <v/>
      </c>
      <c r="AT25" s="1" t="str">
        <f aca="false">IF($A29="","",IFERROR(B29/AR29,0))</f>
        <v/>
      </c>
      <c r="AU25" s="1" t="str">
        <f aca="false">IF($A29="","",IFERROR(B29*O29,0))</f>
        <v/>
      </c>
      <c r="AV25" s="1" t="str">
        <f aca="false">IF($A29="","",IFERROR(C29/B29,0))</f>
        <v/>
      </c>
      <c r="AW25" s="1" t="str">
        <f aca="false">IF($A29="","",MAX(0,R29-S29))</f>
        <v/>
      </c>
      <c r="AX25" s="1" t="str">
        <f aca="false">IF($A29="","",IF(AW29&gt;0,"优先降持仓数",IF(C29&lt;=0,"现金不足","允许评估")))</f>
        <v/>
      </c>
      <c r="AY25" s="1" t="str">
        <f aca="false">IF($A29="","",IF(B29&lt;30000,"婴儿阶段: 优先活下来,禁止单票失控,限制持仓数,服务3W目标","幼儿阶段达成"))</f>
        <v/>
      </c>
    </row>
    <row r="26" customFormat="false" ht="15" hidden="false" customHeight="true" outlineLevel="0" collapsed="false">
      <c r="A26" s="30"/>
      <c r="B26" s="44"/>
      <c r="C26" s="44"/>
      <c r="D26" s="35" t="str">
        <f aca="false">IF($A31="","",SUMIFS(持仓表!$J:$J,持仓表!$A:$A,$A31))</f>
        <v/>
      </c>
      <c r="E26" s="36" t="n">
        <f aca="false">IFERROR(D31/B31,0)</f>
        <v>0</v>
      </c>
      <c r="F26" s="44"/>
      <c r="G26" s="35" t="str">
        <f aca="false">IF($B31="","",MAX($B$2:B31))</f>
        <v/>
      </c>
      <c r="H26" s="36" t="n">
        <f aca="false">IFERROR((B31-F31)/F31,0)</f>
        <v>0</v>
      </c>
      <c r="I26" s="36" t="n">
        <f aca="false">IFERROR((B31-G31)/G31,0)</f>
        <v>0</v>
      </c>
      <c r="J26" s="30"/>
      <c r="K26" s="31"/>
      <c r="L26" s="45"/>
      <c r="M26" s="45"/>
      <c r="N26" s="36" t="str">
        <f aca="false">IF($B31="","",MIN(70%,IF($I31&lt;=-15%,10%,IF($I31&lt;=-10%,30%,IF($M31&gt;=4,10%,IF($M31&gt;=3,30%,IF($J31="强",IF($K31="A",70%,IF($K31="B",60%,40%)),IF($J31="中性",IF($K31="A",50%,IF($K31="B",40%,25%)),IF($K31="A",30%,IF($K31="B",20%,10%))))))))))</f>
        <v/>
      </c>
      <c r="O26" s="36" t="str">
        <f aca="false">IF($B31="","",IF(B31&lt;30000,35%,IF(B31&lt;50000,30%,IF(B31&lt;100000,25%,20%))))</f>
        <v/>
      </c>
      <c r="P26" s="38" t="str">
        <f aca="false">IF($A31="","",COUNTIFS(持仓表!$A:$A,$A31,持仓表!$G:$G,"&gt;0"))</f>
        <v/>
      </c>
      <c r="Q26" s="38" t="str">
        <f aca="false">IF($A31="","",COUNTIFS(持仓表!$A:$A,$A31,持仓表!$D:$D,"是",持仓表!$G:$G,"&gt;0"))</f>
        <v/>
      </c>
      <c r="R26" s="38" t="str">
        <f aca="false">IF($A31="","",MAX(0,P31-Q31))</f>
        <v/>
      </c>
      <c r="S26" s="38" t="str">
        <f aca="false">IF($B31="","",IF(B31&lt;50000,3,IF(B31&lt;100000,4,5)))</f>
        <v/>
      </c>
      <c r="T26" s="39" t="str">
        <f aca="false">IF($A31="","",IF(OR(M31&gt;=4,I31&lt;=-8%),"防守",IF(OR(M31&gt;=2,I31&lt;=-5%),"警戒","正常")))</f>
        <v/>
      </c>
      <c r="U26" s="39" t="str">
        <f aca="false">IF($A31="","",IF(AND(L31&gt;=3,M31&lt;=2,T31&lt;&gt;"防守"),"是","否"))</f>
        <v/>
      </c>
      <c r="V26" s="39" t="str">
        <f aca="false">IF($A31="","",IF(AND(E31&lt;N31,R31&lt;S31,M31&lt;=2,I31&gt;-15%),"是","否"))</f>
        <v/>
      </c>
      <c r="W26" s="39" t="str">
        <f aca="false">IF($A31="","",IF(OR(M31&gt;=3,I31&lt;=-15%),"是","否"))</f>
        <v/>
      </c>
      <c r="X26" s="35" t="str">
        <f aca="false">IF($A31="","",IFERROR(maxifs(候选池!$AB:$AB,候选池!$A:$A,$A31),0))</f>
        <v/>
      </c>
      <c r="Y26" s="35" t="str">
        <f aca="false">IF($A31="","",IF(OR(M31&gt;=4,I31&lt;=-8%),MAX(0,B31*60%-C31),IF(AND(ISNUMBER(AD31),B31&gt;AD31),IF(B31&lt;30000,0,IF(B31&lt;100000,MAX(0,(B31-AD31)*0.2),MAX(0,(B31-AD31)*0.3))),0)))</f>
        <v/>
      </c>
      <c r="Z26" s="30"/>
      <c r="AA26" s="39" t="str">
        <f aca="false">IF($A31="","",IF($AA$2&lt;&gt;"",$AA$2,""))</f>
        <v/>
      </c>
      <c r="AB26" s="30" t="str">
        <f aca="false">IF($A31="","",IF(B31&lt;30000,0.03,IF(B31&lt;100000,0.02,0.015)))</f>
        <v/>
      </c>
      <c r="AC26" s="38" t="str">
        <f aca="false">IF($A31="","",IFERROR(DATEDIF($A$2,$A31,"m"),0))</f>
        <v/>
      </c>
      <c r="AD26" s="35" t="str">
        <f aca="false">IF($A31="","",IF(OR(AA31="",AB31="",AC31=""),"",AA31*POWER(1+AB31,AC31)))</f>
        <v/>
      </c>
      <c r="AE26" s="47" t="str">
        <f aca="false">IF($A31="","",IF(OR(AD31="",AD31=0),"",B31/AD31-1))</f>
        <v/>
      </c>
      <c r="AG26" s="1" t="str">
        <f aca="false">IF($A31="","",IF(B31&lt;30000,"婴儿",IF(B31&lt;100000,"成长","成熟")))</f>
        <v/>
      </c>
      <c r="AH26" s="42"/>
      <c r="AJ26" s="42"/>
      <c r="AK26" s="42"/>
      <c r="AM26" s="42"/>
      <c r="AP26" s="32"/>
      <c r="AQ26" s="43" t="str">
        <f aca="false">IF($A31="","",B31-$AA$2-SUM($F$2:F31))</f>
        <v/>
      </c>
      <c r="AR26" s="1" t="str">
        <f aca="false">IF($A30="","",30000)</f>
        <v/>
      </c>
      <c r="AS26" s="1" t="str">
        <f aca="false">IF($A30="","",AR30-B30)</f>
        <v/>
      </c>
      <c r="AT26" s="1" t="str">
        <f aca="false">IF($A30="","",IFERROR(B30/AR30,0))</f>
        <v/>
      </c>
      <c r="AU26" s="1" t="str">
        <f aca="false">IF($A30="","",IFERROR(B30*O30,0))</f>
        <v/>
      </c>
      <c r="AV26" s="1" t="str">
        <f aca="false">IF($A30="","",IFERROR(C30/B30,0))</f>
        <v/>
      </c>
      <c r="AW26" s="1" t="str">
        <f aca="false">IF($A30="","",MAX(0,R30-S30))</f>
        <v/>
      </c>
      <c r="AX26" s="1" t="str">
        <f aca="false">IF($A30="","",IF(AW30&gt;0,"优先降持仓数",IF(C30&lt;=0,"现金不足","允许评估")))</f>
        <v/>
      </c>
      <c r="AY26" s="1" t="str">
        <f aca="false">IF($A30="","",IF(B30&lt;30000,"婴儿阶段: 优先活下来,禁止单票失控,限制持仓数,服务3W目标","幼儿阶段达成"))</f>
        <v/>
      </c>
    </row>
    <row r="27" customFormat="false" ht="15" hidden="false" customHeight="true" outlineLevel="0" collapsed="false">
      <c r="A27" s="28"/>
      <c r="B27" s="34"/>
      <c r="C27" s="34"/>
      <c r="D27" s="35" t="str">
        <f aca="false">IF($A32="","",SUMIFS(持仓表!$J:$J,持仓表!$A:$A,$A32))</f>
        <v/>
      </c>
      <c r="E27" s="36" t="n">
        <f aca="false">IFERROR(D32/B32,0)</f>
        <v>0</v>
      </c>
      <c r="F27" s="34"/>
      <c r="G27" s="35" t="str">
        <f aca="false">IF($B32="","",MAX($B$2:B32))</f>
        <v/>
      </c>
      <c r="H27" s="36" t="n">
        <f aca="false">IFERROR((B32-F32)/F32,0)</f>
        <v>0</v>
      </c>
      <c r="I27" s="36" t="n">
        <f aca="false">IFERROR((B32-G32)/G32,0)</f>
        <v>0</v>
      </c>
      <c r="J27" s="28"/>
      <c r="K27" s="29"/>
      <c r="L27" s="37"/>
      <c r="M27" s="37"/>
      <c r="N27" s="36" t="str">
        <f aca="false">IF($B32="","",MIN(70%,IF($I32&lt;=-15%,10%,IF($I32&lt;=-10%,30%,IF($M32&gt;=4,10%,IF($M32&gt;=3,30%,IF($J32="强",IF($K32="A",70%,IF($K32="B",60%,40%)),IF($J32="中性",IF($K32="A",50%,IF($K32="B",40%,25%)),IF($K32="A",30%,IF($K32="B",20%,10%))))))))))</f>
        <v/>
      </c>
      <c r="O27" s="36" t="str">
        <f aca="false">IF($B32="","",IF(B32&lt;30000,35%,IF(B32&lt;50000,30%,IF(B32&lt;100000,25%,20%))))</f>
        <v/>
      </c>
      <c r="P27" s="38" t="str">
        <f aca="false">IF($A32="","",COUNTIFS(持仓表!$A:$A,$A32,持仓表!$G:$G,"&gt;0"))</f>
        <v/>
      </c>
      <c r="Q27" s="38" t="str">
        <f aca="false">IF($A32="","",COUNTIFS(持仓表!$A:$A,$A32,持仓表!$D:$D,"是",持仓表!$G:$G,"&gt;0"))</f>
        <v/>
      </c>
      <c r="R27" s="38" t="str">
        <f aca="false">IF($A32="","",MAX(0,P32-Q32))</f>
        <v/>
      </c>
      <c r="S27" s="38" t="str">
        <f aca="false">IF($B32="","",IF(B32&lt;50000,3,IF(B32&lt;100000,4,5)))</f>
        <v/>
      </c>
      <c r="T27" s="39" t="str">
        <f aca="false">IF($A32="","",IF(OR(M32&gt;=4,I32&lt;=-8%),"防守",IF(OR(M32&gt;=2,I32&lt;=-5%),"警戒","正常")))</f>
        <v/>
      </c>
      <c r="U27" s="39" t="str">
        <f aca="false">IF($A32="","",IF(AND(L32&gt;=3,M32&lt;=2,T32&lt;&gt;"防守"),"是","否"))</f>
        <v/>
      </c>
      <c r="V27" s="39" t="str">
        <f aca="false">IF($A32="","",IF(AND(E32&lt;N32,R32&lt;S32,M32&lt;=2,I32&gt;-15%),"是","否"))</f>
        <v/>
      </c>
      <c r="W27" s="39" t="str">
        <f aca="false">IF($A32="","",IF(OR(M32&gt;=3,I32&lt;=-15%),"是","否"))</f>
        <v/>
      </c>
      <c r="X27" s="35" t="str">
        <f aca="false">IF($A32="","",IFERROR(maxifs(候选池!$AB:$AB,候选池!$A:$A,$A32),0))</f>
        <v/>
      </c>
      <c r="Y27" s="35" t="str">
        <f aca="false">IF($A32="","",IF(OR(M32&gt;=4,I32&lt;=-8%),MAX(0,B32*60%-C32),IF(AND(ISNUMBER(AD32),B32&gt;AD32),IF(B32&lt;30000,0,IF(B32&lt;100000,MAX(0,(B32-AD32)*0.2),MAX(0,(B32-AD32)*0.3))),0)))</f>
        <v/>
      </c>
      <c r="Z27" s="28"/>
      <c r="AA27" s="39" t="str">
        <f aca="false">IF($A32="","",IF($AA$2&lt;&gt;"",$AA$2,""))</f>
        <v/>
      </c>
      <c r="AB27" s="28" t="str">
        <f aca="false">IF($A32="","",IF(B32&lt;30000,0.03,IF(B32&lt;100000,0.02,0.015)))</f>
        <v/>
      </c>
      <c r="AC27" s="38" t="str">
        <f aca="false">IF($A32="","",IFERROR(DATEDIF($A$2,$A32,"m"),0))</f>
        <v/>
      </c>
      <c r="AD27" s="35" t="str">
        <f aca="false">IF($A32="","",IF(OR(AA32="",AB32="",AC32=""),"",AA32*POWER(1+AB32,AC32)))</f>
        <v/>
      </c>
      <c r="AE27" s="41" t="str">
        <f aca="false">IF($A32="","",IF(OR(AD32="",AD32=0),"",B32/AD32-1))</f>
        <v/>
      </c>
      <c r="AG27" s="1" t="str">
        <f aca="false">IF($A32="","",IF(B32&lt;30000,"婴儿",IF(B32&lt;100000,"成长","成熟")))</f>
        <v/>
      </c>
      <c r="AH27" s="42"/>
      <c r="AJ27" s="42"/>
      <c r="AK27" s="42"/>
      <c r="AM27" s="42"/>
      <c r="AP27" s="32"/>
      <c r="AQ27" s="43" t="str">
        <f aca="false">IF($A32="","",B32-$AA$2-SUM($F$2:F32))</f>
        <v/>
      </c>
      <c r="AR27" s="1" t="str">
        <f aca="false">IF($A31="","",30000)</f>
        <v/>
      </c>
      <c r="AS27" s="1" t="str">
        <f aca="false">IF($A31="","",AR31-B31)</f>
        <v/>
      </c>
      <c r="AT27" s="1" t="str">
        <f aca="false">IF($A31="","",IFERROR(B31/AR31,0))</f>
        <v/>
      </c>
      <c r="AU27" s="1" t="str">
        <f aca="false">IF($A31="","",IFERROR(B31*O31,0))</f>
        <v/>
      </c>
      <c r="AV27" s="1" t="str">
        <f aca="false">IF($A31="","",IFERROR(C31/B31,0))</f>
        <v/>
      </c>
      <c r="AW27" s="1" t="str">
        <f aca="false">IF($A31="","",MAX(0,R31-S31))</f>
        <v/>
      </c>
      <c r="AX27" s="1" t="str">
        <f aca="false">IF($A31="","",IF(AW31&gt;0,"优先降持仓数",IF(C31&lt;=0,"现金不足","允许评估")))</f>
        <v/>
      </c>
      <c r="AY27" s="1" t="str">
        <f aca="false">IF($A31="","",IF(B31&lt;30000,"婴儿阶段: 优先活下来,禁止单票失控,限制持仓数,服务3W目标","幼儿阶段达成"))</f>
        <v/>
      </c>
    </row>
    <row r="28" customFormat="false" ht="15" hidden="false" customHeight="true" outlineLevel="0" collapsed="false">
      <c r="A28" s="30"/>
      <c r="B28" s="44"/>
      <c r="C28" s="44"/>
      <c r="D28" s="35" t="str">
        <f aca="false">IF($A33="","",SUMIFS(持仓表!$J:$J,持仓表!$A:$A,$A33))</f>
        <v/>
      </c>
      <c r="E28" s="36" t="n">
        <f aca="false">IFERROR(D33/B33,0)</f>
        <v>0</v>
      </c>
      <c r="F28" s="44"/>
      <c r="G28" s="35" t="str">
        <f aca="false">IF($B33="","",MAX($B$2:B33))</f>
        <v/>
      </c>
      <c r="H28" s="36" t="n">
        <f aca="false">IFERROR((B33-F33)/F33,0)</f>
        <v>0</v>
      </c>
      <c r="I28" s="36" t="n">
        <f aca="false">IFERROR((B33-G33)/G33,0)</f>
        <v>0</v>
      </c>
      <c r="J28" s="30"/>
      <c r="K28" s="31"/>
      <c r="L28" s="45"/>
      <c r="M28" s="45"/>
      <c r="N28" s="36" t="str">
        <f aca="false">IF($B33="","",MIN(70%,IF($I33&lt;=-15%,10%,IF($I33&lt;=-10%,30%,IF($M33&gt;=4,10%,IF($M33&gt;=3,30%,IF($J33="强",IF($K33="A",70%,IF($K33="B",60%,40%)),IF($J33="中性",IF($K33="A",50%,IF($K33="B",40%,25%)),IF($K33="A",30%,IF($K33="B",20%,10%))))))))))</f>
        <v/>
      </c>
      <c r="O28" s="36" t="str">
        <f aca="false">IF($B33="","",IF(B33&lt;30000,35%,IF(B33&lt;50000,30%,IF(B33&lt;100000,25%,20%))))</f>
        <v/>
      </c>
      <c r="P28" s="38" t="str">
        <f aca="false">IF($A33="","",COUNTIFS(持仓表!$A:$A,$A33,持仓表!$G:$G,"&gt;0"))</f>
        <v/>
      </c>
      <c r="Q28" s="38" t="str">
        <f aca="false">IF($A33="","",COUNTIFS(持仓表!$A:$A,$A33,持仓表!$D:$D,"是",持仓表!$G:$G,"&gt;0"))</f>
        <v/>
      </c>
      <c r="R28" s="38" t="str">
        <f aca="false">IF($A33="","",MAX(0,P33-Q33))</f>
        <v/>
      </c>
      <c r="S28" s="38" t="str">
        <f aca="false">IF($B33="","",IF(B33&lt;50000,3,IF(B33&lt;100000,4,5)))</f>
        <v/>
      </c>
      <c r="T28" s="39" t="str">
        <f aca="false">IF($A33="","",IF(OR(M33&gt;=4,I33&lt;=-8%),"防守",IF(OR(M33&gt;=2,I33&lt;=-5%),"警戒","正常")))</f>
        <v/>
      </c>
      <c r="U28" s="39" t="str">
        <f aca="false">IF($A33="","",IF(AND(L33&gt;=3,M33&lt;=2,T33&lt;&gt;"防守"),"是","否"))</f>
        <v/>
      </c>
      <c r="V28" s="39" t="str">
        <f aca="false">IF($A33="","",IF(AND(E33&lt;N33,R33&lt;S33,M33&lt;=2,I33&gt;-15%),"是","否"))</f>
        <v/>
      </c>
      <c r="W28" s="39" t="str">
        <f aca="false">IF($A33="","",IF(OR(M33&gt;=3,I33&lt;=-15%),"是","否"))</f>
        <v/>
      </c>
      <c r="X28" s="35" t="str">
        <f aca="false">IF($A33="","",IFERROR(maxifs(候选池!$AB:$AB,候选池!$A:$A,$A33),0))</f>
        <v/>
      </c>
      <c r="Y28" s="35" t="str">
        <f aca="false">IF($A33="","",IF(OR(M33&gt;=4,I33&lt;=-8%),MAX(0,B33*60%-C33),IF(AND(ISNUMBER(AD33),B33&gt;AD33),IF(B33&lt;30000,0,IF(B33&lt;100000,MAX(0,(B33-AD33)*0.2),MAX(0,(B33-AD33)*0.3))),0)))</f>
        <v/>
      </c>
      <c r="Z28" s="30"/>
      <c r="AA28" s="39" t="str">
        <f aca="false">IF($A33="","",IF($AA$2&lt;&gt;"",$AA$2,""))</f>
        <v/>
      </c>
      <c r="AB28" s="30" t="str">
        <f aca="false">IF($A33="","",IF(B33&lt;30000,0.03,IF(B33&lt;100000,0.02,0.015)))</f>
        <v/>
      </c>
      <c r="AC28" s="38" t="str">
        <f aca="false">IF($A33="","",IFERROR(DATEDIF($A$2,$A33,"m"),0))</f>
        <v/>
      </c>
      <c r="AD28" s="35" t="str">
        <f aca="false">IF($A33="","",IF(OR(AA33="",AB33="",AC33=""),"",AA33*POWER(1+AB33,AC33)))</f>
        <v/>
      </c>
      <c r="AE28" s="47" t="str">
        <f aca="false">IF($A33="","",IF(OR(AD33="",AD33=0),"",B33/AD33-1))</f>
        <v/>
      </c>
      <c r="AG28" s="1" t="str">
        <f aca="false">IF($A33="","",IF(B33&lt;30000,"婴儿",IF(B33&lt;100000,"成长","成熟")))</f>
        <v/>
      </c>
      <c r="AH28" s="42"/>
      <c r="AJ28" s="42"/>
      <c r="AK28" s="42"/>
      <c r="AM28" s="42"/>
      <c r="AP28" s="32"/>
      <c r="AQ28" s="43" t="str">
        <f aca="false">IF($A33="","",B33-$AA$2-SUM($F$2:F33))</f>
        <v/>
      </c>
      <c r="AR28" s="1" t="str">
        <f aca="false">IF($A32="","",30000)</f>
        <v/>
      </c>
      <c r="AS28" s="1" t="str">
        <f aca="false">IF($A32="","",AR32-B32)</f>
        <v/>
      </c>
      <c r="AT28" s="1" t="str">
        <f aca="false">IF($A32="","",IFERROR(B32/AR32,0))</f>
        <v/>
      </c>
      <c r="AU28" s="1" t="str">
        <f aca="false">IF($A32="","",IFERROR(B32*O32,0))</f>
        <v/>
      </c>
      <c r="AV28" s="1" t="str">
        <f aca="false">IF($A32="","",IFERROR(C32/B32,0))</f>
        <v/>
      </c>
      <c r="AW28" s="1" t="str">
        <f aca="false">IF($A32="","",MAX(0,R32-S32))</f>
        <v/>
      </c>
      <c r="AX28" s="1" t="str">
        <f aca="false">IF($A32="","",IF(AW32&gt;0,"优先降持仓数",IF(C32&lt;=0,"现金不足","允许评估")))</f>
        <v/>
      </c>
      <c r="AY28" s="1" t="str">
        <f aca="false">IF($A32="","",IF(B32&lt;30000,"婴儿阶段: 优先活下来,禁止单票失控,限制持仓数,服务3W目标","幼儿阶段达成"))</f>
        <v/>
      </c>
    </row>
    <row r="29" customFormat="false" ht="15" hidden="false" customHeight="true" outlineLevel="0" collapsed="false">
      <c r="A29" s="28"/>
      <c r="B29" s="34"/>
      <c r="C29" s="34"/>
      <c r="D29" s="35" t="str">
        <f aca="false">IF($A34="","",SUMIFS(持仓表!$J:$J,持仓表!$A:$A,$A34))</f>
        <v/>
      </c>
      <c r="E29" s="36" t="n">
        <f aca="false">IFERROR(D34/B34,0)</f>
        <v>0</v>
      </c>
      <c r="F29" s="34"/>
      <c r="G29" s="35" t="str">
        <f aca="false">IF($B34="","",MAX($B$2:B34))</f>
        <v/>
      </c>
      <c r="H29" s="36" t="n">
        <f aca="false">IFERROR((B34-F34)/F34,0)</f>
        <v>0</v>
      </c>
      <c r="I29" s="36" t="n">
        <f aca="false">IFERROR((B34-G34)/G34,0)</f>
        <v>0</v>
      </c>
      <c r="J29" s="28"/>
      <c r="K29" s="29"/>
      <c r="L29" s="37"/>
      <c r="M29" s="37"/>
      <c r="N29" s="36" t="str">
        <f aca="false">IF($B34="","",MIN(70%,IF($I34&lt;=-15%,10%,IF($I34&lt;=-10%,30%,IF($M34&gt;=4,10%,IF($M34&gt;=3,30%,IF($J34="强",IF($K34="A",70%,IF($K34="B",60%,40%)),IF($J34="中性",IF($K34="A",50%,IF($K34="B",40%,25%)),IF($K34="A",30%,IF($K34="B",20%,10%))))))))))</f>
        <v/>
      </c>
      <c r="O29" s="36" t="str">
        <f aca="false">IF($B34="","",IF(B34&lt;30000,35%,IF(B34&lt;50000,30%,IF(B34&lt;100000,25%,20%))))</f>
        <v/>
      </c>
      <c r="P29" s="38" t="str">
        <f aca="false">IF($A34="","",COUNTIFS(持仓表!$A:$A,$A34,持仓表!$G:$G,"&gt;0"))</f>
        <v/>
      </c>
      <c r="Q29" s="38" t="str">
        <f aca="false">IF($A34="","",COUNTIFS(持仓表!$A:$A,$A34,持仓表!$D:$D,"是",持仓表!$G:$G,"&gt;0"))</f>
        <v/>
      </c>
      <c r="R29" s="38" t="str">
        <f aca="false">IF($A34="","",MAX(0,P34-Q34))</f>
        <v/>
      </c>
      <c r="S29" s="38" t="str">
        <f aca="false">IF($B34="","",IF(B34&lt;50000,3,IF(B34&lt;100000,4,5)))</f>
        <v/>
      </c>
      <c r="T29" s="39" t="str">
        <f aca="false">IF($A34="","",IF(OR(M34&gt;=4,I34&lt;=-8%),"防守",IF(OR(M34&gt;=2,I34&lt;=-5%),"警戒","正常")))</f>
        <v/>
      </c>
      <c r="U29" s="39" t="str">
        <f aca="false">IF($A34="","",IF(AND(L34&gt;=3,M34&lt;=2,T34&lt;&gt;"防守"),"是","否"))</f>
        <v/>
      </c>
      <c r="V29" s="39" t="str">
        <f aca="false">IF($A34="","",IF(AND(E34&lt;N34,R34&lt;S34,M34&lt;=2,I34&gt;-15%),"是","否"))</f>
        <v/>
      </c>
      <c r="W29" s="39" t="str">
        <f aca="false">IF($A34="","",IF(OR(M34&gt;=3,I34&lt;=-15%),"是","否"))</f>
        <v/>
      </c>
      <c r="X29" s="35" t="str">
        <f aca="false">IF($A34="","",IFERROR(maxifs(候选池!$AB:$AB,候选池!$A:$A,$A34),0))</f>
        <v/>
      </c>
      <c r="Y29" s="35" t="str">
        <f aca="false">IF($A34="","",IF(OR(M34&gt;=4,I34&lt;=-8%),MAX(0,B34*60%-C34),IF(AND(ISNUMBER(AD34),B34&gt;AD34),IF(B34&lt;30000,0,IF(B34&lt;100000,MAX(0,(B34-AD34)*0.2),MAX(0,(B34-AD34)*0.3))),0)))</f>
        <v/>
      </c>
      <c r="Z29" s="28"/>
      <c r="AA29" s="39" t="str">
        <f aca="false">IF($A34="","",IF($AA$2&lt;&gt;"",$AA$2,""))</f>
        <v/>
      </c>
      <c r="AB29" s="28" t="str">
        <f aca="false">IF($A34="","",IF(B34&lt;30000,0.03,IF(B34&lt;100000,0.02,0.015)))</f>
        <v/>
      </c>
      <c r="AC29" s="38" t="str">
        <f aca="false">IF($A34="","",IFERROR(DATEDIF($A$2,$A34,"m"),0))</f>
        <v/>
      </c>
      <c r="AD29" s="35" t="str">
        <f aca="false">IF($A34="","",IF(OR(AA34="",AB34="",AC34=""),"",AA34*POWER(1+AB34,AC34)))</f>
        <v/>
      </c>
      <c r="AE29" s="41" t="str">
        <f aca="false">IF($A34="","",IF(OR(AD34="",AD34=0),"",B34/AD34-1))</f>
        <v/>
      </c>
      <c r="AG29" s="1" t="str">
        <f aca="false">IF($A34="","",IF(B34&lt;30000,"婴儿",IF(B34&lt;100000,"成长","成熟")))</f>
        <v/>
      </c>
      <c r="AH29" s="42"/>
      <c r="AJ29" s="42"/>
      <c r="AK29" s="42"/>
      <c r="AM29" s="42"/>
      <c r="AP29" s="32"/>
      <c r="AQ29" s="43" t="str">
        <f aca="false">IF($A34="","",B34-$AA$2-SUM($F$2:F34))</f>
        <v/>
      </c>
      <c r="AR29" s="1" t="str">
        <f aca="false">IF($A33="","",30000)</f>
        <v/>
      </c>
      <c r="AS29" s="1" t="str">
        <f aca="false">IF($A33="","",AR33-B33)</f>
        <v/>
      </c>
      <c r="AT29" s="1" t="str">
        <f aca="false">IF($A33="","",IFERROR(B33/AR33,0))</f>
        <v/>
      </c>
      <c r="AU29" s="1" t="str">
        <f aca="false">IF($A33="","",IFERROR(B33*O33,0))</f>
        <v/>
      </c>
      <c r="AV29" s="1" t="str">
        <f aca="false">IF($A33="","",IFERROR(C33/B33,0))</f>
        <v/>
      </c>
      <c r="AW29" s="1" t="str">
        <f aca="false">IF($A33="","",MAX(0,R33-S33))</f>
        <v/>
      </c>
      <c r="AX29" s="1" t="str">
        <f aca="false">IF($A33="","",IF(AW33&gt;0,"优先降持仓数",IF(C33&lt;=0,"现金不足","允许评估")))</f>
        <v/>
      </c>
      <c r="AY29" s="1" t="str">
        <f aca="false">IF($A33="","",IF(B33&lt;30000,"婴儿阶段: 优先活下来,禁止单票失控,限制持仓数,服务3W目标","幼儿阶段达成"))</f>
        <v/>
      </c>
    </row>
    <row r="30" customFormat="false" ht="15" hidden="false" customHeight="true" outlineLevel="0" collapsed="false">
      <c r="A30" s="30"/>
      <c r="B30" s="44"/>
      <c r="C30" s="44"/>
      <c r="D30" s="35" t="str">
        <f aca="false">IF($A35="","",SUMIFS(持仓表!$J:$J,持仓表!$A:$A,$A35))</f>
        <v/>
      </c>
      <c r="E30" s="36" t="n">
        <f aca="false">IFERROR(D35/B35,0)</f>
        <v>0</v>
      </c>
      <c r="F30" s="44"/>
      <c r="G30" s="35" t="str">
        <f aca="false">IF($B35="","",MAX($B$2:B35))</f>
        <v/>
      </c>
      <c r="H30" s="36" t="n">
        <f aca="false">IFERROR((B35-F35)/F35,0)</f>
        <v>0</v>
      </c>
      <c r="I30" s="36" t="n">
        <f aca="false">IFERROR((B35-G35)/G35,0)</f>
        <v>0</v>
      </c>
      <c r="J30" s="30"/>
      <c r="K30" s="31"/>
      <c r="L30" s="45"/>
      <c r="M30" s="45"/>
      <c r="N30" s="36" t="str">
        <f aca="false">IF($B35="","",MIN(70%,IF($I35&lt;=-15%,10%,IF($I35&lt;=-10%,30%,IF($M35&gt;=4,10%,IF($M35&gt;=3,30%,IF($J35="强",IF($K35="A",70%,IF($K35="B",60%,40%)),IF($J35="中性",IF($K35="A",50%,IF($K35="B",40%,25%)),IF($K35="A",30%,IF($K35="B",20%,10%))))))))))</f>
        <v/>
      </c>
      <c r="O30" s="36" t="str">
        <f aca="false">IF($B35="","",IF(B35&lt;30000,35%,IF(B35&lt;50000,30%,IF(B35&lt;100000,25%,20%))))</f>
        <v/>
      </c>
      <c r="P30" s="38" t="str">
        <f aca="false">IF($A35="","",COUNTIFS(持仓表!$A:$A,$A35,持仓表!$G:$G,"&gt;0"))</f>
        <v/>
      </c>
      <c r="Q30" s="38" t="str">
        <f aca="false">IF($A35="","",COUNTIFS(持仓表!$A:$A,$A35,持仓表!$D:$D,"是",持仓表!$G:$G,"&gt;0"))</f>
        <v/>
      </c>
      <c r="R30" s="38" t="str">
        <f aca="false">IF($A35="","",MAX(0,P35-Q35))</f>
        <v/>
      </c>
      <c r="S30" s="38" t="str">
        <f aca="false">IF($B35="","",IF(B35&lt;50000,3,IF(B35&lt;100000,4,5)))</f>
        <v/>
      </c>
      <c r="T30" s="39" t="str">
        <f aca="false">IF($A35="","",IF(OR(M35&gt;=4,I35&lt;=-8%),"防守",IF(OR(M35&gt;=2,I35&lt;=-5%),"警戒","正常")))</f>
        <v/>
      </c>
      <c r="U30" s="39" t="str">
        <f aca="false">IF($A35="","",IF(AND(L35&gt;=3,M35&lt;=2,T35&lt;&gt;"防守"),"是","否"))</f>
        <v/>
      </c>
      <c r="V30" s="39" t="str">
        <f aca="false">IF($A35="","",IF(AND(E35&lt;N35,R35&lt;S35,M35&lt;=2,I35&gt;-15%),"是","否"))</f>
        <v/>
      </c>
      <c r="W30" s="39" t="str">
        <f aca="false">IF($A35="","",IF(OR(M35&gt;=3,I35&lt;=-15%),"是","否"))</f>
        <v/>
      </c>
      <c r="X30" s="35" t="str">
        <f aca="false">IF($A35="","",IFERROR(maxifs(候选池!$AB:$AB,候选池!$A:$A,$A35),0))</f>
        <v/>
      </c>
      <c r="Y30" s="35" t="str">
        <f aca="false">IF($A35="","",IF(OR(M35&gt;=4,I35&lt;=-8%),MAX(0,B35*60%-C35),IF(AND(ISNUMBER(AD35),B35&gt;AD35),IF(B35&lt;30000,0,IF(B35&lt;100000,MAX(0,(B35-AD35)*0.2),MAX(0,(B35-AD35)*0.3))),0)))</f>
        <v/>
      </c>
      <c r="Z30" s="30"/>
      <c r="AA30" s="39" t="str">
        <f aca="false">IF($A35="","",IF($AA$2&lt;&gt;"",$AA$2,""))</f>
        <v/>
      </c>
      <c r="AB30" s="30" t="str">
        <f aca="false">IF($A35="","",IF(B35&lt;30000,0.03,IF(B35&lt;100000,0.02,0.015)))</f>
        <v/>
      </c>
      <c r="AC30" s="38" t="str">
        <f aca="false">IF($A35="","",IFERROR(DATEDIF($A$2,$A35,"m"),0))</f>
        <v/>
      </c>
      <c r="AD30" s="35" t="str">
        <f aca="false">IF($A35="","",IF(OR(AA35="",AB35="",AC35=""),"",AA35*POWER(1+AB35,AC35)))</f>
        <v/>
      </c>
      <c r="AE30" s="47" t="str">
        <f aca="false">IF($A35="","",IF(OR(AD35="",AD35=0),"",B35/AD35-1))</f>
        <v/>
      </c>
      <c r="AG30" s="1" t="str">
        <f aca="false">IF($A35="","",IF(B35&lt;30000,"婴儿",IF(B35&lt;100000,"成长","成熟")))</f>
        <v/>
      </c>
      <c r="AH30" s="42"/>
      <c r="AJ30" s="42"/>
      <c r="AK30" s="42"/>
      <c r="AM30" s="42"/>
      <c r="AP30" s="32"/>
      <c r="AQ30" s="43" t="str">
        <f aca="false">IF($A35="","",B35-$AA$2-SUM($F$2:F35))</f>
        <v/>
      </c>
      <c r="AR30" s="1" t="str">
        <f aca="false">IF($A34="","",30000)</f>
        <v/>
      </c>
      <c r="AS30" s="1" t="str">
        <f aca="false">IF($A34="","",AR34-B34)</f>
        <v/>
      </c>
      <c r="AT30" s="1" t="str">
        <f aca="false">IF($A34="","",IFERROR(B34/AR34,0))</f>
        <v/>
      </c>
      <c r="AU30" s="1" t="str">
        <f aca="false">IF($A34="","",IFERROR(B34*O34,0))</f>
        <v/>
      </c>
      <c r="AV30" s="1" t="str">
        <f aca="false">IF($A34="","",IFERROR(C34/B34,0))</f>
        <v/>
      </c>
      <c r="AW30" s="1" t="str">
        <f aca="false">IF($A34="","",MAX(0,R34-S34))</f>
        <v/>
      </c>
      <c r="AX30" s="1" t="str">
        <f aca="false">IF($A34="","",IF(AW34&gt;0,"优先降持仓数",IF(C34&lt;=0,"现金不足","允许评估")))</f>
        <v/>
      </c>
      <c r="AY30" s="1" t="str">
        <f aca="false">IF($A34="","",IF(B34&lt;30000,"婴儿阶段: 优先活下来,禁止单票失控,限制持仓数,服务3W目标","幼儿阶段达成"))</f>
        <v/>
      </c>
    </row>
    <row r="31" customFormat="false" ht="15" hidden="false" customHeight="true" outlineLevel="0" collapsed="false">
      <c r="A31" s="28"/>
      <c r="B31" s="34"/>
      <c r="C31" s="34"/>
      <c r="D31" s="35" t="str">
        <f aca="false">IF($A36="","",SUMIFS(持仓表!$J:$J,持仓表!$A:$A,$A36))</f>
        <v/>
      </c>
      <c r="E31" s="36" t="n">
        <f aca="false">IFERROR(D36/B36,0)</f>
        <v>0</v>
      </c>
      <c r="F31" s="34"/>
      <c r="G31" s="35" t="str">
        <f aca="false">IF($B36="","",MAX($B$2:B36))</f>
        <v/>
      </c>
      <c r="H31" s="36" t="n">
        <f aca="false">IFERROR((B36-F36)/F36,0)</f>
        <v>0</v>
      </c>
      <c r="I31" s="36" t="n">
        <f aca="false">IFERROR((B36-G36)/G36,0)</f>
        <v>0</v>
      </c>
      <c r="J31" s="28"/>
      <c r="K31" s="29"/>
      <c r="L31" s="37"/>
      <c r="M31" s="37"/>
      <c r="N31" s="36" t="str">
        <f aca="false">IF($B36="","",MIN(70%,IF($I36&lt;=-15%,10%,IF($I36&lt;=-10%,30%,IF($M36&gt;=4,10%,IF($M36&gt;=3,30%,IF($J36="强",IF($K36="A",70%,IF($K36="B",60%,40%)),IF($J36="中性",IF($K36="A",50%,IF($K36="B",40%,25%)),IF($K36="A",30%,IF($K36="B",20%,10%))))))))))</f>
        <v/>
      </c>
      <c r="O31" s="36" t="str">
        <f aca="false">IF($B36="","",IF(B36&lt;30000,35%,IF(B36&lt;50000,30%,IF(B36&lt;100000,25%,20%))))</f>
        <v/>
      </c>
      <c r="P31" s="38" t="str">
        <f aca="false">IF($A36="","",COUNTIFS(持仓表!$A:$A,$A36,持仓表!$G:$G,"&gt;0"))</f>
        <v/>
      </c>
      <c r="Q31" s="38" t="str">
        <f aca="false">IF($A36="","",COUNTIFS(持仓表!$A:$A,$A36,持仓表!$D:$D,"是",持仓表!$G:$G,"&gt;0"))</f>
        <v/>
      </c>
      <c r="R31" s="38" t="str">
        <f aca="false">IF($A36="","",MAX(0,P36-Q36))</f>
        <v/>
      </c>
      <c r="S31" s="38" t="str">
        <f aca="false">IF($B36="","",IF(B36&lt;50000,3,IF(B36&lt;100000,4,5)))</f>
        <v/>
      </c>
      <c r="T31" s="39" t="str">
        <f aca="false">IF($A36="","",IF(OR(M36&gt;=4,I36&lt;=-8%),"防守",IF(OR(M36&gt;=2,I36&lt;=-5%),"警戒","正常")))</f>
        <v/>
      </c>
      <c r="U31" s="39" t="str">
        <f aca="false">IF($A36="","",IF(AND(L36&gt;=3,M36&lt;=2,T36&lt;&gt;"防守"),"是","否"))</f>
        <v/>
      </c>
      <c r="V31" s="39" t="str">
        <f aca="false">IF($A36="","",IF(AND(E36&lt;N36,R36&lt;S36,M36&lt;=2,I36&gt;-15%),"是","否"))</f>
        <v/>
      </c>
      <c r="W31" s="39" t="str">
        <f aca="false">IF($A36="","",IF(OR(M36&gt;=3,I36&lt;=-15%),"是","否"))</f>
        <v/>
      </c>
      <c r="X31" s="35" t="str">
        <f aca="false">IF($A36="","",IFERROR(maxifs(候选池!$AB:$AB,候选池!$A:$A,$A36),0))</f>
        <v/>
      </c>
      <c r="Y31" s="35" t="str">
        <f aca="false">IF($A36="","",IF(OR(M36&gt;=4,I36&lt;=-8%),MAX(0,B36*60%-C36),IF(AND(ISNUMBER(AD36),B36&gt;AD36),IF(B36&lt;30000,0,IF(B36&lt;100000,MAX(0,(B36-AD36)*0.2),MAX(0,(B36-AD36)*0.3))),0)))</f>
        <v/>
      </c>
      <c r="Z31" s="28"/>
      <c r="AA31" s="39" t="str">
        <f aca="false">IF($A36="","",IF($AA$2&lt;&gt;"",$AA$2,""))</f>
        <v/>
      </c>
      <c r="AB31" s="28" t="str">
        <f aca="false">IF($A36="","",IF(B36&lt;30000,0.03,IF(B36&lt;100000,0.02,0.015)))</f>
        <v/>
      </c>
      <c r="AC31" s="38" t="str">
        <f aca="false">IF($A36="","",IFERROR(DATEDIF($A$2,$A36,"m"),0))</f>
        <v/>
      </c>
      <c r="AD31" s="35" t="str">
        <f aca="false">IF($A36="","",IF(OR(AA36="",AB36="",AC36=""),"",AA36*POWER(1+AB36,AC36)))</f>
        <v/>
      </c>
      <c r="AE31" s="41" t="str">
        <f aca="false">IF($A36="","",IF(OR(AD36="",AD36=0),"",B36/AD36-1))</f>
        <v/>
      </c>
      <c r="AG31" s="1" t="str">
        <f aca="false">IF($A36="","",IF(B36&lt;30000,"婴儿",IF(B36&lt;100000,"成长","成熟")))</f>
        <v/>
      </c>
      <c r="AH31" s="42"/>
      <c r="AJ31" s="42"/>
      <c r="AK31" s="42"/>
      <c r="AM31" s="42"/>
      <c r="AP31" s="32"/>
      <c r="AQ31" s="43" t="str">
        <f aca="false">IF($A36="","",B36-$AA$2-SUM($F$2:F36))</f>
        <v/>
      </c>
      <c r="AR31" s="1" t="str">
        <f aca="false">IF($A35="","",30000)</f>
        <v/>
      </c>
      <c r="AS31" s="1" t="str">
        <f aca="false">IF($A35="","",AR35-B35)</f>
        <v/>
      </c>
      <c r="AT31" s="1" t="str">
        <f aca="false">IF($A35="","",IFERROR(B35/AR35,0))</f>
        <v/>
      </c>
      <c r="AU31" s="1" t="str">
        <f aca="false">IF($A35="","",IFERROR(B35*O35,0))</f>
        <v/>
      </c>
      <c r="AV31" s="1" t="str">
        <f aca="false">IF($A35="","",IFERROR(C35/B35,0))</f>
        <v/>
      </c>
      <c r="AW31" s="1" t="str">
        <f aca="false">IF($A35="","",MAX(0,R35-S35))</f>
        <v/>
      </c>
      <c r="AX31" s="1" t="str">
        <f aca="false">IF($A35="","",IF(AW35&gt;0,"优先降持仓数",IF(C35&lt;=0,"现金不足","允许评估")))</f>
        <v/>
      </c>
      <c r="AY31" s="1" t="str">
        <f aca="false">IF($A35="","",IF(B35&lt;30000,"婴儿阶段: 优先活下来,禁止单票失控,限制持仓数,服务3W目标","幼儿阶段达成"))</f>
        <v/>
      </c>
    </row>
    <row r="32" customFormat="false" ht="15" hidden="false" customHeight="true" outlineLevel="0" collapsed="false">
      <c r="A32" s="30"/>
      <c r="B32" s="44"/>
      <c r="C32" s="44"/>
      <c r="D32" s="35" t="str">
        <f aca="false">IF($A37="","",SUMIFS(持仓表!$J:$J,持仓表!$A:$A,$A37))</f>
        <v/>
      </c>
      <c r="E32" s="36" t="n">
        <f aca="false">IFERROR(D37/B37,0)</f>
        <v>0</v>
      </c>
      <c r="F32" s="44"/>
      <c r="G32" s="35" t="str">
        <f aca="false">IF($B37="","",MAX($B$2:B37))</f>
        <v/>
      </c>
      <c r="H32" s="36" t="n">
        <f aca="false">IFERROR((B37-F37)/F37,0)</f>
        <v>0</v>
      </c>
      <c r="I32" s="36" t="n">
        <f aca="false">IFERROR((B37-G37)/G37,0)</f>
        <v>0</v>
      </c>
      <c r="J32" s="30"/>
      <c r="K32" s="31"/>
      <c r="L32" s="45"/>
      <c r="M32" s="45"/>
      <c r="N32" s="36" t="str">
        <f aca="false">IF($B37="","",MIN(70%,IF($I37&lt;=-15%,10%,IF($I37&lt;=-10%,30%,IF($M37&gt;=4,10%,IF($M37&gt;=3,30%,IF($J37="强",IF($K37="A",70%,IF($K37="B",60%,40%)),IF($J37="中性",IF($K37="A",50%,IF($K37="B",40%,25%)),IF($K37="A",30%,IF($K37="B",20%,10%))))))))))</f>
        <v/>
      </c>
      <c r="O32" s="36" t="str">
        <f aca="false">IF($B37="","",IF(B37&lt;30000,35%,IF(B37&lt;50000,30%,IF(B37&lt;100000,25%,20%))))</f>
        <v/>
      </c>
      <c r="P32" s="38" t="str">
        <f aca="false">IF($A37="","",COUNTIFS(持仓表!$A:$A,$A37,持仓表!$G:$G,"&gt;0"))</f>
        <v/>
      </c>
      <c r="Q32" s="38" t="str">
        <f aca="false">IF($A37="","",COUNTIFS(持仓表!$A:$A,$A37,持仓表!$D:$D,"是",持仓表!$G:$G,"&gt;0"))</f>
        <v/>
      </c>
      <c r="R32" s="38" t="str">
        <f aca="false">IF($A37="","",MAX(0,P37-Q37))</f>
        <v/>
      </c>
      <c r="S32" s="38" t="str">
        <f aca="false">IF($B37="","",IF(B37&lt;50000,3,IF(B37&lt;100000,4,5)))</f>
        <v/>
      </c>
      <c r="T32" s="39" t="str">
        <f aca="false">IF($A37="","",IF(OR(M37&gt;=4,I37&lt;=-8%),"防守",IF(OR(M37&gt;=2,I37&lt;=-5%),"警戒","正常")))</f>
        <v/>
      </c>
      <c r="U32" s="39" t="str">
        <f aca="false">IF($A37="","",IF(AND(L37&gt;=3,M37&lt;=2,T37&lt;&gt;"防守"),"是","否"))</f>
        <v/>
      </c>
      <c r="V32" s="39" t="str">
        <f aca="false">IF($A37="","",IF(AND(E37&lt;N37,R37&lt;S37,M37&lt;=2,I37&gt;-15%),"是","否"))</f>
        <v/>
      </c>
      <c r="W32" s="39" t="str">
        <f aca="false">IF($A37="","",IF(OR(M37&gt;=3,I37&lt;=-15%),"是","否"))</f>
        <v/>
      </c>
      <c r="X32" s="35" t="str">
        <f aca="false">IF($A37="","",IFERROR(maxifs(候选池!$AB:$AB,候选池!$A:$A,$A37),0))</f>
        <v/>
      </c>
      <c r="Y32" s="35" t="str">
        <f aca="false">IF($A37="","",IF(OR(M37&gt;=4,I37&lt;=-8%),MAX(0,B37*60%-C37),IF(AND(ISNUMBER(AD37),B37&gt;AD37),IF(B37&lt;30000,0,IF(B37&lt;100000,MAX(0,(B37-AD37)*0.2),MAX(0,(B37-AD37)*0.3))),0)))</f>
        <v/>
      </c>
      <c r="Z32" s="30"/>
      <c r="AA32" s="39" t="str">
        <f aca="false">IF($A37="","",IF($AA$2&lt;&gt;"",$AA$2,""))</f>
        <v/>
      </c>
      <c r="AB32" s="30" t="str">
        <f aca="false">IF($A37="","",IF(B37&lt;30000,0.03,IF(B37&lt;100000,0.02,0.015)))</f>
        <v/>
      </c>
      <c r="AC32" s="38" t="str">
        <f aca="false">IF($A37="","",IFERROR(DATEDIF($A$2,$A37,"m"),0))</f>
        <v/>
      </c>
      <c r="AD32" s="35" t="str">
        <f aca="false">IF($A37="","",IF(OR(AA37="",AB37="",AC37=""),"",AA37*POWER(1+AB37,AC37)))</f>
        <v/>
      </c>
      <c r="AE32" s="47" t="str">
        <f aca="false">IF($A37="","",IF(OR(AD37="",AD37=0),"",B37/AD37-1))</f>
        <v/>
      </c>
      <c r="AG32" s="1" t="str">
        <f aca="false">IF($A37="","",IF(B37&lt;30000,"婴儿",IF(B37&lt;100000,"成长","成熟")))</f>
        <v/>
      </c>
      <c r="AH32" s="42"/>
      <c r="AJ32" s="42"/>
      <c r="AK32" s="42"/>
      <c r="AM32" s="42"/>
      <c r="AP32" s="32"/>
      <c r="AQ32" s="43" t="str">
        <f aca="false">IF($A37="","",B37-$AA$2-SUM($F$2:F37))</f>
        <v/>
      </c>
      <c r="AR32" s="1" t="str">
        <f aca="false">IF($A36="","",30000)</f>
        <v/>
      </c>
      <c r="AS32" s="1" t="str">
        <f aca="false">IF($A36="","",AR36-B36)</f>
        <v/>
      </c>
      <c r="AT32" s="1" t="str">
        <f aca="false">IF($A36="","",IFERROR(B36/AR36,0))</f>
        <v/>
      </c>
      <c r="AU32" s="1" t="str">
        <f aca="false">IF($A36="","",IFERROR(B36*O36,0))</f>
        <v/>
      </c>
      <c r="AV32" s="1" t="str">
        <f aca="false">IF($A36="","",IFERROR(C36/B36,0))</f>
        <v/>
      </c>
      <c r="AW32" s="1" t="str">
        <f aca="false">IF($A36="","",MAX(0,R36-S36))</f>
        <v/>
      </c>
      <c r="AX32" s="1" t="str">
        <f aca="false">IF($A36="","",IF(AW36&gt;0,"优先降持仓数",IF(C36&lt;=0,"现金不足","允许评估")))</f>
        <v/>
      </c>
      <c r="AY32" s="1" t="str">
        <f aca="false">IF($A36="","",IF(B36&lt;30000,"婴儿阶段: 优先活下来,禁止单票失控,限制持仓数,服务3W目标","幼儿阶段达成"))</f>
        <v/>
      </c>
    </row>
    <row r="33" customFormat="false" ht="15" hidden="false" customHeight="true" outlineLevel="0" collapsed="false">
      <c r="A33" s="28"/>
      <c r="B33" s="34"/>
      <c r="C33" s="34"/>
      <c r="D33" s="35" t="str">
        <f aca="false">IF($A38="","",SUMIFS(持仓表!$J:$J,持仓表!$A:$A,$A38))</f>
        <v/>
      </c>
      <c r="E33" s="36" t="n">
        <f aca="false">IFERROR(D38/B38,0)</f>
        <v>0</v>
      </c>
      <c r="F33" s="34"/>
      <c r="G33" s="35" t="str">
        <f aca="false">IF($B38="","",MAX($B$2:B38))</f>
        <v/>
      </c>
      <c r="H33" s="36" t="n">
        <f aca="false">IFERROR((B38-F38)/F38,0)</f>
        <v>0</v>
      </c>
      <c r="I33" s="36" t="n">
        <f aca="false">IFERROR((B38-G38)/G38,0)</f>
        <v>0</v>
      </c>
      <c r="J33" s="28"/>
      <c r="K33" s="29"/>
      <c r="L33" s="37"/>
      <c r="M33" s="37"/>
      <c r="N33" s="36" t="str">
        <f aca="false">IF($B38="","",MIN(70%,IF($I38&lt;=-15%,10%,IF($I38&lt;=-10%,30%,IF($M38&gt;=4,10%,IF($M38&gt;=3,30%,IF($J38="强",IF($K38="A",70%,IF($K38="B",60%,40%)),IF($J38="中性",IF($K38="A",50%,IF($K38="B",40%,25%)),IF($K38="A",30%,IF($K38="B",20%,10%))))))))))</f>
        <v/>
      </c>
      <c r="O33" s="36" t="str">
        <f aca="false">IF($B38="","",IF(B38&lt;30000,35%,IF(B38&lt;50000,30%,IF(B38&lt;100000,25%,20%))))</f>
        <v/>
      </c>
      <c r="P33" s="38" t="str">
        <f aca="false">IF($A38="","",COUNTIFS(持仓表!$A:$A,$A38,持仓表!$G:$G,"&gt;0"))</f>
        <v/>
      </c>
      <c r="Q33" s="38" t="str">
        <f aca="false">IF($A38="","",COUNTIFS(持仓表!$A:$A,$A38,持仓表!$D:$D,"是",持仓表!$G:$G,"&gt;0"))</f>
        <v/>
      </c>
      <c r="R33" s="38" t="str">
        <f aca="false">IF($A38="","",MAX(0,P38-Q38))</f>
        <v/>
      </c>
      <c r="S33" s="38" t="str">
        <f aca="false">IF($B38="","",IF(B38&lt;50000,3,IF(B38&lt;100000,4,5)))</f>
        <v/>
      </c>
      <c r="T33" s="39" t="str">
        <f aca="false">IF($A38="","",IF(OR(M38&gt;=4,I38&lt;=-8%),"防守",IF(OR(M38&gt;=2,I38&lt;=-5%),"警戒","正常")))</f>
        <v/>
      </c>
      <c r="U33" s="39" t="str">
        <f aca="false">IF($A38="","",IF(AND(L38&gt;=3,M38&lt;=2,T38&lt;&gt;"防守"),"是","否"))</f>
        <v/>
      </c>
      <c r="V33" s="39" t="str">
        <f aca="false">IF($A38="","",IF(AND(E38&lt;N38,R38&lt;S38,M38&lt;=2,I38&gt;-15%),"是","否"))</f>
        <v/>
      </c>
      <c r="W33" s="39" t="str">
        <f aca="false">IF($A38="","",IF(OR(M38&gt;=3,I38&lt;=-15%),"是","否"))</f>
        <v/>
      </c>
      <c r="X33" s="35" t="str">
        <f aca="false">IF($A38="","",IFERROR(maxifs(候选池!$AB:$AB,候选池!$A:$A,$A38),0))</f>
        <v/>
      </c>
      <c r="Y33" s="35" t="str">
        <f aca="false">IF($A38="","",IF(OR(M38&gt;=4,I38&lt;=-8%),MAX(0,B38*60%-C38),IF(AND(ISNUMBER(AD38),B38&gt;AD38),IF(B38&lt;30000,0,IF(B38&lt;100000,MAX(0,(B38-AD38)*0.2),MAX(0,(B38-AD38)*0.3))),0)))</f>
        <v/>
      </c>
      <c r="Z33" s="28"/>
      <c r="AA33" s="39" t="str">
        <f aca="false">IF($A38="","",IF($AA$2&lt;&gt;"",$AA$2,""))</f>
        <v/>
      </c>
      <c r="AB33" s="28" t="str">
        <f aca="false">IF($A38="","",IF(B38&lt;30000,0.03,IF(B38&lt;100000,0.02,0.015)))</f>
        <v/>
      </c>
      <c r="AC33" s="38" t="str">
        <f aca="false">IF($A38="","",IFERROR(DATEDIF($A$2,$A38,"m"),0))</f>
        <v/>
      </c>
      <c r="AD33" s="35" t="str">
        <f aca="false">IF($A38="","",IF(OR(AA38="",AB38="",AC38=""),"",AA38*POWER(1+AB38,AC38)))</f>
        <v/>
      </c>
      <c r="AE33" s="41" t="str">
        <f aca="false">IF($A38="","",IF(OR(AD38="",AD38=0),"",B38/AD38-1))</f>
        <v/>
      </c>
      <c r="AG33" s="1" t="str">
        <f aca="false">IF($A38="","",IF(B38&lt;30000,"婴儿",IF(B38&lt;100000,"成长","成熟")))</f>
        <v/>
      </c>
      <c r="AH33" s="42"/>
      <c r="AJ33" s="42"/>
      <c r="AK33" s="42"/>
      <c r="AM33" s="42"/>
      <c r="AP33" s="32"/>
      <c r="AQ33" s="43" t="str">
        <f aca="false">IF($A38="","",B38-$AA$2-SUM($F$2:F38))</f>
        <v/>
      </c>
      <c r="AR33" s="1" t="str">
        <f aca="false">IF($A37="","",30000)</f>
        <v/>
      </c>
      <c r="AS33" s="1" t="str">
        <f aca="false">IF($A37="","",AR37-B37)</f>
        <v/>
      </c>
      <c r="AT33" s="1" t="str">
        <f aca="false">IF($A37="","",IFERROR(B37/AR37,0))</f>
        <v/>
      </c>
      <c r="AU33" s="1" t="str">
        <f aca="false">IF($A37="","",IFERROR(B37*O37,0))</f>
        <v/>
      </c>
      <c r="AV33" s="1" t="str">
        <f aca="false">IF($A37="","",IFERROR(C37/B37,0))</f>
        <v/>
      </c>
      <c r="AW33" s="1" t="str">
        <f aca="false">IF($A37="","",MAX(0,R37-S37))</f>
        <v/>
      </c>
      <c r="AX33" s="1" t="str">
        <f aca="false">IF($A37="","",IF(AW37&gt;0,"优先降持仓数",IF(C37&lt;=0,"现金不足","允许评估")))</f>
        <v/>
      </c>
      <c r="AY33" s="1" t="str">
        <f aca="false">IF($A37="","",IF(B37&lt;30000,"婴儿阶段: 优先活下来,禁止单票失控,限制持仓数,服务3W目标","幼儿阶段达成"))</f>
        <v/>
      </c>
    </row>
    <row r="34" customFormat="false" ht="15" hidden="false" customHeight="true" outlineLevel="0" collapsed="false">
      <c r="A34" s="30"/>
      <c r="B34" s="44"/>
      <c r="C34" s="44"/>
      <c r="D34" s="35" t="str">
        <f aca="false">IF($A39="","",SUMIFS(持仓表!$J:$J,持仓表!$A:$A,$A39))</f>
        <v/>
      </c>
      <c r="E34" s="36" t="n">
        <f aca="false">IFERROR(D39/B39,0)</f>
        <v>0</v>
      </c>
      <c r="F34" s="44"/>
      <c r="G34" s="35" t="str">
        <f aca="false">IF($B39="","",MAX($B$2:B39))</f>
        <v/>
      </c>
      <c r="H34" s="36" t="n">
        <f aca="false">IFERROR((B39-F39)/F39,0)</f>
        <v>0</v>
      </c>
      <c r="I34" s="36" t="n">
        <f aca="false">IFERROR((B39-G39)/G39,0)</f>
        <v>0</v>
      </c>
      <c r="J34" s="30"/>
      <c r="K34" s="31"/>
      <c r="L34" s="45"/>
      <c r="M34" s="45"/>
      <c r="N34" s="36" t="str">
        <f aca="false">IF($B39="","",MIN(70%,IF($I39&lt;=-15%,10%,IF($I39&lt;=-10%,30%,IF($M39&gt;=4,10%,IF($M39&gt;=3,30%,IF($J39="强",IF($K39="A",70%,IF($K39="B",60%,40%)),IF($J39="中性",IF($K39="A",50%,IF($K39="B",40%,25%)),IF($K39="A",30%,IF($K39="B",20%,10%))))))))))</f>
        <v/>
      </c>
      <c r="O34" s="36" t="str">
        <f aca="false">IF($B39="","",IF(B39&lt;30000,35%,IF(B39&lt;50000,30%,IF(B39&lt;100000,25%,20%))))</f>
        <v/>
      </c>
      <c r="P34" s="38" t="str">
        <f aca="false">IF($A39="","",COUNTIFS(持仓表!$A:$A,$A39,持仓表!$G:$G,"&gt;0"))</f>
        <v/>
      </c>
      <c r="Q34" s="38" t="str">
        <f aca="false">IF($A39="","",COUNTIFS(持仓表!$A:$A,$A39,持仓表!$D:$D,"是",持仓表!$G:$G,"&gt;0"))</f>
        <v/>
      </c>
      <c r="R34" s="38" t="str">
        <f aca="false">IF($A39="","",MAX(0,P39-Q39))</f>
        <v/>
      </c>
      <c r="S34" s="38" t="str">
        <f aca="false">IF($B39="","",IF(B39&lt;50000,3,IF(B39&lt;100000,4,5)))</f>
        <v/>
      </c>
      <c r="T34" s="39" t="str">
        <f aca="false">IF($A39="","",IF(OR(M39&gt;=4,I39&lt;=-8%),"防守",IF(OR(M39&gt;=2,I39&lt;=-5%),"警戒","正常")))</f>
        <v/>
      </c>
      <c r="U34" s="39" t="str">
        <f aca="false">IF($A39="","",IF(AND(L39&gt;=3,M39&lt;=2,T39&lt;&gt;"防守"),"是","否"))</f>
        <v/>
      </c>
      <c r="V34" s="39" t="str">
        <f aca="false">IF($A39="","",IF(AND(E39&lt;N39,R39&lt;S39,M39&lt;=2,I39&gt;-15%),"是","否"))</f>
        <v/>
      </c>
      <c r="W34" s="39" t="str">
        <f aca="false">IF($A39="","",IF(OR(M39&gt;=3,I39&lt;=-15%),"是","否"))</f>
        <v/>
      </c>
      <c r="X34" s="35" t="str">
        <f aca="false">IF($A39="","",IFERROR(maxifs(候选池!$AB:$AB,候选池!$A:$A,$A39),0))</f>
        <v/>
      </c>
      <c r="Y34" s="35" t="str">
        <f aca="false">IF($A39="","",IF(OR(M39&gt;=4,I39&lt;=-8%),MAX(0,B39*60%-C39),IF(AND(ISNUMBER(AD39),B39&gt;AD39),IF(B39&lt;30000,0,IF(B39&lt;100000,MAX(0,(B39-AD39)*0.2),MAX(0,(B39-AD39)*0.3))),0)))</f>
        <v/>
      </c>
      <c r="Z34" s="30"/>
      <c r="AA34" s="39" t="str">
        <f aca="false">IF($A39="","",IF($AA$2&lt;&gt;"",$AA$2,""))</f>
        <v/>
      </c>
      <c r="AB34" s="30" t="str">
        <f aca="false">IF($A39="","",IF(B39&lt;30000,0.03,IF(B39&lt;100000,0.02,0.015)))</f>
        <v/>
      </c>
      <c r="AC34" s="38" t="str">
        <f aca="false">IF($A39="","",IFERROR(DATEDIF($A$2,$A39,"m"),0))</f>
        <v/>
      </c>
      <c r="AD34" s="35" t="str">
        <f aca="false">IF($A39="","",IF(OR(AA39="",AB39="",AC39=""),"",AA39*POWER(1+AB39,AC39)))</f>
        <v/>
      </c>
      <c r="AE34" s="47" t="str">
        <f aca="false">IF($A39="","",IF(OR(AD39="",AD39=0),"",B39/AD39-1))</f>
        <v/>
      </c>
      <c r="AG34" s="1" t="str">
        <f aca="false">IF($A39="","",IF(B39&lt;30000,"婴儿",IF(B39&lt;100000,"成长","成熟")))</f>
        <v/>
      </c>
      <c r="AH34" s="42"/>
      <c r="AJ34" s="42"/>
      <c r="AK34" s="42"/>
      <c r="AM34" s="42"/>
      <c r="AP34" s="32"/>
      <c r="AQ34" s="43" t="str">
        <f aca="false">IF($A39="","",B39-$AA$2-SUM($F$2:F39))</f>
        <v/>
      </c>
      <c r="AR34" s="1" t="str">
        <f aca="false">IF($A38="","",30000)</f>
        <v/>
      </c>
      <c r="AS34" s="1" t="str">
        <f aca="false">IF($A38="","",AR38-B38)</f>
        <v/>
      </c>
      <c r="AT34" s="1" t="str">
        <f aca="false">IF($A38="","",IFERROR(B38/AR38,0))</f>
        <v/>
      </c>
      <c r="AU34" s="1" t="str">
        <f aca="false">IF($A38="","",IFERROR(B38*O38,0))</f>
        <v/>
      </c>
      <c r="AV34" s="1" t="str">
        <f aca="false">IF($A38="","",IFERROR(C38/B38,0))</f>
        <v/>
      </c>
      <c r="AW34" s="1" t="str">
        <f aca="false">IF($A38="","",MAX(0,R38-S38))</f>
        <v/>
      </c>
      <c r="AX34" s="1" t="str">
        <f aca="false">IF($A38="","",IF(AW38&gt;0,"优先降持仓数",IF(C38&lt;=0,"现金不足","允许评估")))</f>
        <v/>
      </c>
      <c r="AY34" s="1" t="str">
        <f aca="false">IF($A38="","",IF(B38&lt;30000,"婴儿阶段: 优先活下来,禁止单票失控,限制持仓数,服务3W目标","幼儿阶段达成"))</f>
        <v/>
      </c>
    </row>
    <row r="35" customFormat="false" ht="15" hidden="false" customHeight="true" outlineLevel="0" collapsed="false">
      <c r="A35" s="28"/>
      <c r="B35" s="34"/>
      <c r="C35" s="34"/>
      <c r="D35" s="35" t="str">
        <f aca="false">IF($A40="","",SUMIFS(持仓表!$J:$J,持仓表!$A:$A,$A40))</f>
        <v/>
      </c>
      <c r="E35" s="36" t="n">
        <f aca="false">IFERROR(D40/B40,0)</f>
        <v>0</v>
      </c>
      <c r="F35" s="34"/>
      <c r="G35" s="35" t="str">
        <f aca="false">IF($B40="","",MAX($B$2:B40))</f>
        <v/>
      </c>
      <c r="H35" s="36" t="n">
        <f aca="false">IFERROR((B40-F40)/F40,0)</f>
        <v>0</v>
      </c>
      <c r="I35" s="36" t="n">
        <f aca="false">IFERROR((B40-G40)/G40,0)</f>
        <v>0</v>
      </c>
      <c r="J35" s="28"/>
      <c r="K35" s="29"/>
      <c r="L35" s="37"/>
      <c r="M35" s="37"/>
      <c r="N35" s="36" t="str">
        <f aca="false">IF($B40="","",MIN(70%,IF($I40&lt;=-15%,10%,IF($I40&lt;=-10%,30%,IF($M40&gt;=4,10%,IF($M40&gt;=3,30%,IF($J40="强",IF($K40="A",70%,IF($K40="B",60%,40%)),IF($J40="中性",IF($K40="A",50%,IF($K40="B",40%,25%)),IF($K40="A",30%,IF($K40="B",20%,10%))))))))))</f>
        <v/>
      </c>
      <c r="O35" s="36" t="str">
        <f aca="false">IF($B40="","",IF(B40&lt;30000,35%,IF(B40&lt;50000,30%,IF(B40&lt;100000,25%,20%))))</f>
        <v/>
      </c>
      <c r="P35" s="38" t="str">
        <f aca="false">IF($A40="","",COUNTIFS(持仓表!$A:$A,$A40,持仓表!$G:$G,"&gt;0"))</f>
        <v/>
      </c>
      <c r="Q35" s="38" t="str">
        <f aca="false">IF($A40="","",COUNTIFS(持仓表!$A:$A,$A40,持仓表!$D:$D,"是",持仓表!$G:$G,"&gt;0"))</f>
        <v/>
      </c>
      <c r="R35" s="38" t="str">
        <f aca="false">IF($A40="","",MAX(0,P40-Q40))</f>
        <v/>
      </c>
      <c r="S35" s="38" t="str">
        <f aca="false">IF($B40="","",IF(B40&lt;50000,3,IF(B40&lt;100000,4,5)))</f>
        <v/>
      </c>
      <c r="T35" s="39" t="str">
        <f aca="false">IF($A40="","",IF(OR(M40&gt;=4,I40&lt;=-8%),"防守",IF(OR(M40&gt;=2,I40&lt;=-5%),"警戒","正常")))</f>
        <v/>
      </c>
      <c r="U35" s="39" t="str">
        <f aca="false">IF($A40="","",IF(AND(L40&gt;=3,M40&lt;=2,T40&lt;&gt;"防守"),"是","否"))</f>
        <v/>
      </c>
      <c r="V35" s="39" t="str">
        <f aca="false">IF($A40="","",IF(AND(E40&lt;N40,R40&lt;S40,M40&lt;=2,I40&gt;-15%),"是","否"))</f>
        <v/>
      </c>
      <c r="W35" s="39" t="str">
        <f aca="false">IF($A40="","",IF(OR(M40&gt;=3,I40&lt;=-15%),"是","否"))</f>
        <v/>
      </c>
      <c r="X35" s="35" t="str">
        <f aca="false">IF($A40="","",IFERROR(maxifs(候选池!$AB:$AB,候选池!$A:$A,$A40),0))</f>
        <v/>
      </c>
      <c r="Y35" s="35" t="str">
        <f aca="false">IF($A40="","",IF(OR(M40&gt;=4,I40&lt;=-8%),MAX(0,B40*60%-C40),IF(AND(ISNUMBER(AD40),B40&gt;AD40),IF(B40&lt;30000,0,IF(B40&lt;100000,MAX(0,(B40-AD40)*0.2),MAX(0,(B40-AD40)*0.3))),0)))</f>
        <v/>
      </c>
      <c r="Z35" s="28"/>
      <c r="AA35" s="39" t="str">
        <f aca="false">IF($A40="","",IF($AA$2&lt;&gt;"",$AA$2,""))</f>
        <v/>
      </c>
      <c r="AB35" s="28" t="str">
        <f aca="false">IF($A40="","",IF(B40&lt;30000,0.03,IF(B40&lt;100000,0.02,0.015)))</f>
        <v/>
      </c>
      <c r="AC35" s="38" t="str">
        <f aca="false">IF($A40="","",IFERROR(DATEDIF($A$2,$A40,"m"),0))</f>
        <v/>
      </c>
      <c r="AD35" s="35" t="str">
        <f aca="false">IF($A40="","",IF(OR(AA40="",AB40="",AC40=""),"",AA40*POWER(1+AB40,AC40)))</f>
        <v/>
      </c>
      <c r="AE35" s="41" t="str">
        <f aca="false">IF($A40="","",IF(OR(AD40="",AD40=0),"",B40/AD40-1))</f>
        <v/>
      </c>
      <c r="AG35" s="1" t="str">
        <f aca="false">IF($A40="","",IF(B40&lt;30000,"婴儿",IF(B40&lt;100000,"成长","成熟")))</f>
        <v/>
      </c>
      <c r="AH35" s="42"/>
      <c r="AJ35" s="42"/>
      <c r="AK35" s="42"/>
      <c r="AM35" s="42"/>
      <c r="AP35" s="32"/>
      <c r="AQ35" s="43" t="str">
        <f aca="false">IF($A40="","",B40-$AA$2-SUM($F$2:F40))</f>
        <v/>
      </c>
      <c r="AR35" s="1" t="str">
        <f aca="false">IF($A39="","",30000)</f>
        <v/>
      </c>
      <c r="AS35" s="1" t="str">
        <f aca="false">IF($A39="","",AR39-B39)</f>
        <v/>
      </c>
      <c r="AT35" s="1" t="str">
        <f aca="false">IF($A39="","",IFERROR(B39/AR39,0))</f>
        <v/>
      </c>
      <c r="AU35" s="1" t="str">
        <f aca="false">IF($A39="","",IFERROR(B39*O39,0))</f>
        <v/>
      </c>
      <c r="AV35" s="1" t="str">
        <f aca="false">IF($A39="","",IFERROR(C39/B39,0))</f>
        <v/>
      </c>
      <c r="AW35" s="1" t="str">
        <f aca="false">IF($A39="","",MAX(0,R39-S39))</f>
        <v/>
      </c>
      <c r="AX35" s="1" t="str">
        <f aca="false">IF($A39="","",IF(AW39&gt;0,"优先降持仓数",IF(C39&lt;=0,"现金不足","允许评估")))</f>
        <v/>
      </c>
      <c r="AY35" s="1" t="str">
        <f aca="false">IF($A39="","",IF(B39&lt;30000,"婴儿阶段: 优先活下来,禁止单票失控,限制持仓数,服务3W目标","幼儿阶段达成"))</f>
        <v/>
      </c>
    </row>
    <row r="36" customFormat="false" ht="15" hidden="false" customHeight="true" outlineLevel="0" collapsed="false">
      <c r="A36" s="30"/>
      <c r="B36" s="44"/>
      <c r="C36" s="44"/>
      <c r="D36" s="35" t="str">
        <f aca="false">IF($A41="","",SUMIFS(持仓表!$J:$J,持仓表!$A:$A,$A41))</f>
        <v/>
      </c>
      <c r="E36" s="36" t="n">
        <f aca="false">IFERROR(D41/B41,0)</f>
        <v>0</v>
      </c>
      <c r="F36" s="44"/>
      <c r="G36" s="35" t="str">
        <f aca="false">IF($B41="","",MAX($B$2:B41))</f>
        <v/>
      </c>
      <c r="H36" s="36" t="n">
        <f aca="false">IFERROR((B41-F41)/F41,0)</f>
        <v>0</v>
      </c>
      <c r="I36" s="36" t="n">
        <f aca="false">IFERROR((B41-G41)/G41,0)</f>
        <v>0</v>
      </c>
      <c r="J36" s="30"/>
      <c r="K36" s="31"/>
      <c r="L36" s="45"/>
      <c r="M36" s="45"/>
      <c r="N36" s="36" t="str">
        <f aca="false">IF($B41="","",MIN(70%,IF($I41&lt;=-15%,10%,IF($I41&lt;=-10%,30%,IF($M41&gt;=4,10%,IF($M41&gt;=3,30%,IF($J41="强",IF($K41="A",70%,IF($K41="B",60%,40%)),IF($J41="中性",IF($K41="A",50%,IF($K41="B",40%,25%)),IF($K41="A",30%,IF($K41="B",20%,10%))))))))))</f>
        <v/>
      </c>
      <c r="O36" s="36" t="str">
        <f aca="false">IF($B41="","",IF(B41&lt;30000,35%,IF(B41&lt;50000,30%,IF(B41&lt;100000,25%,20%))))</f>
        <v/>
      </c>
      <c r="P36" s="38" t="str">
        <f aca="false">IF($A41="","",COUNTIFS(持仓表!$A:$A,$A41,持仓表!$G:$G,"&gt;0"))</f>
        <v/>
      </c>
      <c r="Q36" s="38" t="str">
        <f aca="false">IF($A41="","",COUNTIFS(持仓表!$A:$A,$A41,持仓表!$D:$D,"是",持仓表!$G:$G,"&gt;0"))</f>
        <v/>
      </c>
      <c r="R36" s="38" t="str">
        <f aca="false">IF($A41="","",MAX(0,P41-Q41))</f>
        <v/>
      </c>
      <c r="S36" s="38" t="str">
        <f aca="false">IF($B41="","",IF(B41&lt;50000,3,IF(B41&lt;100000,4,5)))</f>
        <v/>
      </c>
      <c r="T36" s="39" t="str">
        <f aca="false">IF($A41="","",IF(OR(M41&gt;=4,I41&lt;=-8%),"防守",IF(OR(M41&gt;=2,I41&lt;=-5%),"警戒","正常")))</f>
        <v/>
      </c>
      <c r="U36" s="39" t="str">
        <f aca="false">IF($A41="","",IF(AND(L41&gt;=3,M41&lt;=2,T41&lt;&gt;"防守"),"是","否"))</f>
        <v/>
      </c>
      <c r="V36" s="39" t="str">
        <f aca="false">IF($A41="","",IF(AND(E41&lt;N41,R41&lt;S41,M41&lt;=2,I41&gt;-15%),"是","否"))</f>
        <v/>
      </c>
      <c r="W36" s="39" t="str">
        <f aca="false">IF($A41="","",IF(OR(M41&gt;=3,I41&lt;=-15%),"是","否"))</f>
        <v/>
      </c>
      <c r="X36" s="35" t="str">
        <f aca="false">IF($A41="","",IFERROR(maxifs(候选池!$AB:$AB,候选池!$A:$A,$A41),0))</f>
        <v/>
      </c>
      <c r="Y36" s="35" t="str">
        <f aca="false">IF($A41="","",IF(OR(M41&gt;=4,I41&lt;=-8%),MAX(0,B41*60%-C41),IF(AND(ISNUMBER(AD41),B41&gt;AD41),IF(B41&lt;30000,0,IF(B41&lt;100000,MAX(0,(B41-AD41)*0.2),MAX(0,(B41-AD41)*0.3))),0)))</f>
        <v/>
      </c>
      <c r="Z36" s="30"/>
      <c r="AA36" s="39" t="str">
        <f aca="false">IF($A41="","",IF($AA$2&lt;&gt;"",$AA$2,""))</f>
        <v/>
      </c>
      <c r="AB36" s="30" t="str">
        <f aca="false">IF($A41="","",IF(B41&lt;30000,0.03,IF(B41&lt;100000,0.02,0.015)))</f>
        <v/>
      </c>
      <c r="AC36" s="38" t="str">
        <f aca="false">IF($A41="","",IFERROR(DATEDIF($A$2,$A41,"m"),0))</f>
        <v/>
      </c>
      <c r="AD36" s="35" t="str">
        <f aca="false">IF($A41="","",IF(OR(AA41="",AB41="",AC41=""),"",AA41*POWER(1+AB41,AC41)))</f>
        <v/>
      </c>
      <c r="AE36" s="47" t="str">
        <f aca="false">IF($A41="","",IF(OR(AD41="",AD41=0),"",B41/AD41-1))</f>
        <v/>
      </c>
      <c r="AG36" s="1" t="str">
        <f aca="false">IF($A41="","",IF(B41&lt;30000,"婴儿",IF(B41&lt;100000,"成长","成熟")))</f>
        <v/>
      </c>
      <c r="AH36" s="42"/>
      <c r="AJ36" s="42"/>
      <c r="AK36" s="42"/>
      <c r="AM36" s="42"/>
      <c r="AP36" s="32"/>
      <c r="AQ36" s="43" t="str">
        <f aca="false">IF($A41="","",B41-$AA$2-SUM($F$2:F41))</f>
        <v/>
      </c>
      <c r="AR36" s="1" t="str">
        <f aca="false">IF($A40="","",30000)</f>
        <v/>
      </c>
      <c r="AS36" s="1" t="str">
        <f aca="false">IF($A40="","",AR40-B40)</f>
        <v/>
      </c>
      <c r="AT36" s="1" t="str">
        <f aca="false">IF($A40="","",IFERROR(B40/AR40,0))</f>
        <v/>
      </c>
      <c r="AU36" s="1" t="str">
        <f aca="false">IF($A40="","",IFERROR(B40*O40,0))</f>
        <v/>
      </c>
      <c r="AV36" s="1" t="str">
        <f aca="false">IF($A40="","",IFERROR(C40/B40,0))</f>
        <v/>
      </c>
      <c r="AW36" s="1" t="str">
        <f aca="false">IF($A40="","",MAX(0,R40-S40))</f>
        <v/>
      </c>
      <c r="AX36" s="1" t="str">
        <f aca="false">IF($A40="","",IF(AW40&gt;0,"优先降持仓数",IF(C40&lt;=0,"现金不足","允许评估")))</f>
        <v/>
      </c>
      <c r="AY36" s="1" t="str">
        <f aca="false">IF($A40="","",IF(B40&lt;30000,"婴儿阶段: 优先活下来,禁止单票失控,限制持仓数,服务3W目标","幼儿阶段达成"))</f>
        <v/>
      </c>
    </row>
    <row r="37" customFormat="false" ht="15" hidden="false" customHeight="true" outlineLevel="0" collapsed="false">
      <c r="A37" s="28"/>
      <c r="B37" s="34"/>
      <c r="C37" s="34"/>
      <c r="D37" s="35" t="str">
        <f aca="false">IF($A42="","",SUMIFS(持仓表!$J:$J,持仓表!$A:$A,$A42))</f>
        <v/>
      </c>
      <c r="E37" s="36" t="n">
        <f aca="false">IFERROR(D42/B42,0)</f>
        <v>0</v>
      </c>
      <c r="F37" s="34"/>
      <c r="G37" s="35" t="str">
        <f aca="false">IF($B42="","",MAX($B$2:B42))</f>
        <v/>
      </c>
      <c r="H37" s="36" t="n">
        <f aca="false">IFERROR((B42-F42)/F42,0)</f>
        <v>0</v>
      </c>
      <c r="I37" s="36" t="n">
        <f aca="false">IFERROR((B42-G42)/G42,0)</f>
        <v>0</v>
      </c>
      <c r="J37" s="28"/>
      <c r="K37" s="29"/>
      <c r="L37" s="37"/>
      <c r="M37" s="37"/>
      <c r="N37" s="36" t="str">
        <f aca="false">IF($B42="","",MIN(70%,IF($I42&lt;=-15%,10%,IF($I42&lt;=-10%,30%,IF($M42&gt;=4,10%,IF($M42&gt;=3,30%,IF($J42="强",IF($K42="A",70%,IF($K42="B",60%,40%)),IF($J42="中性",IF($K42="A",50%,IF($K42="B",40%,25%)),IF($K42="A",30%,IF($K42="B",20%,10%))))))))))</f>
        <v/>
      </c>
      <c r="O37" s="36" t="str">
        <f aca="false">IF($B42="","",IF(B42&lt;30000,35%,IF(B42&lt;50000,30%,IF(B42&lt;100000,25%,20%))))</f>
        <v/>
      </c>
      <c r="P37" s="38" t="str">
        <f aca="false">IF($A42="","",COUNTIFS(持仓表!$A:$A,$A42,持仓表!$G:$G,"&gt;0"))</f>
        <v/>
      </c>
      <c r="Q37" s="38" t="str">
        <f aca="false">IF($A42="","",COUNTIFS(持仓表!$A:$A,$A42,持仓表!$D:$D,"是",持仓表!$G:$G,"&gt;0"))</f>
        <v/>
      </c>
      <c r="R37" s="38" t="str">
        <f aca="false">IF($A42="","",MAX(0,P42-Q42))</f>
        <v/>
      </c>
      <c r="S37" s="38" t="str">
        <f aca="false">IF($B42="","",IF(B42&lt;50000,3,IF(B42&lt;100000,4,5)))</f>
        <v/>
      </c>
      <c r="T37" s="39" t="str">
        <f aca="false">IF($A42="","",IF(OR(M42&gt;=4,I42&lt;=-8%),"防守",IF(OR(M42&gt;=2,I42&lt;=-5%),"警戒","正常")))</f>
        <v/>
      </c>
      <c r="U37" s="39" t="str">
        <f aca="false">IF($A42="","",IF(AND(L42&gt;=3,M42&lt;=2,T42&lt;&gt;"防守"),"是","否"))</f>
        <v/>
      </c>
      <c r="V37" s="39" t="str">
        <f aca="false">IF($A42="","",IF(AND(E42&lt;N42,R42&lt;S42,M42&lt;=2,I42&gt;-15%),"是","否"))</f>
        <v/>
      </c>
      <c r="W37" s="39" t="str">
        <f aca="false">IF($A42="","",IF(OR(M42&gt;=3,I42&lt;=-15%),"是","否"))</f>
        <v/>
      </c>
      <c r="X37" s="35" t="str">
        <f aca="false">IF($A42="","",IFERROR(maxifs(候选池!$AB:$AB,候选池!$A:$A,$A42),0))</f>
        <v/>
      </c>
      <c r="Y37" s="35" t="str">
        <f aca="false">IF($A42="","",IF(OR(M42&gt;=4,I42&lt;=-8%),MAX(0,B42*60%-C42),IF(AND(ISNUMBER(AD42),B42&gt;AD42),IF(B42&lt;30000,0,IF(B42&lt;100000,MAX(0,(B42-AD42)*0.2),MAX(0,(B42-AD42)*0.3))),0)))</f>
        <v/>
      </c>
      <c r="Z37" s="28"/>
      <c r="AA37" s="39" t="str">
        <f aca="false">IF($A42="","",IF($AA$2&lt;&gt;"",$AA$2,""))</f>
        <v/>
      </c>
      <c r="AB37" s="28" t="str">
        <f aca="false">IF($A42="","",IF(B42&lt;30000,0.03,IF(B42&lt;100000,0.02,0.015)))</f>
        <v/>
      </c>
      <c r="AC37" s="38" t="str">
        <f aca="false">IF($A42="","",IFERROR(DATEDIF($A$2,$A42,"m"),0))</f>
        <v/>
      </c>
      <c r="AD37" s="35" t="str">
        <f aca="false">IF($A42="","",IF(OR(AA42="",AB42="",AC42=""),"",AA42*POWER(1+AB42,AC42)))</f>
        <v/>
      </c>
      <c r="AE37" s="41" t="str">
        <f aca="false">IF($A42="","",IF(OR(AD42="",AD42=0),"",B42/AD42-1))</f>
        <v/>
      </c>
      <c r="AG37" s="1" t="str">
        <f aca="false">IF($A42="","",IF(B42&lt;30000,"婴儿",IF(B42&lt;100000,"成长","成熟")))</f>
        <v/>
      </c>
      <c r="AH37" s="42"/>
      <c r="AJ37" s="42"/>
      <c r="AK37" s="42"/>
      <c r="AM37" s="42"/>
      <c r="AP37" s="32"/>
      <c r="AQ37" s="43" t="str">
        <f aca="false">IF($A42="","",B42-$AA$2-SUM($F$2:F42))</f>
        <v/>
      </c>
      <c r="AR37" s="1" t="str">
        <f aca="false">IF($A41="","",30000)</f>
        <v/>
      </c>
      <c r="AS37" s="1" t="str">
        <f aca="false">IF($A41="","",AR41-B41)</f>
        <v/>
      </c>
      <c r="AT37" s="1" t="str">
        <f aca="false">IF($A41="","",IFERROR(B41/AR41,0))</f>
        <v/>
      </c>
      <c r="AU37" s="1" t="str">
        <f aca="false">IF($A41="","",IFERROR(B41*O41,0))</f>
        <v/>
      </c>
      <c r="AV37" s="1" t="str">
        <f aca="false">IF($A41="","",IFERROR(C41/B41,0))</f>
        <v/>
      </c>
      <c r="AW37" s="1" t="str">
        <f aca="false">IF($A41="","",MAX(0,R41-S41))</f>
        <v/>
      </c>
      <c r="AX37" s="1" t="str">
        <f aca="false">IF($A41="","",IF(AW41&gt;0,"优先降持仓数",IF(C41&lt;=0,"现金不足","允许评估")))</f>
        <v/>
      </c>
      <c r="AY37" s="1" t="str">
        <f aca="false">IF($A41="","",IF(B41&lt;30000,"婴儿阶段: 优先活下来,禁止单票失控,限制持仓数,服务3W目标","幼儿阶段达成"))</f>
        <v/>
      </c>
    </row>
    <row r="38" customFormat="false" ht="15" hidden="false" customHeight="true" outlineLevel="0" collapsed="false">
      <c r="A38" s="30"/>
      <c r="B38" s="44"/>
      <c r="C38" s="44"/>
      <c r="D38" s="35" t="str">
        <f aca="false">IF($A43="","",SUMIFS(持仓表!$J:$J,持仓表!$A:$A,$A43))</f>
        <v/>
      </c>
      <c r="E38" s="36" t="n">
        <f aca="false">IFERROR(D43/B43,0)</f>
        <v>0</v>
      </c>
      <c r="F38" s="44"/>
      <c r="G38" s="35" t="str">
        <f aca="false">IF($B43="","",MAX($B$2:B43))</f>
        <v/>
      </c>
      <c r="H38" s="36" t="n">
        <f aca="false">IFERROR((B43-F43)/F43,0)</f>
        <v>0</v>
      </c>
      <c r="I38" s="36" t="n">
        <f aca="false">IFERROR((B43-G43)/G43,0)</f>
        <v>0</v>
      </c>
      <c r="J38" s="30"/>
      <c r="K38" s="31"/>
      <c r="L38" s="45"/>
      <c r="M38" s="45"/>
      <c r="N38" s="36" t="str">
        <f aca="false">IF($B43="","",MIN(70%,IF($I43&lt;=-15%,10%,IF($I43&lt;=-10%,30%,IF($M43&gt;=4,10%,IF($M43&gt;=3,30%,IF($J43="强",IF($K43="A",70%,IF($K43="B",60%,40%)),IF($J43="中性",IF($K43="A",50%,IF($K43="B",40%,25%)),IF($K43="A",30%,IF($K43="B",20%,10%))))))))))</f>
        <v/>
      </c>
      <c r="O38" s="36" t="str">
        <f aca="false">IF($B43="","",IF(B43&lt;30000,35%,IF(B43&lt;50000,30%,IF(B43&lt;100000,25%,20%))))</f>
        <v/>
      </c>
      <c r="P38" s="38" t="str">
        <f aca="false">IF($A43="","",COUNTIFS(持仓表!$A:$A,$A43,持仓表!$G:$G,"&gt;0"))</f>
        <v/>
      </c>
      <c r="Q38" s="38" t="str">
        <f aca="false">IF($A43="","",COUNTIFS(持仓表!$A:$A,$A43,持仓表!$D:$D,"是",持仓表!$G:$G,"&gt;0"))</f>
        <v/>
      </c>
      <c r="R38" s="38" t="str">
        <f aca="false">IF($A43="","",MAX(0,P43-Q43))</f>
        <v/>
      </c>
      <c r="S38" s="38" t="str">
        <f aca="false">IF($B43="","",IF(B43&lt;50000,3,IF(B43&lt;100000,4,5)))</f>
        <v/>
      </c>
      <c r="T38" s="39" t="str">
        <f aca="false">IF($A43="","",IF(OR(M43&gt;=4,I43&lt;=-8%),"防守",IF(OR(M43&gt;=2,I43&lt;=-5%),"警戒","正常")))</f>
        <v/>
      </c>
      <c r="U38" s="39" t="str">
        <f aca="false">IF($A43="","",IF(AND(L43&gt;=3,M43&lt;=2,T43&lt;&gt;"防守"),"是","否"))</f>
        <v/>
      </c>
      <c r="V38" s="39" t="str">
        <f aca="false">IF($A43="","",IF(AND(E43&lt;N43,R43&lt;S43,M43&lt;=2,I43&gt;-15%),"是","否"))</f>
        <v/>
      </c>
      <c r="W38" s="39" t="str">
        <f aca="false">IF($A43="","",IF(OR(M43&gt;=3,I43&lt;=-15%),"是","否"))</f>
        <v/>
      </c>
      <c r="X38" s="35" t="str">
        <f aca="false">IF($A43="","",IFERROR(maxifs(候选池!$AB:$AB,候选池!$A:$A,$A43),0))</f>
        <v/>
      </c>
      <c r="Y38" s="35" t="str">
        <f aca="false">IF($A43="","",IF(OR(M43&gt;=4,I43&lt;=-8%),MAX(0,B43*60%-C43),IF(AND(ISNUMBER(AD43),B43&gt;AD43),IF(B43&lt;30000,0,IF(B43&lt;100000,MAX(0,(B43-AD43)*0.2),MAX(0,(B43-AD43)*0.3))),0)))</f>
        <v/>
      </c>
      <c r="Z38" s="30"/>
      <c r="AA38" s="39" t="str">
        <f aca="false">IF($A43="","",IF($AA$2&lt;&gt;"",$AA$2,""))</f>
        <v/>
      </c>
      <c r="AB38" s="30" t="str">
        <f aca="false">IF($A43="","",IF(B43&lt;30000,0.03,IF(B43&lt;100000,0.02,0.015)))</f>
        <v/>
      </c>
      <c r="AC38" s="38" t="str">
        <f aca="false">IF($A43="","",IFERROR(DATEDIF($A$2,$A43,"m"),0))</f>
        <v/>
      </c>
      <c r="AD38" s="35" t="str">
        <f aca="false">IF($A43="","",IF(OR(AA43="",AB43="",AC43=""),"",AA43*POWER(1+AB43,AC43)))</f>
        <v/>
      </c>
      <c r="AE38" s="47" t="str">
        <f aca="false">IF($A43="","",IF(OR(AD43="",AD43=0),"",B43/AD43-1))</f>
        <v/>
      </c>
      <c r="AG38" s="1" t="str">
        <f aca="false">IF($A43="","",IF(B43&lt;30000,"婴儿",IF(B43&lt;100000,"成长","成熟")))</f>
        <v/>
      </c>
      <c r="AH38" s="42"/>
      <c r="AJ38" s="42"/>
      <c r="AK38" s="42"/>
      <c r="AM38" s="42"/>
      <c r="AP38" s="32"/>
      <c r="AQ38" s="43" t="str">
        <f aca="false">IF($A43="","",B43-$AA$2-SUM($F$2:F43))</f>
        <v/>
      </c>
      <c r="AR38" s="1" t="str">
        <f aca="false">IF($A42="","",30000)</f>
        <v/>
      </c>
      <c r="AS38" s="1" t="str">
        <f aca="false">IF($A42="","",AR42-B42)</f>
        <v/>
      </c>
      <c r="AT38" s="1" t="str">
        <f aca="false">IF($A42="","",IFERROR(B42/AR42,0))</f>
        <v/>
      </c>
      <c r="AU38" s="1" t="str">
        <f aca="false">IF($A42="","",IFERROR(B42*O42,0))</f>
        <v/>
      </c>
      <c r="AV38" s="1" t="str">
        <f aca="false">IF($A42="","",IFERROR(C42/B42,0))</f>
        <v/>
      </c>
      <c r="AW38" s="1" t="str">
        <f aca="false">IF($A42="","",MAX(0,R42-S42))</f>
        <v/>
      </c>
      <c r="AX38" s="1" t="str">
        <f aca="false">IF($A42="","",IF(AW42&gt;0,"优先降持仓数",IF(C42&lt;=0,"现金不足","允许评估")))</f>
        <v/>
      </c>
      <c r="AY38" s="1" t="str">
        <f aca="false">IF($A42="","",IF(B42&lt;30000,"婴儿阶段: 优先活下来,禁止单票失控,限制持仓数,服务3W目标","幼儿阶段达成"))</f>
        <v/>
      </c>
    </row>
    <row r="39" customFormat="false" ht="15" hidden="false" customHeight="true" outlineLevel="0" collapsed="false">
      <c r="A39" s="28"/>
      <c r="B39" s="34"/>
      <c r="C39" s="34"/>
      <c r="D39" s="35" t="str">
        <f aca="false">IF($A44="","",SUMIFS(持仓表!$J:$J,持仓表!$A:$A,$A44))</f>
        <v/>
      </c>
      <c r="E39" s="36" t="n">
        <f aca="false">IFERROR(D44/B44,0)</f>
        <v>0</v>
      </c>
      <c r="F39" s="34"/>
      <c r="G39" s="35" t="str">
        <f aca="false">IF($B44="","",MAX($B$2:B44))</f>
        <v/>
      </c>
      <c r="H39" s="36" t="n">
        <f aca="false">IFERROR((B44-F44)/F44,0)</f>
        <v>0</v>
      </c>
      <c r="I39" s="36" t="n">
        <f aca="false">IFERROR((B44-G44)/G44,0)</f>
        <v>0</v>
      </c>
      <c r="J39" s="28"/>
      <c r="K39" s="29"/>
      <c r="L39" s="37"/>
      <c r="M39" s="37"/>
      <c r="N39" s="36" t="str">
        <f aca="false">IF($B44="","",MIN(70%,IF($I44&lt;=-15%,10%,IF($I44&lt;=-10%,30%,IF($M44&gt;=4,10%,IF($M44&gt;=3,30%,IF($J44="强",IF($K44="A",70%,IF($K44="B",60%,40%)),IF($J44="中性",IF($K44="A",50%,IF($K44="B",40%,25%)),IF($K44="A",30%,IF($K44="B",20%,10%))))))))))</f>
        <v/>
      </c>
      <c r="O39" s="36" t="str">
        <f aca="false">IF($B44="","",IF(B44&lt;30000,35%,IF(B44&lt;50000,30%,IF(B44&lt;100000,25%,20%))))</f>
        <v/>
      </c>
      <c r="P39" s="38" t="str">
        <f aca="false">IF($A44="","",COUNTIFS(持仓表!$A:$A,$A44,持仓表!$G:$G,"&gt;0"))</f>
        <v/>
      </c>
      <c r="Q39" s="38" t="str">
        <f aca="false">IF($A44="","",COUNTIFS(持仓表!$A:$A,$A44,持仓表!$D:$D,"是",持仓表!$G:$G,"&gt;0"))</f>
        <v/>
      </c>
      <c r="R39" s="38" t="str">
        <f aca="false">IF($A44="","",MAX(0,P44-Q44))</f>
        <v/>
      </c>
      <c r="S39" s="38" t="str">
        <f aca="false">IF($B44="","",IF(B44&lt;50000,3,IF(B44&lt;100000,4,5)))</f>
        <v/>
      </c>
      <c r="T39" s="39" t="str">
        <f aca="false">IF($A44="","",IF(OR(M44&gt;=4,I44&lt;=-8%),"防守",IF(OR(M44&gt;=2,I44&lt;=-5%),"警戒","正常")))</f>
        <v/>
      </c>
      <c r="U39" s="39" t="str">
        <f aca="false">IF($A44="","",IF(AND(L44&gt;=3,M44&lt;=2,T44&lt;&gt;"防守"),"是","否"))</f>
        <v/>
      </c>
      <c r="V39" s="39" t="str">
        <f aca="false">IF($A44="","",IF(AND(E44&lt;N44,R44&lt;S44,M44&lt;=2,I44&gt;-15%),"是","否"))</f>
        <v/>
      </c>
      <c r="W39" s="39" t="str">
        <f aca="false">IF($A44="","",IF(OR(M44&gt;=3,I44&lt;=-15%),"是","否"))</f>
        <v/>
      </c>
      <c r="X39" s="35" t="str">
        <f aca="false">IF($A44="","",IFERROR(maxifs(候选池!$AB:$AB,候选池!$A:$A,$A44),0))</f>
        <v/>
      </c>
      <c r="Y39" s="35" t="str">
        <f aca="false">IF($A44="","",IF(OR(M44&gt;=4,I44&lt;=-8%),MAX(0,B44*60%-C44),IF(AND(ISNUMBER(AD44),B44&gt;AD44),IF(B44&lt;30000,0,IF(B44&lt;100000,MAX(0,(B44-AD44)*0.2),MAX(0,(B44-AD44)*0.3))),0)))</f>
        <v/>
      </c>
      <c r="Z39" s="28"/>
      <c r="AA39" s="39" t="str">
        <f aca="false">IF($A44="","",IF($AA$2&lt;&gt;"",$AA$2,""))</f>
        <v/>
      </c>
      <c r="AB39" s="28" t="str">
        <f aca="false">IF($A44="","",IF(B44&lt;30000,0.03,IF(B44&lt;100000,0.02,0.015)))</f>
        <v/>
      </c>
      <c r="AC39" s="38" t="str">
        <f aca="false">IF($A44="","",IFERROR(DATEDIF($A$2,$A44,"m"),0))</f>
        <v/>
      </c>
      <c r="AD39" s="35" t="str">
        <f aca="false">IF($A44="","",IF(OR(AA44="",AB44="",AC44=""),"",AA44*POWER(1+AB44,AC44)))</f>
        <v/>
      </c>
      <c r="AE39" s="41" t="str">
        <f aca="false">IF($A44="","",IF(OR(AD44="",AD44=0),"",B44/AD44-1))</f>
        <v/>
      </c>
      <c r="AG39" s="1" t="str">
        <f aca="false">IF($A44="","",IF(B44&lt;30000,"婴儿",IF(B44&lt;100000,"成长","成熟")))</f>
        <v/>
      </c>
      <c r="AH39" s="42"/>
      <c r="AJ39" s="42"/>
      <c r="AK39" s="42"/>
      <c r="AM39" s="42"/>
      <c r="AP39" s="32"/>
      <c r="AQ39" s="43" t="str">
        <f aca="false">IF($A44="","",B44-$AA$2-SUM($F$2:F44))</f>
        <v/>
      </c>
      <c r="AR39" s="1" t="str">
        <f aca="false">IF($A43="","",30000)</f>
        <v/>
      </c>
      <c r="AS39" s="1" t="str">
        <f aca="false">IF($A43="","",AR43-B43)</f>
        <v/>
      </c>
      <c r="AT39" s="1" t="str">
        <f aca="false">IF($A43="","",IFERROR(B43/AR43,0))</f>
        <v/>
      </c>
      <c r="AU39" s="1" t="str">
        <f aca="false">IF($A43="","",IFERROR(B43*O43,0))</f>
        <v/>
      </c>
      <c r="AV39" s="1" t="str">
        <f aca="false">IF($A43="","",IFERROR(C43/B43,0))</f>
        <v/>
      </c>
      <c r="AW39" s="1" t="str">
        <f aca="false">IF($A43="","",MAX(0,R43-S43))</f>
        <v/>
      </c>
      <c r="AX39" s="1" t="str">
        <f aca="false">IF($A43="","",IF(AW43&gt;0,"优先降持仓数",IF(C43&lt;=0,"现金不足","允许评估")))</f>
        <v/>
      </c>
      <c r="AY39" s="1" t="str">
        <f aca="false">IF($A43="","",IF(B43&lt;30000,"婴儿阶段: 优先活下来,禁止单票失控,限制持仓数,服务3W目标","幼儿阶段达成"))</f>
        <v/>
      </c>
    </row>
    <row r="40" customFormat="false" ht="15" hidden="false" customHeight="true" outlineLevel="0" collapsed="false">
      <c r="A40" s="30"/>
      <c r="B40" s="44"/>
      <c r="C40" s="44"/>
      <c r="D40" s="35" t="str">
        <f aca="false">IF($A45="","",SUMIFS(持仓表!$J:$J,持仓表!$A:$A,$A45))</f>
        <v/>
      </c>
      <c r="E40" s="36" t="n">
        <f aca="false">IFERROR(D45/B45,0)</f>
        <v>0</v>
      </c>
      <c r="F40" s="44"/>
      <c r="G40" s="35" t="str">
        <f aca="false">IF($B45="","",MAX($B$2:B45))</f>
        <v/>
      </c>
      <c r="H40" s="36" t="n">
        <f aca="false">IFERROR((B45-F45)/F45,0)</f>
        <v>0</v>
      </c>
      <c r="I40" s="36" t="n">
        <f aca="false">IFERROR((B45-G45)/G45,0)</f>
        <v>0</v>
      </c>
      <c r="J40" s="30"/>
      <c r="K40" s="31"/>
      <c r="L40" s="45"/>
      <c r="M40" s="45"/>
      <c r="N40" s="36" t="str">
        <f aca="false">IF($B45="","",MIN(70%,IF($I45&lt;=-15%,10%,IF($I45&lt;=-10%,30%,IF($M45&gt;=4,10%,IF($M45&gt;=3,30%,IF($J45="强",IF($K45="A",70%,IF($K45="B",60%,40%)),IF($J45="中性",IF($K45="A",50%,IF($K45="B",40%,25%)),IF($K45="A",30%,IF($K45="B",20%,10%))))))))))</f>
        <v/>
      </c>
      <c r="O40" s="36" t="str">
        <f aca="false">IF($B45="","",IF(B45&lt;30000,35%,IF(B45&lt;50000,30%,IF(B45&lt;100000,25%,20%))))</f>
        <v/>
      </c>
      <c r="P40" s="38" t="str">
        <f aca="false">IF($A45="","",COUNTIFS(持仓表!$A:$A,$A45,持仓表!$G:$G,"&gt;0"))</f>
        <v/>
      </c>
      <c r="Q40" s="38" t="str">
        <f aca="false">IF($A45="","",COUNTIFS(持仓表!$A:$A,$A45,持仓表!$D:$D,"是",持仓表!$G:$G,"&gt;0"))</f>
        <v/>
      </c>
      <c r="R40" s="38" t="str">
        <f aca="false">IF($A45="","",MAX(0,P45-Q45))</f>
        <v/>
      </c>
      <c r="S40" s="38" t="str">
        <f aca="false">IF($B45="","",IF(B45&lt;50000,3,IF(B45&lt;100000,4,5)))</f>
        <v/>
      </c>
      <c r="T40" s="39" t="str">
        <f aca="false">IF($A45="","",IF(OR(M45&gt;=4,I45&lt;=-8%),"防守",IF(OR(M45&gt;=2,I45&lt;=-5%),"警戒","正常")))</f>
        <v/>
      </c>
      <c r="U40" s="39" t="str">
        <f aca="false">IF($A45="","",IF(AND(L45&gt;=3,M45&lt;=2,T45&lt;&gt;"防守"),"是","否"))</f>
        <v/>
      </c>
      <c r="V40" s="39" t="str">
        <f aca="false">IF($A45="","",IF(AND(E45&lt;N45,R45&lt;S45,M45&lt;=2,I45&gt;-15%),"是","否"))</f>
        <v/>
      </c>
      <c r="W40" s="39" t="str">
        <f aca="false">IF($A45="","",IF(OR(M45&gt;=3,I45&lt;=-15%),"是","否"))</f>
        <v/>
      </c>
      <c r="X40" s="35" t="str">
        <f aca="false">IF($A45="","",IFERROR(maxifs(候选池!$AB:$AB,候选池!$A:$A,$A45),0))</f>
        <v/>
      </c>
      <c r="Y40" s="35" t="str">
        <f aca="false">IF($A45="","",IF(OR(M45&gt;=4,I45&lt;=-8%),MAX(0,B45*60%-C45),IF(AND(ISNUMBER(AD45),B45&gt;AD45),IF(B45&lt;30000,0,IF(B45&lt;100000,MAX(0,(B45-AD45)*0.2),MAX(0,(B45-AD45)*0.3))),0)))</f>
        <v/>
      </c>
      <c r="Z40" s="30"/>
      <c r="AA40" s="39" t="str">
        <f aca="false">IF($A45="","",IF($AA$2&lt;&gt;"",$AA$2,""))</f>
        <v/>
      </c>
      <c r="AB40" s="30" t="str">
        <f aca="false">IF($A45="","",IF(B45&lt;30000,0.03,IF(B45&lt;100000,0.02,0.015)))</f>
        <v/>
      </c>
      <c r="AC40" s="38" t="str">
        <f aca="false">IF($A45="","",IFERROR(DATEDIF($A$2,$A45,"m"),0))</f>
        <v/>
      </c>
      <c r="AD40" s="35" t="str">
        <f aca="false">IF($A45="","",IF(OR(AA45="",AB45="",AC45=""),"",AA45*POWER(1+AB45,AC45)))</f>
        <v/>
      </c>
      <c r="AE40" s="47" t="str">
        <f aca="false">IF($A45="","",IF(OR(AD45="",AD45=0),"",B45/AD45-1))</f>
        <v/>
      </c>
      <c r="AG40" s="1" t="str">
        <f aca="false">IF($A45="","",IF(B45&lt;30000,"婴儿",IF(B45&lt;100000,"成长","成熟")))</f>
        <v/>
      </c>
      <c r="AH40" s="42"/>
      <c r="AJ40" s="42"/>
      <c r="AK40" s="42"/>
      <c r="AM40" s="42"/>
      <c r="AP40" s="32"/>
      <c r="AQ40" s="43" t="str">
        <f aca="false">IF($A45="","",B45-$AA$2-SUM($F$2:F45))</f>
        <v/>
      </c>
      <c r="AR40" s="1" t="str">
        <f aca="false">IF($A44="","",30000)</f>
        <v/>
      </c>
      <c r="AS40" s="1" t="str">
        <f aca="false">IF($A44="","",AR44-B44)</f>
        <v/>
      </c>
      <c r="AT40" s="1" t="str">
        <f aca="false">IF($A44="","",IFERROR(B44/AR44,0))</f>
        <v/>
      </c>
      <c r="AU40" s="1" t="str">
        <f aca="false">IF($A44="","",IFERROR(B44*O44,0))</f>
        <v/>
      </c>
      <c r="AV40" s="1" t="str">
        <f aca="false">IF($A44="","",IFERROR(C44/B44,0))</f>
        <v/>
      </c>
      <c r="AW40" s="1" t="str">
        <f aca="false">IF($A44="","",MAX(0,R44-S44))</f>
        <v/>
      </c>
      <c r="AX40" s="1" t="str">
        <f aca="false">IF($A44="","",IF(AW44&gt;0,"优先降持仓数",IF(C44&lt;=0,"现金不足","允许评估")))</f>
        <v/>
      </c>
      <c r="AY40" s="1" t="str">
        <f aca="false">IF($A44="","",IF(B44&lt;30000,"婴儿阶段: 优先活下来,禁止单票失控,限制持仓数,服务3W目标","幼儿阶段达成"))</f>
        <v/>
      </c>
    </row>
    <row r="41" customFormat="false" ht="15" hidden="false" customHeight="true" outlineLevel="0" collapsed="false">
      <c r="A41" s="28"/>
      <c r="B41" s="34"/>
      <c r="C41" s="34"/>
      <c r="D41" s="35" t="str">
        <f aca="false">IF($A46="","",SUMIFS(持仓表!$J:$J,持仓表!$A:$A,$A46))</f>
        <v/>
      </c>
      <c r="E41" s="36" t="n">
        <f aca="false">IFERROR(D46/B46,0)</f>
        <v>0</v>
      </c>
      <c r="F41" s="34"/>
      <c r="G41" s="35" t="str">
        <f aca="false">IF($B46="","",MAX($B$2:B46))</f>
        <v/>
      </c>
      <c r="H41" s="36" t="n">
        <f aca="false">IFERROR((B46-F46)/F46,0)</f>
        <v>0</v>
      </c>
      <c r="I41" s="36" t="n">
        <f aca="false">IFERROR((B46-G46)/G46,0)</f>
        <v>0</v>
      </c>
      <c r="J41" s="28"/>
      <c r="K41" s="29"/>
      <c r="L41" s="37"/>
      <c r="M41" s="37"/>
      <c r="N41" s="36" t="str">
        <f aca="false">IF($B46="","",MIN(70%,IF($I46&lt;=-15%,10%,IF($I46&lt;=-10%,30%,IF($M46&gt;=4,10%,IF($M46&gt;=3,30%,IF($J46="强",IF($K46="A",70%,IF($K46="B",60%,40%)),IF($J46="中性",IF($K46="A",50%,IF($K46="B",40%,25%)),IF($K46="A",30%,IF($K46="B",20%,10%))))))))))</f>
        <v/>
      </c>
      <c r="O41" s="36" t="str">
        <f aca="false">IF($B46="","",IF(B46&lt;30000,35%,IF(B46&lt;50000,30%,IF(B46&lt;100000,25%,20%))))</f>
        <v/>
      </c>
      <c r="P41" s="38" t="str">
        <f aca="false">IF($A46="","",COUNTIFS(持仓表!$A:$A,$A46,持仓表!$G:$G,"&gt;0"))</f>
        <v/>
      </c>
      <c r="Q41" s="38" t="str">
        <f aca="false">IF($A46="","",COUNTIFS(持仓表!$A:$A,$A46,持仓表!$D:$D,"是",持仓表!$G:$G,"&gt;0"))</f>
        <v/>
      </c>
      <c r="R41" s="38" t="str">
        <f aca="false">IF($A46="","",MAX(0,P46-Q46))</f>
        <v/>
      </c>
      <c r="S41" s="38" t="str">
        <f aca="false">IF($B46="","",IF(B46&lt;50000,3,IF(B46&lt;100000,4,5)))</f>
        <v/>
      </c>
      <c r="T41" s="39" t="str">
        <f aca="false">IF($A46="","",IF(OR(M46&gt;=4,I46&lt;=-8%),"防守",IF(OR(M46&gt;=2,I46&lt;=-5%),"警戒","正常")))</f>
        <v/>
      </c>
      <c r="U41" s="39" t="str">
        <f aca="false">IF($A46="","",IF(AND(L46&gt;=3,M46&lt;=2,T46&lt;&gt;"防守"),"是","否"))</f>
        <v/>
      </c>
      <c r="V41" s="39" t="str">
        <f aca="false">IF($A46="","",IF(AND(E46&lt;N46,R46&lt;S46,M46&lt;=2,I46&gt;-15%),"是","否"))</f>
        <v/>
      </c>
      <c r="W41" s="39" t="str">
        <f aca="false">IF($A46="","",IF(OR(M46&gt;=3,I46&lt;=-15%),"是","否"))</f>
        <v/>
      </c>
      <c r="X41" s="35" t="str">
        <f aca="false">IF($A46="","",IFERROR(maxifs(候选池!$AB:$AB,候选池!$A:$A,$A46),0))</f>
        <v/>
      </c>
      <c r="Y41" s="35" t="str">
        <f aca="false">IF($A46="","",IF(OR(M46&gt;=4,I46&lt;=-8%),MAX(0,B46*60%-C46),IF(AND(ISNUMBER(AD46),B46&gt;AD46),IF(B46&lt;30000,0,IF(B46&lt;100000,MAX(0,(B46-AD46)*0.2),MAX(0,(B46-AD46)*0.3))),0)))</f>
        <v/>
      </c>
      <c r="Z41" s="28"/>
      <c r="AA41" s="39" t="str">
        <f aca="false">IF($A46="","",IF($AA$2&lt;&gt;"",$AA$2,""))</f>
        <v/>
      </c>
      <c r="AB41" s="28" t="str">
        <f aca="false">IF($A46="","",IF(B46&lt;30000,0.03,IF(B46&lt;100000,0.02,0.015)))</f>
        <v/>
      </c>
      <c r="AC41" s="38" t="str">
        <f aca="false">IF($A46="","",IFERROR(DATEDIF($A$2,$A46,"m"),0))</f>
        <v/>
      </c>
      <c r="AD41" s="35" t="str">
        <f aca="false">IF($A46="","",IF(OR(AA46="",AB46="",AC46=""),"",AA46*POWER(1+AB46,AC46)))</f>
        <v/>
      </c>
      <c r="AE41" s="41" t="str">
        <f aca="false">IF($A46="","",IF(OR(AD46="",AD46=0),"",B46/AD46-1))</f>
        <v/>
      </c>
      <c r="AG41" s="1" t="str">
        <f aca="false">IF($A46="","",IF(B46&lt;30000,"婴儿",IF(B46&lt;100000,"成长","成熟")))</f>
        <v/>
      </c>
      <c r="AH41" s="42"/>
      <c r="AJ41" s="42"/>
      <c r="AK41" s="42"/>
      <c r="AM41" s="42"/>
      <c r="AP41" s="32"/>
      <c r="AQ41" s="43" t="str">
        <f aca="false">IF($A46="","",B46-$AA$2-SUM($F$2:F46))</f>
        <v/>
      </c>
      <c r="AR41" s="1" t="str">
        <f aca="false">IF($A45="","",30000)</f>
        <v/>
      </c>
      <c r="AS41" s="1" t="str">
        <f aca="false">IF($A45="","",AR45-B45)</f>
        <v/>
      </c>
      <c r="AT41" s="1" t="str">
        <f aca="false">IF($A45="","",IFERROR(B45/AR45,0))</f>
        <v/>
      </c>
      <c r="AU41" s="1" t="str">
        <f aca="false">IF($A45="","",IFERROR(B45*O45,0))</f>
        <v/>
      </c>
      <c r="AV41" s="1" t="str">
        <f aca="false">IF($A45="","",IFERROR(C45/B45,0))</f>
        <v/>
      </c>
      <c r="AW41" s="1" t="str">
        <f aca="false">IF($A45="","",MAX(0,R45-S45))</f>
        <v/>
      </c>
      <c r="AX41" s="1" t="str">
        <f aca="false">IF($A45="","",IF(AW45&gt;0,"优先降持仓数",IF(C45&lt;=0,"现金不足","允许评估")))</f>
        <v/>
      </c>
      <c r="AY41" s="1" t="str">
        <f aca="false">IF($A45="","",IF(B45&lt;30000,"婴儿阶段: 优先活下来,禁止单票失控,限制持仓数,服务3W目标","幼儿阶段达成"))</f>
        <v/>
      </c>
    </row>
    <row r="42" customFormat="false" ht="15" hidden="false" customHeight="true" outlineLevel="0" collapsed="false">
      <c r="A42" s="30"/>
      <c r="B42" s="44"/>
      <c r="C42" s="44"/>
      <c r="D42" s="35" t="str">
        <f aca="false">IF($A47="","",SUMIFS(持仓表!$J:$J,持仓表!$A:$A,$A47))</f>
        <v/>
      </c>
      <c r="E42" s="36" t="n">
        <f aca="false">IFERROR(D47/B47,0)</f>
        <v>0</v>
      </c>
      <c r="F42" s="44"/>
      <c r="G42" s="35" t="str">
        <f aca="false">IF($B47="","",MAX($B$2:B47))</f>
        <v/>
      </c>
      <c r="H42" s="36" t="n">
        <f aca="false">IFERROR((B47-F47)/F47,0)</f>
        <v>0</v>
      </c>
      <c r="I42" s="36" t="n">
        <f aca="false">IFERROR((B47-G47)/G47,0)</f>
        <v>0</v>
      </c>
      <c r="J42" s="30"/>
      <c r="K42" s="31"/>
      <c r="L42" s="45"/>
      <c r="M42" s="45"/>
      <c r="N42" s="36" t="str">
        <f aca="false">IF($B47="","",MIN(70%,IF($I47&lt;=-15%,10%,IF($I47&lt;=-10%,30%,IF($M47&gt;=4,10%,IF($M47&gt;=3,30%,IF($J47="强",IF($K47="A",70%,IF($K47="B",60%,40%)),IF($J47="中性",IF($K47="A",50%,IF($K47="B",40%,25%)),IF($K47="A",30%,IF($K47="B",20%,10%))))))))))</f>
        <v/>
      </c>
      <c r="O42" s="36" t="str">
        <f aca="false">IF($B47="","",IF(B47&lt;30000,35%,IF(B47&lt;50000,30%,IF(B47&lt;100000,25%,20%))))</f>
        <v/>
      </c>
      <c r="P42" s="38" t="str">
        <f aca="false">IF($A47="","",COUNTIFS(持仓表!$A:$A,$A47,持仓表!$G:$G,"&gt;0"))</f>
        <v/>
      </c>
      <c r="Q42" s="38" t="str">
        <f aca="false">IF($A47="","",COUNTIFS(持仓表!$A:$A,$A47,持仓表!$D:$D,"是",持仓表!$G:$G,"&gt;0"))</f>
        <v/>
      </c>
      <c r="R42" s="38" t="str">
        <f aca="false">IF($A47="","",MAX(0,P47-Q47))</f>
        <v/>
      </c>
      <c r="S42" s="38" t="str">
        <f aca="false">IF($B47="","",IF(B47&lt;50000,3,IF(B47&lt;100000,4,5)))</f>
        <v/>
      </c>
      <c r="T42" s="39" t="str">
        <f aca="false">IF($A47="","",IF(OR(M47&gt;=4,I47&lt;=-8%),"防守",IF(OR(M47&gt;=2,I47&lt;=-5%),"警戒","正常")))</f>
        <v/>
      </c>
      <c r="U42" s="39" t="str">
        <f aca="false">IF($A47="","",IF(AND(L47&gt;=3,M47&lt;=2,T47&lt;&gt;"防守"),"是","否"))</f>
        <v/>
      </c>
      <c r="V42" s="39" t="str">
        <f aca="false">IF($A47="","",IF(AND(E47&lt;N47,R47&lt;S47,M47&lt;=2,I47&gt;-15%),"是","否"))</f>
        <v/>
      </c>
      <c r="W42" s="39" t="str">
        <f aca="false">IF($A47="","",IF(OR(M47&gt;=3,I47&lt;=-15%),"是","否"))</f>
        <v/>
      </c>
      <c r="X42" s="35" t="str">
        <f aca="false">IF($A47="","",IFERROR(maxifs(候选池!$AB:$AB,候选池!$A:$A,$A47),0))</f>
        <v/>
      </c>
      <c r="Y42" s="35" t="str">
        <f aca="false">IF($A47="","",IF(OR(M47&gt;=4,I47&lt;=-8%),MAX(0,B47*60%-C47),IF(AND(ISNUMBER(AD47),B47&gt;AD47),IF(B47&lt;30000,0,IF(B47&lt;100000,MAX(0,(B47-AD47)*0.2),MAX(0,(B47-AD47)*0.3))),0)))</f>
        <v/>
      </c>
      <c r="Z42" s="30"/>
      <c r="AA42" s="39" t="str">
        <f aca="false">IF($A47="","",IF($AA$2&lt;&gt;"",$AA$2,""))</f>
        <v/>
      </c>
      <c r="AB42" s="30" t="str">
        <f aca="false">IF($A47="","",IF(B47&lt;30000,0.03,IF(B47&lt;100000,0.02,0.015)))</f>
        <v/>
      </c>
      <c r="AC42" s="38" t="str">
        <f aca="false">IF($A47="","",IFERROR(DATEDIF($A$2,$A47,"m"),0))</f>
        <v/>
      </c>
      <c r="AD42" s="35" t="str">
        <f aca="false">IF($A47="","",IF(OR(AA47="",AB47="",AC47=""),"",AA47*POWER(1+AB47,AC47)))</f>
        <v/>
      </c>
      <c r="AE42" s="47" t="str">
        <f aca="false">IF($A47="","",IF(OR(AD47="",AD47=0),"",B47/AD47-1))</f>
        <v/>
      </c>
      <c r="AG42" s="1" t="str">
        <f aca="false">IF($A47="","",IF(B47&lt;30000,"婴儿",IF(B47&lt;100000,"成长","成熟")))</f>
        <v/>
      </c>
      <c r="AH42" s="42"/>
      <c r="AJ42" s="42"/>
      <c r="AK42" s="42"/>
      <c r="AM42" s="42"/>
      <c r="AP42" s="32"/>
      <c r="AQ42" s="43" t="str">
        <f aca="false">IF($A47="","",B47-$AA$2-SUM($F$2:F47))</f>
        <v/>
      </c>
      <c r="AR42" s="1" t="str">
        <f aca="false">IF($A46="","",30000)</f>
        <v/>
      </c>
      <c r="AS42" s="1" t="str">
        <f aca="false">IF($A46="","",AR46-B46)</f>
        <v/>
      </c>
      <c r="AT42" s="1" t="str">
        <f aca="false">IF($A46="","",IFERROR(B46/AR46,0))</f>
        <v/>
      </c>
      <c r="AU42" s="1" t="str">
        <f aca="false">IF($A46="","",IFERROR(B46*O46,0))</f>
        <v/>
      </c>
      <c r="AV42" s="1" t="str">
        <f aca="false">IF($A46="","",IFERROR(C46/B46,0))</f>
        <v/>
      </c>
      <c r="AW42" s="1" t="str">
        <f aca="false">IF($A46="","",MAX(0,R46-S46))</f>
        <v/>
      </c>
      <c r="AX42" s="1" t="str">
        <f aca="false">IF($A46="","",IF(AW46&gt;0,"优先降持仓数",IF(C46&lt;=0,"现金不足","允许评估")))</f>
        <v/>
      </c>
      <c r="AY42" s="1" t="str">
        <f aca="false">IF($A46="","",IF(B46&lt;30000,"婴儿阶段: 优先活下来,禁止单票失控,限制持仓数,服务3W目标","幼儿阶段达成"))</f>
        <v/>
      </c>
    </row>
    <row r="43" customFormat="false" ht="15" hidden="false" customHeight="true" outlineLevel="0" collapsed="false">
      <c r="A43" s="28"/>
      <c r="B43" s="34"/>
      <c r="C43" s="34"/>
      <c r="D43" s="35" t="str">
        <f aca="false">IF($A48="","",SUMIFS(持仓表!$J:$J,持仓表!$A:$A,$A48))</f>
        <v/>
      </c>
      <c r="E43" s="36" t="n">
        <f aca="false">IFERROR(D48/B48,0)</f>
        <v>0</v>
      </c>
      <c r="F43" s="34"/>
      <c r="G43" s="35" t="str">
        <f aca="false">IF($B48="","",MAX($B$2:B48))</f>
        <v/>
      </c>
      <c r="H43" s="36" t="n">
        <f aca="false">IFERROR((B48-F48)/F48,0)</f>
        <v>0</v>
      </c>
      <c r="I43" s="36" t="n">
        <f aca="false">IFERROR((B48-G48)/G48,0)</f>
        <v>0</v>
      </c>
      <c r="J43" s="28"/>
      <c r="K43" s="29"/>
      <c r="L43" s="37"/>
      <c r="M43" s="37"/>
      <c r="N43" s="36" t="str">
        <f aca="false">IF($B48="","",MIN(70%,IF($I48&lt;=-15%,10%,IF($I48&lt;=-10%,30%,IF($M48&gt;=4,10%,IF($M48&gt;=3,30%,IF($J48="强",IF($K48="A",70%,IF($K48="B",60%,40%)),IF($J48="中性",IF($K48="A",50%,IF($K48="B",40%,25%)),IF($K48="A",30%,IF($K48="B",20%,10%))))))))))</f>
        <v/>
      </c>
      <c r="O43" s="36" t="str">
        <f aca="false">IF($B48="","",IF(B48&lt;30000,35%,IF(B48&lt;50000,30%,IF(B48&lt;100000,25%,20%))))</f>
        <v/>
      </c>
      <c r="P43" s="38" t="str">
        <f aca="false">IF($A48="","",COUNTIFS(持仓表!$A:$A,$A48,持仓表!$G:$G,"&gt;0"))</f>
        <v/>
      </c>
      <c r="Q43" s="38" t="str">
        <f aca="false">IF($A48="","",COUNTIFS(持仓表!$A:$A,$A48,持仓表!$D:$D,"是",持仓表!$G:$G,"&gt;0"))</f>
        <v/>
      </c>
      <c r="R43" s="38" t="str">
        <f aca="false">IF($A48="","",MAX(0,P48-Q48))</f>
        <v/>
      </c>
      <c r="S43" s="38" t="str">
        <f aca="false">IF($B48="","",IF(B48&lt;50000,3,IF(B48&lt;100000,4,5)))</f>
        <v/>
      </c>
      <c r="T43" s="39" t="str">
        <f aca="false">IF($A48="","",IF(OR(M48&gt;=4,I48&lt;=-8%),"防守",IF(OR(M48&gt;=2,I48&lt;=-5%),"警戒","正常")))</f>
        <v/>
      </c>
      <c r="U43" s="39" t="str">
        <f aca="false">IF($A48="","",IF(AND(L48&gt;=3,M48&lt;=2,T48&lt;&gt;"防守"),"是","否"))</f>
        <v/>
      </c>
      <c r="V43" s="39" t="str">
        <f aca="false">IF($A48="","",IF(AND(E48&lt;N48,R48&lt;S48,M48&lt;=2,I48&gt;-15%),"是","否"))</f>
        <v/>
      </c>
      <c r="W43" s="39" t="str">
        <f aca="false">IF($A48="","",IF(OR(M48&gt;=3,I48&lt;=-15%),"是","否"))</f>
        <v/>
      </c>
      <c r="X43" s="35" t="str">
        <f aca="false">IF($A48="","",IFERROR(maxifs(候选池!$AB:$AB,候选池!$A:$A,$A48),0))</f>
        <v/>
      </c>
      <c r="Y43" s="35" t="str">
        <f aca="false">IF($A48="","",IF(OR(M48&gt;=4,I48&lt;=-8%),MAX(0,B48*60%-C48),IF(AND(ISNUMBER(AD48),B48&gt;AD48),IF(B48&lt;30000,0,IF(B48&lt;100000,MAX(0,(B48-AD48)*0.2),MAX(0,(B48-AD48)*0.3))),0)))</f>
        <v/>
      </c>
      <c r="Z43" s="28"/>
      <c r="AA43" s="39" t="str">
        <f aca="false">IF($A48="","",IF($AA$2&lt;&gt;"",$AA$2,""))</f>
        <v/>
      </c>
      <c r="AB43" s="28" t="str">
        <f aca="false">IF($A48="","",IF(B48&lt;30000,0.03,IF(B48&lt;100000,0.02,0.015)))</f>
        <v/>
      </c>
      <c r="AC43" s="38" t="str">
        <f aca="false">IF($A48="","",IFERROR(DATEDIF($A$2,$A48,"m"),0))</f>
        <v/>
      </c>
      <c r="AD43" s="35" t="str">
        <f aca="false">IF($A48="","",IF(OR(AA48="",AB48="",AC48=""),"",AA48*POWER(1+AB48,AC48)))</f>
        <v/>
      </c>
      <c r="AE43" s="41" t="str">
        <f aca="false">IF($A48="","",IF(OR(AD48="",AD48=0),"",B48/AD48-1))</f>
        <v/>
      </c>
      <c r="AG43" s="1" t="str">
        <f aca="false">IF($A48="","",IF(B48&lt;30000,"婴儿",IF(B48&lt;100000,"成长","成熟")))</f>
        <v/>
      </c>
      <c r="AH43" s="42"/>
      <c r="AJ43" s="42"/>
      <c r="AK43" s="42"/>
      <c r="AM43" s="42"/>
      <c r="AP43" s="32"/>
      <c r="AQ43" s="43" t="str">
        <f aca="false">IF($A48="","",B48-$AA$2-SUM($F$2:F48))</f>
        <v/>
      </c>
      <c r="AR43" s="1" t="str">
        <f aca="false">IF($A47="","",30000)</f>
        <v/>
      </c>
      <c r="AS43" s="1" t="str">
        <f aca="false">IF($A47="","",AR47-B47)</f>
        <v/>
      </c>
      <c r="AT43" s="1" t="str">
        <f aca="false">IF($A47="","",IFERROR(B47/AR47,0))</f>
        <v/>
      </c>
      <c r="AU43" s="1" t="str">
        <f aca="false">IF($A47="","",IFERROR(B47*O47,0))</f>
        <v/>
      </c>
      <c r="AV43" s="1" t="str">
        <f aca="false">IF($A47="","",IFERROR(C47/B47,0))</f>
        <v/>
      </c>
      <c r="AW43" s="1" t="str">
        <f aca="false">IF($A47="","",MAX(0,R47-S47))</f>
        <v/>
      </c>
      <c r="AX43" s="1" t="str">
        <f aca="false">IF($A47="","",IF(AW47&gt;0,"优先降持仓数",IF(C47&lt;=0,"现金不足","允许评估")))</f>
        <v/>
      </c>
      <c r="AY43" s="1" t="str">
        <f aca="false">IF($A47="","",IF(B47&lt;30000,"婴儿阶段: 优先活下来,禁止单票失控,限制持仓数,服务3W目标","幼儿阶段达成"))</f>
        <v/>
      </c>
    </row>
    <row r="44" customFormat="false" ht="15" hidden="false" customHeight="true" outlineLevel="0" collapsed="false">
      <c r="A44" s="30"/>
      <c r="B44" s="44"/>
      <c r="C44" s="44"/>
      <c r="D44" s="35" t="str">
        <f aca="false">IF($A49="","",SUMIFS(持仓表!$J:$J,持仓表!$A:$A,$A49))</f>
        <v/>
      </c>
      <c r="E44" s="36" t="n">
        <f aca="false">IFERROR(D49/B49,0)</f>
        <v>0</v>
      </c>
      <c r="F44" s="44"/>
      <c r="G44" s="35" t="str">
        <f aca="false">IF($B49="","",MAX($B$2:B49))</f>
        <v/>
      </c>
      <c r="H44" s="36" t="n">
        <f aca="false">IFERROR((B49-F49)/F49,0)</f>
        <v>0</v>
      </c>
      <c r="I44" s="36" t="n">
        <f aca="false">IFERROR((B49-G49)/G49,0)</f>
        <v>0</v>
      </c>
      <c r="J44" s="30"/>
      <c r="K44" s="31"/>
      <c r="L44" s="45"/>
      <c r="M44" s="45"/>
      <c r="N44" s="36" t="str">
        <f aca="false">IF($B49="","",MIN(70%,IF($I49&lt;=-15%,10%,IF($I49&lt;=-10%,30%,IF($M49&gt;=4,10%,IF($M49&gt;=3,30%,IF($J49="强",IF($K49="A",70%,IF($K49="B",60%,40%)),IF($J49="中性",IF($K49="A",50%,IF($K49="B",40%,25%)),IF($K49="A",30%,IF($K49="B",20%,10%))))))))))</f>
        <v/>
      </c>
      <c r="O44" s="36" t="str">
        <f aca="false">IF($B49="","",IF(B49&lt;30000,35%,IF(B49&lt;50000,30%,IF(B49&lt;100000,25%,20%))))</f>
        <v/>
      </c>
      <c r="P44" s="38" t="str">
        <f aca="false">IF($A49="","",COUNTIFS(持仓表!$A:$A,$A49,持仓表!$G:$G,"&gt;0"))</f>
        <v/>
      </c>
      <c r="Q44" s="38" t="str">
        <f aca="false">IF($A49="","",COUNTIFS(持仓表!$A:$A,$A49,持仓表!$D:$D,"是",持仓表!$G:$G,"&gt;0"))</f>
        <v/>
      </c>
      <c r="R44" s="38" t="str">
        <f aca="false">IF($A49="","",MAX(0,P49-Q49))</f>
        <v/>
      </c>
      <c r="S44" s="38" t="str">
        <f aca="false">IF($B49="","",IF(B49&lt;50000,3,IF(B49&lt;100000,4,5)))</f>
        <v/>
      </c>
      <c r="T44" s="39" t="str">
        <f aca="false">IF($A49="","",IF(OR(M49&gt;=4,I49&lt;=-8%),"防守",IF(OR(M49&gt;=2,I49&lt;=-5%),"警戒","正常")))</f>
        <v/>
      </c>
      <c r="U44" s="39" t="str">
        <f aca="false">IF($A49="","",IF(AND(L49&gt;=3,M49&lt;=2,T49&lt;&gt;"防守"),"是","否"))</f>
        <v/>
      </c>
      <c r="V44" s="39" t="str">
        <f aca="false">IF($A49="","",IF(AND(E49&lt;N49,R49&lt;S49,M49&lt;=2,I49&gt;-15%),"是","否"))</f>
        <v/>
      </c>
      <c r="W44" s="39" t="str">
        <f aca="false">IF($A49="","",IF(OR(M49&gt;=3,I49&lt;=-15%),"是","否"))</f>
        <v/>
      </c>
      <c r="X44" s="35" t="str">
        <f aca="false">IF($A49="","",IFERROR(maxifs(候选池!$AB:$AB,候选池!$A:$A,$A49),0))</f>
        <v/>
      </c>
      <c r="Y44" s="35" t="str">
        <f aca="false">IF($A49="","",IF(OR(M49&gt;=4,I49&lt;=-8%),MAX(0,B49*60%-C49),IF(AND(ISNUMBER(AD49),B49&gt;AD49),IF(B49&lt;30000,0,IF(B49&lt;100000,MAX(0,(B49-AD49)*0.2),MAX(0,(B49-AD49)*0.3))),0)))</f>
        <v/>
      </c>
      <c r="Z44" s="30"/>
      <c r="AA44" s="39" t="str">
        <f aca="false">IF($A49="","",IF($AA$2&lt;&gt;"",$AA$2,""))</f>
        <v/>
      </c>
      <c r="AB44" s="30" t="str">
        <f aca="false">IF($A49="","",IF(B49&lt;30000,0.03,IF(B49&lt;100000,0.02,0.015)))</f>
        <v/>
      </c>
      <c r="AC44" s="38" t="str">
        <f aca="false">IF($A49="","",IFERROR(DATEDIF($A$2,$A49,"m"),0))</f>
        <v/>
      </c>
      <c r="AD44" s="35" t="str">
        <f aca="false">IF($A49="","",IF(OR(AA49="",AB49="",AC49=""),"",AA49*POWER(1+AB49,AC49)))</f>
        <v/>
      </c>
      <c r="AE44" s="47" t="str">
        <f aca="false">IF($A49="","",IF(OR(AD49="",AD49=0),"",B49/AD49-1))</f>
        <v/>
      </c>
      <c r="AG44" s="1" t="str">
        <f aca="false">IF($A49="","",IF(B49&lt;30000,"婴儿",IF(B49&lt;100000,"成长","成熟")))</f>
        <v/>
      </c>
      <c r="AH44" s="42"/>
      <c r="AJ44" s="42"/>
      <c r="AK44" s="42"/>
      <c r="AM44" s="42"/>
      <c r="AP44" s="32"/>
      <c r="AQ44" s="43" t="str">
        <f aca="false">IF($A49="","",B49-$AA$2-SUM($F$2:F49))</f>
        <v/>
      </c>
      <c r="AR44" s="1" t="str">
        <f aca="false">IF($A48="","",30000)</f>
        <v/>
      </c>
      <c r="AS44" s="1" t="str">
        <f aca="false">IF($A48="","",AR48-B48)</f>
        <v/>
      </c>
      <c r="AT44" s="1" t="str">
        <f aca="false">IF($A48="","",IFERROR(B48/AR48,0))</f>
        <v/>
      </c>
      <c r="AU44" s="1" t="str">
        <f aca="false">IF($A48="","",IFERROR(B48*O48,0))</f>
        <v/>
      </c>
      <c r="AV44" s="1" t="str">
        <f aca="false">IF($A48="","",IFERROR(C48/B48,0))</f>
        <v/>
      </c>
      <c r="AW44" s="1" t="str">
        <f aca="false">IF($A48="","",MAX(0,R48-S48))</f>
        <v/>
      </c>
      <c r="AX44" s="1" t="str">
        <f aca="false">IF($A48="","",IF(AW48&gt;0,"优先降持仓数",IF(C48&lt;=0,"现金不足","允许评估")))</f>
        <v/>
      </c>
      <c r="AY44" s="1" t="str">
        <f aca="false">IF($A48="","",IF(B48&lt;30000,"婴儿阶段: 优先活下来,禁止单票失控,限制持仓数,服务3W目标","幼儿阶段达成"))</f>
        <v/>
      </c>
    </row>
    <row r="45" customFormat="false" ht="15" hidden="false" customHeight="true" outlineLevel="0" collapsed="false">
      <c r="A45" s="28"/>
      <c r="B45" s="34"/>
      <c r="C45" s="34"/>
      <c r="D45" s="35" t="str">
        <f aca="false">IF($A50="","",SUMIFS(持仓表!$J:$J,持仓表!$A:$A,$A50))</f>
        <v/>
      </c>
      <c r="E45" s="36" t="n">
        <f aca="false">IFERROR(D50/B50,0)</f>
        <v>0</v>
      </c>
      <c r="F45" s="34"/>
      <c r="G45" s="35" t="str">
        <f aca="false">IF($B50="","",MAX($B$2:B50))</f>
        <v/>
      </c>
      <c r="H45" s="36" t="n">
        <f aca="false">IFERROR((B50-F50)/F50,0)</f>
        <v>0</v>
      </c>
      <c r="I45" s="36" t="n">
        <f aca="false">IFERROR((B50-G50)/G50,0)</f>
        <v>0</v>
      </c>
      <c r="J45" s="28"/>
      <c r="K45" s="29"/>
      <c r="L45" s="37"/>
      <c r="M45" s="37"/>
      <c r="N45" s="36" t="str">
        <f aca="false">IF($B50="","",MIN(70%,IF($I50&lt;=-15%,10%,IF($I50&lt;=-10%,30%,IF($M50&gt;=4,10%,IF($M50&gt;=3,30%,IF($J50="强",IF($K50="A",70%,IF($K50="B",60%,40%)),IF($J50="中性",IF($K50="A",50%,IF($K50="B",40%,25%)),IF($K50="A",30%,IF($K50="B",20%,10%))))))))))</f>
        <v/>
      </c>
      <c r="O45" s="36" t="str">
        <f aca="false">IF($B50="","",IF(B50&lt;30000,35%,IF(B50&lt;50000,30%,IF(B50&lt;100000,25%,20%))))</f>
        <v/>
      </c>
      <c r="P45" s="38" t="str">
        <f aca="false">IF($A50="","",COUNTIFS(持仓表!$A:$A,$A50,持仓表!$G:$G,"&gt;0"))</f>
        <v/>
      </c>
      <c r="Q45" s="38" t="str">
        <f aca="false">IF($A50="","",COUNTIFS(持仓表!$A:$A,$A50,持仓表!$D:$D,"是",持仓表!$G:$G,"&gt;0"))</f>
        <v/>
      </c>
      <c r="R45" s="38" t="str">
        <f aca="false">IF($A50="","",MAX(0,P50-Q50))</f>
        <v/>
      </c>
      <c r="S45" s="38" t="str">
        <f aca="false">IF($B50="","",IF(B50&lt;50000,3,IF(B50&lt;100000,4,5)))</f>
        <v/>
      </c>
      <c r="T45" s="39" t="str">
        <f aca="false">IF($A50="","",IF(OR(M50&gt;=4,I50&lt;=-8%),"防守",IF(OR(M50&gt;=2,I50&lt;=-5%),"警戒","正常")))</f>
        <v/>
      </c>
      <c r="U45" s="39" t="str">
        <f aca="false">IF($A50="","",IF(AND(L50&gt;=3,M50&lt;=2,T50&lt;&gt;"防守"),"是","否"))</f>
        <v/>
      </c>
      <c r="V45" s="39" t="str">
        <f aca="false">IF($A50="","",IF(AND(E50&lt;N50,R50&lt;S50,M50&lt;=2,I50&gt;-15%),"是","否"))</f>
        <v/>
      </c>
      <c r="W45" s="39" t="str">
        <f aca="false">IF($A50="","",IF(OR(M50&gt;=3,I50&lt;=-15%),"是","否"))</f>
        <v/>
      </c>
      <c r="X45" s="35" t="str">
        <f aca="false">IF($A50="","",IFERROR(maxifs(候选池!$AB:$AB,候选池!$A:$A,$A50),0))</f>
        <v/>
      </c>
      <c r="Y45" s="35" t="str">
        <f aca="false">IF($A50="","",IF(OR(M50&gt;=4,I50&lt;=-8%),MAX(0,B50*60%-C50),IF(AND(ISNUMBER(AD50),B50&gt;AD50),IF(B50&lt;30000,0,IF(B50&lt;100000,MAX(0,(B50-AD50)*0.2),MAX(0,(B50-AD50)*0.3))),0)))</f>
        <v/>
      </c>
      <c r="Z45" s="28"/>
      <c r="AA45" s="39" t="str">
        <f aca="false">IF($A50="","",IF($AA$2&lt;&gt;"",$AA$2,""))</f>
        <v/>
      </c>
      <c r="AB45" s="28" t="str">
        <f aca="false">IF($A50="","",IF(B50&lt;30000,0.03,IF(B50&lt;100000,0.02,0.015)))</f>
        <v/>
      </c>
      <c r="AC45" s="38" t="str">
        <f aca="false">IF($A50="","",IFERROR(DATEDIF($A$2,$A50,"m"),0))</f>
        <v/>
      </c>
      <c r="AD45" s="35" t="str">
        <f aca="false">IF($A50="","",IF(OR(AA50="",AB50="",AC50=""),"",AA50*POWER(1+AB50,AC50)))</f>
        <v/>
      </c>
      <c r="AE45" s="41" t="str">
        <f aca="false">IF($A50="","",IF(OR(AD50="",AD50=0),"",B50/AD50-1))</f>
        <v/>
      </c>
      <c r="AG45" s="1" t="str">
        <f aca="false">IF($A50="","",IF(B50&lt;30000,"婴儿",IF(B50&lt;100000,"成长","成熟")))</f>
        <v/>
      </c>
      <c r="AH45" s="42"/>
      <c r="AJ45" s="42"/>
      <c r="AK45" s="42"/>
      <c r="AM45" s="42"/>
      <c r="AP45" s="32"/>
      <c r="AQ45" s="43" t="str">
        <f aca="false">IF($A50="","",B50-$AA$2-SUM($F$2:F50))</f>
        <v/>
      </c>
      <c r="AR45" s="1" t="str">
        <f aca="false">IF($A49="","",30000)</f>
        <v/>
      </c>
      <c r="AS45" s="1" t="str">
        <f aca="false">IF($A49="","",AR49-B49)</f>
        <v/>
      </c>
      <c r="AT45" s="1" t="str">
        <f aca="false">IF($A49="","",IFERROR(B49/AR49,0))</f>
        <v/>
      </c>
      <c r="AU45" s="1" t="str">
        <f aca="false">IF($A49="","",IFERROR(B49*O49,0))</f>
        <v/>
      </c>
      <c r="AV45" s="1" t="str">
        <f aca="false">IF($A49="","",IFERROR(C49/B49,0))</f>
        <v/>
      </c>
      <c r="AW45" s="1" t="str">
        <f aca="false">IF($A49="","",MAX(0,R49-S49))</f>
        <v/>
      </c>
      <c r="AX45" s="1" t="str">
        <f aca="false">IF($A49="","",IF(AW49&gt;0,"优先降持仓数",IF(C49&lt;=0,"现金不足","允许评估")))</f>
        <v/>
      </c>
      <c r="AY45" s="1" t="str">
        <f aca="false">IF($A49="","",IF(B49&lt;30000,"婴儿阶段: 优先活下来,禁止单票失控,限制持仓数,服务3W目标","幼儿阶段达成"))</f>
        <v/>
      </c>
    </row>
    <row r="46" customFormat="false" ht="15" hidden="false" customHeight="true" outlineLevel="0" collapsed="false">
      <c r="A46" s="30"/>
      <c r="B46" s="44"/>
      <c r="C46" s="44"/>
      <c r="D46" s="35" t="str">
        <f aca="false">IF($A51="","",SUMIFS(持仓表!$J:$J,持仓表!$A:$A,$A51))</f>
        <v/>
      </c>
      <c r="E46" s="36" t="n">
        <f aca="false">IFERROR(D51/B51,0)</f>
        <v>0</v>
      </c>
      <c r="F46" s="44"/>
      <c r="G46" s="35" t="str">
        <f aca="false">IF($B51="","",MAX($B$2:B51))</f>
        <v/>
      </c>
      <c r="H46" s="36" t="n">
        <f aca="false">IFERROR((B51-F51)/F51,0)</f>
        <v>0</v>
      </c>
      <c r="I46" s="36" t="n">
        <f aca="false">IFERROR((B51-G51)/G51,0)</f>
        <v>0</v>
      </c>
      <c r="J46" s="30"/>
      <c r="K46" s="31"/>
      <c r="L46" s="45"/>
      <c r="M46" s="45"/>
      <c r="N46" s="36" t="str">
        <f aca="false">IF($B51="","",MIN(70%,IF($I51&lt;=-15%,10%,IF($I51&lt;=-10%,30%,IF($M51&gt;=4,10%,IF($M51&gt;=3,30%,IF($J51="强",IF($K51="A",70%,IF($K51="B",60%,40%)),IF($J51="中性",IF($K51="A",50%,IF($K51="B",40%,25%)),IF($K51="A",30%,IF($K51="B",20%,10%))))))))))</f>
        <v/>
      </c>
      <c r="O46" s="36" t="str">
        <f aca="false">IF($B51="","",IF(B51&lt;30000,35%,IF(B51&lt;50000,30%,IF(B51&lt;100000,25%,20%))))</f>
        <v/>
      </c>
      <c r="P46" s="38" t="str">
        <f aca="false">IF($A51="","",COUNTIFS(持仓表!$A:$A,$A51,持仓表!$G:$G,"&gt;0"))</f>
        <v/>
      </c>
      <c r="Q46" s="38" t="str">
        <f aca="false">IF($A51="","",COUNTIFS(持仓表!$A:$A,$A51,持仓表!$D:$D,"是",持仓表!$G:$G,"&gt;0"))</f>
        <v/>
      </c>
      <c r="R46" s="38" t="str">
        <f aca="false">IF($A51="","",MAX(0,P51-Q51))</f>
        <v/>
      </c>
      <c r="S46" s="38" t="str">
        <f aca="false">IF($B51="","",IF(B51&lt;50000,3,IF(B51&lt;100000,4,5)))</f>
        <v/>
      </c>
      <c r="T46" s="39" t="str">
        <f aca="false">IF($A51="","",IF(OR(M51&gt;=4,I51&lt;=-8%),"防守",IF(OR(M51&gt;=2,I51&lt;=-5%),"警戒","正常")))</f>
        <v/>
      </c>
      <c r="U46" s="39" t="str">
        <f aca="false">IF($A51="","",IF(AND(L51&gt;=3,M51&lt;=2,T51&lt;&gt;"防守"),"是","否"))</f>
        <v/>
      </c>
      <c r="V46" s="39" t="str">
        <f aca="false">IF($A51="","",IF(AND(E51&lt;N51,R51&lt;S51,M51&lt;=2,I51&gt;-15%),"是","否"))</f>
        <v/>
      </c>
      <c r="W46" s="39" t="str">
        <f aca="false">IF($A51="","",IF(OR(M51&gt;=3,I51&lt;=-15%),"是","否"))</f>
        <v/>
      </c>
      <c r="X46" s="35" t="str">
        <f aca="false">IF($A51="","",IFERROR(maxifs(候选池!$AB:$AB,候选池!$A:$A,$A51),0))</f>
        <v/>
      </c>
      <c r="Y46" s="35" t="str">
        <f aca="false">IF($A51="","",IF(OR(M51&gt;=4,I51&lt;=-8%),MAX(0,B51*60%-C51),IF(AND(ISNUMBER(AD51),B51&gt;AD51),IF(B51&lt;30000,0,IF(B51&lt;100000,MAX(0,(B51-AD51)*0.2),MAX(0,(B51-AD51)*0.3))),0)))</f>
        <v/>
      </c>
      <c r="Z46" s="30"/>
      <c r="AA46" s="39" t="str">
        <f aca="false">IF($A51="","",IF($AA$2&lt;&gt;"",$AA$2,""))</f>
        <v/>
      </c>
      <c r="AB46" s="30" t="str">
        <f aca="false">IF($A51="","",IF(B51&lt;30000,0.03,IF(B51&lt;100000,0.02,0.015)))</f>
        <v/>
      </c>
      <c r="AC46" s="38" t="str">
        <f aca="false">IF($A51="","",IFERROR(DATEDIF($A$2,$A51,"m"),0))</f>
        <v/>
      </c>
      <c r="AD46" s="35" t="str">
        <f aca="false">IF($A51="","",IF(OR(AA51="",AB51="",AC51=""),"",AA51*POWER(1+AB51,AC51)))</f>
        <v/>
      </c>
      <c r="AE46" s="47" t="str">
        <f aca="false">IF($A51="","",IF(OR(AD51="",AD51=0),"",B51/AD51-1))</f>
        <v/>
      </c>
      <c r="AG46" s="1" t="str">
        <f aca="false">IF($A51="","",IF(B51&lt;30000,"婴儿",IF(B51&lt;100000,"成长","成熟")))</f>
        <v/>
      </c>
      <c r="AH46" s="42"/>
      <c r="AJ46" s="42"/>
      <c r="AK46" s="42"/>
      <c r="AM46" s="42"/>
      <c r="AP46" s="32"/>
      <c r="AQ46" s="43" t="str">
        <f aca="false">IF($A51="","",B51-$AA$2-SUM($F$2:F51))</f>
        <v/>
      </c>
      <c r="AR46" s="1" t="str">
        <f aca="false">IF($A50="","",30000)</f>
        <v/>
      </c>
      <c r="AS46" s="1" t="str">
        <f aca="false">IF($A50="","",AR50-B50)</f>
        <v/>
      </c>
      <c r="AT46" s="1" t="str">
        <f aca="false">IF($A50="","",IFERROR(B50/AR50,0))</f>
        <v/>
      </c>
      <c r="AU46" s="1" t="str">
        <f aca="false">IF($A50="","",IFERROR(B50*O50,0))</f>
        <v/>
      </c>
      <c r="AV46" s="1" t="str">
        <f aca="false">IF($A50="","",IFERROR(C50/B50,0))</f>
        <v/>
      </c>
      <c r="AW46" s="1" t="str">
        <f aca="false">IF($A50="","",MAX(0,R50-S50))</f>
        <v/>
      </c>
      <c r="AX46" s="1" t="str">
        <f aca="false">IF($A50="","",IF(AW50&gt;0,"优先降持仓数",IF(C50&lt;=0,"现金不足","允许评估")))</f>
        <v/>
      </c>
      <c r="AY46" s="1" t="str">
        <f aca="false">IF($A50="","",IF(B50&lt;30000,"婴儿阶段: 优先活下来,禁止单票失控,限制持仓数,服务3W目标","幼儿阶段达成"))</f>
        <v/>
      </c>
    </row>
    <row r="47" customFormat="false" ht="15" hidden="false" customHeight="true" outlineLevel="0" collapsed="false">
      <c r="A47" s="28"/>
      <c r="B47" s="34"/>
      <c r="C47" s="34"/>
      <c r="D47" s="35" t="str">
        <f aca="false">IF($A52="","",SUMIFS(持仓表!$J:$J,持仓表!$A:$A,$A52))</f>
        <v/>
      </c>
      <c r="E47" s="36" t="n">
        <f aca="false">IFERROR(D52/B52,0)</f>
        <v>0</v>
      </c>
      <c r="F47" s="34"/>
      <c r="G47" s="35" t="str">
        <f aca="false">IF($B52="","",MAX($B$2:B52))</f>
        <v/>
      </c>
      <c r="H47" s="36" t="n">
        <f aca="false">IFERROR((B52-F52)/F52,0)</f>
        <v>0</v>
      </c>
      <c r="I47" s="36" t="n">
        <f aca="false">IFERROR((B52-G52)/G52,0)</f>
        <v>0</v>
      </c>
      <c r="J47" s="28"/>
      <c r="K47" s="29"/>
      <c r="L47" s="37"/>
      <c r="M47" s="37"/>
      <c r="N47" s="36" t="str">
        <f aca="false">IF($B52="","",MIN(70%,IF($I52&lt;=-15%,10%,IF($I52&lt;=-10%,30%,IF($M52&gt;=4,10%,IF($M52&gt;=3,30%,IF($J52="强",IF($K52="A",70%,IF($K52="B",60%,40%)),IF($J52="中性",IF($K52="A",50%,IF($K52="B",40%,25%)),IF($K52="A",30%,IF($K52="B",20%,10%))))))))))</f>
        <v/>
      </c>
      <c r="O47" s="36" t="str">
        <f aca="false">IF($B52="","",IF(B52&lt;30000,35%,IF(B52&lt;50000,30%,IF(B52&lt;100000,25%,20%))))</f>
        <v/>
      </c>
      <c r="P47" s="38" t="str">
        <f aca="false">IF($A52="","",COUNTIFS(持仓表!$A:$A,$A52,持仓表!$G:$G,"&gt;0"))</f>
        <v/>
      </c>
      <c r="Q47" s="38" t="str">
        <f aca="false">IF($A52="","",COUNTIFS(持仓表!$A:$A,$A52,持仓表!$D:$D,"是",持仓表!$G:$G,"&gt;0"))</f>
        <v/>
      </c>
      <c r="R47" s="38" t="str">
        <f aca="false">IF($A52="","",MAX(0,P52-Q52))</f>
        <v/>
      </c>
      <c r="S47" s="38" t="str">
        <f aca="false">IF($B52="","",IF(B52&lt;50000,3,IF(B52&lt;100000,4,5)))</f>
        <v/>
      </c>
      <c r="T47" s="39" t="str">
        <f aca="false">IF($A52="","",IF(OR(M52&gt;=4,I52&lt;=-8%),"防守",IF(OR(M52&gt;=2,I52&lt;=-5%),"警戒","正常")))</f>
        <v/>
      </c>
      <c r="U47" s="39" t="str">
        <f aca="false">IF($A52="","",IF(AND(L52&gt;=3,M52&lt;=2,T52&lt;&gt;"防守"),"是","否"))</f>
        <v/>
      </c>
      <c r="V47" s="39" t="str">
        <f aca="false">IF($A52="","",IF(AND(E52&lt;N52,R52&lt;S52,M52&lt;=2,I52&gt;-15%),"是","否"))</f>
        <v/>
      </c>
      <c r="W47" s="39" t="str">
        <f aca="false">IF($A52="","",IF(OR(M52&gt;=3,I52&lt;=-15%),"是","否"))</f>
        <v/>
      </c>
      <c r="X47" s="35" t="str">
        <f aca="false">IF($A52="","",IFERROR(maxifs(候选池!$AB:$AB,候选池!$A:$A,$A52),0))</f>
        <v/>
      </c>
      <c r="Y47" s="35" t="str">
        <f aca="false">IF($A52="","",IF(OR(M52&gt;=4,I52&lt;=-8%),MAX(0,B52*60%-C52),IF(AND(ISNUMBER(AD52),B52&gt;AD52),IF(B52&lt;30000,0,IF(B52&lt;100000,MAX(0,(B52-AD52)*0.2),MAX(0,(B52-AD52)*0.3))),0)))</f>
        <v/>
      </c>
      <c r="Z47" s="28"/>
      <c r="AA47" s="39" t="str">
        <f aca="false">IF($A52="","",IF($AA$2&lt;&gt;"",$AA$2,""))</f>
        <v/>
      </c>
      <c r="AB47" s="28" t="str">
        <f aca="false">IF($A52="","",IF(B52&lt;30000,0.03,IF(B52&lt;100000,0.02,0.015)))</f>
        <v/>
      </c>
      <c r="AC47" s="38" t="str">
        <f aca="false">IF($A52="","",IFERROR(DATEDIF($A$2,$A52,"m"),0))</f>
        <v/>
      </c>
      <c r="AD47" s="35" t="str">
        <f aca="false">IF($A52="","",IF(OR(AA52="",AB52="",AC52=""),"",AA52*POWER(1+AB52,AC52)))</f>
        <v/>
      </c>
      <c r="AE47" s="41" t="str">
        <f aca="false">IF($A52="","",IF(OR(AD52="",AD52=0),"",B52/AD52-1))</f>
        <v/>
      </c>
      <c r="AG47" s="1" t="str">
        <f aca="false">IF($A52="","",IF(B52&lt;30000,"婴儿",IF(B52&lt;100000,"成长","成熟")))</f>
        <v/>
      </c>
      <c r="AH47" s="42"/>
      <c r="AJ47" s="42"/>
      <c r="AK47" s="42"/>
      <c r="AM47" s="42"/>
      <c r="AP47" s="32"/>
      <c r="AQ47" s="43" t="str">
        <f aca="false">IF($A52="","",B52-$AA$2-SUM($F$2:F52))</f>
        <v/>
      </c>
      <c r="AR47" s="1" t="str">
        <f aca="false">IF($A51="","",30000)</f>
        <v/>
      </c>
      <c r="AS47" s="1" t="str">
        <f aca="false">IF($A51="","",AR51-B51)</f>
        <v/>
      </c>
      <c r="AT47" s="1" t="str">
        <f aca="false">IF($A51="","",IFERROR(B51/AR51,0))</f>
        <v/>
      </c>
      <c r="AU47" s="1" t="str">
        <f aca="false">IF($A51="","",IFERROR(B51*O51,0))</f>
        <v/>
      </c>
      <c r="AV47" s="1" t="str">
        <f aca="false">IF($A51="","",IFERROR(C51/B51,0))</f>
        <v/>
      </c>
      <c r="AW47" s="1" t="str">
        <f aca="false">IF($A51="","",MAX(0,R51-S51))</f>
        <v/>
      </c>
      <c r="AX47" s="1" t="str">
        <f aca="false">IF($A51="","",IF(AW51&gt;0,"优先降持仓数",IF(C51&lt;=0,"现金不足","允许评估")))</f>
        <v/>
      </c>
      <c r="AY47" s="1" t="str">
        <f aca="false">IF($A51="","",IF(B51&lt;30000,"婴儿阶段: 优先活下来,禁止单票失控,限制持仓数,服务3W目标","幼儿阶段达成"))</f>
        <v/>
      </c>
    </row>
    <row r="48" customFormat="false" ht="15" hidden="false" customHeight="true" outlineLevel="0" collapsed="false">
      <c r="A48" s="30"/>
      <c r="B48" s="44"/>
      <c r="C48" s="44"/>
      <c r="D48" s="35" t="str">
        <f aca="false">IF($A53="","",SUMIFS(持仓表!$J:$J,持仓表!$A:$A,$A53))</f>
        <v/>
      </c>
      <c r="E48" s="36" t="n">
        <f aca="false">IFERROR(D53/B53,0)</f>
        <v>0</v>
      </c>
      <c r="F48" s="44"/>
      <c r="G48" s="35" t="str">
        <f aca="false">IF($B53="","",MAX($B$2:B53))</f>
        <v/>
      </c>
      <c r="H48" s="36" t="n">
        <f aca="false">IFERROR((B53-F53)/F53,0)</f>
        <v>0</v>
      </c>
      <c r="I48" s="36" t="n">
        <f aca="false">IFERROR((B53-G53)/G53,0)</f>
        <v>0</v>
      </c>
      <c r="J48" s="30"/>
      <c r="K48" s="31"/>
      <c r="L48" s="45"/>
      <c r="M48" s="45"/>
      <c r="N48" s="36" t="str">
        <f aca="false">IF($B53="","",MIN(70%,IF($I53&lt;=-15%,10%,IF($I53&lt;=-10%,30%,IF($M53&gt;=4,10%,IF($M53&gt;=3,30%,IF($J53="强",IF($K53="A",70%,IF($K53="B",60%,40%)),IF($J53="中性",IF($K53="A",50%,IF($K53="B",40%,25%)),IF($K53="A",30%,IF($K53="B",20%,10%))))))))))</f>
        <v/>
      </c>
      <c r="O48" s="36" t="str">
        <f aca="false">IF($B53="","",IF(B53&lt;30000,35%,IF(B53&lt;50000,30%,IF(B53&lt;100000,25%,20%))))</f>
        <v/>
      </c>
      <c r="P48" s="38" t="str">
        <f aca="false">IF($A53="","",COUNTIFS(持仓表!$A:$A,$A53,持仓表!$G:$G,"&gt;0"))</f>
        <v/>
      </c>
      <c r="Q48" s="38" t="str">
        <f aca="false">IF($A53="","",COUNTIFS(持仓表!$A:$A,$A53,持仓表!$D:$D,"是",持仓表!$G:$G,"&gt;0"))</f>
        <v/>
      </c>
      <c r="R48" s="38" t="str">
        <f aca="false">IF($A53="","",MAX(0,P53-Q53))</f>
        <v/>
      </c>
      <c r="S48" s="38" t="str">
        <f aca="false">IF($B53="","",IF(B53&lt;50000,3,IF(B53&lt;100000,4,5)))</f>
        <v/>
      </c>
      <c r="T48" s="39" t="str">
        <f aca="false">IF($A53="","",IF(OR(M53&gt;=4,I53&lt;=-8%),"防守",IF(OR(M53&gt;=2,I53&lt;=-5%),"警戒","正常")))</f>
        <v/>
      </c>
      <c r="U48" s="39" t="str">
        <f aca="false">IF($A53="","",IF(AND(L53&gt;=3,M53&lt;=2,T53&lt;&gt;"防守"),"是","否"))</f>
        <v/>
      </c>
      <c r="V48" s="39" t="str">
        <f aca="false">IF($A53="","",IF(AND(E53&lt;N53,R53&lt;S53,M53&lt;=2,I53&gt;-15%),"是","否"))</f>
        <v/>
      </c>
      <c r="W48" s="39" t="str">
        <f aca="false">IF($A53="","",IF(OR(M53&gt;=3,I53&lt;=-15%),"是","否"))</f>
        <v/>
      </c>
      <c r="X48" s="35" t="str">
        <f aca="false">IF($A53="","",IFERROR(maxifs(候选池!$AB:$AB,候选池!$A:$A,$A53),0))</f>
        <v/>
      </c>
      <c r="Y48" s="35" t="str">
        <f aca="false">IF($A53="","",IF(OR(M53&gt;=4,I53&lt;=-8%),MAX(0,B53*60%-C53),IF(AND(ISNUMBER(AD53),B53&gt;AD53),IF(B53&lt;30000,0,IF(B53&lt;100000,MAX(0,(B53-AD53)*0.2),MAX(0,(B53-AD53)*0.3))),0)))</f>
        <v/>
      </c>
      <c r="Z48" s="30"/>
      <c r="AA48" s="39" t="str">
        <f aca="false">IF($A53="","",IF($AA$2&lt;&gt;"",$AA$2,""))</f>
        <v/>
      </c>
      <c r="AB48" s="30" t="str">
        <f aca="false">IF($A53="","",IF(B53&lt;30000,0.03,IF(B53&lt;100000,0.02,0.015)))</f>
        <v/>
      </c>
      <c r="AC48" s="38" t="str">
        <f aca="false">IF($A53="","",IFERROR(DATEDIF($A$2,$A53,"m"),0))</f>
        <v/>
      </c>
      <c r="AD48" s="35" t="str">
        <f aca="false">IF($A53="","",IF(OR(AA53="",AB53="",AC53=""),"",AA53*POWER(1+AB53,AC53)))</f>
        <v/>
      </c>
      <c r="AE48" s="47" t="str">
        <f aca="false">IF($A53="","",IF(OR(AD53="",AD53=0),"",B53/AD53-1))</f>
        <v/>
      </c>
      <c r="AG48" s="1" t="str">
        <f aca="false">IF($A53="","",IF(B53&lt;30000,"婴儿",IF(B53&lt;100000,"成长","成熟")))</f>
        <v/>
      </c>
      <c r="AH48" s="42"/>
      <c r="AJ48" s="42"/>
      <c r="AK48" s="42"/>
      <c r="AM48" s="42"/>
      <c r="AP48" s="32"/>
      <c r="AQ48" s="43" t="str">
        <f aca="false">IF($A53="","",B53-$AA$2-SUM($F$2:F53))</f>
        <v/>
      </c>
      <c r="AR48" s="1" t="str">
        <f aca="false">IF($A52="","",30000)</f>
        <v/>
      </c>
      <c r="AS48" s="1" t="str">
        <f aca="false">IF($A52="","",AR52-B52)</f>
        <v/>
      </c>
      <c r="AT48" s="1" t="str">
        <f aca="false">IF($A52="","",IFERROR(B52/AR52,0))</f>
        <v/>
      </c>
      <c r="AU48" s="1" t="str">
        <f aca="false">IF($A52="","",IFERROR(B52*O52,0))</f>
        <v/>
      </c>
      <c r="AV48" s="1" t="str">
        <f aca="false">IF($A52="","",IFERROR(C52/B52,0))</f>
        <v/>
      </c>
      <c r="AW48" s="1" t="str">
        <f aca="false">IF($A52="","",MAX(0,R52-S52))</f>
        <v/>
      </c>
      <c r="AX48" s="1" t="str">
        <f aca="false">IF($A52="","",IF(AW52&gt;0,"优先降持仓数",IF(C52&lt;=0,"现金不足","允许评估")))</f>
        <v/>
      </c>
      <c r="AY48" s="1" t="str">
        <f aca="false">IF($A52="","",IF(B52&lt;30000,"婴儿阶段: 优先活下来,禁止单票失控,限制持仓数,服务3W目标","幼儿阶段达成"))</f>
        <v/>
      </c>
    </row>
    <row r="49" customFormat="false" ht="15" hidden="false" customHeight="true" outlineLevel="0" collapsed="false">
      <c r="A49" s="28"/>
      <c r="B49" s="34"/>
      <c r="C49" s="34"/>
      <c r="D49" s="35" t="str">
        <f aca="false">IF($A54="","",SUMIFS(持仓表!$J:$J,持仓表!$A:$A,$A54))</f>
        <v/>
      </c>
      <c r="E49" s="36" t="n">
        <f aca="false">IFERROR(D54/B54,0)</f>
        <v>0</v>
      </c>
      <c r="F49" s="34"/>
      <c r="G49" s="35" t="str">
        <f aca="false">IF($B54="","",MAX($B$2:B54))</f>
        <v/>
      </c>
      <c r="H49" s="36" t="n">
        <f aca="false">IFERROR((B54-F54)/F54,0)</f>
        <v>0</v>
      </c>
      <c r="I49" s="36" t="n">
        <f aca="false">IFERROR((B54-G54)/G54,0)</f>
        <v>0</v>
      </c>
      <c r="J49" s="28"/>
      <c r="K49" s="29"/>
      <c r="L49" s="37"/>
      <c r="M49" s="37"/>
      <c r="N49" s="36" t="str">
        <f aca="false">IF($B54="","",MIN(70%,IF($I54&lt;=-15%,10%,IF($I54&lt;=-10%,30%,IF($M54&gt;=4,10%,IF($M54&gt;=3,30%,IF($J54="强",IF($K54="A",70%,IF($K54="B",60%,40%)),IF($J54="中性",IF($K54="A",50%,IF($K54="B",40%,25%)),IF($K54="A",30%,IF($K54="B",20%,10%))))))))))</f>
        <v/>
      </c>
      <c r="O49" s="36" t="str">
        <f aca="false">IF($B54="","",IF(B54&lt;30000,35%,IF(B54&lt;50000,30%,IF(B54&lt;100000,25%,20%))))</f>
        <v/>
      </c>
      <c r="P49" s="38" t="str">
        <f aca="false">IF($A54="","",COUNTIFS(持仓表!$A:$A,$A54,持仓表!$G:$G,"&gt;0"))</f>
        <v/>
      </c>
      <c r="Q49" s="38" t="str">
        <f aca="false">IF($A54="","",COUNTIFS(持仓表!$A:$A,$A54,持仓表!$D:$D,"是",持仓表!$G:$G,"&gt;0"))</f>
        <v/>
      </c>
      <c r="R49" s="38" t="str">
        <f aca="false">IF($A54="","",MAX(0,P54-Q54))</f>
        <v/>
      </c>
      <c r="S49" s="38" t="str">
        <f aca="false">IF($B54="","",IF(B54&lt;50000,3,IF(B54&lt;100000,4,5)))</f>
        <v/>
      </c>
      <c r="T49" s="39" t="str">
        <f aca="false">IF($A54="","",IF(OR(M54&gt;=4,I54&lt;=-8%),"防守",IF(OR(M54&gt;=2,I54&lt;=-5%),"警戒","正常")))</f>
        <v/>
      </c>
      <c r="U49" s="39" t="str">
        <f aca="false">IF($A54="","",IF(AND(L54&gt;=3,M54&lt;=2,T54&lt;&gt;"防守"),"是","否"))</f>
        <v/>
      </c>
      <c r="V49" s="39" t="str">
        <f aca="false">IF($A54="","",IF(AND(E54&lt;N54,R54&lt;S54,M54&lt;=2,I54&gt;-15%),"是","否"))</f>
        <v/>
      </c>
      <c r="W49" s="39" t="str">
        <f aca="false">IF($A54="","",IF(OR(M54&gt;=3,I54&lt;=-15%),"是","否"))</f>
        <v/>
      </c>
      <c r="X49" s="35" t="str">
        <f aca="false">IF($A54="","",IFERROR(maxifs(候选池!$AB:$AB,候选池!$A:$A,$A54),0))</f>
        <v/>
      </c>
      <c r="Y49" s="35" t="str">
        <f aca="false">IF($A54="","",IF(OR(M54&gt;=4,I54&lt;=-8%),MAX(0,B54*60%-C54),IF(AND(ISNUMBER(AD54),B54&gt;AD54),IF(B54&lt;30000,0,IF(B54&lt;100000,MAX(0,(B54-AD54)*0.2),MAX(0,(B54-AD54)*0.3))),0)))</f>
        <v/>
      </c>
      <c r="Z49" s="28"/>
      <c r="AA49" s="39" t="str">
        <f aca="false">IF($A54="","",IF($AA$2&lt;&gt;"",$AA$2,""))</f>
        <v/>
      </c>
      <c r="AB49" s="28" t="str">
        <f aca="false">IF($A54="","",IF(B54&lt;30000,0.03,IF(B54&lt;100000,0.02,0.015)))</f>
        <v/>
      </c>
      <c r="AC49" s="38" t="str">
        <f aca="false">IF($A54="","",IFERROR(DATEDIF($A$2,$A54,"m"),0))</f>
        <v/>
      </c>
      <c r="AD49" s="35" t="str">
        <f aca="false">IF($A54="","",IF(OR(AA54="",AB54="",AC54=""),"",AA54*POWER(1+AB54,AC54)))</f>
        <v/>
      </c>
      <c r="AE49" s="41" t="str">
        <f aca="false">IF($A54="","",IF(OR(AD54="",AD54=0),"",B54/AD54-1))</f>
        <v/>
      </c>
      <c r="AG49" s="1" t="str">
        <f aca="false">IF($A54="","",IF(B54&lt;30000,"婴儿",IF(B54&lt;100000,"成长","成熟")))</f>
        <v/>
      </c>
      <c r="AH49" s="42"/>
      <c r="AJ49" s="42"/>
      <c r="AK49" s="42"/>
      <c r="AM49" s="42"/>
      <c r="AP49" s="32"/>
      <c r="AQ49" s="43" t="str">
        <f aca="false">IF($A54="","",B54-$AA$2-SUM($F$2:F54))</f>
        <v/>
      </c>
      <c r="AR49" s="1" t="str">
        <f aca="false">IF($A53="","",30000)</f>
        <v/>
      </c>
      <c r="AS49" s="1" t="str">
        <f aca="false">IF($A53="","",AR53-B53)</f>
        <v/>
      </c>
      <c r="AT49" s="1" t="str">
        <f aca="false">IF($A53="","",IFERROR(B53/AR53,0))</f>
        <v/>
      </c>
      <c r="AU49" s="1" t="str">
        <f aca="false">IF($A53="","",IFERROR(B53*O53,0))</f>
        <v/>
      </c>
      <c r="AV49" s="1" t="str">
        <f aca="false">IF($A53="","",IFERROR(C53/B53,0))</f>
        <v/>
      </c>
      <c r="AW49" s="1" t="str">
        <f aca="false">IF($A53="","",MAX(0,R53-S53))</f>
        <v/>
      </c>
      <c r="AX49" s="1" t="str">
        <f aca="false">IF($A53="","",IF(AW53&gt;0,"优先降持仓数",IF(C53&lt;=0,"现金不足","允许评估")))</f>
        <v/>
      </c>
      <c r="AY49" s="1" t="str">
        <f aca="false">IF($A53="","",IF(B53&lt;30000,"婴儿阶段: 优先活下来,禁止单票失控,限制持仓数,服务3W目标","幼儿阶段达成"))</f>
        <v/>
      </c>
    </row>
    <row r="50" customFormat="false" ht="15" hidden="false" customHeight="true" outlineLevel="0" collapsed="false">
      <c r="A50" s="30"/>
      <c r="B50" s="44"/>
      <c r="C50" s="44"/>
      <c r="D50" s="35" t="str">
        <f aca="false">IF($A55="","",SUMIFS(持仓表!$J:$J,持仓表!$A:$A,$A55))</f>
        <v/>
      </c>
      <c r="E50" s="36" t="n">
        <f aca="false">IFERROR(D55/B55,0)</f>
        <v>0</v>
      </c>
      <c r="F50" s="44"/>
      <c r="G50" s="35" t="str">
        <f aca="false">IF($B55="","",MAX($B$2:B55))</f>
        <v/>
      </c>
      <c r="H50" s="36" t="n">
        <f aca="false">IFERROR((B55-F55)/F55,0)</f>
        <v>0</v>
      </c>
      <c r="I50" s="36" t="n">
        <f aca="false">IFERROR((B55-G55)/G55,0)</f>
        <v>0</v>
      </c>
      <c r="J50" s="30"/>
      <c r="K50" s="31"/>
      <c r="L50" s="45"/>
      <c r="M50" s="45"/>
      <c r="N50" s="36" t="str">
        <f aca="false">IF($B55="","",MIN(70%,IF($I55&lt;=-15%,10%,IF($I55&lt;=-10%,30%,IF($M55&gt;=4,10%,IF($M55&gt;=3,30%,IF($J55="强",IF($K55="A",70%,IF($K55="B",60%,40%)),IF($J55="中性",IF($K55="A",50%,IF($K55="B",40%,25%)),IF($K55="A",30%,IF($K55="B",20%,10%))))))))))</f>
        <v/>
      </c>
      <c r="O50" s="36" t="str">
        <f aca="false">IF($B55="","",IF(B55&lt;30000,35%,IF(B55&lt;50000,30%,IF(B55&lt;100000,25%,20%))))</f>
        <v/>
      </c>
      <c r="P50" s="38" t="str">
        <f aca="false">IF($A55="","",COUNTIFS(持仓表!$A:$A,$A55,持仓表!$G:$G,"&gt;0"))</f>
        <v/>
      </c>
      <c r="Q50" s="38" t="str">
        <f aca="false">IF($A55="","",COUNTIFS(持仓表!$A:$A,$A55,持仓表!$D:$D,"是",持仓表!$G:$G,"&gt;0"))</f>
        <v/>
      </c>
      <c r="R50" s="38" t="str">
        <f aca="false">IF($A55="","",MAX(0,P55-Q55))</f>
        <v/>
      </c>
      <c r="S50" s="38" t="str">
        <f aca="false">IF($B55="","",IF(B55&lt;50000,3,IF(B55&lt;100000,4,5)))</f>
        <v/>
      </c>
      <c r="T50" s="39" t="str">
        <f aca="false">IF($A55="","",IF(OR(M55&gt;=4,I55&lt;=-8%),"防守",IF(OR(M55&gt;=2,I55&lt;=-5%),"警戒","正常")))</f>
        <v/>
      </c>
      <c r="U50" s="39" t="str">
        <f aca="false">IF($A55="","",IF(AND(L55&gt;=3,M55&lt;=2,T55&lt;&gt;"防守"),"是","否"))</f>
        <v/>
      </c>
      <c r="V50" s="39" t="str">
        <f aca="false">IF($A55="","",IF(AND(E55&lt;N55,R55&lt;S55,M55&lt;=2,I55&gt;-15%),"是","否"))</f>
        <v/>
      </c>
      <c r="W50" s="39" t="str">
        <f aca="false">IF($A55="","",IF(OR(M55&gt;=3,I55&lt;=-15%),"是","否"))</f>
        <v/>
      </c>
      <c r="X50" s="35" t="str">
        <f aca="false">IF($A55="","",IFERROR(maxifs(候选池!$AB:$AB,候选池!$A:$A,$A55),0))</f>
        <v/>
      </c>
      <c r="Y50" s="35" t="str">
        <f aca="false">IF($A55="","",IF(OR(M55&gt;=4,I55&lt;=-8%),MAX(0,B55*60%-C55),IF(AND(ISNUMBER(AD55),B55&gt;AD55),IF(B55&lt;30000,0,IF(B55&lt;100000,MAX(0,(B55-AD55)*0.2),MAX(0,(B55-AD55)*0.3))),0)))</f>
        <v/>
      </c>
      <c r="Z50" s="30"/>
      <c r="AA50" s="39" t="str">
        <f aca="false">IF($A55="","",IF($AA$2&lt;&gt;"",$AA$2,""))</f>
        <v/>
      </c>
      <c r="AB50" s="30" t="str">
        <f aca="false">IF($A55="","",IF(B55&lt;30000,0.03,IF(B55&lt;100000,0.02,0.015)))</f>
        <v/>
      </c>
      <c r="AC50" s="38" t="str">
        <f aca="false">IF($A55="","",IFERROR(DATEDIF($A$2,$A55,"m"),0))</f>
        <v/>
      </c>
      <c r="AD50" s="35" t="str">
        <f aca="false">IF($A55="","",IF(OR(AA55="",AB55="",AC55=""),"",AA55*POWER(1+AB55,AC55)))</f>
        <v/>
      </c>
      <c r="AE50" s="47" t="str">
        <f aca="false">IF($A55="","",IF(OR(AD55="",AD55=0),"",B55/AD55-1))</f>
        <v/>
      </c>
      <c r="AG50" s="1" t="str">
        <f aca="false">IF($A55="","",IF(B55&lt;30000,"婴儿",IF(B55&lt;100000,"成长","成熟")))</f>
        <v/>
      </c>
      <c r="AH50" s="42"/>
      <c r="AJ50" s="42"/>
      <c r="AK50" s="42"/>
      <c r="AM50" s="42"/>
      <c r="AP50" s="32"/>
      <c r="AQ50" s="43" t="str">
        <f aca="false">IF($A55="","",B55-$AA$2-SUM($F$2:F55))</f>
        <v/>
      </c>
      <c r="AR50" s="1" t="str">
        <f aca="false">IF($A54="","",30000)</f>
        <v/>
      </c>
      <c r="AS50" s="1" t="str">
        <f aca="false">IF($A54="","",AR54-B54)</f>
        <v/>
      </c>
      <c r="AT50" s="1" t="str">
        <f aca="false">IF($A54="","",IFERROR(B54/AR54,0))</f>
        <v/>
      </c>
      <c r="AU50" s="1" t="str">
        <f aca="false">IF($A54="","",IFERROR(B54*O54,0))</f>
        <v/>
      </c>
      <c r="AV50" s="1" t="str">
        <f aca="false">IF($A54="","",IFERROR(C54/B54,0))</f>
        <v/>
      </c>
      <c r="AW50" s="1" t="str">
        <f aca="false">IF($A54="","",MAX(0,R54-S54))</f>
        <v/>
      </c>
      <c r="AX50" s="1" t="str">
        <f aca="false">IF($A54="","",IF(AW54&gt;0,"优先降持仓数",IF(C54&lt;=0,"现金不足","允许评估")))</f>
        <v/>
      </c>
      <c r="AY50" s="1" t="str">
        <f aca="false">IF($A54="","",IF(B54&lt;30000,"婴儿阶段: 优先活下来,禁止单票失控,限制持仓数,服务3W目标","幼儿阶段达成"))</f>
        <v/>
      </c>
    </row>
    <row r="51" customFormat="false" ht="15" hidden="false" customHeight="true" outlineLevel="0" collapsed="false">
      <c r="A51" s="28"/>
      <c r="B51" s="34"/>
      <c r="C51" s="34"/>
      <c r="D51" s="35" t="str">
        <f aca="false">IF($A56="","",SUMIFS(持仓表!$J:$J,持仓表!$A:$A,$A56))</f>
        <v/>
      </c>
      <c r="E51" s="36" t="n">
        <f aca="false">IFERROR(D56/B56,0)</f>
        <v>0</v>
      </c>
      <c r="F51" s="34"/>
      <c r="G51" s="35" t="str">
        <f aca="false">IF($B56="","",MAX($B$2:B56))</f>
        <v/>
      </c>
      <c r="H51" s="36" t="n">
        <f aca="false">IFERROR((B56-F56)/F56,0)</f>
        <v>0</v>
      </c>
      <c r="I51" s="36" t="n">
        <f aca="false">IFERROR((B56-G56)/G56,0)</f>
        <v>0</v>
      </c>
      <c r="J51" s="28"/>
      <c r="K51" s="29"/>
      <c r="L51" s="37"/>
      <c r="M51" s="37"/>
      <c r="N51" s="36" t="str">
        <f aca="false">IF($B56="","",MIN(70%,IF($I56&lt;=-15%,10%,IF($I56&lt;=-10%,30%,IF($M56&gt;=4,10%,IF($M56&gt;=3,30%,IF($J56="强",IF($K56="A",70%,IF($K56="B",60%,40%)),IF($J56="中性",IF($K56="A",50%,IF($K56="B",40%,25%)),IF($K56="A",30%,IF($K56="B",20%,10%))))))))))</f>
        <v/>
      </c>
      <c r="O51" s="36" t="str">
        <f aca="false">IF($B56="","",IF(B56&lt;30000,35%,IF(B56&lt;50000,30%,IF(B56&lt;100000,25%,20%))))</f>
        <v/>
      </c>
      <c r="P51" s="38" t="str">
        <f aca="false">IF($A56="","",COUNTIFS(持仓表!$A:$A,$A56,持仓表!$G:$G,"&gt;0"))</f>
        <v/>
      </c>
      <c r="Q51" s="38" t="str">
        <f aca="false">IF($A56="","",COUNTIFS(持仓表!$A:$A,$A56,持仓表!$D:$D,"是",持仓表!$G:$G,"&gt;0"))</f>
        <v/>
      </c>
      <c r="R51" s="38" t="str">
        <f aca="false">IF($A56="","",MAX(0,P56-Q56))</f>
        <v/>
      </c>
      <c r="S51" s="38" t="str">
        <f aca="false">IF($B56="","",IF(B56&lt;50000,3,IF(B56&lt;100000,4,5)))</f>
        <v/>
      </c>
      <c r="T51" s="39" t="str">
        <f aca="false">IF($A56="","",IF(OR(M56&gt;=4,I56&lt;=-8%),"防守",IF(OR(M56&gt;=2,I56&lt;=-5%),"警戒","正常")))</f>
        <v/>
      </c>
      <c r="U51" s="39" t="str">
        <f aca="false">IF($A56="","",IF(AND(L56&gt;=3,M56&lt;=2,T56&lt;&gt;"防守"),"是","否"))</f>
        <v/>
      </c>
      <c r="V51" s="39" t="str">
        <f aca="false">IF($A56="","",IF(AND(E56&lt;N56,R56&lt;S56,M56&lt;=2,I56&gt;-15%),"是","否"))</f>
        <v/>
      </c>
      <c r="W51" s="39" t="str">
        <f aca="false">IF($A56="","",IF(OR(M56&gt;=3,I56&lt;=-15%),"是","否"))</f>
        <v/>
      </c>
      <c r="X51" s="35" t="str">
        <f aca="false">IF($A56="","",IFERROR(maxifs(候选池!$AB:$AB,候选池!$A:$A,$A56),0))</f>
        <v/>
      </c>
      <c r="Y51" s="35" t="str">
        <f aca="false">IF($A56="","",IF(OR(M56&gt;=4,I56&lt;=-8%),MAX(0,B56*60%-C56),IF(AND(ISNUMBER(AD56),B56&gt;AD56),IF(B56&lt;30000,0,IF(B56&lt;100000,MAX(0,(B56-AD56)*0.2),MAX(0,(B56-AD56)*0.3))),0)))</f>
        <v/>
      </c>
      <c r="Z51" s="28"/>
      <c r="AA51" s="39" t="str">
        <f aca="false">IF($A56="","",IF($AA$2&lt;&gt;"",$AA$2,""))</f>
        <v/>
      </c>
      <c r="AB51" s="28" t="str">
        <f aca="false">IF($A56="","",IF(B56&lt;30000,0.03,IF(B56&lt;100000,0.02,0.015)))</f>
        <v/>
      </c>
      <c r="AC51" s="38" t="str">
        <f aca="false">IF($A56="","",IFERROR(DATEDIF($A$2,$A56,"m"),0))</f>
        <v/>
      </c>
      <c r="AD51" s="35" t="str">
        <f aca="false">IF($A56="","",IF(OR(AA56="",AB56="",AC56=""),"",AA56*POWER(1+AB56,AC56)))</f>
        <v/>
      </c>
      <c r="AE51" s="41" t="str">
        <f aca="false">IF($A56="","",IF(OR(AD56="",AD56=0),"",B56/AD56-1))</f>
        <v/>
      </c>
      <c r="AG51" s="1" t="str">
        <f aca="false">IF($A56="","",IF(B56&lt;30000,"婴儿",IF(B56&lt;100000,"成长","成熟")))</f>
        <v/>
      </c>
      <c r="AH51" s="42"/>
      <c r="AJ51" s="42"/>
      <c r="AK51" s="42"/>
      <c r="AM51" s="42"/>
      <c r="AP51" s="32"/>
      <c r="AQ51" s="43" t="str">
        <f aca="false">IF($A56="","",B56-$AA$2-SUM($F$2:F56))</f>
        <v/>
      </c>
      <c r="AR51" s="1" t="str">
        <f aca="false">IF($A55="","",30000)</f>
        <v/>
      </c>
      <c r="AS51" s="1" t="str">
        <f aca="false">IF($A55="","",AR55-B55)</f>
        <v/>
      </c>
      <c r="AT51" s="1" t="str">
        <f aca="false">IF($A55="","",IFERROR(B55/AR55,0))</f>
        <v/>
      </c>
      <c r="AU51" s="1" t="str">
        <f aca="false">IF($A55="","",IFERROR(B55*O55,0))</f>
        <v/>
      </c>
      <c r="AV51" s="1" t="str">
        <f aca="false">IF($A55="","",IFERROR(C55/B55,0))</f>
        <v/>
      </c>
      <c r="AW51" s="1" t="str">
        <f aca="false">IF($A55="","",MAX(0,R55-S55))</f>
        <v/>
      </c>
      <c r="AX51" s="1" t="str">
        <f aca="false">IF($A55="","",IF(AW55&gt;0,"优先降持仓数",IF(C55&lt;=0,"现金不足","允许评估")))</f>
        <v/>
      </c>
      <c r="AY51" s="1" t="str">
        <f aca="false">IF($A55="","",IF(B55&lt;30000,"婴儿阶段: 优先活下来,禁止单票失控,限制持仓数,服务3W目标","幼儿阶段达成"))</f>
        <v/>
      </c>
    </row>
    <row r="52" customFormat="false" ht="15" hidden="false" customHeight="true" outlineLevel="0" collapsed="false">
      <c r="A52" s="30"/>
      <c r="B52" s="44"/>
      <c r="C52" s="44"/>
      <c r="D52" s="35" t="str">
        <f aca="false">IF($A57="","",SUMIFS(持仓表!$J:$J,持仓表!$A:$A,$A57))</f>
        <v/>
      </c>
      <c r="E52" s="36" t="n">
        <f aca="false">IFERROR(D57/B57,0)</f>
        <v>0</v>
      </c>
      <c r="F52" s="44"/>
      <c r="G52" s="35" t="str">
        <f aca="false">IF($B57="","",MAX($B$2:B57))</f>
        <v/>
      </c>
      <c r="H52" s="36" t="n">
        <f aca="false">IFERROR((B57-F57)/F57,0)</f>
        <v>0</v>
      </c>
      <c r="I52" s="36" t="n">
        <f aca="false">IFERROR((B57-G57)/G57,0)</f>
        <v>0</v>
      </c>
      <c r="J52" s="30"/>
      <c r="K52" s="31"/>
      <c r="L52" s="45"/>
      <c r="M52" s="45"/>
      <c r="N52" s="36" t="str">
        <f aca="false">IF($B57="","",MIN(70%,IF($I57&lt;=-15%,10%,IF($I57&lt;=-10%,30%,IF($M57&gt;=4,10%,IF($M57&gt;=3,30%,IF($J57="强",IF($K57="A",70%,IF($K57="B",60%,40%)),IF($J57="中性",IF($K57="A",50%,IF($K57="B",40%,25%)),IF($K57="A",30%,IF($K57="B",20%,10%))))))))))</f>
        <v/>
      </c>
      <c r="O52" s="36" t="str">
        <f aca="false">IF($B57="","",IF(B57&lt;30000,35%,IF(B57&lt;50000,30%,IF(B57&lt;100000,25%,20%))))</f>
        <v/>
      </c>
      <c r="P52" s="38" t="str">
        <f aca="false">IF($A57="","",COUNTIFS(持仓表!$A:$A,$A57,持仓表!$G:$G,"&gt;0"))</f>
        <v/>
      </c>
      <c r="Q52" s="38" t="str">
        <f aca="false">IF($A57="","",COUNTIFS(持仓表!$A:$A,$A57,持仓表!$D:$D,"是",持仓表!$G:$G,"&gt;0"))</f>
        <v/>
      </c>
      <c r="R52" s="38" t="str">
        <f aca="false">IF($A57="","",MAX(0,P57-Q57))</f>
        <v/>
      </c>
      <c r="S52" s="38" t="str">
        <f aca="false">IF($B57="","",IF(B57&lt;50000,3,IF(B57&lt;100000,4,5)))</f>
        <v/>
      </c>
      <c r="T52" s="39" t="str">
        <f aca="false">IF($A57="","",IF(OR(M57&gt;=4,I57&lt;=-8%),"防守",IF(OR(M57&gt;=2,I57&lt;=-5%),"警戒","正常")))</f>
        <v/>
      </c>
      <c r="U52" s="39" t="str">
        <f aca="false">IF($A57="","",IF(AND(L57&gt;=3,M57&lt;=2,T57&lt;&gt;"防守"),"是","否"))</f>
        <v/>
      </c>
      <c r="V52" s="39" t="str">
        <f aca="false">IF($A57="","",IF(AND(E57&lt;N57,R57&lt;S57,M57&lt;=2,I57&gt;-15%),"是","否"))</f>
        <v/>
      </c>
      <c r="W52" s="39" t="str">
        <f aca="false">IF($A57="","",IF(OR(M57&gt;=3,I57&lt;=-15%),"是","否"))</f>
        <v/>
      </c>
      <c r="X52" s="35" t="str">
        <f aca="false">IF($A57="","",IFERROR(maxifs(候选池!$AB:$AB,候选池!$A:$A,$A57),0))</f>
        <v/>
      </c>
      <c r="Y52" s="35" t="str">
        <f aca="false">IF($A57="","",IF(OR(M57&gt;=4,I57&lt;=-8%),MAX(0,B57*60%-C57),IF(AND(ISNUMBER(AD57),B57&gt;AD57),IF(B57&lt;30000,0,IF(B57&lt;100000,MAX(0,(B57-AD57)*0.2),MAX(0,(B57-AD57)*0.3))),0)))</f>
        <v/>
      </c>
      <c r="Z52" s="30"/>
      <c r="AA52" s="39" t="str">
        <f aca="false">IF($A57="","",IF($AA$2&lt;&gt;"",$AA$2,""))</f>
        <v/>
      </c>
      <c r="AB52" s="30" t="str">
        <f aca="false">IF($A57="","",IF(B57&lt;30000,0.03,IF(B57&lt;100000,0.02,0.015)))</f>
        <v/>
      </c>
      <c r="AC52" s="38" t="str">
        <f aca="false">IF($A57="","",IFERROR(DATEDIF($A$2,$A57,"m"),0))</f>
        <v/>
      </c>
      <c r="AD52" s="35" t="str">
        <f aca="false">IF($A57="","",IF(OR(AA57="",AB57="",AC57=""),"",AA57*POWER(1+AB57,AC57)))</f>
        <v/>
      </c>
      <c r="AE52" s="47" t="str">
        <f aca="false">IF($A57="","",IF(OR(AD57="",AD57=0),"",B57/AD57-1))</f>
        <v/>
      </c>
      <c r="AG52" s="1" t="str">
        <f aca="false">IF($A57="","",IF(B57&lt;30000,"婴儿",IF(B57&lt;100000,"成长","成熟")))</f>
        <v/>
      </c>
      <c r="AH52" s="42"/>
      <c r="AJ52" s="42"/>
      <c r="AK52" s="42"/>
      <c r="AM52" s="42"/>
      <c r="AP52" s="32"/>
      <c r="AQ52" s="43" t="str">
        <f aca="false">IF($A57="","",B57-$AA$2-SUM($F$2:F57))</f>
        <v/>
      </c>
      <c r="AR52" s="1" t="str">
        <f aca="false">IF($A56="","",30000)</f>
        <v/>
      </c>
      <c r="AS52" s="1" t="str">
        <f aca="false">IF($A56="","",AR56-B56)</f>
        <v/>
      </c>
      <c r="AT52" s="1" t="str">
        <f aca="false">IF($A56="","",IFERROR(B56/AR56,0))</f>
        <v/>
      </c>
      <c r="AU52" s="1" t="str">
        <f aca="false">IF($A56="","",IFERROR(B56*O56,0))</f>
        <v/>
      </c>
      <c r="AV52" s="1" t="str">
        <f aca="false">IF($A56="","",IFERROR(C56/B56,0))</f>
        <v/>
      </c>
      <c r="AW52" s="1" t="str">
        <f aca="false">IF($A56="","",MAX(0,R56-S56))</f>
        <v/>
      </c>
      <c r="AX52" s="1" t="str">
        <f aca="false">IF($A56="","",IF(AW56&gt;0,"优先降持仓数",IF(C56&lt;=0,"现金不足","允许评估")))</f>
        <v/>
      </c>
      <c r="AY52" s="1" t="str">
        <f aca="false">IF($A56="","",IF(B56&lt;30000,"婴儿阶段: 优先活下来,禁止单票失控,限制持仓数,服务3W目标","幼儿阶段达成"))</f>
        <v/>
      </c>
    </row>
    <row r="53" customFormat="false" ht="15" hidden="false" customHeight="true" outlineLevel="0" collapsed="false">
      <c r="A53" s="28"/>
      <c r="B53" s="34"/>
      <c r="C53" s="34"/>
      <c r="D53" s="35" t="str">
        <f aca="false">IF($A58="","",SUMIFS(持仓表!$J:$J,持仓表!$A:$A,$A58))</f>
        <v/>
      </c>
      <c r="E53" s="36" t="n">
        <f aca="false">IFERROR(D58/B58,0)</f>
        <v>0</v>
      </c>
      <c r="F53" s="34"/>
      <c r="G53" s="35" t="str">
        <f aca="false">IF($B58="","",MAX($B$2:B58))</f>
        <v/>
      </c>
      <c r="H53" s="36" t="n">
        <f aca="false">IFERROR((B58-F58)/F58,0)</f>
        <v>0</v>
      </c>
      <c r="I53" s="36" t="n">
        <f aca="false">IFERROR((B58-G58)/G58,0)</f>
        <v>0</v>
      </c>
      <c r="J53" s="28"/>
      <c r="K53" s="29"/>
      <c r="L53" s="37"/>
      <c r="M53" s="37"/>
      <c r="N53" s="36" t="str">
        <f aca="false">IF($B58="","",MIN(70%,IF($I58&lt;=-15%,10%,IF($I58&lt;=-10%,30%,IF($M58&gt;=4,10%,IF($M58&gt;=3,30%,IF($J58="强",IF($K58="A",70%,IF($K58="B",60%,40%)),IF($J58="中性",IF($K58="A",50%,IF($K58="B",40%,25%)),IF($K58="A",30%,IF($K58="B",20%,10%))))))))))</f>
        <v/>
      </c>
      <c r="O53" s="36" t="str">
        <f aca="false">IF($B58="","",IF(B58&lt;30000,35%,IF(B58&lt;50000,30%,IF(B58&lt;100000,25%,20%))))</f>
        <v/>
      </c>
      <c r="P53" s="38" t="str">
        <f aca="false">IF($A58="","",COUNTIFS(持仓表!$A:$A,$A58,持仓表!$G:$G,"&gt;0"))</f>
        <v/>
      </c>
      <c r="Q53" s="38" t="str">
        <f aca="false">IF($A58="","",COUNTIFS(持仓表!$A:$A,$A58,持仓表!$D:$D,"是",持仓表!$G:$G,"&gt;0"))</f>
        <v/>
      </c>
      <c r="R53" s="38" t="str">
        <f aca="false">IF($A58="","",MAX(0,P58-Q58))</f>
        <v/>
      </c>
      <c r="S53" s="38" t="str">
        <f aca="false">IF($B58="","",IF(B58&lt;50000,3,IF(B58&lt;100000,4,5)))</f>
        <v/>
      </c>
      <c r="T53" s="39" t="str">
        <f aca="false">IF($A58="","",IF(OR(M58&gt;=4,I58&lt;=-8%),"防守",IF(OR(M58&gt;=2,I58&lt;=-5%),"警戒","正常")))</f>
        <v/>
      </c>
      <c r="U53" s="39" t="str">
        <f aca="false">IF($A58="","",IF(AND(L58&gt;=3,M58&lt;=2,T58&lt;&gt;"防守"),"是","否"))</f>
        <v/>
      </c>
      <c r="V53" s="39" t="str">
        <f aca="false">IF($A58="","",IF(AND(E58&lt;N58,R58&lt;S58,M58&lt;=2,I58&gt;-15%),"是","否"))</f>
        <v/>
      </c>
      <c r="W53" s="39" t="str">
        <f aca="false">IF($A58="","",IF(OR(M58&gt;=3,I58&lt;=-15%),"是","否"))</f>
        <v/>
      </c>
      <c r="X53" s="35" t="str">
        <f aca="false">IF($A58="","",IFERROR(maxifs(候选池!$AB:$AB,候选池!$A:$A,$A58),0))</f>
        <v/>
      </c>
      <c r="Y53" s="35" t="str">
        <f aca="false">IF($A58="","",IF(OR(M58&gt;=4,I58&lt;=-8%),MAX(0,B58*60%-C58),IF(AND(ISNUMBER(AD58),B58&gt;AD58),IF(B58&lt;30000,0,IF(B58&lt;100000,MAX(0,(B58-AD58)*0.2),MAX(0,(B58-AD58)*0.3))),0)))</f>
        <v/>
      </c>
      <c r="Z53" s="28"/>
      <c r="AA53" s="39" t="str">
        <f aca="false">IF($A58="","",IF($AA$2&lt;&gt;"",$AA$2,""))</f>
        <v/>
      </c>
      <c r="AB53" s="28" t="str">
        <f aca="false">IF($A58="","",IF(B58&lt;30000,0.03,IF(B58&lt;100000,0.02,0.015)))</f>
        <v/>
      </c>
      <c r="AC53" s="38" t="str">
        <f aca="false">IF($A58="","",IFERROR(DATEDIF($A$2,$A58,"m"),0))</f>
        <v/>
      </c>
      <c r="AD53" s="35" t="str">
        <f aca="false">IF($A58="","",IF(OR(AA58="",AB58="",AC58=""),"",AA58*POWER(1+AB58,AC58)))</f>
        <v/>
      </c>
      <c r="AE53" s="41" t="str">
        <f aca="false">IF($A58="","",IF(OR(AD58="",AD58=0),"",B58/AD58-1))</f>
        <v/>
      </c>
      <c r="AG53" s="1" t="str">
        <f aca="false">IF($A58="","",IF(B58&lt;30000,"婴儿",IF(B58&lt;100000,"成长","成熟")))</f>
        <v/>
      </c>
      <c r="AH53" s="42"/>
      <c r="AJ53" s="42"/>
      <c r="AK53" s="42"/>
      <c r="AM53" s="42"/>
      <c r="AP53" s="32"/>
      <c r="AQ53" s="43" t="str">
        <f aca="false">IF($A58="","",B58-$AA$2-SUM($F$2:F58))</f>
        <v/>
      </c>
      <c r="AR53" s="1" t="str">
        <f aca="false">IF($A57="","",30000)</f>
        <v/>
      </c>
      <c r="AS53" s="1" t="str">
        <f aca="false">IF($A57="","",AR57-B57)</f>
        <v/>
      </c>
      <c r="AT53" s="1" t="str">
        <f aca="false">IF($A57="","",IFERROR(B57/AR57,0))</f>
        <v/>
      </c>
      <c r="AU53" s="1" t="str">
        <f aca="false">IF($A57="","",IFERROR(B57*O57,0))</f>
        <v/>
      </c>
      <c r="AV53" s="1" t="str">
        <f aca="false">IF($A57="","",IFERROR(C57/B57,0))</f>
        <v/>
      </c>
      <c r="AW53" s="1" t="str">
        <f aca="false">IF($A57="","",MAX(0,R57-S57))</f>
        <v/>
      </c>
      <c r="AX53" s="1" t="str">
        <f aca="false">IF($A57="","",IF(AW57&gt;0,"优先降持仓数",IF(C57&lt;=0,"现金不足","允许评估")))</f>
        <v/>
      </c>
      <c r="AY53" s="1" t="str">
        <f aca="false">IF($A57="","",IF(B57&lt;30000,"婴儿阶段: 优先活下来,禁止单票失控,限制持仓数,服务3W目标","幼儿阶段达成"))</f>
        <v/>
      </c>
    </row>
    <row r="54" customFormat="false" ht="15" hidden="false" customHeight="true" outlineLevel="0" collapsed="false">
      <c r="A54" s="30"/>
      <c r="B54" s="44"/>
      <c r="C54" s="44"/>
      <c r="D54" s="35" t="str">
        <f aca="false">IF($A59="","",SUMIFS(持仓表!$J:$J,持仓表!$A:$A,$A59))</f>
        <v/>
      </c>
      <c r="E54" s="36" t="n">
        <f aca="false">IFERROR(D59/B59,0)</f>
        <v>0</v>
      </c>
      <c r="F54" s="44"/>
      <c r="G54" s="35" t="str">
        <f aca="false">IF($B59="","",MAX($B$2:B59))</f>
        <v/>
      </c>
      <c r="H54" s="36" t="n">
        <f aca="false">IFERROR((B59-F59)/F59,0)</f>
        <v>0</v>
      </c>
      <c r="I54" s="36" t="n">
        <f aca="false">IFERROR((B59-G59)/G59,0)</f>
        <v>0</v>
      </c>
      <c r="J54" s="30"/>
      <c r="K54" s="31"/>
      <c r="L54" s="45"/>
      <c r="M54" s="45"/>
      <c r="N54" s="36" t="str">
        <f aca="false">IF($B59="","",MIN(70%,IF($I59&lt;=-15%,10%,IF($I59&lt;=-10%,30%,IF($M59&gt;=4,10%,IF($M59&gt;=3,30%,IF($J59="强",IF($K59="A",70%,IF($K59="B",60%,40%)),IF($J59="中性",IF($K59="A",50%,IF($K59="B",40%,25%)),IF($K59="A",30%,IF($K59="B",20%,10%))))))))))</f>
        <v/>
      </c>
      <c r="O54" s="36" t="str">
        <f aca="false">IF($B59="","",IF(B59&lt;30000,35%,IF(B59&lt;50000,30%,IF(B59&lt;100000,25%,20%))))</f>
        <v/>
      </c>
      <c r="P54" s="38" t="str">
        <f aca="false">IF($A59="","",COUNTIFS(持仓表!$A:$A,$A59,持仓表!$G:$G,"&gt;0"))</f>
        <v/>
      </c>
      <c r="Q54" s="38" t="str">
        <f aca="false">IF($A59="","",COUNTIFS(持仓表!$A:$A,$A59,持仓表!$D:$D,"是",持仓表!$G:$G,"&gt;0"))</f>
        <v/>
      </c>
      <c r="R54" s="38" t="str">
        <f aca="false">IF($A59="","",MAX(0,P59-Q59))</f>
        <v/>
      </c>
      <c r="S54" s="38" t="str">
        <f aca="false">IF($B59="","",IF(B59&lt;50000,3,IF(B59&lt;100000,4,5)))</f>
        <v/>
      </c>
      <c r="T54" s="39" t="str">
        <f aca="false">IF($A59="","",IF(OR(M59&gt;=4,I59&lt;=-8%),"防守",IF(OR(M59&gt;=2,I59&lt;=-5%),"警戒","正常")))</f>
        <v/>
      </c>
      <c r="U54" s="39" t="str">
        <f aca="false">IF($A59="","",IF(AND(L59&gt;=3,M59&lt;=2,T59&lt;&gt;"防守"),"是","否"))</f>
        <v/>
      </c>
      <c r="V54" s="39" t="str">
        <f aca="false">IF($A59="","",IF(AND(E59&lt;N59,R59&lt;S59,M59&lt;=2,I59&gt;-15%),"是","否"))</f>
        <v/>
      </c>
      <c r="W54" s="39" t="str">
        <f aca="false">IF($A59="","",IF(OR(M59&gt;=3,I59&lt;=-15%),"是","否"))</f>
        <v/>
      </c>
      <c r="X54" s="35" t="str">
        <f aca="false">IF($A59="","",IFERROR(maxifs(候选池!$AB:$AB,候选池!$A:$A,$A59),0))</f>
        <v/>
      </c>
      <c r="Y54" s="35" t="str">
        <f aca="false">IF($A59="","",IF(OR(M59&gt;=4,I59&lt;=-8%),MAX(0,B59*60%-C59),IF(AND(ISNUMBER(AD59),B59&gt;AD59),IF(B59&lt;30000,0,IF(B59&lt;100000,MAX(0,(B59-AD59)*0.2),MAX(0,(B59-AD59)*0.3))),0)))</f>
        <v/>
      </c>
      <c r="Z54" s="30"/>
      <c r="AA54" s="39" t="str">
        <f aca="false">IF($A59="","",IF($AA$2&lt;&gt;"",$AA$2,""))</f>
        <v/>
      </c>
      <c r="AB54" s="30" t="str">
        <f aca="false">IF($A59="","",IF(B59&lt;30000,0.03,IF(B59&lt;100000,0.02,0.015)))</f>
        <v/>
      </c>
      <c r="AC54" s="38" t="str">
        <f aca="false">IF($A59="","",IFERROR(DATEDIF($A$2,$A59,"m"),0))</f>
        <v/>
      </c>
      <c r="AD54" s="35" t="str">
        <f aca="false">IF($A59="","",IF(OR(AA59="",AB59="",AC59=""),"",AA59*POWER(1+AB59,AC59)))</f>
        <v/>
      </c>
      <c r="AE54" s="47" t="str">
        <f aca="false">IF($A59="","",IF(OR(AD59="",AD59=0),"",B59/AD59-1))</f>
        <v/>
      </c>
      <c r="AG54" s="1" t="str">
        <f aca="false">IF($A59="","",IF(B59&lt;30000,"婴儿",IF(B59&lt;100000,"成长","成熟")))</f>
        <v/>
      </c>
      <c r="AH54" s="42"/>
      <c r="AJ54" s="42"/>
      <c r="AK54" s="42"/>
      <c r="AM54" s="42"/>
      <c r="AP54" s="32"/>
      <c r="AQ54" s="43" t="str">
        <f aca="false">IF($A59="","",B59-$AA$2-SUM($F$2:F59))</f>
        <v/>
      </c>
      <c r="AR54" s="1" t="str">
        <f aca="false">IF($A58="","",30000)</f>
        <v/>
      </c>
      <c r="AS54" s="1" t="str">
        <f aca="false">IF($A58="","",AR58-B58)</f>
        <v/>
      </c>
      <c r="AT54" s="1" t="str">
        <f aca="false">IF($A58="","",IFERROR(B58/AR58,0))</f>
        <v/>
      </c>
      <c r="AU54" s="1" t="str">
        <f aca="false">IF($A58="","",IFERROR(B58*O58,0))</f>
        <v/>
      </c>
      <c r="AV54" s="1" t="str">
        <f aca="false">IF($A58="","",IFERROR(C58/B58,0))</f>
        <v/>
      </c>
      <c r="AW54" s="1" t="str">
        <f aca="false">IF($A58="","",MAX(0,R58-S58))</f>
        <v/>
      </c>
      <c r="AX54" s="1" t="str">
        <f aca="false">IF($A58="","",IF(AW58&gt;0,"优先降持仓数",IF(C58&lt;=0,"现金不足","允许评估")))</f>
        <v/>
      </c>
      <c r="AY54" s="1" t="str">
        <f aca="false">IF($A58="","",IF(B58&lt;30000,"婴儿阶段: 优先活下来,禁止单票失控,限制持仓数,服务3W目标","幼儿阶段达成"))</f>
        <v/>
      </c>
    </row>
    <row r="55" customFormat="false" ht="15" hidden="false" customHeight="true" outlineLevel="0" collapsed="false">
      <c r="A55" s="28"/>
      <c r="B55" s="34"/>
      <c r="C55" s="34"/>
      <c r="D55" s="35" t="str">
        <f aca="false">IF($A60="","",SUMIFS(持仓表!$J:$J,持仓表!$A:$A,$A60))</f>
        <v/>
      </c>
      <c r="E55" s="36" t="n">
        <f aca="false">IFERROR(D60/B60,0)</f>
        <v>0</v>
      </c>
      <c r="F55" s="34"/>
      <c r="G55" s="35" t="str">
        <f aca="false">IF($B60="","",MAX($B$2:B60))</f>
        <v/>
      </c>
      <c r="H55" s="36" t="n">
        <f aca="false">IFERROR((B60-F60)/F60,0)</f>
        <v>0</v>
      </c>
      <c r="I55" s="36" t="n">
        <f aca="false">IFERROR((B60-G60)/G60,0)</f>
        <v>0</v>
      </c>
      <c r="J55" s="28"/>
      <c r="K55" s="29"/>
      <c r="L55" s="37"/>
      <c r="M55" s="37"/>
      <c r="N55" s="36" t="str">
        <f aca="false">IF($B60="","",MIN(70%,IF($I60&lt;=-15%,10%,IF($I60&lt;=-10%,30%,IF($M60&gt;=4,10%,IF($M60&gt;=3,30%,IF($J60="强",IF($K60="A",70%,IF($K60="B",60%,40%)),IF($J60="中性",IF($K60="A",50%,IF($K60="B",40%,25%)),IF($K60="A",30%,IF($K60="B",20%,10%))))))))))</f>
        <v/>
      </c>
      <c r="O55" s="36" t="str">
        <f aca="false">IF($B60="","",IF(B60&lt;30000,35%,IF(B60&lt;50000,30%,IF(B60&lt;100000,25%,20%))))</f>
        <v/>
      </c>
      <c r="P55" s="38" t="str">
        <f aca="false">IF($A60="","",COUNTIFS(持仓表!$A:$A,$A60,持仓表!$G:$G,"&gt;0"))</f>
        <v/>
      </c>
      <c r="Q55" s="38" t="str">
        <f aca="false">IF($A60="","",COUNTIFS(持仓表!$A:$A,$A60,持仓表!$D:$D,"是",持仓表!$G:$G,"&gt;0"))</f>
        <v/>
      </c>
      <c r="R55" s="38" t="str">
        <f aca="false">IF($A60="","",MAX(0,P60-Q60))</f>
        <v/>
      </c>
      <c r="S55" s="38" t="str">
        <f aca="false">IF($B60="","",IF(B60&lt;50000,3,IF(B60&lt;100000,4,5)))</f>
        <v/>
      </c>
      <c r="T55" s="39" t="str">
        <f aca="false">IF($A60="","",IF(OR(M60&gt;=4,I60&lt;=-8%),"防守",IF(OR(M60&gt;=2,I60&lt;=-5%),"警戒","正常")))</f>
        <v/>
      </c>
      <c r="U55" s="39" t="str">
        <f aca="false">IF($A60="","",IF(AND(L60&gt;=3,M60&lt;=2,T60&lt;&gt;"防守"),"是","否"))</f>
        <v/>
      </c>
      <c r="V55" s="39" t="str">
        <f aca="false">IF($A60="","",IF(AND(E60&lt;N60,R60&lt;S60,M60&lt;=2,I60&gt;-15%),"是","否"))</f>
        <v/>
      </c>
      <c r="W55" s="39" t="str">
        <f aca="false">IF($A60="","",IF(OR(M60&gt;=3,I60&lt;=-15%),"是","否"))</f>
        <v/>
      </c>
      <c r="X55" s="35" t="str">
        <f aca="false">IF($A60="","",IFERROR(maxifs(候选池!$AB:$AB,候选池!$A:$A,$A60),0))</f>
        <v/>
      </c>
      <c r="Y55" s="35" t="str">
        <f aca="false">IF($A60="","",IF(OR(M60&gt;=4,I60&lt;=-8%),MAX(0,B60*60%-C60),IF(AND(ISNUMBER(AD60),B60&gt;AD60),IF(B60&lt;30000,0,IF(B60&lt;100000,MAX(0,(B60-AD60)*0.2),MAX(0,(B60-AD60)*0.3))),0)))</f>
        <v/>
      </c>
      <c r="Z55" s="28"/>
      <c r="AA55" s="39" t="str">
        <f aca="false">IF($A60="","",IF($AA$2&lt;&gt;"",$AA$2,""))</f>
        <v/>
      </c>
      <c r="AB55" s="28" t="str">
        <f aca="false">IF($A60="","",IF(B60&lt;30000,0.03,IF(B60&lt;100000,0.02,0.015)))</f>
        <v/>
      </c>
      <c r="AC55" s="38" t="str">
        <f aca="false">IF($A60="","",IFERROR(DATEDIF($A$2,$A60,"m"),0))</f>
        <v/>
      </c>
      <c r="AD55" s="35" t="str">
        <f aca="false">IF($A60="","",IF(OR(AA60="",AB60="",AC60=""),"",AA60*POWER(1+AB60,AC60)))</f>
        <v/>
      </c>
      <c r="AE55" s="41" t="str">
        <f aca="false">IF($A60="","",IF(OR(AD60="",AD60=0),"",B60/AD60-1))</f>
        <v/>
      </c>
      <c r="AG55" s="1" t="str">
        <f aca="false">IF($A60="","",IF(B60&lt;30000,"婴儿",IF(B60&lt;100000,"成长","成熟")))</f>
        <v/>
      </c>
      <c r="AH55" s="42"/>
      <c r="AJ55" s="42"/>
      <c r="AK55" s="42"/>
      <c r="AM55" s="42"/>
      <c r="AP55" s="32"/>
      <c r="AQ55" s="43" t="str">
        <f aca="false">IF($A60="","",B60-$AA$2-SUM($F$2:F60))</f>
        <v/>
      </c>
      <c r="AR55" s="1" t="str">
        <f aca="false">IF($A59="","",30000)</f>
        <v/>
      </c>
      <c r="AS55" s="1" t="str">
        <f aca="false">IF($A59="","",AR59-B59)</f>
        <v/>
      </c>
      <c r="AT55" s="1" t="str">
        <f aca="false">IF($A59="","",IFERROR(B59/AR59,0))</f>
        <v/>
      </c>
      <c r="AU55" s="1" t="str">
        <f aca="false">IF($A59="","",IFERROR(B59*O59,0))</f>
        <v/>
      </c>
      <c r="AV55" s="1" t="str">
        <f aca="false">IF($A59="","",IFERROR(C59/B59,0))</f>
        <v/>
      </c>
      <c r="AW55" s="1" t="str">
        <f aca="false">IF($A59="","",MAX(0,R59-S59))</f>
        <v/>
      </c>
      <c r="AX55" s="1" t="str">
        <f aca="false">IF($A59="","",IF(AW59&gt;0,"优先降持仓数",IF(C59&lt;=0,"现金不足","允许评估")))</f>
        <v/>
      </c>
      <c r="AY55" s="1" t="str">
        <f aca="false">IF($A59="","",IF(B59&lt;30000,"婴儿阶段: 优先活下来,禁止单票失控,限制持仓数,服务3W目标","幼儿阶段达成"))</f>
        <v/>
      </c>
    </row>
    <row r="56" customFormat="false" ht="15" hidden="false" customHeight="true" outlineLevel="0" collapsed="false">
      <c r="A56" s="30"/>
      <c r="B56" s="44"/>
      <c r="C56" s="44"/>
      <c r="D56" s="35" t="str">
        <f aca="false">IF($A61="","",SUMIFS(持仓表!$J:$J,持仓表!$A:$A,$A61))</f>
        <v/>
      </c>
      <c r="E56" s="36" t="n">
        <f aca="false">IFERROR(D61/B61,0)</f>
        <v>0</v>
      </c>
      <c r="F56" s="44"/>
      <c r="G56" s="35" t="str">
        <f aca="false">IF($B61="","",MAX($B$2:B61))</f>
        <v/>
      </c>
      <c r="H56" s="36" t="n">
        <f aca="false">IFERROR((B61-F61)/F61,0)</f>
        <v>0</v>
      </c>
      <c r="I56" s="36" t="n">
        <f aca="false">IFERROR((B61-G61)/G61,0)</f>
        <v>0</v>
      </c>
      <c r="J56" s="30"/>
      <c r="K56" s="31"/>
      <c r="L56" s="45"/>
      <c r="M56" s="45"/>
      <c r="N56" s="36" t="str">
        <f aca="false">IF($B61="","",MIN(70%,IF($I61&lt;=-15%,10%,IF($I61&lt;=-10%,30%,IF($M61&gt;=4,10%,IF($M61&gt;=3,30%,IF($J61="强",IF($K61="A",70%,IF($K61="B",60%,40%)),IF($J61="中性",IF($K61="A",50%,IF($K61="B",40%,25%)),IF($K61="A",30%,IF($K61="B",20%,10%))))))))))</f>
        <v/>
      </c>
      <c r="O56" s="36" t="str">
        <f aca="false">IF($B61="","",IF(B61&lt;30000,35%,IF(B61&lt;50000,30%,IF(B61&lt;100000,25%,20%))))</f>
        <v/>
      </c>
      <c r="P56" s="38" t="str">
        <f aca="false">IF($A61="","",COUNTIFS(持仓表!$A:$A,$A61,持仓表!$G:$G,"&gt;0"))</f>
        <v/>
      </c>
      <c r="Q56" s="38" t="str">
        <f aca="false">IF($A61="","",COUNTIFS(持仓表!$A:$A,$A61,持仓表!$D:$D,"是",持仓表!$G:$G,"&gt;0"))</f>
        <v/>
      </c>
      <c r="R56" s="38" t="str">
        <f aca="false">IF($A61="","",MAX(0,P61-Q61))</f>
        <v/>
      </c>
      <c r="S56" s="38" t="str">
        <f aca="false">IF($B61="","",IF(B61&lt;50000,3,IF(B61&lt;100000,4,5)))</f>
        <v/>
      </c>
      <c r="T56" s="39" t="str">
        <f aca="false">IF($A61="","",IF(OR(M61&gt;=4,I61&lt;=-8%),"防守",IF(OR(M61&gt;=2,I61&lt;=-5%),"警戒","正常")))</f>
        <v/>
      </c>
      <c r="U56" s="39" t="str">
        <f aca="false">IF($A61="","",IF(AND(L61&gt;=3,M61&lt;=2,T61&lt;&gt;"防守"),"是","否"))</f>
        <v/>
      </c>
      <c r="V56" s="39" t="str">
        <f aca="false">IF($A61="","",IF(AND(E61&lt;N61,R61&lt;S61,M61&lt;=2,I61&gt;-15%),"是","否"))</f>
        <v/>
      </c>
      <c r="W56" s="39" t="str">
        <f aca="false">IF($A61="","",IF(OR(M61&gt;=3,I61&lt;=-15%),"是","否"))</f>
        <v/>
      </c>
      <c r="X56" s="35" t="str">
        <f aca="false">IF($A61="","",IFERROR(maxifs(候选池!$AB:$AB,候选池!$A:$A,$A61),0))</f>
        <v/>
      </c>
      <c r="Y56" s="35" t="str">
        <f aca="false">IF($A61="","",IF(OR(M61&gt;=4,I61&lt;=-8%),MAX(0,B61*60%-C61),IF(AND(ISNUMBER(AD61),B61&gt;AD61),IF(B61&lt;30000,0,IF(B61&lt;100000,MAX(0,(B61-AD61)*0.2),MAX(0,(B61-AD61)*0.3))),0)))</f>
        <v/>
      </c>
      <c r="Z56" s="30"/>
      <c r="AA56" s="39" t="str">
        <f aca="false">IF($A61="","",IF($AA$2&lt;&gt;"",$AA$2,""))</f>
        <v/>
      </c>
      <c r="AB56" s="30" t="str">
        <f aca="false">IF($A61="","",IF(B61&lt;30000,0.03,IF(B61&lt;100000,0.02,0.015)))</f>
        <v/>
      </c>
      <c r="AC56" s="38" t="str">
        <f aca="false">IF($A61="","",IFERROR(DATEDIF($A$2,$A61,"m"),0))</f>
        <v/>
      </c>
      <c r="AD56" s="35" t="str">
        <f aca="false">IF($A61="","",IF(OR(AA61="",AB61="",AC61=""),"",AA61*POWER(1+AB61,AC61)))</f>
        <v/>
      </c>
      <c r="AE56" s="47" t="str">
        <f aca="false">IF($A61="","",IF(OR(AD61="",AD61=0),"",B61/AD61-1))</f>
        <v/>
      </c>
      <c r="AG56" s="1" t="str">
        <f aca="false">IF($A61="","",IF(B61&lt;30000,"婴儿",IF(B61&lt;100000,"成长","成熟")))</f>
        <v/>
      </c>
      <c r="AH56" s="42"/>
      <c r="AJ56" s="42"/>
      <c r="AK56" s="42"/>
      <c r="AM56" s="42"/>
      <c r="AP56" s="32"/>
      <c r="AQ56" s="43" t="str">
        <f aca="false">IF($A61="","",B61-$AA$2-SUM($F$2:F61))</f>
        <v/>
      </c>
      <c r="AR56" s="1" t="str">
        <f aca="false">IF($A60="","",30000)</f>
        <v/>
      </c>
      <c r="AS56" s="1" t="str">
        <f aca="false">IF($A60="","",AR60-B60)</f>
        <v/>
      </c>
      <c r="AT56" s="1" t="str">
        <f aca="false">IF($A60="","",IFERROR(B60/AR60,0))</f>
        <v/>
      </c>
      <c r="AU56" s="1" t="str">
        <f aca="false">IF($A60="","",IFERROR(B60*O60,0))</f>
        <v/>
      </c>
      <c r="AV56" s="1" t="str">
        <f aca="false">IF($A60="","",IFERROR(C60/B60,0))</f>
        <v/>
      </c>
      <c r="AW56" s="1" t="str">
        <f aca="false">IF($A60="","",MAX(0,R60-S60))</f>
        <v/>
      </c>
      <c r="AX56" s="1" t="str">
        <f aca="false">IF($A60="","",IF(AW60&gt;0,"优先降持仓数",IF(C60&lt;=0,"现金不足","允许评估")))</f>
        <v/>
      </c>
      <c r="AY56" s="1" t="str">
        <f aca="false">IF($A60="","",IF(B60&lt;30000,"婴儿阶段: 优先活下来,禁止单票失控,限制持仓数,服务3W目标","幼儿阶段达成"))</f>
        <v/>
      </c>
    </row>
    <row r="57" customFormat="false" ht="15" hidden="false" customHeight="true" outlineLevel="0" collapsed="false">
      <c r="A57" s="28"/>
      <c r="B57" s="34"/>
      <c r="C57" s="34"/>
      <c r="D57" s="35" t="str">
        <f aca="false">IF($A62="","",SUMIFS(持仓表!$J:$J,持仓表!$A:$A,$A62))</f>
        <v/>
      </c>
      <c r="E57" s="36" t="n">
        <f aca="false">IFERROR(D62/B62,0)</f>
        <v>0</v>
      </c>
      <c r="F57" s="34"/>
      <c r="G57" s="35" t="str">
        <f aca="false">IF($B62="","",MAX($B$2:B62))</f>
        <v/>
      </c>
      <c r="H57" s="36" t="n">
        <f aca="false">IFERROR((B62-F62)/F62,0)</f>
        <v>0</v>
      </c>
      <c r="I57" s="36" t="n">
        <f aca="false">IFERROR((B62-G62)/G62,0)</f>
        <v>0</v>
      </c>
      <c r="J57" s="28"/>
      <c r="K57" s="29"/>
      <c r="L57" s="37"/>
      <c r="M57" s="37"/>
      <c r="N57" s="36" t="str">
        <f aca="false">IF($B62="","",MIN(70%,IF($I62&lt;=-15%,10%,IF($I62&lt;=-10%,30%,IF($M62&gt;=4,10%,IF($M62&gt;=3,30%,IF($J62="强",IF($K62="A",70%,IF($K62="B",60%,40%)),IF($J62="中性",IF($K62="A",50%,IF($K62="B",40%,25%)),IF($K62="A",30%,IF($K62="B",20%,10%))))))))))</f>
        <v/>
      </c>
      <c r="O57" s="36" t="str">
        <f aca="false">IF($B62="","",IF(B62&lt;30000,35%,IF(B62&lt;50000,30%,IF(B62&lt;100000,25%,20%))))</f>
        <v/>
      </c>
      <c r="P57" s="38" t="str">
        <f aca="false">IF($A62="","",COUNTIFS(持仓表!$A:$A,$A62,持仓表!$G:$G,"&gt;0"))</f>
        <v/>
      </c>
      <c r="Q57" s="38" t="str">
        <f aca="false">IF($A62="","",COUNTIFS(持仓表!$A:$A,$A62,持仓表!$D:$D,"是",持仓表!$G:$G,"&gt;0"))</f>
        <v/>
      </c>
      <c r="R57" s="38" t="str">
        <f aca="false">IF($A62="","",MAX(0,P62-Q62))</f>
        <v/>
      </c>
      <c r="S57" s="38" t="str">
        <f aca="false">IF($B62="","",IF(B62&lt;50000,3,IF(B62&lt;100000,4,5)))</f>
        <v/>
      </c>
      <c r="T57" s="39" t="str">
        <f aca="false">IF($A62="","",IF(OR(M62&gt;=4,I62&lt;=-8%),"防守",IF(OR(M62&gt;=2,I62&lt;=-5%),"警戒","正常")))</f>
        <v/>
      </c>
      <c r="U57" s="39" t="str">
        <f aca="false">IF($A62="","",IF(AND(L62&gt;=3,M62&lt;=2,T62&lt;&gt;"防守"),"是","否"))</f>
        <v/>
      </c>
      <c r="V57" s="39" t="str">
        <f aca="false">IF($A62="","",IF(AND(E62&lt;N62,R62&lt;S62,M62&lt;=2,I62&gt;-15%),"是","否"))</f>
        <v/>
      </c>
      <c r="W57" s="39" t="str">
        <f aca="false">IF($A62="","",IF(OR(M62&gt;=3,I62&lt;=-15%),"是","否"))</f>
        <v/>
      </c>
      <c r="X57" s="35" t="str">
        <f aca="false">IF($A62="","",IFERROR(maxifs(候选池!$AB:$AB,候选池!$A:$A,$A62),0))</f>
        <v/>
      </c>
      <c r="Y57" s="35" t="str">
        <f aca="false">IF($A62="","",IF(OR(M62&gt;=4,I62&lt;=-8%),MAX(0,B62*60%-C62),IF(AND(ISNUMBER(AD62),B62&gt;AD62),IF(B62&lt;30000,0,IF(B62&lt;100000,MAX(0,(B62-AD62)*0.2),MAX(0,(B62-AD62)*0.3))),0)))</f>
        <v/>
      </c>
      <c r="Z57" s="28"/>
      <c r="AA57" s="39" t="str">
        <f aca="false">IF($A62="","",IF($AA$2&lt;&gt;"",$AA$2,""))</f>
        <v/>
      </c>
      <c r="AB57" s="28" t="str">
        <f aca="false">IF($A62="","",IF(B62&lt;30000,0.03,IF(B62&lt;100000,0.02,0.015)))</f>
        <v/>
      </c>
      <c r="AC57" s="38" t="str">
        <f aca="false">IF($A62="","",IFERROR(DATEDIF($A$2,$A62,"m"),0))</f>
        <v/>
      </c>
      <c r="AD57" s="35" t="str">
        <f aca="false">IF($A62="","",IF(OR(AA62="",AB62="",AC62=""),"",AA62*POWER(1+AB62,AC62)))</f>
        <v/>
      </c>
      <c r="AE57" s="41" t="str">
        <f aca="false">IF($A62="","",IF(OR(AD62="",AD62=0),"",B62/AD62-1))</f>
        <v/>
      </c>
      <c r="AG57" s="1" t="str">
        <f aca="false">IF($A62="","",IF(B62&lt;30000,"婴儿",IF(B62&lt;100000,"成长","成熟")))</f>
        <v/>
      </c>
      <c r="AH57" s="42"/>
      <c r="AJ57" s="42"/>
      <c r="AK57" s="42"/>
      <c r="AM57" s="42"/>
      <c r="AP57" s="32"/>
      <c r="AQ57" s="43" t="str">
        <f aca="false">IF($A62="","",B62-$AA$2-SUM($F$2:F62))</f>
        <v/>
      </c>
      <c r="AR57" s="1" t="str">
        <f aca="false">IF($A61="","",30000)</f>
        <v/>
      </c>
      <c r="AS57" s="1" t="str">
        <f aca="false">IF($A61="","",AR61-B61)</f>
        <v/>
      </c>
      <c r="AT57" s="1" t="str">
        <f aca="false">IF($A61="","",IFERROR(B61/AR61,0))</f>
        <v/>
      </c>
      <c r="AU57" s="1" t="str">
        <f aca="false">IF($A61="","",IFERROR(B61*O61,0))</f>
        <v/>
      </c>
      <c r="AV57" s="1" t="str">
        <f aca="false">IF($A61="","",IFERROR(C61/B61,0))</f>
        <v/>
      </c>
      <c r="AW57" s="1" t="str">
        <f aca="false">IF($A61="","",MAX(0,R61-S61))</f>
        <v/>
      </c>
      <c r="AX57" s="1" t="str">
        <f aca="false">IF($A61="","",IF(AW61&gt;0,"优先降持仓数",IF(C61&lt;=0,"现金不足","允许评估")))</f>
        <v/>
      </c>
      <c r="AY57" s="1" t="str">
        <f aca="false">IF($A61="","",IF(B61&lt;30000,"婴儿阶段: 优先活下来,禁止单票失控,限制持仓数,服务3W目标","幼儿阶段达成"))</f>
        <v/>
      </c>
    </row>
    <row r="58" customFormat="false" ht="15" hidden="false" customHeight="true" outlineLevel="0" collapsed="false">
      <c r="A58" s="30"/>
      <c r="B58" s="44"/>
      <c r="C58" s="44"/>
      <c r="D58" s="35" t="str">
        <f aca="false">IF($A63="","",SUMIFS(持仓表!$J:$J,持仓表!$A:$A,$A63))</f>
        <v/>
      </c>
      <c r="E58" s="36" t="n">
        <f aca="false">IFERROR(D63/B63,0)</f>
        <v>0</v>
      </c>
      <c r="F58" s="44"/>
      <c r="G58" s="35" t="str">
        <f aca="false">IF($B63="","",MAX($B$2:B63))</f>
        <v/>
      </c>
      <c r="H58" s="36" t="n">
        <f aca="false">IFERROR((B63-F63)/F63,0)</f>
        <v>0</v>
      </c>
      <c r="I58" s="36" t="n">
        <f aca="false">IFERROR((B63-G63)/G63,0)</f>
        <v>0</v>
      </c>
      <c r="J58" s="30"/>
      <c r="K58" s="31"/>
      <c r="L58" s="45"/>
      <c r="M58" s="45"/>
      <c r="N58" s="36" t="str">
        <f aca="false">IF($B63="","",MIN(70%,IF($I63&lt;=-15%,10%,IF($I63&lt;=-10%,30%,IF($M63&gt;=4,10%,IF($M63&gt;=3,30%,IF($J63="强",IF($K63="A",70%,IF($K63="B",60%,40%)),IF($J63="中性",IF($K63="A",50%,IF($K63="B",40%,25%)),IF($K63="A",30%,IF($K63="B",20%,10%))))))))))</f>
        <v/>
      </c>
      <c r="O58" s="36" t="str">
        <f aca="false">IF($B63="","",IF(B63&lt;30000,35%,IF(B63&lt;50000,30%,IF(B63&lt;100000,25%,20%))))</f>
        <v/>
      </c>
      <c r="P58" s="38" t="str">
        <f aca="false">IF($A63="","",COUNTIFS(持仓表!$A:$A,$A63,持仓表!$G:$G,"&gt;0"))</f>
        <v/>
      </c>
      <c r="Q58" s="38" t="str">
        <f aca="false">IF($A63="","",COUNTIFS(持仓表!$A:$A,$A63,持仓表!$D:$D,"是",持仓表!$G:$G,"&gt;0"))</f>
        <v/>
      </c>
      <c r="R58" s="38" t="str">
        <f aca="false">IF($A63="","",MAX(0,P63-Q63))</f>
        <v/>
      </c>
      <c r="S58" s="38" t="str">
        <f aca="false">IF($B63="","",IF(B63&lt;50000,3,IF(B63&lt;100000,4,5)))</f>
        <v/>
      </c>
      <c r="T58" s="39" t="str">
        <f aca="false">IF($A63="","",IF(OR(M63&gt;=4,I63&lt;=-8%),"防守",IF(OR(M63&gt;=2,I63&lt;=-5%),"警戒","正常")))</f>
        <v/>
      </c>
      <c r="U58" s="39" t="str">
        <f aca="false">IF($A63="","",IF(AND(L63&gt;=3,M63&lt;=2,T63&lt;&gt;"防守"),"是","否"))</f>
        <v/>
      </c>
      <c r="V58" s="39" t="str">
        <f aca="false">IF($A63="","",IF(AND(E63&lt;N63,R63&lt;S63,M63&lt;=2,I63&gt;-15%),"是","否"))</f>
        <v/>
      </c>
      <c r="W58" s="39" t="str">
        <f aca="false">IF($A63="","",IF(OR(M63&gt;=3,I63&lt;=-15%),"是","否"))</f>
        <v/>
      </c>
      <c r="X58" s="35" t="str">
        <f aca="false">IF($A63="","",IFERROR(maxifs(候选池!$AB:$AB,候选池!$A:$A,$A63),0))</f>
        <v/>
      </c>
      <c r="Y58" s="35" t="str">
        <f aca="false">IF($A63="","",IF(OR(M63&gt;=4,I63&lt;=-8%),MAX(0,B63*60%-C63),IF(AND(ISNUMBER(AD63),B63&gt;AD63),IF(B63&lt;30000,0,IF(B63&lt;100000,MAX(0,(B63-AD63)*0.2),MAX(0,(B63-AD63)*0.3))),0)))</f>
        <v/>
      </c>
      <c r="Z58" s="30"/>
      <c r="AA58" s="39" t="str">
        <f aca="false">IF($A63="","",IF($AA$2&lt;&gt;"",$AA$2,""))</f>
        <v/>
      </c>
      <c r="AB58" s="30" t="str">
        <f aca="false">IF($A63="","",IF(B63&lt;30000,0.03,IF(B63&lt;100000,0.02,0.015)))</f>
        <v/>
      </c>
      <c r="AC58" s="38" t="str">
        <f aca="false">IF($A63="","",IFERROR(DATEDIF($A$2,$A63,"m"),0))</f>
        <v/>
      </c>
      <c r="AD58" s="35" t="str">
        <f aca="false">IF($A63="","",IF(OR(AA63="",AB63="",AC63=""),"",AA63*POWER(1+AB63,AC63)))</f>
        <v/>
      </c>
      <c r="AE58" s="47" t="str">
        <f aca="false">IF($A63="","",IF(OR(AD63="",AD63=0),"",B63/AD63-1))</f>
        <v/>
      </c>
      <c r="AG58" s="1" t="str">
        <f aca="false">IF($A63="","",IF(B63&lt;30000,"婴儿",IF(B63&lt;100000,"成长","成熟")))</f>
        <v/>
      </c>
      <c r="AH58" s="42"/>
      <c r="AJ58" s="42"/>
      <c r="AK58" s="42"/>
      <c r="AM58" s="42"/>
      <c r="AP58" s="32"/>
      <c r="AQ58" s="43" t="str">
        <f aca="false">IF($A63="","",B63-$AA$2-SUM($F$2:F63))</f>
        <v/>
      </c>
      <c r="AR58" s="1" t="str">
        <f aca="false">IF($A62="","",30000)</f>
        <v/>
      </c>
      <c r="AS58" s="1" t="str">
        <f aca="false">IF($A62="","",AR62-B62)</f>
        <v/>
      </c>
      <c r="AT58" s="1" t="str">
        <f aca="false">IF($A62="","",IFERROR(B62/AR62,0))</f>
        <v/>
      </c>
      <c r="AU58" s="1" t="str">
        <f aca="false">IF($A62="","",IFERROR(B62*O62,0))</f>
        <v/>
      </c>
      <c r="AV58" s="1" t="str">
        <f aca="false">IF($A62="","",IFERROR(C62/B62,0))</f>
        <v/>
      </c>
      <c r="AW58" s="1" t="str">
        <f aca="false">IF($A62="","",MAX(0,R62-S62))</f>
        <v/>
      </c>
      <c r="AX58" s="1" t="str">
        <f aca="false">IF($A62="","",IF(AW62&gt;0,"优先降持仓数",IF(C62&lt;=0,"现金不足","允许评估")))</f>
        <v/>
      </c>
      <c r="AY58" s="1" t="str">
        <f aca="false">IF($A62="","",IF(B62&lt;30000,"婴儿阶段: 优先活下来,禁止单票失控,限制持仓数,服务3W目标","幼儿阶段达成"))</f>
        <v/>
      </c>
    </row>
    <row r="59" customFormat="false" ht="15" hidden="false" customHeight="true" outlineLevel="0" collapsed="false">
      <c r="A59" s="28"/>
      <c r="B59" s="34"/>
      <c r="C59" s="34"/>
      <c r="D59" s="35" t="str">
        <f aca="false">IF($A64="","",SUMIFS(持仓表!$J:$J,持仓表!$A:$A,$A64))</f>
        <v/>
      </c>
      <c r="E59" s="36" t="n">
        <f aca="false">IFERROR(D64/B64,0)</f>
        <v>0</v>
      </c>
      <c r="F59" s="34"/>
      <c r="G59" s="35" t="str">
        <f aca="false">IF($B64="","",MAX($B$2:B64))</f>
        <v/>
      </c>
      <c r="H59" s="36" t="n">
        <f aca="false">IFERROR((B64-F64)/F64,0)</f>
        <v>0</v>
      </c>
      <c r="I59" s="36" t="n">
        <f aca="false">IFERROR((B64-G64)/G64,0)</f>
        <v>0</v>
      </c>
      <c r="J59" s="28"/>
      <c r="K59" s="29"/>
      <c r="L59" s="37"/>
      <c r="M59" s="37"/>
      <c r="N59" s="36" t="str">
        <f aca="false">IF($B64="","",MIN(70%,IF($I64&lt;=-15%,10%,IF($I64&lt;=-10%,30%,IF($M64&gt;=4,10%,IF($M64&gt;=3,30%,IF($J64="强",IF($K64="A",70%,IF($K64="B",60%,40%)),IF($J64="中性",IF($K64="A",50%,IF($K64="B",40%,25%)),IF($K64="A",30%,IF($K64="B",20%,10%))))))))))</f>
        <v/>
      </c>
      <c r="O59" s="36" t="str">
        <f aca="false">IF($B64="","",IF(B64&lt;30000,35%,IF(B64&lt;50000,30%,IF(B64&lt;100000,25%,20%))))</f>
        <v/>
      </c>
      <c r="P59" s="38" t="str">
        <f aca="false">IF($A64="","",COUNTIFS(持仓表!$A:$A,$A64,持仓表!$G:$G,"&gt;0"))</f>
        <v/>
      </c>
      <c r="Q59" s="38" t="str">
        <f aca="false">IF($A64="","",COUNTIFS(持仓表!$A:$A,$A64,持仓表!$D:$D,"是",持仓表!$G:$G,"&gt;0"))</f>
        <v/>
      </c>
      <c r="R59" s="38" t="str">
        <f aca="false">IF($A64="","",MAX(0,P64-Q64))</f>
        <v/>
      </c>
      <c r="S59" s="38" t="str">
        <f aca="false">IF($B64="","",IF(B64&lt;50000,3,IF(B64&lt;100000,4,5)))</f>
        <v/>
      </c>
      <c r="T59" s="39" t="str">
        <f aca="false">IF($A64="","",IF(OR(M64&gt;=4,I64&lt;=-8%),"防守",IF(OR(M64&gt;=2,I64&lt;=-5%),"警戒","正常")))</f>
        <v/>
      </c>
      <c r="U59" s="39" t="str">
        <f aca="false">IF($A64="","",IF(AND(L64&gt;=3,M64&lt;=2,T64&lt;&gt;"防守"),"是","否"))</f>
        <v/>
      </c>
      <c r="V59" s="39" t="str">
        <f aca="false">IF($A64="","",IF(AND(E64&lt;N64,R64&lt;S64,M64&lt;=2,I64&gt;-15%),"是","否"))</f>
        <v/>
      </c>
      <c r="W59" s="39" t="str">
        <f aca="false">IF($A64="","",IF(OR(M64&gt;=3,I64&lt;=-15%),"是","否"))</f>
        <v/>
      </c>
      <c r="X59" s="35" t="str">
        <f aca="false">IF($A64="","",IFERROR(maxifs(候选池!$AB:$AB,候选池!$A:$A,$A64),0))</f>
        <v/>
      </c>
      <c r="Y59" s="35" t="str">
        <f aca="false">IF($A64="","",IF(OR(M64&gt;=4,I64&lt;=-8%),MAX(0,B64*60%-C64),IF(AND(ISNUMBER(AD64),B64&gt;AD64),IF(B64&lt;30000,0,IF(B64&lt;100000,MAX(0,(B64-AD64)*0.2),MAX(0,(B64-AD64)*0.3))),0)))</f>
        <v/>
      </c>
      <c r="Z59" s="28"/>
      <c r="AA59" s="39" t="str">
        <f aca="false">IF($A64="","",IF($AA$2&lt;&gt;"",$AA$2,""))</f>
        <v/>
      </c>
      <c r="AB59" s="28" t="str">
        <f aca="false">IF($A64="","",IF(B64&lt;30000,0.03,IF(B64&lt;100000,0.02,0.015)))</f>
        <v/>
      </c>
      <c r="AC59" s="38" t="str">
        <f aca="false">IF($A64="","",IFERROR(DATEDIF($A$2,$A64,"m"),0))</f>
        <v/>
      </c>
      <c r="AD59" s="35" t="str">
        <f aca="false">IF($A64="","",IF(OR(AA64="",AB64="",AC64=""),"",AA64*POWER(1+AB64,AC64)))</f>
        <v/>
      </c>
      <c r="AE59" s="41" t="str">
        <f aca="false">IF($A64="","",IF(OR(AD64="",AD64=0),"",B64/AD64-1))</f>
        <v/>
      </c>
      <c r="AG59" s="1" t="str">
        <f aca="false">IF($A64="","",IF(B64&lt;30000,"婴儿",IF(B64&lt;100000,"成长","成熟")))</f>
        <v/>
      </c>
      <c r="AH59" s="42"/>
      <c r="AJ59" s="42"/>
      <c r="AK59" s="42"/>
      <c r="AM59" s="42"/>
      <c r="AP59" s="32"/>
      <c r="AQ59" s="43" t="str">
        <f aca="false">IF($A64="","",B64-$AA$2-SUM($F$2:F64))</f>
        <v/>
      </c>
      <c r="AR59" s="1" t="str">
        <f aca="false">IF($A63="","",30000)</f>
        <v/>
      </c>
      <c r="AS59" s="1" t="str">
        <f aca="false">IF($A63="","",AR63-B63)</f>
        <v/>
      </c>
      <c r="AT59" s="1" t="str">
        <f aca="false">IF($A63="","",IFERROR(B63/AR63,0))</f>
        <v/>
      </c>
      <c r="AU59" s="1" t="str">
        <f aca="false">IF($A63="","",IFERROR(B63*O63,0))</f>
        <v/>
      </c>
      <c r="AV59" s="1" t="str">
        <f aca="false">IF($A63="","",IFERROR(C63/B63,0))</f>
        <v/>
      </c>
      <c r="AW59" s="1" t="str">
        <f aca="false">IF($A63="","",MAX(0,R63-S63))</f>
        <v/>
      </c>
      <c r="AX59" s="1" t="str">
        <f aca="false">IF($A63="","",IF(AW63&gt;0,"优先降持仓数",IF(C63&lt;=0,"现金不足","允许评估")))</f>
        <v/>
      </c>
      <c r="AY59" s="1" t="str">
        <f aca="false">IF($A63="","",IF(B63&lt;30000,"婴儿阶段: 优先活下来,禁止单票失控,限制持仓数,服务3W目标","幼儿阶段达成"))</f>
        <v/>
      </c>
    </row>
    <row r="60" customFormat="false" ht="15" hidden="false" customHeight="true" outlineLevel="0" collapsed="false">
      <c r="A60" s="30"/>
      <c r="B60" s="44"/>
      <c r="C60" s="44"/>
      <c r="D60" s="35" t="str">
        <f aca="false">IF($A65="","",SUMIFS(持仓表!$J:$J,持仓表!$A:$A,$A65))</f>
        <v/>
      </c>
      <c r="E60" s="36" t="n">
        <f aca="false">IFERROR(D65/B65,0)</f>
        <v>0</v>
      </c>
      <c r="F60" s="44"/>
      <c r="G60" s="35" t="str">
        <f aca="false">IF($B65="","",MAX($B$2:B65))</f>
        <v/>
      </c>
      <c r="H60" s="36" t="n">
        <f aca="false">IFERROR((B65-F65)/F65,0)</f>
        <v>0</v>
      </c>
      <c r="I60" s="36" t="n">
        <f aca="false">IFERROR((B65-G65)/G65,0)</f>
        <v>0</v>
      </c>
      <c r="J60" s="30"/>
      <c r="K60" s="31"/>
      <c r="L60" s="45"/>
      <c r="M60" s="45"/>
      <c r="N60" s="36" t="str">
        <f aca="false">IF($B65="","",MIN(70%,IF($I65&lt;=-15%,10%,IF($I65&lt;=-10%,30%,IF($M65&gt;=4,10%,IF($M65&gt;=3,30%,IF($J65="强",IF($K65="A",70%,IF($K65="B",60%,40%)),IF($J65="中性",IF($K65="A",50%,IF($K65="B",40%,25%)),IF($K65="A",30%,IF($K65="B",20%,10%))))))))))</f>
        <v/>
      </c>
      <c r="O60" s="36" t="str">
        <f aca="false">IF($B65="","",IF(B65&lt;30000,35%,IF(B65&lt;50000,30%,IF(B65&lt;100000,25%,20%))))</f>
        <v/>
      </c>
      <c r="P60" s="38" t="str">
        <f aca="false">IF($A65="","",COUNTIFS(持仓表!$A:$A,$A65,持仓表!$G:$G,"&gt;0"))</f>
        <v/>
      </c>
      <c r="Q60" s="38" t="str">
        <f aca="false">IF($A65="","",COUNTIFS(持仓表!$A:$A,$A65,持仓表!$D:$D,"是",持仓表!$G:$G,"&gt;0"))</f>
        <v/>
      </c>
      <c r="R60" s="38" t="str">
        <f aca="false">IF($A65="","",MAX(0,P65-Q65))</f>
        <v/>
      </c>
      <c r="S60" s="38" t="str">
        <f aca="false">IF($B65="","",IF(B65&lt;50000,3,IF(B65&lt;100000,4,5)))</f>
        <v/>
      </c>
      <c r="T60" s="39" t="str">
        <f aca="false">IF($A65="","",IF(OR(M65&gt;=4,I65&lt;=-8%),"防守",IF(OR(M65&gt;=2,I65&lt;=-5%),"警戒","正常")))</f>
        <v/>
      </c>
      <c r="U60" s="39" t="str">
        <f aca="false">IF($A65="","",IF(AND(L65&gt;=3,M65&lt;=2,T65&lt;&gt;"防守"),"是","否"))</f>
        <v/>
      </c>
      <c r="V60" s="39" t="str">
        <f aca="false">IF($A65="","",IF(AND(E65&lt;N65,R65&lt;S65,M65&lt;=2,I65&gt;-15%),"是","否"))</f>
        <v/>
      </c>
      <c r="W60" s="39" t="str">
        <f aca="false">IF($A65="","",IF(OR(M65&gt;=3,I65&lt;=-15%),"是","否"))</f>
        <v/>
      </c>
      <c r="X60" s="35" t="str">
        <f aca="false">IF($A65="","",IFERROR(maxifs(候选池!$AB:$AB,候选池!$A:$A,$A65),0))</f>
        <v/>
      </c>
      <c r="Y60" s="35" t="str">
        <f aca="false">IF($A65="","",IF(OR(M65&gt;=4,I65&lt;=-8%),MAX(0,B65*60%-C65),IF(AND(ISNUMBER(AD65),B65&gt;AD65),IF(B65&lt;30000,0,IF(B65&lt;100000,MAX(0,(B65-AD65)*0.2),MAX(0,(B65-AD65)*0.3))),0)))</f>
        <v/>
      </c>
      <c r="Z60" s="30"/>
      <c r="AA60" s="39" t="str">
        <f aca="false">IF($A65="","",IF($AA$2&lt;&gt;"",$AA$2,""))</f>
        <v/>
      </c>
      <c r="AB60" s="30" t="str">
        <f aca="false">IF($A65="","",IF(B65&lt;30000,0.03,IF(B65&lt;100000,0.02,0.015)))</f>
        <v/>
      </c>
      <c r="AC60" s="38" t="str">
        <f aca="false">IF($A65="","",IFERROR(DATEDIF($A$2,$A65,"m"),0))</f>
        <v/>
      </c>
      <c r="AD60" s="35" t="str">
        <f aca="false">IF($A65="","",IF(OR(AA65="",AB65="",AC65=""),"",AA65*POWER(1+AB65,AC65)))</f>
        <v/>
      </c>
      <c r="AE60" s="47" t="str">
        <f aca="false">IF($A65="","",IF(OR(AD65="",AD65=0),"",B65/AD65-1))</f>
        <v/>
      </c>
      <c r="AG60" s="1" t="str">
        <f aca="false">IF($A65="","",IF(B65&lt;30000,"婴儿",IF(B65&lt;100000,"成长","成熟")))</f>
        <v/>
      </c>
      <c r="AH60" s="42"/>
      <c r="AJ60" s="42"/>
      <c r="AK60" s="42"/>
      <c r="AM60" s="42"/>
      <c r="AP60" s="32"/>
      <c r="AQ60" s="43" t="str">
        <f aca="false">IF($A65="","",B65-$AA$2-SUM($F$2:F65))</f>
        <v/>
      </c>
      <c r="AR60" s="1" t="str">
        <f aca="false">IF($A64="","",30000)</f>
        <v/>
      </c>
      <c r="AS60" s="1" t="str">
        <f aca="false">IF($A64="","",AR64-B64)</f>
        <v/>
      </c>
      <c r="AT60" s="1" t="str">
        <f aca="false">IF($A64="","",IFERROR(B64/AR64,0))</f>
        <v/>
      </c>
      <c r="AU60" s="1" t="str">
        <f aca="false">IF($A64="","",IFERROR(B64*O64,0))</f>
        <v/>
      </c>
      <c r="AV60" s="1" t="str">
        <f aca="false">IF($A64="","",IFERROR(C64/B64,0))</f>
        <v/>
      </c>
      <c r="AW60" s="1" t="str">
        <f aca="false">IF($A64="","",MAX(0,R64-S64))</f>
        <v/>
      </c>
      <c r="AX60" s="1" t="str">
        <f aca="false">IF($A64="","",IF(AW64&gt;0,"优先降持仓数",IF(C64&lt;=0,"现金不足","允许评估")))</f>
        <v/>
      </c>
      <c r="AY60" s="1" t="str">
        <f aca="false">IF($A64="","",IF(B64&lt;30000,"婴儿阶段: 优先活下来,禁止单票失控,限制持仓数,服务3W目标","幼儿阶段达成"))</f>
        <v/>
      </c>
    </row>
    <row r="61" customFormat="false" ht="15" hidden="false" customHeight="true" outlineLevel="0" collapsed="false">
      <c r="A61" s="28"/>
      <c r="B61" s="34"/>
      <c r="C61" s="34"/>
      <c r="D61" s="35" t="str">
        <f aca="false">IF($A66="","",SUMIFS(持仓表!$J:$J,持仓表!$A:$A,$A66))</f>
        <v/>
      </c>
      <c r="E61" s="36" t="n">
        <f aca="false">IFERROR(D66/B66,0)</f>
        <v>0</v>
      </c>
      <c r="F61" s="34"/>
      <c r="G61" s="35" t="str">
        <f aca="false">IF($B66="","",MAX($B$2:B66))</f>
        <v/>
      </c>
      <c r="H61" s="36" t="n">
        <f aca="false">IFERROR((B66-F66)/F66,0)</f>
        <v>0</v>
      </c>
      <c r="I61" s="36" t="n">
        <f aca="false">IFERROR((B66-G66)/G66,0)</f>
        <v>0</v>
      </c>
      <c r="J61" s="28"/>
      <c r="K61" s="29"/>
      <c r="L61" s="37"/>
      <c r="M61" s="37"/>
      <c r="N61" s="36" t="str">
        <f aca="false">IF($B66="","",MIN(70%,IF($I66&lt;=-15%,10%,IF($I66&lt;=-10%,30%,IF($M66&gt;=4,10%,IF($M66&gt;=3,30%,IF($J66="强",IF($K66="A",70%,IF($K66="B",60%,40%)),IF($J66="中性",IF($K66="A",50%,IF($K66="B",40%,25%)),IF($K66="A",30%,IF($K66="B",20%,10%))))))))))</f>
        <v/>
      </c>
      <c r="O61" s="36" t="str">
        <f aca="false">IF($B66="","",IF(B66&lt;30000,35%,IF(B66&lt;50000,30%,IF(B66&lt;100000,25%,20%))))</f>
        <v/>
      </c>
      <c r="P61" s="38" t="str">
        <f aca="false">IF($A66="","",COUNTIFS(持仓表!$A:$A,$A66,持仓表!$G:$G,"&gt;0"))</f>
        <v/>
      </c>
      <c r="Q61" s="38" t="str">
        <f aca="false">IF($A66="","",COUNTIFS(持仓表!$A:$A,$A66,持仓表!$D:$D,"是",持仓表!$G:$G,"&gt;0"))</f>
        <v/>
      </c>
      <c r="R61" s="38" t="str">
        <f aca="false">IF($A66="","",MAX(0,P66-Q66))</f>
        <v/>
      </c>
      <c r="S61" s="38" t="str">
        <f aca="false">IF($B66="","",IF(B66&lt;50000,3,IF(B66&lt;100000,4,5)))</f>
        <v/>
      </c>
      <c r="T61" s="39" t="str">
        <f aca="false">IF($A66="","",IF(OR(M66&gt;=4,I66&lt;=-8%),"防守",IF(OR(M66&gt;=2,I66&lt;=-5%),"警戒","正常")))</f>
        <v/>
      </c>
      <c r="U61" s="39" t="str">
        <f aca="false">IF($A66="","",IF(AND(L66&gt;=3,M66&lt;=2,T66&lt;&gt;"防守"),"是","否"))</f>
        <v/>
      </c>
      <c r="V61" s="39" t="str">
        <f aca="false">IF($A66="","",IF(AND(E66&lt;N66,R66&lt;S66,M66&lt;=2,I66&gt;-15%),"是","否"))</f>
        <v/>
      </c>
      <c r="W61" s="39" t="str">
        <f aca="false">IF($A66="","",IF(OR(M66&gt;=3,I66&lt;=-15%),"是","否"))</f>
        <v/>
      </c>
      <c r="X61" s="35" t="str">
        <f aca="false">IF($A66="","",IFERROR(maxifs(候选池!$AB:$AB,候选池!$A:$A,$A66),0))</f>
        <v/>
      </c>
      <c r="Y61" s="35" t="str">
        <f aca="false">IF($A66="","",IF(OR(M66&gt;=4,I66&lt;=-8%),MAX(0,B66*60%-C66),IF(AND(ISNUMBER(AD66),B66&gt;AD66),IF(B66&lt;30000,0,IF(B66&lt;100000,MAX(0,(B66-AD66)*0.2),MAX(0,(B66-AD66)*0.3))),0)))</f>
        <v/>
      </c>
      <c r="Z61" s="28"/>
      <c r="AA61" s="39" t="str">
        <f aca="false">IF($A66="","",IF($AA$2&lt;&gt;"",$AA$2,""))</f>
        <v/>
      </c>
      <c r="AB61" s="28" t="str">
        <f aca="false">IF($A66="","",IF(B66&lt;30000,0.03,IF(B66&lt;100000,0.02,0.015)))</f>
        <v/>
      </c>
      <c r="AC61" s="38" t="str">
        <f aca="false">IF($A66="","",IFERROR(DATEDIF($A$2,$A66,"m"),0))</f>
        <v/>
      </c>
      <c r="AD61" s="35" t="str">
        <f aca="false">IF($A66="","",IF(OR(AA66="",AB66="",AC66=""),"",AA66*POWER(1+AB66,AC66)))</f>
        <v/>
      </c>
      <c r="AE61" s="41" t="str">
        <f aca="false">IF($A66="","",IF(OR(AD66="",AD66=0),"",B66/AD66-1))</f>
        <v/>
      </c>
      <c r="AG61" s="1" t="str">
        <f aca="false">IF($A66="","",IF(B66&lt;30000,"婴儿",IF(B66&lt;100000,"成长","成熟")))</f>
        <v/>
      </c>
      <c r="AH61" s="42"/>
      <c r="AJ61" s="42"/>
      <c r="AK61" s="42"/>
      <c r="AM61" s="42"/>
      <c r="AP61" s="32"/>
      <c r="AQ61" s="43" t="str">
        <f aca="false">IF($A66="","",B66-$AA$2-SUM($F$2:F66))</f>
        <v/>
      </c>
      <c r="AR61" s="1" t="str">
        <f aca="false">IF($A65="","",30000)</f>
        <v/>
      </c>
      <c r="AS61" s="1" t="str">
        <f aca="false">IF($A65="","",AR65-B65)</f>
        <v/>
      </c>
      <c r="AT61" s="1" t="str">
        <f aca="false">IF($A65="","",IFERROR(B65/AR65,0))</f>
        <v/>
      </c>
      <c r="AU61" s="1" t="str">
        <f aca="false">IF($A65="","",IFERROR(B65*O65,0))</f>
        <v/>
      </c>
      <c r="AV61" s="1" t="str">
        <f aca="false">IF($A65="","",IFERROR(C65/B65,0))</f>
        <v/>
      </c>
      <c r="AW61" s="1" t="str">
        <f aca="false">IF($A65="","",MAX(0,R65-S65))</f>
        <v/>
      </c>
      <c r="AX61" s="1" t="str">
        <f aca="false">IF($A65="","",IF(AW65&gt;0,"优先降持仓数",IF(C65&lt;=0,"现金不足","允许评估")))</f>
        <v/>
      </c>
      <c r="AY61" s="1" t="str">
        <f aca="false">IF($A65="","",IF(B65&lt;30000,"婴儿阶段: 优先活下来,禁止单票失控,限制持仓数,服务3W目标","幼儿阶段达成"))</f>
        <v/>
      </c>
    </row>
    <row r="62" customFormat="false" ht="15" hidden="false" customHeight="true" outlineLevel="0" collapsed="false">
      <c r="A62" s="30"/>
      <c r="B62" s="44"/>
      <c r="C62" s="44"/>
      <c r="D62" s="35" t="str">
        <f aca="false">IF($A67="","",SUMIFS(持仓表!$J:$J,持仓表!$A:$A,$A67))</f>
        <v/>
      </c>
      <c r="E62" s="36" t="n">
        <f aca="false">IFERROR(D67/B67,0)</f>
        <v>0</v>
      </c>
      <c r="F62" s="44"/>
      <c r="G62" s="35" t="str">
        <f aca="false">IF($B67="","",MAX($B$2:B67))</f>
        <v/>
      </c>
      <c r="H62" s="36" t="n">
        <f aca="false">IFERROR((B67-F67)/F67,0)</f>
        <v>0</v>
      </c>
      <c r="I62" s="36" t="n">
        <f aca="false">IFERROR((B67-G67)/G67,0)</f>
        <v>0</v>
      </c>
      <c r="J62" s="30"/>
      <c r="K62" s="31"/>
      <c r="L62" s="45"/>
      <c r="M62" s="45"/>
      <c r="N62" s="36" t="str">
        <f aca="false">IF($B67="","",MIN(70%,IF($I67&lt;=-15%,10%,IF($I67&lt;=-10%,30%,IF($M67&gt;=4,10%,IF($M67&gt;=3,30%,IF($J67="强",IF($K67="A",70%,IF($K67="B",60%,40%)),IF($J67="中性",IF($K67="A",50%,IF($K67="B",40%,25%)),IF($K67="A",30%,IF($K67="B",20%,10%))))))))))</f>
        <v/>
      </c>
      <c r="O62" s="36" t="str">
        <f aca="false">IF($B67="","",IF(B67&lt;30000,35%,IF(B67&lt;50000,30%,IF(B67&lt;100000,25%,20%))))</f>
        <v/>
      </c>
      <c r="P62" s="38" t="str">
        <f aca="false">IF($A67="","",COUNTIFS(持仓表!$A:$A,$A67,持仓表!$G:$G,"&gt;0"))</f>
        <v/>
      </c>
      <c r="Q62" s="38" t="str">
        <f aca="false">IF($A67="","",COUNTIFS(持仓表!$A:$A,$A67,持仓表!$D:$D,"是",持仓表!$G:$G,"&gt;0"))</f>
        <v/>
      </c>
      <c r="R62" s="38" t="str">
        <f aca="false">IF($A67="","",MAX(0,P67-Q67))</f>
        <v/>
      </c>
      <c r="S62" s="38" t="str">
        <f aca="false">IF($B67="","",IF(B67&lt;50000,3,IF(B67&lt;100000,4,5)))</f>
        <v/>
      </c>
      <c r="T62" s="39" t="str">
        <f aca="false">IF($A67="","",IF(OR(M67&gt;=4,I67&lt;=-8%),"防守",IF(OR(M67&gt;=2,I67&lt;=-5%),"警戒","正常")))</f>
        <v/>
      </c>
      <c r="U62" s="39" t="str">
        <f aca="false">IF($A67="","",IF(AND(L67&gt;=3,M67&lt;=2,T67&lt;&gt;"防守"),"是","否"))</f>
        <v/>
      </c>
      <c r="V62" s="39" t="str">
        <f aca="false">IF($A67="","",IF(AND(E67&lt;N67,R67&lt;S67,M67&lt;=2,I67&gt;-15%),"是","否"))</f>
        <v/>
      </c>
      <c r="W62" s="39" t="str">
        <f aca="false">IF($A67="","",IF(OR(M67&gt;=3,I67&lt;=-15%),"是","否"))</f>
        <v/>
      </c>
      <c r="X62" s="35" t="str">
        <f aca="false">IF($A67="","",IFERROR(maxifs(候选池!$AB:$AB,候选池!$A:$A,$A67),0))</f>
        <v/>
      </c>
      <c r="Y62" s="35" t="str">
        <f aca="false">IF($A67="","",IF(OR(M67&gt;=4,I67&lt;=-8%),MAX(0,B67*60%-C67),IF(AND(ISNUMBER(AD67),B67&gt;AD67),IF(B67&lt;30000,0,IF(B67&lt;100000,MAX(0,(B67-AD67)*0.2),MAX(0,(B67-AD67)*0.3))),0)))</f>
        <v/>
      </c>
      <c r="Z62" s="30"/>
      <c r="AA62" s="39" t="str">
        <f aca="false">IF($A67="","",IF($AA$2&lt;&gt;"",$AA$2,""))</f>
        <v/>
      </c>
      <c r="AB62" s="30" t="str">
        <f aca="false">IF($A67="","",IF(B67&lt;30000,0.03,IF(B67&lt;100000,0.02,0.015)))</f>
        <v/>
      </c>
      <c r="AC62" s="38" t="str">
        <f aca="false">IF($A67="","",IFERROR(DATEDIF($A$2,$A67,"m"),0))</f>
        <v/>
      </c>
      <c r="AD62" s="35" t="str">
        <f aca="false">IF($A67="","",IF(OR(AA67="",AB67="",AC67=""),"",AA67*POWER(1+AB67,AC67)))</f>
        <v/>
      </c>
      <c r="AE62" s="47" t="str">
        <f aca="false">IF($A67="","",IF(OR(AD67="",AD67=0),"",B67/AD67-1))</f>
        <v/>
      </c>
      <c r="AG62" s="1" t="str">
        <f aca="false">IF($A67="","",IF(B67&lt;30000,"婴儿",IF(B67&lt;100000,"成长","成熟")))</f>
        <v/>
      </c>
      <c r="AH62" s="42"/>
      <c r="AJ62" s="42"/>
      <c r="AK62" s="42"/>
      <c r="AM62" s="42"/>
      <c r="AP62" s="32"/>
      <c r="AQ62" s="43" t="str">
        <f aca="false">IF($A67="","",B67-$AA$2-SUM($F$2:F67))</f>
        <v/>
      </c>
      <c r="AR62" s="1" t="str">
        <f aca="false">IF($A66="","",30000)</f>
        <v/>
      </c>
      <c r="AS62" s="1" t="str">
        <f aca="false">IF($A66="","",AR66-B66)</f>
        <v/>
      </c>
      <c r="AT62" s="1" t="str">
        <f aca="false">IF($A66="","",IFERROR(B66/AR66,0))</f>
        <v/>
      </c>
      <c r="AU62" s="1" t="str">
        <f aca="false">IF($A66="","",IFERROR(B66*O66,0))</f>
        <v/>
      </c>
      <c r="AV62" s="1" t="str">
        <f aca="false">IF($A66="","",IFERROR(C66/B66,0))</f>
        <v/>
      </c>
      <c r="AW62" s="1" t="str">
        <f aca="false">IF($A66="","",MAX(0,R66-S66))</f>
        <v/>
      </c>
      <c r="AX62" s="1" t="str">
        <f aca="false">IF($A66="","",IF(AW66&gt;0,"优先降持仓数",IF(C66&lt;=0,"现金不足","允许评估")))</f>
        <v/>
      </c>
      <c r="AY62" s="1" t="str">
        <f aca="false">IF($A66="","",IF(B66&lt;30000,"婴儿阶段: 优先活下来,禁止单票失控,限制持仓数,服务3W目标","幼儿阶段达成"))</f>
        <v/>
      </c>
    </row>
    <row r="63" customFormat="false" ht="15" hidden="false" customHeight="true" outlineLevel="0" collapsed="false">
      <c r="A63" s="28"/>
      <c r="B63" s="34"/>
      <c r="C63" s="34"/>
      <c r="D63" s="35" t="str">
        <f aca="false">IF($A68="","",SUMIFS(持仓表!$J:$J,持仓表!$A:$A,$A68))</f>
        <v/>
      </c>
      <c r="E63" s="36" t="n">
        <f aca="false">IFERROR(D68/B68,0)</f>
        <v>0</v>
      </c>
      <c r="F63" s="34"/>
      <c r="G63" s="35" t="str">
        <f aca="false">IF($B68="","",MAX($B$2:B68))</f>
        <v/>
      </c>
      <c r="H63" s="36" t="n">
        <f aca="false">IFERROR((B68-F68)/F68,0)</f>
        <v>0</v>
      </c>
      <c r="I63" s="36" t="n">
        <f aca="false">IFERROR((B68-G68)/G68,0)</f>
        <v>0</v>
      </c>
      <c r="J63" s="28"/>
      <c r="K63" s="29"/>
      <c r="L63" s="37"/>
      <c r="M63" s="37"/>
      <c r="N63" s="36" t="str">
        <f aca="false">IF($B68="","",MIN(70%,IF($I68&lt;=-15%,10%,IF($I68&lt;=-10%,30%,IF($M68&gt;=4,10%,IF($M68&gt;=3,30%,IF($J68="强",IF($K68="A",70%,IF($K68="B",60%,40%)),IF($J68="中性",IF($K68="A",50%,IF($K68="B",40%,25%)),IF($K68="A",30%,IF($K68="B",20%,10%))))))))))</f>
        <v/>
      </c>
      <c r="O63" s="36" t="str">
        <f aca="false">IF($B68="","",IF(B68&lt;30000,35%,IF(B68&lt;50000,30%,IF(B68&lt;100000,25%,20%))))</f>
        <v/>
      </c>
      <c r="P63" s="38" t="str">
        <f aca="false">IF($A68="","",COUNTIFS(持仓表!$A:$A,$A68,持仓表!$G:$G,"&gt;0"))</f>
        <v/>
      </c>
      <c r="Q63" s="38" t="str">
        <f aca="false">IF($A68="","",COUNTIFS(持仓表!$A:$A,$A68,持仓表!$D:$D,"是",持仓表!$G:$G,"&gt;0"))</f>
        <v/>
      </c>
      <c r="R63" s="38" t="str">
        <f aca="false">IF($A68="","",MAX(0,P68-Q68))</f>
        <v/>
      </c>
      <c r="S63" s="38" t="str">
        <f aca="false">IF($B68="","",IF(B68&lt;50000,3,IF(B68&lt;100000,4,5)))</f>
        <v/>
      </c>
      <c r="T63" s="39" t="str">
        <f aca="false">IF($A68="","",IF(OR(M68&gt;=4,I68&lt;=-8%),"防守",IF(OR(M68&gt;=2,I68&lt;=-5%),"警戒","正常")))</f>
        <v/>
      </c>
      <c r="U63" s="39" t="str">
        <f aca="false">IF($A68="","",IF(AND(L68&gt;=3,M68&lt;=2,T68&lt;&gt;"防守"),"是","否"))</f>
        <v/>
      </c>
      <c r="V63" s="39" t="str">
        <f aca="false">IF($A68="","",IF(AND(E68&lt;N68,R68&lt;S68,M68&lt;=2,I68&gt;-15%),"是","否"))</f>
        <v/>
      </c>
      <c r="W63" s="39" t="str">
        <f aca="false">IF($A68="","",IF(OR(M68&gt;=3,I68&lt;=-15%),"是","否"))</f>
        <v/>
      </c>
      <c r="X63" s="35" t="str">
        <f aca="false">IF($A68="","",IFERROR(maxifs(候选池!$AB:$AB,候选池!$A:$A,$A68),0))</f>
        <v/>
      </c>
      <c r="Y63" s="35" t="str">
        <f aca="false">IF($A68="","",IF(OR(M68&gt;=4,I68&lt;=-8%),MAX(0,B68*60%-C68),IF(AND(ISNUMBER(AD68),B68&gt;AD68),IF(B68&lt;30000,0,IF(B68&lt;100000,MAX(0,(B68-AD68)*0.2),MAX(0,(B68-AD68)*0.3))),0)))</f>
        <v/>
      </c>
      <c r="Z63" s="28"/>
      <c r="AA63" s="39" t="str">
        <f aca="false">IF($A68="","",IF($AA$2&lt;&gt;"",$AA$2,""))</f>
        <v/>
      </c>
      <c r="AB63" s="28" t="str">
        <f aca="false">IF($A68="","",IF(B68&lt;30000,0.03,IF(B68&lt;100000,0.02,0.015)))</f>
        <v/>
      </c>
      <c r="AC63" s="38" t="str">
        <f aca="false">IF($A68="","",IFERROR(DATEDIF($A$2,$A68,"m"),0))</f>
        <v/>
      </c>
      <c r="AD63" s="35" t="str">
        <f aca="false">IF($A68="","",IF(OR(AA68="",AB68="",AC68=""),"",AA68*POWER(1+AB68,AC68)))</f>
        <v/>
      </c>
      <c r="AE63" s="41" t="str">
        <f aca="false">IF($A68="","",IF(OR(AD68="",AD68=0),"",B68/AD68-1))</f>
        <v/>
      </c>
      <c r="AG63" s="1" t="str">
        <f aca="false">IF($A68="","",IF(B68&lt;30000,"婴儿",IF(B68&lt;100000,"成长","成熟")))</f>
        <v/>
      </c>
      <c r="AH63" s="42"/>
      <c r="AJ63" s="42"/>
      <c r="AK63" s="42"/>
      <c r="AM63" s="42"/>
      <c r="AP63" s="32"/>
      <c r="AQ63" s="43" t="str">
        <f aca="false">IF($A68="","",B68-$AA$2-SUM($F$2:F68))</f>
        <v/>
      </c>
      <c r="AR63" s="1" t="str">
        <f aca="false">IF($A67="","",30000)</f>
        <v/>
      </c>
      <c r="AS63" s="1" t="str">
        <f aca="false">IF($A67="","",AR67-B67)</f>
        <v/>
      </c>
      <c r="AT63" s="1" t="str">
        <f aca="false">IF($A67="","",IFERROR(B67/AR67,0))</f>
        <v/>
      </c>
      <c r="AU63" s="1" t="str">
        <f aca="false">IF($A67="","",IFERROR(B67*O67,0))</f>
        <v/>
      </c>
      <c r="AV63" s="1" t="str">
        <f aca="false">IF($A67="","",IFERROR(C67/B67,0))</f>
        <v/>
      </c>
      <c r="AW63" s="1" t="str">
        <f aca="false">IF($A67="","",MAX(0,R67-S67))</f>
        <v/>
      </c>
      <c r="AX63" s="1" t="str">
        <f aca="false">IF($A67="","",IF(AW67&gt;0,"优先降持仓数",IF(C67&lt;=0,"现金不足","允许评估")))</f>
        <v/>
      </c>
      <c r="AY63" s="1" t="str">
        <f aca="false">IF($A67="","",IF(B67&lt;30000,"婴儿阶段: 优先活下来,禁止单票失控,限制持仓数,服务3W目标","幼儿阶段达成"))</f>
        <v/>
      </c>
    </row>
    <row r="64" customFormat="false" ht="15" hidden="false" customHeight="true" outlineLevel="0" collapsed="false">
      <c r="A64" s="30"/>
      <c r="B64" s="44"/>
      <c r="C64" s="44"/>
      <c r="D64" s="35" t="str">
        <f aca="false">IF($A69="","",SUMIFS(持仓表!$J:$J,持仓表!$A:$A,$A69))</f>
        <v/>
      </c>
      <c r="E64" s="36" t="n">
        <f aca="false">IFERROR(D69/B69,0)</f>
        <v>0</v>
      </c>
      <c r="F64" s="44"/>
      <c r="G64" s="35" t="str">
        <f aca="false">IF($B69="","",MAX($B$2:B69))</f>
        <v/>
      </c>
      <c r="H64" s="36" t="n">
        <f aca="false">IFERROR((B69-F69)/F69,0)</f>
        <v>0</v>
      </c>
      <c r="I64" s="36" t="n">
        <f aca="false">IFERROR((B69-G69)/G69,0)</f>
        <v>0</v>
      </c>
      <c r="J64" s="30"/>
      <c r="K64" s="31"/>
      <c r="L64" s="45"/>
      <c r="M64" s="45"/>
      <c r="N64" s="36" t="str">
        <f aca="false">IF($B69="","",MIN(70%,IF($I69&lt;=-15%,10%,IF($I69&lt;=-10%,30%,IF($M69&gt;=4,10%,IF($M69&gt;=3,30%,IF($J69="强",IF($K69="A",70%,IF($K69="B",60%,40%)),IF($J69="中性",IF($K69="A",50%,IF($K69="B",40%,25%)),IF($K69="A",30%,IF($K69="B",20%,10%))))))))))</f>
        <v/>
      </c>
      <c r="O64" s="36" t="str">
        <f aca="false">IF($B69="","",IF(B69&lt;30000,35%,IF(B69&lt;50000,30%,IF(B69&lt;100000,25%,20%))))</f>
        <v/>
      </c>
      <c r="P64" s="38" t="str">
        <f aca="false">IF($A69="","",COUNTIFS(持仓表!$A:$A,$A69,持仓表!$G:$G,"&gt;0"))</f>
        <v/>
      </c>
      <c r="Q64" s="38" t="str">
        <f aca="false">IF($A69="","",COUNTIFS(持仓表!$A:$A,$A69,持仓表!$D:$D,"是",持仓表!$G:$G,"&gt;0"))</f>
        <v/>
      </c>
      <c r="R64" s="38" t="str">
        <f aca="false">IF($A69="","",MAX(0,P69-Q69))</f>
        <v/>
      </c>
      <c r="S64" s="38" t="str">
        <f aca="false">IF($B69="","",IF(B69&lt;50000,3,IF(B69&lt;100000,4,5)))</f>
        <v/>
      </c>
      <c r="T64" s="39" t="str">
        <f aca="false">IF($A69="","",IF(OR(M69&gt;=4,I69&lt;=-8%),"防守",IF(OR(M69&gt;=2,I69&lt;=-5%),"警戒","正常")))</f>
        <v/>
      </c>
      <c r="U64" s="39" t="str">
        <f aca="false">IF($A69="","",IF(AND(L69&gt;=3,M69&lt;=2,T69&lt;&gt;"防守"),"是","否"))</f>
        <v/>
      </c>
      <c r="V64" s="39" t="str">
        <f aca="false">IF($A69="","",IF(AND(E69&lt;N69,R69&lt;S69,M69&lt;=2,I69&gt;-15%),"是","否"))</f>
        <v/>
      </c>
      <c r="W64" s="39" t="str">
        <f aca="false">IF($A69="","",IF(OR(M69&gt;=3,I69&lt;=-15%),"是","否"))</f>
        <v/>
      </c>
      <c r="X64" s="35" t="str">
        <f aca="false">IF($A69="","",IFERROR(maxifs(候选池!$AB:$AB,候选池!$A:$A,$A69),0))</f>
        <v/>
      </c>
      <c r="Y64" s="35" t="str">
        <f aca="false">IF($A69="","",IF(OR(M69&gt;=4,I69&lt;=-8%),MAX(0,B69*60%-C69),IF(AND(ISNUMBER(AD69),B69&gt;AD69),IF(B69&lt;30000,0,IF(B69&lt;100000,MAX(0,(B69-AD69)*0.2),MAX(0,(B69-AD69)*0.3))),0)))</f>
        <v/>
      </c>
      <c r="Z64" s="30"/>
      <c r="AA64" s="39" t="str">
        <f aca="false">IF($A69="","",IF($AA$2&lt;&gt;"",$AA$2,""))</f>
        <v/>
      </c>
      <c r="AB64" s="30" t="str">
        <f aca="false">IF($A69="","",IF(B69&lt;30000,0.03,IF(B69&lt;100000,0.02,0.015)))</f>
        <v/>
      </c>
      <c r="AC64" s="38" t="str">
        <f aca="false">IF($A69="","",IFERROR(DATEDIF($A$2,$A69,"m"),0))</f>
        <v/>
      </c>
      <c r="AD64" s="35" t="str">
        <f aca="false">IF($A69="","",IF(OR(AA69="",AB69="",AC69=""),"",AA69*POWER(1+AB69,AC69)))</f>
        <v/>
      </c>
      <c r="AE64" s="47" t="str">
        <f aca="false">IF($A69="","",IF(OR(AD69="",AD69=0),"",B69/AD69-1))</f>
        <v/>
      </c>
      <c r="AG64" s="1" t="str">
        <f aca="false">IF($A69="","",IF(B69&lt;30000,"婴儿",IF(B69&lt;100000,"成长","成熟")))</f>
        <v/>
      </c>
      <c r="AH64" s="42"/>
      <c r="AJ64" s="42"/>
      <c r="AK64" s="42"/>
      <c r="AM64" s="42"/>
      <c r="AP64" s="32"/>
      <c r="AQ64" s="43" t="str">
        <f aca="false">IF($A69="","",B69-$AA$2-SUM($F$2:F69))</f>
        <v/>
      </c>
      <c r="AR64" s="1" t="str">
        <f aca="false">IF($A68="","",30000)</f>
        <v/>
      </c>
      <c r="AS64" s="1" t="str">
        <f aca="false">IF($A68="","",AR68-B68)</f>
        <v/>
      </c>
      <c r="AT64" s="1" t="str">
        <f aca="false">IF($A68="","",IFERROR(B68/AR68,0))</f>
        <v/>
      </c>
      <c r="AU64" s="1" t="str">
        <f aca="false">IF($A68="","",IFERROR(B68*O68,0))</f>
        <v/>
      </c>
      <c r="AV64" s="1" t="str">
        <f aca="false">IF($A68="","",IFERROR(C68/B68,0))</f>
        <v/>
      </c>
      <c r="AW64" s="1" t="str">
        <f aca="false">IF($A68="","",MAX(0,R68-S68))</f>
        <v/>
      </c>
      <c r="AX64" s="1" t="str">
        <f aca="false">IF($A68="","",IF(AW68&gt;0,"优先降持仓数",IF(C68&lt;=0,"现金不足","允许评估")))</f>
        <v/>
      </c>
      <c r="AY64" s="1" t="str">
        <f aca="false">IF($A68="","",IF(B68&lt;30000,"婴儿阶段: 优先活下来,禁止单票失控,限制持仓数,服务3W目标","幼儿阶段达成"))</f>
        <v/>
      </c>
    </row>
    <row r="65" customFormat="false" ht="15" hidden="false" customHeight="true" outlineLevel="0" collapsed="false">
      <c r="A65" s="28"/>
      <c r="B65" s="34"/>
      <c r="C65" s="34"/>
      <c r="D65" s="35" t="str">
        <f aca="false">IF($A70="","",SUMIFS(持仓表!$J:$J,持仓表!$A:$A,$A70))</f>
        <v/>
      </c>
      <c r="E65" s="36" t="n">
        <f aca="false">IFERROR(D70/B70,0)</f>
        <v>0</v>
      </c>
      <c r="F65" s="34"/>
      <c r="G65" s="35" t="str">
        <f aca="false">IF($B70="","",MAX($B$2:B70))</f>
        <v/>
      </c>
      <c r="H65" s="36" t="n">
        <f aca="false">IFERROR((B70-F70)/F70,0)</f>
        <v>0</v>
      </c>
      <c r="I65" s="36" t="n">
        <f aca="false">IFERROR((B70-G70)/G70,0)</f>
        <v>0</v>
      </c>
      <c r="J65" s="28"/>
      <c r="K65" s="29"/>
      <c r="L65" s="37"/>
      <c r="M65" s="37"/>
      <c r="N65" s="36" t="str">
        <f aca="false">IF($B70="","",MIN(70%,IF($I70&lt;=-15%,10%,IF($I70&lt;=-10%,30%,IF($M70&gt;=4,10%,IF($M70&gt;=3,30%,IF($J70="强",IF($K70="A",70%,IF($K70="B",60%,40%)),IF($J70="中性",IF($K70="A",50%,IF($K70="B",40%,25%)),IF($K70="A",30%,IF($K70="B",20%,10%))))))))))</f>
        <v/>
      </c>
      <c r="O65" s="36" t="str">
        <f aca="false">IF($B70="","",IF(B70&lt;30000,35%,IF(B70&lt;50000,30%,IF(B70&lt;100000,25%,20%))))</f>
        <v/>
      </c>
      <c r="P65" s="38" t="str">
        <f aca="false">IF($A70="","",COUNTIFS(持仓表!$A:$A,$A70,持仓表!$G:$G,"&gt;0"))</f>
        <v/>
      </c>
      <c r="Q65" s="38" t="str">
        <f aca="false">IF($A70="","",COUNTIFS(持仓表!$A:$A,$A70,持仓表!$D:$D,"是",持仓表!$G:$G,"&gt;0"))</f>
        <v/>
      </c>
      <c r="R65" s="38" t="str">
        <f aca="false">IF($A70="","",MAX(0,P70-Q70))</f>
        <v/>
      </c>
      <c r="S65" s="38" t="str">
        <f aca="false">IF($B70="","",IF(B70&lt;50000,3,IF(B70&lt;100000,4,5)))</f>
        <v/>
      </c>
      <c r="T65" s="39" t="str">
        <f aca="false">IF($A70="","",IF(OR(M70&gt;=4,I70&lt;=-8%),"防守",IF(OR(M70&gt;=2,I70&lt;=-5%),"警戒","正常")))</f>
        <v/>
      </c>
      <c r="U65" s="39" t="str">
        <f aca="false">IF($A70="","",IF(AND(L70&gt;=3,M70&lt;=2,T70&lt;&gt;"防守"),"是","否"))</f>
        <v/>
      </c>
      <c r="V65" s="39" t="str">
        <f aca="false">IF($A70="","",IF(AND(E70&lt;N70,R70&lt;S70,M70&lt;=2,I70&gt;-15%),"是","否"))</f>
        <v/>
      </c>
      <c r="W65" s="39" t="str">
        <f aca="false">IF($A70="","",IF(OR(M70&gt;=3,I70&lt;=-15%),"是","否"))</f>
        <v/>
      </c>
      <c r="X65" s="35" t="str">
        <f aca="false">IF($A70="","",IFERROR(maxifs(候选池!$AB:$AB,候选池!$A:$A,$A70),0))</f>
        <v/>
      </c>
      <c r="Y65" s="35" t="str">
        <f aca="false">IF($A70="","",IF(OR(M70&gt;=4,I70&lt;=-8%),MAX(0,B70*60%-C70),IF(AND(ISNUMBER(AD70),B70&gt;AD70),IF(B70&lt;30000,0,IF(B70&lt;100000,MAX(0,(B70-AD70)*0.2),MAX(0,(B70-AD70)*0.3))),0)))</f>
        <v/>
      </c>
      <c r="Z65" s="28"/>
      <c r="AA65" s="39" t="str">
        <f aca="false">IF($A70="","",IF($AA$2&lt;&gt;"",$AA$2,""))</f>
        <v/>
      </c>
      <c r="AB65" s="28" t="str">
        <f aca="false">IF($A70="","",IF(B70&lt;30000,0.03,IF(B70&lt;100000,0.02,0.015)))</f>
        <v/>
      </c>
      <c r="AC65" s="38" t="str">
        <f aca="false">IF($A70="","",IFERROR(DATEDIF($A$2,$A70,"m"),0))</f>
        <v/>
      </c>
      <c r="AD65" s="35" t="str">
        <f aca="false">IF($A70="","",IF(OR(AA70="",AB70="",AC70=""),"",AA70*POWER(1+AB70,AC70)))</f>
        <v/>
      </c>
      <c r="AE65" s="41" t="str">
        <f aca="false">IF($A70="","",IF(OR(AD70="",AD70=0),"",B70/AD70-1))</f>
        <v/>
      </c>
      <c r="AG65" s="1" t="str">
        <f aca="false">IF($A70="","",IF(B70&lt;30000,"婴儿",IF(B70&lt;100000,"成长","成熟")))</f>
        <v/>
      </c>
      <c r="AH65" s="42"/>
      <c r="AJ65" s="42"/>
      <c r="AK65" s="42"/>
      <c r="AM65" s="42"/>
      <c r="AP65" s="32"/>
      <c r="AQ65" s="43" t="str">
        <f aca="false">IF($A70="","",B70-$AA$2-SUM($F$2:F70))</f>
        <v/>
      </c>
      <c r="AR65" s="1" t="str">
        <f aca="false">IF($A69="","",30000)</f>
        <v/>
      </c>
      <c r="AS65" s="1" t="str">
        <f aca="false">IF($A69="","",AR69-B69)</f>
        <v/>
      </c>
      <c r="AT65" s="1" t="str">
        <f aca="false">IF($A69="","",IFERROR(B69/AR69,0))</f>
        <v/>
      </c>
      <c r="AU65" s="1" t="str">
        <f aca="false">IF($A69="","",IFERROR(B69*O69,0))</f>
        <v/>
      </c>
      <c r="AV65" s="1" t="str">
        <f aca="false">IF($A69="","",IFERROR(C69/B69,0))</f>
        <v/>
      </c>
      <c r="AW65" s="1" t="str">
        <f aca="false">IF($A69="","",MAX(0,R69-S69))</f>
        <v/>
      </c>
      <c r="AX65" s="1" t="str">
        <f aca="false">IF($A69="","",IF(AW69&gt;0,"优先降持仓数",IF(C69&lt;=0,"现金不足","允许评估")))</f>
        <v/>
      </c>
      <c r="AY65" s="1" t="str">
        <f aca="false">IF($A69="","",IF(B69&lt;30000,"婴儿阶段: 优先活下来,禁止单票失控,限制持仓数,服务3W目标","幼儿阶段达成"))</f>
        <v/>
      </c>
    </row>
    <row r="66" customFormat="false" ht="15" hidden="false" customHeight="true" outlineLevel="0" collapsed="false">
      <c r="A66" s="30"/>
      <c r="B66" s="44"/>
      <c r="C66" s="44"/>
      <c r="D66" s="35" t="str">
        <f aca="false">IF($A71="","",SUMIFS(持仓表!$J:$J,持仓表!$A:$A,$A71))</f>
        <v/>
      </c>
      <c r="E66" s="36" t="n">
        <f aca="false">IFERROR(D71/B71,0)</f>
        <v>0</v>
      </c>
      <c r="F66" s="44"/>
      <c r="G66" s="35" t="str">
        <f aca="false">IF($B71="","",MAX($B$2:B71))</f>
        <v/>
      </c>
      <c r="H66" s="36" t="n">
        <f aca="false">IFERROR((B71-F71)/F71,0)</f>
        <v>0</v>
      </c>
      <c r="I66" s="36" t="n">
        <f aca="false">IFERROR((B71-G71)/G71,0)</f>
        <v>0</v>
      </c>
      <c r="J66" s="30"/>
      <c r="K66" s="31"/>
      <c r="L66" s="45"/>
      <c r="M66" s="45"/>
      <c r="N66" s="36" t="str">
        <f aca="false">IF($B71="","",MIN(70%,IF($I71&lt;=-15%,10%,IF($I71&lt;=-10%,30%,IF($M71&gt;=4,10%,IF($M71&gt;=3,30%,IF($J71="强",IF($K71="A",70%,IF($K71="B",60%,40%)),IF($J71="中性",IF($K71="A",50%,IF($K71="B",40%,25%)),IF($K71="A",30%,IF($K71="B",20%,10%))))))))))</f>
        <v/>
      </c>
      <c r="O66" s="36" t="str">
        <f aca="false">IF($B71="","",IF(B71&lt;30000,35%,IF(B71&lt;50000,30%,IF(B71&lt;100000,25%,20%))))</f>
        <v/>
      </c>
      <c r="P66" s="38" t="str">
        <f aca="false">IF($A71="","",COUNTIFS(持仓表!$A:$A,$A71,持仓表!$G:$G,"&gt;0"))</f>
        <v/>
      </c>
      <c r="Q66" s="38" t="str">
        <f aca="false">IF($A71="","",COUNTIFS(持仓表!$A:$A,$A71,持仓表!$D:$D,"是",持仓表!$G:$G,"&gt;0"))</f>
        <v/>
      </c>
      <c r="R66" s="38" t="str">
        <f aca="false">IF($A71="","",MAX(0,P71-Q71))</f>
        <v/>
      </c>
      <c r="S66" s="38" t="str">
        <f aca="false">IF($B71="","",IF(B71&lt;50000,3,IF(B71&lt;100000,4,5)))</f>
        <v/>
      </c>
      <c r="T66" s="39" t="str">
        <f aca="false">IF($A71="","",IF(OR(M71&gt;=4,I71&lt;=-8%),"防守",IF(OR(M71&gt;=2,I71&lt;=-5%),"警戒","正常")))</f>
        <v/>
      </c>
      <c r="U66" s="39" t="str">
        <f aca="false">IF($A71="","",IF(AND(L71&gt;=3,M71&lt;=2,T71&lt;&gt;"防守"),"是","否"))</f>
        <v/>
      </c>
      <c r="V66" s="39" t="str">
        <f aca="false">IF($A71="","",IF(AND(E71&lt;N71,R71&lt;S71,M71&lt;=2,I71&gt;-15%),"是","否"))</f>
        <v/>
      </c>
      <c r="W66" s="39" t="str">
        <f aca="false">IF($A71="","",IF(OR(M71&gt;=3,I71&lt;=-15%),"是","否"))</f>
        <v/>
      </c>
      <c r="X66" s="35" t="str">
        <f aca="false">IF($A71="","",IFERROR(maxifs(候选池!$AB:$AB,候选池!$A:$A,$A71),0))</f>
        <v/>
      </c>
      <c r="Y66" s="35" t="str">
        <f aca="false">IF($A71="","",IF(OR(M71&gt;=4,I71&lt;=-8%),MAX(0,B71*60%-C71),IF(AND(ISNUMBER(AD71),B71&gt;AD71),IF(B71&lt;30000,0,IF(B71&lt;100000,MAX(0,(B71-AD71)*0.2),MAX(0,(B71-AD71)*0.3))),0)))</f>
        <v/>
      </c>
      <c r="Z66" s="30"/>
      <c r="AA66" s="39" t="str">
        <f aca="false">IF($A71="","",IF($AA$2&lt;&gt;"",$AA$2,""))</f>
        <v/>
      </c>
      <c r="AB66" s="30" t="str">
        <f aca="false">IF($A71="","",IF(B71&lt;30000,0.03,IF(B71&lt;100000,0.02,0.015)))</f>
        <v/>
      </c>
      <c r="AC66" s="38" t="str">
        <f aca="false">IF($A71="","",IFERROR(DATEDIF($A$2,$A71,"m"),0))</f>
        <v/>
      </c>
      <c r="AD66" s="35" t="str">
        <f aca="false">IF($A71="","",IF(OR(AA71="",AB71="",AC71=""),"",AA71*POWER(1+AB71,AC71)))</f>
        <v/>
      </c>
      <c r="AE66" s="47" t="str">
        <f aca="false">IF($A71="","",IF(OR(AD71="",AD71=0),"",B71/AD71-1))</f>
        <v/>
      </c>
      <c r="AG66" s="1" t="str">
        <f aca="false">IF($A71="","",IF(B71&lt;30000,"婴儿",IF(B71&lt;100000,"成长","成熟")))</f>
        <v/>
      </c>
      <c r="AH66" s="42"/>
      <c r="AJ66" s="42"/>
      <c r="AK66" s="42"/>
      <c r="AM66" s="42"/>
      <c r="AP66" s="32"/>
      <c r="AQ66" s="43" t="str">
        <f aca="false">IF($A71="","",B71-$AA$2-SUM($F$2:F71))</f>
        <v/>
      </c>
      <c r="AR66" s="1" t="str">
        <f aca="false">IF($A70="","",30000)</f>
        <v/>
      </c>
      <c r="AS66" s="1" t="str">
        <f aca="false">IF($A70="","",AR70-B70)</f>
        <v/>
      </c>
      <c r="AT66" s="1" t="str">
        <f aca="false">IF($A70="","",IFERROR(B70/AR70,0))</f>
        <v/>
      </c>
      <c r="AU66" s="1" t="str">
        <f aca="false">IF($A70="","",IFERROR(B70*O70,0))</f>
        <v/>
      </c>
      <c r="AV66" s="1" t="str">
        <f aca="false">IF($A70="","",IFERROR(C70/B70,0))</f>
        <v/>
      </c>
      <c r="AW66" s="1" t="str">
        <f aca="false">IF($A70="","",MAX(0,R70-S70))</f>
        <v/>
      </c>
      <c r="AX66" s="1" t="str">
        <f aca="false">IF($A70="","",IF(AW70&gt;0,"优先降持仓数",IF(C70&lt;=0,"现金不足","允许评估")))</f>
        <v/>
      </c>
      <c r="AY66" s="1" t="str">
        <f aca="false">IF($A70="","",IF(B70&lt;30000,"婴儿阶段: 优先活下来,禁止单票失控,限制持仓数,服务3W目标","幼儿阶段达成"))</f>
        <v/>
      </c>
    </row>
    <row r="67" customFormat="false" ht="15" hidden="false" customHeight="true" outlineLevel="0" collapsed="false">
      <c r="A67" s="28"/>
      <c r="B67" s="34"/>
      <c r="C67" s="34"/>
      <c r="D67" s="35" t="str">
        <f aca="false">IF($A72="","",SUMIFS(持仓表!$J:$J,持仓表!$A:$A,$A72))</f>
        <v/>
      </c>
      <c r="E67" s="36" t="n">
        <f aca="false">IFERROR(D72/B72,0)</f>
        <v>0</v>
      </c>
      <c r="F67" s="34"/>
      <c r="G67" s="35" t="str">
        <f aca="false">IF($B72="","",MAX($B$2:B72))</f>
        <v/>
      </c>
      <c r="H67" s="36" t="n">
        <f aca="false">IFERROR((B72-F72)/F72,0)</f>
        <v>0</v>
      </c>
      <c r="I67" s="36" t="n">
        <f aca="false">IFERROR((B72-G72)/G72,0)</f>
        <v>0</v>
      </c>
      <c r="J67" s="28"/>
      <c r="K67" s="29"/>
      <c r="L67" s="37"/>
      <c r="M67" s="37"/>
      <c r="N67" s="36" t="str">
        <f aca="false">IF($B72="","",MIN(70%,IF($I72&lt;=-15%,10%,IF($I72&lt;=-10%,30%,IF($M72&gt;=4,10%,IF($M72&gt;=3,30%,IF($J72="强",IF($K72="A",70%,IF($K72="B",60%,40%)),IF($J72="中性",IF($K72="A",50%,IF($K72="B",40%,25%)),IF($K72="A",30%,IF($K72="B",20%,10%))))))))))</f>
        <v/>
      </c>
      <c r="O67" s="36" t="str">
        <f aca="false">IF($B72="","",IF(B72&lt;30000,35%,IF(B72&lt;50000,30%,IF(B72&lt;100000,25%,20%))))</f>
        <v/>
      </c>
      <c r="P67" s="38" t="str">
        <f aca="false">IF($A72="","",COUNTIFS(持仓表!$A:$A,$A72,持仓表!$G:$G,"&gt;0"))</f>
        <v/>
      </c>
      <c r="Q67" s="38" t="str">
        <f aca="false">IF($A72="","",COUNTIFS(持仓表!$A:$A,$A72,持仓表!$D:$D,"是",持仓表!$G:$G,"&gt;0"))</f>
        <v/>
      </c>
      <c r="R67" s="38" t="str">
        <f aca="false">IF($A72="","",MAX(0,P72-Q72))</f>
        <v/>
      </c>
      <c r="S67" s="38" t="str">
        <f aca="false">IF($B72="","",IF(B72&lt;50000,3,IF(B72&lt;100000,4,5)))</f>
        <v/>
      </c>
      <c r="T67" s="39" t="str">
        <f aca="false">IF($A72="","",IF(OR(M72&gt;=4,I72&lt;=-8%),"防守",IF(OR(M72&gt;=2,I72&lt;=-5%),"警戒","正常")))</f>
        <v/>
      </c>
      <c r="U67" s="39" t="str">
        <f aca="false">IF($A72="","",IF(AND(L72&gt;=3,M72&lt;=2,T72&lt;&gt;"防守"),"是","否"))</f>
        <v/>
      </c>
      <c r="V67" s="39" t="str">
        <f aca="false">IF($A72="","",IF(AND(E72&lt;N72,R72&lt;S72,M72&lt;=2,I72&gt;-15%),"是","否"))</f>
        <v/>
      </c>
      <c r="W67" s="39" t="str">
        <f aca="false">IF($A72="","",IF(OR(M72&gt;=3,I72&lt;=-15%),"是","否"))</f>
        <v/>
      </c>
      <c r="X67" s="35" t="str">
        <f aca="false">IF($A72="","",IFERROR(maxifs(候选池!$AB:$AB,候选池!$A:$A,$A72),0))</f>
        <v/>
      </c>
      <c r="Y67" s="35" t="str">
        <f aca="false">IF($A72="","",IF(OR(M72&gt;=4,I72&lt;=-8%),MAX(0,B72*60%-C72),IF(AND(ISNUMBER(AD72),B72&gt;AD72),IF(B72&lt;30000,0,IF(B72&lt;100000,MAX(0,(B72-AD72)*0.2),MAX(0,(B72-AD72)*0.3))),0)))</f>
        <v/>
      </c>
      <c r="Z67" s="28"/>
      <c r="AA67" s="39" t="str">
        <f aca="false">IF($A72="","",IF($AA$2&lt;&gt;"",$AA$2,""))</f>
        <v/>
      </c>
      <c r="AB67" s="28" t="str">
        <f aca="false">IF($A72="","",IF(B72&lt;30000,0.03,IF(B72&lt;100000,0.02,0.015)))</f>
        <v/>
      </c>
      <c r="AC67" s="38" t="str">
        <f aca="false">IF($A72="","",IFERROR(DATEDIF($A$2,$A72,"m"),0))</f>
        <v/>
      </c>
      <c r="AD67" s="35" t="str">
        <f aca="false">IF($A72="","",IF(OR(AA72="",AB72="",AC72=""),"",AA72*POWER(1+AB72,AC72)))</f>
        <v/>
      </c>
      <c r="AE67" s="41" t="str">
        <f aca="false">IF($A72="","",IF(OR(AD72="",AD72=0),"",B72/AD72-1))</f>
        <v/>
      </c>
      <c r="AG67" s="1" t="str">
        <f aca="false">IF($A72="","",IF(B72&lt;30000,"婴儿",IF(B72&lt;100000,"成长","成熟")))</f>
        <v/>
      </c>
      <c r="AH67" s="42"/>
      <c r="AJ67" s="42"/>
      <c r="AK67" s="42"/>
      <c r="AM67" s="42"/>
      <c r="AP67" s="32"/>
      <c r="AQ67" s="43" t="str">
        <f aca="false">IF($A72="","",B72-$AA$2-SUM($F$2:F72))</f>
        <v/>
      </c>
      <c r="AR67" s="1" t="str">
        <f aca="false">IF($A71="","",30000)</f>
        <v/>
      </c>
      <c r="AS67" s="1" t="str">
        <f aca="false">IF($A71="","",AR71-B71)</f>
        <v/>
      </c>
      <c r="AT67" s="1" t="str">
        <f aca="false">IF($A71="","",IFERROR(B71/AR71,0))</f>
        <v/>
      </c>
      <c r="AU67" s="1" t="str">
        <f aca="false">IF($A71="","",IFERROR(B71*O71,0))</f>
        <v/>
      </c>
      <c r="AV67" s="1" t="str">
        <f aca="false">IF($A71="","",IFERROR(C71/B71,0))</f>
        <v/>
      </c>
      <c r="AW67" s="1" t="str">
        <f aca="false">IF($A71="","",MAX(0,R71-S71))</f>
        <v/>
      </c>
      <c r="AX67" s="1" t="str">
        <f aca="false">IF($A71="","",IF(AW71&gt;0,"优先降持仓数",IF(C71&lt;=0,"现金不足","允许评估")))</f>
        <v/>
      </c>
      <c r="AY67" s="1" t="str">
        <f aca="false">IF($A71="","",IF(B71&lt;30000,"婴儿阶段: 优先活下来,禁止单票失控,限制持仓数,服务3W目标","幼儿阶段达成"))</f>
        <v/>
      </c>
    </row>
    <row r="68" customFormat="false" ht="15" hidden="false" customHeight="true" outlineLevel="0" collapsed="false">
      <c r="A68" s="30"/>
      <c r="B68" s="44"/>
      <c r="C68" s="44"/>
      <c r="D68" s="35" t="str">
        <f aca="false">IF($A73="","",SUMIFS(持仓表!$J:$J,持仓表!$A:$A,$A73))</f>
        <v/>
      </c>
      <c r="E68" s="36" t="n">
        <f aca="false">IFERROR(D73/B73,0)</f>
        <v>0</v>
      </c>
      <c r="F68" s="44"/>
      <c r="G68" s="35" t="str">
        <f aca="false">IF($B73="","",MAX($B$2:B73))</f>
        <v/>
      </c>
      <c r="H68" s="36" t="n">
        <f aca="false">IFERROR((B73-F73)/F73,0)</f>
        <v>0</v>
      </c>
      <c r="I68" s="36" t="n">
        <f aca="false">IFERROR((B73-G73)/G73,0)</f>
        <v>0</v>
      </c>
      <c r="J68" s="30"/>
      <c r="K68" s="31"/>
      <c r="L68" s="45"/>
      <c r="M68" s="45"/>
      <c r="N68" s="36" t="str">
        <f aca="false">IF($B73="","",MIN(70%,IF($I73&lt;=-15%,10%,IF($I73&lt;=-10%,30%,IF($M73&gt;=4,10%,IF($M73&gt;=3,30%,IF($J73="强",IF($K73="A",70%,IF($K73="B",60%,40%)),IF($J73="中性",IF($K73="A",50%,IF($K73="B",40%,25%)),IF($K73="A",30%,IF($K73="B",20%,10%))))))))))</f>
        <v/>
      </c>
      <c r="O68" s="36" t="str">
        <f aca="false">IF($B73="","",IF(B73&lt;30000,35%,IF(B73&lt;50000,30%,IF(B73&lt;100000,25%,20%))))</f>
        <v/>
      </c>
      <c r="P68" s="38" t="str">
        <f aca="false">IF($A73="","",COUNTIFS(持仓表!$A:$A,$A73,持仓表!$G:$G,"&gt;0"))</f>
        <v/>
      </c>
      <c r="Q68" s="38" t="str">
        <f aca="false">IF($A73="","",COUNTIFS(持仓表!$A:$A,$A73,持仓表!$D:$D,"是",持仓表!$G:$G,"&gt;0"))</f>
        <v/>
      </c>
      <c r="R68" s="38" t="str">
        <f aca="false">IF($A73="","",MAX(0,P73-Q73))</f>
        <v/>
      </c>
      <c r="S68" s="38" t="str">
        <f aca="false">IF($B73="","",IF(B73&lt;50000,3,IF(B73&lt;100000,4,5)))</f>
        <v/>
      </c>
      <c r="T68" s="39" t="str">
        <f aca="false">IF($A73="","",IF(OR(M73&gt;=4,I73&lt;=-8%),"防守",IF(OR(M73&gt;=2,I73&lt;=-5%),"警戒","正常")))</f>
        <v/>
      </c>
      <c r="U68" s="39" t="str">
        <f aca="false">IF($A73="","",IF(AND(L73&gt;=3,M73&lt;=2,T73&lt;&gt;"防守"),"是","否"))</f>
        <v/>
      </c>
      <c r="V68" s="39" t="str">
        <f aca="false">IF($A73="","",IF(AND(E73&lt;N73,R73&lt;S73,M73&lt;=2,I73&gt;-15%),"是","否"))</f>
        <v/>
      </c>
      <c r="W68" s="39" t="str">
        <f aca="false">IF($A73="","",IF(OR(M73&gt;=3,I73&lt;=-15%),"是","否"))</f>
        <v/>
      </c>
      <c r="X68" s="35" t="str">
        <f aca="false">IF($A73="","",IFERROR(maxifs(候选池!$AB:$AB,候选池!$A:$A,$A73),0))</f>
        <v/>
      </c>
      <c r="Y68" s="35" t="str">
        <f aca="false">IF($A73="","",IF(OR(M73&gt;=4,I73&lt;=-8%),MAX(0,B73*60%-C73),IF(AND(ISNUMBER(AD73),B73&gt;AD73),IF(B73&lt;30000,0,IF(B73&lt;100000,MAX(0,(B73-AD73)*0.2),MAX(0,(B73-AD73)*0.3))),0)))</f>
        <v/>
      </c>
      <c r="Z68" s="30"/>
      <c r="AA68" s="39" t="str">
        <f aca="false">IF($A73="","",IF($AA$2&lt;&gt;"",$AA$2,""))</f>
        <v/>
      </c>
      <c r="AB68" s="30" t="str">
        <f aca="false">IF($A73="","",IF(B73&lt;30000,0.03,IF(B73&lt;100000,0.02,0.015)))</f>
        <v/>
      </c>
      <c r="AC68" s="38" t="str">
        <f aca="false">IF($A73="","",IFERROR(DATEDIF($A$2,$A73,"m"),0))</f>
        <v/>
      </c>
      <c r="AD68" s="35" t="str">
        <f aca="false">IF($A73="","",IF(OR(AA73="",AB73="",AC73=""),"",AA73*POWER(1+AB73,AC73)))</f>
        <v/>
      </c>
      <c r="AE68" s="47" t="str">
        <f aca="false">IF($A73="","",IF(OR(AD73="",AD73=0),"",B73/AD73-1))</f>
        <v/>
      </c>
      <c r="AG68" s="1" t="str">
        <f aca="false">IF($A73="","",IF(B73&lt;30000,"婴儿",IF(B73&lt;100000,"成长","成熟")))</f>
        <v/>
      </c>
      <c r="AH68" s="42"/>
      <c r="AJ68" s="42"/>
      <c r="AK68" s="42"/>
      <c r="AM68" s="42"/>
      <c r="AP68" s="32"/>
      <c r="AQ68" s="43" t="str">
        <f aca="false">IF($A73="","",B73-$AA$2-SUM($F$2:F73))</f>
        <v/>
      </c>
      <c r="AR68" s="1" t="str">
        <f aca="false">IF($A72="","",30000)</f>
        <v/>
      </c>
      <c r="AS68" s="1" t="str">
        <f aca="false">IF($A72="","",AR72-B72)</f>
        <v/>
      </c>
      <c r="AT68" s="1" t="str">
        <f aca="false">IF($A72="","",IFERROR(B72/AR72,0))</f>
        <v/>
      </c>
      <c r="AU68" s="1" t="str">
        <f aca="false">IF($A72="","",IFERROR(B72*O72,0))</f>
        <v/>
      </c>
      <c r="AV68" s="1" t="str">
        <f aca="false">IF($A72="","",IFERROR(C72/B72,0))</f>
        <v/>
      </c>
      <c r="AW68" s="1" t="str">
        <f aca="false">IF($A72="","",MAX(0,R72-S72))</f>
        <v/>
      </c>
      <c r="AX68" s="1" t="str">
        <f aca="false">IF($A72="","",IF(AW72&gt;0,"优先降持仓数",IF(C72&lt;=0,"现金不足","允许评估")))</f>
        <v/>
      </c>
      <c r="AY68" s="1" t="str">
        <f aca="false">IF($A72="","",IF(B72&lt;30000,"婴儿阶段: 优先活下来,禁止单票失控,限制持仓数,服务3W目标","幼儿阶段达成"))</f>
        <v/>
      </c>
    </row>
    <row r="69" customFormat="false" ht="15" hidden="false" customHeight="true" outlineLevel="0" collapsed="false">
      <c r="A69" s="28"/>
      <c r="B69" s="34"/>
      <c r="C69" s="34"/>
      <c r="D69" s="35" t="str">
        <f aca="false">IF($A74="","",SUMIFS(持仓表!$J:$J,持仓表!$A:$A,$A74))</f>
        <v/>
      </c>
      <c r="E69" s="36" t="n">
        <f aca="false">IFERROR(D74/B74,0)</f>
        <v>0</v>
      </c>
      <c r="F69" s="34"/>
      <c r="G69" s="35" t="str">
        <f aca="false">IF($B74="","",MAX($B$2:B74))</f>
        <v/>
      </c>
      <c r="H69" s="36" t="n">
        <f aca="false">IFERROR((B74-F74)/F74,0)</f>
        <v>0</v>
      </c>
      <c r="I69" s="36" t="n">
        <f aca="false">IFERROR((B74-G74)/G74,0)</f>
        <v>0</v>
      </c>
      <c r="J69" s="28"/>
      <c r="K69" s="29"/>
      <c r="L69" s="37"/>
      <c r="M69" s="37"/>
      <c r="N69" s="36" t="str">
        <f aca="false">IF($B74="","",MIN(70%,IF($I74&lt;=-15%,10%,IF($I74&lt;=-10%,30%,IF($M74&gt;=4,10%,IF($M74&gt;=3,30%,IF($J74="强",IF($K74="A",70%,IF($K74="B",60%,40%)),IF($J74="中性",IF($K74="A",50%,IF($K74="B",40%,25%)),IF($K74="A",30%,IF($K74="B",20%,10%))))))))))</f>
        <v/>
      </c>
      <c r="O69" s="36" t="str">
        <f aca="false">IF($B74="","",IF(B74&lt;30000,35%,IF(B74&lt;50000,30%,IF(B74&lt;100000,25%,20%))))</f>
        <v/>
      </c>
      <c r="P69" s="38" t="str">
        <f aca="false">IF($A74="","",COUNTIFS(持仓表!$A:$A,$A74,持仓表!$G:$G,"&gt;0"))</f>
        <v/>
      </c>
      <c r="Q69" s="38" t="str">
        <f aca="false">IF($A74="","",COUNTIFS(持仓表!$A:$A,$A74,持仓表!$D:$D,"是",持仓表!$G:$G,"&gt;0"))</f>
        <v/>
      </c>
      <c r="R69" s="38" t="str">
        <f aca="false">IF($A74="","",MAX(0,P74-Q74))</f>
        <v/>
      </c>
      <c r="S69" s="38" t="str">
        <f aca="false">IF($B74="","",IF(B74&lt;50000,3,IF(B74&lt;100000,4,5)))</f>
        <v/>
      </c>
      <c r="T69" s="39" t="str">
        <f aca="false">IF($A74="","",IF(OR(M74&gt;=4,I74&lt;=-8%),"防守",IF(OR(M74&gt;=2,I74&lt;=-5%),"警戒","正常")))</f>
        <v/>
      </c>
      <c r="U69" s="39" t="str">
        <f aca="false">IF($A74="","",IF(AND(L74&gt;=3,M74&lt;=2,T74&lt;&gt;"防守"),"是","否"))</f>
        <v/>
      </c>
      <c r="V69" s="39" t="str">
        <f aca="false">IF($A74="","",IF(AND(E74&lt;N74,R74&lt;S74,M74&lt;=2,I74&gt;-15%),"是","否"))</f>
        <v/>
      </c>
      <c r="W69" s="39" t="str">
        <f aca="false">IF($A74="","",IF(OR(M74&gt;=3,I74&lt;=-15%),"是","否"))</f>
        <v/>
      </c>
      <c r="X69" s="35" t="str">
        <f aca="false">IF($A74="","",IFERROR(maxifs(候选池!$AB:$AB,候选池!$A:$A,$A74),0))</f>
        <v/>
      </c>
      <c r="Y69" s="35" t="str">
        <f aca="false">IF($A74="","",IF(OR(M74&gt;=4,I74&lt;=-8%),MAX(0,B74*60%-C74),IF(AND(ISNUMBER(AD74),B74&gt;AD74),IF(B74&lt;30000,0,IF(B74&lt;100000,MAX(0,(B74-AD74)*0.2),MAX(0,(B74-AD74)*0.3))),0)))</f>
        <v/>
      </c>
      <c r="Z69" s="28"/>
      <c r="AA69" s="39" t="str">
        <f aca="false">IF($A74="","",IF($AA$2&lt;&gt;"",$AA$2,""))</f>
        <v/>
      </c>
      <c r="AB69" s="28" t="str">
        <f aca="false">IF($A74="","",IF(B74&lt;30000,0.03,IF(B74&lt;100000,0.02,0.015)))</f>
        <v/>
      </c>
      <c r="AC69" s="38" t="str">
        <f aca="false">IF($A74="","",IFERROR(DATEDIF($A$2,$A74,"m"),0))</f>
        <v/>
      </c>
      <c r="AD69" s="35" t="str">
        <f aca="false">IF($A74="","",IF(OR(AA74="",AB74="",AC74=""),"",AA74*POWER(1+AB74,AC74)))</f>
        <v/>
      </c>
      <c r="AE69" s="41" t="str">
        <f aca="false">IF($A74="","",IF(OR(AD74="",AD74=0),"",B74/AD74-1))</f>
        <v/>
      </c>
      <c r="AG69" s="1" t="str">
        <f aca="false">IF($A74="","",IF(B74&lt;30000,"婴儿",IF(B74&lt;100000,"成长","成熟")))</f>
        <v/>
      </c>
      <c r="AH69" s="42"/>
      <c r="AJ69" s="42"/>
      <c r="AK69" s="42"/>
      <c r="AM69" s="42"/>
      <c r="AP69" s="32"/>
      <c r="AQ69" s="43" t="str">
        <f aca="false">IF($A74="","",B74-$AA$2-SUM($F$2:F74))</f>
        <v/>
      </c>
      <c r="AR69" s="1" t="str">
        <f aca="false">IF($A73="","",30000)</f>
        <v/>
      </c>
      <c r="AS69" s="1" t="str">
        <f aca="false">IF($A73="","",AR73-B73)</f>
        <v/>
      </c>
      <c r="AT69" s="1" t="str">
        <f aca="false">IF($A73="","",IFERROR(B73/AR73,0))</f>
        <v/>
      </c>
      <c r="AU69" s="1" t="str">
        <f aca="false">IF($A73="","",IFERROR(B73*O73,0))</f>
        <v/>
      </c>
      <c r="AV69" s="1" t="str">
        <f aca="false">IF($A73="","",IFERROR(C73/B73,0))</f>
        <v/>
      </c>
      <c r="AW69" s="1" t="str">
        <f aca="false">IF($A73="","",MAX(0,R73-S73))</f>
        <v/>
      </c>
      <c r="AX69" s="1" t="str">
        <f aca="false">IF($A73="","",IF(AW73&gt;0,"优先降持仓数",IF(C73&lt;=0,"现金不足","允许评估")))</f>
        <v/>
      </c>
      <c r="AY69" s="1" t="str">
        <f aca="false">IF($A73="","",IF(B73&lt;30000,"婴儿阶段: 优先活下来,禁止单票失控,限制持仓数,服务3W目标","幼儿阶段达成"))</f>
        <v/>
      </c>
    </row>
    <row r="70" customFormat="false" ht="15" hidden="false" customHeight="true" outlineLevel="0" collapsed="false">
      <c r="A70" s="30"/>
      <c r="B70" s="44"/>
      <c r="C70" s="44"/>
      <c r="D70" s="35" t="str">
        <f aca="false">IF($A75="","",SUMIFS(持仓表!$J:$J,持仓表!$A:$A,$A75))</f>
        <v/>
      </c>
      <c r="E70" s="36" t="n">
        <f aca="false">IFERROR(D75/B75,0)</f>
        <v>0</v>
      </c>
      <c r="F70" s="44"/>
      <c r="G70" s="35" t="str">
        <f aca="false">IF($B75="","",MAX($B$2:B75))</f>
        <v/>
      </c>
      <c r="H70" s="36" t="n">
        <f aca="false">IFERROR((B75-F75)/F75,0)</f>
        <v>0</v>
      </c>
      <c r="I70" s="36" t="n">
        <f aca="false">IFERROR((B75-G75)/G75,0)</f>
        <v>0</v>
      </c>
      <c r="J70" s="30"/>
      <c r="K70" s="31"/>
      <c r="L70" s="45"/>
      <c r="M70" s="45"/>
      <c r="N70" s="36" t="str">
        <f aca="false">IF($B75="","",MIN(70%,IF($I75&lt;=-15%,10%,IF($I75&lt;=-10%,30%,IF($M75&gt;=4,10%,IF($M75&gt;=3,30%,IF($J75="强",IF($K75="A",70%,IF($K75="B",60%,40%)),IF($J75="中性",IF($K75="A",50%,IF($K75="B",40%,25%)),IF($K75="A",30%,IF($K75="B",20%,10%))))))))))</f>
        <v/>
      </c>
      <c r="O70" s="36" t="str">
        <f aca="false">IF($B75="","",IF(B75&lt;30000,35%,IF(B75&lt;50000,30%,IF(B75&lt;100000,25%,20%))))</f>
        <v/>
      </c>
      <c r="P70" s="38" t="str">
        <f aca="false">IF($A75="","",COUNTIFS(持仓表!$A:$A,$A75,持仓表!$G:$G,"&gt;0"))</f>
        <v/>
      </c>
      <c r="Q70" s="38" t="str">
        <f aca="false">IF($A75="","",COUNTIFS(持仓表!$A:$A,$A75,持仓表!$D:$D,"是",持仓表!$G:$G,"&gt;0"))</f>
        <v/>
      </c>
      <c r="R70" s="38" t="str">
        <f aca="false">IF($A75="","",MAX(0,P75-Q75))</f>
        <v/>
      </c>
      <c r="S70" s="38" t="str">
        <f aca="false">IF($B75="","",IF(B75&lt;50000,3,IF(B75&lt;100000,4,5)))</f>
        <v/>
      </c>
      <c r="T70" s="39" t="str">
        <f aca="false">IF($A75="","",IF(OR(M75&gt;=4,I75&lt;=-8%),"防守",IF(OR(M75&gt;=2,I75&lt;=-5%),"警戒","正常")))</f>
        <v/>
      </c>
      <c r="U70" s="39" t="str">
        <f aca="false">IF($A75="","",IF(AND(L75&gt;=3,M75&lt;=2,T75&lt;&gt;"防守"),"是","否"))</f>
        <v/>
      </c>
      <c r="V70" s="39" t="str">
        <f aca="false">IF($A75="","",IF(AND(E75&lt;N75,R75&lt;S75,M75&lt;=2,I75&gt;-15%),"是","否"))</f>
        <v/>
      </c>
      <c r="W70" s="39" t="str">
        <f aca="false">IF($A75="","",IF(OR(M75&gt;=3,I75&lt;=-15%),"是","否"))</f>
        <v/>
      </c>
      <c r="X70" s="35" t="str">
        <f aca="false">IF($A75="","",IFERROR(maxifs(候选池!$AB:$AB,候选池!$A:$A,$A75),0))</f>
        <v/>
      </c>
      <c r="Y70" s="35" t="str">
        <f aca="false">IF($A75="","",IF(OR(M75&gt;=4,I75&lt;=-8%),MAX(0,B75*60%-C75),IF(AND(ISNUMBER(AD75),B75&gt;AD75),IF(B75&lt;30000,0,IF(B75&lt;100000,MAX(0,(B75-AD75)*0.2),MAX(0,(B75-AD75)*0.3))),0)))</f>
        <v/>
      </c>
      <c r="Z70" s="30"/>
      <c r="AA70" s="39" t="str">
        <f aca="false">IF($A75="","",IF($AA$2&lt;&gt;"",$AA$2,""))</f>
        <v/>
      </c>
      <c r="AB70" s="30" t="str">
        <f aca="false">IF($A75="","",IF(B75&lt;30000,0.03,IF(B75&lt;100000,0.02,0.015)))</f>
        <v/>
      </c>
      <c r="AC70" s="38" t="str">
        <f aca="false">IF($A75="","",IFERROR(DATEDIF($A$2,$A75,"m"),0))</f>
        <v/>
      </c>
      <c r="AD70" s="35" t="str">
        <f aca="false">IF($A75="","",IF(OR(AA75="",AB75="",AC75=""),"",AA75*POWER(1+AB75,AC75)))</f>
        <v/>
      </c>
      <c r="AE70" s="47" t="str">
        <f aca="false">IF($A75="","",IF(OR(AD75="",AD75=0),"",B75/AD75-1))</f>
        <v/>
      </c>
      <c r="AG70" s="1" t="str">
        <f aca="false">IF($A75="","",IF(B75&lt;30000,"婴儿",IF(B75&lt;100000,"成长","成熟")))</f>
        <v/>
      </c>
      <c r="AH70" s="42"/>
      <c r="AJ70" s="42"/>
      <c r="AK70" s="42"/>
      <c r="AM70" s="42"/>
      <c r="AP70" s="32"/>
      <c r="AQ70" s="43" t="str">
        <f aca="false">IF($A75="","",B75-$AA$2-SUM($F$2:F75))</f>
        <v/>
      </c>
      <c r="AR70" s="1" t="str">
        <f aca="false">IF($A74="","",30000)</f>
        <v/>
      </c>
      <c r="AS70" s="1" t="str">
        <f aca="false">IF($A74="","",AR74-B74)</f>
        <v/>
      </c>
      <c r="AT70" s="1" t="str">
        <f aca="false">IF($A74="","",IFERROR(B74/AR74,0))</f>
        <v/>
      </c>
      <c r="AU70" s="1" t="str">
        <f aca="false">IF($A74="","",IFERROR(B74*O74,0))</f>
        <v/>
      </c>
      <c r="AV70" s="1" t="str">
        <f aca="false">IF($A74="","",IFERROR(C74/B74,0))</f>
        <v/>
      </c>
      <c r="AW70" s="1" t="str">
        <f aca="false">IF($A74="","",MAX(0,R74-S74))</f>
        <v/>
      </c>
      <c r="AX70" s="1" t="str">
        <f aca="false">IF($A74="","",IF(AW74&gt;0,"优先降持仓数",IF(C74&lt;=0,"现金不足","允许评估")))</f>
        <v/>
      </c>
      <c r="AY70" s="1" t="str">
        <f aca="false">IF($A74="","",IF(B74&lt;30000,"婴儿阶段: 优先活下来,禁止单票失控,限制持仓数,服务3W目标","幼儿阶段达成"))</f>
        <v/>
      </c>
    </row>
    <row r="71" customFormat="false" ht="15" hidden="false" customHeight="true" outlineLevel="0" collapsed="false">
      <c r="A71" s="28"/>
      <c r="B71" s="34"/>
      <c r="C71" s="34"/>
      <c r="D71" s="35" t="str">
        <f aca="false">IF($A76="","",SUMIFS(持仓表!$J:$J,持仓表!$A:$A,$A76))</f>
        <v/>
      </c>
      <c r="E71" s="36" t="n">
        <f aca="false">IFERROR(D76/B76,0)</f>
        <v>0</v>
      </c>
      <c r="F71" s="34"/>
      <c r="G71" s="35" t="str">
        <f aca="false">IF($B76="","",MAX($B$2:B76))</f>
        <v/>
      </c>
      <c r="H71" s="36" t="n">
        <f aca="false">IFERROR((B76-F76)/F76,0)</f>
        <v>0</v>
      </c>
      <c r="I71" s="36" t="n">
        <f aca="false">IFERROR((B76-G76)/G76,0)</f>
        <v>0</v>
      </c>
      <c r="J71" s="28"/>
      <c r="K71" s="29"/>
      <c r="L71" s="37"/>
      <c r="M71" s="37"/>
      <c r="N71" s="36" t="str">
        <f aca="false">IF($B76="","",MIN(70%,IF($I76&lt;=-15%,10%,IF($I76&lt;=-10%,30%,IF($M76&gt;=4,10%,IF($M76&gt;=3,30%,IF($J76="强",IF($K76="A",70%,IF($K76="B",60%,40%)),IF($J76="中性",IF($K76="A",50%,IF($K76="B",40%,25%)),IF($K76="A",30%,IF($K76="B",20%,10%))))))))))</f>
        <v/>
      </c>
      <c r="O71" s="36" t="str">
        <f aca="false">IF($B76="","",IF(B76&lt;30000,35%,IF(B76&lt;50000,30%,IF(B76&lt;100000,25%,20%))))</f>
        <v/>
      </c>
      <c r="P71" s="38" t="str">
        <f aca="false">IF($A76="","",COUNTIFS(持仓表!$A:$A,$A76,持仓表!$G:$G,"&gt;0"))</f>
        <v/>
      </c>
      <c r="Q71" s="38" t="str">
        <f aca="false">IF($A76="","",COUNTIFS(持仓表!$A:$A,$A76,持仓表!$D:$D,"是",持仓表!$G:$G,"&gt;0"))</f>
        <v/>
      </c>
      <c r="R71" s="38" t="str">
        <f aca="false">IF($A76="","",MAX(0,P76-Q76))</f>
        <v/>
      </c>
      <c r="S71" s="38" t="str">
        <f aca="false">IF($B76="","",IF(B76&lt;50000,3,IF(B76&lt;100000,4,5)))</f>
        <v/>
      </c>
      <c r="T71" s="39" t="str">
        <f aca="false">IF($A76="","",IF(OR(M76&gt;=4,I76&lt;=-8%),"防守",IF(OR(M76&gt;=2,I76&lt;=-5%),"警戒","正常")))</f>
        <v/>
      </c>
      <c r="U71" s="39" t="str">
        <f aca="false">IF($A76="","",IF(AND(L76&gt;=3,M76&lt;=2,T76&lt;&gt;"防守"),"是","否"))</f>
        <v/>
      </c>
      <c r="V71" s="39" t="str">
        <f aca="false">IF($A76="","",IF(AND(E76&lt;N76,R76&lt;S76,M76&lt;=2,I76&gt;-15%),"是","否"))</f>
        <v/>
      </c>
      <c r="W71" s="39" t="str">
        <f aca="false">IF($A76="","",IF(OR(M76&gt;=3,I76&lt;=-15%),"是","否"))</f>
        <v/>
      </c>
      <c r="X71" s="35" t="str">
        <f aca="false">IF($A76="","",IFERROR(maxifs(候选池!$AB:$AB,候选池!$A:$A,$A76),0))</f>
        <v/>
      </c>
      <c r="Y71" s="35" t="str">
        <f aca="false">IF($A76="","",IF(OR(M76&gt;=4,I76&lt;=-8%),MAX(0,B76*60%-C76),IF(AND(ISNUMBER(AD76),B76&gt;AD76),IF(B76&lt;30000,0,IF(B76&lt;100000,MAX(0,(B76-AD76)*0.2),MAX(0,(B76-AD76)*0.3))),0)))</f>
        <v/>
      </c>
      <c r="Z71" s="28"/>
      <c r="AA71" s="39" t="str">
        <f aca="false">IF($A76="","",IF($AA$2&lt;&gt;"",$AA$2,""))</f>
        <v/>
      </c>
      <c r="AB71" s="28" t="str">
        <f aca="false">IF($A76="","",IF(B76&lt;30000,0.03,IF(B76&lt;100000,0.02,0.015)))</f>
        <v/>
      </c>
      <c r="AC71" s="38" t="str">
        <f aca="false">IF($A76="","",IFERROR(DATEDIF($A$2,$A76,"m"),0))</f>
        <v/>
      </c>
      <c r="AD71" s="35" t="str">
        <f aca="false">IF($A76="","",IF(OR(AA76="",AB76="",AC76=""),"",AA76*POWER(1+AB76,AC76)))</f>
        <v/>
      </c>
      <c r="AE71" s="41" t="str">
        <f aca="false">IF($A76="","",IF(OR(AD76="",AD76=0),"",B76/AD76-1))</f>
        <v/>
      </c>
      <c r="AG71" s="1" t="str">
        <f aca="false">IF($A76="","",IF(B76&lt;30000,"婴儿",IF(B76&lt;100000,"成长","成熟")))</f>
        <v/>
      </c>
      <c r="AH71" s="42"/>
      <c r="AJ71" s="42"/>
      <c r="AK71" s="42"/>
      <c r="AM71" s="42"/>
      <c r="AP71" s="32"/>
      <c r="AQ71" s="43" t="str">
        <f aca="false">IF($A76="","",B76-$AA$2-SUM($F$2:F76))</f>
        <v/>
      </c>
      <c r="AR71" s="1" t="str">
        <f aca="false">IF($A75="","",30000)</f>
        <v/>
      </c>
      <c r="AS71" s="1" t="str">
        <f aca="false">IF($A75="","",AR75-B75)</f>
        <v/>
      </c>
      <c r="AT71" s="1" t="str">
        <f aca="false">IF($A75="","",IFERROR(B75/AR75,0))</f>
        <v/>
      </c>
      <c r="AU71" s="1" t="str">
        <f aca="false">IF($A75="","",IFERROR(B75*O75,0))</f>
        <v/>
      </c>
      <c r="AV71" s="1" t="str">
        <f aca="false">IF($A75="","",IFERROR(C75/B75,0))</f>
        <v/>
      </c>
      <c r="AW71" s="1" t="str">
        <f aca="false">IF($A75="","",MAX(0,R75-S75))</f>
        <v/>
      </c>
      <c r="AX71" s="1" t="str">
        <f aca="false">IF($A75="","",IF(AW75&gt;0,"优先降持仓数",IF(C75&lt;=0,"现金不足","允许评估")))</f>
        <v/>
      </c>
      <c r="AY71" s="1" t="str">
        <f aca="false">IF($A75="","",IF(B75&lt;30000,"婴儿阶段: 优先活下来,禁止单票失控,限制持仓数,服务3W目标","幼儿阶段达成"))</f>
        <v/>
      </c>
    </row>
    <row r="72" customFormat="false" ht="15" hidden="false" customHeight="true" outlineLevel="0" collapsed="false">
      <c r="A72" s="30"/>
      <c r="B72" s="44"/>
      <c r="C72" s="44"/>
      <c r="D72" s="35" t="str">
        <f aca="false">IF($A77="","",SUMIFS(持仓表!$J:$J,持仓表!$A:$A,$A77))</f>
        <v/>
      </c>
      <c r="E72" s="36" t="n">
        <f aca="false">IFERROR(D77/B77,0)</f>
        <v>0</v>
      </c>
      <c r="F72" s="44"/>
      <c r="G72" s="35" t="str">
        <f aca="false">IF($B77="","",MAX($B$2:B77))</f>
        <v/>
      </c>
      <c r="H72" s="36" t="n">
        <f aca="false">IFERROR((B77-F77)/F77,0)</f>
        <v>0</v>
      </c>
      <c r="I72" s="36" t="n">
        <f aca="false">IFERROR((B77-G77)/G77,0)</f>
        <v>0</v>
      </c>
      <c r="J72" s="30"/>
      <c r="K72" s="31"/>
      <c r="L72" s="45"/>
      <c r="M72" s="45"/>
      <c r="N72" s="36" t="str">
        <f aca="false">IF($B77="","",MIN(70%,IF($I77&lt;=-15%,10%,IF($I77&lt;=-10%,30%,IF($M77&gt;=4,10%,IF($M77&gt;=3,30%,IF($J77="强",IF($K77="A",70%,IF($K77="B",60%,40%)),IF($J77="中性",IF($K77="A",50%,IF($K77="B",40%,25%)),IF($K77="A",30%,IF($K77="B",20%,10%))))))))))</f>
        <v/>
      </c>
      <c r="O72" s="36" t="str">
        <f aca="false">IF($B77="","",IF(B77&lt;30000,35%,IF(B77&lt;50000,30%,IF(B77&lt;100000,25%,20%))))</f>
        <v/>
      </c>
      <c r="P72" s="38" t="str">
        <f aca="false">IF($A77="","",COUNTIFS(持仓表!$A:$A,$A77,持仓表!$G:$G,"&gt;0"))</f>
        <v/>
      </c>
      <c r="Q72" s="38" t="str">
        <f aca="false">IF($A77="","",COUNTIFS(持仓表!$A:$A,$A77,持仓表!$D:$D,"是",持仓表!$G:$G,"&gt;0"))</f>
        <v/>
      </c>
      <c r="R72" s="38" t="str">
        <f aca="false">IF($A77="","",MAX(0,P77-Q77))</f>
        <v/>
      </c>
      <c r="S72" s="38" t="str">
        <f aca="false">IF($B77="","",IF(B77&lt;50000,3,IF(B77&lt;100000,4,5)))</f>
        <v/>
      </c>
      <c r="T72" s="39" t="str">
        <f aca="false">IF($A77="","",IF(OR(M77&gt;=4,I77&lt;=-8%),"防守",IF(OR(M77&gt;=2,I77&lt;=-5%),"警戒","正常")))</f>
        <v/>
      </c>
      <c r="U72" s="39" t="str">
        <f aca="false">IF($A77="","",IF(AND(L77&gt;=3,M77&lt;=2,T77&lt;&gt;"防守"),"是","否"))</f>
        <v/>
      </c>
      <c r="V72" s="39" t="str">
        <f aca="false">IF($A77="","",IF(AND(E77&lt;N77,R77&lt;S77,M77&lt;=2,I77&gt;-15%),"是","否"))</f>
        <v/>
      </c>
      <c r="W72" s="39" t="str">
        <f aca="false">IF($A77="","",IF(OR(M77&gt;=3,I77&lt;=-15%),"是","否"))</f>
        <v/>
      </c>
      <c r="X72" s="35" t="str">
        <f aca="false">IF($A77="","",IFERROR(maxifs(候选池!$AB:$AB,候选池!$A:$A,$A77),0))</f>
        <v/>
      </c>
      <c r="Y72" s="35" t="str">
        <f aca="false">IF($A77="","",IF(OR(M77&gt;=4,I77&lt;=-8%),MAX(0,B77*60%-C77),IF(AND(ISNUMBER(AD77),B77&gt;AD77),IF(B77&lt;30000,0,IF(B77&lt;100000,MAX(0,(B77-AD77)*0.2),MAX(0,(B77-AD77)*0.3))),0)))</f>
        <v/>
      </c>
      <c r="Z72" s="30"/>
      <c r="AA72" s="39" t="str">
        <f aca="false">IF($A77="","",IF($AA$2&lt;&gt;"",$AA$2,""))</f>
        <v/>
      </c>
      <c r="AB72" s="30" t="str">
        <f aca="false">IF($A77="","",IF(B77&lt;30000,0.03,IF(B77&lt;100000,0.02,0.015)))</f>
        <v/>
      </c>
      <c r="AC72" s="38" t="str">
        <f aca="false">IF($A77="","",IFERROR(DATEDIF($A$2,$A77,"m"),0))</f>
        <v/>
      </c>
      <c r="AD72" s="35" t="str">
        <f aca="false">IF($A77="","",IF(OR(AA77="",AB77="",AC77=""),"",AA77*POWER(1+AB77,AC77)))</f>
        <v/>
      </c>
      <c r="AE72" s="47" t="str">
        <f aca="false">IF($A77="","",IF(OR(AD77="",AD77=0),"",B77/AD77-1))</f>
        <v/>
      </c>
      <c r="AG72" s="1" t="str">
        <f aca="false">IF($A77="","",IF(B77&lt;30000,"婴儿",IF(B77&lt;100000,"成长","成熟")))</f>
        <v/>
      </c>
      <c r="AH72" s="42"/>
      <c r="AJ72" s="42"/>
      <c r="AK72" s="42"/>
      <c r="AM72" s="42"/>
      <c r="AP72" s="32"/>
      <c r="AQ72" s="43" t="str">
        <f aca="false">IF($A77="","",B77-$AA$2-SUM($F$2:F77))</f>
        <v/>
      </c>
      <c r="AR72" s="1" t="str">
        <f aca="false">IF($A76="","",30000)</f>
        <v/>
      </c>
      <c r="AS72" s="1" t="str">
        <f aca="false">IF($A76="","",AR76-B76)</f>
        <v/>
      </c>
      <c r="AT72" s="1" t="str">
        <f aca="false">IF($A76="","",IFERROR(B76/AR76,0))</f>
        <v/>
      </c>
      <c r="AU72" s="1" t="str">
        <f aca="false">IF($A76="","",IFERROR(B76*O76,0))</f>
        <v/>
      </c>
      <c r="AV72" s="1" t="str">
        <f aca="false">IF($A76="","",IFERROR(C76/B76,0))</f>
        <v/>
      </c>
      <c r="AW72" s="1" t="str">
        <f aca="false">IF($A76="","",MAX(0,R76-S76))</f>
        <v/>
      </c>
      <c r="AX72" s="1" t="str">
        <f aca="false">IF($A76="","",IF(AW76&gt;0,"优先降持仓数",IF(C76&lt;=0,"现金不足","允许评估")))</f>
        <v/>
      </c>
      <c r="AY72" s="1" t="str">
        <f aca="false">IF($A76="","",IF(B76&lt;30000,"婴儿阶段: 优先活下来,禁止单票失控,限制持仓数,服务3W目标","幼儿阶段达成"))</f>
        <v/>
      </c>
    </row>
    <row r="73" customFormat="false" ht="15" hidden="false" customHeight="true" outlineLevel="0" collapsed="false">
      <c r="A73" s="28"/>
      <c r="B73" s="34"/>
      <c r="C73" s="34"/>
      <c r="D73" s="35" t="str">
        <f aca="false">IF($A78="","",SUMIFS(持仓表!$J:$J,持仓表!$A:$A,$A78))</f>
        <v/>
      </c>
      <c r="E73" s="36" t="n">
        <f aca="false">IFERROR(D78/B78,0)</f>
        <v>0</v>
      </c>
      <c r="F73" s="34"/>
      <c r="G73" s="35" t="str">
        <f aca="false">IF($B78="","",MAX($B$2:B78))</f>
        <v/>
      </c>
      <c r="H73" s="36" t="n">
        <f aca="false">IFERROR((B78-F78)/F78,0)</f>
        <v>0</v>
      </c>
      <c r="I73" s="36" t="n">
        <f aca="false">IFERROR((B78-G78)/G78,0)</f>
        <v>0</v>
      </c>
      <c r="J73" s="28"/>
      <c r="K73" s="29"/>
      <c r="L73" s="37"/>
      <c r="M73" s="37"/>
      <c r="N73" s="36" t="str">
        <f aca="false">IF($B78="","",MIN(70%,IF($I78&lt;=-15%,10%,IF($I78&lt;=-10%,30%,IF($M78&gt;=4,10%,IF($M78&gt;=3,30%,IF($J78="强",IF($K78="A",70%,IF($K78="B",60%,40%)),IF($J78="中性",IF($K78="A",50%,IF($K78="B",40%,25%)),IF($K78="A",30%,IF($K78="B",20%,10%))))))))))</f>
        <v/>
      </c>
      <c r="O73" s="36" t="str">
        <f aca="false">IF($B78="","",IF(B78&lt;30000,35%,IF(B78&lt;50000,30%,IF(B78&lt;100000,25%,20%))))</f>
        <v/>
      </c>
      <c r="P73" s="38" t="str">
        <f aca="false">IF($A78="","",COUNTIFS(持仓表!$A:$A,$A78,持仓表!$G:$G,"&gt;0"))</f>
        <v/>
      </c>
      <c r="Q73" s="38" t="str">
        <f aca="false">IF($A78="","",COUNTIFS(持仓表!$A:$A,$A78,持仓表!$D:$D,"是",持仓表!$G:$G,"&gt;0"))</f>
        <v/>
      </c>
      <c r="R73" s="38" t="str">
        <f aca="false">IF($A78="","",MAX(0,P78-Q78))</f>
        <v/>
      </c>
      <c r="S73" s="38" t="str">
        <f aca="false">IF($B78="","",IF(B78&lt;50000,3,IF(B78&lt;100000,4,5)))</f>
        <v/>
      </c>
      <c r="T73" s="39" t="str">
        <f aca="false">IF($A78="","",IF(OR(M78&gt;=4,I78&lt;=-8%),"防守",IF(OR(M78&gt;=2,I78&lt;=-5%),"警戒","正常")))</f>
        <v/>
      </c>
      <c r="U73" s="39" t="str">
        <f aca="false">IF($A78="","",IF(AND(L78&gt;=3,M78&lt;=2,T78&lt;&gt;"防守"),"是","否"))</f>
        <v/>
      </c>
      <c r="V73" s="39" t="str">
        <f aca="false">IF($A78="","",IF(AND(E78&lt;N78,R78&lt;S78,M78&lt;=2,I78&gt;-15%),"是","否"))</f>
        <v/>
      </c>
      <c r="W73" s="39" t="str">
        <f aca="false">IF($A78="","",IF(OR(M78&gt;=3,I78&lt;=-15%),"是","否"))</f>
        <v/>
      </c>
      <c r="X73" s="35" t="str">
        <f aca="false">IF($A78="","",IFERROR(maxifs(候选池!$AB:$AB,候选池!$A:$A,$A78),0))</f>
        <v/>
      </c>
      <c r="Y73" s="35" t="str">
        <f aca="false">IF($A78="","",IF(OR(M78&gt;=4,I78&lt;=-8%),MAX(0,B78*60%-C78),IF(AND(ISNUMBER(AD78),B78&gt;AD78),IF(B78&lt;30000,0,IF(B78&lt;100000,MAX(0,(B78-AD78)*0.2),MAX(0,(B78-AD78)*0.3))),0)))</f>
        <v/>
      </c>
      <c r="Z73" s="28"/>
      <c r="AA73" s="39" t="str">
        <f aca="false">IF($A78="","",IF($AA$2&lt;&gt;"",$AA$2,""))</f>
        <v/>
      </c>
      <c r="AB73" s="28" t="str">
        <f aca="false">IF($A78="","",IF(B78&lt;30000,0.03,IF(B78&lt;100000,0.02,0.015)))</f>
        <v/>
      </c>
      <c r="AC73" s="38" t="str">
        <f aca="false">IF($A78="","",IFERROR(DATEDIF($A$2,$A78,"m"),0))</f>
        <v/>
      </c>
      <c r="AD73" s="35" t="str">
        <f aca="false">IF($A78="","",IF(OR(AA78="",AB78="",AC78=""),"",AA78*POWER(1+AB78,AC78)))</f>
        <v/>
      </c>
      <c r="AE73" s="41" t="str">
        <f aca="false">IF($A78="","",IF(OR(AD78="",AD78=0),"",B78/AD78-1))</f>
        <v/>
      </c>
      <c r="AG73" s="1" t="str">
        <f aca="false">IF($A78="","",IF(B78&lt;30000,"婴儿",IF(B78&lt;100000,"成长","成熟")))</f>
        <v/>
      </c>
      <c r="AH73" s="42"/>
      <c r="AJ73" s="42"/>
      <c r="AK73" s="42"/>
      <c r="AM73" s="42"/>
      <c r="AP73" s="32"/>
      <c r="AQ73" s="43" t="str">
        <f aca="false">IF($A78="","",B78-$AA$2-SUM($F$2:F78))</f>
        <v/>
      </c>
      <c r="AR73" s="1" t="str">
        <f aca="false">IF($A77="","",30000)</f>
        <v/>
      </c>
      <c r="AS73" s="1" t="str">
        <f aca="false">IF($A77="","",AR77-B77)</f>
        <v/>
      </c>
      <c r="AT73" s="1" t="str">
        <f aca="false">IF($A77="","",IFERROR(B77/AR77,0))</f>
        <v/>
      </c>
      <c r="AU73" s="1" t="str">
        <f aca="false">IF($A77="","",IFERROR(B77*O77,0))</f>
        <v/>
      </c>
      <c r="AV73" s="1" t="str">
        <f aca="false">IF($A77="","",IFERROR(C77/B77,0))</f>
        <v/>
      </c>
      <c r="AW73" s="1" t="str">
        <f aca="false">IF($A77="","",MAX(0,R77-S77))</f>
        <v/>
      </c>
      <c r="AX73" s="1" t="str">
        <f aca="false">IF($A77="","",IF(AW77&gt;0,"优先降持仓数",IF(C77&lt;=0,"现金不足","允许评估")))</f>
        <v/>
      </c>
      <c r="AY73" s="1" t="str">
        <f aca="false">IF($A77="","",IF(B77&lt;30000,"婴儿阶段: 优先活下来,禁止单票失控,限制持仓数,服务3W目标","幼儿阶段达成"))</f>
        <v/>
      </c>
    </row>
    <row r="74" customFormat="false" ht="15" hidden="false" customHeight="true" outlineLevel="0" collapsed="false">
      <c r="A74" s="30"/>
      <c r="B74" s="44"/>
      <c r="C74" s="44"/>
      <c r="D74" s="35" t="str">
        <f aca="false">IF($A79="","",SUMIFS(持仓表!$J:$J,持仓表!$A:$A,$A79))</f>
        <v/>
      </c>
      <c r="E74" s="36" t="n">
        <f aca="false">IFERROR(D79/B79,0)</f>
        <v>0</v>
      </c>
      <c r="F74" s="44"/>
      <c r="G74" s="35" t="str">
        <f aca="false">IF($B79="","",MAX($B$2:B79))</f>
        <v/>
      </c>
      <c r="H74" s="36" t="n">
        <f aca="false">IFERROR((B79-F79)/F79,0)</f>
        <v>0</v>
      </c>
      <c r="I74" s="36" t="n">
        <f aca="false">IFERROR((B79-G79)/G79,0)</f>
        <v>0</v>
      </c>
      <c r="J74" s="30"/>
      <c r="K74" s="31"/>
      <c r="L74" s="45"/>
      <c r="M74" s="45"/>
      <c r="N74" s="36" t="str">
        <f aca="false">IF($B79="","",MIN(70%,IF($I79&lt;=-15%,10%,IF($I79&lt;=-10%,30%,IF($M79&gt;=4,10%,IF($M79&gt;=3,30%,IF($J79="强",IF($K79="A",70%,IF($K79="B",60%,40%)),IF($J79="中性",IF($K79="A",50%,IF($K79="B",40%,25%)),IF($K79="A",30%,IF($K79="B",20%,10%))))))))))</f>
        <v/>
      </c>
      <c r="O74" s="36" t="str">
        <f aca="false">IF($B79="","",IF(B79&lt;30000,35%,IF(B79&lt;50000,30%,IF(B79&lt;100000,25%,20%))))</f>
        <v/>
      </c>
      <c r="P74" s="38" t="str">
        <f aca="false">IF($A79="","",COUNTIFS(持仓表!$A:$A,$A79,持仓表!$G:$G,"&gt;0"))</f>
        <v/>
      </c>
      <c r="Q74" s="38" t="str">
        <f aca="false">IF($A79="","",COUNTIFS(持仓表!$A:$A,$A79,持仓表!$D:$D,"是",持仓表!$G:$G,"&gt;0"))</f>
        <v/>
      </c>
      <c r="R74" s="38" t="str">
        <f aca="false">IF($A79="","",MAX(0,P79-Q79))</f>
        <v/>
      </c>
      <c r="S74" s="38" t="str">
        <f aca="false">IF($B79="","",IF(B79&lt;50000,3,IF(B79&lt;100000,4,5)))</f>
        <v/>
      </c>
      <c r="T74" s="39" t="str">
        <f aca="false">IF($A79="","",IF(OR(M79&gt;=4,I79&lt;=-8%),"防守",IF(OR(M79&gt;=2,I79&lt;=-5%),"警戒","正常")))</f>
        <v/>
      </c>
      <c r="U74" s="39" t="str">
        <f aca="false">IF($A79="","",IF(AND(L79&gt;=3,M79&lt;=2,T79&lt;&gt;"防守"),"是","否"))</f>
        <v/>
      </c>
      <c r="V74" s="39" t="str">
        <f aca="false">IF($A79="","",IF(AND(E79&lt;N79,R79&lt;S79,M79&lt;=2,I79&gt;-15%),"是","否"))</f>
        <v/>
      </c>
      <c r="W74" s="39" t="str">
        <f aca="false">IF($A79="","",IF(OR(M79&gt;=3,I79&lt;=-15%),"是","否"))</f>
        <v/>
      </c>
      <c r="X74" s="35" t="str">
        <f aca="false">IF($A79="","",IFERROR(maxifs(候选池!$AB:$AB,候选池!$A:$A,$A79),0))</f>
        <v/>
      </c>
      <c r="Y74" s="35" t="str">
        <f aca="false">IF($A79="","",IF(OR(M79&gt;=4,I79&lt;=-8%),MAX(0,B79*60%-C79),IF(AND(ISNUMBER(AD79),B79&gt;AD79),IF(B79&lt;30000,0,IF(B79&lt;100000,MAX(0,(B79-AD79)*0.2),MAX(0,(B79-AD79)*0.3))),0)))</f>
        <v/>
      </c>
      <c r="Z74" s="30"/>
      <c r="AA74" s="39" t="str">
        <f aca="false">IF($A79="","",IF($AA$2&lt;&gt;"",$AA$2,""))</f>
        <v/>
      </c>
      <c r="AB74" s="30" t="str">
        <f aca="false">IF($A79="","",IF(B79&lt;30000,0.03,IF(B79&lt;100000,0.02,0.015)))</f>
        <v/>
      </c>
      <c r="AC74" s="38" t="str">
        <f aca="false">IF($A79="","",IFERROR(DATEDIF($A$2,$A79,"m"),0))</f>
        <v/>
      </c>
      <c r="AD74" s="35" t="str">
        <f aca="false">IF($A79="","",IF(OR(AA79="",AB79="",AC79=""),"",AA79*POWER(1+AB79,AC79)))</f>
        <v/>
      </c>
      <c r="AE74" s="47" t="str">
        <f aca="false">IF($A79="","",IF(OR(AD79="",AD79=0),"",B79/AD79-1))</f>
        <v/>
      </c>
      <c r="AG74" s="1" t="str">
        <f aca="false">IF($A79="","",IF(B79&lt;30000,"婴儿",IF(B79&lt;100000,"成长","成熟")))</f>
        <v/>
      </c>
      <c r="AH74" s="42"/>
      <c r="AJ74" s="42"/>
      <c r="AK74" s="42"/>
      <c r="AM74" s="42"/>
      <c r="AP74" s="32"/>
      <c r="AQ74" s="43" t="str">
        <f aca="false">IF($A79="","",B79-$AA$2-SUM($F$2:F79))</f>
        <v/>
      </c>
      <c r="AR74" s="1" t="str">
        <f aca="false">IF($A78="","",30000)</f>
        <v/>
      </c>
      <c r="AS74" s="1" t="str">
        <f aca="false">IF($A78="","",AR78-B78)</f>
        <v/>
      </c>
      <c r="AT74" s="1" t="str">
        <f aca="false">IF($A78="","",IFERROR(B78/AR78,0))</f>
        <v/>
      </c>
      <c r="AU74" s="1" t="str">
        <f aca="false">IF($A78="","",IFERROR(B78*O78,0))</f>
        <v/>
      </c>
      <c r="AV74" s="1" t="str">
        <f aca="false">IF($A78="","",IFERROR(C78/B78,0))</f>
        <v/>
      </c>
      <c r="AW74" s="1" t="str">
        <f aca="false">IF($A78="","",MAX(0,R78-S78))</f>
        <v/>
      </c>
      <c r="AX74" s="1" t="str">
        <f aca="false">IF($A78="","",IF(AW78&gt;0,"优先降持仓数",IF(C78&lt;=0,"现金不足","允许评估")))</f>
        <v/>
      </c>
      <c r="AY74" s="1" t="str">
        <f aca="false">IF($A78="","",IF(B78&lt;30000,"婴儿阶段: 优先活下来,禁止单票失控,限制持仓数,服务3W目标","幼儿阶段达成"))</f>
        <v/>
      </c>
    </row>
    <row r="75" customFormat="false" ht="15" hidden="false" customHeight="true" outlineLevel="0" collapsed="false">
      <c r="A75" s="28"/>
      <c r="B75" s="34"/>
      <c r="C75" s="34"/>
      <c r="D75" s="35" t="str">
        <f aca="false">IF($A80="","",SUMIFS(持仓表!$J:$J,持仓表!$A:$A,$A80))</f>
        <v/>
      </c>
      <c r="E75" s="36" t="n">
        <f aca="false">IFERROR(D80/B80,0)</f>
        <v>0</v>
      </c>
      <c r="F75" s="34"/>
      <c r="G75" s="35" t="str">
        <f aca="false">IF($B80="","",MAX($B$2:B80))</f>
        <v/>
      </c>
      <c r="H75" s="36" t="n">
        <f aca="false">IFERROR((B80-F80)/F80,0)</f>
        <v>0</v>
      </c>
      <c r="I75" s="36" t="n">
        <f aca="false">IFERROR((B80-G80)/G80,0)</f>
        <v>0</v>
      </c>
      <c r="J75" s="28"/>
      <c r="K75" s="29"/>
      <c r="L75" s="37"/>
      <c r="M75" s="37"/>
      <c r="N75" s="36" t="str">
        <f aca="false">IF($B80="","",MIN(70%,IF($I80&lt;=-15%,10%,IF($I80&lt;=-10%,30%,IF($M80&gt;=4,10%,IF($M80&gt;=3,30%,IF($J80="强",IF($K80="A",70%,IF($K80="B",60%,40%)),IF($J80="中性",IF($K80="A",50%,IF($K80="B",40%,25%)),IF($K80="A",30%,IF($K80="B",20%,10%))))))))))</f>
        <v/>
      </c>
      <c r="O75" s="36" t="str">
        <f aca="false">IF($B80="","",IF(B80&lt;30000,35%,IF(B80&lt;50000,30%,IF(B80&lt;100000,25%,20%))))</f>
        <v/>
      </c>
      <c r="P75" s="38" t="str">
        <f aca="false">IF($A80="","",COUNTIFS(持仓表!$A:$A,$A80,持仓表!$G:$G,"&gt;0"))</f>
        <v/>
      </c>
      <c r="Q75" s="38" t="str">
        <f aca="false">IF($A80="","",COUNTIFS(持仓表!$A:$A,$A80,持仓表!$D:$D,"是",持仓表!$G:$G,"&gt;0"))</f>
        <v/>
      </c>
      <c r="R75" s="38" t="str">
        <f aca="false">IF($A80="","",MAX(0,P80-Q80))</f>
        <v/>
      </c>
      <c r="S75" s="38" t="str">
        <f aca="false">IF($B80="","",IF(B80&lt;50000,3,IF(B80&lt;100000,4,5)))</f>
        <v/>
      </c>
      <c r="T75" s="39" t="str">
        <f aca="false">IF($A80="","",IF(OR(M80&gt;=4,I80&lt;=-8%),"防守",IF(OR(M80&gt;=2,I80&lt;=-5%),"警戒","正常")))</f>
        <v/>
      </c>
      <c r="U75" s="39" t="str">
        <f aca="false">IF($A80="","",IF(AND(L80&gt;=3,M80&lt;=2,T80&lt;&gt;"防守"),"是","否"))</f>
        <v/>
      </c>
      <c r="V75" s="39" t="str">
        <f aca="false">IF($A80="","",IF(AND(E80&lt;N80,R80&lt;S80,M80&lt;=2,I80&gt;-15%),"是","否"))</f>
        <v/>
      </c>
      <c r="W75" s="39" t="str">
        <f aca="false">IF($A80="","",IF(OR(M80&gt;=3,I80&lt;=-15%),"是","否"))</f>
        <v/>
      </c>
      <c r="X75" s="35" t="str">
        <f aca="false">IF($A80="","",IFERROR(maxifs(候选池!$AB:$AB,候选池!$A:$A,$A80),0))</f>
        <v/>
      </c>
      <c r="Y75" s="35" t="str">
        <f aca="false">IF($A80="","",IF(OR(M80&gt;=4,I80&lt;=-8%),MAX(0,B80*60%-C80),IF(AND(ISNUMBER(AD80),B80&gt;AD80),IF(B80&lt;30000,0,IF(B80&lt;100000,MAX(0,(B80-AD80)*0.2),MAX(0,(B80-AD80)*0.3))),0)))</f>
        <v/>
      </c>
      <c r="Z75" s="28"/>
      <c r="AA75" s="39" t="str">
        <f aca="false">IF($A80="","",IF($AA$2&lt;&gt;"",$AA$2,""))</f>
        <v/>
      </c>
      <c r="AB75" s="28" t="str">
        <f aca="false">IF($A80="","",IF(B80&lt;30000,0.03,IF(B80&lt;100000,0.02,0.015)))</f>
        <v/>
      </c>
      <c r="AC75" s="38" t="str">
        <f aca="false">IF($A80="","",IFERROR(DATEDIF($A$2,$A80,"m"),0))</f>
        <v/>
      </c>
      <c r="AD75" s="35" t="str">
        <f aca="false">IF($A80="","",IF(OR(AA80="",AB80="",AC80=""),"",AA80*POWER(1+AB80,AC80)))</f>
        <v/>
      </c>
      <c r="AE75" s="41" t="str">
        <f aca="false">IF($A80="","",IF(OR(AD80="",AD80=0),"",B80/AD80-1))</f>
        <v/>
      </c>
      <c r="AG75" s="1" t="str">
        <f aca="false">IF($A80="","",IF(B80&lt;30000,"婴儿",IF(B80&lt;100000,"成长","成熟")))</f>
        <v/>
      </c>
      <c r="AH75" s="42"/>
      <c r="AJ75" s="42"/>
      <c r="AK75" s="42"/>
      <c r="AM75" s="42"/>
      <c r="AP75" s="32"/>
      <c r="AQ75" s="43" t="str">
        <f aca="false">IF($A80="","",B80-$AA$2-SUM($F$2:F80))</f>
        <v/>
      </c>
      <c r="AR75" s="1" t="str">
        <f aca="false">IF($A79="","",30000)</f>
        <v/>
      </c>
      <c r="AS75" s="1" t="str">
        <f aca="false">IF($A79="","",AR79-B79)</f>
        <v/>
      </c>
      <c r="AT75" s="1" t="str">
        <f aca="false">IF($A79="","",IFERROR(B79/AR79,0))</f>
        <v/>
      </c>
      <c r="AU75" s="1" t="str">
        <f aca="false">IF($A79="","",IFERROR(B79*O79,0))</f>
        <v/>
      </c>
      <c r="AV75" s="1" t="str">
        <f aca="false">IF($A79="","",IFERROR(C79/B79,0))</f>
        <v/>
      </c>
      <c r="AW75" s="1" t="str">
        <f aca="false">IF($A79="","",MAX(0,R79-S79))</f>
        <v/>
      </c>
      <c r="AX75" s="1" t="str">
        <f aca="false">IF($A79="","",IF(AW79&gt;0,"优先降持仓数",IF(C79&lt;=0,"现金不足","允许评估")))</f>
        <v/>
      </c>
      <c r="AY75" s="1" t="str">
        <f aca="false">IF($A79="","",IF(B79&lt;30000,"婴儿阶段: 优先活下来,禁止单票失控,限制持仓数,服务3W目标","幼儿阶段达成"))</f>
        <v/>
      </c>
    </row>
    <row r="76" customFormat="false" ht="15" hidden="false" customHeight="true" outlineLevel="0" collapsed="false">
      <c r="A76" s="30"/>
      <c r="B76" s="44"/>
      <c r="C76" s="44"/>
      <c r="D76" s="35" t="str">
        <f aca="false">IF($A81="","",SUMIFS(持仓表!$J:$J,持仓表!$A:$A,$A81))</f>
        <v/>
      </c>
      <c r="E76" s="36" t="n">
        <f aca="false">IFERROR(D81/B81,0)</f>
        <v>0</v>
      </c>
      <c r="F76" s="44"/>
      <c r="G76" s="35" t="str">
        <f aca="false">IF($B81="","",MAX($B$2:B81))</f>
        <v/>
      </c>
      <c r="H76" s="36" t="n">
        <f aca="false">IFERROR((B81-F81)/F81,0)</f>
        <v>0</v>
      </c>
      <c r="I76" s="36" t="n">
        <f aca="false">IFERROR((B81-G81)/G81,0)</f>
        <v>0</v>
      </c>
      <c r="J76" s="30"/>
      <c r="K76" s="31"/>
      <c r="L76" s="45"/>
      <c r="M76" s="45"/>
      <c r="N76" s="36" t="str">
        <f aca="false">IF($B81="","",MIN(70%,IF($I81&lt;=-15%,10%,IF($I81&lt;=-10%,30%,IF($M81&gt;=4,10%,IF($M81&gt;=3,30%,IF($J81="强",IF($K81="A",70%,IF($K81="B",60%,40%)),IF($J81="中性",IF($K81="A",50%,IF($K81="B",40%,25%)),IF($K81="A",30%,IF($K81="B",20%,10%))))))))))</f>
        <v/>
      </c>
      <c r="O76" s="36" t="str">
        <f aca="false">IF($B81="","",IF(B81&lt;30000,35%,IF(B81&lt;50000,30%,IF(B81&lt;100000,25%,20%))))</f>
        <v/>
      </c>
      <c r="P76" s="38" t="str">
        <f aca="false">IF($A81="","",COUNTIFS(持仓表!$A:$A,$A81,持仓表!$G:$G,"&gt;0"))</f>
        <v/>
      </c>
      <c r="Q76" s="38" t="str">
        <f aca="false">IF($A81="","",COUNTIFS(持仓表!$A:$A,$A81,持仓表!$D:$D,"是",持仓表!$G:$G,"&gt;0"))</f>
        <v/>
      </c>
      <c r="R76" s="38" t="str">
        <f aca="false">IF($A81="","",MAX(0,P81-Q81))</f>
        <v/>
      </c>
      <c r="S76" s="38" t="str">
        <f aca="false">IF($B81="","",IF(B81&lt;50000,3,IF(B81&lt;100000,4,5)))</f>
        <v/>
      </c>
      <c r="T76" s="39" t="str">
        <f aca="false">IF($A81="","",IF(OR(M81&gt;=4,I81&lt;=-8%),"防守",IF(OR(M81&gt;=2,I81&lt;=-5%),"警戒","正常")))</f>
        <v/>
      </c>
      <c r="U76" s="39" t="str">
        <f aca="false">IF($A81="","",IF(AND(L81&gt;=3,M81&lt;=2,T81&lt;&gt;"防守"),"是","否"))</f>
        <v/>
      </c>
      <c r="V76" s="39" t="str">
        <f aca="false">IF($A81="","",IF(AND(E81&lt;N81,R81&lt;S81,M81&lt;=2,I81&gt;-15%),"是","否"))</f>
        <v/>
      </c>
      <c r="W76" s="39" t="str">
        <f aca="false">IF($A81="","",IF(OR(M81&gt;=3,I81&lt;=-15%),"是","否"))</f>
        <v/>
      </c>
      <c r="X76" s="35" t="str">
        <f aca="false">IF($A81="","",IFERROR(maxifs(候选池!$AB:$AB,候选池!$A:$A,$A81),0))</f>
        <v/>
      </c>
      <c r="Y76" s="35" t="str">
        <f aca="false">IF($A81="","",IF(OR(M81&gt;=4,I81&lt;=-8%),MAX(0,B81*60%-C81),IF(AND(ISNUMBER(AD81),B81&gt;AD81),IF(B81&lt;30000,0,IF(B81&lt;100000,MAX(0,(B81-AD81)*0.2),MAX(0,(B81-AD81)*0.3))),0)))</f>
        <v/>
      </c>
      <c r="Z76" s="30"/>
      <c r="AA76" s="39" t="str">
        <f aca="false">IF($A81="","",IF($AA$2&lt;&gt;"",$AA$2,""))</f>
        <v/>
      </c>
      <c r="AB76" s="30" t="str">
        <f aca="false">IF($A81="","",IF(B81&lt;30000,0.03,IF(B81&lt;100000,0.02,0.015)))</f>
        <v/>
      </c>
      <c r="AC76" s="38" t="str">
        <f aca="false">IF($A81="","",IFERROR(DATEDIF($A$2,$A81,"m"),0))</f>
        <v/>
      </c>
      <c r="AD76" s="35" t="str">
        <f aca="false">IF($A81="","",IF(OR(AA81="",AB81="",AC81=""),"",AA81*POWER(1+AB81,AC81)))</f>
        <v/>
      </c>
      <c r="AE76" s="47" t="str">
        <f aca="false">IF($A81="","",IF(OR(AD81="",AD81=0),"",B81/AD81-1))</f>
        <v/>
      </c>
      <c r="AG76" s="1" t="str">
        <f aca="false">IF($A81="","",IF(B81&lt;30000,"婴儿",IF(B81&lt;100000,"成长","成熟")))</f>
        <v/>
      </c>
      <c r="AH76" s="42"/>
      <c r="AJ76" s="42"/>
      <c r="AK76" s="42"/>
      <c r="AM76" s="42"/>
      <c r="AP76" s="32"/>
      <c r="AQ76" s="43" t="str">
        <f aca="false">IF($A81="","",B81-$AA$2-SUM($F$2:F81))</f>
        <v/>
      </c>
      <c r="AR76" s="1" t="str">
        <f aca="false">IF($A80="","",30000)</f>
        <v/>
      </c>
      <c r="AS76" s="1" t="str">
        <f aca="false">IF($A80="","",AR80-B80)</f>
        <v/>
      </c>
      <c r="AT76" s="1" t="str">
        <f aca="false">IF($A80="","",IFERROR(B80/AR80,0))</f>
        <v/>
      </c>
      <c r="AU76" s="1" t="str">
        <f aca="false">IF($A80="","",IFERROR(B80*O80,0))</f>
        <v/>
      </c>
      <c r="AV76" s="1" t="str">
        <f aca="false">IF($A80="","",IFERROR(C80/B80,0))</f>
        <v/>
      </c>
      <c r="AW76" s="1" t="str">
        <f aca="false">IF($A80="","",MAX(0,R80-S80))</f>
        <v/>
      </c>
      <c r="AX76" s="1" t="str">
        <f aca="false">IF($A80="","",IF(AW80&gt;0,"优先降持仓数",IF(C80&lt;=0,"现金不足","允许评估")))</f>
        <v/>
      </c>
      <c r="AY76" s="1" t="str">
        <f aca="false">IF($A80="","",IF(B80&lt;30000,"婴儿阶段: 优先活下来,禁止单票失控,限制持仓数,服务3W目标","幼儿阶段达成"))</f>
        <v/>
      </c>
    </row>
    <row r="77" customFormat="false" ht="15" hidden="false" customHeight="true" outlineLevel="0" collapsed="false">
      <c r="A77" s="28"/>
      <c r="B77" s="34"/>
      <c r="C77" s="34"/>
      <c r="D77" s="35" t="str">
        <f aca="false">IF($A82="","",SUMIFS(持仓表!$J:$J,持仓表!$A:$A,$A82))</f>
        <v/>
      </c>
      <c r="E77" s="36" t="n">
        <f aca="false">IFERROR(D82/B82,0)</f>
        <v>0</v>
      </c>
      <c r="F77" s="34"/>
      <c r="G77" s="35" t="str">
        <f aca="false">IF($B82="","",MAX($B$2:B82))</f>
        <v/>
      </c>
      <c r="H77" s="36" t="n">
        <f aca="false">IFERROR((B82-F82)/F82,0)</f>
        <v>0</v>
      </c>
      <c r="I77" s="36" t="n">
        <f aca="false">IFERROR((B82-G82)/G82,0)</f>
        <v>0</v>
      </c>
      <c r="J77" s="28"/>
      <c r="K77" s="29"/>
      <c r="L77" s="37"/>
      <c r="M77" s="37"/>
      <c r="N77" s="36" t="str">
        <f aca="false">IF($B82="","",MIN(70%,IF($I82&lt;=-15%,10%,IF($I82&lt;=-10%,30%,IF($M82&gt;=4,10%,IF($M82&gt;=3,30%,IF($J82="强",IF($K82="A",70%,IF($K82="B",60%,40%)),IF($J82="中性",IF($K82="A",50%,IF($K82="B",40%,25%)),IF($K82="A",30%,IF($K82="B",20%,10%))))))))))</f>
        <v/>
      </c>
      <c r="O77" s="36" t="str">
        <f aca="false">IF($B82="","",IF(B82&lt;30000,35%,IF(B82&lt;50000,30%,IF(B82&lt;100000,25%,20%))))</f>
        <v/>
      </c>
      <c r="P77" s="38" t="str">
        <f aca="false">IF($A82="","",COUNTIFS(持仓表!$A:$A,$A82,持仓表!$G:$G,"&gt;0"))</f>
        <v/>
      </c>
      <c r="Q77" s="38" t="str">
        <f aca="false">IF($A82="","",COUNTIFS(持仓表!$A:$A,$A82,持仓表!$D:$D,"是",持仓表!$G:$G,"&gt;0"))</f>
        <v/>
      </c>
      <c r="R77" s="38" t="str">
        <f aca="false">IF($A82="","",MAX(0,P82-Q82))</f>
        <v/>
      </c>
      <c r="S77" s="38" t="str">
        <f aca="false">IF($B82="","",IF(B82&lt;50000,3,IF(B82&lt;100000,4,5)))</f>
        <v/>
      </c>
      <c r="T77" s="39" t="str">
        <f aca="false">IF($A82="","",IF(OR(M82&gt;=4,I82&lt;=-8%),"防守",IF(OR(M82&gt;=2,I82&lt;=-5%),"警戒","正常")))</f>
        <v/>
      </c>
      <c r="U77" s="39" t="str">
        <f aca="false">IF($A82="","",IF(AND(L82&gt;=3,M82&lt;=2,T82&lt;&gt;"防守"),"是","否"))</f>
        <v/>
      </c>
      <c r="V77" s="39" t="str">
        <f aca="false">IF($A82="","",IF(AND(E82&lt;N82,R82&lt;S82,M82&lt;=2,I82&gt;-15%),"是","否"))</f>
        <v/>
      </c>
      <c r="W77" s="39" t="str">
        <f aca="false">IF($A82="","",IF(OR(M82&gt;=3,I82&lt;=-15%),"是","否"))</f>
        <v/>
      </c>
      <c r="X77" s="35" t="str">
        <f aca="false">IF($A82="","",IFERROR(maxifs(候选池!$AB:$AB,候选池!$A:$A,$A82),0))</f>
        <v/>
      </c>
      <c r="Y77" s="35" t="str">
        <f aca="false">IF($A82="","",IF(OR(M82&gt;=4,I82&lt;=-8%),MAX(0,B82*60%-C82),IF(AND(ISNUMBER(AD82),B82&gt;AD82),IF(B82&lt;30000,0,IF(B82&lt;100000,MAX(0,(B82-AD82)*0.2),MAX(0,(B82-AD82)*0.3))),0)))</f>
        <v/>
      </c>
      <c r="Z77" s="28"/>
      <c r="AA77" s="39" t="str">
        <f aca="false">IF($A82="","",IF($AA$2&lt;&gt;"",$AA$2,""))</f>
        <v/>
      </c>
      <c r="AB77" s="28" t="str">
        <f aca="false">IF($A82="","",IF(B82&lt;30000,0.03,IF(B82&lt;100000,0.02,0.015)))</f>
        <v/>
      </c>
      <c r="AC77" s="38" t="str">
        <f aca="false">IF($A82="","",IFERROR(DATEDIF($A$2,$A82,"m"),0))</f>
        <v/>
      </c>
      <c r="AD77" s="35" t="str">
        <f aca="false">IF($A82="","",IF(OR(AA82="",AB82="",AC82=""),"",AA82*POWER(1+AB82,AC82)))</f>
        <v/>
      </c>
      <c r="AE77" s="41" t="str">
        <f aca="false">IF($A82="","",IF(OR(AD82="",AD82=0),"",B82/AD82-1))</f>
        <v/>
      </c>
      <c r="AG77" s="1" t="str">
        <f aca="false">IF($A82="","",IF(B82&lt;30000,"婴儿",IF(B82&lt;100000,"成长","成熟")))</f>
        <v/>
      </c>
      <c r="AH77" s="42"/>
      <c r="AJ77" s="42"/>
      <c r="AK77" s="42"/>
      <c r="AM77" s="42"/>
      <c r="AP77" s="32"/>
      <c r="AQ77" s="43" t="str">
        <f aca="false">IF($A82="","",B82-$AA$2-SUM($F$2:F82))</f>
        <v/>
      </c>
      <c r="AR77" s="1" t="str">
        <f aca="false">IF($A81="","",30000)</f>
        <v/>
      </c>
      <c r="AS77" s="1" t="str">
        <f aca="false">IF($A81="","",AR81-B81)</f>
        <v/>
      </c>
      <c r="AT77" s="1" t="str">
        <f aca="false">IF($A81="","",IFERROR(B81/AR81,0))</f>
        <v/>
      </c>
      <c r="AU77" s="1" t="str">
        <f aca="false">IF($A81="","",IFERROR(B81*O81,0))</f>
        <v/>
      </c>
      <c r="AV77" s="1" t="str">
        <f aca="false">IF($A81="","",IFERROR(C81/B81,0))</f>
        <v/>
      </c>
      <c r="AW77" s="1" t="str">
        <f aca="false">IF($A81="","",MAX(0,R81-S81))</f>
        <v/>
      </c>
      <c r="AX77" s="1" t="str">
        <f aca="false">IF($A81="","",IF(AW81&gt;0,"优先降持仓数",IF(C81&lt;=0,"现金不足","允许评估")))</f>
        <v/>
      </c>
      <c r="AY77" s="1" t="str">
        <f aca="false">IF($A81="","",IF(B81&lt;30000,"婴儿阶段: 优先活下来,禁止单票失控,限制持仓数,服务3W目标","幼儿阶段达成"))</f>
        <v/>
      </c>
    </row>
    <row r="78" customFormat="false" ht="15" hidden="false" customHeight="true" outlineLevel="0" collapsed="false">
      <c r="A78" s="30"/>
      <c r="B78" s="44"/>
      <c r="C78" s="44"/>
      <c r="D78" s="35" t="str">
        <f aca="false">IF($A83="","",SUMIFS(持仓表!$J:$J,持仓表!$A:$A,$A83))</f>
        <v/>
      </c>
      <c r="E78" s="36" t="n">
        <f aca="false">IFERROR(D83/B83,0)</f>
        <v>0</v>
      </c>
      <c r="F78" s="44"/>
      <c r="G78" s="35" t="str">
        <f aca="false">IF($B83="","",MAX($B$2:B83))</f>
        <v/>
      </c>
      <c r="H78" s="36" t="n">
        <f aca="false">IFERROR((B83-F83)/F83,0)</f>
        <v>0</v>
      </c>
      <c r="I78" s="36" t="n">
        <f aca="false">IFERROR((B83-G83)/G83,0)</f>
        <v>0</v>
      </c>
      <c r="J78" s="30"/>
      <c r="K78" s="31"/>
      <c r="L78" s="45"/>
      <c r="M78" s="45"/>
      <c r="N78" s="36" t="str">
        <f aca="false">IF($B83="","",MIN(70%,IF($I83&lt;=-15%,10%,IF($I83&lt;=-10%,30%,IF($M83&gt;=4,10%,IF($M83&gt;=3,30%,IF($J83="强",IF($K83="A",70%,IF($K83="B",60%,40%)),IF($J83="中性",IF($K83="A",50%,IF($K83="B",40%,25%)),IF($K83="A",30%,IF($K83="B",20%,10%))))))))))</f>
        <v/>
      </c>
      <c r="O78" s="36" t="str">
        <f aca="false">IF($B83="","",IF(B83&lt;30000,35%,IF(B83&lt;50000,30%,IF(B83&lt;100000,25%,20%))))</f>
        <v/>
      </c>
      <c r="P78" s="38" t="str">
        <f aca="false">IF($A83="","",COUNTIFS(持仓表!$A:$A,$A83,持仓表!$G:$G,"&gt;0"))</f>
        <v/>
      </c>
      <c r="Q78" s="38" t="str">
        <f aca="false">IF($A83="","",COUNTIFS(持仓表!$A:$A,$A83,持仓表!$D:$D,"是",持仓表!$G:$G,"&gt;0"))</f>
        <v/>
      </c>
      <c r="R78" s="38" t="str">
        <f aca="false">IF($A83="","",MAX(0,P83-Q83))</f>
        <v/>
      </c>
      <c r="S78" s="38" t="str">
        <f aca="false">IF($B83="","",IF(B83&lt;50000,3,IF(B83&lt;100000,4,5)))</f>
        <v/>
      </c>
      <c r="T78" s="39" t="str">
        <f aca="false">IF($A83="","",IF(OR(M83&gt;=4,I83&lt;=-8%),"防守",IF(OR(M83&gt;=2,I83&lt;=-5%),"警戒","正常")))</f>
        <v/>
      </c>
      <c r="U78" s="39" t="str">
        <f aca="false">IF($A83="","",IF(AND(L83&gt;=3,M83&lt;=2,T83&lt;&gt;"防守"),"是","否"))</f>
        <v/>
      </c>
      <c r="V78" s="39" t="str">
        <f aca="false">IF($A83="","",IF(AND(E83&lt;N83,R83&lt;S83,M83&lt;=2,I83&gt;-15%),"是","否"))</f>
        <v/>
      </c>
      <c r="W78" s="39" t="str">
        <f aca="false">IF($A83="","",IF(OR(M83&gt;=3,I83&lt;=-15%),"是","否"))</f>
        <v/>
      </c>
      <c r="X78" s="35" t="str">
        <f aca="false">IF($A83="","",IFERROR(maxifs(候选池!$AB:$AB,候选池!$A:$A,$A83),0))</f>
        <v/>
      </c>
      <c r="Y78" s="35" t="str">
        <f aca="false">IF($A83="","",IF(OR(M83&gt;=4,I83&lt;=-8%),MAX(0,B83*60%-C83),IF(AND(ISNUMBER(AD83),B83&gt;AD83),IF(B83&lt;30000,0,IF(B83&lt;100000,MAX(0,(B83-AD83)*0.2),MAX(0,(B83-AD83)*0.3))),0)))</f>
        <v/>
      </c>
      <c r="Z78" s="30"/>
      <c r="AA78" s="39" t="str">
        <f aca="false">IF($A83="","",IF($AA$2&lt;&gt;"",$AA$2,""))</f>
        <v/>
      </c>
      <c r="AB78" s="30" t="str">
        <f aca="false">IF($A83="","",IF(B83&lt;30000,0.03,IF(B83&lt;100000,0.02,0.015)))</f>
        <v/>
      </c>
      <c r="AC78" s="38" t="str">
        <f aca="false">IF($A83="","",IFERROR(DATEDIF($A$2,$A83,"m"),0))</f>
        <v/>
      </c>
      <c r="AD78" s="35" t="str">
        <f aca="false">IF($A83="","",IF(OR(AA83="",AB83="",AC83=""),"",AA83*POWER(1+AB83,AC83)))</f>
        <v/>
      </c>
      <c r="AE78" s="47" t="str">
        <f aca="false">IF($A83="","",IF(OR(AD83="",AD83=0),"",B83/AD83-1))</f>
        <v/>
      </c>
      <c r="AG78" s="1" t="str">
        <f aca="false">IF($A83="","",IF(B83&lt;30000,"婴儿",IF(B83&lt;100000,"成长","成熟")))</f>
        <v/>
      </c>
      <c r="AH78" s="42"/>
      <c r="AJ78" s="42"/>
      <c r="AK78" s="42"/>
      <c r="AM78" s="42"/>
      <c r="AP78" s="32"/>
      <c r="AQ78" s="43" t="str">
        <f aca="false">IF($A83="","",B83-$AA$2-SUM($F$2:F83))</f>
        <v/>
      </c>
      <c r="AR78" s="1" t="str">
        <f aca="false">IF($A82="","",30000)</f>
        <v/>
      </c>
      <c r="AS78" s="1" t="str">
        <f aca="false">IF($A82="","",AR82-B82)</f>
        <v/>
      </c>
      <c r="AT78" s="1" t="str">
        <f aca="false">IF($A82="","",IFERROR(B82/AR82,0))</f>
        <v/>
      </c>
      <c r="AU78" s="1" t="str">
        <f aca="false">IF($A82="","",IFERROR(B82*O82,0))</f>
        <v/>
      </c>
      <c r="AV78" s="1" t="str">
        <f aca="false">IF($A82="","",IFERROR(C82/B82,0))</f>
        <v/>
      </c>
      <c r="AW78" s="1" t="str">
        <f aca="false">IF($A82="","",MAX(0,R82-S82))</f>
        <v/>
      </c>
      <c r="AX78" s="1" t="str">
        <f aca="false">IF($A82="","",IF(AW82&gt;0,"优先降持仓数",IF(C82&lt;=0,"现金不足","允许评估")))</f>
        <v/>
      </c>
      <c r="AY78" s="1" t="str">
        <f aca="false">IF($A82="","",IF(B82&lt;30000,"婴儿阶段: 优先活下来,禁止单票失控,限制持仓数,服务3W目标","幼儿阶段达成"))</f>
        <v/>
      </c>
    </row>
    <row r="79" customFormat="false" ht="15" hidden="false" customHeight="true" outlineLevel="0" collapsed="false">
      <c r="A79" s="28"/>
      <c r="B79" s="34"/>
      <c r="C79" s="34"/>
      <c r="D79" s="35" t="str">
        <f aca="false">IF($A84="","",SUMIFS(持仓表!$J:$J,持仓表!$A:$A,$A84))</f>
        <v/>
      </c>
      <c r="E79" s="36" t="n">
        <f aca="false">IFERROR(D84/B84,0)</f>
        <v>0</v>
      </c>
      <c r="F79" s="34"/>
      <c r="G79" s="35" t="str">
        <f aca="false">IF($B84="","",MAX($B$2:B84))</f>
        <v/>
      </c>
      <c r="H79" s="36" t="n">
        <f aca="false">IFERROR((B84-F84)/F84,0)</f>
        <v>0</v>
      </c>
      <c r="I79" s="36" t="n">
        <f aca="false">IFERROR((B84-G84)/G84,0)</f>
        <v>0</v>
      </c>
      <c r="J79" s="28"/>
      <c r="K79" s="29"/>
      <c r="L79" s="37"/>
      <c r="M79" s="37"/>
      <c r="N79" s="36" t="str">
        <f aca="false">IF($B84="","",MIN(70%,IF($I84&lt;=-15%,10%,IF($I84&lt;=-10%,30%,IF($M84&gt;=4,10%,IF($M84&gt;=3,30%,IF($J84="强",IF($K84="A",70%,IF($K84="B",60%,40%)),IF($J84="中性",IF($K84="A",50%,IF($K84="B",40%,25%)),IF($K84="A",30%,IF($K84="B",20%,10%))))))))))</f>
        <v/>
      </c>
      <c r="O79" s="36" t="str">
        <f aca="false">IF($B84="","",IF(B84&lt;30000,35%,IF(B84&lt;50000,30%,IF(B84&lt;100000,25%,20%))))</f>
        <v/>
      </c>
      <c r="P79" s="38" t="str">
        <f aca="false">IF($A84="","",COUNTIFS(持仓表!$A:$A,$A84,持仓表!$G:$G,"&gt;0"))</f>
        <v/>
      </c>
      <c r="Q79" s="38" t="str">
        <f aca="false">IF($A84="","",COUNTIFS(持仓表!$A:$A,$A84,持仓表!$D:$D,"是",持仓表!$G:$G,"&gt;0"))</f>
        <v/>
      </c>
      <c r="R79" s="38" t="str">
        <f aca="false">IF($A84="","",MAX(0,P84-Q84))</f>
        <v/>
      </c>
      <c r="S79" s="38" t="str">
        <f aca="false">IF($B84="","",IF(B84&lt;50000,3,IF(B84&lt;100000,4,5)))</f>
        <v/>
      </c>
      <c r="T79" s="39" t="str">
        <f aca="false">IF($A84="","",IF(OR(M84&gt;=4,I84&lt;=-8%),"防守",IF(OR(M84&gt;=2,I84&lt;=-5%),"警戒","正常")))</f>
        <v/>
      </c>
      <c r="U79" s="39" t="str">
        <f aca="false">IF($A84="","",IF(AND(L84&gt;=3,M84&lt;=2,T84&lt;&gt;"防守"),"是","否"))</f>
        <v/>
      </c>
      <c r="V79" s="39" t="str">
        <f aca="false">IF($A84="","",IF(AND(E84&lt;N84,R84&lt;S84,M84&lt;=2,I84&gt;-15%),"是","否"))</f>
        <v/>
      </c>
      <c r="W79" s="39" t="str">
        <f aca="false">IF($A84="","",IF(OR(M84&gt;=3,I84&lt;=-15%),"是","否"))</f>
        <v/>
      </c>
      <c r="X79" s="35" t="str">
        <f aca="false">IF($A84="","",IFERROR(maxifs(候选池!$AB:$AB,候选池!$A:$A,$A84),0))</f>
        <v/>
      </c>
      <c r="Y79" s="35" t="str">
        <f aca="false">IF($A84="","",IF(OR(M84&gt;=4,I84&lt;=-8%),MAX(0,B84*60%-C84),IF(AND(ISNUMBER(AD84),B84&gt;AD84),IF(B84&lt;30000,0,IF(B84&lt;100000,MAX(0,(B84-AD84)*0.2),MAX(0,(B84-AD84)*0.3))),0)))</f>
        <v/>
      </c>
      <c r="Z79" s="28"/>
      <c r="AA79" s="39" t="str">
        <f aca="false">IF($A84="","",IF($AA$2&lt;&gt;"",$AA$2,""))</f>
        <v/>
      </c>
      <c r="AB79" s="28" t="str">
        <f aca="false">IF($A84="","",IF(B84&lt;30000,0.03,IF(B84&lt;100000,0.02,0.015)))</f>
        <v/>
      </c>
      <c r="AC79" s="38" t="str">
        <f aca="false">IF($A84="","",IFERROR(DATEDIF($A$2,$A84,"m"),0))</f>
        <v/>
      </c>
      <c r="AD79" s="35" t="str">
        <f aca="false">IF($A84="","",IF(OR(AA84="",AB84="",AC84=""),"",AA84*POWER(1+AB84,AC84)))</f>
        <v/>
      </c>
      <c r="AE79" s="41" t="str">
        <f aca="false">IF($A84="","",IF(OR(AD84="",AD84=0),"",B84/AD84-1))</f>
        <v/>
      </c>
      <c r="AG79" s="1" t="str">
        <f aca="false">IF($A84="","",IF(B84&lt;30000,"婴儿",IF(B84&lt;100000,"成长","成熟")))</f>
        <v/>
      </c>
      <c r="AH79" s="42"/>
      <c r="AJ79" s="42"/>
      <c r="AK79" s="42"/>
      <c r="AM79" s="42"/>
      <c r="AP79" s="32"/>
      <c r="AQ79" s="43" t="str">
        <f aca="false">IF($A84="","",B84-$AA$2-SUM($F$2:F84))</f>
        <v/>
      </c>
      <c r="AR79" s="1" t="str">
        <f aca="false">IF($A83="","",30000)</f>
        <v/>
      </c>
      <c r="AS79" s="1" t="str">
        <f aca="false">IF($A83="","",AR83-B83)</f>
        <v/>
      </c>
      <c r="AT79" s="1" t="str">
        <f aca="false">IF($A83="","",IFERROR(B83/AR83,0))</f>
        <v/>
      </c>
      <c r="AU79" s="1" t="str">
        <f aca="false">IF($A83="","",IFERROR(B83*O83,0))</f>
        <v/>
      </c>
      <c r="AV79" s="1" t="str">
        <f aca="false">IF($A83="","",IFERROR(C83/B83,0))</f>
        <v/>
      </c>
      <c r="AW79" s="1" t="str">
        <f aca="false">IF($A83="","",MAX(0,R83-S83))</f>
        <v/>
      </c>
      <c r="AX79" s="1" t="str">
        <f aca="false">IF($A83="","",IF(AW83&gt;0,"优先降持仓数",IF(C83&lt;=0,"现金不足","允许评估")))</f>
        <v/>
      </c>
      <c r="AY79" s="1" t="str">
        <f aca="false">IF($A83="","",IF(B83&lt;30000,"婴儿阶段: 优先活下来,禁止单票失控,限制持仓数,服务3W目标","幼儿阶段达成"))</f>
        <v/>
      </c>
    </row>
    <row r="80" customFormat="false" ht="15" hidden="false" customHeight="true" outlineLevel="0" collapsed="false">
      <c r="A80" s="30"/>
      <c r="B80" s="44"/>
      <c r="C80" s="44"/>
      <c r="D80" s="35" t="str">
        <f aca="false">IF($A85="","",SUMIFS(持仓表!$J:$J,持仓表!$A:$A,$A85))</f>
        <v/>
      </c>
      <c r="E80" s="36" t="n">
        <f aca="false">IFERROR(D85/B85,0)</f>
        <v>0</v>
      </c>
      <c r="F80" s="44"/>
      <c r="G80" s="35" t="str">
        <f aca="false">IF($B85="","",MAX($B$2:B85))</f>
        <v/>
      </c>
      <c r="H80" s="36" t="n">
        <f aca="false">IFERROR((B85-F85)/F85,0)</f>
        <v>0</v>
      </c>
      <c r="I80" s="36" t="n">
        <f aca="false">IFERROR((B85-G85)/G85,0)</f>
        <v>0</v>
      </c>
      <c r="J80" s="30"/>
      <c r="K80" s="31"/>
      <c r="L80" s="45"/>
      <c r="M80" s="45"/>
      <c r="N80" s="36" t="str">
        <f aca="false">IF($B85="","",MIN(70%,IF($I85&lt;=-15%,10%,IF($I85&lt;=-10%,30%,IF($M85&gt;=4,10%,IF($M85&gt;=3,30%,IF($J85="强",IF($K85="A",70%,IF($K85="B",60%,40%)),IF($J85="中性",IF($K85="A",50%,IF($K85="B",40%,25%)),IF($K85="A",30%,IF($K85="B",20%,10%))))))))))</f>
        <v/>
      </c>
      <c r="O80" s="36" t="str">
        <f aca="false">IF($B85="","",IF(B85&lt;30000,35%,IF(B85&lt;50000,30%,IF(B85&lt;100000,25%,20%))))</f>
        <v/>
      </c>
      <c r="P80" s="38" t="str">
        <f aca="false">IF($A85="","",COUNTIFS(持仓表!$A:$A,$A85,持仓表!$G:$G,"&gt;0"))</f>
        <v/>
      </c>
      <c r="Q80" s="38" t="str">
        <f aca="false">IF($A85="","",COUNTIFS(持仓表!$A:$A,$A85,持仓表!$D:$D,"是",持仓表!$G:$G,"&gt;0"))</f>
        <v/>
      </c>
      <c r="R80" s="38" t="str">
        <f aca="false">IF($A85="","",MAX(0,P85-Q85))</f>
        <v/>
      </c>
      <c r="S80" s="38" t="str">
        <f aca="false">IF($B85="","",IF(B85&lt;50000,3,IF(B85&lt;100000,4,5)))</f>
        <v/>
      </c>
      <c r="T80" s="39" t="str">
        <f aca="false">IF($A85="","",IF(OR(M85&gt;=4,I85&lt;=-8%),"防守",IF(OR(M85&gt;=2,I85&lt;=-5%),"警戒","正常")))</f>
        <v/>
      </c>
      <c r="U80" s="39" t="str">
        <f aca="false">IF($A85="","",IF(AND(L85&gt;=3,M85&lt;=2,T85&lt;&gt;"防守"),"是","否"))</f>
        <v/>
      </c>
      <c r="V80" s="39" t="str">
        <f aca="false">IF($A85="","",IF(AND(E85&lt;N85,R85&lt;S85,M85&lt;=2,I85&gt;-15%),"是","否"))</f>
        <v/>
      </c>
      <c r="W80" s="39" t="str">
        <f aca="false">IF($A85="","",IF(OR(M85&gt;=3,I85&lt;=-15%),"是","否"))</f>
        <v/>
      </c>
      <c r="X80" s="35" t="str">
        <f aca="false">IF($A85="","",IFERROR(maxifs(候选池!$AB:$AB,候选池!$A:$A,$A85),0))</f>
        <v/>
      </c>
      <c r="Y80" s="35" t="str">
        <f aca="false">IF($A85="","",IF(OR(M85&gt;=4,I85&lt;=-8%),MAX(0,B85*60%-C85),IF(AND(ISNUMBER(AD85),B85&gt;AD85),IF(B85&lt;30000,0,IF(B85&lt;100000,MAX(0,(B85-AD85)*0.2),MAX(0,(B85-AD85)*0.3))),0)))</f>
        <v/>
      </c>
      <c r="Z80" s="30"/>
      <c r="AA80" s="39" t="str">
        <f aca="false">IF($A85="","",IF($AA$2&lt;&gt;"",$AA$2,""))</f>
        <v/>
      </c>
      <c r="AB80" s="30" t="str">
        <f aca="false">IF($A85="","",IF(B85&lt;30000,0.03,IF(B85&lt;100000,0.02,0.015)))</f>
        <v/>
      </c>
      <c r="AC80" s="38" t="str">
        <f aca="false">IF($A85="","",IFERROR(DATEDIF($A$2,$A85,"m"),0))</f>
        <v/>
      </c>
      <c r="AD80" s="35" t="str">
        <f aca="false">IF($A85="","",IF(OR(AA85="",AB85="",AC85=""),"",AA85*POWER(1+AB85,AC85)))</f>
        <v/>
      </c>
      <c r="AE80" s="47" t="str">
        <f aca="false">IF($A85="","",IF(OR(AD85="",AD85=0),"",B85/AD85-1))</f>
        <v/>
      </c>
      <c r="AG80" s="1" t="str">
        <f aca="false">IF($A85="","",IF(B85&lt;30000,"婴儿",IF(B85&lt;100000,"成长","成熟")))</f>
        <v/>
      </c>
      <c r="AH80" s="42"/>
      <c r="AJ80" s="42"/>
      <c r="AK80" s="42"/>
      <c r="AM80" s="42"/>
      <c r="AP80" s="32"/>
      <c r="AQ80" s="43" t="str">
        <f aca="false">IF($A85="","",B85-$AA$2-SUM($F$2:F85))</f>
        <v/>
      </c>
      <c r="AR80" s="1" t="str">
        <f aca="false">IF($A84="","",30000)</f>
        <v/>
      </c>
      <c r="AS80" s="1" t="str">
        <f aca="false">IF($A84="","",AR84-B84)</f>
        <v/>
      </c>
      <c r="AT80" s="1" t="str">
        <f aca="false">IF($A84="","",IFERROR(B84/AR84,0))</f>
        <v/>
      </c>
      <c r="AU80" s="1" t="str">
        <f aca="false">IF($A84="","",IFERROR(B84*O84,0))</f>
        <v/>
      </c>
      <c r="AV80" s="1" t="str">
        <f aca="false">IF($A84="","",IFERROR(C84/B84,0))</f>
        <v/>
      </c>
      <c r="AW80" s="1" t="str">
        <f aca="false">IF($A84="","",MAX(0,R84-S84))</f>
        <v/>
      </c>
      <c r="AX80" s="1" t="str">
        <f aca="false">IF($A84="","",IF(AW84&gt;0,"优先降持仓数",IF(C84&lt;=0,"现金不足","允许评估")))</f>
        <v/>
      </c>
      <c r="AY80" s="1" t="str">
        <f aca="false">IF($A84="","",IF(B84&lt;30000,"婴儿阶段: 优先活下来,禁止单票失控,限制持仓数,服务3W目标","幼儿阶段达成"))</f>
        <v/>
      </c>
    </row>
    <row r="81" customFormat="false" ht="15" hidden="false" customHeight="true" outlineLevel="0" collapsed="false">
      <c r="A81" s="28"/>
      <c r="B81" s="34"/>
      <c r="C81" s="34"/>
      <c r="D81" s="35" t="str">
        <f aca="false">IF($A86="","",SUMIFS(持仓表!$J:$J,持仓表!$A:$A,$A86))</f>
        <v/>
      </c>
      <c r="E81" s="36" t="n">
        <f aca="false">IFERROR(D86/B86,0)</f>
        <v>0</v>
      </c>
      <c r="F81" s="34"/>
      <c r="G81" s="35" t="str">
        <f aca="false">IF($B86="","",MAX($B$2:B86))</f>
        <v/>
      </c>
      <c r="H81" s="36" t="n">
        <f aca="false">IFERROR((B86-F86)/F86,0)</f>
        <v>0</v>
      </c>
      <c r="I81" s="36" t="n">
        <f aca="false">IFERROR((B86-G86)/G86,0)</f>
        <v>0</v>
      </c>
      <c r="J81" s="28"/>
      <c r="K81" s="29"/>
      <c r="L81" s="37"/>
      <c r="M81" s="37"/>
      <c r="N81" s="36" t="str">
        <f aca="false">IF($B86="","",MIN(70%,IF($I86&lt;=-15%,10%,IF($I86&lt;=-10%,30%,IF($M86&gt;=4,10%,IF($M86&gt;=3,30%,IF($J86="强",IF($K86="A",70%,IF($K86="B",60%,40%)),IF($J86="中性",IF($K86="A",50%,IF($K86="B",40%,25%)),IF($K86="A",30%,IF($K86="B",20%,10%))))))))))</f>
        <v/>
      </c>
      <c r="O81" s="36" t="str">
        <f aca="false">IF($B86="","",IF(B86&lt;30000,35%,IF(B86&lt;50000,30%,IF(B86&lt;100000,25%,20%))))</f>
        <v/>
      </c>
      <c r="P81" s="38" t="str">
        <f aca="false">IF($A86="","",COUNTIFS(持仓表!$A:$A,$A86,持仓表!$G:$G,"&gt;0"))</f>
        <v/>
      </c>
      <c r="Q81" s="38" t="str">
        <f aca="false">IF($A86="","",COUNTIFS(持仓表!$A:$A,$A86,持仓表!$D:$D,"是",持仓表!$G:$G,"&gt;0"))</f>
        <v/>
      </c>
      <c r="R81" s="38" t="str">
        <f aca="false">IF($A86="","",MAX(0,P86-Q86))</f>
        <v/>
      </c>
      <c r="S81" s="38" t="str">
        <f aca="false">IF($B86="","",IF(B86&lt;50000,3,IF(B86&lt;100000,4,5)))</f>
        <v/>
      </c>
      <c r="T81" s="39" t="str">
        <f aca="false">IF($A86="","",IF(OR(M86&gt;=4,I86&lt;=-8%),"防守",IF(OR(M86&gt;=2,I86&lt;=-5%),"警戒","正常")))</f>
        <v/>
      </c>
      <c r="U81" s="39" t="str">
        <f aca="false">IF($A86="","",IF(AND(L86&gt;=3,M86&lt;=2,T86&lt;&gt;"防守"),"是","否"))</f>
        <v/>
      </c>
      <c r="V81" s="39" t="str">
        <f aca="false">IF($A86="","",IF(AND(E86&lt;N86,R86&lt;S86,M86&lt;=2,I86&gt;-15%),"是","否"))</f>
        <v/>
      </c>
      <c r="W81" s="39" t="str">
        <f aca="false">IF($A86="","",IF(OR(M86&gt;=3,I86&lt;=-15%),"是","否"))</f>
        <v/>
      </c>
      <c r="X81" s="35" t="str">
        <f aca="false">IF($A86="","",IFERROR(maxifs(候选池!$AB:$AB,候选池!$A:$A,$A86),0))</f>
        <v/>
      </c>
      <c r="Y81" s="35" t="str">
        <f aca="false">IF($A86="","",IF(OR(M86&gt;=4,I86&lt;=-8%),MAX(0,B86*60%-C86),IF(AND(ISNUMBER(AD86),B86&gt;AD86),IF(B86&lt;30000,0,IF(B86&lt;100000,MAX(0,(B86-AD86)*0.2),MAX(0,(B86-AD86)*0.3))),0)))</f>
        <v/>
      </c>
      <c r="Z81" s="28"/>
      <c r="AA81" s="39" t="str">
        <f aca="false">IF($A86="","",IF($AA$2&lt;&gt;"",$AA$2,""))</f>
        <v/>
      </c>
      <c r="AB81" s="28" t="str">
        <f aca="false">IF($A86="","",IF(B86&lt;30000,0.03,IF(B86&lt;100000,0.02,0.015)))</f>
        <v/>
      </c>
      <c r="AC81" s="38" t="str">
        <f aca="false">IF($A86="","",IFERROR(DATEDIF($A$2,$A86,"m"),0))</f>
        <v/>
      </c>
      <c r="AD81" s="35" t="str">
        <f aca="false">IF($A86="","",IF(OR(AA86="",AB86="",AC86=""),"",AA86*POWER(1+AB86,AC86)))</f>
        <v/>
      </c>
      <c r="AE81" s="41" t="str">
        <f aca="false">IF($A86="","",IF(OR(AD86="",AD86=0),"",B86/AD86-1))</f>
        <v/>
      </c>
      <c r="AG81" s="1" t="str">
        <f aca="false">IF($A86="","",IF(B86&lt;30000,"婴儿",IF(B86&lt;100000,"成长","成熟")))</f>
        <v/>
      </c>
      <c r="AH81" s="42"/>
      <c r="AJ81" s="42"/>
      <c r="AK81" s="42"/>
      <c r="AM81" s="42"/>
      <c r="AP81" s="32"/>
      <c r="AQ81" s="43" t="str">
        <f aca="false">IF($A86="","",B86-$AA$2-SUM($F$2:F86))</f>
        <v/>
      </c>
      <c r="AR81" s="1" t="str">
        <f aca="false">IF($A85="","",30000)</f>
        <v/>
      </c>
      <c r="AS81" s="1" t="str">
        <f aca="false">IF($A85="","",AR85-B85)</f>
        <v/>
      </c>
      <c r="AT81" s="1" t="str">
        <f aca="false">IF($A85="","",IFERROR(B85/AR85,0))</f>
        <v/>
      </c>
      <c r="AU81" s="1" t="str">
        <f aca="false">IF($A85="","",IFERROR(B85*O85,0))</f>
        <v/>
      </c>
      <c r="AV81" s="1" t="str">
        <f aca="false">IF($A85="","",IFERROR(C85/B85,0))</f>
        <v/>
      </c>
      <c r="AW81" s="1" t="str">
        <f aca="false">IF($A85="","",MAX(0,R85-S85))</f>
        <v/>
      </c>
      <c r="AX81" s="1" t="str">
        <f aca="false">IF($A85="","",IF(AW85&gt;0,"优先降持仓数",IF(C85&lt;=0,"现金不足","允许评估")))</f>
        <v/>
      </c>
      <c r="AY81" s="1" t="str">
        <f aca="false">IF($A85="","",IF(B85&lt;30000,"婴儿阶段: 优先活下来,禁止单票失控,限制持仓数,服务3W目标","幼儿阶段达成"))</f>
        <v/>
      </c>
    </row>
    <row r="82" customFormat="false" ht="15" hidden="false" customHeight="true" outlineLevel="0" collapsed="false">
      <c r="A82" s="30"/>
      <c r="B82" s="44"/>
      <c r="C82" s="44"/>
      <c r="D82" s="35" t="str">
        <f aca="false">IF($A87="","",SUMIFS(持仓表!$J:$J,持仓表!$A:$A,$A87))</f>
        <v/>
      </c>
      <c r="E82" s="36" t="n">
        <f aca="false">IFERROR(D87/B87,0)</f>
        <v>0</v>
      </c>
      <c r="F82" s="44"/>
      <c r="G82" s="35" t="str">
        <f aca="false">IF($B87="","",MAX($B$2:B87))</f>
        <v/>
      </c>
      <c r="H82" s="36" t="n">
        <f aca="false">IFERROR((B87-F87)/F87,0)</f>
        <v>0</v>
      </c>
      <c r="I82" s="36" t="n">
        <f aca="false">IFERROR((B87-G87)/G87,0)</f>
        <v>0</v>
      </c>
      <c r="J82" s="30"/>
      <c r="K82" s="31"/>
      <c r="L82" s="45"/>
      <c r="M82" s="45"/>
      <c r="N82" s="36" t="str">
        <f aca="false">IF($B87="","",MIN(70%,IF($I87&lt;=-15%,10%,IF($I87&lt;=-10%,30%,IF($M87&gt;=4,10%,IF($M87&gt;=3,30%,IF($J87="强",IF($K87="A",70%,IF($K87="B",60%,40%)),IF($J87="中性",IF($K87="A",50%,IF($K87="B",40%,25%)),IF($K87="A",30%,IF($K87="B",20%,10%))))))))))</f>
        <v/>
      </c>
      <c r="O82" s="36" t="str">
        <f aca="false">IF($B87="","",IF(B87&lt;30000,35%,IF(B87&lt;50000,30%,IF(B87&lt;100000,25%,20%))))</f>
        <v/>
      </c>
      <c r="P82" s="38" t="str">
        <f aca="false">IF($A87="","",COUNTIFS(持仓表!$A:$A,$A87,持仓表!$G:$G,"&gt;0"))</f>
        <v/>
      </c>
      <c r="Q82" s="38" t="str">
        <f aca="false">IF($A87="","",COUNTIFS(持仓表!$A:$A,$A87,持仓表!$D:$D,"是",持仓表!$G:$G,"&gt;0"))</f>
        <v/>
      </c>
      <c r="R82" s="38" t="str">
        <f aca="false">IF($A87="","",MAX(0,P87-Q87))</f>
        <v/>
      </c>
      <c r="S82" s="38" t="str">
        <f aca="false">IF($B87="","",IF(B87&lt;50000,3,IF(B87&lt;100000,4,5)))</f>
        <v/>
      </c>
      <c r="T82" s="39" t="str">
        <f aca="false">IF($A87="","",IF(OR(M87&gt;=4,I87&lt;=-8%),"防守",IF(OR(M87&gt;=2,I87&lt;=-5%),"警戒","正常")))</f>
        <v/>
      </c>
      <c r="U82" s="39" t="str">
        <f aca="false">IF($A87="","",IF(AND(L87&gt;=3,M87&lt;=2,T87&lt;&gt;"防守"),"是","否"))</f>
        <v/>
      </c>
      <c r="V82" s="39" t="str">
        <f aca="false">IF($A87="","",IF(AND(E87&lt;N87,R87&lt;S87,M87&lt;=2,I87&gt;-15%),"是","否"))</f>
        <v/>
      </c>
      <c r="W82" s="39" t="str">
        <f aca="false">IF($A87="","",IF(OR(M87&gt;=3,I87&lt;=-15%),"是","否"))</f>
        <v/>
      </c>
      <c r="X82" s="35" t="str">
        <f aca="false">IF($A87="","",IFERROR(maxifs(候选池!$AB:$AB,候选池!$A:$A,$A87),0))</f>
        <v/>
      </c>
      <c r="Y82" s="35" t="str">
        <f aca="false">IF($A87="","",IF(OR(M87&gt;=4,I87&lt;=-8%),MAX(0,B87*60%-C87),IF(AND(ISNUMBER(AD87),B87&gt;AD87),IF(B87&lt;30000,0,IF(B87&lt;100000,MAX(0,(B87-AD87)*0.2),MAX(0,(B87-AD87)*0.3))),0)))</f>
        <v/>
      </c>
      <c r="Z82" s="30"/>
      <c r="AA82" s="39" t="str">
        <f aca="false">IF($A87="","",IF($AA$2&lt;&gt;"",$AA$2,""))</f>
        <v/>
      </c>
      <c r="AB82" s="30" t="str">
        <f aca="false">IF($A87="","",IF(B87&lt;30000,0.03,IF(B87&lt;100000,0.02,0.015)))</f>
        <v/>
      </c>
      <c r="AC82" s="38" t="str">
        <f aca="false">IF($A87="","",IFERROR(DATEDIF($A$2,$A87,"m"),0))</f>
        <v/>
      </c>
      <c r="AD82" s="35" t="str">
        <f aca="false">IF($A87="","",IF(OR(AA87="",AB87="",AC87=""),"",AA87*POWER(1+AB87,AC87)))</f>
        <v/>
      </c>
      <c r="AE82" s="47" t="str">
        <f aca="false">IF($A87="","",IF(OR(AD87="",AD87=0),"",B87/AD87-1))</f>
        <v/>
      </c>
      <c r="AG82" s="1" t="str">
        <f aca="false">IF($A87="","",IF(B87&lt;30000,"婴儿",IF(B87&lt;100000,"成长","成熟")))</f>
        <v/>
      </c>
      <c r="AH82" s="42"/>
      <c r="AJ82" s="42"/>
      <c r="AK82" s="42"/>
      <c r="AM82" s="42"/>
      <c r="AP82" s="32"/>
      <c r="AQ82" s="43" t="str">
        <f aca="false">IF($A87="","",B87-$AA$2-SUM($F$2:F87))</f>
        <v/>
      </c>
      <c r="AR82" s="1" t="str">
        <f aca="false">IF($A86="","",30000)</f>
        <v/>
      </c>
      <c r="AS82" s="1" t="str">
        <f aca="false">IF($A86="","",AR86-B86)</f>
        <v/>
      </c>
      <c r="AT82" s="1" t="str">
        <f aca="false">IF($A86="","",IFERROR(B86/AR86,0))</f>
        <v/>
      </c>
      <c r="AU82" s="1" t="str">
        <f aca="false">IF($A86="","",IFERROR(B86*O86,0))</f>
        <v/>
      </c>
      <c r="AV82" s="1" t="str">
        <f aca="false">IF($A86="","",IFERROR(C86/B86,0))</f>
        <v/>
      </c>
      <c r="AW82" s="1" t="str">
        <f aca="false">IF($A86="","",MAX(0,R86-S86))</f>
        <v/>
      </c>
      <c r="AX82" s="1" t="str">
        <f aca="false">IF($A86="","",IF(AW86&gt;0,"优先降持仓数",IF(C86&lt;=0,"现金不足","允许评估")))</f>
        <v/>
      </c>
      <c r="AY82" s="1" t="str">
        <f aca="false">IF($A86="","",IF(B86&lt;30000,"婴儿阶段: 优先活下来,禁止单票失控,限制持仓数,服务3W目标","幼儿阶段达成"))</f>
        <v/>
      </c>
    </row>
    <row r="83" customFormat="false" ht="15" hidden="false" customHeight="true" outlineLevel="0" collapsed="false">
      <c r="A83" s="28"/>
      <c r="B83" s="34"/>
      <c r="C83" s="34"/>
      <c r="D83" s="35" t="str">
        <f aca="false">IF($A88="","",SUMIFS(持仓表!$J:$J,持仓表!$A:$A,$A88))</f>
        <v/>
      </c>
      <c r="E83" s="36" t="n">
        <f aca="false">IFERROR(D88/B88,0)</f>
        <v>0</v>
      </c>
      <c r="F83" s="34"/>
      <c r="G83" s="35" t="str">
        <f aca="false">IF($B88="","",MAX($B$2:B88))</f>
        <v/>
      </c>
      <c r="H83" s="36" t="n">
        <f aca="false">IFERROR((B88-F88)/F88,0)</f>
        <v>0</v>
      </c>
      <c r="I83" s="36" t="n">
        <f aca="false">IFERROR((B88-G88)/G88,0)</f>
        <v>0</v>
      </c>
      <c r="J83" s="28"/>
      <c r="K83" s="29"/>
      <c r="L83" s="37"/>
      <c r="M83" s="37"/>
      <c r="N83" s="36" t="str">
        <f aca="false">IF($B88="","",MIN(70%,IF($I88&lt;=-15%,10%,IF($I88&lt;=-10%,30%,IF($M88&gt;=4,10%,IF($M88&gt;=3,30%,IF($J88="强",IF($K88="A",70%,IF($K88="B",60%,40%)),IF($J88="中性",IF($K88="A",50%,IF($K88="B",40%,25%)),IF($K88="A",30%,IF($K88="B",20%,10%))))))))))</f>
        <v/>
      </c>
      <c r="O83" s="36" t="str">
        <f aca="false">IF($B88="","",IF(B88&lt;30000,35%,IF(B88&lt;50000,30%,IF(B88&lt;100000,25%,20%))))</f>
        <v/>
      </c>
      <c r="P83" s="38" t="str">
        <f aca="false">IF($A88="","",COUNTIFS(持仓表!$A:$A,$A88,持仓表!$G:$G,"&gt;0"))</f>
        <v/>
      </c>
      <c r="Q83" s="38" t="str">
        <f aca="false">IF($A88="","",COUNTIFS(持仓表!$A:$A,$A88,持仓表!$D:$D,"是",持仓表!$G:$G,"&gt;0"))</f>
        <v/>
      </c>
      <c r="R83" s="38" t="str">
        <f aca="false">IF($A88="","",MAX(0,P88-Q88))</f>
        <v/>
      </c>
      <c r="S83" s="38" t="str">
        <f aca="false">IF($B88="","",IF(B88&lt;50000,3,IF(B88&lt;100000,4,5)))</f>
        <v/>
      </c>
      <c r="T83" s="39" t="str">
        <f aca="false">IF($A88="","",IF(OR(M88&gt;=4,I88&lt;=-8%),"防守",IF(OR(M88&gt;=2,I88&lt;=-5%),"警戒","正常")))</f>
        <v/>
      </c>
      <c r="U83" s="39" t="str">
        <f aca="false">IF($A88="","",IF(AND(L88&gt;=3,M88&lt;=2,T88&lt;&gt;"防守"),"是","否"))</f>
        <v/>
      </c>
      <c r="V83" s="39" t="str">
        <f aca="false">IF($A88="","",IF(AND(E88&lt;N88,R88&lt;S88,M88&lt;=2,I88&gt;-15%),"是","否"))</f>
        <v/>
      </c>
      <c r="W83" s="39" t="str">
        <f aca="false">IF($A88="","",IF(OR(M88&gt;=3,I88&lt;=-15%),"是","否"))</f>
        <v/>
      </c>
      <c r="X83" s="35" t="str">
        <f aca="false">IF($A88="","",IFERROR(maxifs(候选池!$AB:$AB,候选池!$A:$A,$A88),0))</f>
        <v/>
      </c>
      <c r="Y83" s="35" t="str">
        <f aca="false">IF($A88="","",IF(OR(M88&gt;=4,I88&lt;=-8%),MAX(0,B88*60%-C88),IF(AND(ISNUMBER(AD88),B88&gt;AD88),IF(B88&lt;30000,0,IF(B88&lt;100000,MAX(0,(B88-AD88)*0.2),MAX(0,(B88-AD88)*0.3))),0)))</f>
        <v/>
      </c>
      <c r="Z83" s="28"/>
      <c r="AA83" s="39" t="str">
        <f aca="false">IF($A88="","",IF($AA$2&lt;&gt;"",$AA$2,""))</f>
        <v/>
      </c>
      <c r="AB83" s="28" t="str">
        <f aca="false">IF($A88="","",IF(B88&lt;30000,0.03,IF(B88&lt;100000,0.02,0.015)))</f>
        <v/>
      </c>
      <c r="AC83" s="38" t="str">
        <f aca="false">IF($A88="","",IFERROR(DATEDIF($A$2,$A88,"m"),0))</f>
        <v/>
      </c>
      <c r="AD83" s="35" t="str">
        <f aca="false">IF($A88="","",IF(OR(AA88="",AB88="",AC88=""),"",AA88*POWER(1+AB88,AC88)))</f>
        <v/>
      </c>
      <c r="AE83" s="41" t="str">
        <f aca="false">IF($A88="","",IF(OR(AD88="",AD88=0),"",B88/AD88-1))</f>
        <v/>
      </c>
      <c r="AG83" s="1" t="str">
        <f aca="false">IF($A88="","",IF(B88&lt;30000,"婴儿",IF(B88&lt;100000,"成长","成熟")))</f>
        <v/>
      </c>
      <c r="AH83" s="42"/>
      <c r="AJ83" s="42"/>
      <c r="AK83" s="42"/>
      <c r="AM83" s="42"/>
      <c r="AP83" s="32"/>
      <c r="AQ83" s="43" t="str">
        <f aca="false">IF($A88="","",B88-$AA$2-SUM($F$2:F88))</f>
        <v/>
      </c>
      <c r="AR83" s="1" t="str">
        <f aca="false">IF($A87="","",30000)</f>
        <v/>
      </c>
      <c r="AS83" s="1" t="str">
        <f aca="false">IF($A87="","",AR87-B87)</f>
        <v/>
      </c>
      <c r="AT83" s="1" t="str">
        <f aca="false">IF($A87="","",IFERROR(B87/AR87,0))</f>
        <v/>
      </c>
      <c r="AU83" s="1" t="str">
        <f aca="false">IF($A87="","",IFERROR(B87*O87,0))</f>
        <v/>
      </c>
      <c r="AV83" s="1" t="str">
        <f aca="false">IF($A87="","",IFERROR(C87/B87,0))</f>
        <v/>
      </c>
      <c r="AW83" s="1" t="str">
        <f aca="false">IF($A87="","",MAX(0,R87-S87))</f>
        <v/>
      </c>
      <c r="AX83" s="1" t="str">
        <f aca="false">IF($A87="","",IF(AW87&gt;0,"优先降持仓数",IF(C87&lt;=0,"现金不足","允许评估")))</f>
        <v/>
      </c>
      <c r="AY83" s="1" t="str">
        <f aca="false">IF($A87="","",IF(B87&lt;30000,"婴儿阶段: 优先活下来,禁止单票失控,限制持仓数,服务3W目标","幼儿阶段达成"))</f>
        <v/>
      </c>
    </row>
    <row r="84" customFormat="false" ht="15" hidden="false" customHeight="true" outlineLevel="0" collapsed="false">
      <c r="A84" s="30"/>
      <c r="B84" s="44"/>
      <c r="C84" s="44"/>
      <c r="D84" s="35" t="str">
        <f aca="false">IF($A89="","",SUMIFS(持仓表!$J:$J,持仓表!$A:$A,$A89))</f>
        <v/>
      </c>
      <c r="E84" s="36" t="n">
        <f aca="false">IFERROR(D89/B89,0)</f>
        <v>0</v>
      </c>
      <c r="F84" s="44"/>
      <c r="G84" s="35" t="str">
        <f aca="false">IF($B89="","",MAX($B$2:B89))</f>
        <v/>
      </c>
      <c r="H84" s="36" t="n">
        <f aca="false">IFERROR((B89-F89)/F89,0)</f>
        <v>0</v>
      </c>
      <c r="I84" s="36" t="n">
        <f aca="false">IFERROR((B89-G89)/G89,0)</f>
        <v>0</v>
      </c>
      <c r="J84" s="30"/>
      <c r="K84" s="31"/>
      <c r="L84" s="45"/>
      <c r="M84" s="45"/>
      <c r="N84" s="36" t="str">
        <f aca="false">IF($B89="","",MIN(70%,IF($I89&lt;=-15%,10%,IF($I89&lt;=-10%,30%,IF($M89&gt;=4,10%,IF($M89&gt;=3,30%,IF($J89="强",IF($K89="A",70%,IF($K89="B",60%,40%)),IF($J89="中性",IF($K89="A",50%,IF($K89="B",40%,25%)),IF($K89="A",30%,IF($K89="B",20%,10%))))))))))</f>
        <v/>
      </c>
      <c r="O84" s="36" t="str">
        <f aca="false">IF($B89="","",IF(B89&lt;30000,35%,IF(B89&lt;50000,30%,IF(B89&lt;100000,25%,20%))))</f>
        <v/>
      </c>
      <c r="P84" s="38" t="str">
        <f aca="false">IF($A89="","",COUNTIFS(持仓表!$A:$A,$A89,持仓表!$G:$G,"&gt;0"))</f>
        <v/>
      </c>
      <c r="Q84" s="38" t="str">
        <f aca="false">IF($A89="","",COUNTIFS(持仓表!$A:$A,$A89,持仓表!$D:$D,"是",持仓表!$G:$G,"&gt;0"))</f>
        <v/>
      </c>
      <c r="R84" s="38" t="str">
        <f aca="false">IF($A89="","",MAX(0,P89-Q89))</f>
        <v/>
      </c>
      <c r="S84" s="38" t="str">
        <f aca="false">IF($B89="","",IF(B89&lt;50000,3,IF(B89&lt;100000,4,5)))</f>
        <v/>
      </c>
      <c r="T84" s="39" t="str">
        <f aca="false">IF($A89="","",IF(OR(M89&gt;=4,I89&lt;=-8%),"防守",IF(OR(M89&gt;=2,I89&lt;=-5%),"警戒","正常")))</f>
        <v/>
      </c>
      <c r="U84" s="39" t="str">
        <f aca="false">IF($A89="","",IF(AND(L89&gt;=3,M89&lt;=2,T89&lt;&gt;"防守"),"是","否"))</f>
        <v/>
      </c>
      <c r="V84" s="39" t="str">
        <f aca="false">IF($A89="","",IF(AND(E89&lt;N89,R89&lt;S89,M89&lt;=2,I89&gt;-15%),"是","否"))</f>
        <v/>
      </c>
      <c r="W84" s="39" t="str">
        <f aca="false">IF($A89="","",IF(OR(M89&gt;=3,I89&lt;=-15%),"是","否"))</f>
        <v/>
      </c>
      <c r="X84" s="35" t="str">
        <f aca="false">IF($A89="","",IFERROR(maxifs(候选池!$AB:$AB,候选池!$A:$A,$A89),0))</f>
        <v/>
      </c>
      <c r="Y84" s="35" t="str">
        <f aca="false">IF($A89="","",IF(OR(M89&gt;=4,I89&lt;=-8%),MAX(0,B89*60%-C89),IF(AND(ISNUMBER(AD89),B89&gt;AD89),IF(B89&lt;30000,0,IF(B89&lt;100000,MAX(0,(B89-AD89)*0.2),MAX(0,(B89-AD89)*0.3))),0)))</f>
        <v/>
      </c>
      <c r="Z84" s="30"/>
      <c r="AA84" s="39" t="str">
        <f aca="false">IF($A89="","",IF($AA$2&lt;&gt;"",$AA$2,""))</f>
        <v/>
      </c>
      <c r="AB84" s="30" t="str">
        <f aca="false">IF($A89="","",IF(B89&lt;30000,0.03,IF(B89&lt;100000,0.02,0.015)))</f>
        <v/>
      </c>
      <c r="AC84" s="38" t="str">
        <f aca="false">IF($A89="","",IFERROR(DATEDIF($A$2,$A89,"m"),0))</f>
        <v/>
      </c>
      <c r="AD84" s="35" t="str">
        <f aca="false">IF($A89="","",IF(OR(AA89="",AB89="",AC89=""),"",AA89*POWER(1+AB89,AC89)))</f>
        <v/>
      </c>
      <c r="AE84" s="47" t="str">
        <f aca="false">IF($A89="","",IF(OR(AD89="",AD89=0),"",B89/AD89-1))</f>
        <v/>
      </c>
      <c r="AG84" s="1" t="str">
        <f aca="false">IF($A89="","",IF(B89&lt;30000,"婴儿",IF(B89&lt;100000,"成长","成熟")))</f>
        <v/>
      </c>
      <c r="AH84" s="42"/>
      <c r="AJ84" s="42"/>
      <c r="AK84" s="42"/>
      <c r="AM84" s="42"/>
      <c r="AP84" s="32"/>
      <c r="AQ84" s="43" t="str">
        <f aca="false">IF($A89="","",B89-$AA$2-SUM($F$2:F89))</f>
        <v/>
      </c>
      <c r="AR84" s="1" t="str">
        <f aca="false">IF($A88="","",30000)</f>
        <v/>
      </c>
      <c r="AS84" s="1" t="str">
        <f aca="false">IF($A88="","",AR88-B88)</f>
        <v/>
      </c>
      <c r="AT84" s="1" t="str">
        <f aca="false">IF($A88="","",IFERROR(B88/AR88,0))</f>
        <v/>
      </c>
      <c r="AU84" s="1" t="str">
        <f aca="false">IF($A88="","",IFERROR(B88*O88,0))</f>
        <v/>
      </c>
      <c r="AV84" s="1" t="str">
        <f aca="false">IF($A88="","",IFERROR(C88/B88,0))</f>
        <v/>
      </c>
      <c r="AW84" s="1" t="str">
        <f aca="false">IF($A88="","",MAX(0,R88-S88))</f>
        <v/>
      </c>
      <c r="AX84" s="1" t="str">
        <f aca="false">IF($A88="","",IF(AW88&gt;0,"优先降持仓数",IF(C88&lt;=0,"现金不足","允许评估")))</f>
        <v/>
      </c>
      <c r="AY84" s="1" t="str">
        <f aca="false">IF($A88="","",IF(B88&lt;30000,"婴儿阶段: 优先活下来,禁止单票失控,限制持仓数,服务3W目标","幼儿阶段达成"))</f>
        <v/>
      </c>
    </row>
    <row r="85" customFormat="false" ht="15" hidden="false" customHeight="true" outlineLevel="0" collapsed="false">
      <c r="A85" s="28"/>
      <c r="B85" s="34"/>
      <c r="C85" s="34"/>
      <c r="D85" s="35" t="str">
        <f aca="false">IF($A90="","",SUMIFS(持仓表!$J:$J,持仓表!$A:$A,$A90))</f>
        <v/>
      </c>
      <c r="E85" s="36" t="n">
        <f aca="false">IFERROR(D90/B90,0)</f>
        <v>0</v>
      </c>
      <c r="F85" s="34"/>
      <c r="G85" s="35" t="str">
        <f aca="false">IF($B90="","",MAX($B$2:B90))</f>
        <v/>
      </c>
      <c r="H85" s="36" t="n">
        <f aca="false">IFERROR((B90-F90)/F90,0)</f>
        <v>0</v>
      </c>
      <c r="I85" s="36" t="n">
        <f aca="false">IFERROR((B90-G90)/G90,0)</f>
        <v>0</v>
      </c>
      <c r="J85" s="28"/>
      <c r="K85" s="29"/>
      <c r="L85" s="37"/>
      <c r="M85" s="37"/>
      <c r="N85" s="36" t="str">
        <f aca="false">IF($B90="","",MIN(70%,IF($I90&lt;=-15%,10%,IF($I90&lt;=-10%,30%,IF($M90&gt;=4,10%,IF($M90&gt;=3,30%,IF($J90="强",IF($K90="A",70%,IF($K90="B",60%,40%)),IF($J90="中性",IF($K90="A",50%,IF($K90="B",40%,25%)),IF($K90="A",30%,IF($K90="B",20%,10%))))))))))</f>
        <v/>
      </c>
      <c r="O85" s="36" t="str">
        <f aca="false">IF($B90="","",IF(B90&lt;30000,35%,IF(B90&lt;50000,30%,IF(B90&lt;100000,25%,20%))))</f>
        <v/>
      </c>
      <c r="P85" s="38" t="str">
        <f aca="false">IF($A90="","",COUNTIFS(持仓表!$A:$A,$A90,持仓表!$G:$G,"&gt;0"))</f>
        <v/>
      </c>
      <c r="Q85" s="38" t="str">
        <f aca="false">IF($A90="","",COUNTIFS(持仓表!$A:$A,$A90,持仓表!$D:$D,"是",持仓表!$G:$G,"&gt;0"))</f>
        <v/>
      </c>
      <c r="R85" s="38" t="str">
        <f aca="false">IF($A90="","",MAX(0,P90-Q90))</f>
        <v/>
      </c>
      <c r="S85" s="38" t="str">
        <f aca="false">IF($B90="","",IF(B90&lt;50000,3,IF(B90&lt;100000,4,5)))</f>
        <v/>
      </c>
      <c r="T85" s="39" t="str">
        <f aca="false">IF($A90="","",IF(OR(M90&gt;=4,I90&lt;=-8%),"防守",IF(OR(M90&gt;=2,I90&lt;=-5%),"警戒","正常")))</f>
        <v/>
      </c>
      <c r="U85" s="39" t="str">
        <f aca="false">IF($A90="","",IF(AND(L90&gt;=3,M90&lt;=2,T90&lt;&gt;"防守"),"是","否"))</f>
        <v/>
      </c>
      <c r="V85" s="39" t="str">
        <f aca="false">IF($A90="","",IF(AND(E90&lt;N90,R90&lt;S90,M90&lt;=2,I90&gt;-15%),"是","否"))</f>
        <v/>
      </c>
      <c r="W85" s="39" t="str">
        <f aca="false">IF($A90="","",IF(OR(M90&gt;=3,I90&lt;=-15%),"是","否"))</f>
        <v/>
      </c>
      <c r="X85" s="35" t="str">
        <f aca="false">IF($A90="","",IFERROR(maxifs(候选池!$AB:$AB,候选池!$A:$A,$A90),0))</f>
        <v/>
      </c>
      <c r="Y85" s="35" t="str">
        <f aca="false">IF($A90="","",IF(OR(M90&gt;=4,I90&lt;=-8%),MAX(0,B90*60%-C90),IF(AND(ISNUMBER(AD90),B90&gt;AD90),IF(B90&lt;30000,0,IF(B90&lt;100000,MAX(0,(B90-AD90)*0.2),MAX(0,(B90-AD90)*0.3))),0)))</f>
        <v/>
      </c>
      <c r="Z85" s="28"/>
      <c r="AA85" s="39" t="str">
        <f aca="false">IF($A90="","",IF($AA$2&lt;&gt;"",$AA$2,""))</f>
        <v/>
      </c>
      <c r="AB85" s="28" t="str">
        <f aca="false">IF($A90="","",IF(B90&lt;30000,0.03,IF(B90&lt;100000,0.02,0.015)))</f>
        <v/>
      </c>
      <c r="AC85" s="38" t="str">
        <f aca="false">IF($A90="","",IFERROR(DATEDIF($A$2,$A90,"m"),0))</f>
        <v/>
      </c>
      <c r="AD85" s="35" t="str">
        <f aca="false">IF($A90="","",IF(OR(AA90="",AB90="",AC90=""),"",AA90*POWER(1+AB90,AC90)))</f>
        <v/>
      </c>
      <c r="AE85" s="41" t="str">
        <f aca="false">IF($A90="","",IF(OR(AD90="",AD90=0),"",B90/AD90-1))</f>
        <v/>
      </c>
      <c r="AG85" s="1" t="str">
        <f aca="false">IF($A90="","",IF(B90&lt;30000,"婴儿",IF(B90&lt;100000,"成长","成熟")))</f>
        <v/>
      </c>
      <c r="AH85" s="42"/>
      <c r="AJ85" s="42"/>
      <c r="AK85" s="42"/>
      <c r="AM85" s="42"/>
      <c r="AP85" s="32"/>
      <c r="AQ85" s="43" t="str">
        <f aca="false">IF($A90="","",B90-$AA$2-SUM($F$2:F90))</f>
        <v/>
      </c>
      <c r="AR85" s="1" t="str">
        <f aca="false">IF($A89="","",30000)</f>
        <v/>
      </c>
      <c r="AS85" s="1" t="str">
        <f aca="false">IF($A89="","",AR89-B89)</f>
        <v/>
      </c>
      <c r="AT85" s="1" t="str">
        <f aca="false">IF($A89="","",IFERROR(B89/AR89,0))</f>
        <v/>
      </c>
      <c r="AU85" s="1" t="str">
        <f aca="false">IF($A89="","",IFERROR(B89*O89,0))</f>
        <v/>
      </c>
      <c r="AV85" s="1" t="str">
        <f aca="false">IF($A89="","",IFERROR(C89/B89,0))</f>
        <v/>
      </c>
      <c r="AW85" s="1" t="str">
        <f aca="false">IF($A89="","",MAX(0,R89-S89))</f>
        <v/>
      </c>
      <c r="AX85" s="1" t="str">
        <f aca="false">IF($A89="","",IF(AW89&gt;0,"优先降持仓数",IF(C89&lt;=0,"现金不足","允许评估")))</f>
        <v/>
      </c>
      <c r="AY85" s="1" t="str">
        <f aca="false">IF($A89="","",IF(B89&lt;30000,"婴儿阶段: 优先活下来,禁止单票失控,限制持仓数,服务3W目标","幼儿阶段达成"))</f>
        <v/>
      </c>
    </row>
    <row r="86" customFormat="false" ht="15" hidden="false" customHeight="true" outlineLevel="0" collapsed="false">
      <c r="A86" s="30"/>
      <c r="B86" s="44"/>
      <c r="C86" s="44"/>
      <c r="D86" s="35" t="str">
        <f aca="false">IF($A91="","",SUMIFS(持仓表!$J:$J,持仓表!$A:$A,$A91))</f>
        <v/>
      </c>
      <c r="E86" s="36" t="n">
        <f aca="false">IFERROR(D91/B91,0)</f>
        <v>0</v>
      </c>
      <c r="F86" s="44"/>
      <c r="G86" s="35" t="str">
        <f aca="false">IF($B91="","",MAX($B$2:B91))</f>
        <v/>
      </c>
      <c r="H86" s="36" t="n">
        <f aca="false">IFERROR((B91-F91)/F91,0)</f>
        <v>0</v>
      </c>
      <c r="I86" s="36" t="n">
        <f aca="false">IFERROR((B91-G91)/G91,0)</f>
        <v>0</v>
      </c>
      <c r="J86" s="30"/>
      <c r="K86" s="31"/>
      <c r="L86" s="45"/>
      <c r="M86" s="45"/>
      <c r="N86" s="36" t="str">
        <f aca="false">IF($B91="","",MIN(70%,IF($I91&lt;=-15%,10%,IF($I91&lt;=-10%,30%,IF($M91&gt;=4,10%,IF($M91&gt;=3,30%,IF($J91="强",IF($K91="A",70%,IF($K91="B",60%,40%)),IF($J91="中性",IF($K91="A",50%,IF($K91="B",40%,25%)),IF($K91="A",30%,IF($K91="B",20%,10%))))))))))</f>
        <v/>
      </c>
      <c r="O86" s="36" t="str">
        <f aca="false">IF($B91="","",IF(B91&lt;30000,35%,IF(B91&lt;50000,30%,IF(B91&lt;100000,25%,20%))))</f>
        <v/>
      </c>
      <c r="P86" s="38" t="str">
        <f aca="false">IF($A91="","",COUNTIFS(持仓表!$A:$A,$A91,持仓表!$G:$G,"&gt;0"))</f>
        <v/>
      </c>
      <c r="Q86" s="38" t="str">
        <f aca="false">IF($A91="","",COUNTIFS(持仓表!$A:$A,$A91,持仓表!$D:$D,"是",持仓表!$G:$G,"&gt;0"))</f>
        <v/>
      </c>
      <c r="R86" s="38" t="str">
        <f aca="false">IF($A91="","",MAX(0,P91-Q91))</f>
        <v/>
      </c>
      <c r="S86" s="38" t="str">
        <f aca="false">IF($B91="","",IF(B91&lt;50000,3,IF(B91&lt;100000,4,5)))</f>
        <v/>
      </c>
      <c r="T86" s="39" t="str">
        <f aca="false">IF($A91="","",IF(OR(M91&gt;=4,I91&lt;=-8%),"防守",IF(OR(M91&gt;=2,I91&lt;=-5%),"警戒","正常")))</f>
        <v/>
      </c>
      <c r="U86" s="39" t="str">
        <f aca="false">IF($A91="","",IF(AND(L91&gt;=3,M91&lt;=2,T91&lt;&gt;"防守"),"是","否"))</f>
        <v/>
      </c>
      <c r="V86" s="39" t="str">
        <f aca="false">IF($A91="","",IF(AND(E91&lt;N91,R91&lt;S91,M91&lt;=2,I91&gt;-15%),"是","否"))</f>
        <v/>
      </c>
      <c r="W86" s="39" t="str">
        <f aca="false">IF($A91="","",IF(OR(M91&gt;=3,I91&lt;=-15%),"是","否"))</f>
        <v/>
      </c>
      <c r="X86" s="35" t="str">
        <f aca="false">IF($A91="","",IFERROR(maxifs(候选池!$AB:$AB,候选池!$A:$A,$A91),0))</f>
        <v/>
      </c>
      <c r="Y86" s="35" t="str">
        <f aca="false">IF($A91="","",IF(OR(M91&gt;=4,I91&lt;=-8%),MAX(0,B91*60%-C91),IF(AND(ISNUMBER(AD91),B91&gt;AD91),IF(B91&lt;30000,0,IF(B91&lt;100000,MAX(0,(B91-AD91)*0.2),MAX(0,(B91-AD91)*0.3))),0)))</f>
        <v/>
      </c>
      <c r="Z86" s="30"/>
      <c r="AA86" s="39" t="str">
        <f aca="false">IF($A91="","",IF($AA$2&lt;&gt;"",$AA$2,""))</f>
        <v/>
      </c>
      <c r="AB86" s="30" t="str">
        <f aca="false">IF($A91="","",IF(B91&lt;30000,0.03,IF(B91&lt;100000,0.02,0.015)))</f>
        <v/>
      </c>
      <c r="AC86" s="38" t="str">
        <f aca="false">IF($A91="","",IFERROR(DATEDIF($A$2,$A91,"m"),0))</f>
        <v/>
      </c>
      <c r="AD86" s="35" t="str">
        <f aca="false">IF($A91="","",IF(OR(AA91="",AB91="",AC91=""),"",AA91*POWER(1+AB91,AC91)))</f>
        <v/>
      </c>
      <c r="AE86" s="47" t="str">
        <f aca="false">IF($A91="","",IF(OR(AD91="",AD91=0),"",B91/AD91-1))</f>
        <v/>
      </c>
      <c r="AG86" s="1" t="str">
        <f aca="false">IF($A91="","",IF(B91&lt;30000,"婴儿",IF(B91&lt;100000,"成长","成熟")))</f>
        <v/>
      </c>
      <c r="AH86" s="42"/>
      <c r="AJ86" s="42"/>
      <c r="AK86" s="42"/>
      <c r="AM86" s="42"/>
      <c r="AP86" s="32"/>
      <c r="AQ86" s="43" t="str">
        <f aca="false">IF($A91="","",B91-$AA$2-SUM($F$2:F91))</f>
        <v/>
      </c>
      <c r="AR86" s="1" t="str">
        <f aca="false">IF($A90="","",30000)</f>
        <v/>
      </c>
      <c r="AS86" s="1" t="str">
        <f aca="false">IF($A90="","",AR90-B90)</f>
        <v/>
      </c>
      <c r="AT86" s="1" t="str">
        <f aca="false">IF($A90="","",IFERROR(B90/AR90,0))</f>
        <v/>
      </c>
      <c r="AU86" s="1" t="str">
        <f aca="false">IF($A90="","",IFERROR(B90*O90,0))</f>
        <v/>
      </c>
      <c r="AV86" s="1" t="str">
        <f aca="false">IF($A90="","",IFERROR(C90/B90,0))</f>
        <v/>
      </c>
      <c r="AW86" s="1" t="str">
        <f aca="false">IF($A90="","",MAX(0,R90-S90))</f>
        <v/>
      </c>
      <c r="AX86" s="1" t="str">
        <f aca="false">IF($A90="","",IF(AW90&gt;0,"优先降持仓数",IF(C90&lt;=0,"现金不足","允许评估")))</f>
        <v/>
      </c>
      <c r="AY86" s="1" t="str">
        <f aca="false">IF($A90="","",IF(B90&lt;30000,"婴儿阶段: 优先活下来,禁止单票失控,限制持仓数,服务3W目标","幼儿阶段达成"))</f>
        <v/>
      </c>
    </row>
    <row r="87" customFormat="false" ht="15" hidden="false" customHeight="true" outlineLevel="0" collapsed="false">
      <c r="A87" s="28"/>
      <c r="B87" s="34"/>
      <c r="C87" s="34"/>
      <c r="D87" s="35" t="str">
        <f aca="false">IF($A92="","",SUMIFS(持仓表!$J:$J,持仓表!$A:$A,$A92))</f>
        <v/>
      </c>
      <c r="E87" s="36" t="n">
        <f aca="false">IFERROR(D92/B92,0)</f>
        <v>0</v>
      </c>
      <c r="F87" s="34"/>
      <c r="G87" s="35" t="str">
        <f aca="false">IF($B92="","",MAX($B$2:B92))</f>
        <v/>
      </c>
      <c r="H87" s="36" t="n">
        <f aca="false">IFERROR((B92-F92)/F92,0)</f>
        <v>0</v>
      </c>
      <c r="I87" s="36" t="n">
        <f aca="false">IFERROR((B92-G92)/G92,0)</f>
        <v>0</v>
      </c>
      <c r="J87" s="28"/>
      <c r="K87" s="29"/>
      <c r="L87" s="37"/>
      <c r="M87" s="37"/>
      <c r="N87" s="36" t="str">
        <f aca="false">IF($B92="","",MIN(70%,IF($I92&lt;=-15%,10%,IF($I92&lt;=-10%,30%,IF($M92&gt;=4,10%,IF($M92&gt;=3,30%,IF($J92="强",IF($K92="A",70%,IF($K92="B",60%,40%)),IF($J92="中性",IF($K92="A",50%,IF($K92="B",40%,25%)),IF($K92="A",30%,IF($K92="B",20%,10%))))))))))</f>
        <v/>
      </c>
      <c r="O87" s="36" t="str">
        <f aca="false">IF($B92="","",IF(B92&lt;30000,35%,IF(B92&lt;50000,30%,IF(B92&lt;100000,25%,20%))))</f>
        <v/>
      </c>
      <c r="P87" s="38" t="str">
        <f aca="false">IF($A92="","",COUNTIFS(持仓表!$A:$A,$A92,持仓表!$G:$G,"&gt;0"))</f>
        <v/>
      </c>
      <c r="Q87" s="38" t="str">
        <f aca="false">IF($A92="","",COUNTIFS(持仓表!$A:$A,$A92,持仓表!$D:$D,"是",持仓表!$G:$G,"&gt;0"))</f>
        <v/>
      </c>
      <c r="R87" s="38" t="str">
        <f aca="false">IF($A92="","",MAX(0,P92-Q92))</f>
        <v/>
      </c>
      <c r="S87" s="38" t="str">
        <f aca="false">IF($B92="","",IF(B92&lt;50000,3,IF(B92&lt;100000,4,5)))</f>
        <v/>
      </c>
      <c r="T87" s="39" t="str">
        <f aca="false">IF($A92="","",IF(OR(M92&gt;=4,I92&lt;=-8%),"防守",IF(OR(M92&gt;=2,I92&lt;=-5%),"警戒","正常")))</f>
        <v/>
      </c>
      <c r="U87" s="39" t="str">
        <f aca="false">IF($A92="","",IF(AND(L92&gt;=3,M92&lt;=2,T92&lt;&gt;"防守"),"是","否"))</f>
        <v/>
      </c>
      <c r="V87" s="39" t="str">
        <f aca="false">IF($A92="","",IF(AND(E92&lt;N92,R92&lt;S92,M92&lt;=2,I92&gt;-15%),"是","否"))</f>
        <v/>
      </c>
      <c r="W87" s="39" t="str">
        <f aca="false">IF($A92="","",IF(OR(M92&gt;=3,I92&lt;=-15%),"是","否"))</f>
        <v/>
      </c>
      <c r="X87" s="35" t="str">
        <f aca="false">IF($A92="","",IFERROR(maxifs(候选池!$AB:$AB,候选池!$A:$A,$A92),0))</f>
        <v/>
      </c>
      <c r="Y87" s="35" t="str">
        <f aca="false">IF($A92="","",IF(OR(M92&gt;=4,I92&lt;=-8%),MAX(0,B92*60%-C92),IF(AND(ISNUMBER(AD92),B92&gt;AD92),IF(B92&lt;30000,0,IF(B92&lt;100000,MAX(0,(B92-AD92)*0.2),MAX(0,(B92-AD92)*0.3))),0)))</f>
        <v/>
      </c>
      <c r="Z87" s="28"/>
      <c r="AA87" s="39" t="str">
        <f aca="false">IF($A92="","",IF($AA$2&lt;&gt;"",$AA$2,""))</f>
        <v/>
      </c>
      <c r="AB87" s="28" t="str">
        <f aca="false">IF($A92="","",IF(B92&lt;30000,0.03,IF(B92&lt;100000,0.02,0.015)))</f>
        <v/>
      </c>
      <c r="AC87" s="38" t="str">
        <f aca="false">IF($A92="","",IFERROR(DATEDIF($A$2,$A92,"m"),0))</f>
        <v/>
      </c>
      <c r="AD87" s="35" t="str">
        <f aca="false">IF($A92="","",IF(OR(AA92="",AB92="",AC92=""),"",AA92*POWER(1+AB92,AC92)))</f>
        <v/>
      </c>
      <c r="AE87" s="41" t="str">
        <f aca="false">IF($A92="","",IF(OR(AD92="",AD92=0),"",B92/AD92-1))</f>
        <v/>
      </c>
      <c r="AG87" s="1" t="str">
        <f aca="false">IF($A92="","",IF(B92&lt;30000,"婴儿",IF(B92&lt;100000,"成长","成熟")))</f>
        <v/>
      </c>
      <c r="AH87" s="42"/>
      <c r="AJ87" s="42"/>
      <c r="AK87" s="42"/>
      <c r="AM87" s="42"/>
      <c r="AP87" s="32"/>
      <c r="AQ87" s="43" t="str">
        <f aca="false">IF($A92="","",B92-$AA$2-SUM($F$2:F92))</f>
        <v/>
      </c>
      <c r="AR87" s="1" t="str">
        <f aca="false">IF($A91="","",30000)</f>
        <v/>
      </c>
      <c r="AS87" s="1" t="str">
        <f aca="false">IF($A91="","",AR91-B91)</f>
        <v/>
      </c>
      <c r="AT87" s="1" t="str">
        <f aca="false">IF($A91="","",IFERROR(B91/AR91,0))</f>
        <v/>
      </c>
      <c r="AU87" s="1" t="str">
        <f aca="false">IF($A91="","",IFERROR(B91*O91,0))</f>
        <v/>
      </c>
      <c r="AV87" s="1" t="str">
        <f aca="false">IF($A91="","",IFERROR(C91/B91,0))</f>
        <v/>
      </c>
      <c r="AW87" s="1" t="str">
        <f aca="false">IF($A91="","",MAX(0,R91-S91))</f>
        <v/>
      </c>
      <c r="AX87" s="1" t="str">
        <f aca="false">IF($A91="","",IF(AW91&gt;0,"优先降持仓数",IF(C91&lt;=0,"现金不足","允许评估")))</f>
        <v/>
      </c>
      <c r="AY87" s="1" t="str">
        <f aca="false">IF($A91="","",IF(B91&lt;30000,"婴儿阶段: 优先活下来,禁止单票失控,限制持仓数,服务3W目标","幼儿阶段达成"))</f>
        <v/>
      </c>
    </row>
    <row r="88" customFormat="false" ht="15" hidden="false" customHeight="true" outlineLevel="0" collapsed="false">
      <c r="A88" s="30"/>
      <c r="B88" s="44"/>
      <c r="C88" s="44"/>
      <c r="D88" s="35" t="str">
        <f aca="false">IF($A93="","",SUMIFS(持仓表!$J:$J,持仓表!$A:$A,$A93))</f>
        <v/>
      </c>
      <c r="E88" s="36" t="n">
        <f aca="false">IFERROR(D93/B93,0)</f>
        <v>0</v>
      </c>
      <c r="F88" s="44"/>
      <c r="G88" s="35" t="str">
        <f aca="false">IF($B93="","",MAX($B$2:B93))</f>
        <v/>
      </c>
      <c r="H88" s="36" t="n">
        <f aca="false">IFERROR((B93-F93)/F93,0)</f>
        <v>0</v>
      </c>
      <c r="I88" s="36" t="n">
        <f aca="false">IFERROR((B93-G93)/G93,0)</f>
        <v>0</v>
      </c>
      <c r="J88" s="30"/>
      <c r="K88" s="31"/>
      <c r="L88" s="45"/>
      <c r="M88" s="45"/>
      <c r="N88" s="36" t="str">
        <f aca="false">IF($B93="","",MIN(70%,IF($I93&lt;=-15%,10%,IF($I93&lt;=-10%,30%,IF($M93&gt;=4,10%,IF($M93&gt;=3,30%,IF($J93="强",IF($K93="A",70%,IF($K93="B",60%,40%)),IF($J93="中性",IF($K93="A",50%,IF($K93="B",40%,25%)),IF($K93="A",30%,IF($K93="B",20%,10%))))))))))</f>
        <v/>
      </c>
      <c r="O88" s="36" t="str">
        <f aca="false">IF($B93="","",IF(B93&lt;30000,35%,IF(B93&lt;50000,30%,IF(B93&lt;100000,25%,20%))))</f>
        <v/>
      </c>
      <c r="P88" s="38" t="str">
        <f aca="false">IF($A93="","",COUNTIFS(持仓表!$A:$A,$A93,持仓表!$G:$G,"&gt;0"))</f>
        <v/>
      </c>
      <c r="Q88" s="38" t="str">
        <f aca="false">IF($A93="","",COUNTIFS(持仓表!$A:$A,$A93,持仓表!$D:$D,"是",持仓表!$G:$G,"&gt;0"))</f>
        <v/>
      </c>
      <c r="R88" s="38" t="str">
        <f aca="false">IF($A93="","",MAX(0,P93-Q93))</f>
        <v/>
      </c>
      <c r="S88" s="38" t="str">
        <f aca="false">IF($B93="","",IF(B93&lt;50000,3,IF(B93&lt;100000,4,5)))</f>
        <v/>
      </c>
      <c r="T88" s="39" t="str">
        <f aca="false">IF($A93="","",IF(OR(M93&gt;=4,I93&lt;=-8%),"防守",IF(OR(M93&gt;=2,I93&lt;=-5%),"警戒","正常")))</f>
        <v/>
      </c>
      <c r="U88" s="39" t="str">
        <f aca="false">IF($A93="","",IF(AND(L93&gt;=3,M93&lt;=2,T93&lt;&gt;"防守"),"是","否"))</f>
        <v/>
      </c>
      <c r="V88" s="39" t="str">
        <f aca="false">IF($A93="","",IF(AND(E93&lt;N93,R93&lt;S93,M93&lt;=2,I93&gt;-15%),"是","否"))</f>
        <v/>
      </c>
      <c r="W88" s="39" t="str">
        <f aca="false">IF($A93="","",IF(OR(M93&gt;=3,I93&lt;=-15%),"是","否"))</f>
        <v/>
      </c>
      <c r="X88" s="35" t="str">
        <f aca="false">IF($A93="","",IFERROR(maxifs(候选池!$AB:$AB,候选池!$A:$A,$A93),0))</f>
        <v/>
      </c>
      <c r="Y88" s="35" t="str">
        <f aca="false">IF($A93="","",IF(OR(M93&gt;=4,I93&lt;=-8%),MAX(0,B93*60%-C93),IF(AND(ISNUMBER(AD93),B93&gt;AD93),IF(B93&lt;30000,0,IF(B93&lt;100000,MAX(0,(B93-AD93)*0.2),MAX(0,(B93-AD93)*0.3))),0)))</f>
        <v/>
      </c>
      <c r="Z88" s="30"/>
      <c r="AA88" s="39" t="str">
        <f aca="false">IF($A93="","",IF($AA$2&lt;&gt;"",$AA$2,""))</f>
        <v/>
      </c>
      <c r="AB88" s="30" t="str">
        <f aca="false">IF($A93="","",IF(B93&lt;30000,0.03,IF(B93&lt;100000,0.02,0.015)))</f>
        <v/>
      </c>
      <c r="AC88" s="38" t="str">
        <f aca="false">IF($A93="","",IFERROR(DATEDIF($A$2,$A93,"m"),0))</f>
        <v/>
      </c>
      <c r="AD88" s="35" t="str">
        <f aca="false">IF($A93="","",IF(OR(AA93="",AB93="",AC93=""),"",AA93*POWER(1+AB93,AC93)))</f>
        <v/>
      </c>
      <c r="AE88" s="47" t="str">
        <f aca="false">IF($A93="","",IF(OR(AD93="",AD93=0),"",B93/AD93-1))</f>
        <v/>
      </c>
      <c r="AG88" s="1" t="str">
        <f aca="false">IF($A93="","",IF(B93&lt;30000,"婴儿",IF(B93&lt;100000,"成长","成熟")))</f>
        <v/>
      </c>
      <c r="AH88" s="42"/>
      <c r="AJ88" s="42"/>
      <c r="AK88" s="42"/>
      <c r="AM88" s="42"/>
      <c r="AP88" s="32"/>
      <c r="AQ88" s="43" t="str">
        <f aca="false">IF($A93="","",B93-$AA$2-SUM($F$2:F93))</f>
        <v/>
      </c>
      <c r="AR88" s="1" t="str">
        <f aca="false">IF($A92="","",30000)</f>
        <v/>
      </c>
      <c r="AS88" s="1" t="str">
        <f aca="false">IF($A92="","",AR92-B92)</f>
        <v/>
      </c>
      <c r="AT88" s="1" t="str">
        <f aca="false">IF($A92="","",IFERROR(B92/AR92,0))</f>
        <v/>
      </c>
      <c r="AU88" s="1" t="str">
        <f aca="false">IF($A92="","",IFERROR(B92*O92,0))</f>
        <v/>
      </c>
      <c r="AV88" s="1" t="str">
        <f aca="false">IF($A92="","",IFERROR(C92/B92,0))</f>
        <v/>
      </c>
      <c r="AW88" s="1" t="str">
        <f aca="false">IF($A92="","",MAX(0,R92-S92))</f>
        <v/>
      </c>
      <c r="AX88" s="1" t="str">
        <f aca="false">IF($A92="","",IF(AW92&gt;0,"优先降持仓数",IF(C92&lt;=0,"现金不足","允许评估")))</f>
        <v/>
      </c>
      <c r="AY88" s="1" t="str">
        <f aca="false">IF($A92="","",IF(B92&lt;30000,"婴儿阶段: 优先活下来,禁止单票失控,限制持仓数,服务3W目标","幼儿阶段达成"))</f>
        <v/>
      </c>
    </row>
    <row r="89" customFormat="false" ht="15" hidden="false" customHeight="true" outlineLevel="0" collapsed="false">
      <c r="A89" s="28"/>
      <c r="B89" s="34"/>
      <c r="C89" s="34"/>
      <c r="D89" s="35" t="str">
        <f aca="false">IF($A94="","",SUMIFS(持仓表!$J:$J,持仓表!$A:$A,$A94))</f>
        <v/>
      </c>
      <c r="E89" s="36" t="n">
        <f aca="false">IFERROR(D94/B94,0)</f>
        <v>0</v>
      </c>
      <c r="F89" s="34"/>
      <c r="G89" s="35" t="str">
        <f aca="false">IF($B94="","",MAX($B$2:B94))</f>
        <v/>
      </c>
      <c r="H89" s="36" t="n">
        <f aca="false">IFERROR((B94-F94)/F94,0)</f>
        <v>0</v>
      </c>
      <c r="I89" s="36" t="n">
        <f aca="false">IFERROR((B94-G94)/G94,0)</f>
        <v>0</v>
      </c>
      <c r="J89" s="28"/>
      <c r="K89" s="29"/>
      <c r="L89" s="37"/>
      <c r="M89" s="37"/>
      <c r="N89" s="36" t="str">
        <f aca="false">IF($B94="","",MIN(70%,IF($I94&lt;=-15%,10%,IF($I94&lt;=-10%,30%,IF($M94&gt;=4,10%,IF($M94&gt;=3,30%,IF($J94="强",IF($K94="A",70%,IF($K94="B",60%,40%)),IF($J94="中性",IF($K94="A",50%,IF($K94="B",40%,25%)),IF($K94="A",30%,IF($K94="B",20%,10%))))))))))</f>
        <v/>
      </c>
      <c r="O89" s="36" t="str">
        <f aca="false">IF($B94="","",IF(B94&lt;30000,35%,IF(B94&lt;50000,30%,IF(B94&lt;100000,25%,20%))))</f>
        <v/>
      </c>
      <c r="P89" s="38" t="str">
        <f aca="false">IF($A94="","",COUNTIFS(持仓表!$A:$A,$A94,持仓表!$G:$G,"&gt;0"))</f>
        <v/>
      </c>
      <c r="Q89" s="38" t="str">
        <f aca="false">IF($A94="","",COUNTIFS(持仓表!$A:$A,$A94,持仓表!$D:$D,"是",持仓表!$G:$G,"&gt;0"))</f>
        <v/>
      </c>
      <c r="R89" s="38" t="str">
        <f aca="false">IF($A94="","",MAX(0,P94-Q94))</f>
        <v/>
      </c>
      <c r="S89" s="38" t="str">
        <f aca="false">IF($B94="","",IF(B94&lt;50000,3,IF(B94&lt;100000,4,5)))</f>
        <v/>
      </c>
      <c r="T89" s="39" t="str">
        <f aca="false">IF($A94="","",IF(OR(M94&gt;=4,I94&lt;=-8%),"防守",IF(OR(M94&gt;=2,I94&lt;=-5%),"警戒","正常")))</f>
        <v/>
      </c>
      <c r="U89" s="39" t="str">
        <f aca="false">IF($A94="","",IF(AND(L94&gt;=3,M94&lt;=2,T94&lt;&gt;"防守"),"是","否"))</f>
        <v/>
      </c>
      <c r="V89" s="39" t="str">
        <f aca="false">IF($A94="","",IF(AND(E94&lt;N94,R94&lt;S94,M94&lt;=2,I94&gt;-15%),"是","否"))</f>
        <v/>
      </c>
      <c r="W89" s="39" t="str">
        <f aca="false">IF($A94="","",IF(OR(M94&gt;=3,I94&lt;=-15%),"是","否"))</f>
        <v/>
      </c>
      <c r="X89" s="35" t="str">
        <f aca="false">IF($A94="","",IFERROR(maxifs(候选池!$AB:$AB,候选池!$A:$A,$A94),0))</f>
        <v/>
      </c>
      <c r="Y89" s="35" t="str">
        <f aca="false">IF($A94="","",IF(OR(M94&gt;=4,I94&lt;=-8%),MAX(0,B94*60%-C94),IF(AND(ISNUMBER(AD94),B94&gt;AD94),IF(B94&lt;30000,0,IF(B94&lt;100000,MAX(0,(B94-AD94)*0.2),MAX(0,(B94-AD94)*0.3))),0)))</f>
        <v/>
      </c>
      <c r="Z89" s="28"/>
      <c r="AA89" s="39" t="str">
        <f aca="false">IF($A94="","",IF($AA$2&lt;&gt;"",$AA$2,""))</f>
        <v/>
      </c>
      <c r="AB89" s="28" t="str">
        <f aca="false">IF($A94="","",IF(B94&lt;30000,0.03,IF(B94&lt;100000,0.02,0.015)))</f>
        <v/>
      </c>
      <c r="AC89" s="38" t="str">
        <f aca="false">IF($A94="","",IFERROR(DATEDIF($A$2,$A94,"m"),0))</f>
        <v/>
      </c>
      <c r="AD89" s="35" t="str">
        <f aca="false">IF($A94="","",IF(OR(AA94="",AB94="",AC94=""),"",AA94*POWER(1+AB94,AC94)))</f>
        <v/>
      </c>
      <c r="AE89" s="41" t="str">
        <f aca="false">IF($A94="","",IF(OR(AD94="",AD94=0),"",B94/AD94-1))</f>
        <v/>
      </c>
      <c r="AG89" s="1" t="str">
        <f aca="false">IF($A94="","",IF(B94&lt;30000,"婴儿",IF(B94&lt;100000,"成长","成熟")))</f>
        <v/>
      </c>
      <c r="AH89" s="42"/>
      <c r="AJ89" s="42"/>
      <c r="AK89" s="42"/>
      <c r="AM89" s="42"/>
      <c r="AP89" s="32"/>
      <c r="AQ89" s="43" t="str">
        <f aca="false">IF($A94="","",B94-$AA$2-SUM($F$2:F94))</f>
        <v/>
      </c>
      <c r="AR89" s="1" t="str">
        <f aca="false">IF($A93="","",30000)</f>
        <v/>
      </c>
      <c r="AS89" s="1" t="str">
        <f aca="false">IF($A93="","",AR93-B93)</f>
        <v/>
      </c>
      <c r="AT89" s="1" t="str">
        <f aca="false">IF($A93="","",IFERROR(B93/AR93,0))</f>
        <v/>
      </c>
      <c r="AU89" s="1" t="str">
        <f aca="false">IF($A93="","",IFERROR(B93*O93,0))</f>
        <v/>
      </c>
      <c r="AV89" s="1" t="str">
        <f aca="false">IF($A93="","",IFERROR(C93/B93,0))</f>
        <v/>
      </c>
      <c r="AW89" s="1" t="str">
        <f aca="false">IF($A93="","",MAX(0,R93-S93))</f>
        <v/>
      </c>
      <c r="AX89" s="1" t="str">
        <f aca="false">IF($A93="","",IF(AW93&gt;0,"优先降持仓数",IF(C93&lt;=0,"现金不足","允许评估")))</f>
        <v/>
      </c>
      <c r="AY89" s="1" t="str">
        <f aca="false">IF($A93="","",IF(B93&lt;30000,"婴儿阶段: 优先活下来,禁止单票失控,限制持仓数,服务3W目标","幼儿阶段达成"))</f>
        <v/>
      </c>
    </row>
    <row r="90" customFormat="false" ht="15" hidden="false" customHeight="true" outlineLevel="0" collapsed="false">
      <c r="A90" s="30"/>
      <c r="B90" s="44"/>
      <c r="C90" s="44"/>
      <c r="D90" s="35" t="str">
        <f aca="false">IF($A95="","",SUMIFS(持仓表!$J:$J,持仓表!$A:$A,$A95))</f>
        <v/>
      </c>
      <c r="E90" s="36" t="n">
        <f aca="false">IFERROR(D95/B95,0)</f>
        <v>0</v>
      </c>
      <c r="F90" s="44"/>
      <c r="G90" s="35" t="str">
        <f aca="false">IF($B95="","",MAX($B$2:B95))</f>
        <v/>
      </c>
      <c r="H90" s="36" t="n">
        <f aca="false">IFERROR((B95-F95)/F95,0)</f>
        <v>0</v>
      </c>
      <c r="I90" s="36" t="n">
        <f aca="false">IFERROR((B95-G95)/G95,0)</f>
        <v>0</v>
      </c>
      <c r="J90" s="30"/>
      <c r="K90" s="31"/>
      <c r="L90" s="45"/>
      <c r="M90" s="45"/>
      <c r="N90" s="36" t="str">
        <f aca="false">IF($B95="","",MIN(70%,IF($I95&lt;=-15%,10%,IF($I95&lt;=-10%,30%,IF($M95&gt;=4,10%,IF($M95&gt;=3,30%,IF($J95="强",IF($K95="A",70%,IF($K95="B",60%,40%)),IF($J95="中性",IF($K95="A",50%,IF($K95="B",40%,25%)),IF($K95="A",30%,IF($K95="B",20%,10%))))))))))</f>
        <v/>
      </c>
      <c r="O90" s="36" t="str">
        <f aca="false">IF($B95="","",IF(B95&lt;30000,35%,IF(B95&lt;50000,30%,IF(B95&lt;100000,25%,20%))))</f>
        <v/>
      </c>
      <c r="P90" s="38" t="str">
        <f aca="false">IF($A95="","",COUNTIFS(持仓表!$A:$A,$A95,持仓表!$G:$G,"&gt;0"))</f>
        <v/>
      </c>
      <c r="Q90" s="38" t="str">
        <f aca="false">IF($A95="","",COUNTIFS(持仓表!$A:$A,$A95,持仓表!$D:$D,"是",持仓表!$G:$G,"&gt;0"))</f>
        <v/>
      </c>
      <c r="R90" s="38" t="str">
        <f aca="false">IF($A95="","",MAX(0,P95-Q95))</f>
        <v/>
      </c>
      <c r="S90" s="38" t="str">
        <f aca="false">IF($B95="","",IF(B95&lt;50000,3,IF(B95&lt;100000,4,5)))</f>
        <v/>
      </c>
      <c r="T90" s="39" t="str">
        <f aca="false">IF($A95="","",IF(OR(M95&gt;=4,I95&lt;=-8%),"防守",IF(OR(M95&gt;=2,I95&lt;=-5%),"警戒","正常")))</f>
        <v/>
      </c>
      <c r="U90" s="39" t="str">
        <f aca="false">IF($A95="","",IF(AND(L95&gt;=3,M95&lt;=2,T95&lt;&gt;"防守"),"是","否"))</f>
        <v/>
      </c>
      <c r="V90" s="39" t="str">
        <f aca="false">IF($A95="","",IF(AND(E95&lt;N95,R95&lt;S95,M95&lt;=2,I95&gt;-15%),"是","否"))</f>
        <v/>
      </c>
      <c r="W90" s="39" t="str">
        <f aca="false">IF($A95="","",IF(OR(M95&gt;=3,I95&lt;=-15%),"是","否"))</f>
        <v/>
      </c>
      <c r="X90" s="35" t="str">
        <f aca="false">IF($A95="","",IFERROR(maxifs(候选池!$AB:$AB,候选池!$A:$A,$A95),0))</f>
        <v/>
      </c>
      <c r="Y90" s="35" t="str">
        <f aca="false">IF($A95="","",IF(OR(M95&gt;=4,I95&lt;=-8%),MAX(0,B95*60%-C95),IF(AND(ISNUMBER(AD95),B95&gt;AD95),IF(B95&lt;30000,0,IF(B95&lt;100000,MAX(0,(B95-AD95)*0.2),MAX(0,(B95-AD95)*0.3))),0)))</f>
        <v/>
      </c>
      <c r="Z90" s="30"/>
      <c r="AA90" s="39" t="str">
        <f aca="false">IF($A95="","",IF($AA$2&lt;&gt;"",$AA$2,""))</f>
        <v/>
      </c>
      <c r="AB90" s="30" t="str">
        <f aca="false">IF($A95="","",IF(B95&lt;30000,0.03,IF(B95&lt;100000,0.02,0.015)))</f>
        <v/>
      </c>
      <c r="AC90" s="38" t="str">
        <f aca="false">IF($A95="","",IFERROR(DATEDIF($A$2,$A95,"m"),0))</f>
        <v/>
      </c>
      <c r="AD90" s="35" t="str">
        <f aca="false">IF($A95="","",IF(OR(AA95="",AB95="",AC95=""),"",AA95*POWER(1+AB95,AC95)))</f>
        <v/>
      </c>
      <c r="AE90" s="47" t="str">
        <f aca="false">IF($A95="","",IF(OR(AD95="",AD95=0),"",B95/AD95-1))</f>
        <v/>
      </c>
      <c r="AG90" s="1" t="str">
        <f aca="false">IF($A95="","",IF(B95&lt;30000,"婴儿",IF(B95&lt;100000,"成长","成熟")))</f>
        <v/>
      </c>
      <c r="AH90" s="42"/>
      <c r="AJ90" s="42"/>
      <c r="AK90" s="42"/>
      <c r="AM90" s="42"/>
      <c r="AP90" s="32"/>
      <c r="AQ90" s="43" t="str">
        <f aca="false">IF($A95="","",B95-$AA$2-SUM($F$2:F95))</f>
        <v/>
      </c>
      <c r="AR90" s="1" t="str">
        <f aca="false">IF($A94="","",30000)</f>
        <v/>
      </c>
      <c r="AS90" s="1" t="str">
        <f aca="false">IF($A94="","",AR94-B94)</f>
        <v/>
      </c>
      <c r="AT90" s="1" t="str">
        <f aca="false">IF($A94="","",IFERROR(B94/AR94,0))</f>
        <v/>
      </c>
      <c r="AU90" s="1" t="str">
        <f aca="false">IF($A94="","",IFERROR(B94*O94,0))</f>
        <v/>
      </c>
      <c r="AV90" s="1" t="str">
        <f aca="false">IF($A94="","",IFERROR(C94/B94,0))</f>
        <v/>
      </c>
      <c r="AW90" s="1" t="str">
        <f aca="false">IF($A94="","",MAX(0,R94-S94))</f>
        <v/>
      </c>
      <c r="AX90" s="1" t="str">
        <f aca="false">IF($A94="","",IF(AW94&gt;0,"优先降持仓数",IF(C94&lt;=0,"现金不足","允许评估")))</f>
        <v/>
      </c>
      <c r="AY90" s="1" t="str">
        <f aca="false">IF($A94="","",IF(B94&lt;30000,"婴儿阶段: 优先活下来,禁止单票失控,限制持仓数,服务3W目标","幼儿阶段达成"))</f>
        <v/>
      </c>
    </row>
    <row r="91" customFormat="false" ht="15" hidden="false" customHeight="true" outlineLevel="0" collapsed="false">
      <c r="A91" s="28"/>
      <c r="B91" s="34"/>
      <c r="C91" s="34"/>
      <c r="D91" s="35" t="str">
        <f aca="false">IF($A96="","",SUMIFS(持仓表!$J:$J,持仓表!$A:$A,$A96))</f>
        <v/>
      </c>
      <c r="E91" s="36" t="n">
        <f aca="false">IFERROR(D96/B96,0)</f>
        <v>0</v>
      </c>
      <c r="F91" s="34"/>
      <c r="G91" s="35" t="str">
        <f aca="false">IF($B96="","",MAX($B$2:B96))</f>
        <v/>
      </c>
      <c r="H91" s="36" t="n">
        <f aca="false">IFERROR((B96-F96)/F96,0)</f>
        <v>0</v>
      </c>
      <c r="I91" s="36" t="n">
        <f aca="false">IFERROR((B96-G96)/G96,0)</f>
        <v>0</v>
      </c>
      <c r="J91" s="28"/>
      <c r="K91" s="29"/>
      <c r="L91" s="37"/>
      <c r="M91" s="37"/>
      <c r="N91" s="36" t="str">
        <f aca="false">IF($B96="","",MIN(70%,IF($I96&lt;=-15%,10%,IF($I96&lt;=-10%,30%,IF($M96&gt;=4,10%,IF($M96&gt;=3,30%,IF($J96="强",IF($K96="A",70%,IF($K96="B",60%,40%)),IF($J96="中性",IF($K96="A",50%,IF($K96="B",40%,25%)),IF($K96="A",30%,IF($K96="B",20%,10%))))))))))</f>
        <v/>
      </c>
      <c r="O91" s="36" t="str">
        <f aca="false">IF($B96="","",IF(B96&lt;30000,35%,IF(B96&lt;50000,30%,IF(B96&lt;100000,25%,20%))))</f>
        <v/>
      </c>
      <c r="P91" s="38" t="str">
        <f aca="false">IF($A96="","",COUNTIFS(持仓表!$A:$A,$A96,持仓表!$G:$G,"&gt;0"))</f>
        <v/>
      </c>
      <c r="Q91" s="38" t="str">
        <f aca="false">IF($A96="","",COUNTIFS(持仓表!$A:$A,$A96,持仓表!$D:$D,"是",持仓表!$G:$G,"&gt;0"))</f>
        <v/>
      </c>
      <c r="R91" s="38" t="str">
        <f aca="false">IF($A96="","",MAX(0,P96-Q96))</f>
        <v/>
      </c>
      <c r="S91" s="38" t="str">
        <f aca="false">IF($B96="","",IF(B96&lt;50000,3,IF(B96&lt;100000,4,5)))</f>
        <v/>
      </c>
      <c r="T91" s="39" t="str">
        <f aca="false">IF($A96="","",IF(OR(M96&gt;=4,I96&lt;=-8%),"防守",IF(OR(M96&gt;=2,I96&lt;=-5%),"警戒","正常")))</f>
        <v/>
      </c>
      <c r="U91" s="39" t="str">
        <f aca="false">IF($A96="","",IF(AND(L96&gt;=3,M96&lt;=2,T96&lt;&gt;"防守"),"是","否"))</f>
        <v/>
      </c>
      <c r="V91" s="39" t="str">
        <f aca="false">IF($A96="","",IF(AND(E96&lt;N96,R96&lt;S96,M96&lt;=2,I96&gt;-15%),"是","否"))</f>
        <v/>
      </c>
      <c r="W91" s="39" t="str">
        <f aca="false">IF($A96="","",IF(OR(M96&gt;=3,I96&lt;=-15%),"是","否"))</f>
        <v/>
      </c>
      <c r="X91" s="35" t="str">
        <f aca="false">IF($A96="","",IFERROR(maxifs(候选池!$AB:$AB,候选池!$A:$A,$A96),0))</f>
        <v/>
      </c>
      <c r="Y91" s="35" t="str">
        <f aca="false">IF($A96="","",IF(OR(M96&gt;=4,I96&lt;=-8%),MAX(0,B96*60%-C96),IF(AND(ISNUMBER(AD96),B96&gt;AD96),IF(B96&lt;30000,0,IF(B96&lt;100000,MAX(0,(B96-AD96)*0.2),MAX(0,(B96-AD96)*0.3))),0)))</f>
        <v/>
      </c>
      <c r="Z91" s="28"/>
      <c r="AA91" s="39" t="str">
        <f aca="false">IF($A96="","",IF($AA$2&lt;&gt;"",$AA$2,""))</f>
        <v/>
      </c>
      <c r="AB91" s="28" t="str">
        <f aca="false">IF($A96="","",IF(B96&lt;30000,0.03,IF(B96&lt;100000,0.02,0.015)))</f>
        <v/>
      </c>
      <c r="AC91" s="38" t="str">
        <f aca="false">IF($A96="","",IFERROR(DATEDIF($A$2,$A96,"m"),0))</f>
        <v/>
      </c>
      <c r="AD91" s="35" t="str">
        <f aca="false">IF($A96="","",IF(OR(AA96="",AB96="",AC96=""),"",AA96*POWER(1+AB96,AC96)))</f>
        <v/>
      </c>
      <c r="AE91" s="41" t="str">
        <f aca="false">IF($A96="","",IF(OR(AD96="",AD96=0),"",B96/AD96-1))</f>
        <v/>
      </c>
      <c r="AG91" s="1" t="str">
        <f aca="false">IF($A96="","",IF(B96&lt;30000,"婴儿",IF(B96&lt;100000,"成长","成熟")))</f>
        <v/>
      </c>
      <c r="AH91" s="42"/>
      <c r="AJ91" s="42"/>
      <c r="AK91" s="42"/>
      <c r="AM91" s="42"/>
      <c r="AP91" s="32"/>
      <c r="AQ91" s="43" t="str">
        <f aca="false">IF($A96="","",B96-$AA$2-SUM($F$2:F96))</f>
        <v/>
      </c>
      <c r="AR91" s="1" t="str">
        <f aca="false">IF($A95="","",30000)</f>
        <v/>
      </c>
      <c r="AS91" s="1" t="str">
        <f aca="false">IF($A95="","",AR95-B95)</f>
        <v/>
      </c>
      <c r="AT91" s="1" t="str">
        <f aca="false">IF($A95="","",IFERROR(B95/AR95,0))</f>
        <v/>
      </c>
      <c r="AU91" s="1" t="str">
        <f aca="false">IF($A95="","",IFERROR(B95*O95,0))</f>
        <v/>
      </c>
      <c r="AV91" s="1" t="str">
        <f aca="false">IF($A95="","",IFERROR(C95/B95,0))</f>
        <v/>
      </c>
      <c r="AW91" s="1" t="str">
        <f aca="false">IF($A95="","",MAX(0,R95-S95))</f>
        <v/>
      </c>
      <c r="AX91" s="1" t="str">
        <f aca="false">IF($A95="","",IF(AW95&gt;0,"优先降持仓数",IF(C95&lt;=0,"现金不足","允许评估")))</f>
        <v/>
      </c>
      <c r="AY91" s="1" t="str">
        <f aca="false">IF($A95="","",IF(B95&lt;30000,"婴儿阶段: 优先活下来,禁止单票失控,限制持仓数,服务3W目标","幼儿阶段达成"))</f>
        <v/>
      </c>
    </row>
    <row r="92" customFormat="false" ht="15" hidden="false" customHeight="true" outlineLevel="0" collapsed="false">
      <c r="A92" s="30"/>
      <c r="B92" s="44"/>
      <c r="C92" s="44"/>
      <c r="D92" s="35" t="str">
        <f aca="false">IF($A97="","",SUMIFS(持仓表!$J:$J,持仓表!$A:$A,$A97))</f>
        <v/>
      </c>
      <c r="E92" s="36" t="n">
        <f aca="false">IFERROR(D97/B97,0)</f>
        <v>0</v>
      </c>
      <c r="F92" s="44"/>
      <c r="G92" s="35" t="str">
        <f aca="false">IF($B97="","",MAX($B$2:B97))</f>
        <v/>
      </c>
      <c r="H92" s="36" t="n">
        <f aca="false">IFERROR((B97-F97)/F97,0)</f>
        <v>0</v>
      </c>
      <c r="I92" s="36" t="n">
        <f aca="false">IFERROR((B97-G97)/G97,0)</f>
        <v>0</v>
      </c>
      <c r="J92" s="30"/>
      <c r="K92" s="31"/>
      <c r="L92" s="45"/>
      <c r="M92" s="45"/>
      <c r="N92" s="36" t="str">
        <f aca="false">IF($B97="","",MIN(70%,IF($I97&lt;=-15%,10%,IF($I97&lt;=-10%,30%,IF($M97&gt;=4,10%,IF($M97&gt;=3,30%,IF($J97="强",IF($K97="A",70%,IF($K97="B",60%,40%)),IF($J97="中性",IF($K97="A",50%,IF($K97="B",40%,25%)),IF($K97="A",30%,IF($K97="B",20%,10%))))))))))</f>
        <v/>
      </c>
      <c r="O92" s="36" t="str">
        <f aca="false">IF($B97="","",IF(B97&lt;30000,35%,IF(B97&lt;50000,30%,IF(B97&lt;100000,25%,20%))))</f>
        <v/>
      </c>
      <c r="P92" s="38" t="str">
        <f aca="false">IF($A97="","",COUNTIFS(持仓表!$A:$A,$A97,持仓表!$G:$G,"&gt;0"))</f>
        <v/>
      </c>
      <c r="Q92" s="38" t="str">
        <f aca="false">IF($A97="","",COUNTIFS(持仓表!$A:$A,$A97,持仓表!$D:$D,"是",持仓表!$G:$G,"&gt;0"))</f>
        <v/>
      </c>
      <c r="R92" s="38" t="str">
        <f aca="false">IF($A97="","",MAX(0,P97-Q97))</f>
        <v/>
      </c>
      <c r="S92" s="38" t="str">
        <f aca="false">IF($B97="","",IF(B97&lt;50000,3,IF(B97&lt;100000,4,5)))</f>
        <v/>
      </c>
      <c r="T92" s="39" t="str">
        <f aca="false">IF($A97="","",IF(OR(M97&gt;=4,I97&lt;=-8%),"防守",IF(OR(M97&gt;=2,I97&lt;=-5%),"警戒","正常")))</f>
        <v/>
      </c>
      <c r="U92" s="39" t="str">
        <f aca="false">IF($A97="","",IF(AND(L97&gt;=3,M97&lt;=2,T97&lt;&gt;"防守"),"是","否"))</f>
        <v/>
      </c>
      <c r="V92" s="39" t="str">
        <f aca="false">IF($A97="","",IF(AND(E97&lt;N97,R97&lt;S97,M97&lt;=2,I97&gt;-15%),"是","否"))</f>
        <v/>
      </c>
      <c r="W92" s="39" t="str">
        <f aca="false">IF($A97="","",IF(OR(M97&gt;=3,I97&lt;=-15%),"是","否"))</f>
        <v/>
      </c>
      <c r="X92" s="35" t="str">
        <f aca="false">IF($A97="","",IFERROR(maxifs(候选池!$AB:$AB,候选池!$A:$A,$A97),0))</f>
        <v/>
      </c>
      <c r="Y92" s="35" t="str">
        <f aca="false">IF($A97="","",IF(OR(M97&gt;=4,I97&lt;=-8%),MAX(0,B97*60%-C97),IF(AND(ISNUMBER(AD97),B97&gt;AD97),IF(B97&lt;30000,0,IF(B97&lt;100000,MAX(0,(B97-AD97)*0.2),MAX(0,(B97-AD97)*0.3))),0)))</f>
        <v/>
      </c>
      <c r="Z92" s="30"/>
      <c r="AA92" s="39" t="str">
        <f aca="false">IF($A97="","",IF($AA$2&lt;&gt;"",$AA$2,""))</f>
        <v/>
      </c>
      <c r="AB92" s="30" t="str">
        <f aca="false">IF($A97="","",IF(B97&lt;30000,0.03,IF(B97&lt;100000,0.02,0.015)))</f>
        <v/>
      </c>
      <c r="AC92" s="38" t="str">
        <f aca="false">IF($A97="","",IFERROR(DATEDIF($A$2,$A97,"m"),0))</f>
        <v/>
      </c>
      <c r="AD92" s="35" t="str">
        <f aca="false">IF($A97="","",IF(OR(AA97="",AB97="",AC97=""),"",AA97*POWER(1+AB97,AC97)))</f>
        <v/>
      </c>
      <c r="AE92" s="47" t="str">
        <f aca="false">IF($A97="","",IF(OR(AD97="",AD97=0),"",B97/AD97-1))</f>
        <v/>
      </c>
      <c r="AG92" s="1" t="str">
        <f aca="false">IF($A97="","",IF(B97&lt;30000,"婴儿",IF(B97&lt;100000,"成长","成熟")))</f>
        <v/>
      </c>
      <c r="AH92" s="42"/>
      <c r="AJ92" s="42"/>
      <c r="AK92" s="42"/>
      <c r="AM92" s="42"/>
      <c r="AP92" s="32"/>
      <c r="AQ92" s="43" t="str">
        <f aca="false">IF($A97="","",B97-$AA$2-SUM($F$2:F97))</f>
        <v/>
      </c>
      <c r="AR92" s="1" t="str">
        <f aca="false">IF($A96="","",30000)</f>
        <v/>
      </c>
      <c r="AS92" s="1" t="str">
        <f aca="false">IF($A96="","",AR96-B96)</f>
        <v/>
      </c>
      <c r="AT92" s="1" t="str">
        <f aca="false">IF($A96="","",IFERROR(B96/AR96,0))</f>
        <v/>
      </c>
      <c r="AU92" s="1" t="str">
        <f aca="false">IF($A96="","",IFERROR(B96*O96,0))</f>
        <v/>
      </c>
      <c r="AV92" s="1" t="str">
        <f aca="false">IF($A96="","",IFERROR(C96/B96,0))</f>
        <v/>
      </c>
      <c r="AW92" s="1" t="str">
        <f aca="false">IF($A96="","",MAX(0,R96-S96))</f>
        <v/>
      </c>
      <c r="AX92" s="1" t="str">
        <f aca="false">IF($A96="","",IF(AW96&gt;0,"优先降持仓数",IF(C96&lt;=0,"现金不足","允许评估")))</f>
        <v/>
      </c>
      <c r="AY92" s="1" t="str">
        <f aca="false">IF($A96="","",IF(B96&lt;30000,"婴儿阶段: 优先活下来,禁止单票失控,限制持仓数,服务3W目标","幼儿阶段达成"))</f>
        <v/>
      </c>
    </row>
    <row r="93" customFormat="false" ht="15" hidden="false" customHeight="true" outlineLevel="0" collapsed="false">
      <c r="A93" s="28"/>
      <c r="B93" s="34"/>
      <c r="C93" s="34"/>
      <c r="D93" s="35" t="str">
        <f aca="false">IF($A98="","",SUMIFS(持仓表!$J:$J,持仓表!$A:$A,$A98))</f>
        <v/>
      </c>
      <c r="E93" s="36" t="n">
        <f aca="false">IFERROR(D98/B98,0)</f>
        <v>0</v>
      </c>
      <c r="F93" s="34"/>
      <c r="G93" s="35" t="str">
        <f aca="false">IF($B98="","",MAX($B$2:B98))</f>
        <v/>
      </c>
      <c r="H93" s="36" t="n">
        <f aca="false">IFERROR((B98-F98)/F98,0)</f>
        <v>0</v>
      </c>
      <c r="I93" s="36" t="n">
        <f aca="false">IFERROR((B98-G98)/G98,0)</f>
        <v>0</v>
      </c>
      <c r="J93" s="28"/>
      <c r="K93" s="29"/>
      <c r="L93" s="37"/>
      <c r="M93" s="37"/>
      <c r="N93" s="36" t="str">
        <f aca="false">IF($B98="","",MIN(70%,IF($I98&lt;=-15%,10%,IF($I98&lt;=-10%,30%,IF($M98&gt;=4,10%,IF($M98&gt;=3,30%,IF($J98="强",IF($K98="A",70%,IF($K98="B",60%,40%)),IF($J98="中性",IF($K98="A",50%,IF($K98="B",40%,25%)),IF($K98="A",30%,IF($K98="B",20%,10%))))))))))</f>
        <v/>
      </c>
      <c r="O93" s="36" t="str">
        <f aca="false">IF($B98="","",IF(B98&lt;30000,35%,IF(B98&lt;50000,30%,IF(B98&lt;100000,25%,20%))))</f>
        <v/>
      </c>
      <c r="P93" s="38" t="str">
        <f aca="false">IF($A98="","",COUNTIFS(持仓表!$A:$A,$A98,持仓表!$G:$G,"&gt;0"))</f>
        <v/>
      </c>
      <c r="Q93" s="38" t="str">
        <f aca="false">IF($A98="","",COUNTIFS(持仓表!$A:$A,$A98,持仓表!$D:$D,"是",持仓表!$G:$G,"&gt;0"))</f>
        <v/>
      </c>
      <c r="R93" s="38" t="str">
        <f aca="false">IF($A98="","",MAX(0,P98-Q98))</f>
        <v/>
      </c>
      <c r="S93" s="38" t="str">
        <f aca="false">IF($B98="","",IF(B98&lt;50000,3,IF(B98&lt;100000,4,5)))</f>
        <v/>
      </c>
      <c r="T93" s="39" t="str">
        <f aca="false">IF($A98="","",IF(OR(M98&gt;=4,I98&lt;=-8%),"防守",IF(OR(M98&gt;=2,I98&lt;=-5%),"警戒","正常")))</f>
        <v/>
      </c>
      <c r="U93" s="39" t="str">
        <f aca="false">IF($A98="","",IF(AND(L98&gt;=3,M98&lt;=2,T98&lt;&gt;"防守"),"是","否"))</f>
        <v/>
      </c>
      <c r="V93" s="39" t="str">
        <f aca="false">IF($A98="","",IF(AND(E98&lt;N98,R98&lt;S98,M98&lt;=2,I98&gt;-15%),"是","否"))</f>
        <v/>
      </c>
      <c r="W93" s="39" t="str">
        <f aca="false">IF($A98="","",IF(OR(M98&gt;=3,I98&lt;=-15%),"是","否"))</f>
        <v/>
      </c>
      <c r="X93" s="35" t="str">
        <f aca="false">IF($A98="","",IFERROR(maxifs(候选池!$AB:$AB,候选池!$A:$A,$A98),0))</f>
        <v/>
      </c>
      <c r="Y93" s="35" t="str">
        <f aca="false">IF($A98="","",IF(OR(M98&gt;=4,I98&lt;=-8%),MAX(0,B98*60%-C98),IF(AND(ISNUMBER(AD98),B98&gt;AD98),IF(B98&lt;30000,0,IF(B98&lt;100000,MAX(0,(B98-AD98)*0.2),MAX(0,(B98-AD98)*0.3))),0)))</f>
        <v/>
      </c>
      <c r="Z93" s="28"/>
      <c r="AA93" s="39" t="str">
        <f aca="false">IF($A98="","",IF($AA$2&lt;&gt;"",$AA$2,""))</f>
        <v/>
      </c>
      <c r="AB93" s="28" t="str">
        <f aca="false">IF($A98="","",IF(B98&lt;30000,0.03,IF(B98&lt;100000,0.02,0.015)))</f>
        <v/>
      </c>
      <c r="AC93" s="38" t="str">
        <f aca="false">IF($A98="","",IFERROR(DATEDIF($A$2,$A98,"m"),0))</f>
        <v/>
      </c>
      <c r="AD93" s="35" t="str">
        <f aca="false">IF($A98="","",IF(OR(AA98="",AB98="",AC98=""),"",AA98*POWER(1+AB98,AC98)))</f>
        <v/>
      </c>
      <c r="AE93" s="41" t="str">
        <f aca="false">IF($A98="","",IF(OR(AD98="",AD98=0),"",B98/AD98-1))</f>
        <v/>
      </c>
      <c r="AG93" s="1" t="str">
        <f aca="false">IF($A98="","",IF(B98&lt;30000,"婴儿",IF(B98&lt;100000,"成长","成熟")))</f>
        <v/>
      </c>
      <c r="AH93" s="42"/>
      <c r="AJ93" s="42"/>
      <c r="AK93" s="42"/>
      <c r="AM93" s="42"/>
      <c r="AP93" s="32"/>
      <c r="AQ93" s="43" t="str">
        <f aca="false">IF($A98="","",B98-$AA$2-SUM($F$2:F98))</f>
        <v/>
      </c>
      <c r="AR93" s="1" t="str">
        <f aca="false">IF($A97="","",30000)</f>
        <v/>
      </c>
      <c r="AS93" s="1" t="str">
        <f aca="false">IF($A97="","",AR97-B97)</f>
        <v/>
      </c>
      <c r="AT93" s="1" t="str">
        <f aca="false">IF($A97="","",IFERROR(B97/AR97,0))</f>
        <v/>
      </c>
      <c r="AU93" s="1" t="str">
        <f aca="false">IF($A97="","",IFERROR(B97*O97,0))</f>
        <v/>
      </c>
      <c r="AV93" s="1" t="str">
        <f aca="false">IF($A97="","",IFERROR(C97/B97,0))</f>
        <v/>
      </c>
      <c r="AW93" s="1" t="str">
        <f aca="false">IF($A97="","",MAX(0,R97-S97))</f>
        <v/>
      </c>
      <c r="AX93" s="1" t="str">
        <f aca="false">IF($A97="","",IF(AW97&gt;0,"优先降持仓数",IF(C97&lt;=0,"现金不足","允许评估")))</f>
        <v/>
      </c>
      <c r="AY93" s="1" t="str">
        <f aca="false">IF($A97="","",IF(B97&lt;30000,"婴儿阶段: 优先活下来,禁止单票失控,限制持仓数,服务3W目标","幼儿阶段达成"))</f>
        <v/>
      </c>
    </row>
    <row r="94" customFormat="false" ht="15" hidden="false" customHeight="true" outlineLevel="0" collapsed="false">
      <c r="A94" s="30"/>
      <c r="B94" s="44"/>
      <c r="C94" s="44"/>
      <c r="D94" s="35" t="str">
        <f aca="false">IF($A99="","",SUMIFS(持仓表!$J:$J,持仓表!$A:$A,$A99))</f>
        <v/>
      </c>
      <c r="E94" s="36" t="n">
        <f aca="false">IFERROR(D99/B99,0)</f>
        <v>0</v>
      </c>
      <c r="F94" s="44"/>
      <c r="G94" s="35" t="str">
        <f aca="false">IF($B99="","",MAX($B$2:B99))</f>
        <v/>
      </c>
      <c r="H94" s="36" t="n">
        <f aca="false">IFERROR((B99-F99)/F99,0)</f>
        <v>0</v>
      </c>
      <c r="I94" s="36" t="n">
        <f aca="false">IFERROR((B99-G99)/G99,0)</f>
        <v>0</v>
      </c>
      <c r="J94" s="30"/>
      <c r="K94" s="31"/>
      <c r="L94" s="45"/>
      <c r="M94" s="45"/>
      <c r="N94" s="36" t="str">
        <f aca="false">IF($B99="","",MIN(70%,IF($I99&lt;=-15%,10%,IF($I99&lt;=-10%,30%,IF($M99&gt;=4,10%,IF($M99&gt;=3,30%,IF($J99="强",IF($K99="A",70%,IF($K99="B",60%,40%)),IF($J99="中性",IF($K99="A",50%,IF($K99="B",40%,25%)),IF($K99="A",30%,IF($K99="B",20%,10%))))))))))</f>
        <v/>
      </c>
      <c r="O94" s="36" t="str">
        <f aca="false">IF($B99="","",IF(B99&lt;30000,35%,IF(B99&lt;50000,30%,IF(B99&lt;100000,25%,20%))))</f>
        <v/>
      </c>
      <c r="P94" s="38" t="str">
        <f aca="false">IF($A99="","",COUNTIFS(持仓表!$A:$A,$A99,持仓表!$G:$G,"&gt;0"))</f>
        <v/>
      </c>
      <c r="Q94" s="38" t="str">
        <f aca="false">IF($A99="","",COUNTIFS(持仓表!$A:$A,$A99,持仓表!$D:$D,"是",持仓表!$G:$G,"&gt;0"))</f>
        <v/>
      </c>
      <c r="R94" s="38" t="str">
        <f aca="false">IF($A99="","",MAX(0,P99-Q99))</f>
        <v/>
      </c>
      <c r="S94" s="38" t="str">
        <f aca="false">IF($B99="","",IF(B99&lt;50000,3,IF(B99&lt;100000,4,5)))</f>
        <v/>
      </c>
      <c r="T94" s="39" t="str">
        <f aca="false">IF($A99="","",IF(OR(M99&gt;=4,I99&lt;=-8%),"防守",IF(OR(M99&gt;=2,I99&lt;=-5%),"警戒","正常")))</f>
        <v/>
      </c>
      <c r="U94" s="39" t="str">
        <f aca="false">IF($A99="","",IF(AND(L99&gt;=3,M99&lt;=2,T99&lt;&gt;"防守"),"是","否"))</f>
        <v/>
      </c>
      <c r="V94" s="39" t="str">
        <f aca="false">IF($A99="","",IF(AND(E99&lt;N99,R99&lt;S99,M99&lt;=2,I99&gt;-15%),"是","否"))</f>
        <v/>
      </c>
      <c r="W94" s="39" t="str">
        <f aca="false">IF($A99="","",IF(OR(M99&gt;=3,I99&lt;=-15%),"是","否"))</f>
        <v/>
      </c>
      <c r="X94" s="35" t="str">
        <f aca="false">IF($A99="","",IFERROR(maxifs(候选池!$AB:$AB,候选池!$A:$A,$A99),0))</f>
        <v/>
      </c>
      <c r="Y94" s="35" t="str">
        <f aca="false">IF($A99="","",IF(OR(M99&gt;=4,I99&lt;=-8%),MAX(0,B99*60%-C99),IF(AND(ISNUMBER(AD99),B99&gt;AD99),IF(B99&lt;30000,0,IF(B99&lt;100000,MAX(0,(B99-AD99)*0.2),MAX(0,(B99-AD99)*0.3))),0)))</f>
        <v/>
      </c>
      <c r="Z94" s="30"/>
      <c r="AA94" s="39" t="str">
        <f aca="false">IF($A99="","",IF($AA$2&lt;&gt;"",$AA$2,""))</f>
        <v/>
      </c>
      <c r="AB94" s="30" t="str">
        <f aca="false">IF($A99="","",IF(B99&lt;30000,0.03,IF(B99&lt;100000,0.02,0.015)))</f>
        <v/>
      </c>
      <c r="AC94" s="38" t="str">
        <f aca="false">IF($A99="","",IFERROR(DATEDIF($A$2,$A99,"m"),0))</f>
        <v/>
      </c>
      <c r="AD94" s="35" t="str">
        <f aca="false">IF($A99="","",IF(OR(AA99="",AB99="",AC99=""),"",AA99*POWER(1+AB99,AC99)))</f>
        <v/>
      </c>
      <c r="AE94" s="47" t="str">
        <f aca="false">IF($A99="","",IF(OR(AD99="",AD99=0),"",B99/AD99-1))</f>
        <v/>
      </c>
      <c r="AG94" s="1" t="str">
        <f aca="false">IF($A99="","",IF(B99&lt;30000,"婴儿",IF(B99&lt;100000,"成长","成熟")))</f>
        <v/>
      </c>
      <c r="AH94" s="42"/>
      <c r="AJ94" s="42"/>
      <c r="AK94" s="42"/>
      <c r="AM94" s="42"/>
      <c r="AP94" s="32"/>
      <c r="AQ94" s="43" t="str">
        <f aca="false">IF($A99="","",B99-$AA$2-SUM($F$2:F99))</f>
        <v/>
      </c>
      <c r="AR94" s="1" t="str">
        <f aca="false">IF($A98="","",30000)</f>
        <v/>
      </c>
      <c r="AS94" s="1" t="str">
        <f aca="false">IF($A98="","",AR98-B98)</f>
        <v/>
      </c>
      <c r="AT94" s="1" t="str">
        <f aca="false">IF($A98="","",IFERROR(B98/AR98,0))</f>
        <v/>
      </c>
      <c r="AU94" s="1" t="str">
        <f aca="false">IF($A98="","",IFERROR(B98*O98,0))</f>
        <v/>
      </c>
      <c r="AV94" s="1" t="str">
        <f aca="false">IF($A98="","",IFERROR(C98/B98,0))</f>
        <v/>
      </c>
      <c r="AW94" s="1" t="str">
        <f aca="false">IF($A98="","",MAX(0,R98-S98))</f>
        <v/>
      </c>
      <c r="AX94" s="1" t="str">
        <f aca="false">IF($A98="","",IF(AW98&gt;0,"优先降持仓数",IF(C98&lt;=0,"现金不足","允许评估")))</f>
        <v/>
      </c>
      <c r="AY94" s="1" t="str">
        <f aca="false">IF($A98="","",IF(B98&lt;30000,"婴儿阶段: 优先活下来,禁止单票失控,限制持仓数,服务3W目标","幼儿阶段达成"))</f>
        <v/>
      </c>
    </row>
    <row r="95" customFormat="false" ht="15" hidden="false" customHeight="true" outlineLevel="0" collapsed="false">
      <c r="A95" s="28"/>
      <c r="B95" s="34"/>
      <c r="C95" s="34"/>
      <c r="D95" s="35" t="str">
        <f aca="false">IF($A100="","",SUMIFS(持仓表!$J:$J,持仓表!$A:$A,$A100))</f>
        <v/>
      </c>
      <c r="E95" s="36" t="n">
        <f aca="false">IFERROR(D100/B100,0)</f>
        <v>0</v>
      </c>
      <c r="F95" s="34"/>
      <c r="G95" s="35" t="str">
        <f aca="false">IF($B100="","",MAX($B$2:B100))</f>
        <v/>
      </c>
      <c r="H95" s="36" t="n">
        <f aca="false">IFERROR((B100-F100)/F100,0)</f>
        <v>0</v>
      </c>
      <c r="I95" s="36" t="n">
        <f aca="false">IFERROR((B100-G100)/G100,0)</f>
        <v>0</v>
      </c>
      <c r="J95" s="28"/>
      <c r="K95" s="29"/>
      <c r="L95" s="37"/>
      <c r="M95" s="37"/>
      <c r="N95" s="36" t="str">
        <f aca="false">IF($B100="","",MIN(70%,IF($I100&lt;=-15%,10%,IF($I100&lt;=-10%,30%,IF($M100&gt;=4,10%,IF($M100&gt;=3,30%,IF($J100="强",IF($K100="A",70%,IF($K100="B",60%,40%)),IF($J100="中性",IF($K100="A",50%,IF($K100="B",40%,25%)),IF($K100="A",30%,IF($K100="B",20%,10%))))))))))</f>
        <v/>
      </c>
      <c r="O95" s="36" t="str">
        <f aca="false">IF($B100="","",IF(B100&lt;30000,35%,IF(B100&lt;50000,30%,IF(B100&lt;100000,25%,20%))))</f>
        <v/>
      </c>
      <c r="P95" s="38" t="str">
        <f aca="false">IF($A100="","",COUNTIFS(持仓表!$A:$A,$A100,持仓表!$G:$G,"&gt;0"))</f>
        <v/>
      </c>
      <c r="Q95" s="38" t="str">
        <f aca="false">IF($A100="","",COUNTIFS(持仓表!$A:$A,$A100,持仓表!$D:$D,"是",持仓表!$G:$G,"&gt;0"))</f>
        <v/>
      </c>
      <c r="R95" s="38" t="str">
        <f aca="false">IF($A100="","",MAX(0,P100-Q100))</f>
        <v/>
      </c>
      <c r="S95" s="38" t="str">
        <f aca="false">IF($B100="","",IF(B100&lt;50000,3,IF(B100&lt;100000,4,5)))</f>
        <v/>
      </c>
      <c r="T95" s="39" t="str">
        <f aca="false">IF($A100="","",IF(OR(M100&gt;=4,I100&lt;=-8%),"防守",IF(OR(M100&gt;=2,I100&lt;=-5%),"警戒","正常")))</f>
        <v/>
      </c>
      <c r="U95" s="39" t="str">
        <f aca="false">IF($A100="","",IF(AND(L100&gt;=3,M100&lt;=2,T100&lt;&gt;"防守"),"是","否"))</f>
        <v/>
      </c>
      <c r="V95" s="39" t="str">
        <f aca="false">IF($A100="","",IF(AND(E100&lt;N100,R100&lt;S100,M100&lt;=2,I100&gt;-15%),"是","否"))</f>
        <v/>
      </c>
      <c r="W95" s="39" t="str">
        <f aca="false">IF($A100="","",IF(OR(M100&gt;=3,I100&lt;=-15%),"是","否"))</f>
        <v/>
      </c>
      <c r="X95" s="35" t="str">
        <f aca="false">IF($A100="","",IFERROR(maxifs(候选池!$AB:$AB,候选池!$A:$A,$A100),0))</f>
        <v/>
      </c>
      <c r="Y95" s="35" t="str">
        <f aca="false">IF($A100="","",IF(OR(M100&gt;=4,I100&lt;=-8%),MAX(0,B100*60%-C100),IF(AND(ISNUMBER(AD100),B100&gt;AD100),IF(B100&lt;30000,0,IF(B100&lt;100000,MAX(0,(B100-AD100)*0.2),MAX(0,(B100-AD100)*0.3))),0)))</f>
        <v/>
      </c>
      <c r="Z95" s="28"/>
      <c r="AA95" s="39" t="str">
        <f aca="false">IF($A100="","",IF($AA$2&lt;&gt;"",$AA$2,""))</f>
        <v/>
      </c>
      <c r="AB95" s="28" t="str">
        <f aca="false">IF($A100="","",IF(B100&lt;30000,0.03,IF(B100&lt;100000,0.02,0.015)))</f>
        <v/>
      </c>
      <c r="AC95" s="38" t="str">
        <f aca="false">IF($A100="","",IFERROR(DATEDIF($A$2,$A100,"m"),0))</f>
        <v/>
      </c>
      <c r="AD95" s="35" t="str">
        <f aca="false">IF($A100="","",IF(OR(AA100="",AB100="",AC100=""),"",AA100*POWER(1+AB100,AC100)))</f>
        <v/>
      </c>
      <c r="AE95" s="41" t="str">
        <f aca="false">IF($A100="","",IF(OR(AD100="",AD100=0),"",B100/AD100-1))</f>
        <v/>
      </c>
      <c r="AG95" s="1" t="str">
        <f aca="false">IF($A100="","",IF(B100&lt;30000,"婴儿",IF(B100&lt;100000,"成长","成熟")))</f>
        <v/>
      </c>
      <c r="AH95" s="42"/>
      <c r="AJ95" s="42"/>
      <c r="AK95" s="42"/>
      <c r="AM95" s="42"/>
      <c r="AP95" s="32"/>
      <c r="AQ95" s="43" t="str">
        <f aca="false">IF($A100="","",B100-$AA$2-SUM($F$2:F100))</f>
        <v/>
      </c>
      <c r="AR95" s="1" t="str">
        <f aca="false">IF($A99="","",30000)</f>
        <v/>
      </c>
      <c r="AS95" s="1" t="str">
        <f aca="false">IF($A99="","",AR99-B99)</f>
        <v/>
      </c>
      <c r="AT95" s="1" t="str">
        <f aca="false">IF($A99="","",IFERROR(B99/AR99,0))</f>
        <v/>
      </c>
      <c r="AU95" s="1" t="str">
        <f aca="false">IF($A99="","",IFERROR(B99*O99,0))</f>
        <v/>
      </c>
      <c r="AV95" s="1" t="str">
        <f aca="false">IF($A99="","",IFERROR(C99/B99,0))</f>
        <v/>
      </c>
      <c r="AW95" s="1" t="str">
        <f aca="false">IF($A99="","",MAX(0,R99-S99))</f>
        <v/>
      </c>
      <c r="AX95" s="1" t="str">
        <f aca="false">IF($A99="","",IF(AW99&gt;0,"优先降持仓数",IF(C99&lt;=0,"现金不足","允许评估")))</f>
        <v/>
      </c>
      <c r="AY95" s="1" t="str">
        <f aca="false">IF($A99="","",IF(B99&lt;30000,"婴儿阶段: 优先活下来,禁止单票失控,限制持仓数,服务3W目标","幼儿阶段达成"))</f>
        <v/>
      </c>
    </row>
    <row r="96" customFormat="false" ht="15" hidden="false" customHeight="true" outlineLevel="0" collapsed="false">
      <c r="A96" s="30"/>
      <c r="B96" s="44"/>
      <c r="C96" s="44"/>
      <c r="D96" s="35" t="str">
        <f aca="false">IF($A101="","",SUMIFS(持仓表!$J:$J,持仓表!$A:$A,$A101))</f>
        <v/>
      </c>
      <c r="E96" s="36" t="n">
        <f aca="false">IFERROR(D101/B101,0)</f>
        <v>0</v>
      </c>
      <c r="F96" s="44"/>
      <c r="G96" s="35" t="str">
        <f aca="false">IF($B101="","",MAX($B$2:B101))</f>
        <v/>
      </c>
      <c r="H96" s="36" t="n">
        <f aca="false">IFERROR((B101-F101)/F101,0)</f>
        <v>0</v>
      </c>
      <c r="I96" s="36" t="n">
        <f aca="false">IFERROR((B101-G101)/G101,0)</f>
        <v>0</v>
      </c>
      <c r="J96" s="30"/>
      <c r="K96" s="31"/>
      <c r="L96" s="45"/>
      <c r="M96" s="45"/>
      <c r="N96" s="36" t="str">
        <f aca="false">IF($B101="","",MIN(70%,IF($I101&lt;=-15%,10%,IF($I101&lt;=-10%,30%,IF($M101&gt;=4,10%,IF($M101&gt;=3,30%,IF($J101="强",IF($K101="A",70%,IF($K101="B",60%,40%)),IF($J101="中性",IF($K101="A",50%,IF($K101="B",40%,25%)),IF($K101="A",30%,IF($K101="B",20%,10%))))))))))</f>
        <v/>
      </c>
      <c r="O96" s="36" t="str">
        <f aca="false">IF($B101="","",IF(B101&lt;30000,35%,IF(B101&lt;50000,30%,IF(B101&lt;100000,25%,20%))))</f>
        <v/>
      </c>
      <c r="P96" s="38" t="str">
        <f aca="false">IF($A101="","",COUNTIFS(持仓表!$A:$A,$A101,持仓表!$G:$G,"&gt;0"))</f>
        <v/>
      </c>
      <c r="Q96" s="38" t="str">
        <f aca="false">IF($A101="","",COUNTIFS(持仓表!$A:$A,$A101,持仓表!$D:$D,"是",持仓表!$G:$G,"&gt;0"))</f>
        <v/>
      </c>
      <c r="R96" s="38" t="str">
        <f aca="false">IF($A101="","",MAX(0,P101-Q101))</f>
        <v/>
      </c>
      <c r="S96" s="38" t="str">
        <f aca="false">IF($B101="","",IF(B101&lt;50000,3,IF(B101&lt;100000,4,5)))</f>
        <v/>
      </c>
      <c r="T96" s="39" t="str">
        <f aca="false">IF($A101="","",IF(OR(M101&gt;=4,I101&lt;=-8%),"防守",IF(OR(M101&gt;=2,I101&lt;=-5%),"警戒","正常")))</f>
        <v/>
      </c>
      <c r="U96" s="39" t="str">
        <f aca="false">IF($A101="","",IF(AND(L101&gt;=3,M101&lt;=2,T101&lt;&gt;"防守"),"是","否"))</f>
        <v/>
      </c>
      <c r="V96" s="39" t="str">
        <f aca="false">IF($A101="","",IF(AND(E101&lt;N101,R101&lt;S101,M101&lt;=2,I101&gt;-15%),"是","否"))</f>
        <v/>
      </c>
      <c r="W96" s="39" t="str">
        <f aca="false">IF($A101="","",IF(OR(M101&gt;=3,I101&lt;=-15%),"是","否"))</f>
        <v/>
      </c>
      <c r="X96" s="35" t="str">
        <f aca="false">IF($A101="","",IFERROR(maxifs(候选池!$AB:$AB,候选池!$A:$A,$A101),0))</f>
        <v/>
      </c>
      <c r="Y96" s="35" t="str">
        <f aca="false">IF($A101="","",IF(OR(M101&gt;=4,I101&lt;=-8%),MAX(0,B101*60%-C101),IF(AND(ISNUMBER(AD101),B101&gt;AD101),IF(B101&lt;30000,0,IF(B101&lt;100000,MAX(0,(B101-AD101)*0.2),MAX(0,(B101-AD101)*0.3))),0)))</f>
        <v/>
      </c>
      <c r="Z96" s="30"/>
      <c r="AA96" s="39" t="str">
        <f aca="false">IF($A101="","",IF($AA$2&lt;&gt;"",$AA$2,""))</f>
        <v/>
      </c>
      <c r="AB96" s="30" t="str">
        <f aca="false">IF($A101="","",IF(B101&lt;30000,0.03,IF(B101&lt;100000,0.02,0.015)))</f>
        <v/>
      </c>
      <c r="AC96" s="38" t="str">
        <f aca="false">IF($A101="","",IFERROR(DATEDIF($A$2,$A101,"m"),0))</f>
        <v/>
      </c>
      <c r="AD96" s="35" t="str">
        <f aca="false">IF($A101="","",IF(OR(AA101="",AB101="",AC101=""),"",AA101*POWER(1+AB101,AC101)))</f>
        <v/>
      </c>
      <c r="AE96" s="47" t="str">
        <f aca="false">IF($A101="","",IF(OR(AD101="",AD101=0),"",B101/AD101-1))</f>
        <v/>
      </c>
      <c r="AG96" s="1" t="str">
        <f aca="false">IF($A101="","",IF(B101&lt;30000,"婴儿",IF(B101&lt;100000,"成长","成熟")))</f>
        <v/>
      </c>
      <c r="AH96" s="42"/>
      <c r="AJ96" s="42"/>
      <c r="AK96" s="42"/>
      <c r="AM96" s="42"/>
      <c r="AP96" s="32"/>
      <c r="AQ96" s="43" t="str">
        <f aca="false">IF($A101="","",B101-$AA$2-SUM($F$2:F101))</f>
        <v/>
      </c>
      <c r="AR96" s="1" t="str">
        <f aca="false">IF($A100="","",30000)</f>
        <v/>
      </c>
      <c r="AS96" s="1" t="str">
        <f aca="false">IF($A100="","",AR100-B100)</f>
        <v/>
      </c>
      <c r="AT96" s="1" t="str">
        <f aca="false">IF($A100="","",IFERROR(B100/AR100,0))</f>
        <v/>
      </c>
      <c r="AU96" s="1" t="str">
        <f aca="false">IF($A100="","",IFERROR(B100*O100,0))</f>
        <v/>
      </c>
      <c r="AV96" s="1" t="str">
        <f aca="false">IF($A100="","",IFERROR(C100/B100,0))</f>
        <v/>
      </c>
      <c r="AW96" s="1" t="str">
        <f aca="false">IF($A100="","",MAX(0,R100-S100))</f>
        <v/>
      </c>
      <c r="AX96" s="1" t="str">
        <f aca="false">IF($A100="","",IF(AW100&gt;0,"优先降持仓数",IF(C100&lt;=0,"现金不足","允许评估")))</f>
        <v/>
      </c>
      <c r="AY96" s="1" t="str">
        <f aca="false">IF($A100="","",IF(B100&lt;30000,"婴儿阶段: 优先活下来,禁止单票失控,限制持仓数,服务3W目标","幼儿阶段达成"))</f>
        <v/>
      </c>
    </row>
    <row r="97" customFormat="false" ht="15" hidden="false" customHeight="true" outlineLevel="0" collapsed="false">
      <c r="A97" s="28"/>
      <c r="B97" s="34"/>
      <c r="C97" s="34"/>
      <c r="D97" s="35" t="str">
        <f aca="false">IF($A102="","",SUMIFS(持仓表!$J:$J,持仓表!$A:$A,$A102))</f>
        <v/>
      </c>
      <c r="E97" s="36" t="n">
        <f aca="false">IFERROR(D102/B102,0)</f>
        <v>0</v>
      </c>
      <c r="F97" s="34"/>
      <c r="G97" s="35" t="str">
        <f aca="false">IF($B102="","",MAX($B$2:B102))</f>
        <v/>
      </c>
      <c r="H97" s="36" t="n">
        <f aca="false">IFERROR((B102-F102)/F102,0)</f>
        <v>0</v>
      </c>
      <c r="I97" s="36" t="n">
        <f aca="false">IFERROR((B102-G102)/G102,0)</f>
        <v>0</v>
      </c>
      <c r="J97" s="28"/>
      <c r="K97" s="29"/>
      <c r="L97" s="37"/>
      <c r="M97" s="37"/>
      <c r="N97" s="36" t="str">
        <f aca="false">IF($B102="","",MIN(70%,IF($I102&lt;=-15%,10%,IF($I102&lt;=-10%,30%,IF($M102&gt;=4,10%,IF($M102&gt;=3,30%,IF($J102="强",IF($K102="A",70%,IF($K102="B",60%,40%)),IF($J102="中性",IF($K102="A",50%,IF($K102="B",40%,25%)),IF($K102="A",30%,IF($K102="B",20%,10%))))))))))</f>
        <v/>
      </c>
      <c r="O97" s="36" t="str">
        <f aca="false">IF($B102="","",IF(B102&lt;30000,35%,IF(B102&lt;50000,30%,IF(B102&lt;100000,25%,20%))))</f>
        <v/>
      </c>
      <c r="P97" s="38" t="str">
        <f aca="false">IF($A102="","",COUNTIFS(持仓表!$A:$A,$A102,持仓表!$G:$G,"&gt;0"))</f>
        <v/>
      </c>
      <c r="Q97" s="38" t="str">
        <f aca="false">IF($A102="","",COUNTIFS(持仓表!$A:$A,$A102,持仓表!$D:$D,"是",持仓表!$G:$G,"&gt;0"))</f>
        <v/>
      </c>
      <c r="R97" s="38" t="str">
        <f aca="false">IF($A102="","",MAX(0,P102-Q102))</f>
        <v/>
      </c>
      <c r="S97" s="38" t="str">
        <f aca="false">IF($B102="","",IF(B102&lt;50000,3,IF(B102&lt;100000,4,5)))</f>
        <v/>
      </c>
      <c r="T97" s="39" t="str">
        <f aca="false">IF($A102="","",IF(OR(M102&gt;=4,I102&lt;=-8%),"防守",IF(OR(M102&gt;=2,I102&lt;=-5%),"警戒","正常")))</f>
        <v/>
      </c>
      <c r="U97" s="39" t="str">
        <f aca="false">IF($A102="","",IF(AND(L102&gt;=3,M102&lt;=2,T102&lt;&gt;"防守"),"是","否"))</f>
        <v/>
      </c>
      <c r="V97" s="39" t="str">
        <f aca="false">IF($A102="","",IF(AND(E102&lt;N102,R102&lt;S102,M102&lt;=2,I102&gt;-15%),"是","否"))</f>
        <v/>
      </c>
      <c r="W97" s="39" t="str">
        <f aca="false">IF($A102="","",IF(OR(M102&gt;=3,I102&lt;=-15%),"是","否"))</f>
        <v/>
      </c>
      <c r="X97" s="35" t="str">
        <f aca="false">IF($A102="","",IFERROR(maxifs(候选池!$AB:$AB,候选池!$A:$A,$A102),0))</f>
        <v/>
      </c>
      <c r="Y97" s="35" t="str">
        <f aca="false">IF($A102="","",IF(OR(M102&gt;=4,I102&lt;=-8%),MAX(0,B102*60%-C102),IF(AND(ISNUMBER(AD102),B102&gt;AD102),IF(B102&lt;30000,0,IF(B102&lt;100000,MAX(0,(B102-AD102)*0.2),MAX(0,(B102-AD102)*0.3))),0)))</f>
        <v/>
      </c>
      <c r="Z97" s="28"/>
      <c r="AA97" s="39" t="str">
        <f aca="false">IF($A102="","",IF($AA$2&lt;&gt;"",$AA$2,""))</f>
        <v/>
      </c>
      <c r="AB97" s="28" t="str">
        <f aca="false">IF($A102="","",IF(B102&lt;30000,0.03,IF(B102&lt;100000,0.02,0.015)))</f>
        <v/>
      </c>
      <c r="AC97" s="38" t="str">
        <f aca="false">IF($A102="","",IFERROR(DATEDIF($A$2,$A102,"m"),0))</f>
        <v/>
      </c>
      <c r="AD97" s="35" t="str">
        <f aca="false">IF($A102="","",IF(OR(AA102="",AB102="",AC102=""),"",AA102*POWER(1+AB102,AC102)))</f>
        <v/>
      </c>
      <c r="AE97" s="41" t="str">
        <f aca="false">IF($A102="","",IF(OR(AD102="",AD102=0),"",B102/AD102-1))</f>
        <v/>
      </c>
      <c r="AG97" s="1" t="str">
        <f aca="false">IF($A102="","",IF(B102&lt;30000,"婴儿",IF(B102&lt;100000,"成长","成熟")))</f>
        <v/>
      </c>
      <c r="AH97" s="42"/>
      <c r="AJ97" s="42"/>
      <c r="AK97" s="42"/>
      <c r="AM97" s="42"/>
      <c r="AP97" s="32"/>
      <c r="AQ97" s="43" t="str">
        <f aca="false">IF($A102="","",B102-$AA$2-SUM($F$2:F102))</f>
        <v/>
      </c>
      <c r="AR97" s="1" t="str">
        <f aca="false">IF($A101="","",30000)</f>
        <v/>
      </c>
      <c r="AS97" s="1" t="str">
        <f aca="false">IF($A101="","",AR101-B101)</f>
        <v/>
      </c>
      <c r="AT97" s="1" t="str">
        <f aca="false">IF($A101="","",IFERROR(B101/AR101,0))</f>
        <v/>
      </c>
      <c r="AU97" s="1" t="str">
        <f aca="false">IF($A101="","",IFERROR(B101*O101,0))</f>
        <v/>
      </c>
      <c r="AV97" s="1" t="str">
        <f aca="false">IF($A101="","",IFERROR(C101/B101,0))</f>
        <v/>
      </c>
      <c r="AW97" s="1" t="str">
        <f aca="false">IF($A101="","",MAX(0,R101-S101))</f>
        <v/>
      </c>
      <c r="AX97" s="1" t="str">
        <f aca="false">IF($A101="","",IF(AW101&gt;0,"优先降持仓数",IF(C101&lt;=0,"现金不足","允许评估")))</f>
        <v/>
      </c>
      <c r="AY97" s="1" t="str">
        <f aca="false">IF($A101="","",IF(B101&lt;30000,"婴儿阶段: 优先活下来,禁止单票失控,限制持仓数,服务3W目标","幼儿阶段达成"))</f>
        <v/>
      </c>
    </row>
    <row r="98" customFormat="false" ht="15" hidden="false" customHeight="true" outlineLevel="0" collapsed="false">
      <c r="A98" s="30"/>
      <c r="B98" s="44"/>
      <c r="C98" s="44"/>
      <c r="D98" s="35" t="str">
        <f aca="false">IF($A103="","",SUMIFS(持仓表!$J:$J,持仓表!$A:$A,$A103))</f>
        <v/>
      </c>
      <c r="E98" s="36" t="n">
        <f aca="false">IFERROR(D103/B103,0)</f>
        <v>0</v>
      </c>
      <c r="F98" s="44"/>
      <c r="G98" s="35" t="str">
        <f aca="false">IF($B103="","",MAX($B$2:B103))</f>
        <v/>
      </c>
      <c r="H98" s="36" t="n">
        <f aca="false">IFERROR((B103-F103)/F103,0)</f>
        <v>0</v>
      </c>
      <c r="I98" s="36" t="n">
        <f aca="false">IFERROR((B103-G103)/G103,0)</f>
        <v>0</v>
      </c>
      <c r="J98" s="30"/>
      <c r="K98" s="31"/>
      <c r="L98" s="45"/>
      <c r="M98" s="45"/>
      <c r="N98" s="36" t="str">
        <f aca="false">IF($B103="","",MIN(70%,IF($I103&lt;=-15%,10%,IF($I103&lt;=-10%,30%,IF($M103&gt;=4,10%,IF($M103&gt;=3,30%,IF($J103="强",IF($K103="A",70%,IF($K103="B",60%,40%)),IF($J103="中性",IF($K103="A",50%,IF($K103="B",40%,25%)),IF($K103="A",30%,IF($K103="B",20%,10%))))))))))</f>
        <v/>
      </c>
      <c r="O98" s="36" t="str">
        <f aca="false">IF($B103="","",IF(B103&lt;30000,35%,IF(B103&lt;50000,30%,IF(B103&lt;100000,25%,20%))))</f>
        <v/>
      </c>
      <c r="P98" s="38" t="str">
        <f aca="false">IF($A103="","",COUNTIFS(持仓表!$A:$A,$A103,持仓表!$G:$G,"&gt;0"))</f>
        <v/>
      </c>
      <c r="Q98" s="38" t="str">
        <f aca="false">IF($A103="","",COUNTIFS(持仓表!$A:$A,$A103,持仓表!$D:$D,"是",持仓表!$G:$G,"&gt;0"))</f>
        <v/>
      </c>
      <c r="R98" s="38" t="str">
        <f aca="false">IF($A103="","",MAX(0,P103-Q103))</f>
        <v/>
      </c>
      <c r="S98" s="38" t="str">
        <f aca="false">IF($B103="","",IF(B103&lt;50000,3,IF(B103&lt;100000,4,5)))</f>
        <v/>
      </c>
      <c r="T98" s="39" t="str">
        <f aca="false">IF($A103="","",IF(OR(M103&gt;=4,I103&lt;=-8%),"防守",IF(OR(M103&gt;=2,I103&lt;=-5%),"警戒","正常")))</f>
        <v/>
      </c>
      <c r="U98" s="39" t="str">
        <f aca="false">IF($A103="","",IF(AND(L103&gt;=3,M103&lt;=2,T103&lt;&gt;"防守"),"是","否"))</f>
        <v/>
      </c>
      <c r="V98" s="39" t="str">
        <f aca="false">IF($A103="","",IF(AND(E103&lt;N103,R103&lt;S103,M103&lt;=2,I103&gt;-15%),"是","否"))</f>
        <v/>
      </c>
      <c r="W98" s="39" t="str">
        <f aca="false">IF($A103="","",IF(OR(M103&gt;=3,I103&lt;=-15%),"是","否"))</f>
        <v/>
      </c>
      <c r="X98" s="35" t="str">
        <f aca="false">IF($A103="","",IFERROR(maxifs(候选池!$AB:$AB,候选池!$A:$A,$A103),0))</f>
        <v/>
      </c>
      <c r="Y98" s="35" t="str">
        <f aca="false">IF($A103="","",IF(OR(M103&gt;=4,I103&lt;=-8%),MAX(0,B103*60%-C103),IF(AND(ISNUMBER(AD103),B103&gt;AD103),IF(B103&lt;30000,0,IF(B103&lt;100000,MAX(0,(B103-AD103)*0.2),MAX(0,(B103-AD103)*0.3))),0)))</f>
        <v/>
      </c>
      <c r="Z98" s="30"/>
      <c r="AA98" s="39" t="str">
        <f aca="false">IF($A103="","",IF($AA$2&lt;&gt;"",$AA$2,""))</f>
        <v/>
      </c>
      <c r="AB98" s="30" t="str">
        <f aca="false">IF($A103="","",IF(B103&lt;30000,0.03,IF(B103&lt;100000,0.02,0.015)))</f>
        <v/>
      </c>
      <c r="AC98" s="38" t="str">
        <f aca="false">IF($A103="","",IFERROR(DATEDIF($A$2,$A103,"m"),0))</f>
        <v/>
      </c>
      <c r="AD98" s="35" t="str">
        <f aca="false">IF($A103="","",IF(OR(AA103="",AB103="",AC103=""),"",AA103*POWER(1+AB103,AC103)))</f>
        <v/>
      </c>
      <c r="AE98" s="47" t="str">
        <f aca="false">IF($A103="","",IF(OR(AD103="",AD103=0),"",B103/AD103-1))</f>
        <v/>
      </c>
      <c r="AG98" s="1" t="str">
        <f aca="false">IF($A103="","",IF(B103&lt;30000,"婴儿",IF(B103&lt;100000,"成长","成熟")))</f>
        <v/>
      </c>
      <c r="AH98" s="42"/>
      <c r="AJ98" s="42"/>
      <c r="AK98" s="42"/>
      <c r="AM98" s="42"/>
      <c r="AP98" s="32"/>
      <c r="AQ98" s="43" t="str">
        <f aca="false">IF($A103="","",B103-$AA$2-SUM($F$2:F103))</f>
        <v/>
      </c>
      <c r="AR98" s="1" t="str">
        <f aca="false">IF($A102="","",30000)</f>
        <v/>
      </c>
      <c r="AS98" s="1" t="str">
        <f aca="false">IF($A102="","",AR102-B102)</f>
        <v/>
      </c>
      <c r="AT98" s="1" t="str">
        <f aca="false">IF($A102="","",IFERROR(B102/AR102,0))</f>
        <v/>
      </c>
      <c r="AU98" s="1" t="str">
        <f aca="false">IF($A102="","",IFERROR(B102*O102,0))</f>
        <v/>
      </c>
      <c r="AV98" s="1" t="str">
        <f aca="false">IF($A102="","",IFERROR(C102/B102,0))</f>
        <v/>
      </c>
      <c r="AW98" s="1" t="str">
        <f aca="false">IF($A102="","",MAX(0,R102-S102))</f>
        <v/>
      </c>
      <c r="AX98" s="1" t="str">
        <f aca="false">IF($A102="","",IF(AW102&gt;0,"优先降持仓数",IF(C102&lt;=0,"现金不足","允许评估")))</f>
        <v/>
      </c>
      <c r="AY98" s="1" t="str">
        <f aca="false">IF($A102="","",IF(B102&lt;30000,"婴儿阶段: 优先活下来,禁止单票失控,限制持仓数,服务3W目标","幼儿阶段达成"))</f>
        <v/>
      </c>
    </row>
    <row r="99" customFormat="false" ht="15" hidden="false" customHeight="true" outlineLevel="0" collapsed="false">
      <c r="A99" s="28"/>
      <c r="B99" s="34"/>
      <c r="C99" s="34"/>
      <c r="D99" s="35" t="str">
        <f aca="false">IF($A104="","",SUMIFS(持仓表!$J:$J,持仓表!$A:$A,$A104))</f>
        <v/>
      </c>
      <c r="E99" s="36" t="n">
        <f aca="false">IFERROR(D104/B104,0)</f>
        <v>0</v>
      </c>
      <c r="F99" s="34"/>
      <c r="G99" s="35" t="str">
        <f aca="false">IF($B104="","",MAX($B$2:B104))</f>
        <v/>
      </c>
      <c r="H99" s="36" t="n">
        <f aca="false">IFERROR((B104-F104)/F104,0)</f>
        <v>0</v>
      </c>
      <c r="I99" s="36" t="n">
        <f aca="false">IFERROR((B104-G104)/G104,0)</f>
        <v>0</v>
      </c>
      <c r="J99" s="28"/>
      <c r="K99" s="29"/>
      <c r="L99" s="37"/>
      <c r="M99" s="37"/>
      <c r="N99" s="36" t="str">
        <f aca="false">IF($B104="","",MIN(70%,IF($I104&lt;=-15%,10%,IF($I104&lt;=-10%,30%,IF($M104&gt;=4,10%,IF($M104&gt;=3,30%,IF($J104="强",IF($K104="A",70%,IF($K104="B",60%,40%)),IF($J104="中性",IF($K104="A",50%,IF($K104="B",40%,25%)),IF($K104="A",30%,IF($K104="B",20%,10%))))))))))</f>
        <v/>
      </c>
      <c r="O99" s="36" t="str">
        <f aca="false">IF($B104="","",IF(B104&lt;30000,35%,IF(B104&lt;50000,30%,IF(B104&lt;100000,25%,20%))))</f>
        <v/>
      </c>
      <c r="P99" s="38" t="str">
        <f aca="false">IF($A104="","",COUNTIFS(持仓表!$A:$A,$A104,持仓表!$G:$G,"&gt;0"))</f>
        <v/>
      </c>
      <c r="Q99" s="38" t="str">
        <f aca="false">IF($A104="","",COUNTIFS(持仓表!$A:$A,$A104,持仓表!$D:$D,"是",持仓表!$G:$G,"&gt;0"))</f>
        <v/>
      </c>
      <c r="R99" s="38" t="str">
        <f aca="false">IF($A104="","",MAX(0,P104-Q104))</f>
        <v/>
      </c>
      <c r="S99" s="38" t="str">
        <f aca="false">IF($B104="","",IF(B104&lt;50000,3,IF(B104&lt;100000,4,5)))</f>
        <v/>
      </c>
      <c r="T99" s="39" t="str">
        <f aca="false">IF($A104="","",IF(OR(M104&gt;=4,I104&lt;=-8%),"防守",IF(OR(M104&gt;=2,I104&lt;=-5%),"警戒","正常")))</f>
        <v/>
      </c>
      <c r="U99" s="39" t="str">
        <f aca="false">IF($A104="","",IF(AND(L104&gt;=3,M104&lt;=2,T104&lt;&gt;"防守"),"是","否"))</f>
        <v/>
      </c>
      <c r="V99" s="39" t="str">
        <f aca="false">IF($A104="","",IF(AND(E104&lt;N104,R104&lt;S104,M104&lt;=2,I104&gt;-15%),"是","否"))</f>
        <v/>
      </c>
      <c r="W99" s="39" t="str">
        <f aca="false">IF($A104="","",IF(OR(M104&gt;=3,I104&lt;=-15%),"是","否"))</f>
        <v/>
      </c>
      <c r="X99" s="35" t="str">
        <f aca="false">IF($A104="","",IFERROR(maxifs(候选池!$AB:$AB,候选池!$A:$A,$A104),0))</f>
        <v/>
      </c>
      <c r="Y99" s="35" t="str">
        <f aca="false">IF($A104="","",IF(OR(M104&gt;=4,I104&lt;=-8%),MAX(0,B104*60%-C104),IF(AND(ISNUMBER(AD104),B104&gt;AD104),IF(B104&lt;30000,0,IF(B104&lt;100000,MAX(0,(B104-AD104)*0.2),MAX(0,(B104-AD104)*0.3))),0)))</f>
        <v/>
      </c>
      <c r="Z99" s="28"/>
      <c r="AA99" s="39" t="str">
        <f aca="false">IF($A104="","",IF($AA$2&lt;&gt;"",$AA$2,""))</f>
        <v/>
      </c>
      <c r="AB99" s="28" t="str">
        <f aca="false">IF($A104="","",IF(B104&lt;30000,0.03,IF(B104&lt;100000,0.02,0.015)))</f>
        <v/>
      </c>
      <c r="AC99" s="38" t="str">
        <f aca="false">IF($A104="","",IFERROR(DATEDIF($A$2,$A104,"m"),0))</f>
        <v/>
      </c>
      <c r="AD99" s="35" t="str">
        <f aca="false">IF($A104="","",IF(OR(AA104="",AB104="",AC104=""),"",AA104*POWER(1+AB104,AC104)))</f>
        <v/>
      </c>
      <c r="AE99" s="41" t="str">
        <f aca="false">IF($A104="","",IF(OR(AD104="",AD104=0),"",B104/AD104-1))</f>
        <v/>
      </c>
      <c r="AG99" s="1" t="str">
        <f aca="false">IF($A104="","",IF(B104&lt;30000,"婴儿",IF(B104&lt;100000,"成长","成熟")))</f>
        <v/>
      </c>
      <c r="AH99" s="42"/>
      <c r="AJ99" s="42"/>
      <c r="AK99" s="42"/>
      <c r="AM99" s="42"/>
      <c r="AP99" s="32"/>
      <c r="AQ99" s="43" t="str">
        <f aca="false">IF($A104="","",B104-$AA$2-SUM($F$2:F104))</f>
        <v/>
      </c>
      <c r="AR99" s="1" t="str">
        <f aca="false">IF($A103="","",30000)</f>
        <v/>
      </c>
      <c r="AS99" s="1" t="str">
        <f aca="false">IF($A103="","",AR103-B103)</f>
        <v/>
      </c>
      <c r="AT99" s="1" t="str">
        <f aca="false">IF($A103="","",IFERROR(B103/AR103,0))</f>
        <v/>
      </c>
      <c r="AU99" s="1" t="str">
        <f aca="false">IF($A103="","",IFERROR(B103*O103,0))</f>
        <v/>
      </c>
      <c r="AV99" s="1" t="str">
        <f aca="false">IF($A103="","",IFERROR(C103/B103,0))</f>
        <v/>
      </c>
      <c r="AW99" s="1" t="str">
        <f aca="false">IF($A103="","",MAX(0,R103-S103))</f>
        <v/>
      </c>
      <c r="AX99" s="1" t="str">
        <f aca="false">IF($A103="","",IF(AW103&gt;0,"优先降持仓数",IF(C103&lt;=0,"现金不足","允许评估")))</f>
        <v/>
      </c>
      <c r="AY99" s="1" t="str">
        <f aca="false">IF($A103="","",IF(B103&lt;30000,"婴儿阶段: 优先活下来,禁止单票失控,限制持仓数,服务3W目标","幼儿阶段达成"))</f>
        <v/>
      </c>
    </row>
    <row r="100" customFormat="false" ht="15" hidden="false" customHeight="true" outlineLevel="0" collapsed="false">
      <c r="A100" s="30"/>
      <c r="B100" s="44"/>
      <c r="C100" s="44"/>
      <c r="D100" s="35" t="str">
        <f aca="false">IF($A105="","",SUMIFS(持仓表!$J:$J,持仓表!$A:$A,$A105))</f>
        <v/>
      </c>
      <c r="E100" s="36" t="n">
        <f aca="false">IFERROR(D105/B105,0)</f>
        <v>0</v>
      </c>
      <c r="F100" s="44"/>
      <c r="G100" s="35" t="str">
        <f aca="false">IF($B105="","",MAX($B$2:B105))</f>
        <v/>
      </c>
      <c r="H100" s="36" t="n">
        <f aca="false">IFERROR((B105-F105)/F105,0)</f>
        <v>0</v>
      </c>
      <c r="I100" s="36" t="n">
        <f aca="false">IFERROR((B105-G105)/G105,0)</f>
        <v>0</v>
      </c>
      <c r="J100" s="30"/>
      <c r="K100" s="31"/>
      <c r="L100" s="45"/>
      <c r="M100" s="45"/>
      <c r="N100" s="36" t="str">
        <f aca="false">IF($B105="","",MIN(70%,IF($I105&lt;=-15%,10%,IF($I105&lt;=-10%,30%,IF($M105&gt;=4,10%,IF($M105&gt;=3,30%,IF($J105="强",IF($K105="A",70%,IF($K105="B",60%,40%)),IF($J105="中性",IF($K105="A",50%,IF($K105="B",40%,25%)),IF($K105="A",30%,IF($K105="B",20%,10%))))))))))</f>
        <v/>
      </c>
      <c r="O100" s="36" t="str">
        <f aca="false">IF($B105="","",IF(B105&lt;30000,35%,IF(B105&lt;50000,30%,IF(B105&lt;100000,25%,20%))))</f>
        <v/>
      </c>
      <c r="P100" s="38" t="str">
        <f aca="false">IF($A105="","",COUNTIFS(持仓表!$A:$A,$A105,持仓表!$G:$G,"&gt;0"))</f>
        <v/>
      </c>
      <c r="Q100" s="38" t="str">
        <f aca="false">IF($A105="","",COUNTIFS(持仓表!$A:$A,$A105,持仓表!$D:$D,"是",持仓表!$G:$G,"&gt;0"))</f>
        <v/>
      </c>
      <c r="R100" s="38" t="str">
        <f aca="false">IF($A105="","",MAX(0,P105-Q105))</f>
        <v/>
      </c>
      <c r="S100" s="38" t="str">
        <f aca="false">IF($B105="","",IF(B105&lt;50000,3,IF(B105&lt;100000,4,5)))</f>
        <v/>
      </c>
      <c r="T100" s="39" t="str">
        <f aca="false">IF($A105="","",IF(OR(M105&gt;=4,I105&lt;=-8%),"防守",IF(OR(M105&gt;=2,I105&lt;=-5%),"警戒","正常")))</f>
        <v/>
      </c>
      <c r="U100" s="39" t="str">
        <f aca="false">IF($A105="","",IF(AND(L105&gt;=3,M105&lt;=2,T105&lt;&gt;"防守"),"是","否"))</f>
        <v/>
      </c>
      <c r="V100" s="39" t="str">
        <f aca="false">IF($A105="","",IF(AND(E105&lt;N105,R105&lt;S105,M105&lt;=2,I105&gt;-15%),"是","否"))</f>
        <v/>
      </c>
      <c r="W100" s="39" t="str">
        <f aca="false">IF($A105="","",IF(OR(M105&gt;=3,I105&lt;=-15%),"是","否"))</f>
        <v/>
      </c>
      <c r="X100" s="35" t="str">
        <f aca="false">IF($A105="","",IFERROR(maxifs(候选池!$AB:$AB,候选池!$A:$A,$A105),0))</f>
        <v/>
      </c>
      <c r="Y100" s="35" t="str">
        <f aca="false">IF($A105="","",IF(OR(M105&gt;=4,I105&lt;=-8%),MAX(0,B105*60%-C105),IF(AND(ISNUMBER(AD105),B105&gt;AD105),IF(B105&lt;30000,0,IF(B105&lt;100000,MAX(0,(B105-AD105)*0.2),MAX(0,(B105-AD105)*0.3))),0)))</f>
        <v/>
      </c>
      <c r="Z100" s="30"/>
      <c r="AA100" s="39" t="str">
        <f aca="false">IF($A105="","",IF($AA$2&lt;&gt;"",$AA$2,""))</f>
        <v/>
      </c>
      <c r="AB100" s="30" t="str">
        <f aca="false">IF($A105="","",IF(B105&lt;30000,0.03,IF(B105&lt;100000,0.02,0.015)))</f>
        <v/>
      </c>
      <c r="AC100" s="38" t="str">
        <f aca="false">IF($A105="","",IFERROR(DATEDIF($A$2,$A105,"m"),0))</f>
        <v/>
      </c>
      <c r="AD100" s="35" t="str">
        <f aca="false">IF($A105="","",IF(OR(AA105="",AB105="",AC105=""),"",AA105*POWER(1+AB105,AC105)))</f>
        <v/>
      </c>
      <c r="AE100" s="47" t="str">
        <f aca="false">IF($A105="","",IF(OR(AD105="",AD105=0),"",B105/AD105-1))</f>
        <v/>
      </c>
      <c r="AG100" s="1" t="str">
        <f aca="false">IF($A105="","",IF(B105&lt;30000,"婴儿",IF(B105&lt;100000,"成长","成熟")))</f>
        <v/>
      </c>
      <c r="AH100" s="42"/>
      <c r="AJ100" s="42"/>
      <c r="AK100" s="42"/>
      <c r="AM100" s="42"/>
      <c r="AP100" s="32"/>
      <c r="AQ100" s="43" t="str">
        <f aca="false">IF($A105="","",B105-$AA$2-SUM($F$2:F105))</f>
        <v/>
      </c>
      <c r="AR100" s="1" t="str">
        <f aca="false">IF($A104="","",30000)</f>
        <v/>
      </c>
      <c r="AS100" s="1" t="str">
        <f aca="false">IF($A104="","",AR104-B104)</f>
        <v/>
      </c>
      <c r="AT100" s="1" t="str">
        <f aca="false">IF($A104="","",IFERROR(B104/AR104,0))</f>
        <v/>
      </c>
      <c r="AU100" s="1" t="str">
        <f aca="false">IF($A104="","",IFERROR(B104*O104,0))</f>
        <v/>
      </c>
      <c r="AV100" s="1" t="str">
        <f aca="false">IF($A104="","",IFERROR(C104/B104,0))</f>
        <v/>
      </c>
      <c r="AW100" s="1" t="str">
        <f aca="false">IF($A104="","",MAX(0,R104-S104))</f>
        <v/>
      </c>
      <c r="AX100" s="1" t="str">
        <f aca="false">IF($A104="","",IF(AW104&gt;0,"优先降持仓数",IF(C104&lt;=0,"现金不足","允许评估")))</f>
        <v/>
      </c>
      <c r="AY100" s="1" t="str">
        <f aca="false">IF($A104="","",IF(B104&lt;30000,"婴儿阶段: 优先活下来,禁止单票失控,限制持仓数,服务3W目标","幼儿阶段达成"))</f>
        <v/>
      </c>
    </row>
    <row r="101" customFormat="false" ht="15" hidden="false" customHeight="true" outlineLevel="0" collapsed="false">
      <c r="A101" s="28"/>
      <c r="B101" s="34"/>
      <c r="C101" s="34"/>
      <c r="D101" s="35" t="str">
        <f aca="false">IF($A106="","",SUMIFS(持仓表!$J:$J,持仓表!$A:$A,$A106))</f>
        <v/>
      </c>
      <c r="E101" s="36" t="n">
        <f aca="false">IFERROR(D106/B106,0)</f>
        <v>0</v>
      </c>
      <c r="F101" s="34"/>
      <c r="G101" s="35" t="str">
        <f aca="false">IF($B106="","",MAX($B$2:B106))</f>
        <v/>
      </c>
      <c r="H101" s="36" t="n">
        <f aca="false">IFERROR((B106-F106)/F106,0)</f>
        <v>0</v>
      </c>
      <c r="I101" s="36" t="n">
        <f aca="false">IFERROR((B106-G106)/G106,0)</f>
        <v>0</v>
      </c>
      <c r="J101" s="28"/>
      <c r="K101" s="29"/>
      <c r="L101" s="37"/>
      <c r="M101" s="37"/>
      <c r="N101" s="36" t="str">
        <f aca="false">IF($B106="","",MIN(70%,IF($I106&lt;=-15%,10%,IF($I106&lt;=-10%,30%,IF($M106&gt;=4,10%,IF($M106&gt;=3,30%,IF($J106="强",IF($K106="A",70%,IF($K106="B",60%,40%)),IF($J106="中性",IF($K106="A",50%,IF($K106="B",40%,25%)),IF($K106="A",30%,IF($K106="B",20%,10%))))))))))</f>
        <v/>
      </c>
      <c r="O101" s="36" t="str">
        <f aca="false">IF($B106="","",IF(B106&lt;30000,35%,IF(B106&lt;50000,30%,IF(B106&lt;100000,25%,20%))))</f>
        <v/>
      </c>
      <c r="P101" s="38" t="str">
        <f aca="false">IF($A106="","",COUNTIFS(持仓表!$A:$A,$A106,持仓表!$G:$G,"&gt;0"))</f>
        <v/>
      </c>
      <c r="Q101" s="38" t="str">
        <f aca="false">IF($A106="","",COUNTIFS(持仓表!$A:$A,$A106,持仓表!$D:$D,"是",持仓表!$G:$G,"&gt;0"))</f>
        <v/>
      </c>
      <c r="R101" s="38" t="str">
        <f aca="false">IF($A106="","",MAX(0,P106-Q106))</f>
        <v/>
      </c>
      <c r="S101" s="38" t="str">
        <f aca="false">IF($B106="","",IF(B106&lt;50000,3,IF(B106&lt;100000,4,5)))</f>
        <v/>
      </c>
      <c r="T101" s="39" t="str">
        <f aca="false">IF($A106="","",IF(OR(M106&gt;=4,I106&lt;=-8%),"防守",IF(OR(M106&gt;=2,I106&lt;=-5%),"警戒","正常")))</f>
        <v/>
      </c>
      <c r="U101" s="39" t="str">
        <f aca="false">IF($A106="","",IF(AND(L106&gt;=3,M106&lt;=2,T106&lt;&gt;"防守"),"是","否"))</f>
        <v/>
      </c>
      <c r="V101" s="39" t="str">
        <f aca="false">IF($A106="","",IF(AND(E106&lt;N106,R106&lt;S106,M106&lt;=2,I106&gt;-15%),"是","否"))</f>
        <v/>
      </c>
      <c r="W101" s="39" t="str">
        <f aca="false">IF($A106="","",IF(OR(M106&gt;=3,I106&lt;=-15%),"是","否"))</f>
        <v/>
      </c>
      <c r="X101" s="35" t="str">
        <f aca="false">IF($A106="","",IFERROR(maxifs(候选池!$AB:$AB,候选池!$A:$A,$A106),0))</f>
        <v/>
      </c>
      <c r="Y101" s="35" t="str">
        <f aca="false">IF($A106="","",IF(OR(M106&gt;=4,I106&lt;=-8%),MAX(0,B106*60%-C106),IF(AND(ISNUMBER(AD106),B106&gt;AD106),IF(B106&lt;30000,0,IF(B106&lt;100000,MAX(0,(B106-AD106)*0.2),MAX(0,(B106-AD106)*0.3))),0)))</f>
        <v/>
      </c>
      <c r="Z101" s="28"/>
      <c r="AA101" s="39" t="str">
        <f aca="false">IF($A106="","",IF($AA$2&lt;&gt;"",$AA$2,""))</f>
        <v/>
      </c>
      <c r="AB101" s="28" t="str">
        <f aca="false">IF($A106="","",IF(B106&lt;30000,0.03,IF(B106&lt;100000,0.02,0.015)))</f>
        <v/>
      </c>
      <c r="AC101" s="38" t="str">
        <f aca="false">IF($A106="","",IFERROR(DATEDIF($A$2,$A106,"m"),0))</f>
        <v/>
      </c>
      <c r="AD101" s="35" t="str">
        <f aca="false">IF($A106="","",IF(OR(AA106="",AB106="",AC106=""),"",AA106*POWER(1+AB106,AC106)))</f>
        <v/>
      </c>
      <c r="AE101" s="41" t="str">
        <f aca="false">IF($A106="","",IF(OR(AD106="",AD106=0),"",B106/AD106-1))</f>
        <v/>
      </c>
      <c r="AG101" s="1" t="str">
        <f aca="false">IF($A106="","",IF(B106&lt;30000,"婴儿",IF(B106&lt;100000,"成长","成熟")))</f>
        <v/>
      </c>
      <c r="AH101" s="42"/>
      <c r="AJ101" s="42"/>
      <c r="AK101" s="42"/>
      <c r="AM101" s="42"/>
      <c r="AP101" s="32"/>
      <c r="AQ101" s="43" t="str">
        <f aca="false">IF($A106="","",B106-$AA$2-SUM($F$2:F106))</f>
        <v/>
      </c>
      <c r="AR101" s="1" t="str">
        <f aca="false">IF($A105="","",30000)</f>
        <v/>
      </c>
      <c r="AS101" s="1" t="str">
        <f aca="false">IF($A105="","",AR105-B105)</f>
        <v/>
      </c>
      <c r="AT101" s="1" t="str">
        <f aca="false">IF($A105="","",IFERROR(B105/AR105,0))</f>
        <v/>
      </c>
      <c r="AU101" s="1" t="str">
        <f aca="false">IF($A105="","",IFERROR(B105*O105,0))</f>
        <v/>
      </c>
      <c r="AV101" s="1" t="str">
        <f aca="false">IF($A105="","",IFERROR(C105/B105,0))</f>
        <v/>
      </c>
      <c r="AW101" s="1" t="str">
        <f aca="false">IF($A105="","",MAX(0,R105-S105))</f>
        <v/>
      </c>
      <c r="AX101" s="1" t="str">
        <f aca="false">IF($A105="","",IF(AW105&gt;0,"优先降持仓数",IF(C105&lt;=0,"现金不足","允许评估")))</f>
        <v/>
      </c>
      <c r="AY101" s="1" t="str">
        <f aca="false">IF($A105="","",IF(B105&lt;30000,"婴儿阶段: 优先活下来,禁止单票失控,限制持仓数,服务3W目标","幼儿阶段达成"))</f>
        <v/>
      </c>
    </row>
    <row r="102" customFormat="false" ht="15" hidden="false" customHeight="true" outlineLevel="0" collapsed="false">
      <c r="A102" s="30"/>
      <c r="B102" s="44"/>
      <c r="C102" s="44"/>
      <c r="D102" s="35" t="str">
        <f aca="false">IF($A107="","",SUMIFS(持仓表!$J:$J,持仓表!$A:$A,$A107))</f>
        <v/>
      </c>
      <c r="E102" s="36" t="n">
        <f aca="false">IFERROR(D107/B107,0)</f>
        <v>0</v>
      </c>
      <c r="F102" s="44"/>
      <c r="G102" s="35" t="str">
        <f aca="false">IF($B107="","",MAX($B$2:B107))</f>
        <v/>
      </c>
      <c r="H102" s="36" t="n">
        <f aca="false">IFERROR((B107-F107)/F107,0)</f>
        <v>0</v>
      </c>
      <c r="I102" s="36" t="n">
        <f aca="false">IFERROR((B107-G107)/G107,0)</f>
        <v>0</v>
      </c>
      <c r="J102" s="30"/>
      <c r="K102" s="31"/>
      <c r="L102" s="45"/>
      <c r="M102" s="45"/>
      <c r="N102" s="36" t="str">
        <f aca="false">IF($B107="","",MIN(70%,IF($I107&lt;=-15%,10%,IF($I107&lt;=-10%,30%,IF($M107&gt;=4,10%,IF($M107&gt;=3,30%,IF($J107="强",IF($K107="A",70%,IF($K107="B",60%,40%)),IF($J107="中性",IF($K107="A",50%,IF($K107="B",40%,25%)),IF($K107="A",30%,IF($K107="B",20%,10%))))))))))</f>
        <v/>
      </c>
      <c r="O102" s="36" t="str">
        <f aca="false">IF($B107="","",IF(B107&lt;30000,35%,IF(B107&lt;50000,30%,IF(B107&lt;100000,25%,20%))))</f>
        <v/>
      </c>
      <c r="P102" s="38" t="str">
        <f aca="false">IF($A107="","",COUNTIFS(持仓表!$A:$A,$A107,持仓表!$G:$G,"&gt;0"))</f>
        <v/>
      </c>
      <c r="Q102" s="38" t="str">
        <f aca="false">IF($A107="","",COUNTIFS(持仓表!$A:$A,$A107,持仓表!$D:$D,"是",持仓表!$G:$G,"&gt;0"))</f>
        <v/>
      </c>
      <c r="R102" s="38" t="str">
        <f aca="false">IF($A107="","",MAX(0,P107-Q107))</f>
        <v/>
      </c>
      <c r="S102" s="38" t="str">
        <f aca="false">IF($B107="","",IF(B107&lt;50000,3,IF(B107&lt;100000,4,5)))</f>
        <v/>
      </c>
      <c r="T102" s="39" t="str">
        <f aca="false">IF($A107="","",IF(OR(M107&gt;=4,I107&lt;=-8%),"防守",IF(OR(M107&gt;=2,I107&lt;=-5%),"警戒","正常")))</f>
        <v/>
      </c>
      <c r="U102" s="39" t="str">
        <f aca="false">IF($A107="","",IF(AND(L107&gt;=3,M107&lt;=2,T107&lt;&gt;"防守"),"是","否"))</f>
        <v/>
      </c>
      <c r="V102" s="39" t="str">
        <f aca="false">IF($A107="","",IF(AND(E107&lt;N107,R107&lt;S107,M107&lt;=2,I107&gt;-15%),"是","否"))</f>
        <v/>
      </c>
      <c r="W102" s="39" t="str">
        <f aca="false">IF($A107="","",IF(OR(M107&gt;=3,I107&lt;=-15%),"是","否"))</f>
        <v/>
      </c>
      <c r="X102" s="35" t="str">
        <f aca="false">IF($A107="","",IFERROR(maxifs(候选池!$AB:$AB,候选池!$A:$A,$A107),0))</f>
        <v/>
      </c>
      <c r="Y102" s="35" t="str">
        <f aca="false">IF($A107="","",IF(OR(M107&gt;=4,I107&lt;=-8%),MAX(0,B107*60%-C107),IF(AND(ISNUMBER(AD107),B107&gt;AD107),IF(B107&lt;30000,0,IF(B107&lt;100000,MAX(0,(B107-AD107)*0.2),MAX(0,(B107-AD107)*0.3))),0)))</f>
        <v/>
      </c>
      <c r="Z102" s="30"/>
      <c r="AA102" s="39" t="str">
        <f aca="false">IF($A107="","",IF($AA$2&lt;&gt;"",$AA$2,""))</f>
        <v/>
      </c>
      <c r="AB102" s="30" t="str">
        <f aca="false">IF($A107="","",IF(B107&lt;30000,0.03,IF(B107&lt;100000,0.02,0.015)))</f>
        <v/>
      </c>
      <c r="AC102" s="38" t="str">
        <f aca="false">IF($A107="","",IFERROR(DATEDIF($A$2,$A107,"m"),0))</f>
        <v/>
      </c>
      <c r="AD102" s="35" t="str">
        <f aca="false">IF($A107="","",IF(OR(AA107="",AB107="",AC107=""),"",AA107*POWER(1+AB107,AC107)))</f>
        <v/>
      </c>
      <c r="AE102" s="47" t="str">
        <f aca="false">IF($A107="","",IF(OR(AD107="",AD107=0),"",B107/AD107-1))</f>
        <v/>
      </c>
      <c r="AG102" s="1" t="str">
        <f aca="false">IF($A107="","",IF(B107&lt;30000,"婴儿",IF(B107&lt;100000,"成长","成熟")))</f>
        <v/>
      </c>
      <c r="AH102" s="42"/>
      <c r="AJ102" s="42"/>
      <c r="AK102" s="42"/>
      <c r="AM102" s="42"/>
      <c r="AP102" s="32"/>
      <c r="AQ102" s="43" t="str">
        <f aca="false">IF($A107="","",B107-$AA$2-SUM($F$2:F107))</f>
        <v/>
      </c>
      <c r="AR102" s="1" t="str">
        <f aca="false">IF($A106="","",30000)</f>
        <v/>
      </c>
      <c r="AS102" s="1" t="str">
        <f aca="false">IF($A106="","",AR106-B106)</f>
        <v/>
      </c>
      <c r="AT102" s="1" t="str">
        <f aca="false">IF($A106="","",IFERROR(B106/AR106,0))</f>
        <v/>
      </c>
      <c r="AU102" s="1" t="str">
        <f aca="false">IF($A106="","",IFERROR(B106*O106,0))</f>
        <v/>
      </c>
      <c r="AV102" s="1" t="str">
        <f aca="false">IF($A106="","",IFERROR(C106/B106,0))</f>
        <v/>
      </c>
      <c r="AW102" s="1" t="str">
        <f aca="false">IF($A106="","",MAX(0,R106-S106))</f>
        <v/>
      </c>
      <c r="AX102" s="1" t="str">
        <f aca="false">IF($A106="","",IF(AW106&gt;0,"优先降持仓数",IF(C106&lt;=0,"现金不足","允许评估")))</f>
        <v/>
      </c>
      <c r="AY102" s="1" t="str">
        <f aca="false">IF($A106="","",IF(B106&lt;30000,"婴儿阶段: 优先活下来,禁止单票失控,限制持仓数,服务3W目标","幼儿阶段达成"))</f>
        <v/>
      </c>
    </row>
    <row r="103" customFormat="false" ht="15" hidden="false" customHeight="true" outlineLevel="0" collapsed="false">
      <c r="A103" s="28"/>
      <c r="B103" s="34"/>
      <c r="C103" s="34"/>
      <c r="D103" s="35" t="str">
        <f aca="false">IF($A108="","",SUMIFS(持仓表!$J:$J,持仓表!$A:$A,$A108))</f>
        <v/>
      </c>
      <c r="E103" s="36" t="n">
        <f aca="false">IFERROR(D108/B108,0)</f>
        <v>0</v>
      </c>
      <c r="F103" s="34"/>
      <c r="G103" s="35" t="str">
        <f aca="false">IF($B108="","",MAX($B$2:B108))</f>
        <v/>
      </c>
      <c r="H103" s="36" t="n">
        <f aca="false">IFERROR((B108-F108)/F108,0)</f>
        <v>0</v>
      </c>
      <c r="I103" s="36" t="n">
        <f aca="false">IFERROR((B108-G108)/G108,0)</f>
        <v>0</v>
      </c>
      <c r="J103" s="28"/>
      <c r="K103" s="29"/>
      <c r="L103" s="37"/>
      <c r="M103" s="37"/>
      <c r="N103" s="36" t="str">
        <f aca="false">IF($B108="","",MIN(70%,IF($I108&lt;=-15%,10%,IF($I108&lt;=-10%,30%,IF($M108&gt;=4,10%,IF($M108&gt;=3,30%,IF($J108="强",IF($K108="A",70%,IF($K108="B",60%,40%)),IF($J108="中性",IF($K108="A",50%,IF($K108="B",40%,25%)),IF($K108="A",30%,IF($K108="B",20%,10%))))))))))</f>
        <v/>
      </c>
      <c r="O103" s="36" t="str">
        <f aca="false">IF($B108="","",IF(B108&lt;30000,35%,IF(B108&lt;50000,30%,IF(B108&lt;100000,25%,20%))))</f>
        <v/>
      </c>
      <c r="P103" s="38" t="str">
        <f aca="false">IF($A108="","",COUNTIFS(持仓表!$A:$A,$A108,持仓表!$G:$G,"&gt;0"))</f>
        <v/>
      </c>
      <c r="Q103" s="38" t="str">
        <f aca="false">IF($A108="","",COUNTIFS(持仓表!$A:$A,$A108,持仓表!$D:$D,"是",持仓表!$G:$G,"&gt;0"))</f>
        <v/>
      </c>
      <c r="R103" s="38" t="str">
        <f aca="false">IF($A108="","",MAX(0,P108-Q108))</f>
        <v/>
      </c>
      <c r="S103" s="38" t="str">
        <f aca="false">IF($B108="","",IF(B108&lt;50000,3,IF(B108&lt;100000,4,5)))</f>
        <v/>
      </c>
      <c r="T103" s="39" t="str">
        <f aca="false">IF($A108="","",IF(OR(M108&gt;=4,I108&lt;=-8%),"防守",IF(OR(M108&gt;=2,I108&lt;=-5%),"警戒","正常")))</f>
        <v/>
      </c>
      <c r="U103" s="39" t="str">
        <f aca="false">IF($A108="","",IF(AND(L108&gt;=3,M108&lt;=2,T108&lt;&gt;"防守"),"是","否"))</f>
        <v/>
      </c>
      <c r="V103" s="39" t="str">
        <f aca="false">IF($A108="","",IF(AND(E108&lt;N108,R108&lt;S108,M108&lt;=2,I108&gt;-15%),"是","否"))</f>
        <v/>
      </c>
      <c r="W103" s="39" t="str">
        <f aca="false">IF($A108="","",IF(OR(M108&gt;=3,I108&lt;=-15%),"是","否"))</f>
        <v/>
      </c>
      <c r="X103" s="35" t="str">
        <f aca="false">IF($A108="","",IFERROR(maxifs(候选池!$AB:$AB,候选池!$A:$A,$A108),0))</f>
        <v/>
      </c>
      <c r="Y103" s="35" t="str">
        <f aca="false">IF($A108="","",IF(OR(M108&gt;=4,I108&lt;=-8%),MAX(0,B108*60%-C108),IF(AND(ISNUMBER(AD108),B108&gt;AD108),IF(B108&lt;30000,0,IF(B108&lt;100000,MAX(0,(B108-AD108)*0.2),MAX(0,(B108-AD108)*0.3))),0)))</f>
        <v/>
      </c>
      <c r="Z103" s="28"/>
      <c r="AA103" s="39" t="str">
        <f aca="false">IF($A108="","",IF($AA$2&lt;&gt;"",$AA$2,""))</f>
        <v/>
      </c>
      <c r="AB103" s="28" t="str">
        <f aca="false">IF($A108="","",IF(B108&lt;30000,0.03,IF(B108&lt;100000,0.02,0.015)))</f>
        <v/>
      </c>
      <c r="AC103" s="38" t="str">
        <f aca="false">IF($A108="","",IFERROR(DATEDIF($A$2,$A108,"m"),0))</f>
        <v/>
      </c>
      <c r="AD103" s="35" t="str">
        <f aca="false">IF($A108="","",IF(OR(AA108="",AB108="",AC108=""),"",AA108*POWER(1+AB108,AC108)))</f>
        <v/>
      </c>
      <c r="AE103" s="41" t="str">
        <f aca="false">IF($A108="","",IF(OR(AD108="",AD108=0),"",B108/AD108-1))</f>
        <v/>
      </c>
      <c r="AG103" s="1" t="str">
        <f aca="false">IF($A108="","",IF(B108&lt;30000,"婴儿",IF(B108&lt;100000,"成长","成熟")))</f>
        <v/>
      </c>
      <c r="AH103" s="42"/>
      <c r="AJ103" s="42"/>
      <c r="AK103" s="42"/>
      <c r="AM103" s="42"/>
      <c r="AP103" s="32"/>
      <c r="AQ103" s="43" t="str">
        <f aca="false">IF($A108="","",B108-$AA$2-SUM($F$2:F108))</f>
        <v/>
      </c>
      <c r="AR103" s="1" t="str">
        <f aca="false">IF($A107="","",30000)</f>
        <v/>
      </c>
      <c r="AS103" s="1" t="str">
        <f aca="false">IF($A107="","",AR107-B107)</f>
        <v/>
      </c>
      <c r="AT103" s="1" t="str">
        <f aca="false">IF($A107="","",IFERROR(B107/AR107,0))</f>
        <v/>
      </c>
      <c r="AU103" s="1" t="str">
        <f aca="false">IF($A107="","",IFERROR(B107*O107,0))</f>
        <v/>
      </c>
      <c r="AV103" s="1" t="str">
        <f aca="false">IF($A107="","",IFERROR(C107/B107,0))</f>
        <v/>
      </c>
      <c r="AW103" s="1" t="str">
        <f aca="false">IF($A107="","",MAX(0,R107-S107))</f>
        <v/>
      </c>
      <c r="AX103" s="1" t="str">
        <f aca="false">IF($A107="","",IF(AW107&gt;0,"优先降持仓数",IF(C107&lt;=0,"现金不足","允许评估")))</f>
        <v/>
      </c>
      <c r="AY103" s="1" t="str">
        <f aca="false">IF($A107="","",IF(B107&lt;30000,"婴儿阶段: 优先活下来,禁止单票失控,限制持仓数,服务3W目标","幼儿阶段达成"))</f>
        <v/>
      </c>
    </row>
    <row r="104" customFormat="false" ht="15" hidden="false" customHeight="true" outlineLevel="0" collapsed="false">
      <c r="A104" s="30"/>
      <c r="B104" s="44"/>
      <c r="C104" s="44"/>
      <c r="D104" s="35" t="str">
        <f aca="false">IF($A109="","",SUMIFS(持仓表!$J:$J,持仓表!$A:$A,$A109))</f>
        <v/>
      </c>
      <c r="E104" s="36" t="n">
        <f aca="false">IFERROR(D109/B109,0)</f>
        <v>0</v>
      </c>
      <c r="F104" s="44"/>
      <c r="G104" s="35" t="str">
        <f aca="false">IF($B109="","",MAX($B$2:B109))</f>
        <v/>
      </c>
      <c r="H104" s="36" t="n">
        <f aca="false">IFERROR((B109-F109)/F109,0)</f>
        <v>0</v>
      </c>
      <c r="I104" s="36" t="n">
        <f aca="false">IFERROR((B109-G109)/G109,0)</f>
        <v>0</v>
      </c>
      <c r="J104" s="30"/>
      <c r="K104" s="31"/>
      <c r="L104" s="45"/>
      <c r="M104" s="45"/>
      <c r="N104" s="36" t="str">
        <f aca="false">IF($B109="","",MIN(70%,IF($I109&lt;=-15%,10%,IF($I109&lt;=-10%,30%,IF($M109&gt;=4,10%,IF($M109&gt;=3,30%,IF($J109="强",IF($K109="A",70%,IF($K109="B",60%,40%)),IF($J109="中性",IF($K109="A",50%,IF($K109="B",40%,25%)),IF($K109="A",30%,IF($K109="B",20%,10%))))))))))</f>
        <v/>
      </c>
      <c r="O104" s="36" t="str">
        <f aca="false">IF($B109="","",IF(B109&lt;30000,35%,IF(B109&lt;50000,30%,IF(B109&lt;100000,25%,20%))))</f>
        <v/>
      </c>
      <c r="P104" s="38" t="str">
        <f aca="false">IF($A109="","",COUNTIFS(持仓表!$A:$A,$A109,持仓表!$G:$G,"&gt;0"))</f>
        <v/>
      </c>
      <c r="Q104" s="38" t="str">
        <f aca="false">IF($A109="","",COUNTIFS(持仓表!$A:$A,$A109,持仓表!$D:$D,"是",持仓表!$G:$G,"&gt;0"))</f>
        <v/>
      </c>
      <c r="R104" s="38" t="str">
        <f aca="false">IF($A109="","",MAX(0,P109-Q109))</f>
        <v/>
      </c>
      <c r="S104" s="38" t="str">
        <f aca="false">IF($B109="","",IF(B109&lt;50000,3,IF(B109&lt;100000,4,5)))</f>
        <v/>
      </c>
      <c r="T104" s="39" t="str">
        <f aca="false">IF($A109="","",IF(OR(M109&gt;=4,I109&lt;=-8%),"防守",IF(OR(M109&gt;=2,I109&lt;=-5%),"警戒","正常")))</f>
        <v/>
      </c>
      <c r="U104" s="39" t="str">
        <f aca="false">IF($A109="","",IF(AND(L109&gt;=3,M109&lt;=2,T109&lt;&gt;"防守"),"是","否"))</f>
        <v/>
      </c>
      <c r="V104" s="39" t="str">
        <f aca="false">IF($A109="","",IF(AND(E109&lt;N109,R109&lt;S109,M109&lt;=2,I109&gt;-15%),"是","否"))</f>
        <v/>
      </c>
      <c r="W104" s="39" t="str">
        <f aca="false">IF($A109="","",IF(OR(M109&gt;=3,I109&lt;=-15%),"是","否"))</f>
        <v/>
      </c>
      <c r="X104" s="35" t="str">
        <f aca="false">IF($A109="","",IFERROR(maxifs(候选池!$AB:$AB,候选池!$A:$A,$A109),0))</f>
        <v/>
      </c>
      <c r="Y104" s="35" t="str">
        <f aca="false">IF($A109="","",IF(OR(M109&gt;=4,I109&lt;=-8%),MAX(0,B109*60%-C109),IF(AND(ISNUMBER(AD109),B109&gt;AD109),IF(B109&lt;30000,0,IF(B109&lt;100000,MAX(0,(B109-AD109)*0.2),MAX(0,(B109-AD109)*0.3))),0)))</f>
        <v/>
      </c>
      <c r="Z104" s="30"/>
      <c r="AA104" s="39" t="str">
        <f aca="false">IF($A109="","",IF($AA$2&lt;&gt;"",$AA$2,""))</f>
        <v/>
      </c>
      <c r="AB104" s="30" t="str">
        <f aca="false">IF($A109="","",IF(B109&lt;30000,0.03,IF(B109&lt;100000,0.02,0.015)))</f>
        <v/>
      </c>
      <c r="AC104" s="38" t="str">
        <f aca="false">IF($A109="","",IFERROR(DATEDIF($A$2,$A109,"m"),0))</f>
        <v/>
      </c>
      <c r="AD104" s="35" t="str">
        <f aca="false">IF($A109="","",IF(OR(AA109="",AB109="",AC109=""),"",AA109*POWER(1+AB109,AC109)))</f>
        <v/>
      </c>
      <c r="AE104" s="47" t="str">
        <f aca="false">IF($A109="","",IF(OR(AD109="",AD109=0),"",B109/AD109-1))</f>
        <v/>
      </c>
      <c r="AG104" s="1" t="str">
        <f aca="false">IF($A109="","",IF(B109&lt;30000,"婴儿",IF(B109&lt;100000,"成长","成熟")))</f>
        <v/>
      </c>
      <c r="AH104" s="42"/>
      <c r="AJ104" s="42"/>
      <c r="AK104" s="42"/>
      <c r="AM104" s="42"/>
      <c r="AP104" s="32"/>
      <c r="AQ104" s="43" t="str">
        <f aca="false">IF($A109="","",B109-$AA$2-SUM($F$2:F109))</f>
        <v/>
      </c>
      <c r="AR104" s="1" t="str">
        <f aca="false">IF($A108="","",30000)</f>
        <v/>
      </c>
      <c r="AS104" s="1" t="str">
        <f aca="false">IF($A108="","",AR108-B108)</f>
        <v/>
      </c>
      <c r="AT104" s="1" t="str">
        <f aca="false">IF($A108="","",IFERROR(B108/AR108,0))</f>
        <v/>
      </c>
      <c r="AU104" s="1" t="str">
        <f aca="false">IF($A108="","",IFERROR(B108*O108,0))</f>
        <v/>
      </c>
      <c r="AV104" s="1" t="str">
        <f aca="false">IF($A108="","",IFERROR(C108/B108,0))</f>
        <v/>
      </c>
      <c r="AW104" s="1" t="str">
        <f aca="false">IF($A108="","",MAX(0,R108-S108))</f>
        <v/>
      </c>
      <c r="AX104" s="1" t="str">
        <f aca="false">IF($A108="","",IF(AW108&gt;0,"优先降持仓数",IF(C108&lt;=0,"现金不足","允许评估")))</f>
        <v/>
      </c>
      <c r="AY104" s="1" t="str">
        <f aca="false">IF($A108="","",IF(B108&lt;30000,"婴儿阶段: 优先活下来,禁止单票失控,限制持仓数,服务3W目标","幼儿阶段达成"))</f>
        <v/>
      </c>
    </row>
    <row r="105" customFormat="false" ht="15" hidden="false" customHeight="true" outlineLevel="0" collapsed="false">
      <c r="A105" s="28"/>
      <c r="B105" s="34"/>
      <c r="C105" s="34"/>
      <c r="D105" s="35" t="str">
        <f aca="false">IF($A110="","",SUMIFS(持仓表!$J:$J,持仓表!$A:$A,$A110))</f>
        <v/>
      </c>
      <c r="E105" s="36" t="n">
        <f aca="false">IFERROR(D110/B110,0)</f>
        <v>0</v>
      </c>
      <c r="F105" s="34"/>
      <c r="G105" s="35" t="str">
        <f aca="false">IF($B110="","",MAX($B$2:B110))</f>
        <v/>
      </c>
      <c r="H105" s="36" t="n">
        <f aca="false">IFERROR((B110-F110)/F110,0)</f>
        <v>0</v>
      </c>
      <c r="I105" s="36" t="n">
        <f aca="false">IFERROR((B110-G110)/G110,0)</f>
        <v>0</v>
      </c>
      <c r="J105" s="28"/>
      <c r="K105" s="29"/>
      <c r="L105" s="37"/>
      <c r="M105" s="37"/>
      <c r="N105" s="36" t="str">
        <f aca="false">IF($B110="","",MIN(70%,IF($I110&lt;=-15%,10%,IF($I110&lt;=-10%,30%,IF($M110&gt;=4,10%,IF($M110&gt;=3,30%,IF($J110="强",IF($K110="A",70%,IF($K110="B",60%,40%)),IF($J110="中性",IF($K110="A",50%,IF($K110="B",40%,25%)),IF($K110="A",30%,IF($K110="B",20%,10%))))))))))</f>
        <v/>
      </c>
      <c r="O105" s="36" t="str">
        <f aca="false">IF($B110="","",IF(B110&lt;30000,35%,IF(B110&lt;50000,30%,IF(B110&lt;100000,25%,20%))))</f>
        <v/>
      </c>
      <c r="P105" s="38" t="str">
        <f aca="false">IF($A110="","",COUNTIFS(持仓表!$A:$A,$A110,持仓表!$G:$G,"&gt;0"))</f>
        <v/>
      </c>
      <c r="Q105" s="38" t="str">
        <f aca="false">IF($A110="","",COUNTIFS(持仓表!$A:$A,$A110,持仓表!$D:$D,"是",持仓表!$G:$G,"&gt;0"))</f>
        <v/>
      </c>
      <c r="R105" s="38" t="str">
        <f aca="false">IF($A110="","",MAX(0,P110-Q110))</f>
        <v/>
      </c>
      <c r="S105" s="38" t="str">
        <f aca="false">IF($B110="","",IF(B110&lt;50000,3,IF(B110&lt;100000,4,5)))</f>
        <v/>
      </c>
      <c r="T105" s="39" t="str">
        <f aca="false">IF($A110="","",IF(OR(M110&gt;=4,I110&lt;=-8%),"防守",IF(OR(M110&gt;=2,I110&lt;=-5%),"警戒","正常")))</f>
        <v/>
      </c>
      <c r="U105" s="39" t="str">
        <f aca="false">IF($A110="","",IF(AND(L110&gt;=3,M110&lt;=2,T110&lt;&gt;"防守"),"是","否"))</f>
        <v/>
      </c>
      <c r="V105" s="39" t="str">
        <f aca="false">IF($A110="","",IF(AND(E110&lt;N110,R110&lt;S110,M110&lt;=2,I110&gt;-15%),"是","否"))</f>
        <v/>
      </c>
      <c r="W105" s="39" t="str">
        <f aca="false">IF($A110="","",IF(OR(M110&gt;=3,I110&lt;=-15%),"是","否"))</f>
        <v/>
      </c>
      <c r="X105" s="35" t="str">
        <f aca="false">IF($A110="","",IFERROR(maxifs(候选池!$AB:$AB,候选池!$A:$A,$A110),0))</f>
        <v/>
      </c>
      <c r="Y105" s="35" t="str">
        <f aca="false">IF($A110="","",IF(OR(M110&gt;=4,I110&lt;=-8%),MAX(0,B110*60%-C110),IF(AND(ISNUMBER(AD110),B110&gt;AD110),IF(B110&lt;30000,0,IF(B110&lt;100000,MAX(0,(B110-AD110)*0.2),MAX(0,(B110-AD110)*0.3))),0)))</f>
        <v/>
      </c>
      <c r="Z105" s="28"/>
      <c r="AA105" s="39" t="str">
        <f aca="false">IF($A110="","",IF($AA$2&lt;&gt;"",$AA$2,""))</f>
        <v/>
      </c>
      <c r="AB105" s="28" t="str">
        <f aca="false">IF($A110="","",IF(B110&lt;30000,0.03,IF(B110&lt;100000,0.02,0.015)))</f>
        <v/>
      </c>
      <c r="AC105" s="38" t="str">
        <f aca="false">IF($A110="","",IFERROR(DATEDIF($A$2,$A110,"m"),0))</f>
        <v/>
      </c>
      <c r="AD105" s="35" t="str">
        <f aca="false">IF($A110="","",IF(OR(AA110="",AB110="",AC110=""),"",AA110*POWER(1+AB110,AC110)))</f>
        <v/>
      </c>
      <c r="AE105" s="41" t="str">
        <f aca="false">IF($A110="","",IF(OR(AD110="",AD110=0),"",B110/AD110-1))</f>
        <v/>
      </c>
      <c r="AG105" s="1" t="str">
        <f aca="false">IF($A110="","",IF(B110&lt;30000,"婴儿",IF(B110&lt;100000,"成长","成熟")))</f>
        <v/>
      </c>
      <c r="AH105" s="42"/>
      <c r="AJ105" s="42"/>
      <c r="AK105" s="42"/>
      <c r="AM105" s="42"/>
      <c r="AP105" s="32"/>
      <c r="AQ105" s="43" t="str">
        <f aca="false">IF($A110="","",B110-$AA$2-SUM($F$2:F110))</f>
        <v/>
      </c>
      <c r="AR105" s="1" t="str">
        <f aca="false">IF($A109="","",30000)</f>
        <v/>
      </c>
      <c r="AS105" s="1" t="str">
        <f aca="false">IF($A109="","",AR109-B109)</f>
        <v/>
      </c>
      <c r="AT105" s="1" t="str">
        <f aca="false">IF($A109="","",IFERROR(B109/AR109,0))</f>
        <v/>
      </c>
      <c r="AU105" s="1" t="str">
        <f aca="false">IF($A109="","",IFERROR(B109*O109,0))</f>
        <v/>
      </c>
      <c r="AV105" s="1" t="str">
        <f aca="false">IF($A109="","",IFERROR(C109/B109,0))</f>
        <v/>
      </c>
      <c r="AW105" s="1" t="str">
        <f aca="false">IF($A109="","",MAX(0,R109-S109))</f>
        <v/>
      </c>
      <c r="AX105" s="1" t="str">
        <f aca="false">IF($A109="","",IF(AW109&gt;0,"优先降持仓数",IF(C109&lt;=0,"现金不足","允许评估")))</f>
        <v/>
      </c>
      <c r="AY105" s="1" t="str">
        <f aca="false">IF($A109="","",IF(B109&lt;30000,"婴儿阶段: 优先活下来,禁止单票失控,限制持仓数,服务3W目标","幼儿阶段达成"))</f>
        <v/>
      </c>
    </row>
    <row r="106" customFormat="false" ht="15" hidden="false" customHeight="true" outlineLevel="0" collapsed="false">
      <c r="A106" s="30"/>
      <c r="B106" s="44"/>
      <c r="C106" s="44"/>
      <c r="D106" s="35" t="str">
        <f aca="false">IF($A111="","",SUMIFS(持仓表!$J:$J,持仓表!$A:$A,$A111))</f>
        <v/>
      </c>
      <c r="E106" s="36" t="n">
        <f aca="false">IFERROR(D111/B111,0)</f>
        <v>0</v>
      </c>
      <c r="F106" s="44"/>
      <c r="G106" s="35" t="str">
        <f aca="false">IF($B111="","",MAX($B$2:B111))</f>
        <v/>
      </c>
      <c r="H106" s="36" t="n">
        <f aca="false">IFERROR((B111-F111)/F111,0)</f>
        <v>0</v>
      </c>
      <c r="I106" s="36" t="n">
        <f aca="false">IFERROR((B111-G111)/G111,0)</f>
        <v>0</v>
      </c>
      <c r="J106" s="30"/>
      <c r="K106" s="31"/>
      <c r="L106" s="45"/>
      <c r="M106" s="45"/>
      <c r="N106" s="36" t="str">
        <f aca="false">IF($B111="","",MIN(70%,IF($I111&lt;=-15%,10%,IF($I111&lt;=-10%,30%,IF($M111&gt;=4,10%,IF($M111&gt;=3,30%,IF($J111="强",IF($K111="A",70%,IF($K111="B",60%,40%)),IF($J111="中性",IF($K111="A",50%,IF($K111="B",40%,25%)),IF($K111="A",30%,IF($K111="B",20%,10%))))))))))</f>
        <v/>
      </c>
      <c r="O106" s="36" t="str">
        <f aca="false">IF($B111="","",IF(B111&lt;30000,35%,IF(B111&lt;50000,30%,IF(B111&lt;100000,25%,20%))))</f>
        <v/>
      </c>
      <c r="P106" s="38" t="str">
        <f aca="false">IF($A111="","",COUNTIFS(持仓表!$A:$A,$A111,持仓表!$G:$G,"&gt;0"))</f>
        <v/>
      </c>
      <c r="Q106" s="38" t="str">
        <f aca="false">IF($A111="","",COUNTIFS(持仓表!$A:$A,$A111,持仓表!$D:$D,"是",持仓表!$G:$G,"&gt;0"))</f>
        <v/>
      </c>
      <c r="R106" s="38" t="str">
        <f aca="false">IF($A111="","",MAX(0,P111-Q111))</f>
        <v/>
      </c>
      <c r="S106" s="38" t="str">
        <f aca="false">IF($B111="","",IF(B111&lt;50000,3,IF(B111&lt;100000,4,5)))</f>
        <v/>
      </c>
      <c r="T106" s="39" t="str">
        <f aca="false">IF($A111="","",IF(OR(M111&gt;=4,I111&lt;=-8%),"防守",IF(OR(M111&gt;=2,I111&lt;=-5%),"警戒","正常")))</f>
        <v/>
      </c>
      <c r="U106" s="39" t="str">
        <f aca="false">IF($A111="","",IF(AND(L111&gt;=3,M111&lt;=2,T111&lt;&gt;"防守"),"是","否"))</f>
        <v/>
      </c>
      <c r="V106" s="39" t="str">
        <f aca="false">IF($A111="","",IF(AND(E111&lt;N111,R111&lt;S111,M111&lt;=2,I111&gt;-15%),"是","否"))</f>
        <v/>
      </c>
      <c r="W106" s="39" t="str">
        <f aca="false">IF($A111="","",IF(OR(M111&gt;=3,I111&lt;=-15%),"是","否"))</f>
        <v/>
      </c>
      <c r="X106" s="35" t="str">
        <f aca="false">IF($A111="","",IFERROR(maxifs(候选池!$AB:$AB,候选池!$A:$A,$A111),0))</f>
        <v/>
      </c>
      <c r="Y106" s="35" t="str">
        <f aca="false">IF($A111="","",IF(OR(M111&gt;=4,I111&lt;=-8%),MAX(0,B111*60%-C111),IF(AND(ISNUMBER(AD111),B111&gt;AD111),IF(B111&lt;30000,0,IF(B111&lt;100000,MAX(0,(B111-AD111)*0.2),MAX(0,(B111-AD111)*0.3))),0)))</f>
        <v/>
      </c>
      <c r="Z106" s="30"/>
      <c r="AA106" s="39" t="str">
        <f aca="false">IF($A111="","",IF($AA$2&lt;&gt;"",$AA$2,""))</f>
        <v/>
      </c>
      <c r="AB106" s="30" t="str">
        <f aca="false">IF($A111="","",IF(B111&lt;30000,0.03,IF(B111&lt;100000,0.02,0.015)))</f>
        <v/>
      </c>
      <c r="AC106" s="38" t="str">
        <f aca="false">IF($A111="","",IFERROR(DATEDIF($A$2,$A111,"m"),0))</f>
        <v/>
      </c>
      <c r="AD106" s="35" t="str">
        <f aca="false">IF($A111="","",IF(OR(AA111="",AB111="",AC111=""),"",AA111*POWER(1+AB111,AC111)))</f>
        <v/>
      </c>
      <c r="AE106" s="47" t="str">
        <f aca="false">IF($A111="","",IF(OR(AD111="",AD111=0),"",B111/AD111-1))</f>
        <v/>
      </c>
      <c r="AG106" s="1" t="str">
        <f aca="false">IF($A111="","",IF(B111&lt;30000,"婴儿",IF(B111&lt;100000,"成长","成熟")))</f>
        <v/>
      </c>
      <c r="AH106" s="42"/>
      <c r="AJ106" s="42"/>
      <c r="AK106" s="42"/>
      <c r="AM106" s="42"/>
      <c r="AP106" s="32"/>
      <c r="AQ106" s="43" t="str">
        <f aca="false">IF($A111="","",B111-$AA$2-SUM($F$2:F111))</f>
        <v/>
      </c>
      <c r="AR106" s="1" t="str">
        <f aca="false">IF($A110="","",30000)</f>
        <v/>
      </c>
      <c r="AS106" s="1" t="str">
        <f aca="false">IF($A110="","",AR110-B110)</f>
        <v/>
      </c>
      <c r="AT106" s="1" t="str">
        <f aca="false">IF($A110="","",IFERROR(B110/AR110,0))</f>
        <v/>
      </c>
      <c r="AU106" s="1" t="str">
        <f aca="false">IF($A110="","",IFERROR(B110*O110,0))</f>
        <v/>
      </c>
      <c r="AV106" s="1" t="str">
        <f aca="false">IF($A110="","",IFERROR(C110/B110,0))</f>
        <v/>
      </c>
      <c r="AW106" s="1" t="str">
        <f aca="false">IF($A110="","",MAX(0,R110-S110))</f>
        <v/>
      </c>
      <c r="AX106" s="1" t="str">
        <f aca="false">IF($A110="","",IF(AW110&gt;0,"优先降持仓数",IF(C110&lt;=0,"现金不足","允许评估")))</f>
        <v/>
      </c>
      <c r="AY106" s="1" t="str">
        <f aca="false">IF($A110="","",IF(B110&lt;30000,"婴儿阶段: 优先活下来,禁止单票失控,限制持仓数,服务3W目标","幼儿阶段达成"))</f>
        <v/>
      </c>
    </row>
    <row r="107" customFormat="false" ht="15" hidden="false" customHeight="true" outlineLevel="0" collapsed="false">
      <c r="A107" s="28"/>
      <c r="B107" s="34"/>
      <c r="C107" s="34"/>
      <c r="D107" s="35" t="str">
        <f aca="false">IF($A112="","",SUMIFS(持仓表!$J:$J,持仓表!$A:$A,$A112))</f>
        <v/>
      </c>
      <c r="E107" s="36" t="n">
        <f aca="false">IFERROR(D112/B112,0)</f>
        <v>0</v>
      </c>
      <c r="F107" s="34"/>
      <c r="G107" s="35" t="str">
        <f aca="false">IF($B112="","",MAX($B$2:B112))</f>
        <v/>
      </c>
      <c r="H107" s="36" t="n">
        <f aca="false">IFERROR((B112-F112)/F112,0)</f>
        <v>0</v>
      </c>
      <c r="I107" s="36" t="n">
        <f aca="false">IFERROR((B112-G112)/G112,0)</f>
        <v>0</v>
      </c>
      <c r="J107" s="28"/>
      <c r="K107" s="29"/>
      <c r="L107" s="37"/>
      <c r="M107" s="37"/>
      <c r="N107" s="36" t="str">
        <f aca="false">IF($B112="","",MIN(70%,IF($I112&lt;=-15%,10%,IF($I112&lt;=-10%,30%,IF($M112&gt;=4,10%,IF($M112&gt;=3,30%,IF($J112="强",IF($K112="A",70%,IF($K112="B",60%,40%)),IF($J112="中性",IF($K112="A",50%,IF($K112="B",40%,25%)),IF($K112="A",30%,IF($K112="B",20%,10%))))))))))</f>
        <v/>
      </c>
      <c r="O107" s="36" t="str">
        <f aca="false">IF($B112="","",IF(B112&lt;30000,35%,IF(B112&lt;50000,30%,IF(B112&lt;100000,25%,20%))))</f>
        <v/>
      </c>
      <c r="P107" s="38" t="str">
        <f aca="false">IF($A112="","",COUNTIFS(持仓表!$A:$A,$A112,持仓表!$G:$G,"&gt;0"))</f>
        <v/>
      </c>
      <c r="Q107" s="38" t="str">
        <f aca="false">IF($A112="","",COUNTIFS(持仓表!$A:$A,$A112,持仓表!$D:$D,"是",持仓表!$G:$G,"&gt;0"))</f>
        <v/>
      </c>
      <c r="R107" s="38" t="str">
        <f aca="false">IF($A112="","",MAX(0,P112-Q112))</f>
        <v/>
      </c>
      <c r="S107" s="38" t="str">
        <f aca="false">IF($B112="","",IF(B112&lt;50000,3,IF(B112&lt;100000,4,5)))</f>
        <v/>
      </c>
      <c r="T107" s="39" t="str">
        <f aca="false">IF($A112="","",IF(OR(M112&gt;=4,I112&lt;=-8%),"防守",IF(OR(M112&gt;=2,I112&lt;=-5%),"警戒","正常")))</f>
        <v/>
      </c>
      <c r="U107" s="39" t="str">
        <f aca="false">IF($A112="","",IF(AND(L112&gt;=3,M112&lt;=2,T112&lt;&gt;"防守"),"是","否"))</f>
        <v/>
      </c>
      <c r="V107" s="39" t="str">
        <f aca="false">IF($A112="","",IF(AND(E112&lt;N112,R112&lt;S112,M112&lt;=2,I112&gt;-15%),"是","否"))</f>
        <v/>
      </c>
      <c r="W107" s="39" t="str">
        <f aca="false">IF($A112="","",IF(OR(M112&gt;=3,I112&lt;=-15%),"是","否"))</f>
        <v/>
      </c>
      <c r="X107" s="35" t="str">
        <f aca="false">IF($A112="","",IFERROR(maxifs(候选池!$AB:$AB,候选池!$A:$A,$A112),0))</f>
        <v/>
      </c>
      <c r="Y107" s="35" t="str">
        <f aca="false">IF($A112="","",IF(OR(M112&gt;=4,I112&lt;=-8%),MAX(0,B112*60%-C112),IF(AND(ISNUMBER(AD112),B112&gt;AD112),IF(B112&lt;30000,0,IF(B112&lt;100000,MAX(0,(B112-AD112)*0.2),MAX(0,(B112-AD112)*0.3))),0)))</f>
        <v/>
      </c>
      <c r="Z107" s="28"/>
      <c r="AA107" s="39" t="str">
        <f aca="false">IF($A112="","",IF($AA$2&lt;&gt;"",$AA$2,""))</f>
        <v/>
      </c>
      <c r="AB107" s="28" t="str">
        <f aca="false">IF($A112="","",IF(B112&lt;30000,0.03,IF(B112&lt;100000,0.02,0.015)))</f>
        <v/>
      </c>
      <c r="AC107" s="38" t="str">
        <f aca="false">IF($A112="","",IFERROR(DATEDIF($A$2,$A112,"m"),0))</f>
        <v/>
      </c>
      <c r="AD107" s="35" t="str">
        <f aca="false">IF($A112="","",IF(OR(AA112="",AB112="",AC112=""),"",AA112*POWER(1+AB112,AC112)))</f>
        <v/>
      </c>
      <c r="AE107" s="41" t="str">
        <f aca="false">IF($A112="","",IF(OR(AD112="",AD112=0),"",B112/AD112-1))</f>
        <v/>
      </c>
      <c r="AG107" s="1" t="str">
        <f aca="false">IF($A112="","",IF(B112&lt;30000,"婴儿",IF(B112&lt;100000,"成长","成熟")))</f>
        <v/>
      </c>
      <c r="AH107" s="42"/>
      <c r="AJ107" s="42"/>
      <c r="AK107" s="42"/>
      <c r="AM107" s="42"/>
      <c r="AP107" s="32"/>
      <c r="AQ107" s="43" t="str">
        <f aca="false">IF($A112="","",B112-$AA$2-SUM($F$2:F112))</f>
        <v/>
      </c>
      <c r="AR107" s="1" t="str">
        <f aca="false">IF($A111="","",30000)</f>
        <v/>
      </c>
      <c r="AS107" s="1" t="str">
        <f aca="false">IF($A111="","",AR111-B111)</f>
        <v/>
      </c>
      <c r="AT107" s="1" t="str">
        <f aca="false">IF($A111="","",IFERROR(B111/AR111,0))</f>
        <v/>
      </c>
      <c r="AU107" s="1" t="str">
        <f aca="false">IF($A111="","",IFERROR(B111*O111,0))</f>
        <v/>
      </c>
      <c r="AV107" s="1" t="str">
        <f aca="false">IF($A111="","",IFERROR(C111/B111,0))</f>
        <v/>
      </c>
      <c r="AW107" s="1" t="str">
        <f aca="false">IF($A111="","",MAX(0,R111-S111))</f>
        <v/>
      </c>
      <c r="AX107" s="1" t="str">
        <f aca="false">IF($A111="","",IF(AW111&gt;0,"优先降持仓数",IF(C111&lt;=0,"现金不足","允许评估")))</f>
        <v/>
      </c>
      <c r="AY107" s="1" t="str">
        <f aca="false">IF($A111="","",IF(B111&lt;30000,"婴儿阶段: 优先活下来,禁止单票失控,限制持仓数,服务3W目标","幼儿阶段达成"))</f>
        <v/>
      </c>
    </row>
    <row r="108" customFormat="false" ht="15" hidden="false" customHeight="true" outlineLevel="0" collapsed="false">
      <c r="A108" s="30"/>
      <c r="B108" s="44"/>
      <c r="C108" s="44"/>
      <c r="D108" s="35" t="str">
        <f aca="false">IF($A113="","",SUMIFS(持仓表!$J:$J,持仓表!$A:$A,$A113))</f>
        <v/>
      </c>
      <c r="E108" s="36" t="n">
        <f aca="false">IFERROR(D113/B113,0)</f>
        <v>0</v>
      </c>
      <c r="F108" s="44"/>
      <c r="G108" s="35" t="str">
        <f aca="false">IF($B113="","",MAX($B$2:B113))</f>
        <v/>
      </c>
      <c r="H108" s="36" t="n">
        <f aca="false">IFERROR((B113-F113)/F113,0)</f>
        <v>0</v>
      </c>
      <c r="I108" s="36" t="n">
        <f aca="false">IFERROR((B113-G113)/G113,0)</f>
        <v>0</v>
      </c>
      <c r="J108" s="30"/>
      <c r="K108" s="31"/>
      <c r="L108" s="45"/>
      <c r="M108" s="45"/>
      <c r="N108" s="36" t="str">
        <f aca="false">IF($B113="","",MIN(70%,IF($I113&lt;=-15%,10%,IF($I113&lt;=-10%,30%,IF($M113&gt;=4,10%,IF($M113&gt;=3,30%,IF($J113="强",IF($K113="A",70%,IF($K113="B",60%,40%)),IF($J113="中性",IF($K113="A",50%,IF($K113="B",40%,25%)),IF($K113="A",30%,IF($K113="B",20%,10%))))))))))</f>
        <v/>
      </c>
      <c r="O108" s="36" t="str">
        <f aca="false">IF($B113="","",IF(B113&lt;30000,35%,IF(B113&lt;50000,30%,IF(B113&lt;100000,25%,20%))))</f>
        <v/>
      </c>
      <c r="P108" s="38" t="str">
        <f aca="false">IF($A113="","",COUNTIFS(持仓表!$A:$A,$A113,持仓表!$G:$G,"&gt;0"))</f>
        <v/>
      </c>
      <c r="Q108" s="38" t="str">
        <f aca="false">IF($A113="","",COUNTIFS(持仓表!$A:$A,$A113,持仓表!$D:$D,"是",持仓表!$G:$G,"&gt;0"))</f>
        <v/>
      </c>
      <c r="R108" s="38" t="str">
        <f aca="false">IF($A113="","",MAX(0,P113-Q113))</f>
        <v/>
      </c>
      <c r="S108" s="38" t="str">
        <f aca="false">IF($B113="","",IF(B113&lt;50000,3,IF(B113&lt;100000,4,5)))</f>
        <v/>
      </c>
      <c r="T108" s="39" t="str">
        <f aca="false">IF($A113="","",IF(OR(M113&gt;=4,I113&lt;=-8%),"防守",IF(OR(M113&gt;=2,I113&lt;=-5%),"警戒","正常")))</f>
        <v/>
      </c>
      <c r="U108" s="39" t="str">
        <f aca="false">IF($A113="","",IF(AND(L113&gt;=3,M113&lt;=2,T113&lt;&gt;"防守"),"是","否"))</f>
        <v/>
      </c>
      <c r="V108" s="39" t="str">
        <f aca="false">IF($A113="","",IF(AND(E113&lt;N113,R113&lt;S113,M113&lt;=2,I113&gt;-15%),"是","否"))</f>
        <v/>
      </c>
      <c r="W108" s="39" t="str">
        <f aca="false">IF($A113="","",IF(OR(M113&gt;=3,I113&lt;=-15%),"是","否"))</f>
        <v/>
      </c>
      <c r="X108" s="35" t="str">
        <f aca="false">IF($A113="","",IFERROR(maxifs(候选池!$AB:$AB,候选池!$A:$A,$A113),0))</f>
        <v/>
      </c>
      <c r="Y108" s="35" t="str">
        <f aca="false">IF($A113="","",IF(OR(M113&gt;=4,I113&lt;=-8%),MAX(0,B113*60%-C113),IF(AND(ISNUMBER(AD113),B113&gt;AD113),IF(B113&lt;30000,0,IF(B113&lt;100000,MAX(0,(B113-AD113)*0.2),MAX(0,(B113-AD113)*0.3))),0)))</f>
        <v/>
      </c>
      <c r="Z108" s="30"/>
      <c r="AA108" s="39" t="str">
        <f aca="false">IF($A113="","",IF($AA$2&lt;&gt;"",$AA$2,""))</f>
        <v/>
      </c>
      <c r="AB108" s="30" t="str">
        <f aca="false">IF($A113="","",IF(B113&lt;30000,0.03,IF(B113&lt;100000,0.02,0.015)))</f>
        <v/>
      </c>
      <c r="AC108" s="38" t="str">
        <f aca="false">IF($A113="","",IFERROR(DATEDIF($A$2,$A113,"m"),0))</f>
        <v/>
      </c>
      <c r="AD108" s="35" t="str">
        <f aca="false">IF($A113="","",IF(OR(AA113="",AB113="",AC113=""),"",AA113*POWER(1+AB113,AC113)))</f>
        <v/>
      </c>
      <c r="AE108" s="47" t="str">
        <f aca="false">IF($A113="","",IF(OR(AD113="",AD113=0),"",B113/AD113-1))</f>
        <v/>
      </c>
      <c r="AG108" s="1" t="str">
        <f aca="false">IF($A113="","",IF(B113&lt;30000,"婴儿",IF(B113&lt;100000,"成长","成熟")))</f>
        <v/>
      </c>
      <c r="AH108" s="42"/>
      <c r="AJ108" s="42"/>
      <c r="AK108" s="42"/>
      <c r="AM108" s="42"/>
      <c r="AP108" s="32"/>
      <c r="AQ108" s="43" t="str">
        <f aca="false">IF($A113="","",B113-$AA$2-SUM($F$2:F113))</f>
        <v/>
      </c>
      <c r="AR108" s="1" t="str">
        <f aca="false">IF($A112="","",30000)</f>
        <v/>
      </c>
      <c r="AS108" s="1" t="str">
        <f aca="false">IF($A112="","",AR112-B112)</f>
        <v/>
      </c>
      <c r="AT108" s="1" t="str">
        <f aca="false">IF($A112="","",IFERROR(B112/AR112,0))</f>
        <v/>
      </c>
      <c r="AU108" s="1" t="str">
        <f aca="false">IF($A112="","",IFERROR(B112*O112,0))</f>
        <v/>
      </c>
      <c r="AV108" s="1" t="str">
        <f aca="false">IF($A112="","",IFERROR(C112/B112,0))</f>
        <v/>
      </c>
      <c r="AW108" s="1" t="str">
        <f aca="false">IF($A112="","",MAX(0,R112-S112))</f>
        <v/>
      </c>
      <c r="AX108" s="1" t="str">
        <f aca="false">IF($A112="","",IF(AW112&gt;0,"优先降持仓数",IF(C112&lt;=0,"现金不足","允许评估")))</f>
        <v/>
      </c>
      <c r="AY108" s="1" t="str">
        <f aca="false">IF($A112="","",IF(B112&lt;30000,"婴儿阶段: 优先活下来,禁止单票失控,限制持仓数,服务3W目标","幼儿阶段达成"))</f>
        <v/>
      </c>
    </row>
    <row r="109" customFormat="false" ht="15" hidden="false" customHeight="true" outlineLevel="0" collapsed="false">
      <c r="A109" s="28"/>
      <c r="B109" s="34"/>
      <c r="C109" s="34"/>
      <c r="D109" s="35" t="str">
        <f aca="false">IF($A114="","",SUMIFS(持仓表!$J:$J,持仓表!$A:$A,$A114))</f>
        <v/>
      </c>
      <c r="E109" s="36" t="n">
        <f aca="false">IFERROR(D114/B114,0)</f>
        <v>0</v>
      </c>
      <c r="F109" s="34"/>
      <c r="G109" s="35" t="str">
        <f aca="false">IF($B114="","",MAX($B$2:B114))</f>
        <v/>
      </c>
      <c r="H109" s="36" t="n">
        <f aca="false">IFERROR((B114-F114)/F114,0)</f>
        <v>0</v>
      </c>
      <c r="I109" s="36" t="n">
        <f aca="false">IFERROR((B114-G114)/G114,0)</f>
        <v>0</v>
      </c>
      <c r="J109" s="28"/>
      <c r="K109" s="29"/>
      <c r="L109" s="37"/>
      <c r="M109" s="37"/>
      <c r="N109" s="36" t="str">
        <f aca="false">IF($B114="","",MIN(70%,IF($I114&lt;=-15%,10%,IF($I114&lt;=-10%,30%,IF($M114&gt;=4,10%,IF($M114&gt;=3,30%,IF($J114="强",IF($K114="A",70%,IF($K114="B",60%,40%)),IF($J114="中性",IF($K114="A",50%,IF($K114="B",40%,25%)),IF($K114="A",30%,IF($K114="B",20%,10%))))))))))</f>
        <v/>
      </c>
      <c r="O109" s="36" t="str">
        <f aca="false">IF($B114="","",IF(B114&lt;30000,35%,IF(B114&lt;50000,30%,IF(B114&lt;100000,25%,20%))))</f>
        <v/>
      </c>
      <c r="P109" s="38" t="str">
        <f aca="false">IF($A114="","",COUNTIFS(持仓表!$A:$A,$A114,持仓表!$G:$G,"&gt;0"))</f>
        <v/>
      </c>
      <c r="Q109" s="38" t="str">
        <f aca="false">IF($A114="","",COUNTIFS(持仓表!$A:$A,$A114,持仓表!$D:$D,"是",持仓表!$G:$G,"&gt;0"))</f>
        <v/>
      </c>
      <c r="R109" s="38" t="str">
        <f aca="false">IF($A114="","",MAX(0,P114-Q114))</f>
        <v/>
      </c>
      <c r="S109" s="38" t="str">
        <f aca="false">IF($B114="","",IF(B114&lt;50000,3,IF(B114&lt;100000,4,5)))</f>
        <v/>
      </c>
      <c r="T109" s="39" t="str">
        <f aca="false">IF($A114="","",IF(OR(M114&gt;=4,I114&lt;=-8%),"防守",IF(OR(M114&gt;=2,I114&lt;=-5%),"警戒","正常")))</f>
        <v/>
      </c>
      <c r="U109" s="39" t="str">
        <f aca="false">IF($A114="","",IF(AND(L114&gt;=3,M114&lt;=2,T114&lt;&gt;"防守"),"是","否"))</f>
        <v/>
      </c>
      <c r="V109" s="39" t="str">
        <f aca="false">IF($A114="","",IF(AND(E114&lt;N114,R114&lt;S114,M114&lt;=2,I114&gt;-15%),"是","否"))</f>
        <v/>
      </c>
      <c r="W109" s="39" t="str">
        <f aca="false">IF($A114="","",IF(OR(M114&gt;=3,I114&lt;=-15%),"是","否"))</f>
        <v/>
      </c>
      <c r="X109" s="35" t="str">
        <f aca="false">IF($A114="","",IFERROR(maxifs(候选池!$AB:$AB,候选池!$A:$A,$A114),0))</f>
        <v/>
      </c>
      <c r="Y109" s="35" t="str">
        <f aca="false">IF($A114="","",IF(OR(M114&gt;=4,I114&lt;=-8%),MAX(0,B114*60%-C114),IF(AND(ISNUMBER(AD114),B114&gt;AD114),IF(B114&lt;30000,0,IF(B114&lt;100000,MAX(0,(B114-AD114)*0.2),MAX(0,(B114-AD114)*0.3))),0)))</f>
        <v/>
      </c>
      <c r="Z109" s="28"/>
      <c r="AA109" s="39" t="str">
        <f aca="false">IF($A114="","",IF($AA$2&lt;&gt;"",$AA$2,""))</f>
        <v/>
      </c>
      <c r="AB109" s="28" t="str">
        <f aca="false">IF($A114="","",IF(B114&lt;30000,0.03,IF(B114&lt;100000,0.02,0.015)))</f>
        <v/>
      </c>
      <c r="AC109" s="38" t="str">
        <f aca="false">IF($A114="","",IFERROR(DATEDIF($A$2,$A114,"m"),0))</f>
        <v/>
      </c>
      <c r="AD109" s="35" t="str">
        <f aca="false">IF($A114="","",IF(OR(AA114="",AB114="",AC114=""),"",AA114*POWER(1+AB114,AC114)))</f>
        <v/>
      </c>
      <c r="AE109" s="41" t="str">
        <f aca="false">IF($A114="","",IF(OR(AD114="",AD114=0),"",B114/AD114-1))</f>
        <v/>
      </c>
      <c r="AG109" s="1" t="str">
        <f aca="false">IF($A114="","",IF(B114&lt;30000,"婴儿",IF(B114&lt;100000,"成长","成熟")))</f>
        <v/>
      </c>
      <c r="AH109" s="42"/>
      <c r="AJ109" s="42"/>
      <c r="AK109" s="42"/>
      <c r="AM109" s="42"/>
      <c r="AP109" s="32"/>
      <c r="AQ109" s="43" t="str">
        <f aca="false">IF($A114="","",B114-$AA$2-SUM($F$2:F114))</f>
        <v/>
      </c>
      <c r="AR109" s="1" t="str">
        <f aca="false">IF($A113="","",30000)</f>
        <v/>
      </c>
      <c r="AS109" s="1" t="str">
        <f aca="false">IF($A113="","",AR113-B113)</f>
        <v/>
      </c>
      <c r="AT109" s="1" t="str">
        <f aca="false">IF($A113="","",IFERROR(B113/AR113,0))</f>
        <v/>
      </c>
      <c r="AU109" s="1" t="str">
        <f aca="false">IF($A113="","",IFERROR(B113*O113,0))</f>
        <v/>
      </c>
      <c r="AV109" s="1" t="str">
        <f aca="false">IF($A113="","",IFERROR(C113/B113,0))</f>
        <v/>
      </c>
      <c r="AW109" s="1" t="str">
        <f aca="false">IF($A113="","",MAX(0,R113-S113))</f>
        <v/>
      </c>
      <c r="AX109" s="1" t="str">
        <f aca="false">IF($A113="","",IF(AW113&gt;0,"优先降持仓数",IF(C113&lt;=0,"现金不足","允许评估")))</f>
        <v/>
      </c>
      <c r="AY109" s="1" t="str">
        <f aca="false">IF($A113="","",IF(B113&lt;30000,"婴儿阶段: 优先活下来,禁止单票失控,限制持仓数,服务3W目标","幼儿阶段达成"))</f>
        <v/>
      </c>
    </row>
    <row r="110" customFormat="false" ht="15" hidden="false" customHeight="true" outlineLevel="0" collapsed="false">
      <c r="A110" s="30"/>
      <c r="B110" s="44"/>
      <c r="C110" s="44"/>
      <c r="D110" s="35" t="str">
        <f aca="false">IF($A115="","",SUMIFS(持仓表!$J:$J,持仓表!$A:$A,$A115))</f>
        <v/>
      </c>
      <c r="E110" s="36" t="n">
        <f aca="false">IFERROR(D115/B115,0)</f>
        <v>0</v>
      </c>
      <c r="F110" s="44"/>
      <c r="G110" s="35" t="str">
        <f aca="false">IF($B115="","",MAX($B$2:B115))</f>
        <v/>
      </c>
      <c r="H110" s="36" t="n">
        <f aca="false">IFERROR((B115-F115)/F115,0)</f>
        <v>0</v>
      </c>
      <c r="I110" s="36" t="n">
        <f aca="false">IFERROR((B115-G115)/G115,0)</f>
        <v>0</v>
      </c>
      <c r="J110" s="30"/>
      <c r="K110" s="31"/>
      <c r="L110" s="45"/>
      <c r="M110" s="45"/>
      <c r="N110" s="36" t="str">
        <f aca="false">IF($B115="","",MIN(70%,IF($I115&lt;=-15%,10%,IF($I115&lt;=-10%,30%,IF($M115&gt;=4,10%,IF($M115&gt;=3,30%,IF($J115="强",IF($K115="A",70%,IF($K115="B",60%,40%)),IF($J115="中性",IF($K115="A",50%,IF($K115="B",40%,25%)),IF($K115="A",30%,IF($K115="B",20%,10%))))))))))</f>
        <v/>
      </c>
      <c r="O110" s="36" t="str">
        <f aca="false">IF($B115="","",IF(B115&lt;30000,35%,IF(B115&lt;50000,30%,IF(B115&lt;100000,25%,20%))))</f>
        <v/>
      </c>
      <c r="P110" s="38" t="str">
        <f aca="false">IF($A115="","",COUNTIFS(持仓表!$A:$A,$A115,持仓表!$G:$G,"&gt;0"))</f>
        <v/>
      </c>
      <c r="Q110" s="38" t="str">
        <f aca="false">IF($A115="","",COUNTIFS(持仓表!$A:$A,$A115,持仓表!$D:$D,"是",持仓表!$G:$G,"&gt;0"))</f>
        <v/>
      </c>
      <c r="R110" s="38" t="str">
        <f aca="false">IF($A115="","",MAX(0,P115-Q115))</f>
        <v/>
      </c>
      <c r="S110" s="38" t="str">
        <f aca="false">IF($B115="","",IF(B115&lt;50000,3,IF(B115&lt;100000,4,5)))</f>
        <v/>
      </c>
      <c r="T110" s="39" t="str">
        <f aca="false">IF($A115="","",IF(OR(M115&gt;=4,I115&lt;=-8%),"防守",IF(OR(M115&gt;=2,I115&lt;=-5%),"警戒","正常")))</f>
        <v/>
      </c>
      <c r="U110" s="39" t="str">
        <f aca="false">IF($A115="","",IF(AND(L115&gt;=3,M115&lt;=2,T115&lt;&gt;"防守"),"是","否"))</f>
        <v/>
      </c>
      <c r="V110" s="39" t="str">
        <f aca="false">IF($A115="","",IF(AND(E115&lt;N115,R115&lt;S115,M115&lt;=2,I115&gt;-15%),"是","否"))</f>
        <v/>
      </c>
      <c r="W110" s="39" t="str">
        <f aca="false">IF($A115="","",IF(OR(M115&gt;=3,I115&lt;=-15%),"是","否"))</f>
        <v/>
      </c>
      <c r="X110" s="35" t="str">
        <f aca="false">IF($A115="","",IFERROR(maxifs(候选池!$AB:$AB,候选池!$A:$A,$A115),0))</f>
        <v/>
      </c>
      <c r="Y110" s="35" t="str">
        <f aca="false">IF($A115="","",IF(OR(M115&gt;=4,I115&lt;=-8%),MAX(0,B115*60%-C115),IF(AND(ISNUMBER(AD115),B115&gt;AD115),IF(B115&lt;30000,0,IF(B115&lt;100000,MAX(0,(B115-AD115)*0.2),MAX(0,(B115-AD115)*0.3))),0)))</f>
        <v/>
      </c>
      <c r="Z110" s="30"/>
      <c r="AA110" s="39" t="str">
        <f aca="false">IF($A115="","",IF($AA$2&lt;&gt;"",$AA$2,""))</f>
        <v/>
      </c>
      <c r="AB110" s="30" t="str">
        <f aca="false">IF($A115="","",IF(B115&lt;30000,0.03,IF(B115&lt;100000,0.02,0.015)))</f>
        <v/>
      </c>
      <c r="AC110" s="38" t="str">
        <f aca="false">IF($A115="","",IFERROR(DATEDIF($A$2,$A115,"m"),0))</f>
        <v/>
      </c>
      <c r="AD110" s="35" t="str">
        <f aca="false">IF($A115="","",IF(OR(AA115="",AB115="",AC115=""),"",AA115*POWER(1+AB115,AC115)))</f>
        <v/>
      </c>
      <c r="AE110" s="47" t="str">
        <f aca="false">IF($A115="","",IF(OR(AD115="",AD115=0),"",B115/AD115-1))</f>
        <v/>
      </c>
      <c r="AG110" s="1" t="str">
        <f aca="false">IF($A115="","",IF(B115&lt;30000,"婴儿",IF(B115&lt;100000,"成长","成熟")))</f>
        <v/>
      </c>
      <c r="AH110" s="42"/>
      <c r="AJ110" s="42"/>
      <c r="AK110" s="42"/>
      <c r="AM110" s="42"/>
      <c r="AP110" s="32"/>
      <c r="AQ110" s="43" t="str">
        <f aca="false">IF($A115="","",B115-$AA$2-SUM($F$2:F115))</f>
        <v/>
      </c>
      <c r="AR110" s="1" t="str">
        <f aca="false">IF($A114="","",30000)</f>
        <v/>
      </c>
      <c r="AS110" s="1" t="str">
        <f aca="false">IF($A114="","",AR114-B114)</f>
        <v/>
      </c>
      <c r="AT110" s="1" t="str">
        <f aca="false">IF($A114="","",IFERROR(B114/AR114,0))</f>
        <v/>
      </c>
      <c r="AU110" s="1" t="str">
        <f aca="false">IF($A114="","",IFERROR(B114*O114,0))</f>
        <v/>
      </c>
      <c r="AV110" s="1" t="str">
        <f aca="false">IF($A114="","",IFERROR(C114/B114,0))</f>
        <v/>
      </c>
      <c r="AW110" s="1" t="str">
        <f aca="false">IF($A114="","",MAX(0,R114-S114))</f>
        <v/>
      </c>
      <c r="AX110" s="1" t="str">
        <f aca="false">IF($A114="","",IF(AW114&gt;0,"优先降持仓数",IF(C114&lt;=0,"现金不足","允许评估")))</f>
        <v/>
      </c>
      <c r="AY110" s="1" t="str">
        <f aca="false">IF($A114="","",IF(B114&lt;30000,"婴儿阶段: 优先活下来,禁止单票失控,限制持仓数,服务3W目标","幼儿阶段达成"))</f>
        <v/>
      </c>
    </row>
    <row r="111" customFormat="false" ht="15" hidden="false" customHeight="true" outlineLevel="0" collapsed="false">
      <c r="A111" s="28"/>
      <c r="B111" s="34"/>
      <c r="C111" s="34"/>
      <c r="D111" s="35" t="str">
        <f aca="false">IF($A116="","",SUMIFS(持仓表!$J:$J,持仓表!$A:$A,$A116))</f>
        <v/>
      </c>
      <c r="E111" s="36" t="n">
        <f aca="false">IFERROR(D116/B116,0)</f>
        <v>0</v>
      </c>
      <c r="F111" s="34"/>
      <c r="G111" s="35" t="str">
        <f aca="false">IF($B116="","",MAX($B$2:B116))</f>
        <v/>
      </c>
      <c r="H111" s="36" t="n">
        <f aca="false">IFERROR((B116-F116)/F116,0)</f>
        <v>0</v>
      </c>
      <c r="I111" s="36" t="n">
        <f aca="false">IFERROR((B116-G116)/G116,0)</f>
        <v>0</v>
      </c>
      <c r="J111" s="28"/>
      <c r="K111" s="29"/>
      <c r="L111" s="37"/>
      <c r="M111" s="37"/>
      <c r="N111" s="36" t="str">
        <f aca="false">IF($B116="","",MIN(70%,IF($I116&lt;=-15%,10%,IF($I116&lt;=-10%,30%,IF($M116&gt;=4,10%,IF($M116&gt;=3,30%,IF($J116="强",IF($K116="A",70%,IF($K116="B",60%,40%)),IF($J116="中性",IF($K116="A",50%,IF($K116="B",40%,25%)),IF($K116="A",30%,IF($K116="B",20%,10%))))))))))</f>
        <v/>
      </c>
      <c r="O111" s="36" t="str">
        <f aca="false">IF($B116="","",IF(B116&lt;30000,35%,IF(B116&lt;50000,30%,IF(B116&lt;100000,25%,20%))))</f>
        <v/>
      </c>
      <c r="P111" s="38" t="str">
        <f aca="false">IF($A116="","",COUNTIFS(持仓表!$A:$A,$A116,持仓表!$G:$G,"&gt;0"))</f>
        <v/>
      </c>
      <c r="Q111" s="38" t="str">
        <f aca="false">IF($A116="","",COUNTIFS(持仓表!$A:$A,$A116,持仓表!$D:$D,"是",持仓表!$G:$G,"&gt;0"))</f>
        <v/>
      </c>
      <c r="R111" s="38" t="str">
        <f aca="false">IF($A116="","",MAX(0,P116-Q116))</f>
        <v/>
      </c>
      <c r="S111" s="38" t="str">
        <f aca="false">IF($B116="","",IF(B116&lt;50000,3,IF(B116&lt;100000,4,5)))</f>
        <v/>
      </c>
      <c r="T111" s="39" t="str">
        <f aca="false">IF($A116="","",IF(OR(M116&gt;=4,I116&lt;=-8%),"防守",IF(OR(M116&gt;=2,I116&lt;=-5%),"警戒","正常")))</f>
        <v/>
      </c>
      <c r="U111" s="39" t="str">
        <f aca="false">IF($A116="","",IF(AND(L116&gt;=3,M116&lt;=2,T116&lt;&gt;"防守"),"是","否"))</f>
        <v/>
      </c>
      <c r="V111" s="39" t="str">
        <f aca="false">IF($A116="","",IF(AND(E116&lt;N116,R116&lt;S116,M116&lt;=2,I116&gt;-15%),"是","否"))</f>
        <v/>
      </c>
      <c r="W111" s="39" t="str">
        <f aca="false">IF($A116="","",IF(OR(M116&gt;=3,I116&lt;=-15%),"是","否"))</f>
        <v/>
      </c>
      <c r="X111" s="35" t="str">
        <f aca="false">IF($A116="","",IFERROR(maxifs(候选池!$AB:$AB,候选池!$A:$A,$A116),0))</f>
        <v/>
      </c>
      <c r="Y111" s="35" t="str">
        <f aca="false">IF($A116="","",IF(OR(M116&gt;=4,I116&lt;=-8%),MAX(0,B116*60%-C116),IF(AND(ISNUMBER(AD116),B116&gt;AD116),IF(B116&lt;30000,0,IF(B116&lt;100000,MAX(0,(B116-AD116)*0.2),MAX(0,(B116-AD116)*0.3))),0)))</f>
        <v/>
      </c>
      <c r="Z111" s="28"/>
      <c r="AA111" s="39" t="str">
        <f aca="false">IF($A116="","",IF($AA$2&lt;&gt;"",$AA$2,""))</f>
        <v/>
      </c>
      <c r="AB111" s="28" t="str">
        <f aca="false">IF($A116="","",IF(B116&lt;30000,0.03,IF(B116&lt;100000,0.02,0.015)))</f>
        <v/>
      </c>
      <c r="AC111" s="38" t="str">
        <f aca="false">IF($A116="","",IFERROR(DATEDIF($A$2,$A116,"m"),0))</f>
        <v/>
      </c>
      <c r="AD111" s="35" t="str">
        <f aca="false">IF($A116="","",IF(OR(AA116="",AB116="",AC116=""),"",AA116*POWER(1+AB116,AC116)))</f>
        <v/>
      </c>
      <c r="AE111" s="41" t="str">
        <f aca="false">IF($A116="","",IF(OR(AD116="",AD116=0),"",B116/AD116-1))</f>
        <v/>
      </c>
      <c r="AG111" s="1" t="str">
        <f aca="false">IF($A116="","",IF(B116&lt;30000,"婴儿",IF(B116&lt;100000,"成长","成熟")))</f>
        <v/>
      </c>
      <c r="AH111" s="42"/>
      <c r="AJ111" s="42"/>
      <c r="AK111" s="42"/>
      <c r="AM111" s="42"/>
      <c r="AP111" s="32"/>
      <c r="AQ111" s="43" t="str">
        <f aca="false">IF($A116="","",B116-$AA$2-SUM($F$2:F116))</f>
        <v/>
      </c>
      <c r="AR111" s="1" t="str">
        <f aca="false">IF($A115="","",30000)</f>
        <v/>
      </c>
      <c r="AS111" s="1" t="str">
        <f aca="false">IF($A115="","",AR115-B115)</f>
        <v/>
      </c>
      <c r="AT111" s="1" t="str">
        <f aca="false">IF($A115="","",IFERROR(B115/AR115,0))</f>
        <v/>
      </c>
      <c r="AU111" s="1" t="str">
        <f aca="false">IF($A115="","",IFERROR(B115*O115,0))</f>
        <v/>
      </c>
      <c r="AV111" s="1" t="str">
        <f aca="false">IF($A115="","",IFERROR(C115/B115,0))</f>
        <v/>
      </c>
      <c r="AW111" s="1" t="str">
        <f aca="false">IF($A115="","",MAX(0,R115-S115))</f>
        <v/>
      </c>
      <c r="AX111" s="1" t="str">
        <f aca="false">IF($A115="","",IF(AW115&gt;0,"优先降持仓数",IF(C115&lt;=0,"现金不足","允许评估")))</f>
        <v/>
      </c>
      <c r="AY111" s="1" t="str">
        <f aca="false">IF($A115="","",IF(B115&lt;30000,"婴儿阶段: 优先活下来,禁止单票失控,限制持仓数,服务3W目标","幼儿阶段达成"))</f>
        <v/>
      </c>
    </row>
    <row r="112" customFormat="false" ht="15" hidden="false" customHeight="true" outlineLevel="0" collapsed="false">
      <c r="A112" s="30"/>
      <c r="B112" s="44"/>
      <c r="C112" s="44"/>
      <c r="D112" s="35" t="str">
        <f aca="false">IF($A117="","",SUMIFS(持仓表!$J:$J,持仓表!$A:$A,$A117))</f>
        <v/>
      </c>
      <c r="E112" s="36" t="n">
        <f aca="false">IFERROR(D117/B117,0)</f>
        <v>0</v>
      </c>
      <c r="F112" s="44"/>
      <c r="G112" s="35" t="str">
        <f aca="false">IF($B117="","",MAX($B$2:B117))</f>
        <v/>
      </c>
      <c r="H112" s="36" t="n">
        <f aca="false">IFERROR((B117-F117)/F117,0)</f>
        <v>0</v>
      </c>
      <c r="I112" s="36" t="n">
        <f aca="false">IFERROR((B117-G117)/G117,0)</f>
        <v>0</v>
      </c>
      <c r="J112" s="30"/>
      <c r="K112" s="31"/>
      <c r="L112" s="45"/>
      <c r="M112" s="45"/>
      <c r="N112" s="36" t="str">
        <f aca="false">IF($B117="","",MIN(70%,IF($I117&lt;=-15%,10%,IF($I117&lt;=-10%,30%,IF($M117&gt;=4,10%,IF($M117&gt;=3,30%,IF($J117="强",IF($K117="A",70%,IF($K117="B",60%,40%)),IF($J117="中性",IF($K117="A",50%,IF($K117="B",40%,25%)),IF($K117="A",30%,IF($K117="B",20%,10%))))))))))</f>
        <v/>
      </c>
      <c r="O112" s="36" t="str">
        <f aca="false">IF($B117="","",IF(B117&lt;30000,35%,IF(B117&lt;50000,30%,IF(B117&lt;100000,25%,20%))))</f>
        <v/>
      </c>
      <c r="P112" s="38" t="str">
        <f aca="false">IF($A117="","",COUNTIFS(持仓表!$A:$A,$A117,持仓表!$G:$G,"&gt;0"))</f>
        <v/>
      </c>
      <c r="Q112" s="38" t="str">
        <f aca="false">IF($A117="","",COUNTIFS(持仓表!$A:$A,$A117,持仓表!$D:$D,"是",持仓表!$G:$G,"&gt;0"))</f>
        <v/>
      </c>
      <c r="R112" s="38" t="str">
        <f aca="false">IF($A117="","",MAX(0,P117-Q117))</f>
        <v/>
      </c>
      <c r="S112" s="38" t="str">
        <f aca="false">IF($B117="","",IF(B117&lt;50000,3,IF(B117&lt;100000,4,5)))</f>
        <v/>
      </c>
      <c r="T112" s="39" t="str">
        <f aca="false">IF($A117="","",IF(OR(M117&gt;=4,I117&lt;=-8%),"防守",IF(OR(M117&gt;=2,I117&lt;=-5%),"警戒","正常")))</f>
        <v/>
      </c>
      <c r="U112" s="39" t="str">
        <f aca="false">IF($A117="","",IF(AND(L117&gt;=3,M117&lt;=2,T117&lt;&gt;"防守"),"是","否"))</f>
        <v/>
      </c>
      <c r="V112" s="39" t="str">
        <f aca="false">IF($A117="","",IF(AND(E117&lt;N117,R117&lt;S117,M117&lt;=2,I117&gt;-15%),"是","否"))</f>
        <v/>
      </c>
      <c r="W112" s="39" t="str">
        <f aca="false">IF($A117="","",IF(OR(M117&gt;=3,I117&lt;=-15%),"是","否"))</f>
        <v/>
      </c>
      <c r="X112" s="35" t="str">
        <f aca="false">IF($A117="","",IFERROR(maxifs(候选池!$AB:$AB,候选池!$A:$A,$A117),0))</f>
        <v/>
      </c>
      <c r="Y112" s="35" t="str">
        <f aca="false">IF($A117="","",IF(OR(M117&gt;=4,I117&lt;=-8%),MAX(0,B117*60%-C117),IF(AND(ISNUMBER(AD117),B117&gt;AD117),IF(B117&lt;30000,0,IF(B117&lt;100000,MAX(0,(B117-AD117)*0.2),MAX(0,(B117-AD117)*0.3))),0)))</f>
        <v/>
      </c>
      <c r="Z112" s="30"/>
      <c r="AA112" s="39" t="str">
        <f aca="false">IF($A117="","",IF($AA$2&lt;&gt;"",$AA$2,""))</f>
        <v/>
      </c>
      <c r="AB112" s="30" t="str">
        <f aca="false">IF($A117="","",IF(B117&lt;30000,0.03,IF(B117&lt;100000,0.02,0.015)))</f>
        <v/>
      </c>
      <c r="AC112" s="38" t="str">
        <f aca="false">IF($A117="","",IFERROR(DATEDIF($A$2,$A117,"m"),0))</f>
        <v/>
      </c>
      <c r="AD112" s="35" t="str">
        <f aca="false">IF($A117="","",IF(OR(AA117="",AB117="",AC117=""),"",AA117*POWER(1+AB117,AC117)))</f>
        <v/>
      </c>
      <c r="AE112" s="47" t="str">
        <f aca="false">IF($A117="","",IF(OR(AD117="",AD117=0),"",B117/AD117-1))</f>
        <v/>
      </c>
      <c r="AG112" s="1" t="str">
        <f aca="false">IF($A117="","",IF(B117&lt;30000,"婴儿",IF(B117&lt;100000,"成长","成熟")))</f>
        <v/>
      </c>
      <c r="AH112" s="42"/>
      <c r="AJ112" s="42"/>
      <c r="AK112" s="42"/>
      <c r="AM112" s="42"/>
      <c r="AP112" s="32"/>
      <c r="AQ112" s="43" t="str">
        <f aca="false">IF($A117="","",B117-$AA$2-SUM($F$2:F117))</f>
        <v/>
      </c>
      <c r="AR112" s="1" t="str">
        <f aca="false">IF($A116="","",30000)</f>
        <v/>
      </c>
      <c r="AS112" s="1" t="str">
        <f aca="false">IF($A116="","",AR116-B116)</f>
        <v/>
      </c>
      <c r="AT112" s="1" t="str">
        <f aca="false">IF($A116="","",IFERROR(B116/AR116,0))</f>
        <v/>
      </c>
      <c r="AU112" s="1" t="str">
        <f aca="false">IF($A116="","",IFERROR(B116*O116,0))</f>
        <v/>
      </c>
      <c r="AV112" s="1" t="str">
        <f aca="false">IF($A116="","",IFERROR(C116/B116,0))</f>
        <v/>
      </c>
      <c r="AW112" s="1" t="str">
        <f aca="false">IF($A116="","",MAX(0,R116-S116))</f>
        <v/>
      </c>
      <c r="AX112" s="1" t="str">
        <f aca="false">IF($A116="","",IF(AW116&gt;0,"优先降持仓数",IF(C116&lt;=0,"现金不足","允许评估")))</f>
        <v/>
      </c>
      <c r="AY112" s="1" t="str">
        <f aca="false">IF($A116="","",IF(B116&lt;30000,"婴儿阶段: 优先活下来,禁止单票失控,限制持仓数,服务3W目标","幼儿阶段达成"))</f>
        <v/>
      </c>
    </row>
    <row r="113" customFormat="false" ht="15" hidden="false" customHeight="true" outlineLevel="0" collapsed="false">
      <c r="A113" s="28"/>
      <c r="B113" s="34"/>
      <c r="C113" s="34"/>
      <c r="D113" s="35" t="str">
        <f aca="false">IF($A118="","",SUMIFS(持仓表!$J:$J,持仓表!$A:$A,$A118))</f>
        <v/>
      </c>
      <c r="E113" s="36" t="n">
        <f aca="false">IFERROR(D118/B118,0)</f>
        <v>0</v>
      </c>
      <c r="F113" s="34"/>
      <c r="G113" s="35" t="str">
        <f aca="false">IF($B118="","",MAX($B$2:B118))</f>
        <v/>
      </c>
      <c r="H113" s="36" t="n">
        <f aca="false">IFERROR((B118-F118)/F118,0)</f>
        <v>0</v>
      </c>
      <c r="I113" s="36" t="n">
        <f aca="false">IFERROR((B118-G118)/G118,0)</f>
        <v>0</v>
      </c>
      <c r="J113" s="28"/>
      <c r="K113" s="29"/>
      <c r="L113" s="37"/>
      <c r="M113" s="37"/>
      <c r="N113" s="36" t="str">
        <f aca="false">IF($B118="","",MIN(70%,IF($I118&lt;=-15%,10%,IF($I118&lt;=-10%,30%,IF($M118&gt;=4,10%,IF($M118&gt;=3,30%,IF($J118="强",IF($K118="A",70%,IF($K118="B",60%,40%)),IF($J118="中性",IF($K118="A",50%,IF($K118="B",40%,25%)),IF($K118="A",30%,IF($K118="B",20%,10%))))))))))</f>
        <v/>
      </c>
      <c r="O113" s="36" t="str">
        <f aca="false">IF($B118="","",IF(B118&lt;30000,35%,IF(B118&lt;50000,30%,IF(B118&lt;100000,25%,20%))))</f>
        <v/>
      </c>
      <c r="P113" s="38" t="str">
        <f aca="false">IF($A118="","",COUNTIFS(持仓表!$A:$A,$A118,持仓表!$G:$G,"&gt;0"))</f>
        <v/>
      </c>
      <c r="Q113" s="38" t="str">
        <f aca="false">IF($A118="","",COUNTIFS(持仓表!$A:$A,$A118,持仓表!$D:$D,"是",持仓表!$G:$G,"&gt;0"))</f>
        <v/>
      </c>
      <c r="R113" s="38" t="str">
        <f aca="false">IF($A118="","",MAX(0,P118-Q118))</f>
        <v/>
      </c>
      <c r="S113" s="38" t="str">
        <f aca="false">IF($B118="","",IF(B118&lt;50000,3,IF(B118&lt;100000,4,5)))</f>
        <v/>
      </c>
      <c r="T113" s="39" t="str">
        <f aca="false">IF($A118="","",IF(OR(M118&gt;=4,I118&lt;=-8%),"防守",IF(OR(M118&gt;=2,I118&lt;=-5%),"警戒","正常")))</f>
        <v/>
      </c>
      <c r="U113" s="39" t="str">
        <f aca="false">IF($A118="","",IF(AND(L118&gt;=3,M118&lt;=2,T118&lt;&gt;"防守"),"是","否"))</f>
        <v/>
      </c>
      <c r="V113" s="39" t="str">
        <f aca="false">IF($A118="","",IF(AND(E118&lt;N118,R118&lt;S118,M118&lt;=2,I118&gt;-15%),"是","否"))</f>
        <v/>
      </c>
      <c r="W113" s="39" t="str">
        <f aca="false">IF($A118="","",IF(OR(M118&gt;=3,I118&lt;=-15%),"是","否"))</f>
        <v/>
      </c>
      <c r="X113" s="35" t="str">
        <f aca="false">IF($A118="","",IFERROR(maxifs(候选池!$AB:$AB,候选池!$A:$A,$A118),0))</f>
        <v/>
      </c>
      <c r="Y113" s="35" t="str">
        <f aca="false">IF($A118="","",IF(OR(M118&gt;=4,I118&lt;=-8%),MAX(0,B118*60%-C118),IF(AND(ISNUMBER(AD118),B118&gt;AD118),IF(B118&lt;30000,0,IF(B118&lt;100000,MAX(0,(B118-AD118)*0.2),MAX(0,(B118-AD118)*0.3))),0)))</f>
        <v/>
      </c>
      <c r="Z113" s="28"/>
      <c r="AA113" s="39" t="str">
        <f aca="false">IF($A118="","",IF($AA$2&lt;&gt;"",$AA$2,""))</f>
        <v/>
      </c>
      <c r="AB113" s="28" t="str">
        <f aca="false">IF($A118="","",IF(B118&lt;30000,0.03,IF(B118&lt;100000,0.02,0.015)))</f>
        <v/>
      </c>
      <c r="AC113" s="38" t="str">
        <f aca="false">IF($A118="","",IFERROR(DATEDIF($A$2,$A118,"m"),0))</f>
        <v/>
      </c>
      <c r="AD113" s="35" t="str">
        <f aca="false">IF($A118="","",IF(OR(AA118="",AB118="",AC118=""),"",AA118*POWER(1+AB118,AC118)))</f>
        <v/>
      </c>
      <c r="AE113" s="41" t="str">
        <f aca="false">IF($A118="","",IF(OR(AD118="",AD118=0),"",B118/AD118-1))</f>
        <v/>
      </c>
      <c r="AG113" s="1" t="str">
        <f aca="false">IF($A118="","",IF(B118&lt;30000,"婴儿",IF(B118&lt;100000,"成长","成熟")))</f>
        <v/>
      </c>
      <c r="AH113" s="42"/>
      <c r="AJ113" s="42"/>
      <c r="AK113" s="42"/>
      <c r="AM113" s="42"/>
      <c r="AP113" s="32"/>
      <c r="AQ113" s="43" t="str">
        <f aca="false">IF($A118="","",B118-$AA$2-SUM($F$2:F118))</f>
        <v/>
      </c>
      <c r="AR113" s="1" t="str">
        <f aca="false">IF($A117="","",30000)</f>
        <v/>
      </c>
      <c r="AS113" s="1" t="str">
        <f aca="false">IF($A117="","",AR117-B117)</f>
        <v/>
      </c>
      <c r="AT113" s="1" t="str">
        <f aca="false">IF($A117="","",IFERROR(B117/AR117,0))</f>
        <v/>
      </c>
      <c r="AU113" s="1" t="str">
        <f aca="false">IF($A117="","",IFERROR(B117*O117,0))</f>
        <v/>
      </c>
      <c r="AV113" s="1" t="str">
        <f aca="false">IF($A117="","",IFERROR(C117/B117,0))</f>
        <v/>
      </c>
      <c r="AW113" s="1" t="str">
        <f aca="false">IF($A117="","",MAX(0,R117-S117))</f>
        <v/>
      </c>
      <c r="AX113" s="1" t="str">
        <f aca="false">IF($A117="","",IF(AW117&gt;0,"优先降持仓数",IF(C117&lt;=0,"现金不足","允许评估")))</f>
        <v/>
      </c>
      <c r="AY113" s="1" t="str">
        <f aca="false">IF($A117="","",IF(B117&lt;30000,"婴儿阶段: 优先活下来,禁止单票失控,限制持仓数,服务3W目标","幼儿阶段达成"))</f>
        <v/>
      </c>
    </row>
    <row r="114" customFormat="false" ht="15" hidden="false" customHeight="true" outlineLevel="0" collapsed="false">
      <c r="A114" s="30"/>
      <c r="B114" s="44"/>
      <c r="C114" s="44"/>
      <c r="D114" s="35" t="str">
        <f aca="false">IF($A119="","",SUMIFS(持仓表!$J:$J,持仓表!$A:$A,$A119))</f>
        <v/>
      </c>
      <c r="E114" s="36" t="n">
        <f aca="false">IFERROR(D119/B119,0)</f>
        <v>0</v>
      </c>
      <c r="F114" s="44"/>
      <c r="G114" s="35" t="str">
        <f aca="false">IF($B119="","",MAX($B$2:B119))</f>
        <v/>
      </c>
      <c r="H114" s="36" t="n">
        <f aca="false">IFERROR((B119-F119)/F119,0)</f>
        <v>0</v>
      </c>
      <c r="I114" s="36" t="n">
        <f aca="false">IFERROR((B119-G119)/G119,0)</f>
        <v>0</v>
      </c>
      <c r="J114" s="30"/>
      <c r="K114" s="31"/>
      <c r="L114" s="45"/>
      <c r="M114" s="45"/>
      <c r="N114" s="36" t="str">
        <f aca="false">IF($B119="","",MIN(70%,IF($I119&lt;=-15%,10%,IF($I119&lt;=-10%,30%,IF($M119&gt;=4,10%,IF($M119&gt;=3,30%,IF($J119="强",IF($K119="A",70%,IF($K119="B",60%,40%)),IF($J119="中性",IF($K119="A",50%,IF($K119="B",40%,25%)),IF($K119="A",30%,IF($K119="B",20%,10%))))))))))</f>
        <v/>
      </c>
      <c r="O114" s="36" t="str">
        <f aca="false">IF($B119="","",IF(B119&lt;30000,35%,IF(B119&lt;50000,30%,IF(B119&lt;100000,25%,20%))))</f>
        <v/>
      </c>
      <c r="P114" s="38" t="str">
        <f aca="false">IF($A119="","",COUNTIFS(持仓表!$A:$A,$A119,持仓表!$G:$G,"&gt;0"))</f>
        <v/>
      </c>
      <c r="Q114" s="38" t="str">
        <f aca="false">IF($A119="","",COUNTIFS(持仓表!$A:$A,$A119,持仓表!$D:$D,"是",持仓表!$G:$G,"&gt;0"))</f>
        <v/>
      </c>
      <c r="R114" s="38" t="str">
        <f aca="false">IF($A119="","",MAX(0,P119-Q119))</f>
        <v/>
      </c>
      <c r="S114" s="38" t="str">
        <f aca="false">IF($B119="","",IF(B119&lt;50000,3,IF(B119&lt;100000,4,5)))</f>
        <v/>
      </c>
      <c r="T114" s="39" t="str">
        <f aca="false">IF($A119="","",IF(OR(M119&gt;=4,I119&lt;=-8%),"防守",IF(OR(M119&gt;=2,I119&lt;=-5%),"警戒","正常")))</f>
        <v/>
      </c>
      <c r="U114" s="39" t="str">
        <f aca="false">IF($A119="","",IF(AND(L119&gt;=3,M119&lt;=2,T119&lt;&gt;"防守"),"是","否"))</f>
        <v/>
      </c>
      <c r="V114" s="39" t="str">
        <f aca="false">IF($A119="","",IF(AND(E119&lt;N119,R119&lt;S119,M119&lt;=2,I119&gt;-15%),"是","否"))</f>
        <v/>
      </c>
      <c r="W114" s="39" t="str">
        <f aca="false">IF($A119="","",IF(OR(M119&gt;=3,I119&lt;=-15%),"是","否"))</f>
        <v/>
      </c>
      <c r="X114" s="35" t="str">
        <f aca="false">IF($A119="","",IFERROR(maxifs(候选池!$AB:$AB,候选池!$A:$A,$A119),0))</f>
        <v/>
      </c>
      <c r="Y114" s="35" t="str">
        <f aca="false">IF($A119="","",IF(OR(M119&gt;=4,I119&lt;=-8%),MAX(0,B119*60%-C119),IF(AND(ISNUMBER(AD119),B119&gt;AD119),IF(B119&lt;30000,0,IF(B119&lt;100000,MAX(0,(B119-AD119)*0.2),MAX(0,(B119-AD119)*0.3))),0)))</f>
        <v/>
      </c>
      <c r="Z114" s="30"/>
      <c r="AA114" s="39" t="str">
        <f aca="false">IF($A119="","",IF($AA$2&lt;&gt;"",$AA$2,""))</f>
        <v/>
      </c>
      <c r="AB114" s="30" t="str">
        <f aca="false">IF($A119="","",IF(B119&lt;30000,0.03,IF(B119&lt;100000,0.02,0.015)))</f>
        <v/>
      </c>
      <c r="AC114" s="38" t="str">
        <f aca="false">IF($A119="","",IFERROR(DATEDIF($A$2,$A119,"m"),0))</f>
        <v/>
      </c>
      <c r="AD114" s="35" t="str">
        <f aca="false">IF($A119="","",IF(OR(AA119="",AB119="",AC119=""),"",AA119*POWER(1+AB119,AC119)))</f>
        <v/>
      </c>
      <c r="AE114" s="47" t="str">
        <f aca="false">IF($A119="","",IF(OR(AD119="",AD119=0),"",B119/AD119-1))</f>
        <v/>
      </c>
      <c r="AG114" s="1" t="str">
        <f aca="false">IF($A119="","",IF(B119&lt;30000,"婴儿",IF(B119&lt;100000,"成长","成熟")))</f>
        <v/>
      </c>
      <c r="AH114" s="42"/>
      <c r="AJ114" s="42"/>
      <c r="AK114" s="42"/>
      <c r="AM114" s="42"/>
      <c r="AP114" s="32"/>
      <c r="AQ114" s="43" t="str">
        <f aca="false">IF($A119="","",B119-$AA$2-SUM($F$2:F119))</f>
        <v/>
      </c>
      <c r="AR114" s="1" t="str">
        <f aca="false">IF($A118="","",30000)</f>
        <v/>
      </c>
      <c r="AS114" s="1" t="str">
        <f aca="false">IF($A118="","",AR118-B118)</f>
        <v/>
      </c>
      <c r="AT114" s="1" t="str">
        <f aca="false">IF($A118="","",IFERROR(B118/AR118,0))</f>
        <v/>
      </c>
      <c r="AU114" s="1" t="str">
        <f aca="false">IF($A118="","",IFERROR(B118*O118,0))</f>
        <v/>
      </c>
      <c r="AV114" s="1" t="str">
        <f aca="false">IF($A118="","",IFERROR(C118/B118,0))</f>
        <v/>
      </c>
      <c r="AW114" s="1" t="str">
        <f aca="false">IF($A118="","",MAX(0,R118-S118))</f>
        <v/>
      </c>
      <c r="AX114" s="1" t="str">
        <f aca="false">IF($A118="","",IF(AW118&gt;0,"优先降持仓数",IF(C118&lt;=0,"现金不足","允许评估")))</f>
        <v/>
      </c>
      <c r="AY114" s="1" t="str">
        <f aca="false">IF($A118="","",IF(B118&lt;30000,"婴儿阶段: 优先活下来,禁止单票失控,限制持仓数,服务3W目标","幼儿阶段达成"))</f>
        <v/>
      </c>
    </row>
    <row r="115" customFormat="false" ht="15" hidden="false" customHeight="true" outlineLevel="0" collapsed="false">
      <c r="A115" s="28"/>
      <c r="B115" s="34"/>
      <c r="C115" s="34"/>
      <c r="D115" s="35" t="str">
        <f aca="false">IF($A120="","",SUMIFS(持仓表!$J:$J,持仓表!$A:$A,$A120))</f>
        <v/>
      </c>
      <c r="E115" s="36" t="n">
        <f aca="false">IFERROR(D120/B120,0)</f>
        <v>0</v>
      </c>
      <c r="F115" s="34"/>
      <c r="G115" s="35" t="str">
        <f aca="false">IF($B120="","",MAX($B$2:B120))</f>
        <v/>
      </c>
      <c r="H115" s="36" t="n">
        <f aca="false">IFERROR((B120-F120)/F120,0)</f>
        <v>0</v>
      </c>
      <c r="I115" s="36" t="n">
        <f aca="false">IFERROR((B120-G120)/G120,0)</f>
        <v>0</v>
      </c>
      <c r="J115" s="28"/>
      <c r="K115" s="29"/>
      <c r="L115" s="37"/>
      <c r="M115" s="37"/>
      <c r="N115" s="36" t="str">
        <f aca="false">IF($B120="","",MIN(70%,IF($I120&lt;=-15%,10%,IF($I120&lt;=-10%,30%,IF($M120&gt;=4,10%,IF($M120&gt;=3,30%,IF($J120="强",IF($K120="A",70%,IF($K120="B",60%,40%)),IF($J120="中性",IF($K120="A",50%,IF($K120="B",40%,25%)),IF($K120="A",30%,IF($K120="B",20%,10%))))))))))</f>
        <v/>
      </c>
      <c r="O115" s="36" t="str">
        <f aca="false">IF($B120="","",IF(B120&lt;30000,35%,IF(B120&lt;50000,30%,IF(B120&lt;100000,25%,20%))))</f>
        <v/>
      </c>
      <c r="P115" s="38" t="str">
        <f aca="false">IF($A120="","",COUNTIFS(持仓表!$A:$A,$A120,持仓表!$G:$G,"&gt;0"))</f>
        <v/>
      </c>
      <c r="Q115" s="38" t="str">
        <f aca="false">IF($A120="","",COUNTIFS(持仓表!$A:$A,$A120,持仓表!$D:$D,"是",持仓表!$G:$G,"&gt;0"))</f>
        <v/>
      </c>
      <c r="R115" s="38" t="str">
        <f aca="false">IF($A120="","",MAX(0,P120-Q120))</f>
        <v/>
      </c>
      <c r="S115" s="38" t="str">
        <f aca="false">IF($B120="","",IF(B120&lt;50000,3,IF(B120&lt;100000,4,5)))</f>
        <v/>
      </c>
      <c r="T115" s="39" t="str">
        <f aca="false">IF($A120="","",IF(OR(M120&gt;=4,I120&lt;=-8%),"防守",IF(OR(M120&gt;=2,I120&lt;=-5%),"警戒","正常")))</f>
        <v/>
      </c>
      <c r="U115" s="39" t="str">
        <f aca="false">IF($A120="","",IF(AND(L120&gt;=3,M120&lt;=2,T120&lt;&gt;"防守"),"是","否"))</f>
        <v/>
      </c>
      <c r="V115" s="39" t="str">
        <f aca="false">IF($A120="","",IF(AND(E120&lt;N120,R120&lt;S120,M120&lt;=2,I120&gt;-15%),"是","否"))</f>
        <v/>
      </c>
      <c r="W115" s="39" t="str">
        <f aca="false">IF($A120="","",IF(OR(M120&gt;=3,I120&lt;=-15%),"是","否"))</f>
        <v/>
      </c>
      <c r="X115" s="35" t="str">
        <f aca="false">IF($A120="","",IFERROR(maxifs(候选池!$AB:$AB,候选池!$A:$A,$A120),0))</f>
        <v/>
      </c>
      <c r="Y115" s="35" t="str">
        <f aca="false">IF($A120="","",IF(OR(M120&gt;=4,I120&lt;=-8%),MAX(0,B120*60%-C120),IF(AND(ISNUMBER(AD120),B120&gt;AD120),IF(B120&lt;30000,0,IF(B120&lt;100000,MAX(0,(B120-AD120)*0.2),MAX(0,(B120-AD120)*0.3))),0)))</f>
        <v/>
      </c>
      <c r="Z115" s="28"/>
      <c r="AA115" s="39" t="str">
        <f aca="false">IF($A120="","",IF($AA$2&lt;&gt;"",$AA$2,""))</f>
        <v/>
      </c>
      <c r="AB115" s="28" t="str">
        <f aca="false">IF($A120="","",IF(B120&lt;30000,0.03,IF(B120&lt;100000,0.02,0.015)))</f>
        <v/>
      </c>
      <c r="AC115" s="38" t="str">
        <f aca="false">IF($A120="","",IFERROR(DATEDIF($A$2,$A120,"m"),0))</f>
        <v/>
      </c>
      <c r="AD115" s="35" t="str">
        <f aca="false">IF($A120="","",IF(OR(AA120="",AB120="",AC120=""),"",AA120*POWER(1+AB120,AC120)))</f>
        <v/>
      </c>
      <c r="AE115" s="41" t="str">
        <f aca="false">IF($A120="","",IF(OR(AD120="",AD120=0),"",B120/AD120-1))</f>
        <v/>
      </c>
      <c r="AG115" s="1" t="str">
        <f aca="false">IF($A120="","",IF(B120&lt;30000,"婴儿",IF(B120&lt;100000,"成长","成熟")))</f>
        <v/>
      </c>
      <c r="AH115" s="42"/>
      <c r="AJ115" s="42"/>
      <c r="AK115" s="42"/>
      <c r="AM115" s="42"/>
      <c r="AP115" s="32"/>
      <c r="AQ115" s="43" t="str">
        <f aca="false">IF($A120="","",B120-$AA$2-SUM($F$2:F120))</f>
        <v/>
      </c>
      <c r="AR115" s="1" t="str">
        <f aca="false">IF($A119="","",30000)</f>
        <v/>
      </c>
      <c r="AS115" s="1" t="str">
        <f aca="false">IF($A119="","",AR119-B119)</f>
        <v/>
      </c>
      <c r="AT115" s="1" t="str">
        <f aca="false">IF($A119="","",IFERROR(B119/AR119,0))</f>
        <v/>
      </c>
      <c r="AU115" s="1" t="str">
        <f aca="false">IF($A119="","",IFERROR(B119*O119,0))</f>
        <v/>
      </c>
      <c r="AV115" s="1" t="str">
        <f aca="false">IF($A119="","",IFERROR(C119/B119,0))</f>
        <v/>
      </c>
      <c r="AW115" s="1" t="str">
        <f aca="false">IF($A119="","",MAX(0,R119-S119))</f>
        <v/>
      </c>
      <c r="AX115" s="1" t="str">
        <f aca="false">IF($A119="","",IF(AW119&gt;0,"优先降持仓数",IF(C119&lt;=0,"现金不足","允许评估")))</f>
        <v/>
      </c>
      <c r="AY115" s="1" t="str">
        <f aca="false">IF($A119="","",IF(B119&lt;30000,"婴儿阶段: 优先活下来,禁止单票失控,限制持仓数,服务3W目标","幼儿阶段达成"))</f>
        <v/>
      </c>
    </row>
    <row r="116" customFormat="false" ht="15" hidden="false" customHeight="true" outlineLevel="0" collapsed="false">
      <c r="A116" s="30"/>
      <c r="B116" s="44"/>
      <c r="C116" s="44"/>
      <c r="D116" s="35" t="str">
        <f aca="false">IF($A121="","",SUMIFS(持仓表!$J:$J,持仓表!$A:$A,$A121))</f>
        <v/>
      </c>
      <c r="E116" s="36" t="n">
        <f aca="false">IFERROR(D121/B121,0)</f>
        <v>0</v>
      </c>
      <c r="F116" s="44"/>
      <c r="G116" s="35" t="str">
        <f aca="false">IF($B121="","",MAX($B$2:B121))</f>
        <v/>
      </c>
      <c r="H116" s="36" t="n">
        <f aca="false">IFERROR((B121-F121)/F121,0)</f>
        <v>0</v>
      </c>
      <c r="I116" s="36" t="n">
        <f aca="false">IFERROR((B121-G121)/G121,0)</f>
        <v>0</v>
      </c>
      <c r="J116" s="30"/>
      <c r="K116" s="31"/>
      <c r="L116" s="45"/>
      <c r="M116" s="45"/>
      <c r="N116" s="36" t="str">
        <f aca="false">IF($B121="","",MIN(70%,IF($I121&lt;=-15%,10%,IF($I121&lt;=-10%,30%,IF($M121&gt;=4,10%,IF($M121&gt;=3,30%,IF($J121="强",IF($K121="A",70%,IF($K121="B",60%,40%)),IF($J121="中性",IF($K121="A",50%,IF($K121="B",40%,25%)),IF($K121="A",30%,IF($K121="B",20%,10%))))))))))</f>
        <v/>
      </c>
      <c r="O116" s="36" t="str">
        <f aca="false">IF($B121="","",IF(B121&lt;30000,35%,IF(B121&lt;50000,30%,IF(B121&lt;100000,25%,20%))))</f>
        <v/>
      </c>
      <c r="P116" s="38" t="str">
        <f aca="false">IF($A121="","",COUNTIFS(持仓表!$A:$A,$A121,持仓表!$G:$G,"&gt;0"))</f>
        <v/>
      </c>
      <c r="Q116" s="38" t="str">
        <f aca="false">IF($A121="","",COUNTIFS(持仓表!$A:$A,$A121,持仓表!$D:$D,"是",持仓表!$G:$G,"&gt;0"))</f>
        <v/>
      </c>
      <c r="R116" s="38" t="str">
        <f aca="false">IF($A121="","",MAX(0,P121-Q121))</f>
        <v/>
      </c>
      <c r="S116" s="38" t="str">
        <f aca="false">IF($B121="","",IF(B121&lt;50000,3,IF(B121&lt;100000,4,5)))</f>
        <v/>
      </c>
      <c r="T116" s="39" t="str">
        <f aca="false">IF($A121="","",IF(OR(M121&gt;=4,I121&lt;=-8%),"防守",IF(OR(M121&gt;=2,I121&lt;=-5%),"警戒","正常")))</f>
        <v/>
      </c>
      <c r="U116" s="39" t="str">
        <f aca="false">IF($A121="","",IF(AND(L121&gt;=3,M121&lt;=2,T121&lt;&gt;"防守"),"是","否"))</f>
        <v/>
      </c>
      <c r="V116" s="39" t="str">
        <f aca="false">IF($A121="","",IF(AND(E121&lt;N121,R121&lt;S121,M121&lt;=2,I121&gt;-15%),"是","否"))</f>
        <v/>
      </c>
      <c r="W116" s="39" t="str">
        <f aca="false">IF($A121="","",IF(OR(M121&gt;=3,I121&lt;=-15%),"是","否"))</f>
        <v/>
      </c>
      <c r="X116" s="35" t="str">
        <f aca="false">IF($A121="","",IFERROR(maxifs(候选池!$AB:$AB,候选池!$A:$A,$A121),0))</f>
        <v/>
      </c>
      <c r="Y116" s="35" t="str">
        <f aca="false">IF($A121="","",IF(OR(M121&gt;=4,I121&lt;=-8%),MAX(0,B121*60%-C121),IF(AND(ISNUMBER(AD121),B121&gt;AD121),IF(B121&lt;30000,0,IF(B121&lt;100000,MAX(0,(B121-AD121)*0.2),MAX(0,(B121-AD121)*0.3))),0)))</f>
        <v/>
      </c>
      <c r="Z116" s="30"/>
      <c r="AA116" s="39" t="str">
        <f aca="false">IF($A121="","",IF($AA$2&lt;&gt;"",$AA$2,""))</f>
        <v/>
      </c>
      <c r="AB116" s="30" t="str">
        <f aca="false">IF($A121="","",IF(B121&lt;30000,0.03,IF(B121&lt;100000,0.02,0.015)))</f>
        <v/>
      </c>
      <c r="AC116" s="38" t="str">
        <f aca="false">IF($A121="","",IFERROR(DATEDIF($A$2,$A121,"m"),0))</f>
        <v/>
      </c>
      <c r="AD116" s="35" t="str">
        <f aca="false">IF($A121="","",IF(OR(AA121="",AB121="",AC121=""),"",AA121*POWER(1+AB121,AC121)))</f>
        <v/>
      </c>
      <c r="AE116" s="47" t="str">
        <f aca="false">IF($A121="","",IF(OR(AD121="",AD121=0),"",B121/AD121-1))</f>
        <v/>
      </c>
      <c r="AG116" s="1" t="str">
        <f aca="false">IF($A121="","",IF(B121&lt;30000,"婴儿",IF(B121&lt;100000,"成长","成熟")))</f>
        <v/>
      </c>
      <c r="AH116" s="42"/>
      <c r="AJ116" s="42"/>
      <c r="AK116" s="42"/>
      <c r="AM116" s="42"/>
      <c r="AP116" s="32"/>
      <c r="AQ116" s="43" t="str">
        <f aca="false">IF($A121="","",B121-$AA$2-SUM($F$2:F121))</f>
        <v/>
      </c>
      <c r="AR116" s="1" t="str">
        <f aca="false">IF($A120="","",30000)</f>
        <v/>
      </c>
      <c r="AS116" s="1" t="str">
        <f aca="false">IF($A120="","",AR120-B120)</f>
        <v/>
      </c>
      <c r="AT116" s="1" t="str">
        <f aca="false">IF($A120="","",IFERROR(B120/AR120,0))</f>
        <v/>
      </c>
      <c r="AU116" s="1" t="str">
        <f aca="false">IF($A120="","",IFERROR(B120*O120,0))</f>
        <v/>
      </c>
      <c r="AV116" s="1" t="str">
        <f aca="false">IF($A120="","",IFERROR(C120/B120,0))</f>
        <v/>
      </c>
      <c r="AW116" s="1" t="str">
        <f aca="false">IF($A120="","",MAX(0,R120-S120))</f>
        <v/>
      </c>
      <c r="AX116" s="1" t="str">
        <f aca="false">IF($A120="","",IF(AW120&gt;0,"优先降持仓数",IF(C120&lt;=0,"现金不足","允许评估")))</f>
        <v/>
      </c>
      <c r="AY116" s="1" t="str">
        <f aca="false">IF($A120="","",IF(B120&lt;30000,"婴儿阶段: 优先活下来,禁止单票失控,限制持仓数,服务3W目标","幼儿阶段达成"))</f>
        <v/>
      </c>
    </row>
    <row r="117" customFormat="false" ht="15" hidden="false" customHeight="true" outlineLevel="0" collapsed="false">
      <c r="A117" s="28"/>
      <c r="B117" s="34"/>
      <c r="C117" s="34"/>
      <c r="D117" s="35" t="str">
        <f aca="false">IF($A122="","",SUMIFS(持仓表!$J:$J,持仓表!$A:$A,$A122))</f>
        <v/>
      </c>
      <c r="E117" s="36" t="n">
        <f aca="false">IFERROR(D122/B122,0)</f>
        <v>0</v>
      </c>
      <c r="F117" s="34"/>
      <c r="G117" s="35" t="str">
        <f aca="false">IF($B122="","",MAX($B$2:B122))</f>
        <v/>
      </c>
      <c r="H117" s="36" t="n">
        <f aca="false">IFERROR((B122-F122)/F122,0)</f>
        <v>0</v>
      </c>
      <c r="I117" s="36" t="n">
        <f aca="false">IFERROR((B122-G122)/G122,0)</f>
        <v>0</v>
      </c>
      <c r="J117" s="28"/>
      <c r="K117" s="29"/>
      <c r="L117" s="37"/>
      <c r="M117" s="37"/>
      <c r="N117" s="36" t="str">
        <f aca="false">IF($B122="","",MIN(70%,IF($I122&lt;=-15%,10%,IF($I122&lt;=-10%,30%,IF($M122&gt;=4,10%,IF($M122&gt;=3,30%,IF($J122="强",IF($K122="A",70%,IF($K122="B",60%,40%)),IF($J122="中性",IF($K122="A",50%,IF($K122="B",40%,25%)),IF($K122="A",30%,IF($K122="B",20%,10%))))))))))</f>
        <v/>
      </c>
      <c r="O117" s="36" t="str">
        <f aca="false">IF($B122="","",IF(B122&lt;30000,35%,IF(B122&lt;50000,30%,IF(B122&lt;100000,25%,20%))))</f>
        <v/>
      </c>
      <c r="P117" s="38" t="str">
        <f aca="false">IF($A122="","",COUNTIFS(持仓表!$A:$A,$A122,持仓表!$G:$G,"&gt;0"))</f>
        <v/>
      </c>
      <c r="Q117" s="38" t="str">
        <f aca="false">IF($A122="","",COUNTIFS(持仓表!$A:$A,$A122,持仓表!$D:$D,"是",持仓表!$G:$G,"&gt;0"))</f>
        <v/>
      </c>
      <c r="R117" s="38" t="str">
        <f aca="false">IF($A122="","",MAX(0,P122-Q122))</f>
        <v/>
      </c>
      <c r="S117" s="38" t="str">
        <f aca="false">IF($B122="","",IF(B122&lt;50000,3,IF(B122&lt;100000,4,5)))</f>
        <v/>
      </c>
      <c r="T117" s="39" t="str">
        <f aca="false">IF($A122="","",IF(OR(M122&gt;=4,I122&lt;=-8%),"防守",IF(OR(M122&gt;=2,I122&lt;=-5%),"警戒","正常")))</f>
        <v/>
      </c>
      <c r="U117" s="39" t="str">
        <f aca="false">IF($A122="","",IF(AND(L122&gt;=3,M122&lt;=2,T122&lt;&gt;"防守"),"是","否"))</f>
        <v/>
      </c>
      <c r="V117" s="39" t="str">
        <f aca="false">IF($A122="","",IF(AND(E122&lt;N122,R122&lt;S122,M122&lt;=2,I122&gt;-15%),"是","否"))</f>
        <v/>
      </c>
      <c r="W117" s="39" t="str">
        <f aca="false">IF($A122="","",IF(OR(M122&gt;=3,I122&lt;=-15%),"是","否"))</f>
        <v/>
      </c>
      <c r="X117" s="35" t="str">
        <f aca="false">IF($A122="","",IFERROR(maxifs(候选池!$AB:$AB,候选池!$A:$A,$A122),0))</f>
        <v/>
      </c>
      <c r="Y117" s="35" t="str">
        <f aca="false">IF($A122="","",IF(OR(M122&gt;=4,I122&lt;=-8%),MAX(0,B122*60%-C122),IF(AND(ISNUMBER(AD122),B122&gt;AD122),IF(B122&lt;30000,0,IF(B122&lt;100000,MAX(0,(B122-AD122)*0.2),MAX(0,(B122-AD122)*0.3))),0)))</f>
        <v/>
      </c>
      <c r="Z117" s="28"/>
      <c r="AA117" s="39" t="str">
        <f aca="false">IF($A122="","",IF($AA$2&lt;&gt;"",$AA$2,""))</f>
        <v/>
      </c>
      <c r="AB117" s="28" t="str">
        <f aca="false">IF($A122="","",IF(B122&lt;30000,0.03,IF(B122&lt;100000,0.02,0.015)))</f>
        <v/>
      </c>
      <c r="AC117" s="38" t="str">
        <f aca="false">IF($A122="","",IFERROR(DATEDIF($A$2,$A122,"m"),0))</f>
        <v/>
      </c>
      <c r="AD117" s="35" t="str">
        <f aca="false">IF($A122="","",IF(OR(AA122="",AB122="",AC122=""),"",AA122*POWER(1+AB122,AC122)))</f>
        <v/>
      </c>
      <c r="AE117" s="41" t="str">
        <f aca="false">IF($A122="","",IF(OR(AD122="",AD122=0),"",B122/AD122-1))</f>
        <v/>
      </c>
      <c r="AG117" s="1" t="str">
        <f aca="false">IF($A122="","",IF(B122&lt;30000,"婴儿",IF(B122&lt;100000,"成长","成熟")))</f>
        <v/>
      </c>
      <c r="AH117" s="42"/>
      <c r="AJ117" s="42"/>
      <c r="AK117" s="42"/>
      <c r="AM117" s="42"/>
      <c r="AP117" s="32"/>
      <c r="AQ117" s="43" t="str">
        <f aca="false">IF($A122="","",B122-$AA$2-SUM($F$2:F122))</f>
        <v/>
      </c>
      <c r="AR117" s="1" t="str">
        <f aca="false">IF($A121="","",30000)</f>
        <v/>
      </c>
      <c r="AS117" s="1" t="str">
        <f aca="false">IF($A121="","",AR121-B121)</f>
        <v/>
      </c>
      <c r="AT117" s="1" t="str">
        <f aca="false">IF($A121="","",IFERROR(B121/AR121,0))</f>
        <v/>
      </c>
      <c r="AU117" s="1" t="str">
        <f aca="false">IF($A121="","",IFERROR(B121*O121,0))</f>
        <v/>
      </c>
      <c r="AV117" s="1" t="str">
        <f aca="false">IF($A121="","",IFERROR(C121/B121,0))</f>
        <v/>
      </c>
      <c r="AW117" s="1" t="str">
        <f aca="false">IF($A121="","",MAX(0,R121-S121))</f>
        <v/>
      </c>
      <c r="AX117" s="1" t="str">
        <f aca="false">IF($A121="","",IF(AW121&gt;0,"优先降持仓数",IF(C121&lt;=0,"现金不足","允许评估")))</f>
        <v/>
      </c>
      <c r="AY117" s="1" t="str">
        <f aca="false">IF($A121="","",IF(B121&lt;30000,"婴儿阶段: 优先活下来,禁止单票失控,限制持仓数,服务3W目标","幼儿阶段达成"))</f>
        <v/>
      </c>
    </row>
    <row r="118" customFormat="false" ht="15" hidden="false" customHeight="true" outlineLevel="0" collapsed="false">
      <c r="A118" s="30"/>
      <c r="B118" s="44"/>
      <c r="C118" s="44"/>
      <c r="D118" s="35" t="str">
        <f aca="false">IF($A123="","",SUMIFS(持仓表!$J:$J,持仓表!$A:$A,$A123))</f>
        <v/>
      </c>
      <c r="E118" s="36" t="n">
        <f aca="false">IFERROR(D123/B123,0)</f>
        <v>0</v>
      </c>
      <c r="F118" s="44"/>
      <c r="G118" s="35" t="str">
        <f aca="false">IF($B123="","",MAX($B$2:B123))</f>
        <v/>
      </c>
      <c r="H118" s="36" t="n">
        <f aca="false">IFERROR((B123-F123)/F123,0)</f>
        <v>0</v>
      </c>
      <c r="I118" s="36" t="n">
        <f aca="false">IFERROR((B123-G123)/G123,0)</f>
        <v>0</v>
      </c>
      <c r="J118" s="30"/>
      <c r="K118" s="31"/>
      <c r="L118" s="45"/>
      <c r="M118" s="45"/>
      <c r="N118" s="36" t="str">
        <f aca="false">IF($B123="","",MIN(70%,IF($I123&lt;=-15%,10%,IF($I123&lt;=-10%,30%,IF($M123&gt;=4,10%,IF($M123&gt;=3,30%,IF($J123="强",IF($K123="A",70%,IF($K123="B",60%,40%)),IF($J123="中性",IF($K123="A",50%,IF($K123="B",40%,25%)),IF($K123="A",30%,IF($K123="B",20%,10%))))))))))</f>
        <v/>
      </c>
      <c r="O118" s="36" t="str">
        <f aca="false">IF($B123="","",IF(B123&lt;30000,35%,IF(B123&lt;50000,30%,IF(B123&lt;100000,25%,20%))))</f>
        <v/>
      </c>
      <c r="P118" s="38" t="str">
        <f aca="false">IF($A123="","",COUNTIFS(持仓表!$A:$A,$A123,持仓表!$G:$G,"&gt;0"))</f>
        <v/>
      </c>
      <c r="Q118" s="38" t="str">
        <f aca="false">IF($A123="","",COUNTIFS(持仓表!$A:$A,$A123,持仓表!$D:$D,"是",持仓表!$G:$G,"&gt;0"))</f>
        <v/>
      </c>
      <c r="R118" s="38" t="str">
        <f aca="false">IF($A123="","",MAX(0,P123-Q123))</f>
        <v/>
      </c>
      <c r="S118" s="38" t="str">
        <f aca="false">IF($B123="","",IF(B123&lt;50000,3,IF(B123&lt;100000,4,5)))</f>
        <v/>
      </c>
      <c r="T118" s="39" t="str">
        <f aca="false">IF($A123="","",IF(OR(M123&gt;=4,I123&lt;=-8%),"防守",IF(OR(M123&gt;=2,I123&lt;=-5%),"警戒","正常")))</f>
        <v/>
      </c>
      <c r="U118" s="39" t="str">
        <f aca="false">IF($A123="","",IF(AND(L123&gt;=3,M123&lt;=2,T123&lt;&gt;"防守"),"是","否"))</f>
        <v/>
      </c>
      <c r="V118" s="39" t="str">
        <f aca="false">IF($A123="","",IF(AND(E123&lt;N123,R123&lt;S123,M123&lt;=2,I123&gt;-15%),"是","否"))</f>
        <v/>
      </c>
      <c r="W118" s="39" t="str">
        <f aca="false">IF($A123="","",IF(OR(M123&gt;=3,I123&lt;=-15%),"是","否"))</f>
        <v/>
      </c>
      <c r="X118" s="35" t="str">
        <f aca="false">IF($A123="","",IFERROR(maxifs(候选池!$AB:$AB,候选池!$A:$A,$A123),0))</f>
        <v/>
      </c>
      <c r="Y118" s="35" t="str">
        <f aca="false">IF($A123="","",IF(OR(M123&gt;=4,I123&lt;=-8%),MAX(0,B123*60%-C123),IF(AND(ISNUMBER(AD123),B123&gt;AD123),IF(B123&lt;30000,0,IF(B123&lt;100000,MAX(0,(B123-AD123)*0.2),MAX(0,(B123-AD123)*0.3))),0)))</f>
        <v/>
      </c>
      <c r="Z118" s="30"/>
      <c r="AA118" s="39" t="str">
        <f aca="false">IF($A123="","",IF($AA$2&lt;&gt;"",$AA$2,""))</f>
        <v/>
      </c>
      <c r="AB118" s="30" t="str">
        <f aca="false">IF($A123="","",IF(B123&lt;30000,0.03,IF(B123&lt;100000,0.02,0.015)))</f>
        <v/>
      </c>
      <c r="AC118" s="38" t="str">
        <f aca="false">IF($A123="","",IFERROR(DATEDIF($A$2,$A123,"m"),0))</f>
        <v/>
      </c>
      <c r="AD118" s="35" t="str">
        <f aca="false">IF($A123="","",IF(OR(AA123="",AB123="",AC123=""),"",AA123*POWER(1+AB123,AC123)))</f>
        <v/>
      </c>
      <c r="AE118" s="47" t="str">
        <f aca="false">IF($A123="","",IF(OR(AD123="",AD123=0),"",B123/AD123-1))</f>
        <v/>
      </c>
      <c r="AG118" s="1" t="str">
        <f aca="false">IF($A123="","",IF(B123&lt;30000,"婴儿",IF(B123&lt;100000,"成长","成熟")))</f>
        <v/>
      </c>
      <c r="AH118" s="42"/>
      <c r="AJ118" s="42"/>
      <c r="AK118" s="42"/>
      <c r="AM118" s="42"/>
      <c r="AP118" s="32"/>
      <c r="AQ118" s="43" t="str">
        <f aca="false">IF($A123="","",B123-$AA$2-SUM($F$2:F123))</f>
        <v/>
      </c>
      <c r="AR118" s="1" t="str">
        <f aca="false">IF($A122="","",30000)</f>
        <v/>
      </c>
      <c r="AS118" s="1" t="str">
        <f aca="false">IF($A122="","",AR122-B122)</f>
        <v/>
      </c>
      <c r="AT118" s="1" t="str">
        <f aca="false">IF($A122="","",IFERROR(B122/AR122,0))</f>
        <v/>
      </c>
      <c r="AU118" s="1" t="str">
        <f aca="false">IF($A122="","",IFERROR(B122*O122,0))</f>
        <v/>
      </c>
      <c r="AV118" s="1" t="str">
        <f aca="false">IF($A122="","",IFERROR(C122/B122,0))</f>
        <v/>
      </c>
      <c r="AW118" s="1" t="str">
        <f aca="false">IF($A122="","",MAX(0,R122-S122))</f>
        <v/>
      </c>
      <c r="AX118" s="1" t="str">
        <f aca="false">IF($A122="","",IF(AW122&gt;0,"优先降持仓数",IF(C122&lt;=0,"现金不足","允许评估")))</f>
        <v/>
      </c>
      <c r="AY118" s="1" t="str">
        <f aca="false">IF($A122="","",IF(B122&lt;30000,"婴儿阶段: 优先活下来,禁止单票失控,限制持仓数,服务3W目标","幼儿阶段达成"))</f>
        <v/>
      </c>
    </row>
    <row r="119" customFormat="false" ht="15" hidden="false" customHeight="true" outlineLevel="0" collapsed="false">
      <c r="A119" s="28"/>
      <c r="B119" s="34"/>
      <c r="C119" s="34"/>
      <c r="D119" s="35" t="str">
        <f aca="false">IF($A124="","",SUMIFS(持仓表!$J:$J,持仓表!$A:$A,$A124))</f>
        <v/>
      </c>
      <c r="E119" s="36" t="n">
        <f aca="false">IFERROR(D124/B124,0)</f>
        <v>0</v>
      </c>
      <c r="F119" s="34"/>
      <c r="G119" s="35" t="str">
        <f aca="false">IF($B124="","",MAX($B$2:B124))</f>
        <v/>
      </c>
      <c r="H119" s="36" t="n">
        <f aca="false">IFERROR((B124-F124)/F124,0)</f>
        <v>0</v>
      </c>
      <c r="I119" s="36" t="n">
        <f aca="false">IFERROR((B124-G124)/G124,0)</f>
        <v>0</v>
      </c>
      <c r="J119" s="28"/>
      <c r="K119" s="29"/>
      <c r="L119" s="37"/>
      <c r="M119" s="37"/>
      <c r="N119" s="36" t="str">
        <f aca="false">IF($B124="","",MIN(70%,IF($I124&lt;=-15%,10%,IF($I124&lt;=-10%,30%,IF($M124&gt;=4,10%,IF($M124&gt;=3,30%,IF($J124="强",IF($K124="A",70%,IF($K124="B",60%,40%)),IF($J124="中性",IF($K124="A",50%,IF($K124="B",40%,25%)),IF($K124="A",30%,IF($K124="B",20%,10%))))))))))</f>
        <v/>
      </c>
      <c r="O119" s="36" t="str">
        <f aca="false">IF($B124="","",IF(B124&lt;30000,35%,IF(B124&lt;50000,30%,IF(B124&lt;100000,25%,20%))))</f>
        <v/>
      </c>
      <c r="P119" s="38" t="str">
        <f aca="false">IF($A124="","",COUNTIFS(持仓表!$A:$A,$A124,持仓表!$G:$G,"&gt;0"))</f>
        <v/>
      </c>
      <c r="Q119" s="38" t="str">
        <f aca="false">IF($A124="","",COUNTIFS(持仓表!$A:$A,$A124,持仓表!$D:$D,"是",持仓表!$G:$G,"&gt;0"))</f>
        <v/>
      </c>
      <c r="R119" s="38" t="str">
        <f aca="false">IF($A124="","",MAX(0,P124-Q124))</f>
        <v/>
      </c>
      <c r="S119" s="38" t="str">
        <f aca="false">IF($B124="","",IF(B124&lt;50000,3,IF(B124&lt;100000,4,5)))</f>
        <v/>
      </c>
      <c r="T119" s="39" t="str">
        <f aca="false">IF($A124="","",IF(OR(M124&gt;=4,I124&lt;=-8%),"防守",IF(OR(M124&gt;=2,I124&lt;=-5%),"警戒","正常")))</f>
        <v/>
      </c>
      <c r="U119" s="39" t="str">
        <f aca="false">IF($A124="","",IF(AND(L124&gt;=3,M124&lt;=2,T124&lt;&gt;"防守"),"是","否"))</f>
        <v/>
      </c>
      <c r="V119" s="39" t="str">
        <f aca="false">IF($A124="","",IF(AND(E124&lt;N124,R124&lt;S124,M124&lt;=2,I124&gt;-15%),"是","否"))</f>
        <v/>
      </c>
      <c r="W119" s="39" t="str">
        <f aca="false">IF($A124="","",IF(OR(M124&gt;=3,I124&lt;=-15%),"是","否"))</f>
        <v/>
      </c>
      <c r="X119" s="35" t="str">
        <f aca="false">IF($A124="","",IFERROR(maxifs(候选池!$AB:$AB,候选池!$A:$A,$A124),0))</f>
        <v/>
      </c>
      <c r="Y119" s="35" t="str">
        <f aca="false">IF($A124="","",IF(OR(M124&gt;=4,I124&lt;=-8%),MAX(0,B124*60%-C124),IF(AND(ISNUMBER(AD124),B124&gt;AD124),IF(B124&lt;30000,0,IF(B124&lt;100000,MAX(0,(B124-AD124)*0.2),MAX(0,(B124-AD124)*0.3))),0)))</f>
        <v/>
      </c>
      <c r="Z119" s="28"/>
      <c r="AA119" s="39" t="str">
        <f aca="false">IF($A124="","",IF($AA$2&lt;&gt;"",$AA$2,""))</f>
        <v/>
      </c>
      <c r="AB119" s="28" t="str">
        <f aca="false">IF($A124="","",IF(B124&lt;30000,0.03,IF(B124&lt;100000,0.02,0.015)))</f>
        <v/>
      </c>
      <c r="AC119" s="38" t="str">
        <f aca="false">IF($A124="","",IFERROR(DATEDIF($A$2,$A124,"m"),0))</f>
        <v/>
      </c>
      <c r="AD119" s="35" t="str">
        <f aca="false">IF($A124="","",IF(OR(AA124="",AB124="",AC124=""),"",AA124*POWER(1+AB124,AC124)))</f>
        <v/>
      </c>
      <c r="AE119" s="41" t="str">
        <f aca="false">IF($A124="","",IF(OR(AD124="",AD124=0),"",B124/AD124-1))</f>
        <v/>
      </c>
      <c r="AG119" s="1" t="str">
        <f aca="false">IF($A124="","",IF(B124&lt;30000,"婴儿",IF(B124&lt;100000,"成长","成熟")))</f>
        <v/>
      </c>
      <c r="AH119" s="42"/>
      <c r="AJ119" s="42"/>
      <c r="AK119" s="42"/>
      <c r="AM119" s="42"/>
      <c r="AP119" s="32"/>
      <c r="AQ119" s="43" t="str">
        <f aca="false">IF($A124="","",B124-$AA$2-SUM($F$2:F124))</f>
        <v/>
      </c>
      <c r="AR119" s="1" t="str">
        <f aca="false">IF($A123="","",30000)</f>
        <v/>
      </c>
      <c r="AS119" s="1" t="str">
        <f aca="false">IF($A123="","",AR123-B123)</f>
        <v/>
      </c>
      <c r="AT119" s="1" t="str">
        <f aca="false">IF($A123="","",IFERROR(B123/AR123,0))</f>
        <v/>
      </c>
      <c r="AU119" s="1" t="str">
        <f aca="false">IF($A123="","",IFERROR(B123*O123,0))</f>
        <v/>
      </c>
      <c r="AV119" s="1" t="str">
        <f aca="false">IF($A123="","",IFERROR(C123/B123,0))</f>
        <v/>
      </c>
      <c r="AW119" s="1" t="str">
        <f aca="false">IF($A123="","",MAX(0,R123-S123))</f>
        <v/>
      </c>
      <c r="AX119" s="1" t="str">
        <f aca="false">IF($A123="","",IF(AW123&gt;0,"优先降持仓数",IF(C123&lt;=0,"现金不足","允许评估")))</f>
        <v/>
      </c>
      <c r="AY119" s="1" t="str">
        <f aca="false">IF($A123="","",IF(B123&lt;30000,"婴儿阶段: 优先活下来,禁止单票失控,限制持仓数,服务3W目标","幼儿阶段达成"))</f>
        <v/>
      </c>
    </row>
    <row r="120" customFormat="false" ht="15" hidden="false" customHeight="true" outlineLevel="0" collapsed="false">
      <c r="A120" s="30"/>
      <c r="B120" s="44"/>
      <c r="C120" s="44"/>
      <c r="D120" s="35" t="str">
        <f aca="false">IF($A125="","",SUMIFS(持仓表!$J:$J,持仓表!$A:$A,$A125))</f>
        <v/>
      </c>
      <c r="E120" s="36" t="n">
        <f aca="false">IFERROR(D125/B125,0)</f>
        <v>0</v>
      </c>
      <c r="F120" s="44"/>
      <c r="G120" s="35" t="str">
        <f aca="false">IF($B125="","",MAX($B$2:B125))</f>
        <v/>
      </c>
      <c r="H120" s="36" t="n">
        <f aca="false">IFERROR((B125-F125)/F125,0)</f>
        <v>0</v>
      </c>
      <c r="I120" s="36" t="n">
        <f aca="false">IFERROR((B125-G125)/G125,0)</f>
        <v>0</v>
      </c>
      <c r="J120" s="30"/>
      <c r="K120" s="31"/>
      <c r="L120" s="45"/>
      <c r="M120" s="45"/>
      <c r="N120" s="36" t="str">
        <f aca="false">IF($B125="","",MIN(70%,IF($I125&lt;=-15%,10%,IF($I125&lt;=-10%,30%,IF($M125&gt;=4,10%,IF($M125&gt;=3,30%,IF($J125="强",IF($K125="A",70%,IF($K125="B",60%,40%)),IF($J125="中性",IF($K125="A",50%,IF($K125="B",40%,25%)),IF($K125="A",30%,IF($K125="B",20%,10%))))))))))</f>
        <v/>
      </c>
      <c r="O120" s="36" t="str">
        <f aca="false">IF($B125="","",IF(B125&lt;30000,35%,IF(B125&lt;50000,30%,IF(B125&lt;100000,25%,20%))))</f>
        <v/>
      </c>
      <c r="P120" s="38" t="str">
        <f aca="false">IF($A125="","",COUNTIFS(持仓表!$A:$A,$A125,持仓表!$G:$G,"&gt;0"))</f>
        <v/>
      </c>
      <c r="Q120" s="38" t="str">
        <f aca="false">IF($A125="","",COUNTIFS(持仓表!$A:$A,$A125,持仓表!$D:$D,"是",持仓表!$G:$G,"&gt;0"))</f>
        <v/>
      </c>
      <c r="R120" s="38" t="str">
        <f aca="false">IF($A125="","",MAX(0,P125-Q125))</f>
        <v/>
      </c>
      <c r="S120" s="38" t="str">
        <f aca="false">IF($B125="","",IF(B125&lt;50000,3,IF(B125&lt;100000,4,5)))</f>
        <v/>
      </c>
      <c r="T120" s="39" t="str">
        <f aca="false">IF($A125="","",IF(OR(M125&gt;=4,I125&lt;=-8%),"防守",IF(OR(M125&gt;=2,I125&lt;=-5%),"警戒","正常")))</f>
        <v/>
      </c>
      <c r="U120" s="39" t="str">
        <f aca="false">IF($A125="","",IF(AND(L125&gt;=3,M125&lt;=2,T125&lt;&gt;"防守"),"是","否"))</f>
        <v/>
      </c>
      <c r="V120" s="39" t="str">
        <f aca="false">IF($A125="","",IF(AND(E125&lt;N125,R125&lt;S125,M125&lt;=2,I125&gt;-15%),"是","否"))</f>
        <v/>
      </c>
      <c r="W120" s="39" t="str">
        <f aca="false">IF($A125="","",IF(OR(M125&gt;=3,I125&lt;=-15%),"是","否"))</f>
        <v/>
      </c>
      <c r="X120" s="35" t="str">
        <f aca="false">IF($A125="","",IFERROR(maxifs(候选池!$AB:$AB,候选池!$A:$A,$A125),0))</f>
        <v/>
      </c>
      <c r="Y120" s="35" t="str">
        <f aca="false">IF($A125="","",IF(OR(M125&gt;=4,I125&lt;=-8%),MAX(0,B125*60%-C125),IF(AND(ISNUMBER(AD125),B125&gt;AD125),IF(B125&lt;30000,0,IF(B125&lt;100000,MAX(0,(B125-AD125)*0.2),MAX(0,(B125-AD125)*0.3))),0)))</f>
        <v/>
      </c>
      <c r="Z120" s="30"/>
      <c r="AA120" s="39" t="str">
        <f aca="false">IF($A125="","",IF($AA$2&lt;&gt;"",$AA$2,""))</f>
        <v/>
      </c>
      <c r="AB120" s="30" t="str">
        <f aca="false">IF($A125="","",IF(B125&lt;30000,0.03,IF(B125&lt;100000,0.02,0.015)))</f>
        <v/>
      </c>
      <c r="AC120" s="38" t="str">
        <f aca="false">IF($A125="","",IFERROR(DATEDIF($A$2,$A125,"m"),0))</f>
        <v/>
      </c>
      <c r="AD120" s="35" t="str">
        <f aca="false">IF($A125="","",IF(OR(AA125="",AB125="",AC125=""),"",AA125*POWER(1+AB125,AC125)))</f>
        <v/>
      </c>
      <c r="AE120" s="47" t="str">
        <f aca="false">IF($A125="","",IF(OR(AD125="",AD125=0),"",B125/AD125-1))</f>
        <v/>
      </c>
      <c r="AG120" s="1" t="str">
        <f aca="false">IF($A125="","",IF(B125&lt;30000,"婴儿",IF(B125&lt;100000,"成长","成熟")))</f>
        <v/>
      </c>
      <c r="AH120" s="42"/>
      <c r="AJ120" s="42"/>
      <c r="AK120" s="42"/>
      <c r="AM120" s="42"/>
      <c r="AP120" s="32"/>
      <c r="AQ120" s="43" t="str">
        <f aca="false">IF($A125="","",B125-$AA$2-SUM($F$2:F125))</f>
        <v/>
      </c>
      <c r="AR120" s="1" t="str">
        <f aca="false">IF($A124="","",30000)</f>
        <v/>
      </c>
      <c r="AS120" s="1" t="str">
        <f aca="false">IF($A124="","",AR124-B124)</f>
        <v/>
      </c>
      <c r="AT120" s="1" t="str">
        <f aca="false">IF($A124="","",IFERROR(B124/AR124,0))</f>
        <v/>
      </c>
      <c r="AU120" s="1" t="str">
        <f aca="false">IF($A124="","",IFERROR(B124*O124,0))</f>
        <v/>
      </c>
      <c r="AV120" s="1" t="str">
        <f aca="false">IF($A124="","",IFERROR(C124/B124,0))</f>
        <v/>
      </c>
      <c r="AW120" s="1" t="str">
        <f aca="false">IF($A124="","",MAX(0,R124-S124))</f>
        <v/>
      </c>
      <c r="AX120" s="1" t="str">
        <f aca="false">IF($A124="","",IF(AW124&gt;0,"优先降持仓数",IF(C124&lt;=0,"现金不足","允许评估")))</f>
        <v/>
      </c>
      <c r="AY120" s="1" t="str">
        <f aca="false">IF($A124="","",IF(B124&lt;30000,"婴儿阶段: 优先活下来,禁止单票失控,限制持仓数,服务3W目标","幼儿阶段达成"))</f>
        <v/>
      </c>
    </row>
    <row r="121" customFormat="false" ht="15" hidden="false" customHeight="true" outlineLevel="0" collapsed="false">
      <c r="A121" s="28"/>
      <c r="B121" s="34"/>
      <c r="C121" s="34"/>
      <c r="D121" s="35" t="str">
        <f aca="false">IF($A126="","",SUMIFS(持仓表!$J:$J,持仓表!$A:$A,$A126))</f>
        <v/>
      </c>
      <c r="E121" s="36" t="n">
        <f aca="false">IFERROR(D126/B126,0)</f>
        <v>0</v>
      </c>
      <c r="F121" s="34"/>
      <c r="G121" s="35" t="str">
        <f aca="false">IF($B126="","",MAX($B$2:B126))</f>
        <v/>
      </c>
      <c r="H121" s="36" t="n">
        <f aca="false">IFERROR((B126-F126)/F126,0)</f>
        <v>0</v>
      </c>
      <c r="I121" s="36" t="n">
        <f aca="false">IFERROR((B126-G126)/G126,0)</f>
        <v>0</v>
      </c>
      <c r="J121" s="28"/>
      <c r="K121" s="29"/>
      <c r="L121" s="37"/>
      <c r="M121" s="37"/>
      <c r="N121" s="36" t="str">
        <f aca="false">IF($B126="","",MIN(70%,IF($I126&lt;=-15%,10%,IF($I126&lt;=-10%,30%,IF($M126&gt;=4,10%,IF($M126&gt;=3,30%,IF($J126="强",IF($K126="A",70%,IF($K126="B",60%,40%)),IF($J126="中性",IF($K126="A",50%,IF($K126="B",40%,25%)),IF($K126="A",30%,IF($K126="B",20%,10%))))))))))</f>
        <v/>
      </c>
      <c r="O121" s="36" t="str">
        <f aca="false">IF($B126="","",IF(B126&lt;30000,35%,IF(B126&lt;50000,30%,IF(B126&lt;100000,25%,20%))))</f>
        <v/>
      </c>
      <c r="P121" s="38" t="str">
        <f aca="false">IF($A126="","",COUNTIFS(持仓表!$A:$A,$A126,持仓表!$G:$G,"&gt;0"))</f>
        <v/>
      </c>
      <c r="Q121" s="38" t="str">
        <f aca="false">IF($A126="","",COUNTIFS(持仓表!$A:$A,$A126,持仓表!$D:$D,"是",持仓表!$G:$G,"&gt;0"))</f>
        <v/>
      </c>
      <c r="R121" s="38" t="str">
        <f aca="false">IF($A126="","",MAX(0,P126-Q126))</f>
        <v/>
      </c>
      <c r="S121" s="38" t="str">
        <f aca="false">IF($B126="","",IF(B126&lt;50000,3,IF(B126&lt;100000,4,5)))</f>
        <v/>
      </c>
      <c r="T121" s="39" t="str">
        <f aca="false">IF($A126="","",IF(OR(M126&gt;=4,I126&lt;=-8%),"防守",IF(OR(M126&gt;=2,I126&lt;=-5%),"警戒","正常")))</f>
        <v/>
      </c>
      <c r="U121" s="39" t="str">
        <f aca="false">IF($A126="","",IF(AND(L126&gt;=3,M126&lt;=2,T126&lt;&gt;"防守"),"是","否"))</f>
        <v/>
      </c>
      <c r="V121" s="39" t="str">
        <f aca="false">IF($A126="","",IF(AND(E126&lt;N126,R126&lt;S126,M126&lt;=2,I126&gt;-15%),"是","否"))</f>
        <v/>
      </c>
      <c r="W121" s="39" t="str">
        <f aca="false">IF($A126="","",IF(OR(M126&gt;=3,I126&lt;=-15%),"是","否"))</f>
        <v/>
      </c>
      <c r="X121" s="35" t="str">
        <f aca="false">IF($A126="","",IFERROR(maxifs(候选池!$AB:$AB,候选池!$A:$A,$A126),0))</f>
        <v/>
      </c>
      <c r="Y121" s="35" t="str">
        <f aca="false">IF($A126="","",IF(OR(M126&gt;=4,I126&lt;=-8%),MAX(0,B126*60%-C126),IF(AND(ISNUMBER(AD126),B126&gt;AD126),IF(B126&lt;30000,0,IF(B126&lt;100000,MAX(0,(B126-AD126)*0.2),MAX(0,(B126-AD126)*0.3))),0)))</f>
        <v/>
      </c>
      <c r="Z121" s="28"/>
      <c r="AA121" s="39" t="str">
        <f aca="false">IF($A126="","",IF($AA$2&lt;&gt;"",$AA$2,""))</f>
        <v/>
      </c>
      <c r="AB121" s="28" t="str">
        <f aca="false">IF($A126="","",IF(B126&lt;30000,0.03,IF(B126&lt;100000,0.02,0.015)))</f>
        <v/>
      </c>
      <c r="AC121" s="38" t="str">
        <f aca="false">IF($A126="","",IFERROR(DATEDIF($A$2,$A126,"m"),0))</f>
        <v/>
      </c>
      <c r="AD121" s="35" t="str">
        <f aca="false">IF($A126="","",IF(OR(AA126="",AB126="",AC126=""),"",AA126*POWER(1+AB126,AC126)))</f>
        <v/>
      </c>
      <c r="AE121" s="41" t="str">
        <f aca="false">IF($A126="","",IF(OR(AD126="",AD126=0),"",B126/AD126-1))</f>
        <v/>
      </c>
      <c r="AG121" s="1" t="str">
        <f aca="false">IF($A126="","",IF(B126&lt;30000,"婴儿",IF(B126&lt;100000,"成长","成熟")))</f>
        <v/>
      </c>
      <c r="AH121" s="42"/>
      <c r="AJ121" s="42"/>
      <c r="AK121" s="42"/>
      <c r="AM121" s="42"/>
      <c r="AP121" s="32"/>
      <c r="AQ121" s="43" t="str">
        <f aca="false">IF($A126="","",B126-$AA$2-SUM($F$2:F126))</f>
        <v/>
      </c>
      <c r="AR121" s="1" t="str">
        <f aca="false">IF($A125="","",30000)</f>
        <v/>
      </c>
      <c r="AS121" s="1" t="str">
        <f aca="false">IF($A125="","",AR125-B125)</f>
        <v/>
      </c>
      <c r="AT121" s="1" t="str">
        <f aca="false">IF($A125="","",IFERROR(B125/AR125,0))</f>
        <v/>
      </c>
      <c r="AU121" s="1" t="str">
        <f aca="false">IF($A125="","",IFERROR(B125*O125,0))</f>
        <v/>
      </c>
      <c r="AV121" s="1" t="str">
        <f aca="false">IF($A125="","",IFERROR(C125/B125,0))</f>
        <v/>
      </c>
      <c r="AW121" s="1" t="str">
        <f aca="false">IF($A125="","",MAX(0,R125-S125))</f>
        <v/>
      </c>
      <c r="AX121" s="1" t="str">
        <f aca="false">IF($A125="","",IF(AW125&gt;0,"优先降持仓数",IF(C125&lt;=0,"现金不足","允许评估")))</f>
        <v/>
      </c>
      <c r="AY121" s="1" t="str">
        <f aca="false">IF($A125="","",IF(B125&lt;30000,"婴儿阶段: 优先活下来,禁止单票失控,限制持仓数,服务3W目标","幼儿阶段达成"))</f>
        <v/>
      </c>
    </row>
    <row r="122" customFormat="false" ht="15" hidden="false" customHeight="true" outlineLevel="0" collapsed="false">
      <c r="A122" s="30"/>
      <c r="B122" s="44"/>
      <c r="C122" s="44"/>
      <c r="D122" s="35" t="str">
        <f aca="false">IF($A127="","",SUMIFS(持仓表!$J:$J,持仓表!$A:$A,$A127))</f>
        <v/>
      </c>
      <c r="E122" s="36" t="n">
        <f aca="false">IFERROR(D127/B127,0)</f>
        <v>0</v>
      </c>
      <c r="F122" s="44"/>
      <c r="G122" s="35" t="str">
        <f aca="false">IF($B127="","",MAX($B$2:B127))</f>
        <v/>
      </c>
      <c r="H122" s="36" t="n">
        <f aca="false">IFERROR((B127-F127)/F127,0)</f>
        <v>0</v>
      </c>
      <c r="I122" s="36" t="n">
        <f aca="false">IFERROR((B127-G127)/G127,0)</f>
        <v>0</v>
      </c>
      <c r="J122" s="30"/>
      <c r="K122" s="31"/>
      <c r="L122" s="45"/>
      <c r="M122" s="45"/>
      <c r="N122" s="36" t="str">
        <f aca="false">IF($B127="","",MIN(70%,IF($I127&lt;=-15%,10%,IF($I127&lt;=-10%,30%,IF($M127&gt;=4,10%,IF($M127&gt;=3,30%,IF($J127="强",IF($K127="A",70%,IF($K127="B",60%,40%)),IF($J127="中性",IF($K127="A",50%,IF($K127="B",40%,25%)),IF($K127="A",30%,IF($K127="B",20%,10%))))))))))</f>
        <v/>
      </c>
      <c r="O122" s="36" t="str">
        <f aca="false">IF($B127="","",IF(B127&lt;30000,35%,IF(B127&lt;50000,30%,IF(B127&lt;100000,25%,20%))))</f>
        <v/>
      </c>
      <c r="P122" s="38" t="str">
        <f aca="false">IF($A127="","",COUNTIFS(持仓表!$A:$A,$A127,持仓表!$G:$G,"&gt;0"))</f>
        <v/>
      </c>
      <c r="Q122" s="38" t="str">
        <f aca="false">IF($A127="","",COUNTIFS(持仓表!$A:$A,$A127,持仓表!$D:$D,"是",持仓表!$G:$G,"&gt;0"))</f>
        <v/>
      </c>
      <c r="R122" s="38" t="str">
        <f aca="false">IF($A127="","",MAX(0,P127-Q127))</f>
        <v/>
      </c>
      <c r="S122" s="38" t="str">
        <f aca="false">IF($B127="","",IF(B127&lt;50000,3,IF(B127&lt;100000,4,5)))</f>
        <v/>
      </c>
      <c r="T122" s="39" t="str">
        <f aca="false">IF($A127="","",IF(OR(M127&gt;=4,I127&lt;=-8%),"防守",IF(OR(M127&gt;=2,I127&lt;=-5%),"警戒","正常")))</f>
        <v/>
      </c>
      <c r="U122" s="39" t="str">
        <f aca="false">IF($A127="","",IF(AND(L127&gt;=3,M127&lt;=2,T127&lt;&gt;"防守"),"是","否"))</f>
        <v/>
      </c>
      <c r="V122" s="39" t="str">
        <f aca="false">IF($A127="","",IF(AND(E127&lt;N127,R127&lt;S127,M127&lt;=2,I127&gt;-15%),"是","否"))</f>
        <v/>
      </c>
      <c r="W122" s="39" t="str">
        <f aca="false">IF($A127="","",IF(OR(M127&gt;=3,I127&lt;=-15%),"是","否"))</f>
        <v/>
      </c>
      <c r="X122" s="35" t="str">
        <f aca="false">IF($A127="","",IFERROR(maxifs(候选池!$AB:$AB,候选池!$A:$A,$A127),0))</f>
        <v/>
      </c>
      <c r="Y122" s="35" t="str">
        <f aca="false">IF($A127="","",IF(OR(M127&gt;=4,I127&lt;=-8%),MAX(0,B127*60%-C127),IF(AND(ISNUMBER(AD127),B127&gt;AD127),IF(B127&lt;30000,0,IF(B127&lt;100000,MAX(0,(B127-AD127)*0.2),MAX(0,(B127-AD127)*0.3))),0)))</f>
        <v/>
      </c>
      <c r="Z122" s="30"/>
      <c r="AA122" s="39" t="str">
        <f aca="false">IF($A127="","",IF($AA$2&lt;&gt;"",$AA$2,""))</f>
        <v/>
      </c>
      <c r="AB122" s="30" t="str">
        <f aca="false">IF($A127="","",IF(B127&lt;30000,0.03,IF(B127&lt;100000,0.02,0.015)))</f>
        <v/>
      </c>
      <c r="AC122" s="38" t="str">
        <f aca="false">IF($A127="","",IFERROR(DATEDIF($A$2,$A127,"m"),0))</f>
        <v/>
      </c>
      <c r="AD122" s="35" t="str">
        <f aca="false">IF($A127="","",IF(OR(AA127="",AB127="",AC127=""),"",AA127*POWER(1+AB127,AC127)))</f>
        <v/>
      </c>
      <c r="AE122" s="47" t="str">
        <f aca="false">IF($A127="","",IF(OR(AD127="",AD127=0),"",B127/AD127-1))</f>
        <v/>
      </c>
      <c r="AG122" s="1" t="str">
        <f aca="false">IF($A127="","",IF(B127&lt;30000,"婴儿",IF(B127&lt;100000,"成长","成熟")))</f>
        <v/>
      </c>
      <c r="AH122" s="42"/>
      <c r="AJ122" s="42"/>
      <c r="AK122" s="42"/>
      <c r="AM122" s="42"/>
      <c r="AP122" s="32"/>
      <c r="AQ122" s="43" t="str">
        <f aca="false">IF($A127="","",B127-$AA$2-SUM($F$2:F127))</f>
        <v/>
      </c>
      <c r="AR122" s="1" t="str">
        <f aca="false">IF($A126="","",30000)</f>
        <v/>
      </c>
      <c r="AS122" s="1" t="str">
        <f aca="false">IF($A126="","",AR126-B126)</f>
        <v/>
      </c>
      <c r="AT122" s="1" t="str">
        <f aca="false">IF($A126="","",IFERROR(B126/AR126,0))</f>
        <v/>
      </c>
      <c r="AU122" s="1" t="str">
        <f aca="false">IF($A126="","",IFERROR(B126*O126,0))</f>
        <v/>
      </c>
      <c r="AV122" s="1" t="str">
        <f aca="false">IF($A126="","",IFERROR(C126/B126,0))</f>
        <v/>
      </c>
      <c r="AW122" s="1" t="str">
        <f aca="false">IF($A126="","",MAX(0,R126-S126))</f>
        <v/>
      </c>
      <c r="AX122" s="1" t="str">
        <f aca="false">IF($A126="","",IF(AW126&gt;0,"优先降持仓数",IF(C126&lt;=0,"现金不足","允许评估")))</f>
        <v/>
      </c>
      <c r="AY122" s="1" t="str">
        <f aca="false">IF($A126="","",IF(B126&lt;30000,"婴儿阶段: 优先活下来,禁止单票失控,限制持仓数,服务3W目标","幼儿阶段达成"))</f>
        <v/>
      </c>
    </row>
    <row r="123" customFormat="false" ht="15" hidden="false" customHeight="true" outlineLevel="0" collapsed="false">
      <c r="A123" s="28"/>
      <c r="B123" s="34"/>
      <c r="C123" s="34"/>
      <c r="D123" s="35" t="str">
        <f aca="false">IF($A128="","",SUMIFS(持仓表!$J:$J,持仓表!$A:$A,$A128))</f>
        <v/>
      </c>
      <c r="E123" s="36" t="n">
        <f aca="false">IFERROR(D128/B128,0)</f>
        <v>0</v>
      </c>
      <c r="F123" s="34"/>
      <c r="G123" s="35" t="str">
        <f aca="false">IF($B128="","",MAX($B$2:B128))</f>
        <v/>
      </c>
      <c r="H123" s="36" t="n">
        <f aca="false">IFERROR((B128-F128)/F128,0)</f>
        <v>0</v>
      </c>
      <c r="I123" s="36" t="n">
        <f aca="false">IFERROR((B128-G128)/G128,0)</f>
        <v>0</v>
      </c>
      <c r="J123" s="28"/>
      <c r="K123" s="29"/>
      <c r="L123" s="37"/>
      <c r="M123" s="37"/>
      <c r="N123" s="36" t="str">
        <f aca="false">IF($B128="","",MIN(70%,IF($I128&lt;=-15%,10%,IF($I128&lt;=-10%,30%,IF($M128&gt;=4,10%,IF($M128&gt;=3,30%,IF($J128="强",IF($K128="A",70%,IF($K128="B",60%,40%)),IF($J128="中性",IF($K128="A",50%,IF($K128="B",40%,25%)),IF($K128="A",30%,IF($K128="B",20%,10%))))))))))</f>
        <v/>
      </c>
      <c r="O123" s="36" t="str">
        <f aca="false">IF($B128="","",IF(B128&lt;30000,35%,IF(B128&lt;50000,30%,IF(B128&lt;100000,25%,20%))))</f>
        <v/>
      </c>
      <c r="P123" s="38" t="str">
        <f aca="false">IF($A128="","",COUNTIFS(持仓表!$A:$A,$A128,持仓表!$G:$G,"&gt;0"))</f>
        <v/>
      </c>
      <c r="Q123" s="38" t="str">
        <f aca="false">IF($A128="","",COUNTIFS(持仓表!$A:$A,$A128,持仓表!$D:$D,"是",持仓表!$G:$G,"&gt;0"))</f>
        <v/>
      </c>
      <c r="R123" s="38" t="str">
        <f aca="false">IF($A128="","",MAX(0,P128-Q128))</f>
        <v/>
      </c>
      <c r="S123" s="38" t="str">
        <f aca="false">IF($B128="","",IF(B128&lt;50000,3,IF(B128&lt;100000,4,5)))</f>
        <v/>
      </c>
      <c r="T123" s="39" t="str">
        <f aca="false">IF($A128="","",IF(OR(M128&gt;=4,I128&lt;=-8%),"防守",IF(OR(M128&gt;=2,I128&lt;=-5%),"警戒","正常")))</f>
        <v/>
      </c>
      <c r="U123" s="39" t="str">
        <f aca="false">IF($A128="","",IF(AND(L128&gt;=3,M128&lt;=2,T128&lt;&gt;"防守"),"是","否"))</f>
        <v/>
      </c>
      <c r="V123" s="39" t="str">
        <f aca="false">IF($A128="","",IF(AND(E128&lt;N128,R128&lt;S128,M128&lt;=2,I128&gt;-15%),"是","否"))</f>
        <v/>
      </c>
      <c r="W123" s="39" t="str">
        <f aca="false">IF($A128="","",IF(OR(M128&gt;=3,I128&lt;=-15%),"是","否"))</f>
        <v/>
      </c>
      <c r="X123" s="35" t="str">
        <f aca="false">IF($A128="","",IFERROR(maxifs(候选池!$AB:$AB,候选池!$A:$A,$A128),0))</f>
        <v/>
      </c>
      <c r="Y123" s="35" t="str">
        <f aca="false">IF($A128="","",IF(OR(M128&gt;=4,I128&lt;=-8%),MAX(0,B128*60%-C128),IF(AND(ISNUMBER(AD128),B128&gt;AD128),IF(B128&lt;30000,0,IF(B128&lt;100000,MAX(0,(B128-AD128)*0.2),MAX(0,(B128-AD128)*0.3))),0)))</f>
        <v/>
      </c>
      <c r="Z123" s="28"/>
      <c r="AA123" s="39" t="str">
        <f aca="false">IF($A128="","",IF($AA$2&lt;&gt;"",$AA$2,""))</f>
        <v/>
      </c>
      <c r="AB123" s="28" t="str">
        <f aca="false">IF($A128="","",IF(B128&lt;30000,0.03,IF(B128&lt;100000,0.02,0.015)))</f>
        <v/>
      </c>
      <c r="AC123" s="38" t="str">
        <f aca="false">IF($A128="","",IFERROR(DATEDIF($A$2,$A128,"m"),0))</f>
        <v/>
      </c>
      <c r="AD123" s="35" t="str">
        <f aca="false">IF($A128="","",IF(OR(AA128="",AB128="",AC128=""),"",AA128*POWER(1+AB128,AC128)))</f>
        <v/>
      </c>
      <c r="AE123" s="41" t="str">
        <f aca="false">IF($A128="","",IF(OR(AD128="",AD128=0),"",B128/AD128-1))</f>
        <v/>
      </c>
      <c r="AG123" s="1" t="str">
        <f aca="false">IF($A128="","",IF(B128&lt;30000,"婴儿",IF(B128&lt;100000,"成长","成熟")))</f>
        <v/>
      </c>
      <c r="AH123" s="42"/>
      <c r="AJ123" s="42"/>
      <c r="AK123" s="42"/>
      <c r="AM123" s="42"/>
      <c r="AP123" s="32"/>
      <c r="AQ123" s="43" t="str">
        <f aca="false">IF($A128="","",B128-$AA$2-SUM($F$2:F128))</f>
        <v/>
      </c>
      <c r="AR123" s="1" t="str">
        <f aca="false">IF($A127="","",30000)</f>
        <v/>
      </c>
      <c r="AS123" s="1" t="str">
        <f aca="false">IF($A127="","",AR127-B127)</f>
        <v/>
      </c>
      <c r="AT123" s="1" t="str">
        <f aca="false">IF($A127="","",IFERROR(B127/AR127,0))</f>
        <v/>
      </c>
      <c r="AU123" s="1" t="str">
        <f aca="false">IF($A127="","",IFERROR(B127*O127,0))</f>
        <v/>
      </c>
      <c r="AV123" s="1" t="str">
        <f aca="false">IF($A127="","",IFERROR(C127/B127,0))</f>
        <v/>
      </c>
      <c r="AW123" s="1" t="str">
        <f aca="false">IF($A127="","",MAX(0,R127-S127))</f>
        <v/>
      </c>
      <c r="AX123" s="1" t="str">
        <f aca="false">IF($A127="","",IF(AW127&gt;0,"优先降持仓数",IF(C127&lt;=0,"现金不足","允许评估")))</f>
        <v/>
      </c>
      <c r="AY123" s="1" t="str">
        <f aca="false">IF($A127="","",IF(B127&lt;30000,"婴儿阶段: 优先活下来,禁止单票失控,限制持仓数,服务3W目标","幼儿阶段达成"))</f>
        <v/>
      </c>
    </row>
    <row r="124" customFormat="false" ht="15" hidden="false" customHeight="true" outlineLevel="0" collapsed="false">
      <c r="A124" s="30"/>
      <c r="B124" s="44"/>
      <c r="C124" s="44"/>
      <c r="D124" s="35" t="str">
        <f aca="false">IF($A129="","",SUMIFS(持仓表!$J:$J,持仓表!$A:$A,$A129))</f>
        <v/>
      </c>
      <c r="E124" s="36" t="n">
        <f aca="false">IFERROR(D129/B129,0)</f>
        <v>0</v>
      </c>
      <c r="F124" s="44"/>
      <c r="G124" s="35" t="str">
        <f aca="false">IF($B129="","",MAX($B$2:B129))</f>
        <v/>
      </c>
      <c r="H124" s="36" t="n">
        <f aca="false">IFERROR((B129-F129)/F129,0)</f>
        <v>0</v>
      </c>
      <c r="I124" s="36" t="n">
        <f aca="false">IFERROR((B129-G129)/G129,0)</f>
        <v>0</v>
      </c>
      <c r="J124" s="30"/>
      <c r="K124" s="31"/>
      <c r="L124" s="45"/>
      <c r="M124" s="45"/>
      <c r="N124" s="36" t="str">
        <f aca="false">IF($B129="","",MIN(70%,IF($I129&lt;=-15%,10%,IF($I129&lt;=-10%,30%,IF($M129&gt;=4,10%,IF($M129&gt;=3,30%,IF($J129="强",IF($K129="A",70%,IF($K129="B",60%,40%)),IF($J129="中性",IF($K129="A",50%,IF($K129="B",40%,25%)),IF($K129="A",30%,IF($K129="B",20%,10%))))))))))</f>
        <v/>
      </c>
      <c r="O124" s="36" t="str">
        <f aca="false">IF($B129="","",IF(B129&lt;30000,35%,IF(B129&lt;50000,30%,IF(B129&lt;100000,25%,20%))))</f>
        <v/>
      </c>
      <c r="P124" s="38" t="str">
        <f aca="false">IF($A129="","",COUNTIFS(持仓表!$A:$A,$A129,持仓表!$G:$G,"&gt;0"))</f>
        <v/>
      </c>
      <c r="Q124" s="38" t="str">
        <f aca="false">IF($A129="","",COUNTIFS(持仓表!$A:$A,$A129,持仓表!$D:$D,"是",持仓表!$G:$G,"&gt;0"))</f>
        <v/>
      </c>
      <c r="R124" s="38" t="str">
        <f aca="false">IF($A129="","",MAX(0,P129-Q129))</f>
        <v/>
      </c>
      <c r="S124" s="38" t="str">
        <f aca="false">IF($B129="","",IF(B129&lt;50000,3,IF(B129&lt;100000,4,5)))</f>
        <v/>
      </c>
      <c r="T124" s="39" t="str">
        <f aca="false">IF($A129="","",IF(OR(M129&gt;=4,I129&lt;=-8%),"防守",IF(OR(M129&gt;=2,I129&lt;=-5%),"警戒","正常")))</f>
        <v/>
      </c>
      <c r="U124" s="39" t="str">
        <f aca="false">IF($A129="","",IF(AND(L129&gt;=3,M129&lt;=2,T129&lt;&gt;"防守"),"是","否"))</f>
        <v/>
      </c>
      <c r="V124" s="39" t="str">
        <f aca="false">IF($A129="","",IF(AND(E129&lt;N129,R129&lt;S129,M129&lt;=2,I129&gt;-15%),"是","否"))</f>
        <v/>
      </c>
      <c r="W124" s="39" t="str">
        <f aca="false">IF($A129="","",IF(OR(M129&gt;=3,I129&lt;=-15%),"是","否"))</f>
        <v/>
      </c>
      <c r="X124" s="35" t="str">
        <f aca="false">IF($A129="","",IFERROR(maxifs(候选池!$AB:$AB,候选池!$A:$A,$A129),0))</f>
        <v/>
      </c>
      <c r="Y124" s="35" t="str">
        <f aca="false">IF($A129="","",IF(OR(M129&gt;=4,I129&lt;=-8%),MAX(0,B129*60%-C129),IF(AND(ISNUMBER(AD129),B129&gt;AD129),IF(B129&lt;30000,0,IF(B129&lt;100000,MAX(0,(B129-AD129)*0.2),MAX(0,(B129-AD129)*0.3))),0)))</f>
        <v/>
      </c>
      <c r="Z124" s="30"/>
      <c r="AA124" s="39" t="str">
        <f aca="false">IF($A129="","",IF($AA$2&lt;&gt;"",$AA$2,""))</f>
        <v/>
      </c>
      <c r="AB124" s="30" t="str">
        <f aca="false">IF($A129="","",IF(B129&lt;30000,0.03,IF(B129&lt;100000,0.02,0.015)))</f>
        <v/>
      </c>
      <c r="AC124" s="38" t="str">
        <f aca="false">IF($A129="","",IFERROR(DATEDIF($A$2,$A129,"m"),0))</f>
        <v/>
      </c>
      <c r="AD124" s="35" t="str">
        <f aca="false">IF($A129="","",IF(OR(AA129="",AB129="",AC129=""),"",AA129*POWER(1+AB129,AC129)))</f>
        <v/>
      </c>
      <c r="AE124" s="47" t="str">
        <f aca="false">IF($A129="","",IF(OR(AD129="",AD129=0),"",B129/AD129-1))</f>
        <v/>
      </c>
      <c r="AG124" s="1" t="str">
        <f aca="false">IF($A129="","",IF(B129&lt;30000,"婴儿",IF(B129&lt;100000,"成长","成熟")))</f>
        <v/>
      </c>
      <c r="AH124" s="42"/>
      <c r="AJ124" s="42"/>
      <c r="AK124" s="42"/>
      <c r="AM124" s="42"/>
      <c r="AP124" s="32"/>
      <c r="AQ124" s="43" t="str">
        <f aca="false">IF($A129="","",B129-$AA$2-SUM($F$2:F129))</f>
        <v/>
      </c>
      <c r="AR124" s="1" t="str">
        <f aca="false">IF($A128="","",30000)</f>
        <v/>
      </c>
      <c r="AS124" s="1" t="str">
        <f aca="false">IF($A128="","",AR128-B128)</f>
        <v/>
      </c>
      <c r="AT124" s="1" t="str">
        <f aca="false">IF($A128="","",IFERROR(B128/AR128,0))</f>
        <v/>
      </c>
      <c r="AU124" s="1" t="str">
        <f aca="false">IF($A128="","",IFERROR(B128*O128,0))</f>
        <v/>
      </c>
      <c r="AV124" s="1" t="str">
        <f aca="false">IF($A128="","",IFERROR(C128/B128,0))</f>
        <v/>
      </c>
      <c r="AW124" s="1" t="str">
        <f aca="false">IF($A128="","",MAX(0,R128-S128))</f>
        <v/>
      </c>
      <c r="AX124" s="1" t="str">
        <f aca="false">IF($A128="","",IF(AW128&gt;0,"优先降持仓数",IF(C128&lt;=0,"现金不足","允许评估")))</f>
        <v/>
      </c>
      <c r="AY124" s="1" t="str">
        <f aca="false">IF($A128="","",IF(B128&lt;30000,"婴儿阶段: 优先活下来,禁止单票失控,限制持仓数,服务3W目标","幼儿阶段达成"))</f>
        <v/>
      </c>
    </row>
    <row r="125" customFormat="false" ht="15" hidden="false" customHeight="true" outlineLevel="0" collapsed="false">
      <c r="A125" s="28"/>
      <c r="B125" s="34"/>
      <c r="C125" s="34"/>
      <c r="D125" s="35" t="str">
        <f aca="false">IF($A130="","",SUMIFS(持仓表!$J:$J,持仓表!$A:$A,$A130))</f>
        <v/>
      </c>
      <c r="E125" s="36" t="n">
        <f aca="false">IFERROR(D130/B130,0)</f>
        <v>0</v>
      </c>
      <c r="F125" s="34"/>
      <c r="G125" s="35" t="str">
        <f aca="false">IF($B130="","",MAX($B$2:B130))</f>
        <v/>
      </c>
      <c r="H125" s="36" t="n">
        <f aca="false">IFERROR((B130-F130)/F130,0)</f>
        <v>0</v>
      </c>
      <c r="I125" s="36" t="n">
        <f aca="false">IFERROR((B130-G130)/G130,0)</f>
        <v>0</v>
      </c>
      <c r="J125" s="28"/>
      <c r="K125" s="29"/>
      <c r="L125" s="37"/>
      <c r="M125" s="37"/>
      <c r="N125" s="36" t="str">
        <f aca="false">IF($B130="","",MIN(70%,IF($I130&lt;=-15%,10%,IF($I130&lt;=-10%,30%,IF($M130&gt;=4,10%,IF($M130&gt;=3,30%,IF($J130="强",IF($K130="A",70%,IF($K130="B",60%,40%)),IF($J130="中性",IF($K130="A",50%,IF($K130="B",40%,25%)),IF($K130="A",30%,IF($K130="B",20%,10%))))))))))</f>
        <v/>
      </c>
      <c r="O125" s="36" t="str">
        <f aca="false">IF($B130="","",IF(B130&lt;30000,35%,IF(B130&lt;50000,30%,IF(B130&lt;100000,25%,20%))))</f>
        <v/>
      </c>
      <c r="P125" s="38" t="str">
        <f aca="false">IF($A130="","",COUNTIFS(持仓表!$A:$A,$A130,持仓表!$G:$G,"&gt;0"))</f>
        <v/>
      </c>
      <c r="Q125" s="38" t="str">
        <f aca="false">IF($A130="","",COUNTIFS(持仓表!$A:$A,$A130,持仓表!$D:$D,"是",持仓表!$G:$G,"&gt;0"))</f>
        <v/>
      </c>
      <c r="R125" s="38" t="str">
        <f aca="false">IF($A130="","",MAX(0,P130-Q130))</f>
        <v/>
      </c>
      <c r="S125" s="38" t="str">
        <f aca="false">IF($B130="","",IF(B130&lt;50000,3,IF(B130&lt;100000,4,5)))</f>
        <v/>
      </c>
      <c r="T125" s="39" t="str">
        <f aca="false">IF($A130="","",IF(OR(M130&gt;=4,I130&lt;=-8%),"防守",IF(OR(M130&gt;=2,I130&lt;=-5%),"警戒","正常")))</f>
        <v/>
      </c>
      <c r="U125" s="39" t="str">
        <f aca="false">IF($A130="","",IF(AND(L130&gt;=3,M130&lt;=2,T130&lt;&gt;"防守"),"是","否"))</f>
        <v/>
      </c>
      <c r="V125" s="39" t="str">
        <f aca="false">IF($A130="","",IF(AND(E130&lt;N130,R130&lt;S130,M130&lt;=2,I130&gt;-15%),"是","否"))</f>
        <v/>
      </c>
      <c r="W125" s="39" t="str">
        <f aca="false">IF($A130="","",IF(OR(M130&gt;=3,I130&lt;=-15%),"是","否"))</f>
        <v/>
      </c>
      <c r="X125" s="35" t="str">
        <f aca="false">IF($A130="","",IFERROR(maxifs(候选池!$AB:$AB,候选池!$A:$A,$A130),0))</f>
        <v/>
      </c>
      <c r="Y125" s="35" t="str">
        <f aca="false">IF($A130="","",IF(OR(M130&gt;=4,I130&lt;=-8%),MAX(0,B130*60%-C130),IF(AND(ISNUMBER(AD130),B130&gt;AD130),IF(B130&lt;30000,0,IF(B130&lt;100000,MAX(0,(B130-AD130)*0.2),MAX(0,(B130-AD130)*0.3))),0)))</f>
        <v/>
      </c>
      <c r="Z125" s="28"/>
      <c r="AA125" s="39" t="str">
        <f aca="false">IF($A130="","",IF($AA$2&lt;&gt;"",$AA$2,""))</f>
        <v/>
      </c>
      <c r="AB125" s="28" t="str">
        <f aca="false">IF($A130="","",IF(B130&lt;30000,0.03,IF(B130&lt;100000,0.02,0.015)))</f>
        <v/>
      </c>
      <c r="AC125" s="38" t="str">
        <f aca="false">IF($A130="","",IFERROR(DATEDIF($A$2,$A130,"m"),0))</f>
        <v/>
      </c>
      <c r="AD125" s="35" t="str">
        <f aca="false">IF($A130="","",IF(OR(AA130="",AB130="",AC130=""),"",AA130*POWER(1+AB130,AC130)))</f>
        <v/>
      </c>
      <c r="AE125" s="41" t="str">
        <f aca="false">IF($A130="","",IF(OR(AD130="",AD130=0),"",B130/AD130-1))</f>
        <v/>
      </c>
      <c r="AG125" s="1" t="str">
        <f aca="false">IF($A130="","",IF(B130&lt;30000,"婴儿",IF(B130&lt;100000,"成长","成熟")))</f>
        <v/>
      </c>
      <c r="AH125" s="42"/>
      <c r="AJ125" s="42"/>
      <c r="AK125" s="42"/>
      <c r="AM125" s="42"/>
      <c r="AP125" s="32"/>
      <c r="AQ125" s="43" t="str">
        <f aca="false">IF($A130="","",B130-$AA$2-SUM($F$2:F130))</f>
        <v/>
      </c>
      <c r="AR125" s="1" t="str">
        <f aca="false">IF($A129="","",30000)</f>
        <v/>
      </c>
      <c r="AS125" s="1" t="str">
        <f aca="false">IF($A129="","",AR129-B129)</f>
        <v/>
      </c>
      <c r="AT125" s="1" t="str">
        <f aca="false">IF($A129="","",IFERROR(B129/AR129,0))</f>
        <v/>
      </c>
      <c r="AU125" s="1" t="str">
        <f aca="false">IF($A129="","",IFERROR(B129*O129,0))</f>
        <v/>
      </c>
      <c r="AV125" s="1" t="str">
        <f aca="false">IF($A129="","",IFERROR(C129/B129,0))</f>
        <v/>
      </c>
      <c r="AW125" s="1" t="str">
        <f aca="false">IF($A129="","",MAX(0,R129-S129))</f>
        <v/>
      </c>
      <c r="AX125" s="1" t="str">
        <f aca="false">IF($A129="","",IF(AW129&gt;0,"优先降持仓数",IF(C129&lt;=0,"现金不足","允许评估")))</f>
        <v/>
      </c>
      <c r="AY125" s="1" t="str">
        <f aca="false">IF($A129="","",IF(B129&lt;30000,"婴儿阶段: 优先活下来,禁止单票失控,限制持仓数,服务3W目标","幼儿阶段达成"))</f>
        <v/>
      </c>
    </row>
    <row r="126" customFormat="false" ht="15" hidden="false" customHeight="true" outlineLevel="0" collapsed="false">
      <c r="A126" s="30"/>
      <c r="B126" s="44"/>
      <c r="C126" s="44"/>
      <c r="D126" s="35" t="str">
        <f aca="false">IF($A131="","",SUMIFS(持仓表!$J:$J,持仓表!$A:$A,$A131))</f>
        <v/>
      </c>
      <c r="E126" s="36" t="n">
        <f aca="false">IFERROR(D131/B131,0)</f>
        <v>0</v>
      </c>
      <c r="F126" s="44"/>
      <c r="G126" s="35" t="str">
        <f aca="false">IF($B131="","",MAX($B$2:B131))</f>
        <v/>
      </c>
      <c r="H126" s="36" t="n">
        <f aca="false">IFERROR((B131-F131)/F131,0)</f>
        <v>0</v>
      </c>
      <c r="I126" s="36" t="n">
        <f aca="false">IFERROR((B131-G131)/G131,0)</f>
        <v>0</v>
      </c>
      <c r="J126" s="30"/>
      <c r="K126" s="31"/>
      <c r="L126" s="45"/>
      <c r="M126" s="45"/>
      <c r="N126" s="36" t="str">
        <f aca="false">IF($B131="","",MIN(70%,IF($I131&lt;=-15%,10%,IF($I131&lt;=-10%,30%,IF($M131&gt;=4,10%,IF($M131&gt;=3,30%,IF($J131="强",IF($K131="A",70%,IF($K131="B",60%,40%)),IF($J131="中性",IF($K131="A",50%,IF($K131="B",40%,25%)),IF($K131="A",30%,IF($K131="B",20%,10%))))))))))</f>
        <v/>
      </c>
      <c r="O126" s="36" t="str">
        <f aca="false">IF($B131="","",IF(B131&lt;30000,35%,IF(B131&lt;50000,30%,IF(B131&lt;100000,25%,20%))))</f>
        <v/>
      </c>
      <c r="P126" s="38" t="str">
        <f aca="false">IF($A131="","",COUNTIFS(持仓表!$A:$A,$A131,持仓表!$G:$G,"&gt;0"))</f>
        <v/>
      </c>
      <c r="Q126" s="38" t="str">
        <f aca="false">IF($A131="","",COUNTIFS(持仓表!$A:$A,$A131,持仓表!$D:$D,"是",持仓表!$G:$G,"&gt;0"))</f>
        <v/>
      </c>
      <c r="R126" s="38" t="str">
        <f aca="false">IF($A131="","",MAX(0,P131-Q131))</f>
        <v/>
      </c>
      <c r="S126" s="38" t="str">
        <f aca="false">IF($B131="","",IF(B131&lt;50000,3,IF(B131&lt;100000,4,5)))</f>
        <v/>
      </c>
      <c r="T126" s="39" t="str">
        <f aca="false">IF($A131="","",IF(OR(M131&gt;=4,I131&lt;=-8%),"防守",IF(OR(M131&gt;=2,I131&lt;=-5%),"警戒","正常")))</f>
        <v/>
      </c>
      <c r="U126" s="39" t="str">
        <f aca="false">IF($A131="","",IF(AND(L131&gt;=3,M131&lt;=2,T131&lt;&gt;"防守"),"是","否"))</f>
        <v/>
      </c>
      <c r="V126" s="39" t="str">
        <f aca="false">IF($A131="","",IF(AND(E131&lt;N131,R131&lt;S131,M131&lt;=2,I131&gt;-15%),"是","否"))</f>
        <v/>
      </c>
      <c r="W126" s="39" t="str">
        <f aca="false">IF($A131="","",IF(OR(M131&gt;=3,I131&lt;=-15%),"是","否"))</f>
        <v/>
      </c>
      <c r="X126" s="35" t="str">
        <f aca="false">IF($A131="","",IFERROR(maxifs(候选池!$AB:$AB,候选池!$A:$A,$A131),0))</f>
        <v/>
      </c>
      <c r="Y126" s="35" t="str">
        <f aca="false">IF($A131="","",IF(OR(M131&gt;=4,I131&lt;=-8%),MAX(0,B131*60%-C131),IF(AND(ISNUMBER(AD131),B131&gt;AD131),IF(B131&lt;30000,0,IF(B131&lt;100000,MAX(0,(B131-AD131)*0.2),MAX(0,(B131-AD131)*0.3))),0)))</f>
        <v/>
      </c>
      <c r="Z126" s="30"/>
      <c r="AA126" s="39" t="str">
        <f aca="false">IF($A131="","",IF($AA$2&lt;&gt;"",$AA$2,""))</f>
        <v/>
      </c>
      <c r="AB126" s="30" t="str">
        <f aca="false">IF($A131="","",IF(B131&lt;30000,0.03,IF(B131&lt;100000,0.02,0.015)))</f>
        <v/>
      </c>
      <c r="AC126" s="38" t="str">
        <f aca="false">IF($A131="","",IFERROR(DATEDIF($A$2,$A131,"m"),0))</f>
        <v/>
      </c>
      <c r="AD126" s="35" t="str">
        <f aca="false">IF($A131="","",IF(OR(AA131="",AB131="",AC131=""),"",AA131*POWER(1+AB131,AC131)))</f>
        <v/>
      </c>
      <c r="AE126" s="47" t="str">
        <f aca="false">IF($A131="","",IF(OR(AD131="",AD131=0),"",B131/AD131-1))</f>
        <v/>
      </c>
      <c r="AG126" s="1" t="str">
        <f aca="false">IF($A131="","",IF(B131&lt;30000,"婴儿",IF(B131&lt;100000,"成长","成熟")))</f>
        <v/>
      </c>
      <c r="AH126" s="42"/>
      <c r="AJ126" s="42"/>
      <c r="AK126" s="42"/>
      <c r="AM126" s="42"/>
      <c r="AP126" s="32"/>
      <c r="AQ126" s="43" t="str">
        <f aca="false">IF($A131="","",B131-$AA$2-SUM($F$2:F131))</f>
        <v/>
      </c>
      <c r="AR126" s="1" t="str">
        <f aca="false">IF($A130="","",30000)</f>
        <v/>
      </c>
      <c r="AS126" s="1" t="str">
        <f aca="false">IF($A130="","",AR130-B130)</f>
        <v/>
      </c>
      <c r="AT126" s="1" t="str">
        <f aca="false">IF($A130="","",IFERROR(B130/AR130,0))</f>
        <v/>
      </c>
      <c r="AU126" s="1" t="str">
        <f aca="false">IF($A130="","",IFERROR(B130*O130,0))</f>
        <v/>
      </c>
      <c r="AV126" s="1" t="str">
        <f aca="false">IF($A130="","",IFERROR(C130/B130,0))</f>
        <v/>
      </c>
      <c r="AW126" s="1" t="str">
        <f aca="false">IF($A130="","",MAX(0,R130-S130))</f>
        <v/>
      </c>
      <c r="AX126" s="1" t="str">
        <f aca="false">IF($A130="","",IF(AW130&gt;0,"优先降持仓数",IF(C130&lt;=0,"现金不足","允许评估")))</f>
        <v/>
      </c>
      <c r="AY126" s="1" t="str">
        <f aca="false">IF($A130="","",IF(B130&lt;30000,"婴儿阶段: 优先活下来,禁止单票失控,限制持仓数,服务3W目标","幼儿阶段达成"))</f>
        <v/>
      </c>
    </row>
    <row r="127" customFormat="false" ht="15" hidden="false" customHeight="true" outlineLevel="0" collapsed="false">
      <c r="A127" s="28"/>
      <c r="B127" s="34"/>
      <c r="C127" s="34"/>
      <c r="D127" s="35" t="str">
        <f aca="false">IF($A132="","",SUMIFS(持仓表!$J:$J,持仓表!$A:$A,$A132))</f>
        <v/>
      </c>
      <c r="E127" s="36" t="n">
        <f aca="false">IFERROR(D132/B132,0)</f>
        <v>0</v>
      </c>
      <c r="F127" s="34"/>
      <c r="G127" s="35" t="str">
        <f aca="false">IF($B132="","",MAX($B$2:B132))</f>
        <v/>
      </c>
      <c r="H127" s="36" t="n">
        <f aca="false">IFERROR((B132-F132)/F132,0)</f>
        <v>0</v>
      </c>
      <c r="I127" s="36" t="n">
        <f aca="false">IFERROR((B132-G132)/G132,0)</f>
        <v>0</v>
      </c>
      <c r="J127" s="28"/>
      <c r="K127" s="29"/>
      <c r="L127" s="37"/>
      <c r="M127" s="37"/>
      <c r="N127" s="36" t="str">
        <f aca="false">IF($B132="","",MIN(70%,IF($I132&lt;=-15%,10%,IF($I132&lt;=-10%,30%,IF($M132&gt;=4,10%,IF($M132&gt;=3,30%,IF($J132="强",IF($K132="A",70%,IF($K132="B",60%,40%)),IF($J132="中性",IF($K132="A",50%,IF($K132="B",40%,25%)),IF($K132="A",30%,IF($K132="B",20%,10%))))))))))</f>
        <v/>
      </c>
      <c r="O127" s="36" t="str">
        <f aca="false">IF($B132="","",IF(B132&lt;30000,35%,IF(B132&lt;50000,30%,IF(B132&lt;100000,25%,20%))))</f>
        <v/>
      </c>
      <c r="P127" s="38" t="str">
        <f aca="false">IF($A132="","",COUNTIFS(持仓表!$A:$A,$A132,持仓表!$G:$G,"&gt;0"))</f>
        <v/>
      </c>
      <c r="Q127" s="38" t="str">
        <f aca="false">IF($A132="","",COUNTIFS(持仓表!$A:$A,$A132,持仓表!$D:$D,"是",持仓表!$G:$G,"&gt;0"))</f>
        <v/>
      </c>
      <c r="R127" s="38" t="str">
        <f aca="false">IF($A132="","",MAX(0,P132-Q132))</f>
        <v/>
      </c>
      <c r="S127" s="38" t="str">
        <f aca="false">IF($B132="","",IF(B132&lt;50000,3,IF(B132&lt;100000,4,5)))</f>
        <v/>
      </c>
      <c r="T127" s="39" t="str">
        <f aca="false">IF($A132="","",IF(OR(M132&gt;=4,I132&lt;=-8%),"防守",IF(OR(M132&gt;=2,I132&lt;=-5%),"警戒","正常")))</f>
        <v/>
      </c>
      <c r="U127" s="39" t="str">
        <f aca="false">IF($A132="","",IF(AND(L132&gt;=3,M132&lt;=2,T132&lt;&gt;"防守"),"是","否"))</f>
        <v/>
      </c>
      <c r="V127" s="39" t="str">
        <f aca="false">IF($A132="","",IF(AND(E132&lt;N132,R132&lt;S132,M132&lt;=2,I132&gt;-15%),"是","否"))</f>
        <v/>
      </c>
      <c r="W127" s="39" t="str">
        <f aca="false">IF($A132="","",IF(OR(M132&gt;=3,I132&lt;=-15%),"是","否"))</f>
        <v/>
      </c>
      <c r="X127" s="35" t="str">
        <f aca="false">IF($A132="","",IFERROR(maxifs(候选池!$AB:$AB,候选池!$A:$A,$A132),0))</f>
        <v/>
      </c>
      <c r="Y127" s="35" t="str">
        <f aca="false">IF($A132="","",IF(OR(M132&gt;=4,I132&lt;=-8%),MAX(0,B132*60%-C132),IF(AND(ISNUMBER(AD132),B132&gt;AD132),IF(B132&lt;30000,0,IF(B132&lt;100000,MAX(0,(B132-AD132)*0.2),MAX(0,(B132-AD132)*0.3))),0)))</f>
        <v/>
      </c>
      <c r="Z127" s="28"/>
      <c r="AA127" s="39" t="str">
        <f aca="false">IF($A132="","",IF($AA$2&lt;&gt;"",$AA$2,""))</f>
        <v/>
      </c>
      <c r="AB127" s="28" t="str">
        <f aca="false">IF($A132="","",IF(B132&lt;30000,0.03,IF(B132&lt;100000,0.02,0.015)))</f>
        <v/>
      </c>
      <c r="AC127" s="38" t="str">
        <f aca="false">IF($A132="","",IFERROR(DATEDIF($A$2,$A132,"m"),0))</f>
        <v/>
      </c>
      <c r="AD127" s="35" t="str">
        <f aca="false">IF($A132="","",IF(OR(AA132="",AB132="",AC132=""),"",AA132*POWER(1+AB132,AC132)))</f>
        <v/>
      </c>
      <c r="AE127" s="41" t="str">
        <f aca="false">IF($A132="","",IF(OR(AD132="",AD132=0),"",B132/AD132-1))</f>
        <v/>
      </c>
      <c r="AG127" s="1" t="str">
        <f aca="false">IF($A132="","",IF(B132&lt;30000,"婴儿",IF(B132&lt;100000,"成长","成熟")))</f>
        <v/>
      </c>
      <c r="AH127" s="42"/>
      <c r="AJ127" s="42"/>
      <c r="AK127" s="42"/>
      <c r="AM127" s="42"/>
      <c r="AP127" s="32"/>
      <c r="AQ127" s="43" t="str">
        <f aca="false">IF($A132="","",B132-$AA$2-SUM($F$2:F132))</f>
        <v/>
      </c>
      <c r="AR127" s="1" t="str">
        <f aca="false">IF($A131="","",30000)</f>
        <v/>
      </c>
      <c r="AS127" s="1" t="str">
        <f aca="false">IF($A131="","",AR131-B131)</f>
        <v/>
      </c>
      <c r="AT127" s="1" t="str">
        <f aca="false">IF($A131="","",IFERROR(B131/AR131,0))</f>
        <v/>
      </c>
      <c r="AU127" s="1" t="str">
        <f aca="false">IF($A131="","",IFERROR(B131*O131,0))</f>
        <v/>
      </c>
      <c r="AV127" s="1" t="str">
        <f aca="false">IF($A131="","",IFERROR(C131/B131,0))</f>
        <v/>
      </c>
      <c r="AW127" s="1" t="str">
        <f aca="false">IF($A131="","",MAX(0,R131-S131))</f>
        <v/>
      </c>
      <c r="AX127" s="1" t="str">
        <f aca="false">IF($A131="","",IF(AW131&gt;0,"优先降持仓数",IF(C131&lt;=0,"现金不足","允许评估")))</f>
        <v/>
      </c>
      <c r="AY127" s="1" t="str">
        <f aca="false">IF($A131="","",IF(B131&lt;30000,"婴儿阶段: 优先活下来,禁止单票失控,限制持仓数,服务3W目标","幼儿阶段达成"))</f>
        <v/>
      </c>
    </row>
    <row r="128" customFormat="false" ht="15" hidden="false" customHeight="true" outlineLevel="0" collapsed="false">
      <c r="A128" s="30"/>
      <c r="B128" s="44"/>
      <c r="C128" s="44"/>
      <c r="D128" s="35" t="str">
        <f aca="false">IF($A133="","",SUMIFS(持仓表!$J:$J,持仓表!$A:$A,$A133))</f>
        <v/>
      </c>
      <c r="E128" s="36" t="n">
        <f aca="false">IFERROR(D133/B133,0)</f>
        <v>0</v>
      </c>
      <c r="F128" s="44"/>
      <c r="G128" s="35" t="str">
        <f aca="false">IF($B133="","",MAX($B$2:B133))</f>
        <v/>
      </c>
      <c r="H128" s="36" t="n">
        <f aca="false">IFERROR((B133-F133)/F133,0)</f>
        <v>0</v>
      </c>
      <c r="I128" s="36" t="n">
        <f aca="false">IFERROR((B133-G133)/G133,0)</f>
        <v>0</v>
      </c>
      <c r="J128" s="30"/>
      <c r="K128" s="31"/>
      <c r="L128" s="45"/>
      <c r="M128" s="45"/>
      <c r="N128" s="36" t="str">
        <f aca="false">IF($B133="","",MIN(70%,IF($I133&lt;=-15%,10%,IF($I133&lt;=-10%,30%,IF($M133&gt;=4,10%,IF($M133&gt;=3,30%,IF($J133="强",IF($K133="A",70%,IF($K133="B",60%,40%)),IF($J133="中性",IF($K133="A",50%,IF($K133="B",40%,25%)),IF($K133="A",30%,IF($K133="B",20%,10%))))))))))</f>
        <v/>
      </c>
      <c r="O128" s="36" t="str">
        <f aca="false">IF($B133="","",IF(B133&lt;30000,35%,IF(B133&lt;50000,30%,IF(B133&lt;100000,25%,20%))))</f>
        <v/>
      </c>
      <c r="P128" s="38" t="str">
        <f aca="false">IF($A133="","",COUNTIFS(持仓表!$A:$A,$A133,持仓表!$G:$G,"&gt;0"))</f>
        <v/>
      </c>
      <c r="Q128" s="38" t="str">
        <f aca="false">IF($A133="","",COUNTIFS(持仓表!$A:$A,$A133,持仓表!$D:$D,"是",持仓表!$G:$G,"&gt;0"))</f>
        <v/>
      </c>
      <c r="R128" s="38" t="str">
        <f aca="false">IF($A133="","",MAX(0,P133-Q133))</f>
        <v/>
      </c>
      <c r="S128" s="38" t="str">
        <f aca="false">IF($B133="","",IF(B133&lt;50000,3,IF(B133&lt;100000,4,5)))</f>
        <v/>
      </c>
      <c r="T128" s="39" t="str">
        <f aca="false">IF($A133="","",IF(OR(M133&gt;=4,I133&lt;=-8%),"防守",IF(OR(M133&gt;=2,I133&lt;=-5%),"警戒","正常")))</f>
        <v/>
      </c>
      <c r="U128" s="39" t="str">
        <f aca="false">IF($A133="","",IF(AND(L133&gt;=3,M133&lt;=2,T133&lt;&gt;"防守"),"是","否"))</f>
        <v/>
      </c>
      <c r="V128" s="39" t="str">
        <f aca="false">IF($A133="","",IF(AND(E133&lt;N133,R133&lt;S133,M133&lt;=2,I133&gt;-15%),"是","否"))</f>
        <v/>
      </c>
      <c r="W128" s="39" t="str">
        <f aca="false">IF($A133="","",IF(OR(M133&gt;=3,I133&lt;=-15%),"是","否"))</f>
        <v/>
      </c>
      <c r="X128" s="35" t="str">
        <f aca="false">IF($A133="","",IFERROR(maxifs(候选池!$AB:$AB,候选池!$A:$A,$A133),0))</f>
        <v/>
      </c>
      <c r="Y128" s="35" t="str">
        <f aca="false">IF($A133="","",IF(OR(M133&gt;=4,I133&lt;=-8%),MAX(0,B133*60%-C133),IF(AND(ISNUMBER(AD133),B133&gt;AD133),IF(B133&lt;30000,0,IF(B133&lt;100000,MAX(0,(B133-AD133)*0.2),MAX(0,(B133-AD133)*0.3))),0)))</f>
        <v/>
      </c>
      <c r="Z128" s="30"/>
      <c r="AA128" s="39" t="str">
        <f aca="false">IF($A133="","",IF($AA$2&lt;&gt;"",$AA$2,""))</f>
        <v/>
      </c>
      <c r="AB128" s="30" t="str">
        <f aca="false">IF($A133="","",IF(B133&lt;30000,0.03,IF(B133&lt;100000,0.02,0.015)))</f>
        <v/>
      </c>
      <c r="AC128" s="38" t="str">
        <f aca="false">IF($A133="","",IFERROR(DATEDIF($A$2,$A133,"m"),0))</f>
        <v/>
      </c>
      <c r="AD128" s="35" t="str">
        <f aca="false">IF($A133="","",IF(OR(AA133="",AB133="",AC133=""),"",AA133*POWER(1+AB133,AC133)))</f>
        <v/>
      </c>
      <c r="AE128" s="47" t="str">
        <f aca="false">IF($A133="","",IF(OR(AD133="",AD133=0),"",B133/AD133-1))</f>
        <v/>
      </c>
      <c r="AG128" s="1" t="str">
        <f aca="false">IF($A133="","",IF(B133&lt;30000,"婴儿",IF(B133&lt;100000,"成长","成熟")))</f>
        <v/>
      </c>
      <c r="AH128" s="42"/>
      <c r="AJ128" s="42"/>
      <c r="AK128" s="42"/>
      <c r="AM128" s="42"/>
      <c r="AP128" s="32"/>
      <c r="AQ128" s="43" t="str">
        <f aca="false">IF($A133="","",B133-$AA$2-SUM($F$2:F133))</f>
        <v/>
      </c>
      <c r="AR128" s="1" t="str">
        <f aca="false">IF($A132="","",30000)</f>
        <v/>
      </c>
      <c r="AS128" s="1" t="str">
        <f aca="false">IF($A132="","",AR132-B132)</f>
        <v/>
      </c>
      <c r="AT128" s="1" t="str">
        <f aca="false">IF($A132="","",IFERROR(B132/AR132,0))</f>
        <v/>
      </c>
      <c r="AU128" s="1" t="str">
        <f aca="false">IF($A132="","",IFERROR(B132*O132,0))</f>
        <v/>
      </c>
      <c r="AV128" s="1" t="str">
        <f aca="false">IF($A132="","",IFERROR(C132/B132,0))</f>
        <v/>
      </c>
      <c r="AW128" s="1" t="str">
        <f aca="false">IF($A132="","",MAX(0,R132-S132))</f>
        <v/>
      </c>
      <c r="AX128" s="1" t="str">
        <f aca="false">IF($A132="","",IF(AW132&gt;0,"优先降持仓数",IF(C132&lt;=0,"现金不足","允许评估")))</f>
        <v/>
      </c>
      <c r="AY128" s="1" t="str">
        <f aca="false">IF($A132="","",IF(B132&lt;30000,"婴儿阶段: 优先活下来,禁止单票失控,限制持仓数,服务3W目标","幼儿阶段达成"))</f>
        <v/>
      </c>
    </row>
    <row r="129" customFormat="false" ht="15" hidden="false" customHeight="true" outlineLevel="0" collapsed="false">
      <c r="A129" s="28"/>
      <c r="B129" s="34"/>
      <c r="C129" s="34"/>
      <c r="D129" s="35" t="str">
        <f aca="false">IF($A134="","",SUMIFS(持仓表!$J:$J,持仓表!$A:$A,$A134))</f>
        <v/>
      </c>
      <c r="E129" s="36" t="n">
        <f aca="false">IFERROR(D134/B134,0)</f>
        <v>0</v>
      </c>
      <c r="F129" s="34"/>
      <c r="G129" s="35" t="str">
        <f aca="false">IF($B134="","",MAX($B$2:B134))</f>
        <v/>
      </c>
      <c r="H129" s="36" t="n">
        <f aca="false">IFERROR((B134-F134)/F134,0)</f>
        <v>0</v>
      </c>
      <c r="I129" s="36" t="n">
        <f aca="false">IFERROR((B134-G134)/G134,0)</f>
        <v>0</v>
      </c>
      <c r="J129" s="28"/>
      <c r="K129" s="29"/>
      <c r="L129" s="37"/>
      <c r="M129" s="37"/>
      <c r="N129" s="36" t="str">
        <f aca="false">IF($B134="","",MIN(70%,IF($I134&lt;=-15%,10%,IF($I134&lt;=-10%,30%,IF($M134&gt;=4,10%,IF($M134&gt;=3,30%,IF($J134="强",IF($K134="A",70%,IF($K134="B",60%,40%)),IF($J134="中性",IF($K134="A",50%,IF($K134="B",40%,25%)),IF($K134="A",30%,IF($K134="B",20%,10%))))))))))</f>
        <v/>
      </c>
      <c r="O129" s="36" t="str">
        <f aca="false">IF($B134="","",IF(B134&lt;30000,35%,IF(B134&lt;50000,30%,IF(B134&lt;100000,25%,20%))))</f>
        <v/>
      </c>
      <c r="P129" s="38" t="str">
        <f aca="false">IF($A134="","",COUNTIFS(持仓表!$A:$A,$A134,持仓表!$G:$G,"&gt;0"))</f>
        <v/>
      </c>
      <c r="Q129" s="38" t="str">
        <f aca="false">IF($A134="","",COUNTIFS(持仓表!$A:$A,$A134,持仓表!$D:$D,"是",持仓表!$G:$G,"&gt;0"))</f>
        <v/>
      </c>
      <c r="R129" s="38" t="str">
        <f aca="false">IF($A134="","",MAX(0,P134-Q134))</f>
        <v/>
      </c>
      <c r="S129" s="38" t="str">
        <f aca="false">IF($B134="","",IF(B134&lt;50000,3,IF(B134&lt;100000,4,5)))</f>
        <v/>
      </c>
      <c r="T129" s="39" t="str">
        <f aca="false">IF($A134="","",IF(OR(M134&gt;=4,I134&lt;=-8%),"防守",IF(OR(M134&gt;=2,I134&lt;=-5%),"警戒","正常")))</f>
        <v/>
      </c>
      <c r="U129" s="39" t="str">
        <f aca="false">IF($A134="","",IF(AND(L134&gt;=3,M134&lt;=2,T134&lt;&gt;"防守"),"是","否"))</f>
        <v/>
      </c>
      <c r="V129" s="39" t="str">
        <f aca="false">IF($A134="","",IF(AND(E134&lt;N134,R134&lt;S134,M134&lt;=2,I134&gt;-15%),"是","否"))</f>
        <v/>
      </c>
      <c r="W129" s="39" t="str">
        <f aca="false">IF($A134="","",IF(OR(M134&gt;=3,I134&lt;=-15%),"是","否"))</f>
        <v/>
      </c>
      <c r="X129" s="35" t="str">
        <f aca="false">IF($A134="","",IFERROR(maxifs(候选池!$AB:$AB,候选池!$A:$A,$A134),0))</f>
        <v/>
      </c>
      <c r="Y129" s="35" t="str">
        <f aca="false">IF($A134="","",IF(OR(M134&gt;=4,I134&lt;=-8%),MAX(0,B134*60%-C134),IF(AND(ISNUMBER(AD134),B134&gt;AD134),IF(B134&lt;30000,0,IF(B134&lt;100000,MAX(0,(B134-AD134)*0.2),MAX(0,(B134-AD134)*0.3))),0)))</f>
        <v/>
      </c>
      <c r="Z129" s="28"/>
      <c r="AA129" s="39" t="str">
        <f aca="false">IF($A134="","",IF($AA$2&lt;&gt;"",$AA$2,""))</f>
        <v/>
      </c>
      <c r="AB129" s="28" t="str">
        <f aca="false">IF($A134="","",IF(B134&lt;30000,0.03,IF(B134&lt;100000,0.02,0.015)))</f>
        <v/>
      </c>
      <c r="AC129" s="38" t="str">
        <f aca="false">IF($A134="","",IFERROR(DATEDIF($A$2,$A134,"m"),0))</f>
        <v/>
      </c>
      <c r="AD129" s="35" t="str">
        <f aca="false">IF($A134="","",IF(OR(AA134="",AB134="",AC134=""),"",AA134*POWER(1+AB134,AC134)))</f>
        <v/>
      </c>
      <c r="AE129" s="41" t="str">
        <f aca="false">IF($A134="","",IF(OR(AD134="",AD134=0),"",B134/AD134-1))</f>
        <v/>
      </c>
      <c r="AG129" s="1" t="str">
        <f aca="false">IF($A134="","",IF(B134&lt;30000,"婴儿",IF(B134&lt;100000,"成长","成熟")))</f>
        <v/>
      </c>
      <c r="AH129" s="42"/>
      <c r="AJ129" s="42"/>
      <c r="AK129" s="42"/>
      <c r="AM129" s="42"/>
      <c r="AP129" s="32"/>
      <c r="AQ129" s="43" t="str">
        <f aca="false">IF($A134="","",B134-$AA$2-SUM($F$2:F134))</f>
        <v/>
      </c>
      <c r="AR129" s="1" t="str">
        <f aca="false">IF($A133="","",30000)</f>
        <v/>
      </c>
      <c r="AS129" s="1" t="str">
        <f aca="false">IF($A133="","",AR133-B133)</f>
        <v/>
      </c>
      <c r="AT129" s="1" t="str">
        <f aca="false">IF($A133="","",IFERROR(B133/AR133,0))</f>
        <v/>
      </c>
      <c r="AU129" s="1" t="str">
        <f aca="false">IF($A133="","",IFERROR(B133*O133,0))</f>
        <v/>
      </c>
      <c r="AV129" s="1" t="str">
        <f aca="false">IF($A133="","",IFERROR(C133/B133,0))</f>
        <v/>
      </c>
      <c r="AW129" s="1" t="str">
        <f aca="false">IF($A133="","",MAX(0,R133-S133))</f>
        <v/>
      </c>
      <c r="AX129" s="1" t="str">
        <f aca="false">IF($A133="","",IF(AW133&gt;0,"优先降持仓数",IF(C133&lt;=0,"现金不足","允许评估")))</f>
        <v/>
      </c>
      <c r="AY129" s="1" t="str">
        <f aca="false">IF($A133="","",IF(B133&lt;30000,"婴儿阶段: 优先活下来,禁止单票失控,限制持仓数,服务3W目标","幼儿阶段达成"))</f>
        <v/>
      </c>
    </row>
    <row r="130" customFormat="false" ht="15" hidden="false" customHeight="true" outlineLevel="0" collapsed="false">
      <c r="A130" s="30"/>
      <c r="B130" s="44"/>
      <c r="C130" s="44"/>
      <c r="D130" s="35" t="str">
        <f aca="false">IF($A135="","",SUMIFS(持仓表!$J:$J,持仓表!$A:$A,$A135))</f>
        <v/>
      </c>
      <c r="E130" s="36" t="n">
        <f aca="false">IFERROR(D135/B135,0)</f>
        <v>0</v>
      </c>
      <c r="F130" s="44"/>
      <c r="G130" s="35" t="str">
        <f aca="false">IF($B135="","",MAX($B$2:B135))</f>
        <v/>
      </c>
      <c r="H130" s="36" t="n">
        <f aca="false">IFERROR((B135-F135)/F135,0)</f>
        <v>0</v>
      </c>
      <c r="I130" s="36" t="n">
        <f aca="false">IFERROR((B135-G135)/G135,0)</f>
        <v>0</v>
      </c>
      <c r="J130" s="30"/>
      <c r="K130" s="31"/>
      <c r="L130" s="45"/>
      <c r="M130" s="45"/>
      <c r="N130" s="36" t="str">
        <f aca="false">IF($B135="","",MIN(70%,IF($I135&lt;=-15%,10%,IF($I135&lt;=-10%,30%,IF($M135&gt;=4,10%,IF($M135&gt;=3,30%,IF($J135="强",IF($K135="A",70%,IF($K135="B",60%,40%)),IF($J135="中性",IF($K135="A",50%,IF($K135="B",40%,25%)),IF($K135="A",30%,IF($K135="B",20%,10%))))))))))</f>
        <v/>
      </c>
      <c r="O130" s="36" t="str">
        <f aca="false">IF($B135="","",IF(B135&lt;30000,35%,IF(B135&lt;50000,30%,IF(B135&lt;100000,25%,20%))))</f>
        <v/>
      </c>
      <c r="P130" s="38" t="str">
        <f aca="false">IF($A135="","",COUNTIFS(持仓表!$A:$A,$A135,持仓表!$G:$G,"&gt;0"))</f>
        <v/>
      </c>
      <c r="Q130" s="38" t="str">
        <f aca="false">IF($A135="","",COUNTIFS(持仓表!$A:$A,$A135,持仓表!$D:$D,"是",持仓表!$G:$G,"&gt;0"))</f>
        <v/>
      </c>
      <c r="R130" s="38" t="str">
        <f aca="false">IF($A135="","",MAX(0,P135-Q135))</f>
        <v/>
      </c>
      <c r="S130" s="38" t="str">
        <f aca="false">IF($B135="","",IF(B135&lt;50000,3,IF(B135&lt;100000,4,5)))</f>
        <v/>
      </c>
      <c r="T130" s="39" t="str">
        <f aca="false">IF($A135="","",IF(OR(M135&gt;=4,I135&lt;=-8%),"防守",IF(OR(M135&gt;=2,I135&lt;=-5%),"警戒","正常")))</f>
        <v/>
      </c>
      <c r="U130" s="39" t="str">
        <f aca="false">IF($A135="","",IF(AND(L135&gt;=3,M135&lt;=2,T135&lt;&gt;"防守"),"是","否"))</f>
        <v/>
      </c>
      <c r="V130" s="39" t="str">
        <f aca="false">IF($A135="","",IF(AND(E135&lt;N135,R135&lt;S135,M135&lt;=2,I135&gt;-15%),"是","否"))</f>
        <v/>
      </c>
      <c r="W130" s="39" t="str">
        <f aca="false">IF($A135="","",IF(OR(M135&gt;=3,I135&lt;=-15%),"是","否"))</f>
        <v/>
      </c>
      <c r="X130" s="35" t="str">
        <f aca="false">IF($A135="","",IFERROR(maxifs(候选池!$AB:$AB,候选池!$A:$A,$A135),0))</f>
        <v/>
      </c>
      <c r="Y130" s="35" t="str">
        <f aca="false">IF($A135="","",IF(OR(M135&gt;=4,I135&lt;=-8%),MAX(0,B135*60%-C135),IF(AND(ISNUMBER(AD135),B135&gt;AD135),IF(B135&lt;30000,0,IF(B135&lt;100000,MAX(0,(B135-AD135)*0.2),MAX(0,(B135-AD135)*0.3))),0)))</f>
        <v/>
      </c>
      <c r="Z130" s="30"/>
      <c r="AA130" s="39" t="str">
        <f aca="false">IF($A135="","",IF($AA$2&lt;&gt;"",$AA$2,""))</f>
        <v/>
      </c>
      <c r="AB130" s="30" t="str">
        <f aca="false">IF($A135="","",IF(B135&lt;30000,0.03,IF(B135&lt;100000,0.02,0.015)))</f>
        <v/>
      </c>
      <c r="AC130" s="38" t="str">
        <f aca="false">IF($A135="","",IFERROR(DATEDIF($A$2,$A135,"m"),0))</f>
        <v/>
      </c>
      <c r="AD130" s="35" t="str">
        <f aca="false">IF($A135="","",IF(OR(AA135="",AB135="",AC135=""),"",AA135*POWER(1+AB135,AC135)))</f>
        <v/>
      </c>
      <c r="AE130" s="47" t="str">
        <f aca="false">IF($A135="","",IF(OR(AD135="",AD135=0),"",B135/AD135-1))</f>
        <v/>
      </c>
      <c r="AG130" s="1" t="str">
        <f aca="false">IF($A135="","",IF(B135&lt;30000,"婴儿",IF(B135&lt;100000,"成长","成熟")))</f>
        <v/>
      </c>
      <c r="AH130" s="42"/>
      <c r="AJ130" s="42"/>
      <c r="AK130" s="42"/>
      <c r="AM130" s="42"/>
      <c r="AP130" s="32"/>
      <c r="AQ130" s="43" t="str">
        <f aca="false">IF($A135="","",B135-$AA$2-SUM($F$2:F135))</f>
        <v/>
      </c>
      <c r="AR130" s="1" t="str">
        <f aca="false">IF($A134="","",30000)</f>
        <v/>
      </c>
      <c r="AS130" s="1" t="str">
        <f aca="false">IF($A134="","",AR134-B134)</f>
        <v/>
      </c>
      <c r="AT130" s="1" t="str">
        <f aca="false">IF($A134="","",IFERROR(B134/AR134,0))</f>
        <v/>
      </c>
      <c r="AU130" s="1" t="str">
        <f aca="false">IF($A134="","",IFERROR(B134*O134,0))</f>
        <v/>
      </c>
      <c r="AV130" s="1" t="str">
        <f aca="false">IF($A134="","",IFERROR(C134/B134,0))</f>
        <v/>
      </c>
      <c r="AW130" s="1" t="str">
        <f aca="false">IF($A134="","",MAX(0,R134-S134))</f>
        <v/>
      </c>
      <c r="AX130" s="1" t="str">
        <f aca="false">IF($A134="","",IF(AW134&gt;0,"优先降持仓数",IF(C134&lt;=0,"现金不足","允许评估")))</f>
        <v/>
      </c>
      <c r="AY130" s="1" t="str">
        <f aca="false">IF($A134="","",IF(B134&lt;30000,"婴儿阶段: 优先活下来,禁止单票失控,限制持仓数,服务3W目标","幼儿阶段达成"))</f>
        <v/>
      </c>
    </row>
    <row r="131" customFormat="false" ht="15" hidden="false" customHeight="true" outlineLevel="0" collapsed="false">
      <c r="A131" s="28"/>
      <c r="B131" s="34"/>
      <c r="C131" s="34"/>
      <c r="D131" s="35" t="str">
        <f aca="false">IF($A136="","",SUMIFS(持仓表!$J:$J,持仓表!$A:$A,$A136))</f>
        <v/>
      </c>
      <c r="E131" s="36" t="n">
        <f aca="false">IFERROR(D136/B136,0)</f>
        <v>0</v>
      </c>
      <c r="F131" s="34"/>
      <c r="G131" s="35" t="str">
        <f aca="false">IF($B136="","",MAX($B$2:B136))</f>
        <v/>
      </c>
      <c r="H131" s="36" t="n">
        <f aca="false">IFERROR((B136-F136)/F136,0)</f>
        <v>0</v>
      </c>
      <c r="I131" s="36" t="n">
        <f aca="false">IFERROR((B136-G136)/G136,0)</f>
        <v>0</v>
      </c>
      <c r="J131" s="28"/>
      <c r="K131" s="29"/>
      <c r="L131" s="37"/>
      <c r="M131" s="37"/>
      <c r="N131" s="36" t="str">
        <f aca="false">IF($B136="","",MIN(70%,IF($I136&lt;=-15%,10%,IF($I136&lt;=-10%,30%,IF($M136&gt;=4,10%,IF($M136&gt;=3,30%,IF($J136="强",IF($K136="A",70%,IF($K136="B",60%,40%)),IF($J136="中性",IF($K136="A",50%,IF($K136="B",40%,25%)),IF($K136="A",30%,IF($K136="B",20%,10%))))))))))</f>
        <v/>
      </c>
      <c r="O131" s="36" t="str">
        <f aca="false">IF($B136="","",IF(B136&lt;30000,35%,IF(B136&lt;50000,30%,IF(B136&lt;100000,25%,20%))))</f>
        <v/>
      </c>
      <c r="P131" s="38" t="str">
        <f aca="false">IF($A136="","",COUNTIFS(持仓表!$A:$A,$A136,持仓表!$G:$G,"&gt;0"))</f>
        <v/>
      </c>
      <c r="Q131" s="38" t="str">
        <f aca="false">IF($A136="","",COUNTIFS(持仓表!$A:$A,$A136,持仓表!$D:$D,"是",持仓表!$G:$G,"&gt;0"))</f>
        <v/>
      </c>
      <c r="R131" s="38" t="str">
        <f aca="false">IF($A136="","",MAX(0,P136-Q136))</f>
        <v/>
      </c>
      <c r="S131" s="38" t="str">
        <f aca="false">IF($B136="","",IF(B136&lt;50000,3,IF(B136&lt;100000,4,5)))</f>
        <v/>
      </c>
      <c r="T131" s="39" t="str">
        <f aca="false">IF($A136="","",IF(OR(M136&gt;=4,I136&lt;=-8%),"防守",IF(OR(M136&gt;=2,I136&lt;=-5%),"警戒","正常")))</f>
        <v/>
      </c>
      <c r="U131" s="39" t="str">
        <f aca="false">IF($A136="","",IF(AND(L136&gt;=3,M136&lt;=2,T136&lt;&gt;"防守"),"是","否"))</f>
        <v/>
      </c>
      <c r="V131" s="39" t="str">
        <f aca="false">IF($A136="","",IF(AND(E136&lt;N136,R136&lt;S136,M136&lt;=2,I136&gt;-15%),"是","否"))</f>
        <v/>
      </c>
      <c r="W131" s="39" t="str">
        <f aca="false">IF($A136="","",IF(OR(M136&gt;=3,I136&lt;=-15%),"是","否"))</f>
        <v/>
      </c>
      <c r="X131" s="35" t="str">
        <f aca="false">IF($A136="","",IFERROR(maxifs(候选池!$AB:$AB,候选池!$A:$A,$A136),0))</f>
        <v/>
      </c>
      <c r="Y131" s="35" t="str">
        <f aca="false">IF($A136="","",IF(OR(M136&gt;=4,I136&lt;=-8%),MAX(0,B136*60%-C136),IF(AND(ISNUMBER(AD136),B136&gt;AD136),IF(B136&lt;30000,0,IF(B136&lt;100000,MAX(0,(B136-AD136)*0.2),MAX(0,(B136-AD136)*0.3))),0)))</f>
        <v/>
      </c>
      <c r="Z131" s="28"/>
      <c r="AA131" s="39" t="str">
        <f aca="false">IF($A136="","",IF($AA$2&lt;&gt;"",$AA$2,""))</f>
        <v/>
      </c>
      <c r="AB131" s="28" t="str">
        <f aca="false">IF($A136="","",IF(B136&lt;30000,0.03,IF(B136&lt;100000,0.02,0.015)))</f>
        <v/>
      </c>
      <c r="AC131" s="38" t="str">
        <f aca="false">IF($A136="","",IFERROR(DATEDIF($A$2,$A136,"m"),0))</f>
        <v/>
      </c>
      <c r="AD131" s="35" t="str">
        <f aca="false">IF($A136="","",IF(OR(AA136="",AB136="",AC136=""),"",AA136*POWER(1+AB136,AC136)))</f>
        <v/>
      </c>
      <c r="AE131" s="41" t="str">
        <f aca="false">IF($A136="","",IF(OR(AD136="",AD136=0),"",B136/AD136-1))</f>
        <v/>
      </c>
      <c r="AG131" s="1" t="str">
        <f aca="false">IF($A136="","",IF(B136&lt;30000,"婴儿",IF(B136&lt;100000,"成长","成熟")))</f>
        <v/>
      </c>
      <c r="AH131" s="42"/>
      <c r="AJ131" s="42"/>
      <c r="AK131" s="42"/>
      <c r="AM131" s="42"/>
      <c r="AP131" s="32"/>
      <c r="AQ131" s="43" t="str">
        <f aca="false">IF($A136="","",B136-$AA$2-SUM($F$2:F136))</f>
        <v/>
      </c>
      <c r="AR131" s="1" t="str">
        <f aca="false">IF($A135="","",30000)</f>
        <v/>
      </c>
      <c r="AS131" s="1" t="str">
        <f aca="false">IF($A135="","",AR135-B135)</f>
        <v/>
      </c>
      <c r="AT131" s="1" t="str">
        <f aca="false">IF($A135="","",IFERROR(B135/AR135,0))</f>
        <v/>
      </c>
      <c r="AU131" s="1" t="str">
        <f aca="false">IF($A135="","",IFERROR(B135*O135,0))</f>
        <v/>
      </c>
      <c r="AV131" s="1" t="str">
        <f aca="false">IF($A135="","",IFERROR(C135/B135,0))</f>
        <v/>
      </c>
      <c r="AW131" s="1" t="str">
        <f aca="false">IF($A135="","",MAX(0,R135-S135))</f>
        <v/>
      </c>
      <c r="AX131" s="1" t="str">
        <f aca="false">IF($A135="","",IF(AW135&gt;0,"优先降持仓数",IF(C135&lt;=0,"现金不足","允许评估")))</f>
        <v/>
      </c>
      <c r="AY131" s="1" t="str">
        <f aca="false">IF($A135="","",IF(B135&lt;30000,"婴儿阶段: 优先活下来,禁止单票失控,限制持仓数,服务3W目标","幼儿阶段达成"))</f>
        <v/>
      </c>
    </row>
    <row r="132" customFormat="false" ht="15" hidden="false" customHeight="true" outlineLevel="0" collapsed="false">
      <c r="A132" s="30"/>
      <c r="B132" s="44"/>
      <c r="C132" s="44"/>
      <c r="D132" s="35" t="str">
        <f aca="false">IF($A137="","",SUMIFS(持仓表!$J:$J,持仓表!$A:$A,$A137))</f>
        <v/>
      </c>
      <c r="E132" s="36" t="n">
        <f aca="false">IFERROR(D137/B137,0)</f>
        <v>0</v>
      </c>
      <c r="F132" s="44"/>
      <c r="G132" s="35" t="str">
        <f aca="false">IF($B137="","",MAX($B$2:B137))</f>
        <v/>
      </c>
      <c r="H132" s="36" t="n">
        <f aca="false">IFERROR((B137-F137)/F137,0)</f>
        <v>0</v>
      </c>
      <c r="I132" s="36" t="n">
        <f aca="false">IFERROR((B137-G137)/G137,0)</f>
        <v>0</v>
      </c>
      <c r="J132" s="30"/>
      <c r="K132" s="31"/>
      <c r="L132" s="45"/>
      <c r="M132" s="45"/>
      <c r="N132" s="36" t="str">
        <f aca="false">IF($B137="","",MIN(70%,IF($I137&lt;=-15%,10%,IF($I137&lt;=-10%,30%,IF($M137&gt;=4,10%,IF($M137&gt;=3,30%,IF($J137="强",IF($K137="A",70%,IF($K137="B",60%,40%)),IF($J137="中性",IF($K137="A",50%,IF($K137="B",40%,25%)),IF($K137="A",30%,IF($K137="B",20%,10%))))))))))</f>
        <v/>
      </c>
      <c r="O132" s="36" t="str">
        <f aca="false">IF($B137="","",IF(B137&lt;30000,35%,IF(B137&lt;50000,30%,IF(B137&lt;100000,25%,20%))))</f>
        <v/>
      </c>
      <c r="P132" s="38" t="str">
        <f aca="false">IF($A137="","",COUNTIFS(持仓表!$A:$A,$A137,持仓表!$G:$G,"&gt;0"))</f>
        <v/>
      </c>
      <c r="Q132" s="38" t="str">
        <f aca="false">IF($A137="","",COUNTIFS(持仓表!$A:$A,$A137,持仓表!$D:$D,"是",持仓表!$G:$G,"&gt;0"))</f>
        <v/>
      </c>
      <c r="R132" s="38" t="str">
        <f aca="false">IF($A137="","",MAX(0,P137-Q137))</f>
        <v/>
      </c>
      <c r="S132" s="38" t="str">
        <f aca="false">IF($B137="","",IF(B137&lt;50000,3,IF(B137&lt;100000,4,5)))</f>
        <v/>
      </c>
      <c r="T132" s="39" t="str">
        <f aca="false">IF($A137="","",IF(OR(M137&gt;=4,I137&lt;=-8%),"防守",IF(OR(M137&gt;=2,I137&lt;=-5%),"警戒","正常")))</f>
        <v/>
      </c>
      <c r="U132" s="39" t="str">
        <f aca="false">IF($A137="","",IF(AND(L137&gt;=3,M137&lt;=2,T137&lt;&gt;"防守"),"是","否"))</f>
        <v/>
      </c>
      <c r="V132" s="39" t="str">
        <f aca="false">IF($A137="","",IF(AND(E137&lt;N137,R137&lt;S137,M137&lt;=2,I137&gt;-15%),"是","否"))</f>
        <v/>
      </c>
      <c r="W132" s="39" t="str">
        <f aca="false">IF($A137="","",IF(OR(M137&gt;=3,I137&lt;=-15%),"是","否"))</f>
        <v/>
      </c>
      <c r="X132" s="35" t="str">
        <f aca="false">IF($A137="","",IFERROR(maxifs(候选池!$AB:$AB,候选池!$A:$A,$A137),0))</f>
        <v/>
      </c>
      <c r="Y132" s="35" t="str">
        <f aca="false">IF($A137="","",IF(OR(M137&gt;=4,I137&lt;=-8%),MAX(0,B137*60%-C137),IF(AND(ISNUMBER(AD137),B137&gt;AD137),IF(B137&lt;30000,0,IF(B137&lt;100000,MAX(0,(B137-AD137)*0.2),MAX(0,(B137-AD137)*0.3))),0)))</f>
        <v/>
      </c>
      <c r="Z132" s="30"/>
      <c r="AA132" s="39" t="str">
        <f aca="false">IF($A137="","",IF($AA$2&lt;&gt;"",$AA$2,""))</f>
        <v/>
      </c>
      <c r="AB132" s="30" t="str">
        <f aca="false">IF($A137="","",IF(B137&lt;30000,0.03,IF(B137&lt;100000,0.02,0.015)))</f>
        <v/>
      </c>
      <c r="AC132" s="38" t="str">
        <f aca="false">IF($A137="","",IFERROR(DATEDIF($A$2,$A137,"m"),0))</f>
        <v/>
      </c>
      <c r="AD132" s="35" t="str">
        <f aca="false">IF($A137="","",IF(OR(AA137="",AB137="",AC137=""),"",AA137*POWER(1+AB137,AC137)))</f>
        <v/>
      </c>
      <c r="AE132" s="47" t="str">
        <f aca="false">IF($A137="","",IF(OR(AD137="",AD137=0),"",B137/AD137-1))</f>
        <v/>
      </c>
      <c r="AG132" s="1" t="str">
        <f aca="false">IF($A137="","",IF(B137&lt;30000,"婴儿",IF(B137&lt;100000,"成长","成熟")))</f>
        <v/>
      </c>
      <c r="AH132" s="42"/>
      <c r="AJ132" s="42"/>
      <c r="AK132" s="42"/>
      <c r="AM132" s="42"/>
      <c r="AP132" s="32"/>
      <c r="AQ132" s="43" t="str">
        <f aca="false">IF($A137="","",B137-$AA$2-SUM($F$2:F137))</f>
        <v/>
      </c>
      <c r="AR132" s="1" t="str">
        <f aca="false">IF($A136="","",30000)</f>
        <v/>
      </c>
      <c r="AS132" s="1" t="str">
        <f aca="false">IF($A136="","",AR136-B136)</f>
        <v/>
      </c>
      <c r="AT132" s="1" t="str">
        <f aca="false">IF($A136="","",IFERROR(B136/AR136,0))</f>
        <v/>
      </c>
      <c r="AU132" s="1" t="str">
        <f aca="false">IF($A136="","",IFERROR(B136*O136,0))</f>
        <v/>
      </c>
      <c r="AV132" s="1" t="str">
        <f aca="false">IF($A136="","",IFERROR(C136/B136,0))</f>
        <v/>
      </c>
      <c r="AW132" s="1" t="str">
        <f aca="false">IF($A136="","",MAX(0,R136-S136))</f>
        <v/>
      </c>
      <c r="AX132" s="1" t="str">
        <f aca="false">IF($A136="","",IF(AW136&gt;0,"优先降持仓数",IF(C136&lt;=0,"现金不足","允许评估")))</f>
        <v/>
      </c>
      <c r="AY132" s="1" t="str">
        <f aca="false">IF($A136="","",IF(B136&lt;30000,"婴儿阶段: 优先活下来,禁止单票失控,限制持仓数,服务3W目标","幼儿阶段达成"))</f>
        <v/>
      </c>
    </row>
    <row r="133" customFormat="false" ht="15" hidden="false" customHeight="true" outlineLevel="0" collapsed="false">
      <c r="A133" s="28"/>
      <c r="B133" s="34"/>
      <c r="C133" s="34"/>
      <c r="D133" s="35" t="str">
        <f aca="false">IF($A138="","",SUMIFS(持仓表!$J:$J,持仓表!$A:$A,$A138))</f>
        <v/>
      </c>
      <c r="E133" s="36" t="n">
        <f aca="false">IFERROR(D138/B138,0)</f>
        <v>0</v>
      </c>
      <c r="F133" s="34"/>
      <c r="G133" s="35" t="str">
        <f aca="false">IF($B138="","",MAX($B$2:B138))</f>
        <v/>
      </c>
      <c r="H133" s="36" t="n">
        <f aca="false">IFERROR((B138-F138)/F138,0)</f>
        <v>0</v>
      </c>
      <c r="I133" s="36" t="n">
        <f aca="false">IFERROR((B138-G138)/G138,0)</f>
        <v>0</v>
      </c>
      <c r="J133" s="28"/>
      <c r="K133" s="29"/>
      <c r="L133" s="37"/>
      <c r="M133" s="37"/>
      <c r="N133" s="36" t="str">
        <f aca="false">IF($B138="","",MIN(70%,IF($I138&lt;=-15%,10%,IF($I138&lt;=-10%,30%,IF($M138&gt;=4,10%,IF($M138&gt;=3,30%,IF($J138="强",IF($K138="A",70%,IF($K138="B",60%,40%)),IF($J138="中性",IF($K138="A",50%,IF($K138="B",40%,25%)),IF($K138="A",30%,IF($K138="B",20%,10%))))))))))</f>
        <v/>
      </c>
      <c r="O133" s="36" t="str">
        <f aca="false">IF($B138="","",IF(B138&lt;30000,35%,IF(B138&lt;50000,30%,IF(B138&lt;100000,25%,20%))))</f>
        <v/>
      </c>
      <c r="P133" s="38" t="str">
        <f aca="false">IF($A138="","",COUNTIFS(持仓表!$A:$A,$A138,持仓表!$G:$G,"&gt;0"))</f>
        <v/>
      </c>
      <c r="Q133" s="38" t="str">
        <f aca="false">IF($A138="","",COUNTIFS(持仓表!$A:$A,$A138,持仓表!$D:$D,"是",持仓表!$G:$G,"&gt;0"))</f>
        <v/>
      </c>
      <c r="R133" s="38" t="str">
        <f aca="false">IF($A138="","",MAX(0,P138-Q138))</f>
        <v/>
      </c>
      <c r="S133" s="38" t="str">
        <f aca="false">IF($B138="","",IF(B138&lt;50000,3,IF(B138&lt;100000,4,5)))</f>
        <v/>
      </c>
      <c r="T133" s="39" t="str">
        <f aca="false">IF($A138="","",IF(OR(M138&gt;=4,I138&lt;=-8%),"防守",IF(OR(M138&gt;=2,I138&lt;=-5%),"警戒","正常")))</f>
        <v/>
      </c>
      <c r="U133" s="39" t="str">
        <f aca="false">IF($A138="","",IF(AND(L138&gt;=3,M138&lt;=2,T138&lt;&gt;"防守"),"是","否"))</f>
        <v/>
      </c>
      <c r="V133" s="39" t="str">
        <f aca="false">IF($A138="","",IF(AND(E138&lt;N138,R138&lt;S138,M138&lt;=2,I138&gt;-15%),"是","否"))</f>
        <v/>
      </c>
      <c r="W133" s="39" t="str">
        <f aca="false">IF($A138="","",IF(OR(M138&gt;=3,I138&lt;=-15%),"是","否"))</f>
        <v/>
      </c>
      <c r="X133" s="35" t="str">
        <f aca="false">IF($A138="","",IFERROR(maxifs(候选池!$AB:$AB,候选池!$A:$A,$A138),0))</f>
        <v/>
      </c>
      <c r="Y133" s="35" t="str">
        <f aca="false">IF($A138="","",IF(OR(M138&gt;=4,I138&lt;=-8%),MAX(0,B138*60%-C138),IF(AND(ISNUMBER(AD138),B138&gt;AD138),IF(B138&lt;30000,0,IF(B138&lt;100000,MAX(0,(B138-AD138)*0.2),MAX(0,(B138-AD138)*0.3))),0)))</f>
        <v/>
      </c>
      <c r="Z133" s="28"/>
      <c r="AA133" s="39" t="str">
        <f aca="false">IF($A138="","",IF($AA$2&lt;&gt;"",$AA$2,""))</f>
        <v/>
      </c>
      <c r="AB133" s="28" t="str">
        <f aca="false">IF($A138="","",IF(B138&lt;30000,0.03,IF(B138&lt;100000,0.02,0.015)))</f>
        <v/>
      </c>
      <c r="AC133" s="38" t="str">
        <f aca="false">IF($A138="","",IFERROR(DATEDIF($A$2,$A138,"m"),0))</f>
        <v/>
      </c>
      <c r="AD133" s="35" t="str">
        <f aca="false">IF($A138="","",IF(OR(AA138="",AB138="",AC138=""),"",AA138*POWER(1+AB138,AC138)))</f>
        <v/>
      </c>
      <c r="AE133" s="41" t="str">
        <f aca="false">IF($A138="","",IF(OR(AD138="",AD138=0),"",B138/AD138-1))</f>
        <v/>
      </c>
      <c r="AG133" s="1" t="str">
        <f aca="false">IF($A138="","",IF(B138&lt;30000,"婴儿",IF(B138&lt;100000,"成长","成熟")))</f>
        <v/>
      </c>
      <c r="AH133" s="42"/>
      <c r="AJ133" s="42"/>
      <c r="AK133" s="42"/>
      <c r="AM133" s="42"/>
      <c r="AP133" s="32"/>
      <c r="AQ133" s="43" t="str">
        <f aca="false">IF($A138="","",B138-$AA$2-SUM($F$2:F138))</f>
        <v/>
      </c>
      <c r="AR133" s="1" t="str">
        <f aca="false">IF($A137="","",30000)</f>
        <v/>
      </c>
      <c r="AS133" s="1" t="str">
        <f aca="false">IF($A137="","",AR137-B137)</f>
        <v/>
      </c>
      <c r="AT133" s="1" t="str">
        <f aca="false">IF($A137="","",IFERROR(B137/AR137,0))</f>
        <v/>
      </c>
      <c r="AU133" s="1" t="str">
        <f aca="false">IF($A137="","",IFERROR(B137*O137,0))</f>
        <v/>
      </c>
      <c r="AV133" s="1" t="str">
        <f aca="false">IF($A137="","",IFERROR(C137/B137,0))</f>
        <v/>
      </c>
      <c r="AW133" s="1" t="str">
        <f aca="false">IF($A137="","",MAX(0,R137-S137))</f>
        <v/>
      </c>
      <c r="AX133" s="1" t="str">
        <f aca="false">IF($A137="","",IF(AW137&gt;0,"优先降持仓数",IF(C137&lt;=0,"现金不足","允许评估")))</f>
        <v/>
      </c>
      <c r="AY133" s="1" t="str">
        <f aca="false">IF($A137="","",IF(B137&lt;30000,"婴儿阶段: 优先活下来,禁止单票失控,限制持仓数,服务3W目标","幼儿阶段达成"))</f>
        <v/>
      </c>
    </row>
    <row r="134" customFormat="false" ht="15" hidden="false" customHeight="true" outlineLevel="0" collapsed="false">
      <c r="A134" s="30"/>
      <c r="B134" s="44"/>
      <c r="C134" s="44"/>
      <c r="D134" s="35" t="str">
        <f aca="false">IF($A139="","",SUMIFS(持仓表!$J:$J,持仓表!$A:$A,$A139))</f>
        <v/>
      </c>
      <c r="E134" s="36" t="n">
        <f aca="false">IFERROR(D139/B139,0)</f>
        <v>0</v>
      </c>
      <c r="F134" s="44"/>
      <c r="G134" s="35" t="str">
        <f aca="false">IF($B139="","",MAX($B$2:B139))</f>
        <v/>
      </c>
      <c r="H134" s="36" t="n">
        <f aca="false">IFERROR((B139-F139)/F139,0)</f>
        <v>0</v>
      </c>
      <c r="I134" s="36" t="n">
        <f aca="false">IFERROR((B139-G139)/G139,0)</f>
        <v>0</v>
      </c>
      <c r="J134" s="30"/>
      <c r="K134" s="31"/>
      <c r="L134" s="45"/>
      <c r="M134" s="45"/>
      <c r="N134" s="36" t="str">
        <f aca="false">IF($B139="","",MIN(70%,IF($I139&lt;=-15%,10%,IF($I139&lt;=-10%,30%,IF($M139&gt;=4,10%,IF($M139&gt;=3,30%,IF($J139="强",IF($K139="A",70%,IF($K139="B",60%,40%)),IF($J139="中性",IF($K139="A",50%,IF($K139="B",40%,25%)),IF($K139="A",30%,IF($K139="B",20%,10%))))))))))</f>
        <v/>
      </c>
      <c r="O134" s="36" t="str">
        <f aca="false">IF($B139="","",IF(B139&lt;30000,35%,IF(B139&lt;50000,30%,IF(B139&lt;100000,25%,20%))))</f>
        <v/>
      </c>
      <c r="P134" s="38" t="str">
        <f aca="false">IF($A139="","",COUNTIFS(持仓表!$A:$A,$A139,持仓表!$G:$G,"&gt;0"))</f>
        <v/>
      </c>
      <c r="Q134" s="38" t="str">
        <f aca="false">IF($A139="","",COUNTIFS(持仓表!$A:$A,$A139,持仓表!$D:$D,"是",持仓表!$G:$G,"&gt;0"))</f>
        <v/>
      </c>
      <c r="R134" s="38" t="str">
        <f aca="false">IF($A139="","",MAX(0,P139-Q139))</f>
        <v/>
      </c>
      <c r="S134" s="38" t="str">
        <f aca="false">IF($B139="","",IF(B139&lt;50000,3,IF(B139&lt;100000,4,5)))</f>
        <v/>
      </c>
      <c r="T134" s="39" t="str">
        <f aca="false">IF($A139="","",IF(OR(M139&gt;=4,I139&lt;=-8%),"防守",IF(OR(M139&gt;=2,I139&lt;=-5%),"警戒","正常")))</f>
        <v/>
      </c>
      <c r="U134" s="39" t="str">
        <f aca="false">IF($A139="","",IF(AND(L139&gt;=3,M139&lt;=2,T139&lt;&gt;"防守"),"是","否"))</f>
        <v/>
      </c>
      <c r="V134" s="39" t="str">
        <f aca="false">IF($A139="","",IF(AND(E139&lt;N139,R139&lt;S139,M139&lt;=2,I139&gt;-15%),"是","否"))</f>
        <v/>
      </c>
      <c r="W134" s="39" t="str">
        <f aca="false">IF($A139="","",IF(OR(M139&gt;=3,I139&lt;=-15%),"是","否"))</f>
        <v/>
      </c>
      <c r="X134" s="35" t="str">
        <f aca="false">IF($A139="","",IFERROR(maxifs(候选池!$AB:$AB,候选池!$A:$A,$A139),0))</f>
        <v/>
      </c>
      <c r="Y134" s="35" t="str">
        <f aca="false">IF($A139="","",IF(OR(M139&gt;=4,I139&lt;=-8%),MAX(0,B139*60%-C139),IF(AND(ISNUMBER(AD139),B139&gt;AD139),IF(B139&lt;30000,0,IF(B139&lt;100000,MAX(0,(B139-AD139)*0.2),MAX(0,(B139-AD139)*0.3))),0)))</f>
        <v/>
      </c>
      <c r="Z134" s="30"/>
      <c r="AA134" s="39" t="str">
        <f aca="false">IF($A139="","",IF($AA$2&lt;&gt;"",$AA$2,""))</f>
        <v/>
      </c>
      <c r="AB134" s="30" t="str">
        <f aca="false">IF($A139="","",IF(B139&lt;30000,0.03,IF(B139&lt;100000,0.02,0.015)))</f>
        <v/>
      </c>
      <c r="AC134" s="38" t="str">
        <f aca="false">IF($A139="","",IFERROR(DATEDIF($A$2,$A139,"m"),0))</f>
        <v/>
      </c>
      <c r="AD134" s="35" t="str">
        <f aca="false">IF($A139="","",IF(OR(AA139="",AB139="",AC139=""),"",AA139*POWER(1+AB139,AC139)))</f>
        <v/>
      </c>
      <c r="AE134" s="47" t="str">
        <f aca="false">IF($A139="","",IF(OR(AD139="",AD139=0),"",B139/AD139-1))</f>
        <v/>
      </c>
      <c r="AG134" s="1" t="str">
        <f aca="false">IF($A139="","",IF(B139&lt;30000,"婴儿",IF(B139&lt;100000,"成长","成熟")))</f>
        <v/>
      </c>
      <c r="AH134" s="42"/>
      <c r="AJ134" s="42"/>
      <c r="AK134" s="42"/>
      <c r="AM134" s="42"/>
      <c r="AP134" s="32"/>
      <c r="AQ134" s="43" t="str">
        <f aca="false">IF($A139="","",B139-$AA$2-SUM($F$2:F139))</f>
        <v/>
      </c>
      <c r="AR134" s="1" t="str">
        <f aca="false">IF($A138="","",30000)</f>
        <v/>
      </c>
      <c r="AS134" s="1" t="str">
        <f aca="false">IF($A138="","",AR138-B138)</f>
        <v/>
      </c>
      <c r="AT134" s="1" t="str">
        <f aca="false">IF($A138="","",IFERROR(B138/AR138,0))</f>
        <v/>
      </c>
      <c r="AU134" s="1" t="str">
        <f aca="false">IF($A138="","",IFERROR(B138*O138,0))</f>
        <v/>
      </c>
      <c r="AV134" s="1" t="str">
        <f aca="false">IF($A138="","",IFERROR(C138/B138,0))</f>
        <v/>
      </c>
      <c r="AW134" s="1" t="str">
        <f aca="false">IF($A138="","",MAX(0,R138-S138))</f>
        <v/>
      </c>
      <c r="AX134" s="1" t="str">
        <f aca="false">IF($A138="","",IF(AW138&gt;0,"优先降持仓数",IF(C138&lt;=0,"现金不足","允许评估")))</f>
        <v/>
      </c>
      <c r="AY134" s="1" t="str">
        <f aca="false">IF($A138="","",IF(B138&lt;30000,"婴儿阶段: 优先活下来,禁止单票失控,限制持仓数,服务3W目标","幼儿阶段达成"))</f>
        <v/>
      </c>
    </row>
    <row r="135" customFormat="false" ht="15" hidden="false" customHeight="true" outlineLevel="0" collapsed="false">
      <c r="A135" s="28"/>
      <c r="B135" s="34"/>
      <c r="C135" s="34"/>
      <c r="D135" s="35" t="str">
        <f aca="false">IF($A140="","",SUMIFS(持仓表!$J:$J,持仓表!$A:$A,$A140))</f>
        <v/>
      </c>
      <c r="E135" s="36" t="n">
        <f aca="false">IFERROR(D140/B140,0)</f>
        <v>0</v>
      </c>
      <c r="F135" s="34"/>
      <c r="G135" s="35" t="str">
        <f aca="false">IF($B140="","",MAX($B$2:B140))</f>
        <v/>
      </c>
      <c r="H135" s="36" t="n">
        <f aca="false">IFERROR((B140-F140)/F140,0)</f>
        <v>0</v>
      </c>
      <c r="I135" s="36" t="n">
        <f aca="false">IFERROR((B140-G140)/G140,0)</f>
        <v>0</v>
      </c>
      <c r="J135" s="28"/>
      <c r="K135" s="29"/>
      <c r="L135" s="37"/>
      <c r="M135" s="37"/>
      <c r="N135" s="36" t="str">
        <f aca="false">IF($B140="","",MIN(70%,IF($I140&lt;=-15%,10%,IF($I140&lt;=-10%,30%,IF($M140&gt;=4,10%,IF($M140&gt;=3,30%,IF($J140="强",IF($K140="A",70%,IF($K140="B",60%,40%)),IF($J140="中性",IF($K140="A",50%,IF($K140="B",40%,25%)),IF($K140="A",30%,IF($K140="B",20%,10%))))))))))</f>
        <v/>
      </c>
      <c r="O135" s="36" t="str">
        <f aca="false">IF($B140="","",IF(B140&lt;30000,35%,IF(B140&lt;50000,30%,IF(B140&lt;100000,25%,20%))))</f>
        <v/>
      </c>
      <c r="P135" s="38" t="str">
        <f aca="false">IF($A140="","",COUNTIFS(持仓表!$A:$A,$A140,持仓表!$G:$G,"&gt;0"))</f>
        <v/>
      </c>
      <c r="Q135" s="38" t="str">
        <f aca="false">IF($A140="","",COUNTIFS(持仓表!$A:$A,$A140,持仓表!$D:$D,"是",持仓表!$G:$G,"&gt;0"))</f>
        <v/>
      </c>
      <c r="R135" s="38" t="str">
        <f aca="false">IF($A140="","",MAX(0,P140-Q140))</f>
        <v/>
      </c>
      <c r="S135" s="38" t="str">
        <f aca="false">IF($B140="","",IF(B140&lt;50000,3,IF(B140&lt;100000,4,5)))</f>
        <v/>
      </c>
      <c r="T135" s="39" t="str">
        <f aca="false">IF($A140="","",IF(OR(M140&gt;=4,I140&lt;=-8%),"防守",IF(OR(M140&gt;=2,I140&lt;=-5%),"警戒","正常")))</f>
        <v/>
      </c>
      <c r="U135" s="39" t="str">
        <f aca="false">IF($A140="","",IF(AND(L140&gt;=3,M140&lt;=2,T140&lt;&gt;"防守"),"是","否"))</f>
        <v/>
      </c>
      <c r="V135" s="39" t="str">
        <f aca="false">IF($A140="","",IF(AND(E140&lt;N140,R140&lt;S140,M140&lt;=2,I140&gt;-15%),"是","否"))</f>
        <v/>
      </c>
      <c r="W135" s="39" t="str">
        <f aca="false">IF($A140="","",IF(OR(M140&gt;=3,I140&lt;=-15%),"是","否"))</f>
        <v/>
      </c>
      <c r="X135" s="35" t="str">
        <f aca="false">IF($A140="","",IFERROR(maxifs(候选池!$AB:$AB,候选池!$A:$A,$A140),0))</f>
        <v/>
      </c>
      <c r="Y135" s="35" t="str">
        <f aca="false">IF($A140="","",IF(OR(M140&gt;=4,I140&lt;=-8%),MAX(0,B140*60%-C140),IF(AND(ISNUMBER(AD140),B140&gt;AD140),IF(B140&lt;30000,0,IF(B140&lt;100000,MAX(0,(B140-AD140)*0.2),MAX(0,(B140-AD140)*0.3))),0)))</f>
        <v/>
      </c>
      <c r="Z135" s="28"/>
      <c r="AA135" s="39" t="str">
        <f aca="false">IF($A140="","",IF($AA$2&lt;&gt;"",$AA$2,""))</f>
        <v/>
      </c>
      <c r="AB135" s="28" t="str">
        <f aca="false">IF($A140="","",IF(B140&lt;30000,0.03,IF(B140&lt;100000,0.02,0.015)))</f>
        <v/>
      </c>
      <c r="AC135" s="38" t="str">
        <f aca="false">IF($A140="","",IFERROR(DATEDIF($A$2,$A140,"m"),0))</f>
        <v/>
      </c>
      <c r="AD135" s="35" t="str">
        <f aca="false">IF($A140="","",IF(OR(AA140="",AB140="",AC140=""),"",AA140*POWER(1+AB140,AC140)))</f>
        <v/>
      </c>
      <c r="AE135" s="41" t="str">
        <f aca="false">IF($A140="","",IF(OR(AD140="",AD140=0),"",B140/AD140-1))</f>
        <v/>
      </c>
      <c r="AG135" s="1" t="str">
        <f aca="false">IF($A140="","",IF(B140&lt;30000,"婴儿",IF(B140&lt;100000,"成长","成熟")))</f>
        <v/>
      </c>
      <c r="AH135" s="42"/>
      <c r="AJ135" s="42"/>
      <c r="AK135" s="42"/>
      <c r="AM135" s="42"/>
      <c r="AP135" s="32"/>
      <c r="AQ135" s="43" t="str">
        <f aca="false">IF($A140="","",B140-$AA$2-SUM($F$2:F140))</f>
        <v/>
      </c>
      <c r="AR135" s="1" t="str">
        <f aca="false">IF($A139="","",30000)</f>
        <v/>
      </c>
      <c r="AS135" s="1" t="str">
        <f aca="false">IF($A139="","",AR139-B139)</f>
        <v/>
      </c>
      <c r="AT135" s="1" t="str">
        <f aca="false">IF($A139="","",IFERROR(B139/AR139,0))</f>
        <v/>
      </c>
      <c r="AU135" s="1" t="str">
        <f aca="false">IF($A139="","",IFERROR(B139*O139,0))</f>
        <v/>
      </c>
      <c r="AV135" s="1" t="str">
        <f aca="false">IF($A139="","",IFERROR(C139/B139,0))</f>
        <v/>
      </c>
      <c r="AW135" s="1" t="str">
        <f aca="false">IF($A139="","",MAX(0,R139-S139))</f>
        <v/>
      </c>
      <c r="AX135" s="1" t="str">
        <f aca="false">IF($A139="","",IF(AW139&gt;0,"优先降持仓数",IF(C139&lt;=0,"现金不足","允许评估")))</f>
        <v/>
      </c>
      <c r="AY135" s="1" t="str">
        <f aca="false">IF($A139="","",IF(B139&lt;30000,"婴儿阶段: 优先活下来,禁止单票失控,限制持仓数,服务3W目标","幼儿阶段达成"))</f>
        <v/>
      </c>
    </row>
    <row r="136" customFormat="false" ht="15" hidden="false" customHeight="true" outlineLevel="0" collapsed="false">
      <c r="A136" s="30"/>
      <c r="B136" s="44"/>
      <c r="C136" s="44"/>
      <c r="D136" s="35" t="str">
        <f aca="false">IF($A141="","",SUMIFS(持仓表!$J:$J,持仓表!$A:$A,$A141))</f>
        <v/>
      </c>
      <c r="E136" s="36" t="n">
        <f aca="false">IFERROR(D141/B141,0)</f>
        <v>0</v>
      </c>
      <c r="F136" s="44"/>
      <c r="G136" s="35" t="str">
        <f aca="false">IF($B141="","",MAX($B$2:B141))</f>
        <v/>
      </c>
      <c r="H136" s="36" t="n">
        <f aca="false">IFERROR((B141-F141)/F141,0)</f>
        <v>0</v>
      </c>
      <c r="I136" s="36" t="n">
        <f aca="false">IFERROR((B141-G141)/G141,0)</f>
        <v>0</v>
      </c>
      <c r="J136" s="30"/>
      <c r="K136" s="31"/>
      <c r="L136" s="45"/>
      <c r="M136" s="45"/>
      <c r="N136" s="36" t="str">
        <f aca="false">IF($B141="","",MIN(70%,IF($I141&lt;=-15%,10%,IF($I141&lt;=-10%,30%,IF($M141&gt;=4,10%,IF($M141&gt;=3,30%,IF($J141="强",IF($K141="A",70%,IF($K141="B",60%,40%)),IF($J141="中性",IF($K141="A",50%,IF($K141="B",40%,25%)),IF($K141="A",30%,IF($K141="B",20%,10%))))))))))</f>
        <v/>
      </c>
      <c r="O136" s="36" t="str">
        <f aca="false">IF($B141="","",IF(B141&lt;30000,35%,IF(B141&lt;50000,30%,IF(B141&lt;100000,25%,20%))))</f>
        <v/>
      </c>
      <c r="P136" s="38" t="str">
        <f aca="false">IF($A141="","",COUNTIFS(持仓表!$A:$A,$A141,持仓表!$G:$G,"&gt;0"))</f>
        <v/>
      </c>
      <c r="Q136" s="38" t="str">
        <f aca="false">IF($A141="","",COUNTIFS(持仓表!$A:$A,$A141,持仓表!$D:$D,"是",持仓表!$G:$G,"&gt;0"))</f>
        <v/>
      </c>
      <c r="R136" s="38" t="str">
        <f aca="false">IF($A141="","",MAX(0,P141-Q141))</f>
        <v/>
      </c>
      <c r="S136" s="38" t="str">
        <f aca="false">IF($B141="","",IF(B141&lt;50000,3,IF(B141&lt;100000,4,5)))</f>
        <v/>
      </c>
      <c r="T136" s="39" t="str">
        <f aca="false">IF($A141="","",IF(OR(M141&gt;=4,I141&lt;=-8%),"防守",IF(OR(M141&gt;=2,I141&lt;=-5%),"警戒","正常")))</f>
        <v/>
      </c>
      <c r="U136" s="39" t="str">
        <f aca="false">IF($A141="","",IF(AND(L141&gt;=3,M141&lt;=2,T141&lt;&gt;"防守"),"是","否"))</f>
        <v/>
      </c>
      <c r="V136" s="39" t="str">
        <f aca="false">IF($A141="","",IF(AND(E141&lt;N141,R141&lt;S141,M141&lt;=2,I141&gt;-15%),"是","否"))</f>
        <v/>
      </c>
      <c r="W136" s="39" t="str">
        <f aca="false">IF($A141="","",IF(OR(M141&gt;=3,I141&lt;=-15%),"是","否"))</f>
        <v/>
      </c>
      <c r="X136" s="35" t="str">
        <f aca="false">IF($A141="","",IFERROR(maxifs(候选池!$AB:$AB,候选池!$A:$A,$A141),0))</f>
        <v/>
      </c>
      <c r="Y136" s="35" t="str">
        <f aca="false">IF($A141="","",IF(OR(M141&gt;=4,I141&lt;=-8%),MAX(0,B141*60%-C141),IF(AND(ISNUMBER(AD141),B141&gt;AD141),IF(B141&lt;30000,0,IF(B141&lt;100000,MAX(0,(B141-AD141)*0.2),MAX(0,(B141-AD141)*0.3))),0)))</f>
        <v/>
      </c>
      <c r="Z136" s="30"/>
      <c r="AA136" s="39" t="str">
        <f aca="false">IF($A141="","",IF($AA$2&lt;&gt;"",$AA$2,""))</f>
        <v/>
      </c>
      <c r="AB136" s="30" t="str">
        <f aca="false">IF($A141="","",IF(B141&lt;30000,0.03,IF(B141&lt;100000,0.02,0.015)))</f>
        <v/>
      </c>
      <c r="AC136" s="38" t="str">
        <f aca="false">IF($A141="","",IFERROR(DATEDIF($A$2,$A141,"m"),0))</f>
        <v/>
      </c>
      <c r="AD136" s="35" t="str">
        <f aca="false">IF($A141="","",IF(OR(AA141="",AB141="",AC141=""),"",AA141*POWER(1+AB141,AC141)))</f>
        <v/>
      </c>
      <c r="AE136" s="47" t="str">
        <f aca="false">IF($A141="","",IF(OR(AD141="",AD141=0),"",B141/AD141-1))</f>
        <v/>
      </c>
      <c r="AG136" s="1" t="str">
        <f aca="false">IF($A141="","",IF(B141&lt;30000,"婴儿",IF(B141&lt;100000,"成长","成熟")))</f>
        <v/>
      </c>
      <c r="AH136" s="42"/>
      <c r="AJ136" s="42"/>
      <c r="AK136" s="42"/>
      <c r="AM136" s="42"/>
      <c r="AP136" s="32"/>
      <c r="AQ136" s="43" t="str">
        <f aca="false">IF($A141="","",B141-$AA$2-SUM($F$2:F141))</f>
        <v/>
      </c>
      <c r="AR136" s="1" t="str">
        <f aca="false">IF($A140="","",30000)</f>
        <v/>
      </c>
      <c r="AS136" s="1" t="str">
        <f aca="false">IF($A140="","",AR140-B140)</f>
        <v/>
      </c>
      <c r="AT136" s="1" t="str">
        <f aca="false">IF($A140="","",IFERROR(B140/AR140,0))</f>
        <v/>
      </c>
      <c r="AU136" s="1" t="str">
        <f aca="false">IF($A140="","",IFERROR(B140*O140,0))</f>
        <v/>
      </c>
      <c r="AV136" s="1" t="str">
        <f aca="false">IF($A140="","",IFERROR(C140/B140,0))</f>
        <v/>
      </c>
      <c r="AW136" s="1" t="str">
        <f aca="false">IF($A140="","",MAX(0,R140-S140))</f>
        <v/>
      </c>
      <c r="AX136" s="1" t="str">
        <f aca="false">IF($A140="","",IF(AW140&gt;0,"优先降持仓数",IF(C140&lt;=0,"现金不足","允许评估")))</f>
        <v/>
      </c>
      <c r="AY136" s="1" t="str">
        <f aca="false">IF($A140="","",IF(B140&lt;30000,"婴儿阶段: 优先活下来,禁止单票失控,限制持仓数,服务3W目标","幼儿阶段达成"))</f>
        <v/>
      </c>
    </row>
    <row r="137" customFormat="false" ht="15" hidden="false" customHeight="true" outlineLevel="0" collapsed="false">
      <c r="A137" s="28"/>
      <c r="B137" s="34"/>
      <c r="C137" s="34"/>
      <c r="D137" s="35" t="str">
        <f aca="false">IF($A142="","",SUMIFS(持仓表!$J:$J,持仓表!$A:$A,$A142))</f>
        <v/>
      </c>
      <c r="E137" s="36" t="n">
        <f aca="false">IFERROR(D142/B142,0)</f>
        <v>0</v>
      </c>
      <c r="F137" s="34"/>
      <c r="G137" s="35" t="str">
        <f aca="false">IF($B142="","",MAX($B$2:B142))</f>
        <v/>
      </c>
      <c r="H137" s="36" t="n">
        <f aca="false">IFERROR((B142-F142)/F142,0)</f>
        <v>0</v>
      </c>
      <c r="I137" s="36" t="n">
        <f aca="false">IFERROR((B142-G142)/G142,0)</f>
        <v>0</v>
      </c>
      <c r="J137" s="28"/>
      <c r="K137" s="29"/>
      <c r="L137" s="37"/>
      <c r="M137" s="37"/>
      <c r="N137" s="36" t="str">
        <f aca="false">IF($B142="","",MIN(70%,IF($I142&lt;=-15%,10%,IF($I142&lt;=-10%,30%,IF($M142&gt;=4,10%,IF($M142&gt;=3,30%,IF($J142="强",IF($K142="A",70%,IF($K142="B",60%,40%)),IF($J142="中性",IF($K142="A",50%,IF($K142="B",40%,25%)),IF($K142="A",30%,IF($K142="B",20%,10%))))))))))</f>
        <v/>
      </c>
      <c r="O137" s="36" t="str">
        <f aca="false">IF($B142="","",IF(B142&lt;30000,35%,IF(B142&lt;50000,30%,IF(B142&lt;100000,25%,20%))))</f>
        <v/>
      </c>
      <c r="P137" s="38" t="str">
        <f aca="false">IF($A142="","",COUNTIFS(持仓表!$A:$A,$A142,持仓表!$G:$G,"&gt;0"))</f>
        <v/>
      </c>
      <c r="Q137" s="38" t="str">
        <f aca="false">IF($A142="","",COUNTIFS(持仓表!$A:$A,$A142,持仓表!$D:$D,"是",持仓表!$G:$G,"&gt;0"))</f>
        <v/>
      </c>
      <c r="R137" s="38" t="str">
        <f aca="false">IF($A142="","",MAX(0,P142-Q142))</f>
        <v/>
      </c>
      <c r="S137" s="38" t="str">
        <f aca="false">IF($B142="","",IF(B142&lt;50000,3,IF(B142&lt;100000,4,5)))</f>
        <v/>
      </c>
      <c r="T137" s="39" t="str">
        <f aca="false">IF($A142="","",IF(OR(M142&gt;=4,I142&lt;=-8%),"防守",IF(OR(M142&gt;=2,I142&lt;=-5%),"警戒","正常")))</f>
        <v/>
      </c>
      <c r="U137" s="39" t="str">
        <f aca="false">IF($A142="","",IF(AND(L142&gt;=3,M142&lt;=2,T142&lt;&gt;"防守"),"是","否"))</f>
        <v/>
      </c>
      <c r="V137" s="39" t="str">
        <f aca="false">IF($A142="","",IF(AND(E142&lt;N142,R142&lt;S142,M142&lt;=2,I142&gt;-15%),"是","否"))</f>
        <v/>
      </c>
      <c r="W137" s="39" t="str">
        <f aca="false">IF($A142="","",IF(OR(M142&gt;=3,I142&lt;=-15%),"是","否"))</f>
        <v/>
      </c>
      <c r="X137" s="35" t="str">
        <f aca="false">IF($A142="","",IFERROR(maxifs(候选池!$AB:$AB,候选池!$A:$A,$A142),0))</f>
        <v/>
      </c>
      <c r="Y137" s="35" t="str">
        <f aca="false">IF($A142="","",IF(OR(M142&gt;=4,I142&lt;=-8%),MAX(0,B142*60%-C142),IF(AND(ISNUMBER(AD142),B142&gt;AD142),IF(B142&lt;30000,0,IF(B142&lt;100000,MAX(0,(B142-AD142)*0.2),MAX(0,(B142-AD142)*0.3))),0)))</f>
        <v/>
      </c>
      <c r="Z137" s="28"/>
      <c r="AA137" s="39" t="str">
        <f aca="false">IF($A142="","",IF($AA$2&lt;&gt;"",$AA$2,""))</f>
        <v/>
      </c>
      <c r="AB137" s="28" t="str">
        <f aca="false">IF($A142="","",IF(B142&lt;30000,0.03,IF(B142&lt;100000,0.02,0.015)))</f>
        <v/>
      </c>
      <c r="AC137" s="38" t="str">
        <f aca="false">IF($A142="","",IFERROR(DATEDIF($A$2,$A142,"m"),0))</f>
        <v/>
      </c>
      <c r="AD137" s="35" t="str">
        <f aca="false">IF($A142="","",IF(OR(AA142="",AB142="",AC142=""),"",AA142*POWER(1+AB142,AC142)))</f>
        <v/>
      </c>
      <c r="AE137" s="41" t="str">
        <f aca="false">IF($A142="","",IF(OR(AD142="",AD142=0),"",B142/AD142-1))</f>
        <v/>
      </c>
      <c r="AG137" s="1" t="str">
        <f aca="false">IF($A142="","",IF(B142&lt;30000,"婴儿",IF(B142&lt;100000,"成长","成熟")))</f>
        <v/>
      </c>
      <c r="AH137" s="42"/>
      <c r="AJ137" s="42"/>
      <c r="AK137" s="42"/>
      <c r="AM137" s="42"/>
      <c r="AP137" s="32"/>
      <c r="AQ137" s="43" t="str">
        <f aca="false">IF($A142="","",B142-$AA$2-SUM($F$2:F142))</f>
        <v/>
      </c>
      <c r="AR137" s="1" t="str">
        <f aca="false">IF($A141="","",30000)</f>
        <v/>
      </c>
      <c r="AS137" s="1" t="str">
        <f aca="false">IF($A141="","",AR141-B141)</f>
        <v/>
      </c>
      <c r="AT137" s="1" t="str">
        <f aca="false">IF($A141="","",IFERROR(B141/AR141,0))</f>
        <v/>
      </c>
      <c r="AU137" s="1" t="str">
        <f aca="false">IF($A141="","",IFERROR(B141*O141,0))</f>
        <v/>
      </c>
      <c r="AV137" s="1" t="str">
        <f aca="false">IF($A141="","",IFERROR(C141/B141,0))</f>
        <v/>
      </c>
      <c r="AW137" s="1" t="str">
        <f aca="false">IF($A141="","",MAX(0,R141-S141))</f>
        <v/>
      </c>
      <c r="AX137" s="1" t="str">
        <f aca="false">IF($A141="","",IF(AW141&gt;0,"优先降持仓数",IF(C141&lt;=0,"现金不足","允许评估")))</f>
        <v/>
      </c>
      <c r="AY137" s="1" t="str">
        <f aca="false">IF($A141="","",IF(B141&lt;30000,"婴儿阶段: 优先活下来,禁止单票失控,限制持仓数,服务3W目标","幼儿阶段达成"))</f>
        <v/>
      </c>
    </row>
    <row r="138" customFormat="false" ht="15" hidden="false" customHeight="true" outlineLevel="0" collapsed="false">
      <c r="A138" s="30"/>
      <c r="B138" s="44"/>
      <c r="C138" s="44"/>
      <c r="D138" s="35" t="str">
        <f aca="false">IF($A143="","",SUMIFS(持仓表!$J:$J,持仓表!$A:$A,$A143))</f>
        <v/>
      </c>
      <c r="E138" s="36" t="n">
        <f aca="false">IFERROR(D143/B143,0)</f>
        <v>0</v>
      </c>
      <c r="F138" s="44"/>
      <c r="G138" s="35" t="str">
        <f aca="false">IF($B143="","",MAX($B$2:B143))</f>
        <v/>
      </c>
      <c r="H138" s="36" t="n">
        <f aca="false">IFERROR((B143-F143)/F143,0)</f>
        <v>0</v>
      </c>
      <c r="I138" s="36" t="n">
        <f aca="false">IFERROR((B143-G143)/G143,0)</f>
        <v>0</v>
      </c>
      <c r="J138" s="30"/>
      <c r="K138" s="31"/>
      <c r="L138" s="45"/>
      <c r="M138" s="45"/>
      <c r="N138" s="36" t="str">
        <f aca="false">IF($B143="","",MIN(70%,IF($I143&lt;=-15%,10%,IF($I143&lt;=-10%,30%,IF($M143&gt;=4,10%,IF($M143&gt;=3,30%,IF($J143="强",IF($K143="A",70%,IF($K143="B",60%,40%)),IF($J143="中性",IF($K143="A",50%,IF($K143="B",40%,25%)),IF($K143="A",30%,IF($K143="B",20%,10%))))))))))</f>
        <v/>
      </c>
      <c r="O138" s="36" t="str">
        <f aca="false">IF($B143="","",IF(B143&lt;30000,35%,IF(B143&lt;50000,30%,IF(B143&lt;100000,25%,20%))))</f>
        <v/>
      </c>
      <c r="P138" s="38" t="str">
        <f aca="false">IF($A143="","",COUNTIFS(持仓表!$A:$A,$A143,持仓表!$G:$G,"&gt;0"))</f>
        <v/>
      </c>
      <c r="Q138" s="38" t="str">
        <f aca="false">IF($A143="","",COUNTIFS(持仓表!$A:$A,$A143,持仓表!$D:$D,"是",持仓表!$G:$G,"&gt;0"))</f>
        <v/>
      </c>
      <c r="R138" s="38" t="str">
        <f aca="false">IF($A143="","",MAX(0,P143-Q143))</f>
        <v/>
      </c>
      <c r="S138" s="38" t="str">
        <f aca="false">IF($B143="","",IF(B143&lt;50000,3,IF(B143&lt;100000,4,5)))</f>
        <v/>
      </c>
      <c r="T138" s="39" t="str">
        <f aca="false">IF($A143="","",IF(OR(M143&gt;=4,I143&lt;=-8%),"防守",IF(OR(M143&gt;=2,I143&lt;=-5%),"警戒","正常")))</f>
        <v/>
      </c>
      <c r="U138" s="39" t="str">
        <f aca="false">IF($A143="","",IF(AND(L143&gt;=3,M143&lt;=2,T143&lt;&gt;"防守"),"是","否"))</f>
        <v/>
      </c>
      <c r="V138" s="39" t="str">
        <f aca="false">IF($A143="","",IF(AND(E143&lt;N143,R143&lt;S143,M143&lt;=2,I143&gt;-15%),"是","否"))</f>
        <v/>
      </c>
      <c r="W138" s="39" t="str">
        <f aca="false">IF($A143="","",IF(OR(M143&gt;=3,I143&lt;=-15%),"是","否"))</f>
        <v/>
      </c>
      <c r="X138" s="35" t="str">
        <f aca="false">IF($A143="","",IFERROR(maxifs(候选池!$AB:$AB,候选池!$A:$A,$A143),0))</f>
        <v/>
      </c>
      <c r="Y138" s="35" t="str">
        <f aca="false">IF($A143="","",IF(OR(M143&gt;=4,I143&lt;=-8%),MAX(0,B143*60%-C143),IF(AND(ISNUMBER(AD143),B143&gt;AD143),IF(B143&lt;30000,0,IF(B143&lt;100000,MAX(0,(B143-AD143)*0.2),MAX(0,(B143-AD143)*0.3))),0)))</f>
        <v/>
      </c>
      <c r="Z138" s="30"/>
      <c r="AA138" s="39" t="str">
        <f aca="false">IF($A143="","",IF($AA$2&lt;&gt;"",$AA$2,""))</f>
        <v/>
      </c>
      <c r="AB138" s="30" t="str">
        <f aca="false">IF($A143="","",IF(B143&lt;30000,0.03,IF(B143&lt;100000,0.02,0.015)))</f>
        <v/>
      </c>
      <c r="AC138" s="38" t="str">
        <f aca="false">IF($A143="","",IFERROR(DATEDIF($A$2,$A143,"m"),0))</f>
        <v/>
      </c>
      <c r="AD138" s="35" t="str">
        <f aca="false">IF($A143="","",IF(OR(AA143="",AB143="",AC143=""),"",AA143*POWER(1+AB143,AC143)))</f>
        <v/>
      </c>
      <c r="AE138" s="47" t="str">
        <f aca="false">IF($A143="","",IF(OR(AD143="",AD143=0),"",B143/AD143-1))</f>
        <v/>
      </c>
      <c r="AG138" s="1" t="str">
        <f aca="false">IF($A143="","",IF(B143&lt;30000,"婴儿",IF(B143&lt;100000,"成长","成熟")))</f>
        <v/>
      </c>
      <c r="AH138" s="42"/>
      <c r="AJ138" s="42"/>
      <c r="AK138" s="42"/>
      <c r="AM138" s="42"/>
      <c r="AP138" s="32"/>
      <c r="AQ138" s="43" t="str">
        <f aca="false">IF($A143="","",B143-$AA$2-SUM($F$2:F143))</f>
        <v/>
      </c>
      <c r="AR138" s="1" t="str">
        <f aca="false">IF($A142="","",30000)</f>
        <v/>
      </c>
      <c r="AS138" s="1" t="str">
        <f aca="false">IF($A142="","",AR142-B142)</f>
        <v/>
      </c>
      <c r="AT138" s="1" t="str">
        <f aca="false">IF($A142="","",IFERROR(B142/AR142,0))</f>
        <v/>
      </c>
      <c r="AU138" s="1" t="str">
        <f aca="false">IF($A142="","",IFERROR(B142*O142,0))</f>
        <v/>
      </c>
      <c r="AV138" s="1" t="str">
        <f aca="false">IF($A142="","",IFERROR(C142/B142,0))</f>
        <v/>
      </c>
      <c r="AW138" s="1" t="str">
        <f aca="false">IF($A142="","",MAX(0,R142-S142))</f>
        <v/>
      </c>
      <c r="AX138" s="1" t="str">
        <f aca="false">IF($A142="","",IF(AW142&gt;0,"优先降持仓数",IF(C142&lt;=0,"现金不足","允许评估")))</f>
        <v/>
      </c>
      <c r="AY138" s="1" t="str">
        <f aca="false">IF($A142="","",IF(B142&lt;30000,"婴儿阶段: 优先活下来,禁止单票失控,限制持仓数,服务3W目标","幼儿阶段达成"))</f>
        <v/>
      </c>
    </row>
    <row r="139" customFormat="false" ht="15" hidden="false" customHeight="true" outlineLevel="0" collapsed="false">
      <c r="A139" s="28"/>
      <c r="B139" s="34"/>
      <c r="C139" s="34"/>
      <c r="D139" s="35" t="str">
        <f aca="false">IF($A144="","",SUMIFS(持仓表!$J:$J,持仓表!$A:$A,$A144))</f>
        <v/>
      </c>
      <c r="E139" s="36" t="n">
        <f aca="false">IFERROR(D144/B144,0)</f>
        <v>0</v>
      </c>
      <c r="F139" s="34"/>
      <c r="G139" s="35" t="str">
        <f aca="false">IF($B144="","",MAX($B$2:B144))</f>
        <v/>
      </c>
      <c r="H139" s="36" t="n">
        <f aca="false">IFERROR((B144-F144)/F144,0)</f>
        <v>0</v>
      </c>
      <c r="I139" s="36" t="n">
        <f aca="false">IFERROR((B144-G144)/G144,0)</f>
        <v>0</v>
      </c>
      <c r="J139" s="28"/>
      <c r="K139" s="29"/>
      <c r="L139" s="37"/>
      <c r="M139" s="37"/>
      <c r="N139" s="36" t="str">
        <f aca="false">IF($B144="","",MIN(70%,IF($I144&lt;=-15%,10%,IF($I144&lt;=-10%,30%,IF($M144&gt;=4,10%,IF($M144&gt;=3,30%,IF($J144="强",IF($K144="A",70%,IF($K144="B",60%,40%)),IF($J144="中性",IF($K144="A",50%,IF($K144="B",40%,25%)),IF($K144="A",30%,IF($K144="B",20%,10%))))))))))</f>
        <v/>
      </c>
      <c r="O139" s="36" t="str">
        <f aca="false">IF($B144="","",IF(B144&lt;30000,35%,IF(B144&lt;50000,30%,IF(B144&lt;100000,25%,20%))))</f>
        <v/>
      </c>
      <c r="P139" s="38" t="str">
        <f aca="false">IF($A144="","",COUNTIFS(持仓表!$A:$A,$A144,持仓表!$G:$G,"&gt;0"))</f>
        <v/>
      </c>
      <c r="Q139" s="38" t="str">
        <f aca="false">IF($A144="","",COUNTIFS(持仓表!$A:$A,$A144,持仓表!$D:$D,"是",持仓表!$G:$G,"&gt;0"))</f>
        <v/>
      </c>
      <c r="R139" s="38" t="str">
        <f aca="false">IF($A144="","",MAX(0,P144-Q144))</f>
        <v/>
      </c>
      <c r="S139" s="38" t="str">
        <f aca="false">IF($B144="","",IF(B144&lt;50000,3,IF(B144&lt;100000,4,5)))</f>
        <v/>
      </c>
      <c r="T139" s="39" t="str">
        <f aca="false">IF($A144="","",IF(OR(M144&gt;=4,I144&lt;=-8%),"防守",IF(OR(M144&gt;=2,I144&lt;=-5%),"警戒","正常")))</f>
        <v/>
      </c>
      <c r="U139" s="39" t="str">
        <f aca="false">IF($A144="","",IF(AND(L144&gt;=3,M144&lt;=2,T144&lt;&gt;"防守"),"是","否"))</f>
        <v/>
      </c>
      <c r="V139" s="39" t="str">
        <f aca="false">IF($A144="","",IF(AND(E144&lt;N144,R144&lt;S144,M144&lt;=2,I144&gt;-15%),"是","否"))</f>
        <v/>
      </c>
      <c r="W139" s="39" t="str">
        <f aca="false">IF($A144="","",IF(OR(M144&gt;=3,I144&lt;=-15%),"是","否"))</f>
        <v/>
      </c>
      <c r="X139" s="35" t="str">
        <f aca="false">IF($A144="","",IFERROR(maxifs(候选池!$AB:$AB,候选池!$A:$A,$A144),0))</f>
        <v/>
      </c>
      <c r="Y139" s="35" t="str">
        <f aca="false">IF($A144="","",IF(OR(M144&gt;=4,I144&lt;=-8%),MAX(0,B144*60%-C144),IF(AND(ISNUMBER(AD144),B144&gt;AD144),IF(B144&lt;30000,0,IF(B144&lt;100000,MAX(0,(B144-AD144)*0.2),MAX(0,(B144-AD144)*0.3))),0)))</f>
        <v/>
      </c>
      <c r="Z139" s="28"/>
      <c r="AA139" s="39" t="str">
        <f aca="false">IF($A144="","",IF($AA$2&lt;&gt;"",$AA$2,""))</f>
        <v/>
      </c>
      <c r="AB139" s="28" t="str">
        <f aca="false">IF($A144="","",IF(B144&lt;30000,0.03,IF(B144&lt;100000,0.02,0.015)))</f>
        <v/>
      </c>
      <c r="AC139" s="38" t="str">
        <f aca="false">IF($A144="","",IFERROR(DATEDIF($A$2,$A144,"m"),0))</f>
        <v/>
      </c>
      <c r="AD139" s="35" t="str">
        <f aca="false">IF($A144="","",IF(OR(AA144="",AB144="",AC144=""),"",AA144*POWER(1+AB144,AC144)))</f>
        <v/>
      </c>
      <c r="AE139" s="41" t="str">
        <f aca="false">IF($A144="","",IF(OR(AD144="",AD144=0),"",B144/AD144-1))</f>
        <v/>
      </c>
      <c r="AG139" s="1" t="str">
        <f aca="false">IF($A144="","",IF(B144&lt;30000,"婴儿",IF(B144&lt;100000,"成长","成熟")))</f>
        <v/>
      </c>
      <c r="AH139" s="42"/>
      <c r="AJ139" s="42"/>
      <c r="AK139" s="42"/>
      <c r="AM139" s="42"/>
      <c r="AP139" s="32"/>
      <c r="AQ139" s="43" t="str">
        <f aca="false">IF($A144="","",B144-$AA$2-SUM($F$2:F144))</f>
        <v/>
      </c>
      <c r="AR139" s="1" t="str">
        <f aca="false">IF($A143="","",30000)</f>
        <v/>
      </c>
      <c r="AS139" s="1" t="str">
        <f aca="false">IF($A143="","",AR143-B143)</f>
        <v/>
      </c>
      <c r="AT139" s="1" t="str">
        <f aca="false">IF($A143="","",IFERROR(B143/AR143,0))</f>
        <v/>
      </c>
      <c r="AU139" s="1" t="str">
        <f aca="false">IF($A143="","",IFERROR(B143*O143,0))</f>
        <v/>
      </c>
      <c r="AV139" s="1" t="str">
        <f aca="false">IF($A143="","",IFERROR(C143/B143,0))</f>
        <v/>
      </c>
      <c r="AW139" s="1" t="str">
        <f aca="false">IF($A143="","",MAX(0,R143-S143))</f>
        <v/>
      </c>
      <c r="AX139" s="1" t="str">
        <f aca="false">IF($A143="","",IF(AW143&gt;0,"优先降持仓数",IF(C143&lt;=0,"现金不足","允许评估")))</f>
        <v/>
      </c>
      <c r="AY139" s="1" t="str">
        <f aca="false">IF($A143="","",IF(B143&lt;30000,"婴儿阶段: 优先活下来,禁止单票失控,限制持仓数,服务3W目标","幼儿阶段达成"))</f>
        <v/>
      </c>
    </row>
    <row r="140" customFormat="false" ht="15" hidden="false" customHeight="true" outlineLevel="0" collapsed="false">
      <c r="A140" s="30"/>
      <c r="B140" s="44"/>
      <c r="C140" s="44"/>
      <c r="D140" s="35" t="str">
        <f aca="false">IF($A145="","",SUMIFS(持仓表!$J:$J,持仓表!$A:$A,$A145))</f>
        <v/>
      </c>
      <c r="E140" s="36" t="n">
        <f aca="false">IFERROR(D145/B145,0)</f>
        <v>0</v>
      </c>
      <c r="F140" s="44"/>
      <c r="G140" s="35" t="str">
        <f aca="false">IF($B145="","",MAX($B$2:B145))</f>
        <v/>
      </c>
      <c r="H140" s="36" t="n">
        <f aca="false">IFERROR((B145-F145)/F145,0)</f>
        <v>0</v>
      </c>
      <c r="I140" s="36" t="n">
        <f aca="false">IFERROR((B145-G145)/G145,0)</f>
        <v>0</v>
      </c>
      <c r="J140" s="30"/>
      <c r="K140" s="31"/>
      <c r="L140" s="45"/>
      <c r="M140" s="45"/>
      <c r="N140" s="36" t="str">
        <f aca="false">IF($B145="","",MIN(70%,IF($I145&lt;=-15%,10%,IF($I145&lt;=-10%,30%,IF($M145&gt;=4,10%,IF($M145&gt;=3,30%,IF($J145="强",IF($K145="A",70%,IF($K145="B",60%,40%)),IF($J145="中性",IF($K145="A",50%,IF($K145="B",40%,25%)),IF($K145="A",30%,IF($K145="B",20%,10%))))))))))</f>
        <v/>
      </c>
      <c r="O140" s="36" t="str">
        <f aca="false">IF($B145="","",IF(B145&lt;30000,35%,IF(B145&lt;50000,30%,IF(B145&lt;100000,25%,20%))))</f>
        <v/>
      </c>
      <c r="P140" s="38" t="str">
        <f aca="false">IF($A145="","",COUNTIFS(持仓表!$A:$A,$A145,持仓表!$G:$G,"&gt;0"))</f>
        <v/>
      </c>
      <c r="Q140" s="38" t="str">
        <f aca="false">IF($A145="","",COUNTIFS(持仓表!$A:$A,$A145,持仓表!$D:$D,"是",持仓表!$G:$G,"&gt;0"))</f>
        <v/>
      </c>
      <c r="R140" s="38" t="str">
        <f aca="false">IF($A145="","",MAX(0,P145-Q145))</f>
        <v/>
      </c>
      <c r="S140" s="38" t="str">
        <f aca="false">IF($B145="","",IF(B145&lt;50000,3,IF(B145&lt;100000,4,5)))</f>
        <v/>
      </c>
      <c r="T140" s="39" t="str">
        <f aca="false">IF($A145="","",IF(OR(M145&gt;=4,I145&lt;=-8%),"防守",IF(OR(M145&gt;=2,I145&lt;=-5%),"警戒","正常")))</f>
        <v/>
      </c>
      <c r="U140" s="39" t="str">
        <f aca="false">IF($A145="","",IF(AND(L145&gt;=3,M145&lt;=2,T145&lt;&gt;"防守"),"是","否"))</f>
        <v/>
      </c>
      <c r="V140" s="39" t="str">
        <f aca="false">IF($A145="","",IF(AND(E145&lt;N145,R145&lt;S145,M145&lt;=2,I145&gt;-15%),"是","否"))</f>
        <v/>
      </c>
      <c r="W140" s="39" t="str">
        <f aca="false">IF($A145="","",IF(OR(M145&gt;=3,I145&lt;=-15%),"是","否"))</f>
        <v/>
      </c>
      <c r="X140" s="35" t="str">
        <f aca="false">IF($A145="","",IFERROR(maxifs(候选池!$AB:$AB,候选池!$A:$A,$A145),0))</f>
        <v/>
      </c>
      <c r="Y140" s="35" t="str">
        <f aca="false">IF($A145="","",IF(OR(M145&gt;=4,I145&lt;=-8%),MAX(0,B145*60%-C145),IF(AND(ISNUMBER(AD145),B145&gt;AD145),IF(B145&lt;30000,0,IF(B145&lt;100000,MAX(0,(B145-AD145)*0.2),MAX(0,(B145-AD145)*0.3))),0)))</f>
        <v/>
      </c>
      <c r="Z140" s="30"/>
      <c r="AA140" s="39" t="str">
        <f aca="false">IF($A145="","",IF($AA$2&lt;&gt;"",$AA$2,""))</f>
        <v/>
      </c>
      <c r="AB140" s="30" t="str">
        <f aca="false">IF($A145="","",IF(B145&lt;30000,0.03,IF(B145&lt;100000,0.02,0.015)))</f>
        <v/>
      </c>
      <c r="AC140" s="38" t="str">
        <f aca="false">IF($A145="","",IFERROR(DATEDIF($A$2,$A145,"m"),0))</f>
        <v/>
      </c>
      <c r="AD140" s="35" t="str">
        <f aca="false">IF($A145="","",IF(OR(AA145="",AB145="",AC145=""),"",AA145*POWER(1+AB145,AC145)))</f>
        <v/>
      </c>
      <c r="AE140" s="47" t="str">
        <f aca="false">IF($A145="","",IF(OR(AD145="",AD145=0),"",B145/AD145-1))</f>
        <v/>
      </c>
      <c r="AG140" s="1" t="str">
        <f aca="false">IF($A145="","",IF(B145&lt;30000,"婴儿",IF(B145&lt;100000,"成长","成熟")))</f>
        <v/>
      </c>
      <c r="AH140" s="42"/>
      <c r="AJ140" s="42"/>
      <c r="AK140" s="42"/>
      <c r="AM140" s="42"/>
      <c r="AP140" s="32"/>
      <c r="AQ140" s="43" t="str">
        <f aca="false">IF($A145="","",B145-$AA$2-SUM($F$2:F145))</f>
        <v/>
      </c>
      <c r="AR140" s="1" t="str">
        <f aca="false">IF($A144="","",30000)</f>
        <v/>
      </c>
      <c r="AS140" s="1" t="str">
        <f aca="false">IF($A144="","",AR144-B144)</f>
        <v/>
      </c>
      <c r="AT140" s="1" t="str">
        <f aca="false">IF($A144="","",IFERROR(B144/AR144,0))</f>
        <v/>
      </c>
      <c r="AU140" s="1" t="str">
        <f aca="false">IF($A144="","",IFERROR(B144*O144,0))</f>
        <v/>
      </c>
      <c r="AV140" s="1" t="str">
        <f aca="false">IF($A144="","",IFERROR(C144/B144,0))</f>
        <v/>
      </c>
      <c r="AW140" s="1" t="str">
        <f aca="false">IF($A144="","",MAX(0,R144-S144))</f>
        <v/>
      </c>
      <c r="AX140" s="1" t="str">
        <f aca="false">IF($A144="","",IF(AW144&gt;0,"优先降持仓数",IF(C144&lt;=0,"现金不足","允许评估")))</f>
        <v/>
      </c>
      <c r="AY140" s="1" t="str">
        <f aca="false">IF($A144="","",IF(B144&lt;30000,"婴儿阶段: 优先活下来,禁止单票失控,限制持仓数,服务3W目标","幼儿阶段达成"))</f>
        <v/>
      </c>
    </row>
    <row r="141" customFormat="false" ht="15" hidden="false" customHeight="true" outlineLevel="0" collapsed="false">
      <c r="A141" s="28"/>
      <c r="B141" s="34"/>
      <c r="C141" s="34"/>
      <c r="D141" s="35" t="str">
        <f aca="false">IF($A146="","",SUMIFS(持仓表!$J:$J,持仓表!$A:$A,$A146))</f>
        <v/>
      </c>
      <c r="E141" s="36" t="n">
        <f aca="false">IFERROR(D146/B146,0)</f>
        <v>0</v>
      </c>
      <c r="F141" s="34"/>
      <c r="G141" s="35" t="str">
        <f aca="false">IF($B146="","",MAX($B$2:B146))</f>
        <v/>
      </c>
      <c r="H141" s="36" t="n">
        <f aca="false">IFERROR((B146-F146)/F146,0)</f>
        <v>0</v>
      </c>
      <c r="I141" s="36" t="n">
        <f aca="false">IFERROR((B146-G146)/G146,0)</f>
        <v>0</v>
      </c>
      <c r="J141" s="28"/>
      <c r="K141" s="29"/>
      <c r="L141" s="37"/>
      <c r="M141" s="37"/>
      <c r="N141" s="36" t="str">
        <f aca="false">IF($B146="","",MIN(70%,IF($I146&lt;=-15%,10%,IF($I146&lt;=-10%,30%,IF($M146&gt;=4,10%,IF($M146&gt;=3,30%,IF($J146="强",IF($K146="A",70%,IF($K146="B",60%,40%)),IF($J146="中性",IF($K146="A",50%,IF($K146="B",40%,25%)),IF($K146="A",30%,IF($K146="B",20%,10%))))))))))</f>
        <v/>
      </c>
      <c r="O141" s="36" t="str">
        <f aca="false">IF($B146="","",IF(B146&lt;30000,35%,IF(B146&lt;50000,30%,IF(B146&lt;100000,25%,20%))))</f>
        <v/>
      </c>
      <c r="P141" s="38" t="str">
        <f aca="false">IF($A146="","",COUNTIFS(持仓表!$A:$A,$A146,持仓表!$G:$G,"&gt;0"))</f>
        <v/>
      </c>
      <c r="Q141" s="38" t="str">
        <f aca="false">IF($A146="","",COUNTIFS(持仓表!$A:$A,$A146,持仓表!$D:$D,"是",持仓表!$G:$G,"&gt;0"))</f>
        <v/>
      </c>
      <c r="R141" s="38" t="str">
        <f aca="false">IF($A146="","",MAX(0,P146-Q146))</f>
        <v/>
      </c>
      <c r="S141" s="38" t="str">
        <f aca="false">IF($B146="","",IF(B146&lt;50000,3,IF(B146&lt;100000,4,5)))</f>
        <v/>
      </c>
      <c r="T141" s="39" t="str">
        <f aca="false">IF($A146="","",IF(OR(M146&gt;=4,I146&lt;=-8%),"防守",IF(OR(M146&gt;=2,I146&lt;=-5%),"警戒","正常")))</f>
        <v/>
      </c>
      <c r="U141" s="39" t="str">
        <f aca="false">IF($A146="","",IF(AND(L146&gt;=3,M146&lt;=2,T146&lt;&gt;"防守"),"是","否"))</f>
        <v/>
      </c>
      <c r="V141" s="39" t="str">
        <f aca="false">IF($A146="","",IF(AND(E146&lt;N146,R146&lt;S146,M146&lt;=2,I146&gt;-15%),"是","否"))</f>
        <v/>
      </c>
      <c r="W141" s="39" t="str">
        <f aca="false">IF($A146="","",IF(OR(M146&gt;=3,I146&lt;=-15%),"是","否"))</f>
        <v/>
      </c>
      <c r="X141" s="35" t="str">
        <f aca="false">IF($A146="","",IFERROR(maxifs(候选池!$AB:$AB,候选池!$A:$A,$A146),0))</f>
        <v/>
      </c>
      <c r="Y141" s="35" t="str">
        <f aca="false">IF($A146="","",IF(OR(M146&gt;=4,I146&lt;=-8%),MAX(0,B146*60%-C146),IF(AND(ISNUMBER(AD146),B146&gt;AD146),IF(B146&lt;30000,0,IF(B146&lt;100000,MAX(0,(B146-AD146)*0.2),MAX(0,(B146-AD146)*0.3))),0)))</f>
        <v/>
      </c>
      <c r="Z141" s="28"/>
      <c r="AA141" s="39" t="str">
        <f aca="false">IF($A146="","",IF($AA$2&lt;&gt;"",$AA$2,""))</f>
        <v/>
      </c>
      <c r="AB141" s="28" t="str">
        <f aca="false">IF($A146="","",IF(B146&lt;30000,0.03,IF(B146&lt;100000,0.02,0.015)))</f>
        <v/>
      </c>
      <c r="AC141" s="38" t="str">
        <f aca="false">IF($A146="","",IFERROR(DATEDIF($A$2,$A146,"m"),0))</f>
        <v/>
      </c>
      <c r="AD141" s="35" t="str">
        <f aca="false">IF($A146="","",IF(OR(AA146="",AB146="",AC146=""),"",AA146*POWER(1+AB146,AC146)))</f>
        <v/>
      </c>
      <c r="AE141" s="41" t="str">
        <f aca="false">IF($A146="","",IF(OR(AD146="",AD146=0),"",B146/AD146-1))</f>
        <v/>
      </c>
      <c r="AG141" s="1" t="str">
        <f aca="false">IF($A146="","",IF(B146&lt;30000,"婴儿",IF(B146&lt;100000,"成长","成熟")))</f>
        <v/>
      </c>
      <c r="AH141" s="42"/>
      <c r="AJ141" s="42"/>
      <c r="AK141" s="42"/>
      <c r="AM141" s="42"/>
      <c r="AP141" s="32"/>
      <c r="AQ141" s="43" t="str">
        <f aca="false">IF($A146="","",B146-$AA$2-SUM($F$2:F146))</f>
        <v/>
      </c>
      <c r="AR141" s="1" t="str">
        <f aca="false">IF($A145="","",30000)</f>
        <v/>
      </c>
      <c r="AS141" s="1" t="str">
        <f aca="false">IF($A145="","",AR145-B145)</f>
        <v/>
      </c>
      <c r="AT141" s="1" t="str">
        <f aca="false">IF($A145="","",IFERROR(B145/AR145,0))</f>
        <v/>
      </c>
      <c r="AU141" s="1" t="str">
        <f aca="false">IF($A145="","",IFERROR(B145*O145,0))</f>
        <v/>
      </c>
      <c r="AV141" s="1" t="str">
        <f aca="false">IF($A145="","",IFERROR(C145/B145,0))</f>
        <v/>
      </c>
      <c r="AW141" s="1" t="str">
        <f aca="false">IF($A145="","",MAX(0,R145-S145))</f>
        <v/>
      </c>
      <c r="AX141" s="1" t="str">
        <f aca="false">IF($A145="","",IF(AW145&gt;0,"优先降持仓数",IF(C145&lt;=0,"现金不足","允许评估")))</f>
        <v/>
      </c>
      <c r="AY141" s="1" t="str">
        <f aca="false">IF($A145="","",IF(B145&lt;30000,"婴儿阶段: 优先活下来,禁止单票失控,限制持仓数,服务3W目标","幼儿阶段达成"))</f>
        <v/>
      </c>
    </row>
    <row r="142" customFormat="false" ht="15" hidden="false" customHeight="true" outlineLevel="0" collapsed="false">
      <c r="A142" s="30"/>
      <c r="B142" s="44"/>
      <c r="C142" s="44"/>
      <c r="D142" s="35" t="str">
        <f aca="false">IF($A147="","",SUMIFS(持仓表!$J:$J,持仓表!$A:$A,$A147))</f>
        <v/>
      </c>
      <c r="E142" s="36" t="n">
        <f aca="false">IFERROR(D147/B147,0)</f>
        <v>0</v>
      </c>
      <c r="F142" s="44"/>
      <c r="G142" s="35" t="str">
        <f aca="false">IF($B147="","",MAX($B$2:B147))</f>
        <v/>
      </c>
      <c r="H142" s="36" t="n">
        <f aca="false">IFERROR((B147-F147)/F147,0)</f>
        <v>0</v>
      </c>
      <c r="I142" s="36" t="n">
        <f aca="false">IFERROR((B147-G147)/G147,0)</f>
        <v>0</v>
      </c>
      <c r="J142" s="30"/>
      <c r="K142" s="31"/>
      <c r="L142" s="45"/>
      <c r="M142" s="45"/>
      <c r="N142" s="36" t="str">
        <f aca="false">IF($B147="","",MIN(70%,IF($I147&lt;=-15%,10%,IF($I147&lt;=-10%,30%,IF($M147&gt;=4,10%,IF($M147&gt;=3,30%,IF($J147="强",IF($K147="A",70%,IF($K147="B",60%,40%)),IF($J147="中性",IF($K147="A",50%,IF($K147="B",40%,25%)),IF($K147="A",30%,IF($K147="B",20%,10%))))))))))</f>
        <v/>
      </c>
      <c r="O142" s="36" t="str">
        <f aca="false">IF($B147="","",IF(B147&lt;30000,35%,IF(B147&lt;50000,30%,IF(B147&lt;100000,25%,20%))))</f>
        <v/>
      </c>
      <c r="P142" s="38" t="str">
        <f aca="false">IF($A147="","",COUNTIFS(持仓表!$A:$A,$A147,持仓表!$G:$G,"&gt;0"))</f>
        <v/>
      </c>
      <c r="Q142" s="38" t="str">
        <f aca="false">IF($A147="","",COUNTIFS(持仓表!$A:$A,$A147,持仓表!$D:$D,"是",持仓表!$G:$G,"&gt;0"))</f>
        <v/>
      </c>
      <c r="R142" s="38" t="str">
        <f aca="false">IF($A147="","",MAX(0,P147-Q147))</f>
        <v/>
      </c>
      <c r="S142" s="38" t="str">
        <f aca="false">IF($B147="","",IF(B147&lt;50000,3,IF(B147&lt;100000,4,5)))</f>
        <v/>
      </c>
      <c r="T142" s="39" t="str">
        <f aca="false">IF($A147="","",IF(OR(M147&gt;=4,I147&lt;=-8%),"防守",IF(OR(M147&gt;=2,I147&lt;=-5%),"警戒","正常")))</f>
        <v/>
      </c>
      <c r="U142" s="39" t="str">
        <f aca="false">IF($A147="","",IF(AND(L147&gt;=3,M147&lt;=2,T147&lt;&gt;"防守"),"是","否"))</f>
        <v/>
      </c>
      <c r="V142" s="39" t="str">
        <f aca="false">IF($A147="","",IF(AND(E147&lt;N147,R147&lt;S147,M147&lt;=2,I147&gt;-15%),"是","否"))</f>
        <v/>
      </c>
      <c r="W142" s="39" t="str">
        <f aca="false">IF($A147="","",IF(OR(M147&gt;=3,I147&lt;=-15%),"是","否"))</f>
        <v/>
      </c>
      <c r="X142" s="35" t="str">
        <f aca="false">IF($A147="","",IFERROR(maxifs(候选池!$AB:$AB,候选池!$A:$A,$A147),0))</f>
        <v/>
      </c>
      <c r="Y142" s="35" t="str">
        <f aca="false">IF($A147="","",IF(OR(M147&gt;=4,I147&lt;=-8%),MAX(0,B147*60%-C147),IF(AND(ISNUMBER(AD147),B147&gt;AD147),IF(B147&lt;30000,0,IF(B147&lt;100000,MAX(0,(B147-AD147)*0.2),MAX(0,(B147-AD147)*0.3))),0)))</f>
        <v/>
      </c>
      <c r="Z142" s="30"/>
      <c r="AA142" s="39" t="str">
        <f aca="false">IF($A147="","",IF($AA$2&lt;&gt;"",$AA$2,""))</f>
        <v/>
      </c>
      <c r="AB142" s="30" t="str">
        <f aca="false">IF($A147="","",IF(B147&lt;30000,0.03,IF(B147&lt;100000,0.02,0.015)))</f>
        <v/>
      </c>
      <c r="AC142" s="38" t="str">
        <f aca="false">IF($A147="","",IFERROR(DATEDIF($A$2,$A147,"m"),0))</f>
        <v/>
      </c>
      <c r="AD142" s="35" t="str">
        <f aca="false">IF($A147="","",IF(OR(AA147="",AB147="",AC147=""),"",AA147*POWER(1+AB147,AC147)))</f>
        <v/>
      </c>
      <c r="AE142" s="47" t="str">
        <f aca="false">IF($A147="","",IF(OR(AD147="",AD147=0),"",B147/AD147-1))</f>
        <v/>
      </c>
      <c r="AG142" s="1" t="str">
        <f aca="false">IF($A147="","",IF(B147&lt;30000,"婴儿",IF(B147&lt;100000,"成长","成熟")))</f>
        <v/>
      </c>
      <c r="AH142" s="42"/>
      <c r="AJ142" s="42"/>
      <c r="AK142" s="42"/>
      <c r="AM142" s="42"/>
      <c r="AP142" s="32"/>
      <c r="AQ142" s="43" t="str">
        <f aca="false">IF($A147="","",B147-$AA$2-SUM($F$2:F147))</f>
        <v/>
      </c>
      <c r="AR142" s="1" t="str">
        <f aca="false">IF($A146="","",30000)</f>
        <v/>
      </c>
      <c r="AS142" s="1" t="str">
        <f aca="false">IF($A146="","",AR146-B146)</f>
        <v/>
      </c>
      <c r="AT142" s="1" t="str">
        <f aca="false">IF($A146="","",IFERROR(B146/AR146,0))</f>
        <v/>
      </c>
      <c r="AU142" s="1" t="str">
        <f aca="false">IF($A146="","",IFERROR(B146*O146,0))</f>
        <v/>
      </c>
      <c r="AV142" s="1" t="str">
        <f aca="false">IF($A146="","",IFERROR(C146/B146,0))</f>
        <v/>
      </c>
      <c r="AW142" s="1" t="str">
        <f aca="false">IF($A146="","",MAX(0,R146-S146))</f>
        <v/>
      </c>
      <c r="AX142" s="1" t="str">
        <f aca="false">IF($A146="","",IF(AW146&gt;0,"优先降持仓数",IF(C146&lt;=0,"现金不足","允许评估")))</f>
        <v/>
      </c>
      <c r="AY142" s="1" t="str">
        <f aca="false">IF($A146="","",IF(B146&lt;30000,"婴儿阶段: 优先活下来,禁止单票失控,限制持仓数,服务3W目标","幼儿阶段达成"))</f>
        <v/>
      </c>
    </row>
    <row r="143" customFormat="false" ht="15" hidden="false" customHeight="true" outlineLevel="0" collapsed="false">
      <c r="A143" s="28"/>
      <c r="B143" s="34"/>
      <c r="C143" s="34"/>
      <c r="D143" s="35" t="str">
        <f aca="false">IF($A148="","",SUMIFS(持仓表!$J:$J,持仓表!$A:$A,$A148))</f>
        <v/>
      </c>
      <c r="E143" s="36" t="n">
        <f aca="false">IFERROR(D148/B148,0)</f>
        <v>0</v>
      </c>
      <c r="F143" s="34"/>
      <c r="G143" s="35" t="str">
        <f aca="false">IF($B148="","",MAX($B$2:B148))</f>
        <v/>
      </c>
      <c r="H143" s="36" t="n">
        <f aca="false">IFERROR((B148-F148)/F148,0)</f>
        <v>0</v>
      </c>
      <c r="I143" s="36" t="n">
        <f aca="false">IFERROR((B148-G148)/G148,0)</f>
        <v>0</v>
      </c>
      <c r="J143" s="28"/>
      <c r="K143" s="29"/>
      <c r="L143" s="37"/>
      <c r="M143" s="37"/>
      <c r="N143" s="36" t="str">
        <f aca="false">IF($B148="","",MIN(70%,IF($I148&lt;=-15%,10%,IF($I148&lt;=-10%,30%,IF($M148&gt;=4,10%,IF($M148&gt;=3,30%,IF($J148="强",IF($K148="A",70%,IF($K148="B",60%,40%)),IF($J148="中性",IF($K148="A",50%,IF($K148="B",40%,25%)),IF($K148="A",30%,IF($K148="B",20%,10%))))))))))</f>
        <v/>
      </c>
      <c r="O143" s="36" t="str">
        <f aca="false">IF($B148="","",IF(B148&lt;30000,35%,IF(B148&lt;50000,30%,IF(B148&lt;100000,25%,20%))))</f>
        <v/>
      </c>
      <c r="P143" s="38" t="str">
        <f aca="false">IF($A148="","",COUNTIFS(持仓表!$A:$A,$A148,持仓表!$G:$G,"&gt;0"))</f>
        <v/>
      </c>
      <c r="Q143" s="38" t="str">
        <f aca="false">IF($A148="","",COUNTIFS(持仓表!$A:$A,$A148,持仓表!$D:$D,"是",持仓表!$G:$G,"&gt;0"))</f>
        <v/>
      </c>
      <c r="R143" s="38" t="str">
        <f aca="false">IF($A148="","",MAX(0,P148-Q148))</f>
        <v/>
      </c>
      <c r="S143" s="38" t="str">
        <f aca="false">IF($B148="","",IF(B148&lt;50000,3,IF(B148&lt;100000,4,5)))</f>
        <v/>
      </c>
      <c r="T143" s="39" t="str">
        <f aca="false">IF($A148="","",IF(OR(M148&gt;=4,I148&lt;=-8%),"防守",IF(OR(M148&gt;=2,I148&lt;=-5%),"警戒","正常")))</f>
        <v/>
      </c>
      <c r="U143" s="39" t="str">
        <f aca="false">IF($A148="","",IF(AND(L148&gt;=3,M148&lt;=2,T148&lt;&gt;"防守"),"是","否"))</f>
        <v/>
      </c>
      <c r="V143" s="39" t="str">
        <f aca="false">IF($A148="","",IF(AND(E148&lt;N148,R148&lt;S148,M148&lt;=2,I148&gt;-15%),"是","否"))</f>
        <v/>
      </c>
      <c r="W143" s="39" t="str">
        <f aca="false">IF($A148="","",IF(OR(M148&gt;=3,I148&lt;=-15%),"是","否"))</f>
        <v/>
      </c>
      <c r="X143" s="35" t="str">
        <f aca="false">IF($A148="","",IFERROR(maxifs(候选池!$AB:$AB,候选池!$A:$A,$A148),0))</f>
        <v/>
      </c>
      <c r="Y143" s="35" t="str">
        <f aca="false">IF($A148="","",IF(OR(M148&gt;=4,I148&lt;=-8%),MAX(0,B148*60%-C148),IF(AND(ISNUMBER(AD148),B148&gt;AD148),IF(B148&lt;30000,0,IF(B148&lt;100000,MAX(0,(B148-AD148)*0.2),MAX(0,(B148-AD148)*0.3))),0)))</f>
        <v/>
      </c>
      <c r="Z143" s="28"/>
      <c r="AA143" s="39" t="str">
        <f aca="false">IF($A148="","",IF($AA$2&lt;&gt;"",$AA$2,""))</f>
        <v/>
      </c>
      <c r="AB143" s="28" t="str">
        <f aca="false">IF($A148="","",IF(B148&lt;30000,0.03,IF(B148&lt;100000,0.02,0.015)))</f>
        <v/>
      </c>
      <c r="AC143" s="38" t="str">
        <f aca="false">IF($A148="","",IFERROR(DATEDIF($A$2,$A148,"m"),0))</f>
        <v/>
      </c>
      <c r="AD143" s="35" t="str">
        <f aca="false">IF($A148="","",IF(OR(AA148="",AB148="",AC148=""),"",AA148*POWER(1+AB148,AC148)))</f>
        <v/>
      </c>
      <c r="AE143" s="41" t="str">
        <f aca="false">IF($A148="","",IF(OR(AD148="",AD148=0),"",B148/AD148-1))</f>
        <v/>
      </c>
      <c r="AG143" s="1" t="str">
        <f aca="false">IF($A148="","",IF(B148&lt;30000,"婴儿",IF(B148&lt;100000,"成长","成熟")))</f>
        <v/>
      </c>
      <c r="AH143" s="42"/>
      <c r="AJ143" s="42"/>
      <c r="AK143" s="42"/>
      <c r="AM143" s="42"/>
      <c r="AP143" s="32"/>
      <c r="AQ143" s="43" t="str">
        <f aca="false">IF($A148="","",B148-$AA$2-SUM($F$2:F148))</f>
        <v/>
      </c>
      <c r="AR143" s="1" t="str">
        <f aca="false">IF($A147="","",30000)</f>
        <v/>
      </c>
      <c r="AS143" s="1" t="str">
        <f aca="false">IF($A147="","",AR147-B147)</f>
        <v/>
      </c>
      <c r="AT143" s="1" t="str">
        <f aca="false">IF($A147="","",IFERROR(B147/AR147,0))</f>
        <v/>
      </c>
      <c r="AU143" s="1" t="str">
        <f aca="false">IF($A147="","",IFERROR(B147*O147,0))</f>
        <v/>
      </c>
      <c r="AV143" s="1" t="str">
        <f aca="false">IF($A147="","",IFERROR(C147/B147,0))</f>
        <v/>
      </c>
      <c r="AW143" s="1" t="str">
        <f aca="false">IF($A147="","",MAX(0,R147-S147))</f>
        <v/>
      </c>
      <c r="AX143" s="1" t="str">
        <f aca="false">IF($A147="","",IF(AW147&gt;0,"优先降持仓数",IF(C147&lt;=0,"现金不足","允许评估")))</f>
        <v/>
      </c>
      <c r="AY143" s="1" t="str">
        <f aca="false">IF($A147="","",IF(B147&lt;30000,"婴儿阶段: 优先活下来,禁止单票失控,限制持仓数,服务3W目标","幼儿阶段达成"))</f>
        <v/>
      </c>
    </row>
    <row r="144" customFormat="false" ht="15" hidden="false" customHeight="true" outlineLevel="0" collapsed="false">
      <c r="A144" s="30"/>
      <c r="B144" s="44"/>
      <c r="C144" s="44"/>
      <c r="D144" s="35" t="str">
        <f aca="false">IF($A149="","",SUMIFS(持仓表!$J:$J,持仓表!$A:$A,$A149))</f>
        <v/>
      </c>
      <c r="E144" s="36" t="n">
        <f aca="false">IFERROR(D149/B149,0)</f>
        <v>0</v>
      </c>
      <c r="F144" s="44"/>
      <c r="G144" s="35" t="str">
        <f aca="false">IF($B149="","",MAX($B$2:B149))</f>
        <v/>
      </c>
      <c r="H144" s="36" t="n">
        <f aca="false">IFERROR((B149-F149)/F149,0)</f>
        <v>0</v>
      </c>
      <c r="I144" s="36" t="n">
        <f aca="false">IFERROR((B149-G149)/G149,0)</f>
        <v>0</v>
      </c>
      <c r="J144" s="30"/>
      <c r="K144" s="31"/>
      <c r="L144" s="45"/>
      <c r="M144" s="45"/>
      <c r="N144" s="36" t="str">
        <f aca="false">IF($B149="","",MIN(70%,IF($I149&lt;=-15%,10%,IF($I149&lt;=-10%,30%,IF($M149&gt;=4,10%,IF($M149&gt;=3,30%,IF($J149="强",IF($K149="A",70%,IF($K149="B",60%,40%)),IF($J149="中性",IF($K149="A",50%,IF($K149="B",40%,25%)),IF($K149="A",30%,IF($K149="B",20%,10%))))))))))</f>
        <v/>
      </c>
      <c r="O144" s="36" t="str">
        <f aca="false">IF($B149="","",IF(B149&lt;30000,35%,IF(B149&lt;50000,30%,IF(B149&lt;100000,25%,20%))))</f>
        <v/>
      </c>
      <c r="P144" s="38" t="str">
        <f aca="false">IF($A149="","",COUNTIFS(持仓表!$A:$A,$A149,持仓表!$G:$G,"&gt;0"))</f>
        <v/>
      </c>
      <c r="Q144" s="38" t="str">
        <f aca="false">IF($A149="","",COUNTIFS(持仓表!$A:$A,$A149,持仓表!$D:$D,"是",持仓表!$G:$G,"&gt;0"))</f>
        <v/>
      </c>
      <c r="R144" s="38" t="str">
        <f aca="false">IF($A149="","",MAX(0,P149-Q149))</f>
        <v/>
      </c>
      <c r="S144" s="38" t="str">
        <f aca="false">IF($B149="","",IF(B149&lt;50000,3,IF(B149&lt;100000,4,5)))</f>
        <v/>
      </c>
      <c r="T144" s="39" t="str">
        <f aca="false">IF($A149="","",IF(OR(M149&gt;=4,I149&lt;=-8%),"防守",IF(OR(M149&gt;=2,I149&lt;=-5%),"警戒","正常")))</f>
        <v/>
      </c>
      <c r="U144" s="39" t="str">
        <f aca="false">IF($A149="","",IF(AND(L149&gt;=3,M149&lt;=2,T149&lt;&gt;"防守"),"是","否"))</f>
        <v/>
      </c>
      <c r="V144" s="39" t="str">
        <f aca="false">IF($A149="","",IF(AND(E149&lt;N149,R149&lt;S149,M149&lt;=2,I149&gt;-15%),"是","否"))</f>
        <v/>
      </c>
      <c r="W144" s="39" t="str">
        <f aca="false">IF($A149="","",IF(OR(M149&gt;=3,I149&lt;=-15%),"是","否"))</f>
        <v/>
      </c>
      <c r="X144" s="35" t="str">
        <f aca="false">IF($A149="","",IFERROR(maxifs(候选池!$AB:$AB,候选池!$A:$A,$A149),0))</f>
        <v/>
      </c>
      <c r="Y144" s="35" t="str">
        <f aca="false">IF($A149="","",IF(OR(M149&gt;=4,I149&lt;=-8%),MAX(0,B149*60%-C149),IF(AND(ISNUMBER(AD149),B149&gt;AD149),IF(B149&lt;30000,0,IF(B149&lt;100000,MAX(0,(B149-AD149)*0.2),MAX(0,(B149-AD149)*0.3))),0)))</f>
        <v/>
      </c>
      <c r="Z144" s="30"/>
      <c r="AA144" s="39" t="str">
        <f aca="false">IF($A149="","",IF($AA$2&lt;&gt;"",$AA$2,""))</f>
        <v/>
      </c>
      <c r="AB144" s="30" t="str">
        <f aca="false">IF($A149="","",IF(B149&lt;30000,0.03,IF(B149&lt;100000,0.02,0.015)))</f>
        <v/>
      </c>
      <c r="AC144" s="38" t="str">
        <f aca="false">IF($A149="","",IFERROR(DATEDIF($A$2,$A149,"m"),0))</f>
        <v/>
      </c>
      <c r="AD144" s="35" t="str">
        <f aca="false">IF($A149="","",IF(OR(AA149="",AB149="",AC149=""),"",AA149*POWER(1+AB149,AC149)))</f>
        <v/>
      </c>
      <c r="AE144" s="47" t="str">
        <f aca="false">IF($A149="","",IF(OR(AD149="",AD149=0),"",B149/AD149-1))</f>
        <v/>
      </c>
      <c r="AG144" s="1" t="str">
        <f aca="false">IF($A149="","",IF(B149&lt;30000,"婴儿",IF(B149&lt;100000,"成长","成熟")))</f>
        <v/>
      </c>
      <c r="AH144" s="42"/>
      <c r="AJ144" s="42"/>
      <c r="AK144" s="42"/>
      <c r="AM144" s="42"/>
      <c r="AP144" s="32"/>
      <c r="AQ144" s="43" t="str">
        <f aca="false">IF($A149="","",B149-$AA$2-SUM($F$2:F149))</f>
        <v/>
      </c>
      <c r="AR144" s="1" t="str">
        <f aca="false">IF($A148="","",30000)</f>
        <v/>
      </c>
      <c r="AS144" s="1" t="str">
        <f aca="false">IF($A148="","",AR148-B148)</f>
        <v/>
      </c>
      <c r="AT144" s="1" t="str">
        <f aca="false">IF($A148="","",IFERROR(B148/AR148,0))</f>
        <v/>
      </c>
      <c r="AU144" s="1" t="str">
        <f aca="false">IF($A148="","",IFERROR(B148*O148,0))</f>
        <v/>
      </c>
      <c r="AV144" s="1" t="str">
        <f aca="false">IF($A148="","",IFERROR(C148/B148,0))</f>
        <v/>
      </c>
      <c r="AW144" s="1" t="str">
        <f aca="false">IF($A148="","",MAX(0,R148-S148))</f>
        <v/>
      </c>
      <c r="AX144" s="1" t="str">
        <f aca="false">IF($A148="","",IF(AW148&gt;0,"优先降持仓数",IF(C148&lt;=0,"现金不足","允许评估")))</f>
        <v/>
      </c>
      <c r="AY144" s="1" t="str">
        <f aca="false">IF($A148="","",IF(B148&lt;30000,"婴儿阶段: 优先活下来,禁止单票失控,限制持仓数,服务3W目标","幼儿阶段达成"))</f>
        <v/>
      </c>
    </row>
    <row r="145" customFormat="false" ht="15" hidden="false" customHeight="true" outlineLevel="0" collapsed="false">
      <c r="A145" s="28"/>
      <c r="B145" s="34"/>
      <c r="C145" s="34"/>
      <c r="D145" s="35" t="str">
        <f aca="false">IF($A150="","",SUMIFS(持仓表!$J:$J,持仓表!$A:$A,$A150))</f>
        <v/>
      </c>
      <c r="E145" s="36" t="n">
        <f aca="false">IFERROR(D150/B150,0)</f>
        <v>0</v>
      </c>
      <c r="F145" s="34"/>
      <c r="G145" s="35" t="str">
        <f aca="false">IF($B150="","",MAX($B$2:B150))</f>
        <v/>
      </c>
      <c r="H145" s="36" t="n">
        <f aca="false">IFERROR((B150-F150)/F150,0)</f>
        <v>0</v>
      </c>
      <c r="I145" s="36" t="n">
        <f aca="false">IFERROR((B150-G150)/G150,0)</f>
        <v>0</v>
      </c>
      <c r="J145" s="28"/>
      <c r="K145" s="29"/>
      <c r="L145" s="37"/>
      <c r="M145" s="37"/>
      <c r="N145" s="36" t="str">
        <f aca="false">IF($B150="","",MIN(70%,IF($I150&lt;=-15%,10%,IF($I150&lt;=-10%,30%,IF($M150&gt;=4,10%,IF($M150&gt;=3,30%,IF($J150="强",IF($K150="A",70%,IF($K150="B",60%,40%)),IF($J150="中性",IF($K150="A",50%,IF($K150="B",40%,25%)),IF($K150="A",30%,IF($K150="B",20%,10%))))))))))</f>
        <v/>
      </c>
      <c r="O145" s="36" t="str">
        <f aca="false">IF($B150="","",IF(B150&lt;30000,35%,IF(B150&lt;50000,30%,IF(B150&lt;100000,25%,20%))))</f>
        <v/>
      </c>
      <c r="P145" s="38" t="str">
        <f aca="false">IF($A150="","",COUNTIFS(持仓表!$A:$A,$A150,持仓表!$G:$G,"&gt;0"))</f>
        <v/>
      </c>
      <c r="Q145" s="38" t="str">
        <f aca="false">IF($A150="","",COUNTIFS(持仓表!$A:$A,$A150,持仓表!$D:$D,"是",持仓表!$G:$G,"&gt;0"))</f>
        <v/>
      </c>
      <c r="R145" s="38" t="str">
        <f aca="false">IF($A150="","",MAX(0,P150-Q150))</f>
        <v/>
      </c>
      <c r="S145" s="38" t="str">
        <f aca="false">IF($B150="","",IF(B150&lt;50000,3,IF(B150&lt;100000,4,5)))</f>
        <v/>
      </c>
      <c r="T145" s="39" t="str">
        <f aca="false">IF($A150="","",IF(OR(M150&gt;=4,I150&lt;=-8%),"防守",IF(OR(M150&gt;=2,I150&lt;=-5%),"警戒","正常")))</f>
        <v/>
      </c>
      <c r="U145" s="39" t="str">
        <f aca="false">IF($A150="","",IF(AND(L150&gt;=3,M150&lt;=2,T150&lt;&gt;"防守"),"是","否"))</f>
        <v/>
      </c>
      <c r="V145" s="39" t="str">
        <f aca="false">IF($A150="","",IF(AND(E150&lt;N150,R150&lt;S150,M150&lt;=2,I150&gt;-15%),"是","否"))</f>
        <v/>
      </c>
      <c r="W145" s="39" t="str">
        <f aca="false">IF($A150="","",IF(OR(M150&gt;=3,I150&lt;=-15%),"是","否"))</f>
        <v/>
      </c>
      <c r="X145" s="35" t="str">
        <f aca="false">IF($A150="","",IFERROR(maxifs(候选池!$AB:$AB,候选池!$A:$A,$A150),0))</f>
        <v/>
      </c>
      <c r="Y145" s="35" t="str">
        <f aca="false">IF($A150="","",IF(OR(M150&gt;=4,I150&lt;=-8%),MAX(0,B150*60%-C150),IF(AND(ISNUMBER(AD150),B150&gt;AD150),IF(B150&lt;30000,0,IF(B150&lt;100000,MAX(0,(B150-AD150)*0.2),MAX(0,(B150-AD150)*0.3))),0)))</f>
        <v/>
      </c>
      <c r="Z145" s="28"/>
      <c r="AA145" s="39" t="str">
        <f aca="false">IF($A150="","",IF($AA$2&lt;&gt;"",$AA$2,""))</f>
        <v/>
      </c>
      <c r="AB145" s="28" t="str">
        <f aca="false">IF($A150="","",IF(B150&lt;30000,0.03,IF(B150&lt;100000,0.02,0.015)))</f>
        <v/>
      </c>
      <c r="AC145" s="38" t="str">
        <f aca="false">IF($A150="","",IFERROR(DATEDIF($A$2,$A150,"m"),0))</f>
        <v/>
      </c>
      <c r="AD145" s="35" t="str">
        <f aca="false">IF($A150="","",IF(OR(AA150="",AB150="",AC150=""),"",AA150*POWER(1+AB150,AC150)))</f>
        <v/>
      </c>
      <c r="AE145" s="41" t="str">
        <f aca="false">IF($A150="","",IF(OR(AD150="",AD150=0),"",B150/AD150-1))</f>
        <v/>
      </c>
      <c r="AG145" s="1" t="str">
        <f aca="false">IF($A150="","",IF(B150&lt;30000,"婴儿",IF(B150&lt;100000,"成长","成熟")))</f>
        <v/>
      </c>
      <c r="AH145" s="42"/>
      <c r="AJ145" s="42"/>
      <c r="AK145" s="42"/>
      <c r="AM145" s="42"/>
      <c r="AP145" s="32"/>
      <c r="AQ145" s="43" t="str">
        <f aca="false">IF($A150="","",B150-$AA$2-SUM($F$2:F150))</f>
        <v/>
      </c>
      <c r="AR145" s="1" t="str">
        <f aca="false">IF($A149="","",30000)</f>
        <v/>
      </c>
      <c r="AS145" s="1" t="str">
        <f aca="false">IF($A149="","",AR149-B149)</f>
        <v/>
      </c>
      <c r="AT145" s="1" t="str">
        <f aca="false">IF($A149="","",IFERROR(B149/AR149,0))</f>
        <v/>
      </c>
      <c r="AU145" s="1" t="str">
        <f aca="false">IF($A149="","",IFERROR(B149*O149,0))</f>
        <v/>
      </c>
      <c r="AV145" s="1" t="str">
        <f aca="false">IF($A149="","",IFERROR(C149/B149,0))</f>
        <v/>
      </c>
      <c r="AW145" s="1" t="str">
        <f aca="false">IF($A149="","",MAX(0,R149-S149))</f>
        <v/>
      </c>
      <c r="AX145" s="1" t="str">
        <f aca="false">IF($A149="","",IF(AW149&gt;0,"优先降持仓数",IF(C149&lt;=0,"现金不足","允许评估")))</f>
        <v/>
      </c>
      <c r="AY145" s="1" t="str">
        <f aca="false">IF($A149="","",IF(B149&lt;30000,"婴儿阶段: 优先活下来,禁止单票失控,限制持仓数,服务3W目标","幼儿阶段达成"))</f>
        <v/>
      </c>
    </row>
    <row r="146" customFormat="false" ht="15" hidden="false" customHeight="true" outlineLevel="0" collapsed="false">
      <c r="A146" s="30"/>
      <c r="B146" s="44"/>
      <c r="C146" s="44"/>
      <c r="D146" s="35" t="str">
        <f aca="false">IF($A151="","",SUMIFS(持仓表!$J:$J,持仓表!$A:$A,$A151))</f>
        <v/>
      </c>
      <c r="E146" s="36" t="n">
        <f aca="false">IFERROR(D151/B151,0)</f>
        <v>0</v>
      </c>
      <c r="F146" s="44"/>
      <c r="G146" s="35" t="str">
        <f aca="false">IF($B151="","",MAX($B$2:B151))</f>
        <v/>
      </c>
      <c r="H146" s="36" t="n">
        <f aca="false">IFERROR((B151-F151)/F151,0)</f>
        <v>0</v>
      </c>
      <c r="I146" s="36" t="n">
        <f aca="false">IFERROR((B151-G151)/G151,0)</f>
        <v>0</v>
      </c>
      <c r="J146" s="30"/>
      <c r="K146" s="31"/>
      <c r="L146" s="45"/>
      <c r="M146" s="45"/>
      <c r="N146" s="36" t="str">
        <f aca="false">IF($B151="","",MIN(70%,IF($I151&lt;=-15%,10%,IF($I151&lt;=-10%,30%,IF($M151&gt;=4,10%,IF($M151&gt;=3,30%,IF($J151="强",IF($K151="A",70%,IF($K151="B",60%,40%)),IF($J151="中性",IF($K151="A",50%,IF($K151="B",40%,25%)),IF($K151="A",30%,IF($K151="B",20%,10%))))))))))</f>
        <v/>
      </c>
      <c r="O146" s="36" t="str">
        <f aca="false">IF($B151="","",IF(B151&lt;30000,35%,IF(B151&lt;50000,30%,IF(B151&lt;100000,25%,20%))))</f>
        <v/>
      </c>
      <c r="P146" s="38" t="str">
        <f aca="false">IF($A151="","",COUNTIFS(持仓表!$A:$A,$A151,持仓表!$G:$G,"&gt;0"))</f>
        <v/>
      </c>
      <c r="Q146" s="38" t="str">
        <f aca="false">IF($A151="","",COUNTIFS(持仓表!$A:$A,$A151,持仓表!$D:$D,"是",持仓表!$G:$G,"&gt;0"))</f>
        <v/>
      </c>
      <c r="R146" s="38" t="str">
        <f aca="false">IF($A151="","",MAX(0,P151-Q151))</f>
        <v/>
      </c>
      <c r="S146" s="38" t="str">
        <f aca="false">IF($B151="","",IF(B151&lt;50000,3,IF(B151&lt;100000,4,5)))</f>
        <v/>
      </c>
      <c r="T146" s="39" t="str">
        <f aca="false">IF($A151="","",IF(OR(M151&gt;=4,I151&lt;=-8%),"防守",IF(OR(M151&gt;=2,I151&lt;=-5%),"警戒","正常")))</f>
        <v/>
      </c>
      <c r="U146" s="39" t="str">
        <f aca="false">IF($A151="","",IF(AND(L151&gt;=3,M151&lt;=2,T151&lt;&gt;"防守"),"是","否"))</f>
        <v/>
      </c>
      <c r="V146" s="39" t="str">
        <f aca="false">IF($A151="","",IF(AND(E151&lt;N151,R151&lt;S151,M151&lt;=2,I151&gt;-15%),"是","否"))</f>
        <v/>
      </c>
      <c r="W146" s="39" t="str">
        <f aca="false">IF($A151="","",IF(OR(M151&gt;=3,I151&lt;=-15%),"是","否"))</f>
        <v/>
      </c>
      <c r="X146" s="35" t="str">
        <f aca="false">IF($A151="","",IFERROR(maxifs(候选池!$AB:$AB,候选池!$A:$A,$A151),0))</f>
        <v/>
      </c>
      <c r="Y146" s="35" t="str">
        <f aca="false">IF($A151="","",IF(OR(M151&gt;=4,I151&lt;=-8%),MAX(0,B151*60%-C151),IF(AND(ISNUMBER(AD151),B151&gt;AD151),IF(B151&lt;30000,0,IF(B151&lt;100000,MAX(0,(B151-AD151)*0.2),MAX(0,(B151-AD151)*0.3))),0)))</f>
        <v/>
      </c>
      <c r="Z146" s="30"/>
      <c r="AA146" s="39" t="str">
        <f aca="false">IF($A151="","",IF($AA$2&lt;&gt;"",$AA$2,""))</f>
        <v/>
      </c>
      <c r="AB146" s="30" t="str">
        <f aca="false">IF($A151="","",IF(B151&lt;30000,0.03,IF(B151&lt;100000,0.02,0.015)))</f>
        <v/>
      </c>
      <c r="AC146" s="38" t="str">
        <f aca="false">IF($A151="","",IFERROR(DATEDIF($A$2,$A151,"m"),0))</f>
        <v/>
      </c>
      <c r="AD146" s="35" t="str">
        <f aca="false">IF($A151="","",IF(OR(AA151="",AB151="",AC151=""),"",AA151*POWER(1+AB151,AC151)))</f>
        <v/>
      </c>
      <c r="AE146" s="47" t="str">
        <f aca="false">IF($A151="","",IF(OR(AD151="",AD151=0),"",B151/AD151-1))</f>
        <v/>
      </c>
      <c r="AG146" s="1" t="str">
        <f aca="false">IF($A151="","",IF(B151&lt;30000,"婴儿",IF(B151&lt;100000,"成长","成熟")))</f>
        <v/>
      </c>
      <c r="AH146" s="42"/>
      <c r="AJ146" s="42"/>
      <c r="AK146" s="42"/>
      <c r="AM146" s="42"/>
      <c r="AP146" s="32"/>
      <c r="AQ146" s="43" t="str">
        <f aca="false">IF($A151="","",B151-$AA$2-SUM($F$2:F151))</f>
        <v/>
      </c>
      <c r="AR146" s="1" t="str">
        <f aca="false">IF($A150="","",30000)</f>
        <v/>
      </c>
      <c r="AS146" s="1" t="str">
        <f aca="false">IF($A150="","",AR150-B150)</f>
        <v/>
      </c>
      <c r="AT146" s="1" t="str">
        <f aca="false">IF($A150="","",IFERROR(B150/AR150,0))</f>
        <v/>
      </c>
      <c r="AU146" s="1" t="str">
        <f aca="false">IF($A150="","",IFERROR(B150*O150,0))</f>
        <v/>
      </c>
      <c r="AV146" s="1" t="str">
        <f aca="false">IF($A150="","",IFERROR(C150/B150,0))</f>
        <v/>
      </c>
      <c r="AW146" s="1" t="str">
        <f aca="false">IF($A150="","",MAX(0,R150-S150))</f>
        <v/>
      </c>
      <c r="AX146" s="1" t="str">
        <f aca="false">IF($A150="","",IF(AW150&gt;0,"优先降持仓数",IF(C150&lt;=0,"现金不足","允许评估")))</f>
        <v/>
      </c>
      <c r="AY146" s="1" t="str">
        <f aca="false">IF($A150="","",IF(B150&lt;30000,"婴儿阶段: 优先活下来,禁止单票失控,限制持仓数,服务3W目标","幼儿阶段达成"))</f>
        <v/>
      </c>
    </row>
    <row r="147" customFormat="false" ht="15" hidden="false" customHeight="true" outlineLevel="0" collapsed="false">
      <c r="A147" s="28"/>
      <c r="B147" s="34"/>
      <c r="C147" s="34"/>
      <c r="D147" s="35" t="str">
        <f aca="false">IF($A152="","",SUMIFS(持仓表!$J:$J,持仓表!$A:$A,$A152))</f>
        <v/>
      </c>
      <c r="E147" s="36" t="n">
        <f aca="false">IFERROR(D152/B152,0)</f>
        <v>0</v>
      </c>
      <c r="F147" s="34"/>
      <c r="G147" s="35" t="str">
        <f aca="false">IF($B152="","",MAX($B$2:B152))</f>
        <v/>
      </c>
      <c r="H147" s="36" t="n">
        <f aca="false">IFERROR((B152-F152)/F152,0)</f>
        <v>0</v>
      </c>
      <c r="I147" s="36" t="n">
        <f aca="false">IFERROR((B152-G152)/G152,0)</f>
        <v>0</v>
      </c>
      <c r="J147" s="28"/>
      <c r="K147" s="29"/>
      <c r="L147" s="37"/>
      <c r="M147" s="37"/>
      <c r="N147" s="36" t="str">
        <f aca="false">IF($B152="","",MIN(70%,IF($I152&lt;=-15%,10%,IF($I152&lt;=-10%,30%,IF($M152&gt;=4,10%,IF($M152&gt;=3,30%,IF($J152="强",IF($K152="A",70%,IF($K152="B",60%,40%)),IF($J152="中性",IF($K152="A",50%,IF($K152="B",40%,25%)),IF($K152="A",30%,IF($K152="B",20%,10%))))))))))</f>
        <v/>
      </c>
      <c r="O147" s="36" t="str">
        <f aca="false">IF($B152="","",IF(B152&lt;30000,35%,IF(B152&lt;50000,30%,IF(B152&lt;100000,25%,20%))))</f>
        <v/>
      </c>
      <c r="P147" s="38" t="str">
        <f aca="false">IF($A152="","",COUNTIFS(持仓表!$A:$A,$A152,持仓表!$G:$G,"&gt;0"))</f>
        <v/>
      </c>
      <c r="Q147" s="38" t="str">
        <f aca="false">IF($A152="","",COUNTIFS(持仓表!$A:$A,$A152,持仓表!$D:$D,"是",持仓表!$G:$G,"&gt;0"))</f>
        <v/>
      </c>
      <c r="R147" s="38" t="str">
        <f aca="false">IF($A152="","",MAX(0,P152-Q152))</f>
        <v/>
      </c>
      <c r="S147" s="38" t="str">
        <f aca="false">IF($B152="","",IF(B152&lt;50000,3,IF(B152&lt;100000,4,5)))</f>
        <v/>
      </c>
      <c r="T147" s="39" t="str">
        <f aca="false">IF($A152="","",IF(OR(M152&gt;=4,I152&lt;=-8%),"防守",IF(OR(M152&gt;=2,I152&lt;=-5%),"警戒","正常")))</f>
        <v/>
      </c>
      <c r="U147" s="39" t="str">
        <f aca="false">IF($A152="","",IF(AND(L152&gt;=3,M152&lt;=2,T152&lt;&gt;"防守"),"是","否"))</f>
        <v/>
      </c>
      <c r="V147" s="39" t="str">
        <f aca="false">IF($A152="","",IF(AND(E152&lt;N152,R152&lt;S152,M152&lt;=2,I152&gt;-15%),"是","否"))</f>
        <v/>
      </c>
      <c r="W147" s="39" t="str">
        <f aca="false">IF($A152="","",IF(OR(M152&gt;=3,I152&lt;=-15%),"是","否"))</f>
        <v/>
      </c>
      <c r="X147" s="35" t="str">
        <f aca="false">IF($A152="","",IFERROR(maxifs(候选池!$AB:$AB,候选池!$A:$A,$A152),0))</f>
        <v/>
      </c>
      <c r="Y147" s="35" t="str">
        <f aca="false">IF($A152="","",IF(OR(M152&gt;=4,I152&lt;=-8%),MAX(0,B152*60%-C152),IF(AND(ISNUMBER(AD152),B152&gt;AD152),IF(B152&lt;30000,0,IF(B152&lt;100000,MAX(0,(B152-AD152)*0.2),MAX(0,(B152-AD152)*0.3))),0)))</f>
        <v/>
      </c>
      <c r="Z147" s="28"/>
      <c r="AA147" s="39" t="str">
        <f aca="false">IF($A152="","",IF($AA$2&lt;&gt;"",$AA$2,""))</f>
        <v/>
      </c>
      <c r="AB147" s="28" t="str">
        <f aca="false">IF($A152="","",IF(B152&lt;30000,0.03,IF(B152&lt;100000,0.02,0.015)))</f>
        <v/>
      </c>
      <c r="AC147" s="38" t="str">
        <f aca="false">IF($A152="","",IFERROR(DATEDIF($A$2,$A152,"m"),0))</f>
        <v/>
      </c>
      <c r="AD147" s="35" t="str">
        <f aca="false">IF($A152="","",IF(OR(AA152="",AB152="",AC152=""),"",AA152*POWER(1+AB152,AC152)))</f>
        <v/>
      </c>
      <c r="AE147" s="41" t="str">
        <f aca="false">IF($A152="","",IF(OR(AD152="",AD152=0),"",B152/AD152-1))</f>
        <v/>
      </c>
      <c r="AG147" s="1" t="str">
        <f aca="false">IF($A152="","",IF(B152&lt;30000,"婴儿",IF(B152&lt;100000,"成长","成熟")))</f>
        <v/>
      </c>
      <c r="AH147" s="42"/>
      <c r="AJ147" s="42"/>
      <c r="AK147" s="42"/>
      <c r="AM147" s="42"/>
      <c r="AP147" s="32"/>
      <c r="AQ147" s="43" t="str">
        <f aca="false">IF($A152="","",B152-$AA$2-SUM($F$2:F152))</f>
        <v/>
      </c>
      <c r="AR147" s="1" t="str">
        <f aca="false">IF($A151="","",30000)</f>
        <v/>
      </c>
      <c r="AS147" s="1" t="str">
        <f aca="false">IF($A151="","",AR151-B151)</f>
        <v/>
      </c>
      <c r="AT147" s="1" t="str">
        <f aca="false">IF($A151="","",IFERROR(B151/AR151,0))</f>
        <v/>
      </c>
      <c r="AU147" s="1" t="str">
        <f aca="false">IF($A151="","",IFERROR(B151*O151,0))</f>
        <v/>
      </c>
      <c r="AV147" s="1" t="str">
        <f aca="false">IF($A151="","",IFERROR(C151/B151,0))</f>
        <v/>
      </c>
      <c r="AW147" s="1" t="str">
        <f aca="false">IF($A151="","",MAX(0,R151-S151))</f>
        <v/>
      </c>
      <c r="AX147" s="1" t="str">
        <f aca="false">IF($A151="","",IF(AW151&gt;0,"优先降持仓数",IF(C151&lt;=0,"现金不足","允许评估")))</f>
        <v/>
      </c>
      <c r="AY147" s="1" t="str">
        <f aca="false">IF($A151="","",IF(B151&lt;30000,"婴儿阶段: 优先活下来,禁止单票失控,限制持仓数,服务3W目标","幼儿阶段达成"))</f>
        <v/>
      </c>
    </row>
    <row r="148" customFormat="false" ht="15" hidden="false" customHeight="true" outlineLevel="0" collapsed="false">
      <c r="A148" s="30"/>
      <c r="B148" s="44"/>
      <c r="C148" s="44"/>
      <c r="D148" s="35" t="str">
        <f aca="false">IF($A153="","",SUMIFS(持仓表!$J:$J,持仓表!$A:$A,$A153))</f>
        <v/>
      </c>
      <c r="E148" s="36" t="n">
        <f aca="false">IFERROR(D153/B153,0)</f>
        <v>0</v>
      </c>
      <c r="F148" s="44"/>
      <c r="G148" s="35" t="str">
        <f aca="false">IF($B153="","",MAX($B$2:B153))</f>
        <v/>
      </c>
      <c r="H148" s="36" t="n">
        <f aca="false">IFERROR((B153-F153)/F153,0)</f>
        <v>0</v>
      </c>
      <c r="I148" s="36" t="n">
        <f aca="false">IFERROR((B153-G153)/G153,0)</f>
        <v>0</v>
      </c>
      <c r="J148" s="30"/>
      <c r="K148" s="31"/>
      <c r="L148" s="45"/>
      <c r="M148" s="45"/>
      <c r="N148" s="36" t="str">
        <f aca="false">IF($B153="","",MIN(70%,IF($I153&lt;=-15%,10%,IF($I153&lt;=-10%,30%,IF($M153&gt;=4,10%,IF($M153&gt;=3,30%,IF($J153="强",IF($K153="A",70%,IF($K153="B",60%,40%)),IF($J153="中性",IF($K153="A",50%,IF($K153="B",40%,25%)),IF($K153="A",30%,IF($K153="B",20%,10%))))))))))</f>
        <v/>
      </c>
      <c r="O148" s="36" t="str">
        <f aca="false">IF($B153="","",IF(B153&lt;30000,35%,IF(B153&lt;50000,30%,IF(B153&lt;100000,25%,20%))))</f>
        <v/>
      </c>
      <c r="P148" s="38" t="str">
        <f aca="false">IF($A153="","",COUNTIFS(持仓表!$A:$A,$A153,持仓表!$G:$G,"&gt;0"))</f>
        <v/>
      </c>
      <c r="Q148" s="38" t="str">
        <f aca="false">IF($A153="","",COUNTIFS(持仓表!$A:$A,$A153,持仓表!$D:$D,"是",持仓表!$G:$G,"&gt;0"))</f>
        <v/>
      </c>
      <c r="R148" s="38" t="str">
        <f aca="false">IF($A153="","",MAX(0,P153-Q153))</f>
        <v/>
      </c>
      <c r="S148" s="38" t="str">
        <f aca="false">IF($B153="","",IF(B153&lt;50000,3,IF(B153&lt;100000,4,5)))</f>
        <v/>
      </c>
      <c r="T148" s="39" t="str">
        <f aca="false">IF($A153="","",IF(OR(M153&gt;=4,I153&lt;=-8%),"防守",IF(OR(M153&gt;=2,I153&lt;=-5%),"警戒","正常")))</f>
        <v/>
      </c>
      <c r="U148" s="39" t="str">
        <f aca="false">IF($A153="","",IF(AND(L153&gt;=3,M153&lt;=2,T153&lt;&gt;"防守"),"是","否"))</f>
        <v/>
      </c>
      <c r="V148" s="39" t="str">
        <f aca="false">IF($A153="","",IF(AND(E153&lt;N153,R153&lt;S153,M153&lt;=2,I153&gt;-15%),"是","否"))</f>
        <v/>
      </c>
      <c r="W148" s="39" t="str">
        <f aca="false">IF($A153="","",IF(OR(M153&gt;=3,I153&lt;=-15%),"是","否"))</f>
        <v/>
      </c>
      <c r="X148" s="35" t="str">
        <f aca="false">IF($A153="","",IFERROR(maxifs(候选池!$AB:$AB,候选池!$A:$A,$A153),0))</f>
        <v/>
      </c>
      <c r="Y148" s="35" t="str">
        <f aca="false">IF($A153="","",IF(OR(M153&gt;=4,I153&lt;=-8%),MAX(0,B153*60%-C153),IF(AND(ISNUMBER(AD153),B153&gt;AD153),IF(B153&lt;30000,0,IF(B153&lt;100000,MAX(0,(B153-AD153)*0.2),MAX(0,(B153-AD153)*0.3))),0)))</f>
        <v/>
      </c>
      <c r="Z148" s="30"/>
      <c r="AA148" s="39" t="str">
        <f aca="false">IF($A153="","",IF($AA$2&lt;&gt;"",$AA$2,""))</f>
        <v/>
      </c>
      <c r="AB148" s="30" t="str">
        <f aca="false">IF($A153="","",IF(B153&lt;30000,0.03,IF(B153&lt;100000,0.02,0.015)))</f>
        <v/>
      </c>
      <c r="AC148" s="38" t="str">
        <f aca="false">IF($A153="","",IFERROR(DATEDIF($A$2,$A153,"m"),0))</f>
        <v/>
      </c>
      <c r="AD148" s="35" t="str">
        <f aca="false">IF($A153="","",IF(OR(AA153="",AB153="",AC153=""),"",AA153*POWER(1+AB153,AC153)))</f>
        <v/>
      </c>
      <c r="AE148" s="47" t="str">
        <f aca="false">IF($A153="","",IF(OR(AD153="",AD153=0),"",B153/AD153-1))</f>
        <v/>
      </c>
      <c r="AG148" s="1" t="str">
        <f aca="false">IF($A153="","",IF(B153&lt;30000,"婴儿",IF(B153&lt;100000,"成长","成熟")))</f>
        <v/>
      </c>
      <c r="AH148" s="42"/>
      <c r="AJ148" s="42"/>
      <c r="AK148" s="42"/>
      <c r="AM148" s="42"/>
      <c r="AP148" s="32"/>
      <c r="AQ148" s="43" t="str">
        <f aca="false">IF($A153="","",B153-$AA$2-SUM($F$2:F153))</f>
        <v/>
      </c>
      <c r="AR148" s="1" t="str">
        <f aca="false">IF($A152="","",30000)</f>
        <v/>
      </c>
      <c r="AS148" s="1" t="str">
        <f aca="false">IF($A152="","",AR152-B152)</f>
        <v/>
      </c>
      <c r="AT148" s="1" t="str">
        <f aca="false">IF($A152="","",IFERROR(B152/AR152,0))</f>
        <v/>
      </c>
      <c r="AU148" s="1" t="str">
        <f aca="false">IF($A152="","",IFERROR(B152*O152,0))</f>
        <v/>
      </c>
      <c r="AV148" s="1" t="str">
        <f aca="false">IF($A152="","",IFERROR(C152/B152,0))</f>
        <v/>
      </c>
      <c r="AW148" s="1" t="str">
        <f aca="false">IF($A152="","",MAX(0,R152-S152))</f>
        <v/>
      </c>
      <c r="AX148" s="1" t="str">
        <f aca="false">IF($A152="","",IF(AW152&gt;0,"优先降持仓数",IF(C152&lt;=0,"现金不足","允许评估")))</f>
        <v/>
      </c>
      <c r="AY148" s="1" t="str">
        <f aca="false">IF($A152="","",IF(B152&lt;30000,"婴儿阶段: 优先活下来,禁止单票失控,限制持仓数,服务3W目标","幼儿阶段达成"))</f>
        <v/>
      </c>
    </row>
    <row r="149" customFormat="false" ht="15" hidden="false" customHeight="true" outlineLevel="0" collapsed="false">
      <c r="A149" s="28"/>
      <c r="B149" s="34"/>
      <c r="C149" s="34"/>
      <c r="D149" s="35" t="str">
        <f aca="false">IF($A154="","",SUMIFS(持仓表!$J:$J,持仓表!$A:$A,$A154))</f>
        <v/>
      </c>
      <c r="E149" s="36" t="n">
        <f aca="false">IFERROR(D154/B154,0)</f>
        <v>0</v>
      </c>
      <c r="F149" s="34"/>
      <c r="G149" s="35" t="str">
        <f aca="false">IF($B154="","",MAX($B$2:B154))</f>
        <v/>
      </c>
      <c r="H149" s="36" t="n">
        <f aca="false">IFERROR((B154-F154)/F154,0)</f>
        <v>0</v>
      </c>
      <c r="I149" s="36" t="n">
        <f aca="false">IFERROR((B154-G154)/G154,0)</f>
        <v>0</v>
      </c>
      <c r="J149" s="28"/>
      <c r="K149" s="29"/>
      <c r="L149" s="37"/>
      <c r="M149" s="37"/>
      <c r="N149" s="36" t="str">
        <f aca="false">IF($B154="","",MIN(70%,IF($I154&lt;=-15%,10%,IF($I154&lt;=-10%,30%,IF($M154&gt;=4,10%,IF($M154&gt;=3,30%,IF($J154="强",IF($K154="A",70%,IF($K154="B",60%,40%)),IF($J154="中性",IF($K154="A",50%,IF($K154="B",40%,25%)),IF($K154="A",30%,IF($K154="B",20%,10%))))))))))</f>
        <v/>
      </c>
      <c r="O149" s="36" t="str">
        <f aca="false">IF($B154="","",IF(B154&lt;30000,35%,IF(B154&lt;50000,30%,IF(B154&lt;100000,25%,20%))))</f>
        <v/>
      </c>
      <c r="P149" s="38" t="str">
        <f aca="false">IF($A154="","",COUNTIFS(持仓表!$A:$A,$A154,持仓表!$G:$G,"&gt;0"))</f>
        <v/>
      </c>
      <c r="Q149" s="38" t="str">
        <f aca="false">IF($A154="","",COUNTIFS(持仓表!$A:$A,$A154,持仓表!$D:$D,"是",持仓表!$G:$G,"&gt;0"))</f>
        <v/>
      </c>
      <c r="R149" s="38" t="str">
        <f aca="false">IF($A154="","",MAX(0,P154-Q154))</f>
        <v/>
      </c>
      <c r="S149" s="38" t="str">
        <f aca="false">IF($B154="","",IF(B154&lt;50000,3,IF(B154&lt;100000,4,5)))</f>
        <v/>
      </c>
      <c r="T149" s="39" t="str">
        <f aca="false">IF($A154="","",IF(OR(M154&gt;=4,I154&lt;=-8%),"防守",IF(OR(M154&gt;=2,I154&lt;=-5%),"警戒","正常")))</f>
        <v/>
      </c>
      <c r="U149" s="39" t="str">
        <f aca="false">IF($A154="","",IF(AND(L154&gt;=3,M154&lt;=2,T154&lt;&gt;"防守"),"是","否"))</f>
        <v/>
      </c>
      <c r="V149" s="39" t="str">
        <f aca="false">IF($A154="","",IF(AND(E154&lt;N154,R154&lt;S154,M154&lt;=2,I154&gt;-15%),"是","否"))</f>
        <v/>
      </c>
      <c r="W149" s="39" t="str">
        <f aca="false">IF($A154="","",IF(OR(M154&gt;=3,I154&lt;=-15%),"是","否"))</f>
        <v/>
      </c>
      <c r="X149" s="35" t="str">
        <f aca="false">IF($A154="","",IFERROR(maxifs(候选池!$AB:$AB,候选池!$A:$A,$A154),0))</f>
        <v/>
      </c>
      <c r="Y149" s="35" t="str">
        <f aca="false">IF($A154="","",IF(OR(M154&gt;=4,I154&lt;=-8%),MAX(0,B154*60%-C154),IF(AND(ISNUMBER(AD154),B154&gt;AD154),IF(B154&lt;30000,0,IF(B154&lt;100000,MAX(0,(B154-AD154)*0.2),MAX(0,(B154-AD154)*0.3))),0)))</f>
        <v/>
      </c>
      <c r="Z149" s="28"/>
      <c r="AA149" s="39" t="str">
        <f aca="false">IF($A154="","",IF($AA$2&lt;&gt;"",$AA$2,""))</f>
        <v/>
      </c>
      <c r="AB149" s="28" t="str">
        <f aca="false">IF($A154="","",IF(B154&lt;30000,0.03,IF(B154&lt;100000,0.02,0.015)))</f>
        <v/>
      </c>
      <c r="AC149" s="38" t="str">
        <f aca="false">IF($A154="","",IFERROR(DATEDIF($A$2,$A154,"m"),0))</f>
        <v/>
      </c>
      <c r="AD149" s="35" t="str">
        <f aca="false">IF($A154="","",IF(OR(AA154="",AB154="",AC154=""),"",AA154*POWER(1+AB154,AC154)))</f>
        <v/>
      </c>
      <c r="AE149" s="41" t="str">
        <f aca="false">IF($A154="","",IF(OR(AD154="",AD154=0),"",B154/AD154-1))</f>
        <v/>
      </c>
      <c r="AG149" s="1" t="str">
        <f aca="false">IF($A154="","",IF(B154&lt;30000,"婴儿",IF(B154&lt;100000,"成长","成熟")))</f>
        <v/>
      </c>
      <c r="AH149" s="42"/>
      <c r="AJ149" s="42"/>
      <c r="AK149" s="42"/>
      <c r="AM149" s="42"/>
      <c r="AP149" s="32"/>
      <c r="AQ149" s="43" t="str">
        <f aca="false">IF($A154="","",B154-$AA$2-SUM($F$2:F154))</f>
        <v/>
      </c>
      <c r="AR149" s="1" t="str">
        <f aca="false">IF($A153="","",30000)</f>
        <v/>
      </c>
      <c r="AS149" s="1" t="str">
        <f aca="false">IF($A153="","",AR153-B153)</f>
        <v/>
      </c>
      <c r="AT149" s="1" t="str">
        <f aca="false">IF($A153="","",IFERROR(B153/AR153,0))</f>
        <v/>
      </c>
      <c r="AU149" s="1" t="str">
        <f aca="false">IF($A153="","",IFERROR(B153*O153,0))</f>
        <v/>
      </c>
      <c r="AV149" s="1" t="str">
        <f aca="false">IF($A153="","",IFERROR(C153/B153,0))</f>
        <v/>
      </c>
      <c r="AW149" s="1" t="str">
        <f aca="false">IF($A153="","",MAX(0,R153-S153))</f>
        <v/>
      </c>
      <c r="AX149" s="1" t="str">
        <f aca="false">IF($A153="","",IF(AW153&gt;0,"优先降持仓数",IF(C153&lt;=0,"现金不足","允许评估")))</f>
        <v/>
      </c>
      <c r="AY149" s="1" t="str">
        <f aca="false">IF($A153="","",IF(B153&lt;30000,"婴儿阶段: 优先活下来,禁止单票失控,限制持仓数,服务3W目标","幼儿阶段达成"))</f>
        <v/>
      </c>
    </row>
    <row r="150" customFormat="false" ht="15" hidden="false" customHeight="true" outlineLevel="0" collapsed="false">
      <c r="A150" s="30"/>
      <c r="B150" s="44"/>
      <c r="C150" s="44"/>
      <c r="D150" s="35" t="str">
        <f aca="false">IF($A155="","",SUMIFS(持仓表!$J:$J,持仓表!$A:$A,$A155))</f>
        <v/>
      </c>
      <c r="E150" s="36" t="n">
        <f aca="false">IFERROR(D155/B155,0)</f>
        <v>0</v>
      </c>
      <c r="F150" s="44"/>
      <c r="G150" s="35" t="str">
        <f aca="false">IF($B155="","",MAX($B$2:B155))</f>
        <v/>
      </c>
      <c r="H150" s="36" t="n">
        <f aca="false">IFERROR((B155-F155)/F155,0)</f>
        <v>0</v>
      </c>
      <c r="I150" s="36" t="n">
        <f aca="false">IFERROR((B155-G155)/G155,0)</f>
        <v>0</v>
      </c>
      <c r="J150" s="30"/>
      <c r="K150" s="31"/>
      <c r="L150" s="45"/>
      <c r="M150" s="45"/>
      <c r="N150" s="36" t="str">
        <f aca="false">IF($B155="","",MIN(70%,IF($I155&lt;=-15%,10%,IF($I155&lt;=-10%,30%,IF($M155&gt;=4,10%,IF($M155&gt;=3,30%,IF($J155="强",IF($K155="A",70%,IF($K155="B",60%,40%)),IF($J155="中性",IF($K155="A",50%,IF($K155="B",40%,25%)),IF($K155="A",30%,IF($K155="B",20%,10%))))))))))</f>
        <v/>
      </c>
      <c r="O150" s="36" t="str">
        <f aca="false">IF($B155="","",IF(B155&lt;30000,35%,IF(B155&lt;50000,30%,IF(B155&lt;100000,25%,20%))))</f>
        <v/>
      </c>
      <c r="P150" s="38" t="str">
        <f aca="false">IF($A155="","",COUNTIFS(持仓表!$A:$A,$A155,持仓表!$G:$G,"&gt;0"))</f>
        <v/>
      </c>
      <c r="Q150" s="38" t="str">
        <f aca="false">IF($A155="","",COUNTIFS(持仓表!$A:$A,$A155,持仓表!$D:$D,"是",持仓表!$G:$G,"&gt;0"))</f>
        <v/>
      </c>
      <c r="R150" s="38" t="str">
        <f aca="false">IF($A155="","",MAX(0,P155-Q155))</f>
        <v/>
      </c>
      <c r="S150" s="38" t="str">
        <f aca="false">IF($B155="","",IF(B155&lt;50000,3,IF(B155&lt;100000,4,5)))</f>
        <v/>
      </c>
      <c r="T150" s="39" t="str">
        <f aca="false">IF($A155="","",IF(OR(M155&gt;=4,I155&lt;=-8%),"防守",IF(OR(M155&gt;=2,I155&lt;=-5%),"警戒","正常")))</f>
        <v/>
      </c>
      <c r="U150" s="39" t="str">
        <f aca="false">IF($A155="","",IF(AND(L155&gt;=3,M155&lt;=2,T155&lt;&gt;"防守"),"是","否"))</f>
        <v/>
      </c>
      <c r="V150" s="39" t="str">
        <f aca="false">IF($A155="","",IF(AND(E155&lt;N155,R155&lt;S155,M155&lt;=2,I155&gt;-15%),"是","否"))</f>
        <v/>
      </c>
      <c r="W150" s="39" t="str">
        <f aca="false">IF($A155="","",IF(OR(M155&gt;=3,I155&lt;=-15%),"是","否"))</f>
        <v/>
      </c>
      <c r="X150" s="35" t="str">
        <f aca="false">IF($A155="","",IFERROR(maxifs(候选池!$AB:$AB,候选池!$A:$A,$A155),0))</f>
        <v/>
      </c>
      <c r="Y150" s="35" t="str">
        <f aca="false">IF($A155="","",IF(OR(M155&gt;=4,I155&lt;=-8%),MAX(0,B155*60%-C155),IF(AND(ISNUMBER(AD155),B155&gt;AD155),IF(B155&lt;30000,0,IF(B155&lt;100000,MAX(0,(B155-AD155)*0.2),MAX(0,(B155-AD155)*0.3))),0)))</f>
        <v/>
      </c>
      <c r="Z150" s="30"/>
      <c r="AA150" s="39" t="str">
        <f aca="false">IF($A155="","",IF($AA$2&lt;&gt;"",$AA$2,""))</f>
        <v/>
      </c>
      <c r="AB150" s="30" t="str">
        <f aca="false">IF($A155="","",IF(B155&lt;30000,0.03,IF(B155&lt;100000,0.02,0.015)))</f>
        <v/>
      </c>
      <c r="AC150" s="38" t="str">
        <f aca="false">IF($A155="","",IFERROR(DATEDIF($A$2,$A155,"m"),0))</f>
        <v/>
      </c>
      <c r="AD150" s="35" t="str">
        <f aca="false">IF($A155="","",IF(OR(AA155="",AB155="",AC155=""),"",AA155*POWER(1+AB155,AC155)))</f>
        <v/>
      </c>
      <c r="AE150" s="47" t="str">
        <f aca="false">IF($A155="","",IF(OR(AD155="",AD155=0),"",B155/AD155-1))</f>
        <v/>
      </c>
      <c r="AG150" s="1" t="str">
        <f aca="false">IF($A155="","",IF(B155&lt;30000,"婴儿",IF(B155&lt;100000,"成长","成熟")))</f>
        <v/>
      </c>
      <c r="AH150" s="42"/>
      <c r="AJ150" s="42"/>
      <c r="AK150" s="42"/>
      <c r="AM150" s="42"/>
      <c r="AP150" s="32"/>
      <c r="AQ150" s="43" t="str">
        <f aca="false">IF($A155="","",B155-$AA$2-SUM($F$2:F155))</f>
        <v/>
      </c>
      <c r="AR150" s="1" t="str">
        <f aca="false">IF($A154="","",30000)</f>
        <v/>
      </c>
      <c r="AS150" s="1" t="str">
        <f aca="false">IF($A154="","",AR154-B154)</f>
        <v/>
      </c>
      <c r="AT150" s="1" t="str">
        <f aca="false">IF($A154="","",IFERROR(B154/AR154,0))</f>
        <v/>
      </c>
      <c r="AU150" s="1" t="str">
        <f aca="false">IF($A154="","",IFERROR(B154*O154,0))</f>
        <v/>
      </c>
      <c r="AV150" s="1" t="str">
        <f aca="false">IF($A154="","",IFERROR(C154/B154,0))</f>
        <v/>
      </c>
      <c r="AW150" s="1" t="str">
        <f aca="false">IF($A154="","",MAX(0,R154-S154))</f>
        <v/>
      </c>
      <c r="AX150" s="1" t="str">
        <f aca="false">IF($A154="","",IF(AW154&gt;0,"优先降持仓数",IF(C154&lt;=0,"现金不足","允许评估")))</f>
        <v/>
      </c>
      <c r="AY150" s="1" t="str">
        <f aca="false">IF($A154="","",IF(B154&lt;30000,"婴儿阶段: 优先活下来,禁止单票失控,限制持仓数,服务3W目标","幼儿阶段达成"))</f>
        <v/>
      </c>
    </row>
    <row r="151" customFormat="false" ht="15" hidden="false" customHeight="true" outlineLevel="0" collapsed="false">
      <c r="A151" s="28"/>
      <c r="B151" s="34"/>
      <c r="C151" s="34"/>
      <c r="D151" s="35" t="str">
        <f aca="false">IF($A156="","",SUMIFS(持仓表!$J:$J,持仓表!$A:$A,$A156))</f>
        <v/>
      </c>
      <c r="E151" s="36" t="n">
        <f aca="false">IFERROR(D156/B156,0)</f>
        <v>0</v>
      </c>
      <c r="F151" s="34"/>
      <c r="G151" s="35" t="str">
        <f aca="false">IF($B156="","",MAX($B$2:B156))</f>
        <v/>
      </c>
      <c r="H151" s="36" t="n">
        <f aca="false">IFERROR((B156-F156)/F156,0)</f>
        <v>0</v>
      </c>
      <c r="I151" s="36" t="n">
        <f aca="false">IFERROR((B156-G156)/G156,0)</f>
        <v>0</v>
      </c>
      <c r="J151" s="28"/>
      <c r="K151" s="29"/>
      <c r="L151" s="37"/>
      <c r="M151" s="37"/>
      <c r="N151" s="36" t="str">
        <f aca="false">IF($B156="","",MIN(70%,IF($I156&lt;=-15%,10%,IF($I156&lt;=-10%,30%,IF($M156&gt;=4,10%,IF($M156&gt;=3,30%,IF($J156="强",IF($K156="A",70%,IF($K156="B",60%,40%)),IF($J156="中性",IF($K156="A",50%,IF($K156="B",40%,25%)),IF($K156="A",30%,IF($K156="B",20%,10%))))))))))</f>
        <v/>
      </c>
      <c r="O151" s="36" t="str">
        <f aca="false">IF($B156="","",IF(B156&lt;30000,35%,IF(B156&lt;50000,30%,IF(B156&lt;100000,25%,20%))))</f>
        <v/>
      </c>
      <c r="P151" s="38" t="str">
        <f aca="false">IF($A156="","",COUNTIFS(持仓表!$A:$A,$A156,持仓表!$G:$G,"&gt;0"))</f>
        <v/>
      </c>
      <c r="Q151" s="38" t="str">
        <f aca="false">IF($A156="","",COUNTIFS(持仓表!$A:$A,$A156,持仓表!$D:$D,"是",持仓表!$G:$G,"&gt;0"))</f>
        <v/>
      </c>
      <c r="R151" s="38" t="str">
        <f aca="false">IF($A156="","",MAX(0,P156-Q156))</f>
        <v/>
      </c>
      <c r="S151" s="38" t="str">
        <f aca="false">IF($B156="","",IF(B156&lt;50000,3,IF(B156&lt;100000,4,5)))</f>
        <v/>
      </c>
      <c r="T151" s="39" t="str">
        <f aca="false">IF($A156="","",IF(OR(M156&gt;=4,I156&lt;=-8%),"防守",IF(OR(M156&gt;=2,I156&lt;=-5%),"警戒","正常")))</f>
        <v/>
      </c>
      <c r="U151" s="39" t="str">
        <f aca="false">IF($A156="","",IF(AND(L156&gt;=3,M156&lt;=2,T156&lt;&gt;"防守"),"是","否"))</f>
        <v/>
      </c>
      <c r="V151" s="39" t="str">
        <f aca="false">IF($A156="","",IF(AND(E156&lt;N156,R156&lt;S156,M156&lt;=2,I156&gt;-15%),"是","否"))</f>
        <v/>
      </c>
      <c r="W151" s="39" t="str">
        <f aca="false">IF($A156="","",IF(OR(M156&gt;=3,I156&lt;=-15%),"是","否"))</f>
        <v/>
      </c>
      <c r="X151" s="35" t="str">
        <f aca="false">IF($A156="","",IFERROR(maxifs(候选池!$AB:$AB,候选池!$A:$A,$A156),0))</f>
        <v/>
      </c>
      <c r="Y151" s="35" t="str">
        <f aca="false">IF($A156="","",IF(OR(M156&gt;=4,I156&lt;=-8%),MAX(0,B156*60%-C156),IF(AND(ISNUMBER(AD156),B156&gt;AD156),IF(B156&lt;30000,0,IF(B156&lt;100000,MAX(0,(B156-AD156)*0.2),MAX(0,(B156-AD156)*0.3))),0)))</f>
        <v/>
      </c>
      <c r="Z151" s="28"/>
      <c r="AA151" s="39" t="str">
        <f aca="false">IF($A156="","",IF($AA$2&lt;&gt;"",$AA$2,""))</f>
        <v/>
      </c>
      <c r="AB151" s="28" t="str">
        <f aca="false">IF($A156="","",IF(B156&lt;30000,0.03,IF(B156&lt;100000,0.02,0.015)))</f>
        <v/>
      </c>
      <c r="AC151" s="38" t="str">
        <f aca="false">IF($A156="","",IFERROR(DATEDIF($A$2,$A156,"m"),0))</f>
        <v/>
      </c>
      <c r="AD151" s="35" t="str">
        <f aca="false">IF($A156="","",IF(OR(AA156="",AB156="",AC156=""),"",AA156*POWER(1+AB156,AC156)))</f>
        <v/>
      </c>
      <c r="AE151" s="41" t="str">
        <f aca="false">IF($A156="","",IF(OR(AD156="",AD156=0),"",B156/AD156-1))</f>
        <v/>
      </c>
      <c r="AG151" s="1" t="str">
        <f aca="false">IF($A156="","",IF(B156&lt;30000,"婴儿",IF(B156&lt;100000,"成长","成熟")))</f>
        <v/>
      </c>
      <c r="AH151" s="42"/>
      <c r="AJ151" s="42"/>
      <c r="AK151" s="42"/>
      <c r="AM151" s="42"/>
      <c r="AP151" s="32"/>
      <c r="AQ151" s="43" t="str">
        <f aca="false">IF($A156="","",B156-$AA$2-SUM($F$2:F156))</f>
        <v/>
      </c>
      <c r="AR151" s="1" t="str">
        <f aca="false">IF($A155="","",30000)</f>
        <v/>
      </c>
      <c r="AS151" s="1" t="str">
        <f aca="false">IF($A155="","",AR155-B155)</f>
        <v/>
      </c>
      <c r="AT151" s="1" t="str">
        <f aca="false">IF($A155="","",IFERROR(B155/AR155,0))</f>
        <v/>
      </c>
      <c r="AU151" s="1" t="str">
        <f aca="false">IF($A155="","",IFERROR(B155*O155,0))</f>
        <v/>
      </c>
      <c r="AV151" s="1" t="str">
        <f aca="false">IF($A155="","",IFERROR(C155/B155,0))</f>
        <v/>
      </c>
      <c r="AW151" s="1" t="str">
        <f aca="false">IF($A155="","",MAX(0,R155-S155))</f>
        <v/>
      </c>
      <c r="AX151" s="1" t="str">
        <f aca="false">IF($A155="","",IF(AW155&gt;0,"优先降持仓数",IF(C155&lt;=0,"现金不足","允许评估")))</f>
        <v/>
      </c>
      <c r="AY151" s="1" t="str">
        <f aca="false">IF($A155="","",IF(B155&lt;30000,"婴儿阶段: 优先活下来,禁止单票失控,限制持仓数,服务3W目标","幼儿阶段达成"))</f>
        <v/>
      </c>
    </row>
    <row r="152" customFormat="false" ht="15" hidden="false" customHeight="true" outlineLevel="0" collapsed="false">
      <c r="A152" s="30"/>
      <c r="B152" s="44"/>
      <c r="C152" s="44"/>
      <c r="D152" s="35" t="str">
        <f aca="false">IF($A157="","",SUMIFS(持仓表!$J:$J,持仓表!$A:$A,$A157))</f>
        <v/>
      </c>
      <c r="E152" s="36" t="n">
        <f aca="false">IFERROR(D157/B157,0)</f>
        <v>0</v>
      </c>
      <c r="F152" s="44"/>
      <c r="G152" s="35" t="str">
        <f aca="false">IF($B157="","",MAX($B$2:B157))</f>
        <v/>
      </c>
      <c r="H152" s="36" t="n">
        <f aca="false">IFERROR((B157-F157)/F157,0)</f>
        <v>0</v>
      </c>
      <c r="I152" s="36" t="n">
        <f aca="false">IFERROR((B157-G157)/G157,0)</f>
        <v>0</v>
      </c>
      <c r="J152" s="30"/>
      <c r="K152" s="31"/>
      <c r="L152" s="45"/>
      <c r="M152" s="45"/>
      <c r="N152" s="36" t="str">
        <f aca="false">IF($B157="","",MIN(70%,IF($I157&lt;=-15%,10%,IF($I157&lt;=-10%,30%,IF($M157&gt;=4,10%,IF($M157&gt;=3,30%,IF($J157="强",IF($K157="A",70%,IF($K157="B",60%,40%)),IF($J157="中性",IF($K157="A",50%,IF($K157="B",40%,25%)),IF($K157="A",30%,IF($K157="B",20%,10%))))))))))</f>
        <v/>
      </c>
      <c r="O152" s="36" t="str">
        <f aca="false">IF($B157="","",IF(B157&lt;30000,35%,IF(B157&lt;50000,30%,IF(B157&lt;100000,25%,20%))))</f>
        <v/>
      </c>
      <c r="P152" s="38" t="str">
        <f aca="false">IF($A157="","",COUNTIFS(持仓表!$A:$A,$A157,持仓表!$G:$G,"&gt;0"))</f>
        <v/>
      </c>
      <c r="Q152" s="38" t="str">
        <f aca="false">IF($A157="","",COUNTIFS(持仓表!$A:$A,$A157,持仓表!$D:$D,"是",持仓表!$G:$G,"&gt;0"))</f>
        <v/>
      </c>
      <c r="R152" s="38" t="str">
        <f aca="false">IF($A157="","",MAX(0,P157-Q157))</f>
        <v/>
      </c>
      <c r="S152" s="38" t="str">
        <f aca="false">IF($B157="","",IF(B157&lt;50000,3,IF(B157&lt;100000,4,5)))</f>
        <v/>
      </c>
      <c r="T152" s="39" t="str">
        <f aca="false">IF($A157="","",IF(OR(M157&gt;=4,I157&lt;=-8%),"防守",IF(OR(M157&gt;=2,I157&lt;=-5%),"警戒","正常")))</f>
        <v/>
      </c>
      <c r="U152" s="39" t="str">
        <f aca="false">IF($A157="","",IF(AND(L157&gt;=3,M157&lt;=2,T157&lt;&gt;"防守"),"是","否"))</f>
        <v/>
      </c>
      <c r="V152" s="39" t="str">
        <f aca="false">IF($A157="","",IF(AND(E157&lt;N157,R157&lt;S157,M157&lt;=2,I157&gt;-15%),"是","否"))</f>
        <v/>
      </c>
      <c r="W152" s="39" t="str">
        <f aca="false">IF($A157="","",IF(OR(M157&gt;=3,I157&lt;=-15%),"是","否"))</f>
        <v/>
      </c>
      <c r="X152" s="35" t="str">
        <f aca="false">IF($A157="","",IFERROR(maxifs(候选池!$AB:$AB,候选池!$A:$A,$A157),0))</f>
        <v/>
      </c>
      <c r="Y152" s="35" t="str">
        <f aca="false">IF($A157="","",IF(OR(M157&gt;=4,I157&lt;=-8%),MAX(0,B157*60%-C157),IF(AND(ISNUMBER(AD157),B157&gt;AD157),IF(B157&lt;30000,0,IF(B157&lt;100000,MAX(0,(B157-AD157)*0.2),MAX(0,(B157-AD157)*0.3))),0)))</f>
        <v/>
      </c>
      <c r="Z152" s="30"/>
      <c r="AA152" s="39" t="str">
        <f aca="false">IF($A157="","",IF($AA$2&lt;&gt;"",$AA$2,""))</f>
        <v/>
      </c>
      <c r="AB152" s="30" t="str">
        <f aca="false">IF($A157="","",IF(B157&lt;30000,0.03,IF(B157&lt;100000,0.02,0.015)))</f>
        <v/>
      </c>
      <c r="AC152" s="38" t="str">
        <f aca="false">IF($A157="","",IFERROR(DATEDIF($A$2,$A157,"m"),0))</f>
        <v/>
      </c>
      <c r="AD152" s="35" t="str">
        <f aca="false">IF($A157="","",IF(OR(AA157="",AB157="",AC157=""),"",AA157*POWER(1+AB157,AC157)))</f>
        <v/>
      </c>
      <c r="AE152" s="47" t="str">
        <f aca="false">IF($A157="","",IF(OR(AD157="",AD157=0),"",B157/AD157-1))</f>
        <v/>
      </c>
      <c r="AG152" s="1" t="str">
        <f aca="false">IF($A157="","",IF(B157&lt;30000,"婴儿",IF(B157&lt;100000,"成长","成熟")))</f>
        <v/>
      </c>
      <c r="AH152" s="42"/>
      <c r="AJ152" s="42"/>
      <c r="AK152" s="42"/>
      <c r="AM152" s="42"/>
      <c r="AP152" s="32"/>
      <c r="AQ152" s="43" t="str">
        <f aca="false">IF($A157="","",B157-$AA$2-SUM($F$2:F157))</f>
        <v/>
      </c>
      <c r="AR152" s="1" t="str">
        <f aca="false">IF($A156="","",30000)</f>
        <v/>
      </c>
      <c r="AS152" s="1" t="str">
        <f aca="false">IF($A156="","",AR156-B156)</f>
        <v/>
      </c>
      <c r="AT152" s="1" t="str">
        <f aca="false">IF($A156="","",IFERROR(B156/AR156,0))</f>
        <v/>
      </c>
      <c r="AU152" s="1" t="str">
        <f aca="false">IF($A156="","",IFERROR(B156*O156,0))</f>
        <v/>
      </c>
      <c r="AV152" s="1" t="str">
        <f aca="false">IF($A156="","",IFERROR(C156/B156,0))</f>
        <v/>
      </c>
      <c r="AW152" s="1" t="str">
        <f aca="false">IF($A156="","",MAX(0,R156-S156))</f>
        <v/>
      </c>
      <c r="AX152" s="1" t="str">
        <f aca="false">IF($A156="","",IF(AW156&gt;0,"优先降持仓数",IF(C156&lt;=0,"现金不足","允许评估")))</f>
        <v/>
      </c>
      <c r="AY152" s="1" t="str">
        <f aca="false">IF($A156="","",IF(B156&lt;30000,"婴儿阶段: 优先活下来,禁止单票失控,限制持仓数,服务3W目标","幼儿阶段达成"))</f>
        <v/>
      </c>
    </row>
    <row r="153" customFormat="false" ht="15" hidden="false" customHeight="true" outlineLevel="0" collapsed="false">
      <c r="A153" s="28"/>
      <c r="B153" s="34"/>
      <c r="C153" s="34"/>
      <c r="D153" s="35" t="str">
        <f aca="false">IF($A158="","",SUMIFS(持仓表!$J:$J,持仓表!$A:$A,$A158))</f>
        <v/>
      </c>
      <c r="E153" s="36" t="n">
        <f aca="false">IFERROR(D158/B158,0)</f>
        <v>0</v>
      </c>
      <c r="F153" s="34"/>
      <c r="G153" s="35" t="str">
        <f aca="false">IF($B158="","",MAX($B$2:B158))</f>
        <v/>
      </c>
      <c r="H153" s="36" t="n">
        <f aca="false">IFERROR((B158-F158)/F158,0)</f>
        <v>0</v>
      </c>
      <c r="I153" s="36" t="n">
        <f aca="false">IFERROR((B158-G158)/G158,0)</f>
        <v>0</v>
      </c>
      <c r="J153" s="28"/>
      <c r="K153" s="29"/>
      <c r="L153" s="37"/>
      <c r="M153" s="37"/>
      <c r="N153" s="36" t="str">
        <f aca="false">IF($B158="","",MIN(70%,IF($I158&lt;=-15%,10%,IF($I158&lt;=-10%,30%,IF($M158&gt;=4,10%,IF($M158&gt;=3,30%,IF($J158="强",IF($K158="A",70%,IF($K158="B",60%,40%)),IF($J158="中性",IF($K158="A",50%,IF($K158="B",40%,25%)),IF($K158="A",30%,IF($K158="B",20%,10%))))))))))</f>
        <v/>
      </c>
      <c r="O153" s="36" t="str">
        <f aca="false">IF($B158="","",IF(B158&lt;30000,35%,IF(B158&lt;50000,30%,IF(B158&lt;100000,25%,20%))))</f>
        <v/>
      </c>
      <c r="P153" s="38" t="str">
        <f aca="false">IF($A158="","",COUNTIFS(持仓表!$A:$A,$A158,持仓表!$G:$G,"&gt;0"))</f>
        <v/>
      </c>
      <c r="Q153" s="38" t="str">
        <f aca="false">IF($A158="","",COUNTIFS(持仓表!$A:$A,$A158,持仓表!$D:$D,"是",持仓表!$G:$G,"&gt;0"))</f>
        <v/>
      </c>
      <c r="R153" s="38" t="str">
        <f aca="false">IF($A158="","",MAX(0,P158-Q158))</f>
        <v/>
      </c>
      <c r="S153" s="38" t="str">
        <f aca="false">IF($B158="","",IF(B158&lt;50000,3,IF(B158&lt;100000,4,5)))</f>
        <v/>
      </c>
      <c r="T153" s="39" t="str">
        <f aca="false">IF($A158="","",IF(OR(M158&gt;=4,I158&lt;=-8%),"防守",IF(OR(M158&gt;=2,I158&lt;=-5%),"警戒","正常")))</f>
        <v/>
      </c>
      <c r="U153" s="39" t="str">
        <f aca="false">IF($A158="","",IF(AND(L158&gt;=3,M158&lt;=2,T158&lt;&gt;"防守"),"是","否"))</f>
        <v/>
      </c>
      <c r="V153" s="39" t="str">
        <f aca="false">IF($A158="","",IF(AND(E158&lt;N158,R158&lt;S158,M158&lt;=2,I158&gt;-15%),"是","否"))</f>
        <v/>
      </c>
      <c r="W153" s="39" t="str">
        <f aca="false">IF($A158="","",IF(OR(M158&gt;=3,I158&lt;=-15%),"是","否"))</f>
        <v/>
      </c>
      <c r="X153" s="35" t="str">
        <f aca="false">IF($A158="","",IFERROR(maxifs(候选池!$AB:$AB,候选池!$A:$A,$A158),0))</f>
        <v/>
      </c>
      <c r="Y153" s="35" t="str">
        <f aca="false">IF($A158="","",IF(OR(M158&gt;=4,I158&lt;=-8%),MAX(0,B158*60%-C158),IF(AND(ISNUMBER(AD158),B158&gt;AD158),IF(B158&lt;30000,0,IF(B158&lt;100000,MAX(0,(B158-AD158)*0.2),MAX(0,(B158-AD158)*0.3))),0)))</f>
        <v/>
      </c>
      <c r="Z153" s="28"/>
      <c r="AA153" s="39" t="str">
        <f aca="false">IF($A158="","",IF($AA$2&lt;&gt;"",$AA$2,""))</f>
        <v/>
      </c>
      <c r="AB153" s="28" t="str">
        <f aca="false">IF($A158="","",IF(B158&lt;30000,0.03,IF(B158&lt;100000,0.02,0.015)))</f>
        <v/>
      </c>
      <c r="AC153" s="38" t="str">
        <f aca="false">IF($A158="","",IFERROR(DATEDIF($A$2,$A158,"m"),0))</f>
        <v/>
      </c>
      <c r="AD153" s="35" t="str">
        <f aca="false">IF($A158="","",IF(OR(AA158="",AB158="",AC158=""),"",AA158*POWER(1+AB158,AC158)))</f>
        <v/>
      </c>
      <c r="AE153" s="41" t="str">
        <f aca="false">IF($A158="","",IF(OR(AD158="",AD158=0),"",B158/AD158-1))</f>
        <v/>
      </c>
      <c r="AG153" s="1" t="str">
        <f aca="false">IF($A158="","",IF(B158&lt;30000,"婴儿",IF(B158&lt;100000,"成长","成熟")))</f>
        <v/>
      </c>
      <c r="AH153" s="42"/>
      <c r="AJ153" s="42"/>
      <c r="AK153" s="42"/>
      <c r="AM153" s="42"/>
      <c r="AP153" s="32"/>
      <c r="AQ153" s="43" t="str">
        <f aca="false">IF($A158="","",B158-$AA$2-SUM($F$2:F158))</f>
        <v/>
      </c>
      <c r="AR153" s="1" t="str">
        <f aca="false">IF($A157="","",30000)</f>
        <v/>
      </c>
      <c r="AS153" s="1" t="str">
        <f aca="false">IF($A157="","",AR157-B157)</f>
        <v/>
      </c>
      <c r="AT153" s="1" t="str">
        <f aca="false">IF($A157="","",IFERROR(B157/AR157,0))</f>
        <v/>
      </c>
      <c r="AU153" s="1" t="str">
        <f aca="false">IF($A157="","",IFERROR(B157*O157,0))</f>
        <v/>
      </c>
      <c r="AV153" s="1" t="str">
        <f aca="false">IF($A157="","",IFERROR(C157/B157,0))</f>
        <v/>
      </c>
      <c r="AW153" s="1" t="str">
        <f aca="false">IF($A157="","",MAX(0,R157-S157))</f>
        <v/>
      </c>
      <c r="AX153" s="1" t="str">
        <f aca="false">IF($A157="","",IF(AW157&gt;0,"优先降持仓数",IF(C157&lt;=0,"现金不足","允许评估")))</f>
        <v/>
      </c>
      <c r="AY153" s="1" t="str">
        <f aca="false">IF($A157="","",IF(B157&lt;30000,"婴儿阶段: 优先活下来,禁止单票失控,限制持仓数,服务3W目标","幼儿阶段达成"))</f>
        <v/>
      </c>
    </row>
    <row r="154" customFormat="false" ht="15" hidden="false" customHeight="true" outlineLevel="0" collapsed="false">
      <c r="A154" s="30"/>
      <c r="B154" s="44"/>
      <c r="C154" s="44"/>
      <c r="D154" s="35" t="str">
        <f aca="false">IF($A159="","",SUMIFS(持仓表!$J:$J,持仓表!$A:$A,$A159))</f>
        <v/>
      </c>
      <c r="E154" s="36" t="n">
        <f aca="false">IFERROR(D159/B159,0)</f>
        <v>0</v>
      </c>
      <c r="F154" s="44"/>
      <c r="G154" s="35" t="str">
        <f aca="false">IF($B159="","",MAX($B$2:B159))</f>
        <v/>
      </c>
      <c r="H154" s="36" t="n">
        <f aca="false">IFERROR((B159-F159)/F159,0)</f>
        <v>0</v>
      </c>
      <c r="I154" s="36" t="n">
        <f aca="false">IFERROR((B159-G159)/G159,0)</f>
        <v>0</v>
      </c>
      <c r="J154" s="30"/>
      <c r="K154" s="31"/>
      <c r="L154" s="45"/>
      <c r="M154" s="45"/>
      <c r="N154" s="36" t="str">
        <f aca="false">IF($B159="","",MIN(70%,IF($I159&lt;=-15%,10%,IF($I159&lt;=-10%,30%,IF($M159&gt;=4,10%,IF($M159&gt;=3,30%,IF($J159="强",IF($K159="A",70%,IF($K159="B",60%,40%)),IF($J159="中性",IF($K159="A",50%,IF($K159="B",40%,25%)),IF($K159="A",30%,IF($K159="B",20%,10%))))))))))</f>
        <v/>
      </c>
      <c r="O154" s="36" t="str">
        <f aca="false">IF($B159="","",IF(B159&lt;30000,35%,IF(B159&lt;50000,30%,IF(B159&lt;100000,25%,20%))))</f>
        <v/>
      </c>
      <c r="P154" s="38" t="str">
        <f aca="false">IF($A159="","",COUNTIFS(持仓表!$A:$A,$A159,持仓表!$G:$G,"&gt;0"))</f>
        <v/>
      </c>
      <c r="Q154" s="38" t="str">
        <f aca="false">IF($A159="","",COUNTIFS(持仓表!$A:$A,$A159,持仓表!$D:$D,"是",持仓表!$G:$G,"&gt;0"))</f>
        <v/>
      </c>
      <c r="R154" s="38" t="str">
        <f aca="false">IF($A159="","",MAX(0,P159-Q159))</f>
        <v/>
      </c>
      <c r="S154" s="38" t="str">
        <f aca="false">IF($B159="","",IF(B159&lt;50000,3,IF(B159&lt;100000,4,5)))</f>
        <v/>
      </c>
      <c r="T154" s="39" t="str">
        <f aca="false">IF($A159="","",IF(OR(M159&gt;=4,I159&lt;=-8%),"防守",IF(OR(M159&gt;=2,I159&lt;=-5%),"警戒","正常")))</f>
        <v/>
      </c>
      <c r="U154" s="39" t="str">
        <f aca="false">IF($A159="","",IF(AND(L159&gt;=3,M159&lt;=2,T159&lt;&gt;"防守"),"是","否"))</f>
        <v/>
      </c>
      <c r="V154" s="39" t="str">
        <f aca="false">IF($A159="","",IF(AND(E159&lt;N159,R159&lt;S159,M159&lt;=2,I159&gt;-15%),"是","否"))</f>
        <v/>
      </c>
      <c r="W154" s="39" t="str">
        <f aca="false">IF($A159="","",IF(OR(M159&gt;=3,I159&lt;=-15%),"是","否"))</f>
        <v/>
      </c>
      <c r="X154" s="35" t="str">
        <f aca="false">IF($A159="","",IFERROR(maxifs(候选池!$AB:$AB,候选池!$A:$A,$A159),0))</f>
        <v/>
      </c>
      <c r="Y154" s="35" t="str">
        <f aca="false">IF($A159="","",IF(OR(M159&gt;=4,I159&lt;=-8%),MAX(0,B159*60%-C159),IF(AND(ISNUMBER(AD159),B159&gt;AD159),IF(B159&lt;30000,0,IF(B159&lt;100000,MAX(0,(B159-AD159)*0.2),MAX(0,(B159-AD159)*0.3))),0)))</f>
        <v/>
      </c>
      <c r="Z154" s="30"/>
      <c r="AA154" s="39" t="str">
        <f aca="false">IF($A159="","",IF($AA$2&lt;&gt;"",$AA$2,""))</f>
        <v/>
      </c>
      <c r="AB154" s="30" t="str">
        <f aca="false">IF($A159="","",IF(B159&lt;30000,0.03,IF(B159&lt;100000,0.02,0.015)))</f>
        <v/>
      </c>
      <c r="AC154" s="38" t="str">
        <f aca="false">IF($A159="","",IFERROR(DATEDIF($A$2,$A159,"m"),0))</f>
        <v/>
      </c>
      <c r="AD154" s="35" t="str">
        <f aca="false">IF($A159="","",IF(OR(AA159="",AB159="",AC159=""),"",AA159*POWER(1+AB159,AC159)))</f>
        <v/>
      </c>
      <c r="AE154" s="47" t="str">
        <f aca="false">IF($A159="","",IF(OR(AD159="",AD159=0),"",B159/AD159-1))</f>
        <v/>
      </c>
      <c r="AG154" s="1" t="str">
        <f aca="false">IF($A159="","",IF(B159&lt;30000,"婴儿",IF(B159&lt;100000,"成长","成熟")))</f>
        <v/>
      </c>
      <c r="AH154" s="42"/>
      <c r="AJ154" s="42"/>
      <c r="AK154" s="42"/>
      <c r="AM154" s="42"/>
      <c r="AP154" s="32"/>
      <c r="AQ154" s="43" t="str">
        <f aca="false">IF($A159="","",B159-$AA$2-SUM($F$2:F159))</f>
        <v/>
      </c>
      <c r="AR154" s="1" t="str">
        <f aca="false">IF($A158="","",30000)</f>
        <v/>
      </c>
      <c r="AS154" s="1" t="str">
        <f aca="false">IF($A158="","",AR158-B158)</f>
        <v/>
      </c>
      <c r="AT154" s="1" t="str">
        <f aca="false">IF($A158="","",IFERROR(B158/AR158,0))</f>
        <v/>
      </c>
      <c r="AU154" s="1" t="str">
        <f aca="false">IF($A158="","",IFERROR(B158*O158,0))</f>
        <v/>
      </c>
      <c r="AV154" s="1" t="str">
        <f aca="false">IF($A158="","",IFERROR(C158/B158,0))</f>
        <v/>
      </c>
      <c r="AW154" s="1" t="str">
        <f aca="false">IF($A158="","",MAX(0,R158-S158))</f>
        <v/>
      </c>
      <c r="AX154" s="1" t="str">
        <f aca="false">IF($A158="","",IF(AW158&gt;0,"优先降持仓数",IF(C158&lt;=0,"现金不足","允许评估")))</f>
        <v/>
      </c>
      <c r="AY154" s="1" t="str">
        <f aca="false">IF($A158="","",IF(B158&lt;30000,"婴儿阶段: 优先活下来,禁止单票失控,限制持仓数,服务3W目标","幼儿阶段达成"))</f>
        <v/>
      </c>
    </row>
    <row r="155" customFormat="false" ht="15" hidden="false" customHeight="true" outlineLevel="0" collapsed="false">
      <c r="A155" s="28"/>
      <c r="B155" s="34"/>
      <c r="C155" s="34"/>
      <c r="D155" s="35" t="str">
        <f aca="false">IF($A160="","",SUMIFS(持仓表!$J:$J,持仓表!$A:$A,$A160))</f>
        <v/>
      </c>
      <c r="E155" s="36" t="n">
        <f aca="false">IFERROR(D160/B160,0)</f>
        <v>0</v>
      </c>
      <c r="F155" s="34"/>
      <c r="G155" s="35" t="str">
        <f aca="false">IF($B160="","",MAX($B$2:B160))</f>
        <v/>
      </c>
      <c r="H155" s="36" t="n">
        <f aca="false">IFERROR((B160-F160)/F160,0)</f>
        <v>0</v>
      </c>
      <c r="I155" s="36" t="n">
        <f aca="false">IFERROR((B160-G160)/G160,0)</f>
        <v>0</v>
      </c>
      <c r="J155" s="28"/>
      <c r="K155" s="29"/>
      <c r="L155" s="37"/>
      <c r="M155" s="37"/>
      <c r="N155" s="36" t="str">
        <f aca="false">IF($B160="","",MIN(70%,IF($I160&lt;=-15%,10%,IF($I160&lt;=-10%,30%,IF($M160&gt;=4,10%,IF($M160&gt;=3,30%,IF($J160="强",IF($K160="A",70%,IF($K160="B",60%,40%)),IF($J160="中性",IF($K160="A",50%,IF($K160="B",40%,25%)),IF($K160="A",30%,IF($K160="B",20%,10%))))))))))</f>
        <v/>
      </c>
      <c r="O155" s="36" t="str">
        <f aca="false">IF($B160="","",IF(B160&lt;30000,35%,IF(B160&lt;50000,30%,IF(B160&lt;100000,25%,20%))))</f>
        <v/>
      </c>
      <c r="P155" s="38" t="str">
        <f aca="false">IF($A160="","",COUNTIFS(持仓表!$A:$A,$A160,持仓表!$G:$G,"&gt;0"))</f>
        <v/>
      </c>
      <c r="Q155" s="38" t="str">
        <f aca="false">IF($A160="","",COUNTIFS(持仓表!$A:$A,$A160,持仓表!$D:$D,"是",持仓表!$G:$G,"&gt;0"))</f>
        <v/>
      </c>
      <c r="R155" s="38" t="str">
        <f aca="false">IF($A160="","",MAX(0,P160-Q160))</f>
        <v/>
      </c>
      <c r="S155" s="38" t="str">
        <f aca="false">IF($B160="","",IF(B160&lt;50000,3,IF(B160&lt;100000,4,5)))</f>
        <v/>
      </c>
      <c r="T155" s="39" t="str">
        <f aca="false">IF($A160="","",IF(OR(M160&gt;=4,I160&lt;=-8%),"防守",IF(OR(M160&gt;=2,I160&lt;=-5%),"警戒","正常")))</f>
        <v/>
      </c>
      <c r="U155" s="39" t="str">
        <f aca="false">IF($A160="","",IF(AND(L160&gt;=3,M160&lt;=2,T160&lt;&gt;"防守"),"是","否"))</f>
        <v/>
      </c>
      <c r="V155" s="39" t="str">
        <f aca="false">IF($A160="","",IF(AND(E160&lt;N160,R160&lt;S160,M160&lt;=2,I160&gt;-15%),"是","否"))</f>
        <v/>
      </c>
      <c r="W155" s="39" t="str">
        <f aca="false">IF($A160="","",IF(OR(M160&gt;=3,I160&lt;=-15%),"是","否"))</f>
        <v/>
      </c>
      <c r="X155" s="35" t="str">
        <f aca="false">IF($A160="","",IFERROR(maxifs(候选池!$AB:$AB,候选池!$A:$A,$A160),0))</f>
        <v/>
      </c>
      <c r="Y155" s="35" t="str">
        <f aca="false">IF($A160="","",IF(OR(M160&gt;=4,I160&lt;=-8%),MAX(0,B160*60%-C160),IF(AND(ISNUMBER(AD160),B160&gt;AD160),IF(B160&lt;30000,0,IF(B160&lt;100000,MAX(0,(B160-AD160)*0.2),MAX(0,(B160-AD160)*0.3))),0)))</f>
        <v/>
      </c>
      <c r="Z155" s="28"/>
      <c r="AA155" s="39" t="str">
        <f aca="false">IF($A160="","",IF($AA$2&lt;&gt;"",$AA$2,""))</f>
        <v/>
      </c>
      <c r="AB155" s="28" t="str">
        <f aca="false">IF($A160="","",IF(B160&lt;30000,0.03,IF(B160&lt;100000,0.02,0.015)))</f>
        <v/>
      </c>
      <c r="AC155" s="38" t="str">
        <f aca="false">IF($A160="","",IFERROR(DATEDIF($A$2,$A160,"m"),0))</f>
        <v/>
      </c>
      <c r="AD155" s="35" t="str">
        <f aca="false">IF($A160="","",IF(OR(AA160="",AB160="",AC160=""),"",AA160*POWER(1+AB160,AC160)))</f>
        <v/>
      </c>
      <c r="AE155" s="41" t="str">
        <f aca="false">IF($A160="","",IF(OR(AD160="",AD160=0),"",B160/AD160-1))</f>
        <v/>
      </c>
      <c r="AG155" s="1" t="str">
        <f aca="false">IF($A160="","",IF(B160&lt;30000,"婴儿",IF(B160&lt;100000,"成长","成熟")))</f>
        <v/>
      </c>
      <c r="AH155" s="42"/>
      <c r="AJ155" s="42"/>
      <c r="AK155" s="42"/>
      <c r="AM155" s="42"/>
      <c r="AP155" s="32"/>
      <c r="AQ155" s="43" t="str">
        <f aca="false">IF($A160="","",B160-$AA$2-SUM($F$2:F160))</f>
        <v/>
      </c>
      <c r="AR155" s="1" t="str">
        <f aca="false">IF($A159="","",30000)</f>
        <v/>
      </c>
      <c r="AS155" s="1" t="str">
        <f aca="false">IF($A159="","",AR159-B159)</f>
        <v/>
      </c>
      <c r="AT155" s="1" t="str">
        <f aca="false">IF($A159="","",IFERROR(B159/AR159,0))</f>
        <v/>
      </c>
      <c r="AU155" s="1" t="str">
        <f aca="false">IF($A159="","",IFERROR(B159*O159,0))</f>
        <v/>
      </c>
      <c r="AV155" s="1" t="str">
        <f aca="false">IF($A159="","",IFERROR(C159/B159,0))</f>
        <v/>
      </c>
      <c r="AW155" s="1" t="str">
        <f aca="false">IF($A159="","",MAX(0,R159-S159))</f>
        <v/>
      </c>
      <c r="AX155" s="1" t="str">
        <f aca="false">IF($A159="","",IF(AW159&gt;0,"优先降持仓数",IF(C159&lt;=0,"现金不足","允许评估")))</f>
        <v/>
      </c>
      <c r="AY155" s="1" t="str">
        <f aca="false">IF($A159="","",IF(B159&lt;30000,"婴儿阶段: 优先活下来,禁止单票失控,限制持仓数,服务3W目标","幼儿阶段达成"))</f>
        <v/>
      </c>
    </row>
    <row r="156" customFormat="false" ht="15" hidden="false" customHeight="true" outlineLevel="0" collapsed="false">
      <c r="A156" s="30"/>
      <c r="B156" s="44"/>
      <c r="C156" s="44"/>
      <c r="D156" s="35" t="str">
        <f aca="false">IF($A161="","",SUMIFS(持仓表!$J:$J,持仓表!$A:$A,$A161))</f>
        <v/>
      </c>
      <c r="E156" s="36" t="n">
        <f aca="false">IFERROR(D161/B161,0)</f>
        <v>0</v>
      </c>
      <c r="F156" s="44"/>
      <c r="G156" s="35" t="str">
        <f aca="false">IF($B161="","",MAX($B$2:B161))</f>
        <v/>
      </c>
      <c r="H156" s="36" t="n">
        <f aca="false">IFERROR((B161-F161)/F161,0)</f>
        <v>0</v>
      </c>
      <c r="I156" s="36" t="n">
        <f aca="false">IFERROR((B161-G161)/G161,0)</f>
        <v>0</v>
      </c>
      <c r="J156" s="30"/>
      <c r="K156" s="31"/>
      <c r="L156" s="45"/>
      <c r="M156" s="45"/>
      <c r="N156" s="36" t="str">
        <f aca="false">IF($B161="","",MIN(70%,IF($I161&lt;=-15%,10%,IF($I161&lt;=-10%,30%,IF($M161&gt;=4,10%,IF($M161&gt;=3,30%,IF($J161="强",IF($K161="A",70%,IF($K161="B",60%,40%)),IF($J161="中性",IF($K161="A",50%,IF($K161="B",40%,25%)),IF($K161="A",30%,IF($K161="B",20%,10%))))))))))</f>
        <v/>
      </c>
      <c r="O156" s="36" t="str">
        <f aca="false">IF($B161="","",IF(B161&lt;30000,35%,IF(B161&lt;50000,30%,IF(B161&lt;100000,25%,20%))))</f>
        <v/>
      </c>
      <c r="P156" s="38" t="str">
        <f aca="false">IF($A161="","",COUNTIFS(持仓表!$A:$A,$A161,持仓表!$G:$G,"&gt;0"))</f>
        <v/>
      </c>
      <c r="Q156" s="38" t="str">
        <f aca="false">IF($A161="","",COUNTIFS(持仓表!$A:$A,$A161,持仓表!$D:$D,"是",持仓表!$G:$G,"&gt;0"))</f>
        <v/>
      </c>
      <c r="R156" s="38" t="str">
        <f aca="false">IF($A161="","",MAX(0,P161-Q161))</f>
        <v/>
      </c>
      <c r="S156" s="38" t="str">
        <f aca="false">IF($B161="","",IF(B161&lt;50000,3,IF(B161&lt;100000,4,5)))</f>
        <v/>
      </c>
      <c r="T156" s="39" t="str">
        <f aca="false">IF($A161="","",IF(OR(M161&gt;=4,I161&lt;=-8%),"防守",IF(OR(M161&gt;=2,I161&lt;=-5%),"警戒","正常")))</f>
        <v/>
      </c>
      <c r="U156" s="39" t="str">
        <f aca="false">IF($A161="","",IF(AND(L161&gt;=3,M161&lt;=2,T161&lt;&gt;"防守"),"是","否"))</f>
        <v/>
      </c>
      <c r="V156" s="39" t="str">
        <f aca="false">IF($A161="","",IF(AND(E161&lt;N161,R161&lt;S161,M161&lt;=2,I161&gt;-15%),"是","否"))</f>
        <v/>
      </c>
      <c r="W156" s="39" t="str">
        <f aca="false">IF($A161="","",IF(OR(M161&gt;=3,I161&lt;=-15%),"是","否"))</f>
        <v/>
      </c>
      <c r="X156" s="35" t="str">
        <f aca="false">IF($A161="","",IFERROR(maxifs(候选池!$AB:$AB,候选池!$A:$A,$A161),0))</f>
        <v/>
      </c>
      <c r="Y156" s="35" t="str">
        <f aca="false">IF($A161="","",IF(OR(M161&gt;=4,I161&lt;=-8%),MAX(0,B161*60%-C161),IF(AND(ISNUMBER(AD161),B161&gt;AD161),IF(B161&lt;30000,0,IF(B161&lt;100000,MAX(0,(B161-AD161)*0.2),MAX(0,(B161-AD161)*0.3))),0)))</f>
        <v/>
      </c>
      <c r="Z156" s="30"/>
      <c r="AA156" s="39" t="str">
        <f aca="false">IF($A161="","",IF($AA$2&lt;&gt;"",$AA$2,""))</f>
        <v/>
      </c>
      <c r="AB156" s="30" t="str">
        <f aca="false">IF($A161="","",IF(B161&lt;30000,0.03,IF(B161&lt;100000,0.02,0.015)))</f>
        <v/>
      </c>
      <c r="AC156" s="38" t="str">
        <f aca="false">IF($A161="","",IFERROR(DATEDIF($A$2,$A161,"m"),0))</f>
        <v/>
      </c>
      <c r="AD156" s="35" t="str">
        <f aca="false">IF($A161="","",IF(OR(AA161="",AB161="",AC161=""),"",AA161*POWER(1+AB161,AC161)))</f>
        <v/>
      </c>
      <c r="AE156" s="47" t="str">
        <f aca="false">IF($A161="","",IF(OR(AD161="",AD161=0),"",B161/AD161-1))</f>
        <v/>
      </c>
      <c r="AG156" s="1" t="str">
        <f aca="false">IF($A161="","",IF(B161&lt;30000,"婴儿",IF(B161&lt;100000,"成长","成熟")))</f>
        <v/>
      </c>
      <c r="AH156" s="42"/>
      <c r="AJ156" s="42"/>
      <c r="AK156" s="42"/>
      <c r="AM156" s="42"/>
      <c r="AP156" s="32"/>
      <c r="AQ156" s="43" t="str">
        <f aca="false">IF($A161="","",B161-$AA$2-SUM($F$2:F161))</f>
        <v/>
      </c>
      <c r="AR156" s="1" t="str">
        <f aca="false">IF($A160="","",30000)</f>
        <v/>
      </c>
      <c r="AS156" s="1" t="str">
        <f aca="false">IF($A160="","",AR160-B160)</f>
        <v/>
      </c>
      <c r="AT156" s="1" t="str">
        <f aca="false">IF($A160="","",IFERROR(B160/AR160,0))</f>
        <v/>
      </c>
      <c r="AU156" s="1" t="str">
        <f aca="false">IF($A160="","",IFERROR(B160*O160,0))</f>
        <v/>
      </c>
      <c r="AV156" s="1" t="str">
        <f aca="false">IF($A160="","",IFERROR(C160/B160,0))</f>
        <v/>
      </c>
      <c r="AW156" s="1" t="str">
        <f aca="false">IF($A160="","",MAX(0,R160-S160))</f>
        <v/>
      </c>
      <c r="AX156" s="1" t="str">
        <f aca="false">IF($A160="","",IF(AW160&gt;0,"优先降持仓数",IF(C160&lt;=0,"现金不足","允许评估")))</f>
        <v/>
      </c>
      <c r="AY156" s="1" t="str">
        <f aca="false">IF($A160="","",IF(B160&lt;30000,"婴儿阶段: 优先活下来,禁止单票失控,限制持仓数,服务3W目标","幼儿阶段达成"))</f>
        <v/>
      </c>
    </row>
    <row r="157" customFormat="false" ht="15" hidden="false" customHeight="true" outlineLevel="0" collapsed="false">
      <c r="A157" s="28"/>
      <c r="B157" s="34"/>
      <c r="C157" s="34"/>
      <c r="D157" s="35" t="str">
        <f aca="false">IF($A162="","",SUMIFS(持仓表!$J:$J,持仓表!$A:$A,$A162))</f>
        <v/>
      </c>
      <c r="E157" s="36" t="n">
        <f aca="false">IFERROR(D162/B162,0)</f>
        <v>0</v>
      </c>
      <c r="F157" s="34"/>
      <c r="G157" s="35" t="str">
        <f aca="false">IF($B162="","",MAX($B$2:B162))</f>
        <v/>
      </c>
      <c r="H157" s="36" t="n">
        <f aca="false">IFERROR((B162-F162)/F162,0)</f>
        <v>0</v>
      </c>
      <c r="I157" s="36" t="n">
        <f aca="false">IFERROR((B162-G162)/G162,0)</f>
        <v>0</v>
      </c>
      <c r="J157" s="28"/>
      <c r="K157" s="29"/>
      <c r="L157" s="37"/>
      <c r="M157" s="37"/>
      <c r="N157" s="36" t="str">
        <f aca="false">IF($B162="","",MIN(70%,IF($I162&lt;=-15%,10%,IF($I162&lt;=-10%,30%,IF($M162&gt;=4,10%,IF($M162&gt;=3,30%,IF($J162="强",IF($K162="A",70%,IF($K162="B",60%,40%)),IF($J162="中性",IF($K162="A",50%,IF($K162="B",40%,25%)),IF($K162="A",30%,IF($K162="B",20%,10%))))))))))</f>
        <v/>
      </c>
      <c r="O157" s="36" t="str">
        <f aca="false">IF($B162="","",IF(B162&lt;30000,35%,IF(B162&lt;50000,30%,IF(B162&lt;100000,25%,20%))))</f>
        <v/>
      </c>
      <c r="P157" s="38" t="str">
        <f aca="false">IF($A162="","",COUNTIFS(持仓表!$A:$A,$A162,持仓表!$G:$G,"&gt;0"))</f>
        <v/>
      </c>
      <c r="Q157" s="38" t="str">
        <f aca="false">IF($A162="","",COUNTIFS(持仓表!$A:$A,$A162,持仓表!$D:$D,"是",持仓表!$G:$G,"&gt;0"))</f>
        <v/>
      </c>
      <c r="R157" s="38" t="str">
        <f aca="false">IF($A162="","",MAX(0,P162-Q162))</f>
        <v/>
      </c>
      <c r="S157" s="38" t="str">
        <f aca="false">IF($B162="","",IF(B162&lt;50000,3,IF(B162&lt;100000,4,5)))</f>
        <v/>
      </c>
      <c r="T157" s="39" t="str">
        <f aca="false">IF($A162="","",IF(OR(M162&gt;=4,I162&lt;=-8%),"防守",IF(OR(M162&gt;=2,I162&lt;=-5%),"警戒","正常")))</f>
        <v/>
      </c>
      <c r="U157" s="39" t="str">
        <f aca="false">IF($A162="","",IF(AND(L162&gt;=3,M162&lt;=2,T162&lt;&gt;"防守"),"是","否"))</f>
        <v/>
      </c>
      <c r="V157" s="39" t="str">
        <f aca="false">IF($A162="","",IF(AND(E162&lt;N162,R162&lt;S162,M162&lt;=2,I162&gt;-15%),"是","否"))</f>
        <v/>
      </c>
      <c r="W157" s="39" t="str">
        <f aca="false">IF($A162="","",IF(OR(M162&gt;=3,I162&lt;=-15%),"是","否"))</f>
        <v/>
      </c>
      <c r="X157" s="35" t="str">
        <f aca="false">IF($A162="","",IFERROR(maxifs(候选池!$AB:$AB,候选池!$A:$A,$A162),0))</f>
        <v/>
      </c>
      <c r="Y157" s="35" t="str">
        <f aca="false">IF($A162="","",IF(OR(M162&gt;=4,I162&lt;=-8%),MAX(0,B162*60%-C162),IF(AND(ISNUMBER(AD162),B162&gt;AD162),IF(B162&lt;30000,0,IF(B162&lt;100000,MAX(0,(B162-AD162)*0.2),MAX(0,(B162-AD162)*0.3))),0)))</f>
        <v/>
      </c>
      <c r="Z157" s="28"/>
      <c r="AA157" s="39" t="str">
        <f aca="false">IF($A162="","",IF($AA$2&lt;&gt;"",$AA$2,""))</f>
        <v/>
      </c>
      <c r="AB157" s="28" t="str">
        <f aca="false">IF($A162="","",IF(B162&lt;30000,0.03,IF(B162&lt;100000,0.02,0.015)))</f>
        <v/>
      </c>
      <c r="AC157" s="38" t="str">
        <f aca="false">IF($A162="","",IFERROR(DATEDIF($A$2,$A162,"m"),0))</f>
        <v/>
      </c>
      <c r="AD157" s="35" t="str">
        <f aca="false">IF($A162="","",IF(OR(AA162="",AB162="",AC162=""),"",AA162*POWER(1+AB162,AC162)))</f>
        <v/>
      </c>
      <c r="AE157" s="41" t="str">
        <f aca="false">IF($A162="","",IF(OR(AD162="",AD162=0),"",B162/AD162-1))</f>
        <v/>
      </c>
      <c r="AG157" s="1" t="str">
        <f aca="false">IF($A162="","",IF(B162&lt;30000,"婴儿",IF(B162&lt;100000,"成长","成熟")))</f>
        <v/>
      </c>
      <c r="AH157" s="42"/>
      <c r="AJ157" s="42"/>
      <c r="AK157" s="42"/>
      <c r="AM157" s="42"/>
      <c r="AP157" s="32"/>
      <c r="AQ157" s="43" t="str">
        <f aca="false">IF($A162="","",B162-$AA$2-SUM($F$2:F162))</f>
        <v/>
      </c>
      <c r="AR157" s="1" t="str">
        <f aca="false">IF($A161="","",30000)</f>
        <v/>
      </c>
      <c r="AS157" s="1" t="str">
        <f aca="false">IF($A161="","",AR161-B161)</f>
        <v/>
      </c>
      <c r="AT157" s="1" t="str">
        <f aca="false">IF($A161="","",IFERROR(B161/AR161,0))</f>
        <v/>
      </c>
      <c r="AU157" s="1" t="str">
        <f aca="false">IF($A161="","",IFERROR(B161*O161,0))</f>
        <v/>
      </c>
      <c r="AV157" s="1" t="str">
        <f aca="false">IF($A161="","",IFERROR(C161/B161,0))</f>
        <v/>
      </c>
      <c r="AW157" s="1" t="str">
        <f aca="false">IF($A161="","",MAX(0,R161-S161))</f>
        <v/>
      </c>
      <c r="AX157" s="1" t="str">
        <f aca="false">IF($A161="","",IF(AW161&gt;0,"优先降持仓数",IF(C161&lt;=0,"现金不足","允许评估")))</f>
        <v/>
      </c>
      <c r="AY157" s="1" t="str">
        <f aca="false">IF($A161="","",IF(B161&lt;30000,"婴儿阶段: 优先活下来,禁止单票失控,限制持仓数,服务3W目标","幼儿阶段达成"))</f>
        <v/>
      </c>
    </row>
    <row r="158" customFormat="false" ht="15" hidden="false" customHeight="true" outlineLevel="0" collapsed="false">
      <c r="A158" s="30"/>
      <c r="B158" s="44"/>
      <c r="C158" s="44"/>
      <c r="D158" s="35" t="str">
        <f aca="false">IF($A163="","",SUMIFS(持仓表!$J:$J,持仓表!$A:$A,$A163))</f>
        <v/>
      </c>
      <c r="E158" s="36" t="n">
        <f aca="false">IFERROR(D163/B163,0)</f>
        <v>0</v>
      </c>
      <c r="F158" s="44"/>
      <c r="G158" s="35" t="str">
        <f aca="false">IF($B163="","",MAX($B$2:B163))</f>
        <v/>
      </c>
      <c r="H158" s="36" t="n">
        <f aca="false">IFERROR((B163-F163)/F163,0)</f>
        <v>0</v>
      </c>
      <c r="I158" s="36" t="n">
        <f aca="false">IFERROR((B163-G163)/G163,0)</f>
        <v>0</v>
      </c>
      <c r="J158" s="30"/>
      <c r="K158" s="31"/>
      <c r="L158" s="45"/>
      <c r="M158" s="45"/>
      <c r="N158" s="36" t="str">
        <f aca="false">IF($B163="","",MIN(70%,IF($I163&lt;=-15%,10%,IF($I163&lt;=-10%,30%,IF($M163&gt;=4,10%,IF($M163&gt;=3,30%,IF($J163="强",IF($K163="A",70%,IF($K163="B",60%,40%)),IF($J163="中性",IF($K163="A",50%,IF($K163="B",40%,25%)),IF($K163="A",30%,IF($K163="B",20%,10%))))))))))</f>
        <v/>
      </c>
      <c r="O158" s="36" t="str">
        <f aca="false">IF($B163="","",IF(B163&lt;30000,35%,IF(B163&lt;50000,30%,IF(B163&lt;100000,25%,20%))))</f>
        <v/>
      </c>
      <c r="P158" s="38" t="str">
        <f aca="false">IF($A163="","",COUNTIFS(持仓表!$A:$A,$A163,持仓表!$G:$G,"&gt;0"))</f>
        <v/>
      </c>
      <c r="Q158" s="38" t="str">
        <f aca="false">IF($A163="","",COUNTIFS(持仓表!$A:$A,$A163,持仓表!$D:$D,"是",持仓表!$G:$G,"&gt;0"))</f>
        <v/>
      </c>
      <c r="R158" s="38" t="str">
        <f aca="false">IF($A163="","",MAX(0,P163-Q163))</f>
        <v/>
      </c>
      <c r="S158" s="38" t="str">
        <f aca="false">IF($B163="","",IF(B163&lt;50000,3,IF(B163&lt;100000,4,5)))</f>
        <v/>
      </c>
      <c r="T158" s="39" t="str">
        <f aca="false">IF($A163="","",IF(OR(M163&gt;=4,I163&lt;=-8%),"防守",IF(OR(M163&gt;=2,I163&lt;=-5%),"警戒","正常")))</f>
        <v/>
      </c>
      <c r="U158" s="39" t="str">
        <f aca="false">IF($A163="","",IF(AND(L163&gt;=3,M163&lt;=2,T163&lt;&gt;"防守"),"是","否"))</f>
        <v/>
      </c>
      <c r="V158" s="39" t="str">
        <f aca="false">IF($A163="","",IF(AND(E163&lt;N163,R163&lt;S163,M163&lt;=2,I163&gt;-15%),"是","否"))</f>
        <v/>
      </c>
      <c r="W158" s="39" t="str">
        <f aca="false">IF($A163="","",IF(OR(M163&gt;=3,I163&lt;=-15%),"是","否"))</f>
        <v/>
      </c>
      <c r="X158" s="35" t="str">
        <f aca="false">IF($A163="","",IFERROR(maxifs(候选池!$AB:$AB,候选池!$A:$A,$A163),0))</f>
        <v/>
      </c>
      <c r="Y158" s="35" t="str">
        <f aca="false">IF($A163="","",IF(OR(M163&gt;=4,I163&lt;=-8%),MAX(0,B163*60%-C163),IF(AND(ISNUMBER(AD163),B163&gt;AD163),IF(B163&lt;30000,0,IF(B163&lt;100000,MAX(0,(B163-AD163)*0.2),MAX(0,(B163-AD163)*0.3))),0)))</f>
        <v/>
      </c>
      <c r="Z158" s="30"/>
      <c r="AA158" s="39" t="str">
        <f aca="false">IF($A163="","",IF($AA$2&lt;&gt;"",$AA$2,""))</f>
        <v/>
      </c>
      <c r="AB158" s="30" t="str">
        <f aca="false">IF($A163="","",IF(B163&lt;30000,0.03,IF(B163&lt;100000,0.02,0.015)))</f>
        <v/>
      </c>
      <c r="AC158" s="38" t="str">
        <f aca="false">IF($A163="","",IFERROR(DATEDIF($A$2,$A163,"m"),0))</f>
        <v/>
      </c>
      <c r="AD158" s="35" t="str">
        <f aca="false">IF($A163="","",IF(OR(AA163="",AB163="",AC163=""),"",AA163*POWER(1+AB163,AC163)))</f>
        <v/>
      </c>
      <c r="AE158" s="47" t="str">
        <f aca="false">IF($A163="","",IF(OR(AD163="",AD163=0),"",B163/AD163-1))</f>
        <v/>
      </c>
      <c r="AG158" s="1" t="str">
        <f aca="false">IF($A163="","",IF(B163&lt;30000,"婴儿",IF(B163&lt;100000,"成长","成熟")))</f>
        <v/>
      </c>
      <c r="AH158" s="42"/>
      <c r="AJ158" s="42"/>
      <c r="AK158" s="42"/>
      <c r="AM158" s="42"/>
      <c r="AP158" s="32"/>
      <c r="AQ158" s="43" t="str">
        <f aca="false">IF($A163="","",B163-$AA$2-SUM($F$2:F163))</f>
        <v/>
      </c>
      <c r="AR158" s="1" t="str">
        <f aca="false">IF($A162="","",30000)</f>
        <v/>
      </c>
      <c r="AS158" s="1" t="str">
        <f aca="false">IF($A162="","",AR162-B162)</f>
        <v/>
      </c>
      <c r="AT158" s="1" t="str">
        <f aca="false">IF($A162="","",IFERROR(B162/AR162,0))</f>
        <v/>
      </c>
      <c r="AU158" s="1" t="str">
        <f aca="false">IF($A162="","",IFERROR(B162*O162,0))</f>
        <v/>
      </c>
      <c r="AV158" s="1" t="str">
        <f aca="false">IF($A162="","",IFERROR(C162/B162,0))</f>
        <v/>
      </c>
      <c r="AW158" s="1" t="str">
        <f aca="false">IF($A162="","",MAX(0,R162-S162))</f>
        <v/>
      </c>
      <c r="AX158" s="1" t="str">
        <f aca="false">IF($A162="","",IF(AW162&gt;0,"优先降持仓数",IF(C162&lt;=0,"现金不足","允许评估")))</f>
        <v/>
      </c>
      <c r="AY158" s="1" t="str">
        <f aca="false">IF($A162="","",IF(B162&lt;30000,"婴儿阶段: 优先活下来,禁止单票失控,限制持仓数,服务3W目标","幼儿阶段达成"))</f>
        <v/>
      </c>
    </row>
    <row r="159" customFormat="false" ht="15" hidden="false" customHeight="true" outlineLevel="0" collapsed="false">
      <c r="A159" s="28"/>
      <c r="B159" s="34"/>
      <c r="C159" s="34"/>
      <c r="D159" s="35" t="str">
        <f aca="false">IF($A164="","",SUMIFS(持仓表!$J:$J,持仓表!$A:$A,$A164))</f>
        <v/>
      </c>
      <c r="E159" s="36" t="n">
        <f aca="false">IFERROR(D164/B164,0)</f>
        <v>0</v>
      </c>
      <c r="F159" s="34"/>
      <c r="G159" s="35" t="str">
        <f aca="false">IF($B164="","",MAX($B$2:B164))</f>
        <v/>
      </c>
      <c r="H159" s="36" t="n">
        <f aca="false">IFERROR((B164-F164)/F164,0)</f>
        <v>0</v>
      </c>
      <c r="I159" s="36" t="n">
        <f aca="false">IFERROR((B164-G164)/G164,0)</f>
        <v>0</v>
      </c>
      <c r="J159" s="28"/>
      <c r="K159" s="29"/>
      <c r="L159" s="37"/>
      <c r="M159" s="37"/>
      <c r="N159" s="36" t="str">
        <f aca="false">IF($B164="","",MIN(70%,IF($I164&lt;=-15%,10%,IF($I164&lt;=-10%,30%,IF($M164&gt;=4,10%,IF($M164&gt;=3,30%,IF($J164="强",IF($K164="A",70%,IF($K164="B",60%,40%)),IF($J164="中性",IF($K164="A",50%,IF($K164="B",40%,25%)),IF($K164="A",30%,IF($K164="B",20%,10%))))))))))</f>
        <v/>
      </c>
      <c r="O159" s="36" t="str">
        <f aca="false">IF($B164="","",IF(B164&lt;30000,35%,IF(B164&lt;50000,30%,IF(B164&lt;100000,25%,20%))))</f>
        <v/>
      </c>
      <c r="P159" s="38" t="str">
        <f aca="false">IF($A164="","",COUNTIFS(持仓表!$A:$A,$A164,持仓表!$G:$G,"&gt;0"))</f>
        <v/>
      </c>
      <c r="Q159" s="38" t="str">
        <f aca="false">IF($A164="","",COUNTIFS(持仓表!$A:$A,$A164,持仓表!$D:$D,"是",持仓表!$G:$G,"&gt;0"))</f>
        <v/>
      </c>
      <c r="R159" s="38" t="str">
        <f aca="false">IF($A164="","",MAX(0,P164-Q164))</f>
        <v/>
      </c>
      <c r="S159" s="38" t="str">
        <f aca="false">IF($B164="","",IF(B164&lt;50000,3,IF(B164&lt;100000,4,5)))</f>
        <v/>
      </c>
      <c r="T159" s="39" t="str">
        <f aca="false">IF($A164="","",IF(OR(M164&gt;=4,I164&lt;=-8%),"防守",IF(OR(M164&gt;=2,I164&lt;=-5%),"警戒","正常")))</f>
        <v/>
      </c>
      <c r="U159" s="39" t="str">
        <f aca="false">IF($A164="","",IF(AND(L164&gt;=3,M164&lt;=2,T164&lt;&gt;"防守"),"是","否"))</f>
        <v/>
      </c>
      <c r="V159" s="39" t="str">
        <f aca="false">IF($A164="","",IF(AND(E164&lt;N164,R164&lt;S164,M164&lt;=2,I164&gt;-15%),"是","否"))</f>
        <v/>
      </c>
      <c r="W159" s="39" t="str">
        <f aca="false">IF($A164="","",IF(OR(M164&gt;=3,I164&lt;=-15%),"是","否"))</f>
        <v/>
      </c>
      <c r="X159" s="35" t="str">
        <f aca="false">IF($A164="","",IFERROR(maxifs(候选池!$AB:$AB,候选池!$A:$A,$A164),0))</f>
        <v/>
      </c>
      <c r="Y159" s="35" t="str">
        <f aca="false">IF($A164="","",IF(OR(M164&gt;=4,I164&lt;=-8%),MAX(0,B164*60%-C164),IF(AND(ISNUMBER(AD164),B164&gt;AD164),IF(B164&lt;30000,0,IF(B164&lt;100000,MAX(0,(B164-AD164)*0.2),MAX(0,(B164-AD164)*0.3))),0)))</f>
        <v/>
      </c>
      <c r="Z159" s="28"/>
      <c r="AA159" s="39" t="str">
        <f aca="false">IF($A164="","",IF($AA$2&lt;&gt;"",$AA$2,""))</f>
        <v/>
      </c>
      <c r="AB159" s="28" t="str">
        <f aca="false">IF($A164="","",IF(B164&lt;30000,0.03,IF(B164&lt;100000,0.02,0.015)))</f>
        <v/>
      </c>
      <c r="AC159" s="38" t="str">
        <f aca="false">IF($A164="","",IFERROR(DATEDIF($A$2,$A164,"m"),0))</f>
        <v/>
      </c>
      <c r="AD159" s="35" t="str">
        <f aca="false">IF($A164="","",IF(OR(AA164="",AB164="",AC164=""),"",AA164*POWER(1+AB164,AC164)))</f>
        <v/>
      </c>
      <c r="AE159" s="41" t="str">
        <f aca="false">IF($A164="","",IF(OR(AD164="",AD164=0),"",B164/AD164-1))</f>
        <v/>
      </c>
      <c r="AG159" s="1" t="str">
        <f aca="false">IF($A164="","",IF(B164&lt;30000,"婴儿",IF(B164&lt;100000,"成长","成熟")))</f>
        <v/>
      </c>
      <c r="AH159" s="42"/>
      <c r="AJ159" s="42"/>
      <c r="AK159" s="42"/>
      <c r="AM159" s="42"/>
      <c r="AP159" s="32"/>
      <c r="AQ159" s="43" t="str">
        <f aca="false">IF($A164="","",B164-$AA$2-SUM($F$2:F164))</f>
        <v/>
      </c>
      <c r="AR159" s="1" t="str">
        <f aca="false">IF($A163="","",30000)</f>
        <v/>
      </c>
      <c r="AS159" s="1" t="str">
        <f aca="false">IF($A163="","",AR163-B163)</f>
        <v/>
      </c>
      <c r="AT159" s="1" t="str">
        <f aca="false">IF($A163="","",IFERROR(B163/AR163,0))</f>
        <v/>
      </c>
      <c r="AU159" s="1" t="str">
        <f aca="false">IF($A163="","",IFERROR(B163*O163,0))</f>
        <v/>
      </c>
      <c r="AV159" s="1" t="str">
        <f aca="false">IF($A163="","",IFERROR(C163/B163,0))</f>
        <v/>
      </c>
      <c r="AW159" s="1" t="str">
        <f aca="false">IF($A163="","",MAX(0,R163-S163))</f>
        <v/>
      </c>
      <c r="AX159" s="1" t="str">
        <f aca="false">IF($A163="","",IF(AW163&gt;0,"优先降持仓数",IF(C163&lt;=0,"现金不足","允许评估")))</f>
        <v/>
      </c>
      <c r="AY159" s="1" t="str">
        <f aca="false">IF($A163="","",IF(B163&lt;30000,"婴儿阶段: 优先活下来,禁止单票失控,限制持仓数,服务3W目标","幼儿阶段达成"))</f>
        <v/>
      </c>
    </row>
    <row r="160" customFormat="false" ht="15" hidden="false" customHeight="true" outlineLevel="0" collapsed="false">
      <c r="A160" s="30"/>
      <c r="B160" s="44"/>
      <c r="C160" s="44"/>
      <c r="D160" s="35" t="str">
        <f aca="false">IF($A165="","",SUMIFS(持仓表!$J:$J,持仓表!$A:$A,$A165))</f>
        <v/>
      </c>
      <c r="E160" s="36" t="n">
        <f aca="false">IFERROR(D165/B165,0)</f>
        <v>0</v>
      </c>
      <c r="F160" s="44"/>
      <c r="G160" s="35" t="str">
        <f aca="false">IF($B165="","",MAX($B$2:B165))</f>
        <v/>
      </c>
      <c r="H160" s="36" t="n">
        <f aca="false">IFERROR((B165-F165)/F165,0)</f>
        <v>0</v>
      </c>
      <c r="I160" s="36" t="n">
        <f aca="false">IFERROR((B165-G165)/G165,0)</f>
        <v>0</v>
      </c>
      <c r="J160" s="30"/>
      <c r="K160" s="31"/>
      <c r="L160" s="45"/>
      <c r="M160" s="45"/>
      <c r="N160" s="36" t="str">
        <f aca="false">IF($B165="","",MIN(70%,IF($I165&lt;=-15%,10%,IF($I165&lt;=-10%,30%,IF($M165&gt;=4,10%,IF($M165&gt;=3,30%,IF($J165="强",IF($K165="A",70%,IF($K165="B",60%,40%)),IF($J165="中性",IF($K165="A",50%,IF($K165="B",40%,25%)),IF($K165="A",30%,IF($K165="B",20%,10%))))))))))</f>
        <v/>
      </c>
      <c r="O160" s="36" t="str">
        <f aca="false">IF($B165="","",IF(B165&lt;30000,35%,IF(B165&lt;50000,30%,IF(B165&lt;100000,25%,20%))))</f>
        <v/>
      </c>
      <c r="P160" s="38" t="str">
        <f aca="false">IF($A165="","",COUNTIFS(持仓表!$A:$A,$A165,持仓表!$G:$G,"&gt;0"))</f>
        <v/>
      </c>
      <c r="Q160" s="38" t="str">
        <f aca="false">IF($A165="","",COUNTIFS(持仓表!$A:$A,$A165,持仓表!$D:$D,"是",持仓表!$G:$G,"&gt;0"))</f>
        <v/>
      </c>
      <c r="R160" s="38" t="str">
        <f aca="false">IF($A165="","",MAX(0,P165-Q165))</f>
        <v/>
      </c>
      <c r="S160" s="38" t="str">
        <f aca="false">IF($B165="","",IF(B165&lt;50000,3,IF(B165&lt;100000,4,5)))</f>
        <v/>
      </c>
      <c r="T160" s="39" t="str">
        <f aca="false">IF($A165="","",IF(OR(M165&gt;=4,I165&lt;=-8%),"防守",IF(OR(M165&gt;=2,I165&lt;=-5%),"警戒","正常")))</f>
        <v/>
      </c>
      <c r="U160" s="39" t="str">
        <f aca="false">IF($A165="","",IF(AND(L165&gt;=3,M165&lt;=2,T165&lt;&gt;"防守"),"是","否"))</f>
        <v/>
      </c>
      <c r="V160" s="39" t="str">
        <f aca="false">IF($A165="","",IF(AND(E165&lt;N165,R165&lt;S165,M165&lt;=2,I165&gt;-15%),"是","否"))</f>
        <v/>
      </c>
      <c r="W160" s="39" t="str">
        <f aca="false">IF($A165="","",IF(OR(M165&gt;=3,I165&lt;=-15%),"是","否"))</f>
        <v/>
      </c>
      <c r="X160" s="35" t="str">
        <f aca="false">IF($A165="","",IFERROR(maxifs(候选池!$AB:$AB,候选池!$A:$A,$A165),0))</f>
        <v/>
      </c>
      <c r="Y160" s="35" t="str">
        <f aca="false">IF($A165="","",IF(OR(M165&gt;=4,I165&lt;=-8%),MAX(0,B165*60%-C165),IF(AND(ISNUMBER(AD165),B165&gt;AD165),IF(B165&lt;30000,0,IF(B165&lt;100000,MAX(0,(B165-AD165)*0.2),MAX(0,(B165-AD165)*0.3))),0)))</f>
        <v/>
      </c>
      <c r="Z160" s="30"/>
      <c r="AA160" s="39" t="str">
        <f aca="false">IF($A165="","",IF($AA$2&lt;&gt;"",$AA$2,""))</f>
        <v/>
      </c>
      <c r="AB160" s="30" t="str">
        <f aca="false">IF($A165="","",IF(B165&lt;30000,0.03,IF(B165&lt;100000,0.02,0.015)))</f>
        <v/>
      </c>
      <c r="AC160" s="38" t="str">
        <f aca="false">IF($A165="","",IFERROR(DATEDIF($A$2,$A165,"m"),0))</f>
        <v/>
      </c>
      <c r="AD160" s="35" t="str">
        <f aca="false">IF($A165="","",IF(OR(AA165="",AB165="",AC165=""),"",AA165*POWER(1+AB165,AC165)))</f>
        <v/>
      </c>
      <c r="AE160" s="47" t="str">
        <f aca="false">IF($A165="","",IF(OR(AD165="",AD165=0),"",B165/AD165-1))</f>
        <v/>
      </c>
      <c r="AG160" s="1" t="str">
        <f aca="false">IF($A165="","",IF(B165&lt;30000,"婴儿",IF(B165&lt;100000,"成长","成熟")))</f>
        <v/>
      </c>
      <c r="AH160" s="42"/>
      <c r="AJ160" s="42"/>
      <c r="AK160" s="42"/>
      <c r="AM160" s="42"/>
      <c r="AP160" s="32"/>
      <c r="AQ160" s="43" t="str">
        <f aca="false">IF($A165="","",B165-$AA$2-SUM($F$2:F165))</f>
        <v/>
      </c>
      <c r="AR160" s="1" t="str">
        <f aca="false">IF($A164="","",30000)</f>
        <v/>
      </c>
      <c r="AS160" s="1" t="str">
        <f aca="false">IF($A164="","",AR164-B164)</f>
        <v/>
      </c>
      <c r="AT160" s="1" t="str">
        <f aca="false">IF($A164="","",IFERROR(B164/AR164,0))</f>
        <v/>
      </c>
      <c r="AU160" s="1" t="str">
        <f aca="false">IF($A164="","",IFERROR(B164*O164,0))</f>
        <v/>
      </c>
      <c r="AV160" s="1" t="str">
        <f aca="false">IF($A164="","",IFERROR(C164/B164,0))</f>
        <v/>
      </c>
      <c r="AW160" s="1" t="str">
        <f aca="false">IF($A164="","",MAX(0,R164-S164))</f>
        <v/>
      </c>
      <c r="AX160" s="1" t="str">
        <f aca="false">IF($A164="","",IF(AW164&gt;0,"优先降持仓数",IF(C164&lt;=0,"现金不足","允许评估")))</f>
        <v/>
      </c>
      <c r="AY160" s="1" t="str">
        <f aca="false">IF($A164="","",IF(B164&lt;30000,"婴儿阶段: 优先活下来,禁止单票失控,限制持仓数,服务3W目标","幼儿阶段达成"))</f>
        <v/>
      </c>
    </row>
    <row r="161" customFormat="false" ht="15" hidden="false" customHeight="true" outlineLevel="0" collapsed="false">
      <c r="A161" s="28"/>
      <c r="B161" s="34"/>
      <c r="C161" s="34"/>
      <c r="D161" s="35" t="str">
        <f aca="false">IF($A166="","",SUMIFS(持仓表!$J:$J,持仓表!$A:$A,$A166))</f>
        <v/>
      </c>
      <c r="E161" s="36" t="n">
        <f aca="false">IFERROR(D166/B166,0)</f>
        <v>0</v>
      </c>
      <c r="F161" s="34"/>
      <c r="G161" s="35" t="str">
        <f aca="false">IF($B166="","",MAX($B$2:B166))</f>
        <v/>
      </c>
      <c r="H161" s="36" t="n">
        <f aca="false">IFERROR((B166-F166)/F166,0)</f>
        <v>0</v>
      </c>
      <c r="I161" s="36" t="n">
        <f aca="false">IFERROR((B166-G166)/G166,0)</f>
        <v>0</v>
      </c>
      <c r="J161" s="28"/>
      <c r="K161" s="29"/>
      <c r="L161" s="37"/>
      <c r="M161" s="37"/>
      <c r="N161" s="36" t="str">
        <f aca="false">IF($B166="","",MIN(70%,IF($I166&lt;=-15%,10%,IF($I166&lt;=-10%,30%,IF($M166&gt;=4,10%,IF($M166&gt;=3,30%,IF($J166="强",IF($K166="A",70%,IF($K166="B",60%,40%)),IF($J166="中性",IF($K166="A",50%,IF($K166="B",40%,25%)),IF($K166="A",30%,IF($K166="B",20%,10%))))))))))</f>
        <v/>
      </c>
      <c r="O161" s="36" t="str">
        <f aca="false">IF($B166="","",IF(B166&lt;30000,35%,IF(B166&lt;50000,30%,IF(B166&lt;100000,25%,20%))))</f>
        <v/>
      </c>
      <c r="P161" s="38" t="str">
        <f aca="false">IF($A166="","",COUNTIFS(持仓表!$A:$A,$A166,持仓表!$G:$G,"&gt;0"))</f>
        <v/>
      </c>
      <c r="Q161" s="38" t="str">
        <f aca="false">IF($A166="","",COUNTIFS(持仓表!$A:$A,$A166,持仓表!$D:$D,"是",持仓表!$G:$G,"&gt;0"))</f>
        <v/>
      </c>
      <c r="R161" s="38" t="str">
        <f aca="false">IF($A166="","",MAX(0,P166-Q166))</f>
        <v/>
      </c>
      <c r="S161" s="38" t="str">
        <f aca="false">IF($B166="","",IF(B166&lt;50000,3,IF(B166&lt;100000,4,5)))</f>
        <v/>
      </c>
      <c r="T161" s="39" t="str">
        <f aca="false">IF($A166="","",IF(OR(M166&gt;=4,I166&lt;=-8%),"防守",IF(OR(M166&gt;=2,I166&lt;=-5%),"警戒","正常")))</f>
        <v/>
      </c>
      <c r="U161" s="39" t="str">
        <f aca="false">IF($A166="","",IF(AND(L166&gt;=3,M166&lt;=2,T166&lt;&gt;"防守"),"是","否"))</f>
        <v/>
      </c>
      <c r="V161" s="39" t="str">
        <f aca="false">IF($A166="","",IF(AND(E166&lt;N166,R166&lt;S166,M166&lt;=2,I166&gt;-15%),"是","否"))</f>
        <v/>
      </c>
      <c r="W161" s="39" t="str">
        <f aca="false">IF($A166="","",IF(OR(M166&gt;=3,I166&lt;=-15%),"是","否"))</f>
        <v/>
      </c>
      <c r="X161" s="35" t="str">
        <f aca="false">IF($A166="","",IFERROR(maxifs(候选池!$AB:$AB,候选池!$A:$A,$A166),0))</f>
        <v/>
      </c>
      <c r="Y161" s="35" t="str">
        <f aca="false">IF($A166="","",IF(OR(M166&gt;=4,I166&lt;=-8%),MAX(0,B166*60%-C166),IF(AND(ISNUMBER(AD166),B166&gt;AD166),IF(B166&lt;30000,0,IF(B166&lt;100000,MAX(0,(B166-AD166)*0.2),MAX(0,(B166-AD166)*0.3))),0)))</f>
        <v/>
      </c>
      <c r="Z161" s="28"/>
      <c r="AA161" s="39" t="str">
        <f aca="false">IF($A166="","",IF($AA$2&lt;&gt;"",$AA$2,""))</f>
        <v/>
      </c>
      <c r="AB161" s="28" t="str">
        <f aca="false">IF($A166="","",IF(B166&lt;30000,0.03,IF(B166&lt;100000,0.02,0.015)))</f>
        <v/>
      </c>
      <c r="AC161" s="38" t="str">
        <f aca="false">IF($A166="","",IFERROR(DATEDIF($A$2,$A166,"m"),0))</f>
        <v/>
      </c>
      <c r="AD161" s="35" t="str">
        <f aca="false">IF($A166="","",IF(OR(AA166="",AB166="",AC166=""),"",AA166*POWER(1+AB166,AC166)))</f>
        <v/>
      </c>
      <c r="AE161" s="41" t="str">
        <f aca="false">IF($A166="","",IF(OR(AD166="",AD166=0),"",B166/AD166-1))</f>
        <v/>
      </c>
      <c r="AG161" s="1" t="str">
        <f aca="false">IF($A166="","",IF(B166&lt;30000,"婴儿",IF(B166&lt;100000,"成长","成熟")))</f>
        <v/>
      </c>
      <c r="AH161" s="42"/>
      <c r="AJ161" s="42"/>
      <c r="AK161" s="42"/>
      <c r="AM161" s="42"/>
      <c r="AP161" s="32"/>
      <c r="AQ161" s="43" t="str">
        <f aca="false">IF($A166="","",B166-$AA$2-SUM($F$2:F166))</f>
        <v/>
      </c>
      <c r="AR161" s="1" t="str">
        <f aca="false">IF($A165="","",30000)</f>
        <v/>
      </c>
      <c r="AS161" s="1" t="str">
        <f aca="false">IF($A165="","",AR165-B165)</f>
        <v/>
      </c>
      <c r="AT161" s="1" t="str">
        <f aca="false">IF($A165="","",IFERROR(B165/AR165,0))</f>
        <v/>
      </c>
      <c r="AU161" s="1" t="str">
        <f aca="false">IF($A165="","",IFERROR(B165*O165,0))</f>
        <v/>
      </c>
      <c r="AV161" s="1" t="str">
        <f aca="false">IF($A165="","",IFERROR(C165/B165,0))</f>
        <v/>
      </c>
      <c r="AW161" s="1" t="str">
        <f aca="false">IF($A165="","",MAX(0,R165-S165))</f>
        <v/>
      </c>
      <c r="AX161" s="1" t="str">
        <f aca="false">IF($A165="","",IF(AW165&gt;0,"优先降持仓数",IF(C165&lt;=0,"现金不足","允许评估")))</f>
        <v/>
      </c>
      <c r="AY161" s="1" t="str">
        <f aca="false">IF($A165="","",IF(B165&lt;30000,"婴儿阶段: 优先活下来,禁止单票失控,限制持仓数,服务3W目标","幼儿阶段达成"))</f>
        <v/>
      </c>
    </row>
    <row r="162" customFormat="false" ht="15" hidden="false" customHeight="true" outlineLevel="0" collapsed="false">
      <c r="A162" s="30"/>
      <c r="B162" s="44"/>
      <c r="C162" s="44"/>
      <c r="D162" s="35" t="str">
        <f aca="false">IF($A167="","",SUMIFS(持仓表!$J:$J,持仓表!$A:$A,$A167))</f>
        <v/>
      </c>
      <c r="E162" s="36" t="n">
        <f aca="false">IFERROR(D167/B167,0)</f>
        <v>0</v>
      </c>
      <c r="F162" s="44"/>
      <c r="G162" s="35" t="str">
        <f aca="false">IF($B167="","",MAX($B$2:B167))</f>
        <v/>
      </c>
      <c r="H162" s="36" t="n">
        <f aca="false">IFERROR((B167-F167)/F167,0)</f>
        <v>0</v>
      </c>
      <c r="I162" s="36" t="n">
        <f aca="false">IFERROR((B167-G167)/G167,0)</f>
        <v>0</v>
      </c>
      <c r="J162" s="30"/>
      <c r="K162" s="31"/>
      <c r="L162" s="45"/>
      <c r="M162" s="45"/>
      <c r="N162" s="36" t="str">
        <f aca="false">IF($B167="","",MIN(70%,IF($I167&lt;=-15%,10%,IF($I167&lt;=-10%,30%,IF($M167&gt;=4,10%,IF($M167&gt;=3,30%,IF($J167="强",IF($K167="A",70%,IF($K167="B",60%,40%)),IF($J167="中性",IF($K167="A",50%,IF($K167="B",40%,25%)),IF($K167="A",30%,IF($K167="B",20%,10%))))))))))</f>
        <v/>
      </c>
      <c r="O162" s="36" t="str">
        <f aca="false">IF($B167="","",IF(B167&lt;30000,35%,IF(B167&lt;50000,30%,IF(B167&lt;100000,25%,20%))))</f>
        <v/>
      </c>
      <c r="P162" s="38" t="str">
        <f aca="false">IF($A167="","",COUNTIFS(持仓表!$A:$A,$A167,持仓表!$G:$G,"&gt;0"))</f>
        <v/>
      </c>
      <c r="Q162" s="38" t="str">
        <f aca="false">IF($A167="","",COUNTIFS(持仓表!$A:$A,$A167,持仓表!$D:$D,"是",持仓表!$G:$G,"&gt;0"))</f>
        <v/>
      </c>
      <c r="R162" s="38" t="str">
        <f aca="false">IF($A167="","",MAX(0,P167-Q167))</f>
        <v/>
      </c>
      <c r="S162" s="38" t="str">
        <f aca="false">IF($B167="","",IF(B167&lt;50000,3,IF(B167&lt;100000,4,5)))</f>
        <v/>
      </c>
      <c r="T162" s="39" t="str">
        <f aca="false">IF($A167="","",IF(OR(M167&gt;=4,I167&lt;=-8%),"防守",IF(OR(M167&gt;=2,I167&lt;=-5%),"警戒","正常")))</f>
        <v/>
      </c>
      <c r="U162" s="39" t="str">
        <f aca="false">IF($A167="","",IF(AND(L167&gt;=3,M167&lt;=2,T167&lt;&gt;"防守"),"是","否"))</f>
        <v/>
      </c>
      <c r="V162" s="39" t="str">
        <f aca="false">IF($A167="","",IF(AND(E167&lt;N167,R167&lt;S167,M167&lt;=2,I167&gt;-15%),"是","否"))</f>
        <v/>
      </c>
      <c r="W162" s="39" t="str">
        <f aca="false">IF($A167="","",IF(OR(M167&gt;=3,I167&lt;=-15%),"是","否"))</f>
        <v/>
      </c>
      <c r="X162" s="35" t="str">
        <f aca="false">IF($A167="","",IFERROR(maxifs(候选池!$AB:$AB,候选池!$A:$A,$A167),0))</f>
        <v/>
      </c>
      <c r="Y162" s="35" t="str">
        <f aca="false">IF($A167="","",IF(OR(M167&gt;=4,I167&lt;=-8%),MAX(0,B167*60%-C167),IF(AND(ISNUMBER(AD167),B167&gt;AD167),IF(B167&lt;30000,0,IF(B167&lt;100000,MAX(0,(B167-AD167)*0.2),MAX(0,(B167-AD167)*0.3))),0)))</f>
        <v/>
      </c>
      <c r="Z162" s="30"/>
      <c r="AA162" s="39" t="str">
        <f aca="false">IF($A167="","",IF($AA$2&lt;&gt;"",$AA$2,""))</f>
        <v/>
      </c>
      <c r="AB162" s="30" t="str">
        <f aca="false">IF($A167="","",IF(B167&lt;30000,0.03,IF(B167&lt;100000,0.02,0.015)))</f>
        <v/>
      </c>
      <c r="AC162" s="38" t="str">
        <f aca="false">IF($A167="","",IFERROR(DATEDIF($A$2,$A167,"m"),0))</f>
        <v/>
      </c>
      <c r="AD162" s="35" t="str">
        <f aca="false">IF($A167="","",IF(OR(AA167="",AB167="",AC167=""),"",AA167*POWER(1+AB167,AC167)))</f>
        <v/>
      </c>
      <c r="AE162" s="47" t="str">
        <f aca="false">IF($A167="","",IF(OR(AD167="",AD167=0),"",B167/AD167-1))</f>
        <v/>
      </c>
      <c r="AG162" s="1" t="str">
        <f aca="false">IF($A167="","",IF(B167&lt;30000,"婴儿",IF(B167&lt;100000,"成长","成熟")))</f>
        <v/>
      </c>
      <c r="AH162" s="42"/>
      <c r="AJ162" s="42"/>
      <c r="AK162" s="42"/>
      <c r="AM162" s="42"/>
      <c r="AP162" s="32"/>
      <c r="AQ162" s="43" t="str">
        <f aca="false">IF($A167="","",B167-$AA$2-SUM($F$2:F167))</f>
        <v/>
      </c>
      <c r="AR162" s="1" t="str">
        <f aca="false">IF($A166="","",30000)</f>
        <v/>
      </c>
      <c r="AS162" s="1" t="str">
        <f aca="false">IF($A166="","",AR166-B166)</f>
        <v/>
      </c>
      <c r="AT162" s="1" t="str">
        <f aca="false">IF($A166="","",IFERROR(B166/AR166,0))</f>
        <v/>
      </c>
      <c r="AU162" s="1" t="str">
        <f aca="false">IF($A166="","",IFERROR(B166*O166,0))</f>
        <v/>
      </c>
      <c r="AV162" s="1" t="str">
        <f aca="false">IF($A166="","",IFERROR(C166/B166,0))</f>
        <v/>
      </c>
      <c r="AW162" s="1" t="str">
        <f aca="false">IF($A166="","",MAX(0,R166-S166))</f>
        <v/>
      </c>
      <c r="AX162" s="1" t="str">
        <f aca="false">IF($A166="","",IF(AW166&gt;0,"优先降持仓数",IF(C166&lt;=0,"现金不足","允许评估")))</f>
        <v/>
      </c>
      <c r="AY162" s="1" t="str">
        <f aca="false">IF($A166="","",IF(B166&lt;30000,"婴儿阶段: 优先活下来,禁止单票失控,限制持仓数,服务3W目标","幼儿阶段达成"))</f>
        <v/>
      </c>
    </row>
    <row r="163" customFormat="false" ht="15" hidden="false" customHeight="true" outlineLevel="0" collapsed="false">
      <c r="A163" s="28"/>
      <c r="B163" s="34"/>
      <c r="C163" s="34"/>
      <c r="D163" s="35" t="str">
        <f aca="false">IF($A168="","",SUMIFS(持仓表!$J:$J,持仓表!$A:$A,$A168))</f>
        <v/>
      </c>
      <c r="E163" s="36" t="n">
        <f aca="false">IFERROR(D168/B168,0)</f>
        <v>0</v>
      </c>
      <c r="F163" s="34"/>
      <c r="G163" s="35" t="str">
        <f aca="false">IF($B168="","",MAX($B$2:B168))</f>
        <v/>
      </c>
      <c r="H163" s="36" t="n">
        <f aca="false">IFERROR((B168-F168)/F168,0)</f>
        <v>0</v>
      </c>
      <c r="I163" s="36" t="n">
        <f aca="false">IFERROR((B168-G168)/G168,0)</f>
        <v>0</v>
      </c>
      <c r="J163" s="28"/>
      <c r="K163" s="29"/>
      <c r="L163" s="37"/>
      <c r="M163" s="37"/>
      <c r="N163" s="36" t="str">
        <f aca="false">IF($B168="","",MIN(70%,IF($I168&lt;=-15%,10%,IF($I168&lt;=-10%,30%,IF($M168&gt;=4,10%,IF($M168&gt;=3,30%,IF($J168="强",IF($K168="A",70%,IF($K168="B",60%,40%)),IF($J168="中性",IF($K168="A",50%,IF($K168="B",40%,25%)),IF($K168="A",30%,IF($K168="B",20%,10%))))))))))</f>
        <v/>
      </c>
      <c r="O163" s="36" t="str">
        <f aca="false">IF($B168="","",IF(B168&lt;30000,35%,IF(B168&lt;50000,30%,IF(B168&lt;100000,25%,20%))))</f>
        <v/>
      </c>
      <c r="P163" s="38" t="str">
        <f aca="false">IF($A168="","",COUNTIFS(持仓表!$A:$A,$A168,持仓表!$G:$G,"&gt;0"))</f>
        <v/>
      </c>
      <c r="Q163" s="38" t="str">
        <f aca="false">IF($A168="","",COUNTIFS(持仓表!$A:$A,$A168,持仓表!$D:$D,"是",持仓表!$G:$G,"&gt;0"))</f>
        <v/>
      </c>
      <c r="R163" s="38" t="str">
        <f aca="false">IF($A168="","",MAX(0,P168-Q168))</f>
        <v/>
      </c>
      <c r="S163" s="38" t="str">
        <f aca="false">IF($B168="","",IF(B168&lt;50000,3,IF(B168&lt;100000,4,5)))</f>
        <v/>
      </c>
      <c r="T163" s="39" t="str">
        <f aca="false">IF($A168="","",IF(OR(M168&gt;=4,I168&lt;=-8%),"防守",IF(OR(M168&gt;=2,I168&lt;=-5%),"警戒","正常")))</f>
        <v/>
      </c>
      <c r="U163" s="39" t="str">
        <f aca="false">IF($A168="","",IF(AND(L168&gt;=3,M168&lt;=2,T168&lt;&gt;"防守"),"是","否"))</f>
        <v/>
      </c>
      <c r="V163" s="39" t="str">
        <f aca="false">IF($A168="","",IF(AND(E168&lt;N168,R168&lt;S168,M168&lt;=2,I168&gt;-15%),"是","否"))</f>
        <v/>
      </c>
      <c r="W163" s="39" t="str">
        <f aca="false">IF($A168="","",IF(OR(M168&gt;=3,I168&lt;=-15%),"是","否"))</f>
        <v/>
      </c>
      <c r="X163" s="35" t="str">
        <f aca="false">IF($A168="","",IFERROR(maxifs(候选池!$AB:$AB,候选池!$A:$A,$A168),0))</f>
        <v/>
      </c>
      <c r="Y163" s="35" t="str">
        <f aca="false">IF($A168="","",IF(OR(M168&gt;=4,I168&lt;=-8%),MAX(0,B168*60%-C168),IF(AND(ISNUMBER(AD168),B168&gt;AD168),IF(B168&lt;30000,0,IF(B168&lt;100000,MAX(0,(B168-AD168)*0.2),MAX(0,(B168-AD168)*0.3))),0)))</f>
        <v/>
      </c>
      <c r="Z163" s="28"/>
      <c r="AA163" s="39" t="str">
        <f aca="false">IF($A168="","",IF($AA$2&lt;&gt;"",$AA$2,""))</f>
        <v/>
      </c>
      <c r="AB163" s="28" t="str">
        <f aca="false">IF($A168="","",IF(B168&lt;30000,0.03,IF(B168&lt;100000,0.02,0.015)))</f>
        <v/>
      </c>
      <c r="AC163" s="38" t="str">
        <f aca="false">IF($A168="","",IFERROR(DATEDIF($A$2,$A168,"m"),0))</f>
        <v/>
      </c>
      <c r="AD163" s="35" t="str">
        <f aca="false">IF($A168="","",IF(OR(AA168="",AB168="",AC168=""),"",AA168*POWER(1+AB168,AC168)))</f>
        <v/>
      </c>
      <c r="AE163" s="41" t="str">
        <f aca="false">IF($A168="","",IF(OR(AD168="",AD168=0),"",B168/AD168-1))</f>
        <v/>
      </c>
      <c r="AG163" s="1" t="str">
        <f aca="false">IF($A168="","",IF(B168&lt;30000,"婴儿",IF(B168&lt;100000,"成长","成熟")))</f>
        <v/>
      </c>
      <c r="AH163" s="42"/>
      <c r="AJ163" s="42"/>
      <c r="AK163" s="42"/>
      <c r="AM163" s="42"/>
      <c r="AP163" s="32"/>
      <c r="AQ163" s="43" t="str">
        <f aca="false">IF($A168="","",B168-$AA$2-SUM($F$2:F168))</f>
        <v/>
      </c>
      <c r="AR163" s="1" t="str">
        <f aca="false">IF($A167="","",30000)</f>
        <v/>
      </c>
      <c r="AS163" s="1" t="str">
        <f aca="false">IF($A167="","",AR167-B167)</f>
        <v/>
      </c>
      <c r="AT163" s="1" t="str">
        <f aca="false">IF($A167="","",IFERROR(B167/AR167,0))</f>
        <v/>
      </c>
      <c r="AU163" s="1" t="str">
        <f aca="false">IF($A167="","",IFERROR(B167*O167,0))</f>
        <v/>
      </c>
      <c r="AV163" s="1" t="str">
        <f aca="false">IF($A167="","",IFERROR(C167/B167,0))</f>
        <v/>
      </c>
      <c r="AW163" s="1" t="str">
        <f aca="false">IF($A167="","",MAX(0,R167-S167))</f>
        <v/>
      </c>
      <c r="AX163" s="1" t="str">
        <f aca="false">IF($A167="","",IF(AW167&gt;0,"优先降持仓数",IF(C167&lt;=0,"现金不足","允许评估")))</f>
        <v/>
      </c>
      <c r="AY163" s="1" t="str">
        <f aca="false">IF($A167="","",IF(B167&lt;30000,"婴儿阶段: 优先活下来,禁止单票失控,限制持仓数,服务3W目标","幼儿阶段达成"))</f>
        <v/>
      </c>
    </row>
    <row r="164" customFormat="false" ht="15" hidden="false" customHeight="true" outlineLevel="0" collapsed="false">
      <c r="A164" s="30"/>
      <c r="B164" s="44"/>
      <c r="C164" s="44"/>
      <c r="D164" s="35" t="str">
        <f aca="false">IF($A169="","",SUMIFS(持仓表!$J:$J,持仓表!$A:$A,$A169))</f>
        <v/>
      </c>
      <c r="E164" s="36" t="n">
        <f aca="false">IFERROR(D169/B169,0)</f>
        <v>0</v>
      </c>
      <c r="F164" s="44"/>
      <c r="G164" s="35" t="str">
        <f aca="false">IF($B169="","",MAX($B$2:B169))</f>
        <v/>
      </c>
      <c r="H164" s="36" t="n">
        <f aca="false">IFERROR((B169-F169)/F169,0)</f>
        <v>0</v>
      </c>
      <c r="I164" s="36" t="n">
        <f aca="false">IFERROR((B169-G169)/G169,0)</f>
        <v>0</v>
      </c>
      <c r="J164" s="30"/>
      <c r="K164" s="31"/>
      <c r="L164" s="45"/>
      <c r="M164" s="45"/>
      <c r="N164" s="36" t="str">
        <f aca="false">IF($B169="","",MIN(70%,IF($I169&lt;=-15%,10%,IF($I169&lt;=-10%,30%,IF($M169&gt;=4,10%,IF($M169&gt;=3,30%,IF($J169="强",IF($K169="A",70%,IF($K169="B",60%,40%)),IF($J169="中性",IF($K169="A",50%,IF($K169="B",40%,25%)),IF($K169="A",30%,IF($K169="B",20%,10%))))))))))</f>
        <v/>
      </c>
      <c r="O164" s="36" t="str">
        <f aca="false">IF($B169="","",IF(B169&lt;30000,35%,IF(B169&lt;50000,30%,IF(B169&lt;100000,25%,20%))))</f>
        <v/>
      </c>
      <c r="P164" s="38" t="str">
        <f aca="false">IF($A169="","",COUNTIFS(持仓表!$A:$A,$A169,持仓表!$G:$G,"&gt;0"))</f>
        <v/>
      </c>
      <c r="Q164" s="38" t="str">
        <f aca="false">IF($A169="","",COUNTIFS(持仓表!$A:$A,$A169,持仓表!$D:$D,"是",持仓表!$G:$G,"&gt;0"))</f>
        <v/>
      </c>
      <c r="R164" s="38" t="str">
        <f aca="false">IF($A169="","",MAX(0,P169-Q169))</f>
        <v/>
      </c>
      <c r="S164" s="38" t="str">
        <f aca="false">IF($B169="","",IF(B169&lt;50000,3,IF(B169&lt;100000,4,5)))</f>
        <v/>
      </c>
      <c r="T164" s="39" t="str">
        <f aca="false">IF($A169="","",IF(OR(M169&gt;=4,I169&lt;=-8%),"防守",IF(OR(M169&gt;=2,I169&lt;=-5%),"警戒","正常")))</f>
        <v/>
      </c>
      <c r="U164" s="39" t="str">
        <f aca="false">IF($A169="","",IF(AND(L169&gt;=3,M169&lt;=2,T169&lt;&gt;"防守"),"是","否"))</f>
        <v/>
      </c>
      <c r="V164" s="39" t="str">
        <f aca="false">IF($A169="","",IF(AND(E169&lt;N169,R169&lt;S169,M169&lt;=2,I169&gt;-15%),"是","否"))</f>
        <v/>
      </c>
      <c r="W164" s="39" t="str">
        <f aca="false">IF($A169="","",IF(OR(M169&gt;=3,I169&lt;=-15%),"是","否"))</f>
        <v/>
      </c>
      <c r="X164" s="35" t="str">
        <f aca="false">IF($A169="","",IFERROR(maxifs(候选池!$AB:$AB,候选池!$A:$A,$A169),0))</f>
        <v/>
      </c>
      <c r="Y164" s="35" t="str">
        <f aca="false">IF($A169="","",IF(OR(M169&gt;=4,I169&lt;=-8%),MAX(0,B169*60%-C169),IF(AND(ISNUMBER(AD169),B169&gt;AD169),IF(B169&lt;30000,0,IF(B169&lt;100000,MAX(0,(B169-AD169)*0.2),MAX(0,(B169-AD169)*0.3))),0)))</f>
        <v/>
      </c>
      <c r="Z164" s="30"/>
      <c r="AA164" s="39" t="str">
        <f aca="false">IF($A169="","",IF($AA$2&lt;&gt;"",$AA$2,""))</f>
        <v/>
      </c>
      <c r="AB164" s="30" t="str">
        <f aca="false">IF($A169="","",IF(B169&lt;30000,0.03,IF(B169&lt;100000,0.02,0.015)))</f>
        <v/>
      </c>
      <c r="AC164" s="38" t="str">
        <f aca="false">IF($A169="","",IFERROR(DATEDIF($A$2,$A169,"m"),0))</f>
        <v/>
      </c>
      <c r="AD164" s="35" t="str">
        <f aca="false">IF($A169="","",IF(OR(AA169="",AB169="",AC169=""),"",AA169*POWER(1+AB169,AC169)))</f>
        <v/>
      </c>
      <c r="AE164" s="47" t="str">
        <f aca="false">IF($A169="","",IF(OR(AD169="",AD169=0),"",B169/AD169-1))</f>
        <v/>
      </c>
      <c r="AG164" s="1" t="str">
        <f aca="false">IF($A169="","",IF(B169&lt;30000,"婴儿",IF(B169&lt;100000,"成长","成熟")))</f>
        <v/>
      </c>
      <c r="AH164" s="42"/>
      <c r="AJ164" s="42"/>
      <c r="AK164" s="42"/>
      <c r="AM164" s="42"/>
      <c r="AP164" s="32"/>
      <c r="AQ164" s="43" t="str">
        <f aca="false">IF($A169="","",B169-$AA$2-SUM($F$2:F169))</f>
        <v/>
      </c>
      <c r="AR164" s="1" t="str">
        <f aca="false">IF($A168="","",30000)</f>
        <v/>
      </c>
      <c r="AS164" s="1" t="str">
        <f aca="false">IF($A168="","",AR168-B168)</f>
        <v/>
      </c>
      <c r="AT164" s="1" t="str">
        <f aca="false">IF($A168="","",IFERROR(B168/AR168,0))</f>
        <v/>
      </c>
      <c r="AU164" s="1" t="str">
        <f aca="false">IF($A168="","",IFERROR(B168*O168,0))</f>
        <v/>
      </c>
      <c r="AV164" s="1" t="str">
        <f aca="false">IF($A168="","",IFERROR(C168/B168,0))</f>
        <v/>
      </c>
      <c r="AW164" s="1" t="str">
        <f aca="false">IF($A168="","",MAX(0,R168-S168))</f>
        <v/>
      </c>
      <c r="AX164" s="1" t="str">
        <f aca="false">IF($A168="","",IF(AW168&gt;0,"优先降持仓数",IF(C168&lt;=0,"现金不足","允许评估")))</f>
        <v/>
      </c>
      <c r="AY164" s="1" t="str">
        <f aca="false">IF($A168="","",IF(B168&lt;30000,"婴儿阶段: 优先活下来,禁止单票失控,限制持仓数,服务3W目标","幼儿阶段达成"))</f>
        <v/>
      </c>
    </row>
    <row r="165" customFormat="false" ht="15" hidden="false" customHeight="true" outlineLevel="0" collapsed="false">
      <c r="A165" s="28"/>
      <c r="B165" s="34"/>
      <c r="C165" s="34"/>
      <c r="D165" s="35" t="str">
        <f aca="false">IF($A170="","",SUMIFS(持仓表!$J:$J,持仓表!$A:$A,$A170))</f>
        <v/>
      </c>
      <c r="E165" s="36" t="n">
        <f aca="false">IFERROR(D170/B170,0)</f>
        <v>0</v>
      </c>
      <c r="F165" s="34"/>
      <c r="G165" s="35" t="str">
        <f aca="false">IF($B170="","",MAX($B$2:B170))</f>
        <v/>
      </c>
      <c r="H165" s="36" t="n">
        <f aca="false">IFERROR((B170-F170)/F170,0)</f>
        <v>0</v>
      </c>
      <c r="I165" s="36" t="n">
        <f aca="false">IFERROR((B170-G170)/G170,0)</f>
        <v>0</v>
      </c>
      <c r="J165" s="28"/>
      <c r="K165" s="29"/>
      <c r="L165" s="37"/>
      <c r="M165" s="37"/>
      <c r="N165" s="36" t="str">
        <f aca="false">IF($B170="","",MIN(70%,IF($I170&lt;=-15%,10%,IF($I170&lt;=-10%,30%,IF($M170&gt;=4,10%,IF($M170&gt;=3,30%,IF($J170="强",IF($K170="A",70%,IF($K170="B",60%,40%)),IF($J170="中性",IF($K170="A",50%,IF($K170="B",40%,25%)),IF($K170="A",30%,IF($K170="B",20%,10%))))))))))</f>
        <v/>
      </c>
      <c r="O165" s="36" t="str">
        <f aca="false">IF($B170="","",IF(B170&lt;30000,35%,IF(B170&lt;50000,30%,IF(B170&lt;100000,25%,20%))))</f>
        <v/>
      </c>
      <c r="P165" s="38" t="str">
        <f aca="false">IF($A170="","",COUNTIFS(持仓表!$A:$A,$A170,持仓表!$G:$G,"&gt;0"))</f>
        <v/>
      </c>
      <c r="Q165" s="38" t="str">
        <f aca="false">IF($A170="","",COUNTIFS(持仓表!$A:$A,$A170,持仓表!$D:$D,"是",持仓表!$G:$G,"&gt;0"))</f>
        <v/>
      </c>
      <c r="R165" s="38" t="str">
        <f aca="false">IF($A170="","",MAX(0,P170-Q170))</f>
        <v/>
      </c>
      <c r="S165" s="38" t="str">
        <f aca="false">IF($B170="","",IF(B170&lt;50000,3,IF(B170&lt;100000,4,5)))</f>
        <v/>
      </c>
      <c r="T165" s="39" t="str">
        <f aca="false">IF($A170="","",IF(OR(M170&gt;=4,I170&lt;=-8%),"防守",IF(OR(M170&gt;=2,I170&lt;=-5%),"警戒","正常")))</f>
        <v/>
      </c>
      <c r="U165" s="39" t="str">
        <f aca="false">IF($A170="","",IF(AND(L170&gt;=3,M170&lt;=2,T170&lt;&gt;"防守"),"是","否"))</f>
        <v/>
      </c>
      <c r="V165" s="39" t="str">
        <f aca="false">IF($A170="","",IF(AND(E170&lt;N170,R170&lt;S170,M170&lt;=2,I170&gt;-15%),"是","否"))</f>
        <v/>
      </c>
      <c r="W165" s="39" t="str">
        <f aca="false">IF($A170="","",IF(OR(M170&gt;=3,I170&lt;=-15%),"是","否"))</f>
        <v/>
      </c>
      <c r="X165" s="35" t="str">
        <f aca="false">IF($A170="","",IFERROR(maxifs(候选池!$AB:$AB,候选池!$A:$A,$A170),0))</f>
        <v/>
      </c>
      <c r="Y165" s="35" t="str">
        <f aca="false">IF($A170="","",IF(OR(M170&gt;=4,I170&lt;=-8%),MAX(0,B170*60%-C170),IF(AND(ISNUMBER(AD170),B170&gt;AD170),IF(B170&lt;30000,0,IF(B170&lt;100000,MAX(0,(B170-AD170)*0.2),MAX(0,(B170-AD170)*0.3))),0)))</f>
        <v/>
      </c>
      <c r="Z165" s="28"/>
      <c r="AA165" s="39" t="str">
        <f aca="false">IF($A170="","",IF($AA$2&lt;&gt;"",$AA$2,""))</f>
        <v/>
      </c>
      <c r="AB165" s="28" t="str">
        <f aca="false">IF($A170="","",IF(B170&lt;30000,0.03,IF(B170&lt;100000,0.02,0.015)))</f>
        <v/>
      </c>
      <c r="AC165" s="38" t="str">
        <f aca="false">IF($A170="","",IFERROR(DATEDIF($A$2,$A170,"m"),0))</f>
        <v/>
      </c>
      <c r="AD165" s="35" t="str">
        <f aca="false">IF($A170="","",IF(OR(AA170="",AB170="",AC170=""),"",AA170*POWER(1+AB170,AC170)))</f>
        <v/>
      </c>
      <c r="AE165" s="41" t="str">
        <f aca="false">IF($A170="","",IF(OR(AD170="",AD170=0),"",B170/AD170-1))</f>
        <v/>
      </c>
      <c r="AG165" s="1" t="str">
        <f aca="false">IF($A170="","",IF(B170&lt;30000,"婴儿",IF(B170&lt;100000,"成长","成熟")))</f>
        <v/>
      </c>
      <c r="AH165" s="42"/>
      <c r="AJ165" s="42"/>
      <c r="AK165" s="42"/>
      <c r="AM165" s="42"/>
      <c r="AP165" s="32"/>
      <c r="AQ165" s="43" t="str">
        <f aca="false">IF($A170="","",B170-$AA$2-SUM($F$2:F170))</f>
        <v/>
      </c>
      <c r="AR165" s="1" t="str">
        <f aca="false">IF($A169="","",30000)</f>
        <v/>
      </c>
      <c r="AS165" s="1" t="str">
        <f aca="false">IF($A169="","",AR169-B169)</f>
        <v/>
      </c>
      <c r="AT165" s="1" t="str">
        <f aca="false">IF($A169="","",IFERROR(B169/AR169,0))</f>
        <v/>
      </c>
      <c r="AU165" s="1" t="str">
        <f aca="false">IF($A169="","",IFERROR(B169*O169,0))</f>
        <v/>
      </c>
      <c r="AV165" s="1" t="str">
        <f aca="false">IF($A169="","",IFERROR(C169/B169,0))</f>
        <v/>
      </c>
      <c r="AW165" s="1" t="str">
        <f aca="false">IF($A169="","",MAX(0,R169-S169))</f>
        <v/>
      </c>
      <c r="AX165" s="1" t="str">
        <f aca="false">IF($A169="","",IF(AW169&gt;0,"优先降持仓数",IF(C169&lt;=0,"现金不足","允许评估")))</f>
        <v/>
      </c>
      <c r="AY165" s="1" t="str">
        <f aca="false">IF($A169="","",IF(B169&lt;30000,"婴儿阶段: 优先活下来,禁止单票失控,限制持仓数,服务3W目标","幼儿阶段达成"))</f>
        <v/>
      </c>
    </row>
    <row r="166" customFormat="false" ht="15" hidden="false" customHeight="true" outlineLevel="0" collapsed="false">
      <c r="A166" s="30"/>
      <c r="B166" s="44"/>
      <c r="C166" s="44"/>
      <c r="D166" s="35" t="str">
        <f aca="false">IF($A171="","",SUMIFS(持仓表!$J:$J,持仓表!$A:$A,$A171))</f>
        <v/>
      </c>
      <c r="E166" s="36" t="n">
        <f aca="false">IFERROR(D171/B171,0)</f>
        <v>0</v>
      </c>
      <c r="F166" s="44"/>
      <c r="G166" s="35" t="str">
        <f aca="false">IF($B171="","",MAX($B$2:B171))</f>
        <v/>
      </c>
      <c r="H166" s="36" t="n">
        <f aca="false">IFERROR((B171-F171)/F171,0)</f>
        <v>0</v>
      </c>
      <c r="I166" s="36" t="n">
        <f aca="false">IFERROR((B171-G171)/G171,0)</f>
        <v>0</v>
      </c>
      <c r="J166" s="30"/>
      <c r="K166" s="31"/>
      <c r="L166" s="45"/>
      <c r="M166" s="45"/>
      <c r="N166" s="36" t="str">
        <f aca="false">IF($B171="","",MIN(70%,IF($I171&lt;=-15%,10%,IF($I171&lt;=-10%,30%,IF($M171&gt;=4,10%,IF($M171&gt;=3,30%,IF($J171="强",IF($K171="A",70%,IF($K171="B",60%,40%)),IF($J171="中性",IF($K171="A",50%,IF($K171="B",40%,25%)),IF($K171="A",30%,IF($K171="B",20%,10%))))))))))</f>
        <v/>
      </c>
      <c r="O166" s="36" t="str">
        <f aca="false">IF($B171="","",IF(B171&lt;30000,35%,IF(B171&lt;50000,30%,IF(B171&lt;100000,25%,20%))))</f>
        <v/>
      </c>
      <c r="P166" s="38" t="str">
        <f aca="false">IF($A171="","",COUNTIFS(持仓表!$A:$A,$A171,持仓表!$G:$G,"&gt;0"))</f>
        <v/>
      </c>
      <c r="Q166" s="38" t="str">
        <f aca="false">IF($A171="","",COUNTIFS(持仓表!$A:$A,$A171,持仓表!$D:$D,"是",持仓表!$G:$G,"&gt;0"))</f>
        <v/>
      </c>
      <c r="R166" s="38" t="str">
        <f aca="false">IF($A171="","",MAX(0,P171-Q171))</f>
        <v/>
      </c>
      <c r="S166" s="38" t="str">
        <f aca="false">IF($B171="","",IF(B171&lt;50000,3,IF(B171&lt;100000,4,5)))</f>
        <v/>
      </c>
      <c r="T166" s="39" t="str">
        <f aca="false">IF($A171="","",IF(OR(M171&gt;=4,I171&lt;=-8%),"防守",IF(OR(M171&gt;=2,I171&lt;=-5%),"警戒","正常")))</f>
        <v/>
      </c>
      <c r="U166" s="39" t="str">
        <f aca="false">IF($A171="","",IF(AND(L171&gt;=3,M171&lt;=2,T171&lt;&gt;"防守"),"是","否"))</f>
        <v/>
      </c>
      <c r="V166" s="39" t="str">
        <f aca="false">IF($A171="","",IF(AND(E171&lt;N171,R171&lt;S171,M171&lt;=2,I171&gt;-15%),"是","否"))</f>
        <v/>
      </c>
      <c r="W166" s="39" t="str">
        <f aca="false">IF($A171="","",IF(OR(M171&gt;=3,I171&lt;=-15%),"是","否"))</f>
        <v/>
      </c>
      <c r="X166" s="35" t="str">
        <f aca="false">IF($A171="","",IFERROR(maxifs(候选池!$AB:$AB,候选池!$A:$A,$A171),0))</f>
        <v/>
      </c>
      <c r="Y166" s="35" t="str">
        <f aca="false">IF($A171="","",IF(OR(M171&gt;=4,I171&lt;=-8%),MAX(0,B171*60%-C171),IF(AND(ISNUMBER(AD171),B171&gt;AD171),IF(B171&lt;30000,0,IF(B171&lt;100000,MAX(0,(B171-AD171)*0.2),MAX(0,(B171-AD171)*0.3))),0)))</f>
        <v/>
      </c>
      <c r="Z166" s="30"/>
      <c r="AA166" s="39" t="str">
        <f aca="false">IF($A171="","",IF($AA$2&lt;&gt;"",$AA$2,""))</f>
        <v/>
      </c>
      <c r="AB166" s="30" t="str">
        <f aca="false">IF($A171="","",IF(B171&lt;30000,0.03,IF(B171&lt;100000,0.02,0.015)))</f>
        <v/>
      </c>
      <c r="AC166" s="38" t="str">
        <f aca="false">IF($A171="","",IFERROR(DATEDIF($A$2,$A171,"m"),0))</f>
        <v/>
      </c>
      <c r="AD166" s="35" t="str">
        <f aca="false">IF($A171="","",IF(OR(AA171="",AB171="",AC171=""),"",AA171*POWER(1+AB171,AC171)))</f>
        <v/>
      </c>
      <c r="AE166" s="47" t="str">
        <f aca="false">IF($A171="","",IF(OR(AD171="",AD171=0),"",B171/AD171-1))</f>
        <v/>
      </c>
      <c r="AG166" s="1" t="str">
        <f aca="false">IF($A171="","",IF(B171&lt;30000,"婴儿",IF(B171&lt;100000,"成长","成熟")))</f>
        <v/>
      </c>
      <c r="AH166" s="42"/>
      <c r="AJ166" s="42"/>
      <c r="AK166" s="42"/>
      <c r="AM166" s="42"/>
      <c r="AP166" s="32"/>
      <c r="AQ166" s="43" t="str">
        <f aca="false">IF($A171="","",B171-$AA$2-SUM($F$2:F171))</f>
        <v/>
      </c>
      <c r="AR166" s="1" t="str">
        <f aca="false">IF($A170="","",30000)</f>
        <v/>
      </c>
      <c r="AS166" s="1" t="str">
        <f aca="false">IF($A170="","",AR170-B170)</f>
        <v/>
      </c>
      <c r="AT166" s="1" t="str">
        <f aca="false">IF($A170="","",IFERROR(B170/AR170,0))</f>
        <v/>
      </c>
      <c r="AU166" s="1" t="str">
        <f aca="false">IF($A170="","",IFERROR(B170*O170,0))</f>
        <v/>
      </c>
      <c r="AV166" s="1" t="str">
        <f aca="false">IF($A170="","",IFERROR(C170/B170,0))</f>
        <v/>
      </c>
      <c r="AW166" s="1" t="str">
        <f aca="false">IF($A170="","",MAX(0,R170-S170))</f>
        <v/>
      </c>
      <c r="AX166" s="1" t="str">
        <f aca="false">IF($A170="","",IF(AW170&gt;0,"优先降持仓数",IF(C170&lt;=0,"现金不足","允许评估")))</f>
        <v/>
      </c>
      <c r="AY166" s="1" t="str">
        <f aca="false">IF($A170="","",IF(B170&lt;30000,"婴儿阶段: 优先活下来,禁止单票失控,限制持仓数,服务3W目标","幼儿阶段达成"))</f>
        <v/>
      </c>
    </row>
    <row r="167" customFormat="false" ht="15" hidden="false" customHeight="true" outlineLevel="0" collapsed="false">
      <c r="A167" s="28"/>
      <c r="B167" s="34"/>
      <c r="C167" s="34"/>
      <c r="D167" s="35" t="str">
        <f aca="false">IF($A172="","",SUMIFS(持仓表!$J:$J,持仓表!$A:$A,$A172))</f>
        <v/>
      </c>
      <c r="E167" s="36" t="n">
        <f aca="false">IFERROR(D172/B172,0)</f>
        <v>0</v>
      </c>
      <c r="F167" s="34"/>
      <c r="G167" s="35" t="str">
        <f aca="false">IF($B172="","",MAX($B$2:B172))</f>
        <v/>
      </c>
      <c r="H167" s="36" t="n">
        <f aca="false">IFERROR((B172-F172)/F172,0)</f>
        <v>0</v>
      </c>
      <c r="I167" s="36" t="n">
        <f aca="false">IFERROR((B172-G172)/G172,0)</f>
        <v>0</v>
      </c>
      <c r="J167" s="28"/>
      <c r="K167" s="29"/>
      <c r="L167" s="37"/>
      <c r="M167" s="37"/>
      <c r="N167" s="36" t="str">
        <f aca="false">IF($B172="","",MIN(70%,IF($I172&lt;=-15%,10%,IF($I172&lt;=-10%,30%,IF($M172&gt;=4,10%,IF($M172&gt;=3,30%,IF($J172="强",IF($K172="A",70%,IF($K172="B",60%,40%)),IF($J172="中性",IF($K172="A",50%,IF($K172="B",40%,25%)),IF($K172="A",30%,IF($K172="B",20%,10%))))))))))</f>
        <v/>
      </c>
      <c r="O167" s="36" t="str">
        <f aca="false">IF($B172="","",IF(B172&lt;30000,35%,IF(B172&lt;50000,30%,IF(B172&lt;100000,25%,20%))))</f>
        <v/>
      </c>
      <c r="P167" s="38" t="str">
        <f aca="false">IF($A172="","",COUNTIFS(持仓表!$A:$A,$A172,持仓表!$G:$G,"&gt;0"))</f>
        <v/>
      </c>
      <c r="Q167" s="38" t="str">
        <f aca="false">IF($A172="","",COUNTIFS(持仓表!$A:$A,$A172,持仓表!$D:$D,"是",持仓表!$G:$G,"&gt;0"))</f>
        <v/>
      </c>
      <c r="R167" s="38" t="str">
        <f aca="false">IF($A172="","",MAX(0,P172-Q172))</f>
        <v/>
      </c>
      <c r="S167" s="38" t="str">
        <f aca="false">IF($B172="","",IF(B172&lt;50000,3,IF(B172&lt;100000,4,5)))</f>
        <v/>
      </c>
      <c r="T167" s="39" t="str">
        <f aca="false">IF($A172="","",IF(OR(M172&gt;=4,I172&lt;=-8%),"防守",IF(OR(M172&gt;=2,I172&lt;=-5%),"警戒","正常")))</f>
        <v/>
      </c>
      <c r="U167" s="39" t="str">
        <f aca="false">IF($A172="","",IF(AND(L172&gt;=3,M172&lt;=2,T172&lt;&gt;"防守"),"是","否"))</f>
        <v/>
      </c>
      <c r="V167" s="39" t="str">
        <f aca="false">IF($A172="","",IF(AND(E172&lt;N172,R172&lt;S172,M172&lt;=2,I172&gt;-15%),"是","否"))</f>
        <v/>
      </c>
      <c r="W167" s="39" t="str">
        <f aca="false">IF($A172="","",IF(OR(M172&gt;=3,I172&lt;=-15%),"是","否"))</f>
        <v/>
      </c>
      <c r="X167" s="35" t="str">
        <f aca="false">IF($A172="","",IFERROR(maxifs(候选池!$AB:$AB,候选池!$A:$A,$A172),0))</f>
        <v/>
      </c>
      <c r="Y167" s="35" t="str">
        <f aca="false">IF($A172="","",IF(OR(M172&gt;=4,I172&lt;=-8%),MAX(0,B172*60%-C172),IF(AND(ISNUMBER(AD172),B172&gt;AD172),IF(B172&lt;30000,0,IF(B172&lt;100000,MAX(0,(B172-AD172)*0.2),MAX(0,(B172-AD172)*0.3))),0)))</f>
        <v/>
      </c>
      <c r="Z167" s="28"/>
      <c r="AA167" s="39" t="str">
        <f aca="false">IF($A172="","",IF($AA$2&lt;&gt;"",$AA$2,""))</f>
        <v/>
      </c>
      <c r="AB167" s="28" t="str">
        <f aca="false">IF($A172="","",IF(B172&lt;30000,0.03,IF(B172&lt;100000,0.02,0.015)))</f>
        <v/>
      </c>
      <c r="AC167" s="38" t="str">
        <f aca="false">IF($A172="","",IFERROR(DATEDIF($A$2,$A172,"m"),0))</f>
        <v/>
      </c>
      <c r="AD167" s="35" t="str">
        <f aca="false">IF($A172="","",IF(OR(AA172="",AB172="",AC172=""),"",AA172*POWER(1+AB172,AC172)))</f>
        <v/>
      </c>
      <c r="AE167" s="41" t="str">
        <f aca="false">IF($A172="","",IF(OR(AD172="",AD172=0),"",B172/AD172-1))</f>
        <v/>
      </c>
      <c r="AG167" s="1" t="str">
        <f aca="false">IF($A172="","",IF(B172&lt;30000,"婴儿",IF(B172&lt;100000,"成长","成熟")))</f>
        <v/>
      </c>
      <c r="AH167" s="42"/>
      <c r="AJ167" s="42"/>
      <c r="AK167" s="42"/>
      <c r="AM167" s="42"/>
      <c r="AP167" s="32"/>
      <c r="AQ167" s="43" t="str">
        <f aca="false">IF($A172="","",B172-$AA$2-SUM($F$2:F172))</f>
        <v/>
      </c>
      <c r="AR167" s="1" t="str">
        <f aca="false">IF($A171="","",30000)</f>
        <v/>
      </c>
      <c r="AS167" s="1" t="str">
        <f aca="false">IF($A171="","",AR171-B171)</f>
        <v/>
      </c>
      <c r="AT167" s="1" t="str">
        <f aca="false">IF($A171="","",IFERROR(B171/AR171,0))</f>
        <v/>
      </c>
      <c r="AU167" s="1" t="str">
        <f aca="false">IF($A171="","",IFERROR(B171*O171,0))</f>
        <v/>
      </c>
      <c r="AV167" s="1" t="str">
        <f aca="false">IF($A171="","",IFERROR(C171/B171,0))</f>
        <v/>
      </c>
      <c r="AW167" s="1" t="str">
        <f aca="false">IF($A171="","",MAX(0,R171-S171))</f>
        <v/>
      </c>
      <c r="AX167" s="1" t="str">
        <f aca="false">IF($A171="","",IF(AW171&gt;0,"优先降持仓数",IF(C171&lt;=0,"现金不足","允许评估")))</f>
        <v/>
      </c>
      <c r="AY167" s="1" t="str">
        <f aca="false">IF($A171="","",IF(B171&lt;30000,"婴儿阶段: 优先活下来,禁止单票失控,限制持仓数,服务3W目标","幼儿阶段达成"))</f>
        <v/>
      </c>
    </row>
    <row r="168" customFormat="false" ht="15" hidden="false" customHeight="true" outlineLevel="0" collapsed="false">
      <c r="A168" s="30"/>
      <c r="B168" s="44"/>
      <c r="C168" s="44"/>
      <c r="D168" s="35" t="str">
        <f aca="false">IF($A173="","",SUMIFS(持仓表!$J:$J,持仓表!$A:$A,$A173))</f>
        <v/>
      </c>
      <c r="E168" s="36" t="n">
        <f aca="false">IFERROR(D173/B173,0)</f>
        <v>0</v>
      </c>
      <c r="F168" s="44"/>
      <c r="G168" s="35" t="str">
        <f aca="false">IF($B173="","",MAX($B$2:B173))</f>
        <v/>
      </c>
      <c r="H168" s="36" t="n">
        <f aca="false">IFERROR((B173-F173)/F173,0)</f>
        <v>0</v>
      </c>
      <c r="I168" s="36" t="n">
        <f aca="false">IFERROR((B173-G173)/G173,0)</f>
        <v>0</v>
      </c>
      <c r="J168" s="30"/>
      <c r="K168" s="31"/>
      <c r="L168" s="45"/>
      <c r="M168" s="45"/>
      <c r="N168" s="36" t="str">
        <f aca="false">IF($B173="","",MIN(70%,IF($I173&lt;=-15%,10%,IF($I173&lt;=-10%,30%,IF($M173&gt;=4,10%,IF($M173&gt;=3,30%,IF($J173="强",IF($K173="A",70%,IF($K173="B",60%,40%)),IF($J173="中性",IF($K173="A",50%,IF($K173="B",40%,25%)),IF($K173="A",30%,IF($K173="B",20%,10%))))))))))</f>
        <v/>
      </c>
      <c r="O168" s="36" t="str">
        <f aca="false">IF($B173="","",IF(B173&lt;30000,35%,IF(B173&lt;50000,30%,IF(B173&lt;100000,25%,20%))))</f>
        <v/>
      </c>
      <c r="P168" s="38" t="str">
        <f aca="false">IF($A173="","",COUNTIFS(持仓表!$A:$A,$A173,持仓表!$G:$G,"&gt;0"))</f>
        <v/>
      </c>
      <c r="Q168" s="38" t="str">
        <f aca="false">IF($A173="","",COUNTIFS(持仓表!$A:$A,$A173,持仓表!$D:$D,"是",持仓表!$G:$G,"&gt;0"))</f>
        <v/>
      </c>
      <c r="R168" s="38" t="str">
        <f aca="false">IF($A173="","",MAX(0,P173-Q173))</f>
        <v/>
      </c>
      <c r="S168" s="38" t="str">
        <f aca="false">IF($B173="","",IF(B173&lt;50000,3,IF(B173&lt;100000,4,5)))</f>
        <v/>
      </c>
      <c r="T168" s="39" t="str">
        <f aca="false">IF($A173="","",IF(OR(M173&gt;=4,I173&lt;=-8%),"防守",IF(OR(M173&gt;=2,I173&lt;=-5%),"警戒","正常")))</f>
        <v/>
      </c>
      <c r="U168" s="39" t="str">
        <f aca="false">IF($A173="","",IF(AND(L173&gt;=3,M173&lt;=2,T173&lt;&gt;"防守"),"是","否"))</f>
        <v/>
      </c>
      <c r="V168" s="39" t="str">
        <f aca="false">IF($A173="","",IF(AND(E173&lt;N173,R173&lt;S173,M173&lt;=2,I173&gt;-15%),"是","否"))</f>
        <v/>
      </c>
      <c r="W168" s="39" t="str">
        <f aca="false">IF($A173="","",IF(OR(M173&gt;=3,I173&lt;=-15%),"是","否"))</f>
        <v/>
      </c>
      <c r="X168" s="35" t="str">
        <f aca="false">IF($A173="","",IFERROR(maxifs(候选池!$AB:$AB,候选池!$A:$A,$A173),0))</f>
        <v/>
      </c>
      <c r="Y168" s="35" t="str">
        <f aca="false">IF($A173="","",IF(OR(M173&gt;=4,I173&lt;=-8%),MAX(0,B173*60%-C173),IF(AND(ISNUMBER(AD173),B173&gt;AD173),IF(B173&lt;30000,0,IF(B173&lt;100000,MAX(0,(B173-AD173)*0.2),MAX(0,(B173-AD173)*0.3))),0)))</f>
        <v/>
      </c>
      <c r="Z168" s="30"/>
      <c r="AA168" s="39" t="str">
        <f aca="false">IF($A173="","",IF($AA$2&lt;&gt;"",$AA$2,""))</f>
        <v/>
      </c>
      <c r="AB168" s="30" t="str">
        <f aca="false">IF($A173="","",IF(B173&lt;30000,0.03,IF(B173&lt;100000,0.02,0.015)))</f>
        <v/>
      </c>
      <c r="AC168" s="38" t="str">
        <f aca="false">IF($A173="","",IFERROR(DATEDIF($A$2,$A173,"m"),0))</f>
        <v/>
      </c>
      <c r="AD168" s="35" t="str">
        <f aca="false">IF($A173="","",IF(OR(AA173="",AB173="",AC173=""),"",AA173*POWER(1+AB173,AC173)))</f>
        <v/>
      </c>
      <c r="AE168" s="47" t="str">
        <f aca="false">IF($A173="","",IF(OR(AD173="",AD173=0),"",B173/AD173-1))</f>
        <v/>
      </c>
      <c r="AG168" s="1" t="str">
        <f aca="false">IF($A173="","",IF(B173&lt;30000,"婴儿",IF(B173&lt;100000,"成长","成熟")))</f>
        <v/>
      </c>
      <c r="AH168" s="42"/>
      <c r="AJ168" s="42"/>
      <c r="AK168" s="42"/>
      <c r="AM168" s="42"/>
      <c r="AP168" s="32"/>
      <c r="AQ168" s="43" t="str">
        <f aca="false">IF($A173="","",B173-$AA$2-SUM($F$2:F173))</f>
        <v/>
      </c>
      <c r="AR168" s="1" t="str">
        <f aca="false">IF($A172="","",30000)</f>
        <v/>
      </c>
      <c r="AS168" s="1" t="str">
        <f aca="false">IF($A172="","",AR172-B172)</f>
        <v/>
      </c>
      <c r="AT168" s="1" t="str">
        <f aca="false">IF($A172="","",IFERROR(B172/AR172,0))</f>
        <v/>
      </c>
      <c r="AU168" s="1" t="str">
        <f aca="false">IF($A172="","",IFERROR(B172*O172,0))</f>
        <v/>
      </c>
      <c r="AV168" s="1" t="str">
        <f aca="false">IF($A172="","",IFERROR(C172/B172,0))</f>
        <v/>
      </c>
      <c r="AW168" s="1" t="str">
        <f aca="false">IF($A172="","",MAX(0,R172-S172))</f>
        <v/>
      </c>
      <c r="AX168" s="1" t="str">
        <f aca="false">IF($A172="","",IF(AW172&gt;0,"优先降持仓数",IF(C172&lt;=0,"现金不足","允许评估")))</f>
        <v/>
      </c>
      <c r="AY168" s="1" t="str">
        <f aca="false">IF($A172="","",IF(B172&lt;30000,"婴儿阶段: 优先活下来,禁止单票失控,限制持仓数,服务3W目标","幼儿阶段达成"))</f>
        <v/>
      </c>
    </row>
    <row r="169" customFormat="false" ht="15" hidden="false" customHeight="true" outlineLevel="0" collapsed="false">
      <c r="A169" s="28"/>
      <c r="B169" s="34"/>
      <c r="C169" s="34"/>
      <c r="D169" s="35" t="str">
        <f aca="false">IF($A174="","",SUMIFS(持仓表!$J:$J,持仓表!$A:$A,$A174))</f>
        <v/>
      </c>
      <c r="E169" s="36" t="n">
        <f aca="false">IFERROR(D174/B174,0)</f>
        <v>0</v>
      </c>
      <c r="F169" s="34"/>
      <c r="G169" s="35" t="str">
        <f aca="false">IF($B174="","",MAX($B$2:B174))</f>
        <v/>
      </c>
      <c r="H169" s="36" t="n">
        <f aca="false">IFERROR((B174-F174)/F174,0)</f>
        <v>0</v>
      </c>
      <c r="I169" s="36" t="n">
        <f aca="false">IFERROR((B174-G174)/G174,0)</f>
        <v>0</v>
      </c>
      <c r="J169" s="28"/>
      <c r="K169" s="29"/>
      <c r="L169" s="37"/>
      <c r="M169" s="37"/>
      <c r="N169" s="36" t="str">
        <f aca="false">IF($B174="","",MIN(70%,IF($I174&lt;=-15%,10%,IF($I174&lt;=-10%,30%,IF($M174&gt;=4,10%,IF($M174&gt;=3,30%,IF($J174="强",IF($K174="A",70%,IF($K174="B",60%,40%)),IF($J174="中性",IF($K174="A",50%,IF($K174="B",40%,25%)),IF($K174="A",30%,IF($K174="B",20%,10%))))))))))</f>
        <v/>
      </c>
      <c r="O169" s="36" t="str">
        <f aca="false">IF($B174="","",IF(B174&lt;30000,35%,IF(B174&lt;50000,30%,IF(B174&lt;100000,25%,20%))))</f>
        <v/>
      </c>
      <c r="P169" s="38" t="str">
        <f aca="false">IF($A174="","",COUNTIFS(持仓表!$A:$A,$A174,持仓表!$G:$G,"&gt;0"))</f>
        <v/>
      </c>
      <c r="Q169" s="38" t="str">
        <f aca="false">IF($A174="","",COUNTIFS(持仓表!$A:$A,$A174,持仓表!$D:$D,"是",持仓表!$G:$G,"&gt;0"))</f>
        <v/>
      </c>
      <c r="R169" s="38" t="str">
        <f aca="false">IF($A174="","",MAX(0,P174-Q174))</f>
        <v/>
      </c>
      <c r="S169" s="38" t="str">
        <f aca="false">IF($B174="","",IF(B174&lt;50000,3,IF(B174&lt;100000,4,5)))</f>
        <v/>
      </c>
      <c r="T169" s="39" t="str">
        <f aca="false">IF($A174="","",IF(OR(M174&gt;=4,I174&lt;=-8%),"防守",IF(OR(M174&gt;=2,I174&lt;=-5%),"警戒","正常")))</f>
        <v/>
      </c>
      <c r="U169" s="39" t="str">
        <f aca="false">IF($A174="","",IF(AND(L174&gt;=3,M174&lt;=2,T174&lt;&gt;"防守"),"是","否"))</f>
        <v/>
      </c>
      <c r="V169" s="39" t="str">
        <f aca="false">IF($A174="","",IF(AND(E174&lt;N174,R174&lt;S174,M174&lt;=2,I174&gt;-15%),"是","否"))</f>
        <v/>
      </c>
      <c r="W169" s="39" t="str">
        <f aca="false">IF($A174="","",IF(OR(M174&gt;=3,I174&lt;=-15%),"是","否"))</f>
        <v/>
      </c>
      <c r="X169" s="35" t="str">
        <f aca="false">IF($A174="","",IFERROR(maxifs(候选池!$AB:$AB,候选池!$A:$A,$A174),0))</f>
        <v/>
      </c>
      <c r="Y169" s="35" t="str">
        <f aca="false">IF($A174="","",IF(OR(M174&gt;=4,I174&lt;=-8%),MAX(0,B174*60%-C174),IF(AND(ISNUMBER(AD174),B174&gt;AD174),IF(B174&lt;30000,0,IF(B174&lt;100000,MAX(0,(B174-AD174)*0.2),MAX(0,(B174-AD174)*0.3))),0)))</f>
        <v/>
      </c>
      <c r="Z169" s="28"/>
      <c r="AA169" s="39" t="str">
        <f aca="false">IF($A174="","",IF($AA$2&lt;&gt;"",$AA$2,""))</f>
        <v/>
      </c>
      <c r="AB169" s="28" t="str">
        <f aca="false">IF($A174="","",IF(B174&lt;30000,0.03,IF(B174&lt;100000,0.02,0.015)))</f>
        <v/>
      </c>
      <c r="AC169" s="38" t="str">
        <f aca="false">IF($A174="","",IFERROR(DATEDIF($A$2,$A174,"m"),0))</f>
        <v/>
      </c>
      <c r="AD169" s="35" t="str">
        <f aca="false">IF($A174="","",IF(OR(AA174="",AB174="",AC174=""),"",AA174*POWER(1+AB174,AC174)))</f>
        <v/>
      </c>
      <c r="AE169" s="41" t="str">
        <f aca="false">IF($A174="","",IF(OR(AD174="",AD174=0),"",B174/AD174-1))</f>
        <v/>
      </c>
      <c r="AG169" s="1" t="str">
        <f aca="false">IF($A174="","",IF(B174&lt;30000,"婴儿",IF(B174&lt;100000,"成长","成熟")))</f>
        <v/>
      </c>
      <c r="AH169" s="42"/>
      <c r="AJ169" s="42"/>
      <c r="AK169" s="42"/>
      <c r="AM169" s="42"/>
      <c r="AP169" s="32"/>
      <c r="AQ169" s="43" t="str">
        <f aca="false">IF($A174="","",B174-$AA$2-SUM($F$2:F174))</f>
        <v/>
      </c>
      <c r="AR169" s="1" t="str">
        <f aca="false">IF($A173="","",30000)</f>
        <v/>
      </c>
      <c r="AS169" s="1" t="str">
        <f aca="false">IF($A173="","",AR173-B173)</f>
        <v/>
      </c>
      <c r="AT169" s="1" t="str">
        <f aca="false">IF($A173="","",IFERROR(B173/AR173,0))</f>
        <v/>
      </c>
      <c r="AU169" s="1" t="str">
        <f aca="false">IF($A173="","",IFERROR(B173*O173,0))</f>
        <v/>
      </c>
      <c r="AV169" s="1" t="str">
        <f aca="false">IF($A173="","",IFERROR(C173/B173,0))</f>
        <v/>
      </c>
      <c r="AW169" s="1" t="str">
        <f aca="false">IF($A173="","",MAX(0,R173-S173))</f>
        <v/>
      </c>
      <c r="AX169" s="1" t="str">
        <f aca="false">IF($A173="","",IF(AW173&gt;0,"优先降持仓数",IF(C173&lt;=0,"现金不足","允许评估")))</f>
        <v/>
      </c>
      <c r="AY169" s="1" t="str">
        <f aca="false">IF($A173="","",IF(B173&lt;30000,"婴儿阶段: 优先活下来,禁止单票失控,限制持仓数,服务3W目标","幼儿阶段达成"))</f>
        <v/>
      </c>
    </row>
    <row r="170" customFormat="false" ht="15" hidden="false" customHeight="true" outlineLevel="0" collapsed="false">
      <c r="A170" s="30"/>
      <c r="B170" s="44"/>
      <c r="C170" s="44"/>
      <c r="D170" s="35" t="str">
        <f aca="false">IF($A175="","",SUMIFS(持仓表!$J:$J,持仓表!$A:$A,$A175))</f>
        <v/>
      </c>
      <c r="E170" s="36" t="n">
        <f aca="false">IFERROR(D175/B175,0)</f>
        <v>0</v>
      </c>
      <c r="F170" s="44"/>
      <c r="G170" s="35" t="str">
        <f aca="false">IF($B175="","",MAX($B$2:B175))</f>
        <v/>
      </c>
      <c r="H170" s="36" t="n">
        <f aca="false">IFERROR((B175-F175)/F175,0)</f>
        <v>0</v>
      </c>
      <c r="I170" s="36" t="n">
        <f aca="false">IFERROR((B175-G175)/G175,0)</f>
        <v>0</v>
      </c>
      <c r="J170" s="30"/>
      <c r="K170" s="31"/>
      <c r="L170" s="45"/>
      <c r="M170" s="45"/>
      <c r="N170" s="36" t="str">
        <f aca="false">IF($B175="","",MIN(70%,IF($I175&lt;=-15%,10%,IF($I175&lt;=-10%,30%,IF($M175&gt;=4,10%,IF($M175&gt;=3,30%,IF($J175="强",IF($K175="A",70%,IF($K175="B",60%,40%)),IF($J175="中性",IF($K175="A",50%,IF($K175="B",40%,25%)),IF($K175="A",30%,IF($K175="B",20%,10%))))))))))</f>
        <v/>
      </c>
      <c r="O170" s="36" t="str">
        <f aca="false">IF($B175="","",IF(B175&lt;30000,35%,IF(B175&lt;50000,30%,IF(B175&lt;100000,25%,20%))))</f>
        <v/>
      </c>
      <c r="P170" s="38" t="str">
        <f aca="false">IF($A175="","",COUNTIFS(持仓表!$A:$A,$A175,持仓表!$G:$G,"&gt;0"))</f>
        <v/>
      </c>
      <c r="Q170" s="38" t="str">
        <f aca="false">IF($A175="","",COUNTIFS(持仓表!$A:$A,$A175,持仓表!$D:$D,"是",持仓表!$G:$G,"&gt;0"))</f>
        <v/>
      </c>
      <c r="R170" s="38" t="str">
        <f aca="false">IF($A175="","",MAX(0,P175-Q175))</f>
        <v/>
      </c>
      <c r="S170" s="38" t="str">
        <f aca="false">IF($B175="","",IF(B175&lt;50000,3,IF(B175&lt;100000,4,5)))</f>
        <v/>
      </c>
      <c r="T170" s="39" t="str">
        <f aca="false">IF($A175="","",IF(OR(M175&gt;=4,I175&lt;=-8%),"防守",IF(OR(M175&gt;=2,I175&lt;=-5%),"警戒","正常")))</f>
        <v/>
      </c>
      <c r="U170" s="39" t="str">
        <f aca="false">IF($A175="","",IF(AND(L175&gt;=3,M175&lt;=2,T175&lt;&gt;"防守"),"是","否"))</f>
        <v/>
      </c>
      <c r="V170" s="39" t="str">
        <f aca="false">IF($A175="","",IF(AND(E175&lt;N175,R175&lt;S175,M175&lt;=2,I175&gt;-15%),"是","否"))</f>
        <v/>
      </c>
      <c r="W170" s="39" t="str">
        <f aca="false">IF($A175="","",IF(OR(M175&gt;=3,I175&lt;=-15%),"是","否"))</f>
        <v/>
      </c>
      <c r="X170" s="35" t="str">
        <f aca="false">IF($A175="","",IFERROR(maxifs(候选池!$AB:$AB,候选池!$A:$A,$A175),0))</f>
        <v/>
      </c>
      <c r="Y170" s="35" t="str">
        <f aca="false">IF($A175="","",IF(OR(M175&gt;=4,I175&lt;=-8%),MAX(0,B175*60%-C175),IF(AND(ISNUMBER(AD175),B175&gt;AD175),IF(B175&lt;30000,0,IF(B175&lt;100000,MAX(0,(B175-AD175)*0.2),MAX(0,(B175-AD175)*0.3))),0)))</f>
        <v/>
      </c>
      <c r="Z170" s="30"/>
      <c r="AA170" s="39" t="str">
        <f aca="false">IF($A175="","",IF($AA$2&lt;&gt;"",$AA$2,""))</f>
        <v/>
      </c>
      <c r="AB170" s="30" t="str">
        <f aca="false">IF($A175="","",IF(B175&lt;30000,0.03,IF(B175&lt;100000,0.02,0.015)))</f>
        <v/>
      </c>
      <c r="AC170" s="38" t="str">
        <f aca="false">IF($A175="","",IFERROR(DATEDIF($A$2,$A175,"m"),0))</f>
        <v/>
      </c>
      <c r="AD170" s="35" t="str">
        <f aca="false">IF($A175="","",IF(OR(AA175="",AB175="",AC175=""),"",AA175*POWER(1+AB175,AC175)))</f>
        <v/>
      </c>
      <c r="AE170" s="47" t="str">
        <f aca="false">IF($A175="","",IF(OR(AD175="",AD175=0),"",B175/AD175-1))</f>
        <v/>
      </c>
      <c r="AG170" s="1" t="str">
        <f aca="false">IF($A175="","",IF(B175&lt;30000,"婴儿",IF(B175&lt;100000,"成长","成熟")))</f>
        <v/>
      </c>
      <c r="AH170" s="42"/>
      <c r="AJ170" s="42"/>
      <c r="AK170" s="42"/>
      <c r="AM170" s="42"/>
      <c r="AP170" s="32"/>
      <c r="AQ170" s="43" t="str">
        <f aca="false">IF($A175="","",B175-$AA$2-SUM($F$2:F175))</f>
        <v/>
      </c>
      <c r="AR170" s="1" t="str">
        <f aca="false">IF($A174="","",30000)</f>
        <v/>
      </c>
      <c r="AS170" s="1" t="str">
        <f aca="false">IF($A174="","",AR174-B174)</f>
        <v/>
      </c>
      <c r="AT170" s="1" t="str">
        <f aca="false">IF($A174="","",IFERROR(B174/AR174,0))</f>
        <v/>
      </c>
      <c r="AU170" s="1" t="str">
        <f aca="false">IF($A174="","",IFERROR(B174*O174,0))</f>
        <v/>
      </c>
      <c r="AV170" s="1" t="str">
        <f aca="false">IF($A174="","",IFERROR(C174/B174,0))</f>
        <v/>
      </c>
      <c r="AW170" s="1" t="str">
        <f aca="false">IF($A174="","",MAX(0,R174-S174))</f>
        <v/>
      </c>
      <c r="AX170" s="1" t="str">
        <f aca="false">IF($A174="","",IF(AW174&gt;0,"优先降持仓数",IF(C174&lt;=0,"现金不足","允许评估")))</f>
        <v/>
      </c>
      <c r="AY170" s="1" t="str">
        <f aca="false">IF($A174="","",IF(B174&lt;30000,"婴儿阶段: 优先活下来,禁止单票失控,限制持仓数,服务3W目标","幼儿阶段达成"))</f>
        <v/>
      </c>
    </row>
    <row r="171" customFormat="false" ht="15" hidden="false" customHeight="true" outlineLevel="0" collapsed="false">
      <c r="A171" s="28"/>
      <c r="B171" s="34"/>
      <c r="C171" s="34"/>
      <c r="D171" s="35" t="str">
        <f aca="false">IF($A176="","",SUMIFS(持仓表!$J:$J,持仓表!$A:$A,$A176))</f>
        <v/>
      </c>
      <c r="E171" s="36" t="n">
        <f aca="false">IFERROR(D176/B176,0)</f>
        <v>0</v>
      </c>
      <c r="F171" s="34"/>
      <c r="G171" s="35" t="str">
        <f aca="false">IF($B176="","",MAX($B$2:B176))</f>
        <v/>
      </c>
      <c r="H171" s="36" t="n">
        <f aca="false">IFERROR((B176-F176)/F176,0)</f>
        <v>0</v>
      </c>
      <c r="I171" s="36" t="n">
        <f aca="false">IFERROR((B176-G176)/G176,0)</f>
        <v>0</v>
      </c>
      <c r="J171" s="28"/>
      <c r="K171" s="29"/>
      <c r="L171" s="37"/>
      <c r="M171" s="37"/>
      <c r="N171" s="36" t="str">
        <f aca="false">IF($B176="","",MIN(70%,IF($I176&lt;=-15%,10%,IF($I176&lt;=-10%,30%,IF($M176&gt;=4,10%,IF($M176&gt;=3,30%,IF($J176="强",IF($K176="A",70%,IF($K176="B",60%,40%)),IF($J176="中性",IF($K176="A",50%,IF($K176="B",40%,25%)),IF($K176="A",30%,IF($K176="B",20%,10%))))))))))</f>
        <v/>
      </c>
      <c r="O171" s="36" t="str">
        <f aca="false">IF($B176="","",IF(B176&lt;30000,35%,IF(B176&lt;50000,30%,IF(B176&lt;100000,25%,20%))))</f>
        <v/>
      </c>
      <c r="P171" s="38" t="str">
        <f aca="false">IF($A176="","",COUNTIFS(持仓表!$A:$A,$A176,持仓表!$G:$G,"&gt;0"))</f>
        <v/>
      </c>
      <c r="Q171" s="38" t="str">
        <f aca="false">IF($A176="","",COUNTIFS(持仓表!$A:$A,$A176,持仓表!$D:$D,"是",持仓表!$G:$G,"&gt;0"))</f>
        <v/>
      </c>
      <c r="R171" s="38" t="str">
        <f aca="false">IF($A176="","",MAX(0,P176-Q176))</f>
        <v/>
      </c>
      <c r="S171" s="38" t="str">
        <f aca="false">IF($B176="","",IF(B176&lt;50000,3,IF(B176&lt;100000,4,5)))</f>
        <v/>
      </c>
      <c r="T171" s="39" t="str">
        <f aca="false">IF($A176="","",IF(OR(M176&gt;=4,I176&lt;=-8%),"防守",IF(OR(M176&gt;=2,I176&lt;=-5%),"警戒","正常")))</f>
        <v/>
      </c>
      <c r="U171" s="39" t="str">
        <f aca="false">IF($A176="","",IF(AND(L176&gt;=3,M176&lt;=2,T176&lt;&gt;"防守"),"是","否"))</f>
        <v/>
      </c>
      <c r="V171" s="39" t="str">
        <f aca="false">IF($A176="","",IF(AND(E176&lt;N176,R176&lt;S176,M176&lt;=2,I176&gt;-15%),"是","否"))</f>
        <v/>
      </c>
      <c r="W171" s="39" t="str">
        <f aca="false">IF($A176="","",IF(OR(M176&gt;=3,I176&lt;=-15%),"是","否"))</f>
        <v/>
      </c>
      <c r="X171" s="35" t="str">
        <f aca="false">IF($A176="","",IFERROR(maxifs(候选池!$AB:$AB,候选池!$A:$A,$A176),0))</f>
        <v/>
      </c>
      <c r="Y171" s="35" t="str">
        <f aca="false">IF($A176="","",IF(OR(M176&gt;=4,I176&lt;=-8%),MAX(0,B176*60%-C176),IF(AND(ISNUMBER(AD176),B176&gt;AD176),IF(B176&lt;30000,0,IF(B176&lt;100000,MAX(0,(B176-AD176)*0.2),MAX(0,(B176-AD176)*0.3))),0)))</f>
        <v/>
      </c>
      <c r="Z171" s="28"/>
      <c r="AA171" s="39" t="str">
        <f aca="false">IF($A176="","",IF($AA$2&lt;&gt;"",$AA$2,""))</f>
        <v/>
      </c>
      <c r="AB171" s="28" t="str">
        <f aca="false">IF($A176="","",IF(B176&lt;30000,0.03,IF(B176&lt;100000,0.02,0.015)))</f>
        <v/>
      </c>
      <c r="AC171" s="38" t="str">
        <f aca="false">IF($A176="","",IFERROR(DATEDIF($A$2,$A176,"m"),0))</f>
        <v/>
      </c>
      <c r="AD171" s="35" t="str">
        <f aca="false">IF($A176="","",IF(OR(AA176="",AB176="",AC176=""),"",AA176*POWER(1+AB176,AC176)))</f>
        <v/>
      </c>
      <c r="AE171" s="41" t="str">
        <f aca="false">IF($A176="","",IF(OR(AD176="",AD176=0),"",B176/AD176-1))</f>
        <v/>
      </c>
      <c r="AG171" s="1" t="str">
        <f aca="false">IF($A176="","",IF(B176&lt;30000,"婴儿",IF(B176&lt;100000,"成长","成熟")))</f>
        <v/>
      </c>
      <c r="AH171" s="42"/>
      <c r="AJ171" s="42"/>
      <c r="AK171" s="42"/>
      <c r="AM171" s="42"/>
      <c r="AP171" s="32"/>
      <c r="AQ171" s="43" t="str">
        <f aca="false">IF($A176="","",B176-$AA$2-SUM($F$2:F176))</f>
        <v/>
      </c>
      <c r="AR171" s="1" t="str">
        <f aca="false">IF($A175="","",30000)</f>
        <v/>
      </c>
      <c r="AS171" s="1" t="str">
        <f aca="false">IF($A175="","",AR175-B175)</f>
        <v/>
      </c>
      <c r="AT171" s="1" t="str">
        <f aca="false">IF($A175="","",IFERROR(B175/AR175,0))</f>
        <v/>
      </c>
      <c r="AU171" s="1" t="str">
        <f aca="false">IF($A175="","",IFERROR(B175*O175,0))</f>
        <v/>
      </c>
      <c r="AV171" s="1" t="str">
        <f aca="false">IF($A175="","",IFERROR(C175/B175,0))</f>
        <v/>
      </c>
      <c r="AW171" s="1" t="str">
        <f aca="false">IF($A175="","",MAX(0,R175-S175))</f>
        <v/>
      </c>
      <c r="AX171" s="1" t="str">
        <f aca="false">IF($A175="","",IF(AW175&gt;0,"优先降持仓数",IF(C175&lt;=0,"现金不足","允许评估")))</f>
        <v/>
      </c>
      <c r="AY171" s="1" t="str">
        <f aca="false">IF($A175="","",IF(B175&lt;30000,"婴儿阶段: 优先活下来,禁止单票失控,限制持仓数,服务3W目标","幼儿阶段达成"))</f>
        <v/>
      </c>
    </row>
    <row r="172" customFormat="false" ht="15" hidden="false" customHeight="true" outlineLevel="0" collapsed="false">
      <c r="A172" s="30"/>
      <c r="B172" s="44"/>
      <c r="C172" s="44"/>
      <c r="D172" s="35" t="str">
        <f aca="false">IF($A177="","",SUMIFS(持仓表!$J:$J,持仓表!$A:$A,$A177))</f>
        <v/>
      </c>
      <c r="E172" s="36" t="n">
        <f aca="false">IFERROR(D177/B177,0)</f>
        <v>0</v>
      </c>
      <c r="F172" s="44"/>
      <c r="G172" s="35" t="str">
        <f aca="false">IF($B177="","",MAX($B$2:B177))</f>
        <v/>
      </c>
      <c r="H172" s="36" t="n">
        <f aca="false">IFERROR((B177-F177)/F177,0)</f>
        <v>0</v>
      </c>
      <c r="I172" s="36" t="n">
        <f aca="false">IFERROR((B177-G177)/G177,0)</f>
        <v>0</v>
      </c>
      <c r="J172" s="30"/>
      <c r="K172" s="31"/>
      <c r="L172" s="45"/>
      <c r="M172" s="45"/>
      <c r="N172" s="36" t="str">
        <f aca="false">IF($B177="","",MIN(70%,IF($I177&lt;=-15%,10%,IF($I177&lt;=-10%,30%,IF($M177&gt;=4,10%,IF($M177&gt;=3,30%,IF($J177="强",IF($K177="A",70%,IF($K177="B",60%,40%)),IF($J177="中性",IF($K177="A",50%,IF($K177="B",40%,25%)),IF($K177="A",30%,IF($K177="B",20%,10%))))))))))</f>
        <v/>
      </c>
      <c r="O172" s="36" t="str">
        <f aca="false">IF($B177="","",IF(B177&lt;30000,35%,IF(B177&lt;50000,30%,IF(B177&lt;100000,25%,20%))))</f>
        <v/>
      </c>
      <c r="P172" s="38" t="str">
        <f aca="false">IF($A177="","",COUNTIFS(持仓表!$A:$A,$A177,持仓表!$G:$G,"&gt;0"))</f>
        <v/>
      </c>
      <c r="Q172" s="38" t="str">
        <f aca="false">IF($A177="","",COUNTIFS(持仓表!$A:$A,$A177,持仓表!$D:$D,"是",持仓表!$G:$G,"&gt;0"))</f>
        <v/>
      </c>
      <c r="R172" s="38" t="str">
        <f aca="false">IF($A177="","",MAX(0,P177-Q177))</f>
        <v/>
      </c>
      <c r="S172" s="38" t="str">
        <f aca="false">IF($B177="","",IF(B177&lt;50000,3,IF(B177&lt;100000,4,5)))</f>
        <v/>
      </c>
      <c r="T172" s="39" t="str">
        <f aca="false">IF($A177="","",IF(OR(M177&gt;=4,I177&lt;=-8%),"防守",IF(OR(M177&gt;=2,I177&lt;=-5%),"警戒","正常")))</f>
        <v/>
      </c>
      <c r="U172" s="39" t="str">
        <f aca="false">IF($A177="","",IF(AND(L177&gt;=3,M177&lt;=2,T177&lt;&gt;"防守"),"是","否"))</f>
        <v/>
      </c>
      <c r="V172" s="39" t="str">
        <f aca="false">IF($A177="","",IF(AND(E177&lt;N177,R177&lt;S177,M177&lt;=2,I177&gt;-15%),"是","否"))</f>
        <v/>
      </c>
      <c r="W172" s="39" t="str">
        <f aca="false">IF($A177="","",IF(OR(M177&gt;=3,I177&lt;=-15%),"是","否"))</f>
        <v/>
      </c>
      <c r="X172" s="35" t="str">
        <f aca="false">IF($A177="","",IFERROR(maxifs(候选池!$AB:$AB,候选池!$A:$A,$A177),0))</f>
        <v/>
      </c>
      <c r="Y172" s="35" t="str">
        <f aca="false">IF($A177="","",IF(OR(M177&gt;=4,I177&lt;=-8%),MAX(0,B177*60%-C177),IF(AND(ISNUMBER(AD177),B177&gt;AD177),IF(B177&lt;30000,0,IF(B177&lt;100000,MAX(0,(B177-AD177)*0.2),MAX(0,(B177-AD177)*0.3))),0)))</f>
        <v/>
      </c>
      <c r="Z172" s="30"/>
      <c r="AA172" s="39" t="str">
        <f aca="false">IF($A177="","",IF($AA$2&lt;&gt;"",$AA$2,""))</f>
        <v/>
      </c>
      <c r="AB172" s="30" t="str">
        <f aca="false">IF($A177="","",IF(B177&lt;30000,0.03,IF(B177&lt;100000,0.02,0.015)))</f>
        <v/>
      </c>
      <c r="AC172" s="38" t="str">
        <f aca="false">IF($A177="","",IFERROR(DATEDIF($A$2,$A177,"m"),0))</f>
        <v/>
      </c>
      <c r="AD172" s="35" t="str">
        <f aca="false">IF($A177="","",IF(OR(AA177="",AB177="",AC177=""),"",AA177*POWER(1+AB177,AC177)))</f>
        <v/>
      </c>
      <c r="AE172" s="47" t="str">
        <f aca="false">IF($A177="","",IF(OR(AD177="",AD177=0),"",B177/AD177-1))</f>
        <v/>
      </c>
      <c r="AG172" s="1" t="str">
        <f aca="false">IF($A177="","",IF(B177&lt;30000,"婴儿",IF(B177&lt;100000,"成长","成熟")))</f>
        <v/>
      </c>
      <c r="AH172" s="42"/>
      <c r="AJ172" s="42"/>
      <c r="AK172" s="42"/>
      <c r="AM172" s="42"/>
      <c r="AP172" s="32"/>
      <c r="AQ172" s="43" t="str">
        <f aca="false">IF($A177="","",B177-$AA$2-SUM($F$2:F177))</f>
        <v/>
      </c>
      <c r="AR172" s="1" t="str">
        <f aca="false">IF($A176="","",30000)</f>
        <v/>
      </c>
      <c r="AS172" s="1" t="str">
        <f aca="false">IF($A176="","",AR176-B176)</f>
        <v/>
      </c>
      <c r="AT172" s="1" t="str">
        <f aca="false">IF($A176="","",IFERROR(B176/AR176,0))</f>
        <v/>
      </c>
      <c r="AU172" s="1" t="str">
        <f aca="false">IF($A176="","",IFERROR(B176*O176,0))</f>
        <v/>
      </c>
      <c r="AV172" s="1" t="str">
        <f aca="false">IF($A176="","",IFERROR(C176/B176,0))</f>
        <v/>
      </c>
      <c r="AW172" s="1" t="str">
        <f aca="false">IF($A176="","",MAX(0,R176-S176))</f>
        <v/>
      </c>
      <c r="AX172" s="1" t="str">
        <f aca="false">IF($A176="","",IF(AW176&gt;0,"优先降持仓数",IF(C176&lt;=0,"现金不足","允许评估")))</f>
        <v/>
      </c>
      <c r="AY172" s="1" t="str">
        <f aca="false">IF($A176="","",IF(B176&lt;30000,"婴儿阶段: 优先活下来,禁止单票失控,限制持仓数,服务3W目标","幼儿阶段达成"))</f>
        <v/>
      </c>
    </row>
    <row r="173" customFormat="false" ht="15" hidden="false" customHeight="true" outlineLevel="0" collapsed="false">
      <c r="A173" s="28"/>
      <c r="B173" s="34"/>
      <c r="C173" s="34"/>
      <c r="D173" s="35" t="str">
        <f aca="false">IF($A178="","",SUMIFS(持仓表!$J:$J,持仓表!$A:$A,$A178))</f>
        <v/>
      </c>
      <c r="E173" s="36" t="n">
        <f aca="false">IFERROR(D178/B178,0)</f>
        <v>0</v>
      </c>
      <c r="F173" s="34"/>
      <c r="G173" s="35" t="str">
        <f aca="false">IF($B178="","",MAX($B$2:B178))</f>
        <v/>
      </c>
      <c r="H173" s="36" t="n">
        <f aca="false">IFERROR((B178-F178)/F178,0)</f>
        <v>0</v>
      </c>
      <c r="I173" s="36" t="n">
        <f aca="false">IFERROR((B178-G178)/G178,0)</f>
        <v>0</v>
      </c>
      <c r="J173" s="28"/>
      <c r="K173" s="29"/>
      <c r="L173" s="37"/>
      <c r="M173" s="37"/>
      <c r="N173" s="36" t="str">
        <f aca="false">IF($B178="","",MIN(70%,IF($I178&lt;=-15%,10%,IF($I178&lt;=-10%,30%,IF($M178&gt;=4,10%,IF($M178&gt;=3,30%,IF($J178="强",IF($K178="A",70%,IF($K178="B",60%,40%)),IF($J178="中性",IF($K178="A",50%,IF($K178="B",40%,25%)),IF($K178="A",30%,IF($K178="B",20%,10%))))))))))</f>
        <v/>
      </c>
      <c r="O173" s="36" t="str">
        <f aca="false">IF($B178="","",IF(B178&lt;30000,35%,IF(B178&lt;50000,30%,IF(B178&lt;100000,25%,20%))))</f>
        <v/>
      </c>
      <c r="P173" s="38" t="str">
        <f aca="false">IF($A178="","",COUNTIFS(持仓表!$A:$A,$A178,持仓表!$G:$G,"&gt;0"))</f>
        <v/>
      </c>
      <c r="Q173" s="38" t="str">
        <f aca="false">IF($A178="","",COUNTIFS(持仓表!$A:$A,$A178,持仓表!$D:$D,"是",持仓表!$G:$G,"&gt;0"))</f>
        <v/>
      </c>
      <c r="R173" s="38" t="str">
        <f aca="false">IF($A178="","",MAX(0,P178-Q178))</f>
        <v/>
      </c>
      <c r="S173" s="38" t="str">
        <f aca="false">IF($B178="","",IF(B178&lt;50000,3,IF(B178&lt;100000,4,5)))</f>
        <v/>
      </c>
      <c r="T173" s="39" t="str">
        <f aca="false">IF($A178="","",IF(OR(M178&gt;=4,I178&lt;=-8%),"防守",IF(OR(M178&gt;=2,I178&lt;=-5%),"警戒","正常")))</f>
        <v/>
      </c>
      <c r="U173" s="39" t="str">
        <f aca="false">IF($A178="","",IF(AND(L178&gt;=3,M178&lt;=2,T178&lt;&gt;"防守"),"是","否"))</f>
        <v/>
      </c>
      <c r="V173" s="39" t="str">
        <f aca="false">IF($A178="","",IF(AND(E178&lt;N178,R178&lt;S178,M178&lt;=2,I178&gt;-15%),"是","否"))</f>
        <v/>
      </c>
      <c r="W173" s="39" t="str">
        <f aca="false">IF($A178="","",IF(OR(M178&gt;=3,I178&lt;=-15%),"是","否"))</f>
        <v/>
      </c>
      <c r="X173" s="35" t="str">
        <f aca="false">IF($A178="","",IFERROR(maxifs(候选池!$AB:$AB,候选池!$A:$A,$A178),0))</f>
        <v/>
      </c>
      <c r="Y173" s="35" t="str">
        <f aca="false">IF($A178="","",IF(OR(M178&gt;=4,I178&lt;=-8%),MAX(0,B178*60%-C178),IF(AND(ISNUMBER(AD178),B178&gt;AD178),IF(B178&lt;30000,0,IF(B178&lt;100000,MAX(0,(B178-AD178)*0.2),MAX(0,(B178-AD178)*0.3))),0)))</f>
        <v/>
      </c>
      <c r="Z173" s="28"/>
      <c r="AA173" s="39" t="str">
        <f aca="false">IF($A178="","",IF($AA$2&lt;&gt;"",$AA$2,""))</f>
        <v/>
      </c>
      <c r="AB173" s="28" t="str">
        <f aca="false">IF($A178="","",IF(B178&lt;30000,0.03,IF(B178&lt;100000,0.02,0.015)))</f>
        <v/>
      </c>
      <c r="AC173" s="38" t="str">
        <f aca="false">IF($A178="","",IFERROR(DATEDIF($A$2,$A178,"m"),0))</f>
        <v/>
      </c>
      <c r="AD173" s="35" t="str">
        <f aca="false">IF($A178="","",IF(OR(AA178="",AB178="",AC178=""),"",AA178*POWER(1+AB178,AC178)))</f>
        <v/>
      </c>
      <c r="AE173" s="41" t="str">
        <f aca="false">IF($A178="","",IF(OR(AD178="",AD178=0),"",B178/AD178-1))</f>
        <v/>
      </c>
      <c r="AG173" s="1" t="str">
        <f aca="false">IF($A178="","",IF(B178&lt;30000,"婴儿",IF(B178&lt;100000,"成长","成熟")))</f>
        <v/>
      </c>
      <c r="AH173" s="42"/>
      <c r="AJ173" s="42"/>
      <c r="AK173" s="42"/>
      <c r="AM173" s="42"/>
      <c r="AP173" s="32"/>
      <c r="AQ173" s="43" t="str">
        <f aca="false">IF($A178="","",B178-$AA$2-SUM($F$2:F178))</f>
        <v/>
      </c>
      <c r="AR173" s="1" t="str">
        <f aca="false">IF($A177="","",30000)</f>
        <v/>
      </c>
      <c r="AS173" s="1" t="str">
        <f aca="false">IF($A177="","",AR177-B177)</f>
        <v/>
      </c>
      <c r="AT173" s="1" t="str">
        <f aca="false">IF($A177="","",IFERROR(B177/AR177,0))</f>
        <v/>
      </c>
      <c r="AU173" s="1" t="str">
        <f aca="false">IF($A177="","",IFERROR(B177*O177,0))</f>
        <v/>
      </c>
      <c r="AV173" s="1" t="str">
        <f aca="false">IF($A177="","",IFERROR(C177/B177,0))</f>
        <v/>
      </c>
      <c r="AW173" s="1" t="str">
        <f aca="false">IF($A177="","",MAX(0,R177-S177))</f>
        <v/>
      </c>
      <c r="AX173" s="1" t="str">
        <f aca="false">IF($A177="","",IF(AW177&gt;0,"优先降持仓数",IF(C177&lt;=0,"现金不足","允许评估")))</f>
        <v/>
      </c>
      <c r="AY173" s="1" t="str">
        <f aca="false">IF($A177="","",IF(B177&lt;30000,"婴儿阶段: 优先活下来,禁止单票失控,限制持仓数,服务3W目标","幼儿阶段达成"))</f>
        <v/>
      </c>
    </row>
    <row r="174" customFormat="false" ht="15" hidden="false" customHeight="true" outlineLevel="0" collapsed="false">
      <c r="A174" s="30"/>
      <c r="B174" s="44"/>
      <c r="C174" s="44"/>
      <c r="D174" s="35" t="str">
        <f aca="false">IF($A179="","",SUMIFS(持仓表!$J:$J,持仓表!$A:$A,$A179))</f>
        <v/>
      </c>
      <c r="E174" s="36" t="n">
        <f aca="false">IFERROR(D179/B179,0)</f>
        <v>0</v>
      </c>
      <c r="F174" s="44"/>
      <c r="G174" s="35" t="str">
        <f aca="false">IF($B179="","",MAX($B$2:B179))</f>
        <v/>
      </c>
      <c r="H174" s="36" t="n">
        <f aca="false">IFERROR((B179-F179)/F179,0)</f>
        <v>0</v>
      </c>
      <c r="I174" s="36" t="n">
        <f aca="false">IFERROR((B179-G179)/G179,0)</f>
        <v>0</v>
      </c>
      <c r="J174" s="30"/>
      <c r="K174" s="31"/>
      <c r="L174" s="45"/>
      <c r="M174" s="45"/>
      <c r="N174" s="36" t="str">
        <f aca="false">IF($B179="","",MIN(70%,IF($I179&lt;=-15%,10%,IF($I179&lt;=-10%,30%,IF($M179&gt;=4,10%,IF($M179&gt;=3,30%,IF($J179="强",IF($K179="A",70%,IF($K179="B",60%,40%)),IF($J179="中性",IF($K179="A",50%,IF($K179="B",40%,25%)),IF($K179="A",30%,IF($K179="B",20%,10%))))))))))</f>
        <v/>
      </c>
      <c r="O174" s="36" t="str">
        <f aca="false">IF($B179="","",IF(B179&lt;30000,35%,IF(B179&lt;50000,30%,IF(B179&lt;100000,25%,20%))))</f>
        <v/>
      </c>
      <c r="P174" s="38" t="str">
        <f aca="false">IF($A179="","",COUNTIFS(持仓表!$A:$A,$A179,持仓表!$G:$G,"&gt;0"))</f>
        <v/>
      </c>
      <c r="Q174" s="38" t="str">
        <f aca="false">IF($A179="","",COUNTIFS(持仓表!$A:$A,$A179,持仓表!$D:$D,"是",持仓表!$G:$G,"&gt;0"))</f>
        <v/>
      </c>
      <c r="R174" s="38" t="str">
        <f aca="false">IF($A179="","",MAX(0,P179-Q179))</f>
        <v/>
      </c>
      <c r="S174" s="38" t="str">
        <f aca="false">IF($B179="","",IF(B179&lt;50000,3,IF(B179&lt;100000,4,5)))</f>
        <v/>
      </c>
      <c r="T174" s="39" t="str">
        <f aca="false">IF($A179="","",IF(OR(M179&gt;=4,I179&lt;=-8%),"防守",IF(OR(M179&gt;=2,I179&lt;=-5%),"警戒","正常")))</f>
        <v/>
      </c>
      <c r="U174" s="39" t="str">
        <f aca="false">IF($A179="","",IF(AND(L179&gt;=3,M179&lt;=2,T179&lt;&gt;"防守"),"是","否"))</f>
        <v/>
      </c>
      <c r="V174" s="39" t="str">
        <f aca="false">IF($A179="","",IF(AND(E179&lt;N179,R179&lt;S179,M179&lt;=2,I179&gt;-15%),"是","否"))</f>
        <v/>
      </c>
      <c r="W174" s="39" t="str">
        <f aca="false">IF($A179="","",IF(OR(M179&gt;=3,I179&lt;=-15%),"是","否"))</f>
        <v/>
      </c>
      <c r="X174" s="35" t="str">
        <f aca="false">IF($A179="","",IFERROR(maxifs(候选池!$AB:$AB,候选池!$A:$A,$A179),0))</f>
        <v/>
      </c>
      <c r="Y174" s="35" t="str">
        <f aca="false">IF($A179="","",IF(OR(M179&gt;=4,I179&lt;=-8%),MAX(0,B179*60%-C179),IF(AND(ISNUMBER(AD179),B179&gt;AD179),IF(B179&lt;30000,0,IF(B179&lt;100000,MAX(0,(B179-AD179)*0.2),MAX(0,(B179-AD179)*0.3))),0)))</f>
        <v/>
      </c>
      <c r="Z174" s="30"/>
      <c r="AA174" s="39" t="str">
        <f aca="false">IF($A179="","",IF($AA$2&lt;&gt;"",$AA$2,""))</f>
        <v/>
      </c>
      <c r="AB174" s="30" t="str">
        <f aca="false">IF($A179="","",IF(B179&lt;30000,0.03,IF(B179&lt;100000,0.02,0.015)))</f>
        <v/>
      </c>
      <c r="AC174" s="38" t="str">
        <f aca="false">IF($A179="","",IFERROR(DATEDIF($A$2,$A179,"m"),0))</f>
        <v/>
      </c>
      <c r="AD174" s="35" t="str">
        <f aca="false">IF($A179="","",IF(OR(AA179="",AB179="",AC179=""),"",AA179*POWER(1+AB179,AC179)))</f>
        <v/>
      </c>
      <c r="AE174" s="47" t="str">
        <f aca="false">IF($A179="","",IF(OR(AD179="",AD179=0),"",B179/AD179-1))</f>
        <v/>
      </c>
      <c r="AG174" s="1" t="str">
        <f aca="false">IF($A179="","",IF(B179&lt;30000,"婴儿",IF(B179&lt;100000,"成长","成熟")))</f>
        <v/>
      </c>
      <c r="AH174" s="42"/>
      <c r="AJ174" s="42"/>
      <c r="AK174" s="42"/>
      <c r="AM174" s="42"/>
      <c r="AP174" s="32"/>
      <c r="AQ174" s="43" t="str">
        <f aca="false">IF($A179="","",B179-$AA$2-SUM($F$2:F179))</f>
        <v/>
      </c>
      <c r="AR174" s="1" t="str">
        <f aca="false">IF($A178="","",30000)</f>
        <v/>
      </c>
      <c r="AS174" s="1" t="str">
        <f aca="false">IF($A178="","",AR178-B178)</f>
        <v/>
      </c>
      <c r="AT174" s="1" t="str">
        <f aca="false">IF($A178="","",IFERROR(B178/AR178,0))</f>
        <v/>
      </c>
      <c r="AU174" s="1" t="str">
        <f aca="false">IF($A178="","",IFERROR(B178*O178,0))</f>
        <v/>
      </c>
      <c r="AV174" s="1" t="str">
        <f aca="false">IF($A178="","",IFERROR(C178/B178,0))</f>
        <v/>
      </c>
      <c r="AW174" s="1" t="str">
        <f aca="false">IF($A178="","",MAX(0,R178-S178))</f>
        <v/>
      </c>
      <c r="AX174" s="1" t="str">
        <f aca="false">IF($A178="","",IF(AW178&gt;0,"优先降持仓数",IF(C178&lt;=0,"现金不足","允许评估")))</f>
        <v/>
      </c>
      <c r="AY174" s="1" t="str">
        <f aca="false">IF($A178="","",IF(B178&lt;30000,"婴儿阶段: 优先活下来,禁止单票失控,限制持仓数,服务3W目标","幼儿阶段达成"))</f>
        <v/>
      </c>
    </row>
    <row r="175" customFormat="false" ht="15" hidden="false" customHeight="true" outlineLevel="0" collapsed="false">
      <c r="A175" s="28"/>
      <c r="B175" s="34"/>
      <c r="C175" s="34"/>
      <c r="D175" s="35" t="str">
        <f aca="false">IF($A180="","",SUMIFS(持仓表!$J:$J,持仓表!$A:$A,$A180))</f>
        <v/>
      </c>
      <c r="E175" s="36" t="n">
        <f aca="false">IFERROR(D180/B180,0)</f>
        <v>0</v>
      </c>
      <c r="F175" s="34"/>
      <c r="G175" s="35" t="str">
        <f aca="false">IF($B180="","",MAX($B$2:B180))</f>
        <v/>
      </c>
      <c r="H175" s="36" t="n">
        <f aca="false">IFERROR((B180-F180)/F180,0)</f>
        <v>0</v>
      </c>
      <c r="I175" s="36" t="n">
        <f aca="false">IFERROR((B180-G180)/G180,0)</f>
        <v>0</v>
      </c>
      <c r="J175" s="28"/>
      <c r="K175" s="29"/>
      <c r="L175" s="37"/>
      <c r="M175" s="37"/>
      <c r="N175" s="36" t="str">
        <f aca="false">IF($B180="","",MIN(70%,IF($I180&lt;=-15%,10%,IF($I180&lt;=-10%,30%,IF($M180&gt;=4,10%,IF($M180&gt;=3,30%,IF($J180="强",IF($K180="A",70%,IF($K180="B",60%,40%)),IF($J180="中性",IF($K180="A",50%,IF($K180="B",40%,25%)),IF($K180="A",30%,IF($K180="B",20%,10%))))))))))</f>
        <v/>
      </c>
      <c r="O175" s="36" t="str">
        <f aca="false">IF($B180="","",IF(B180&lt;30000,35%,IF(B180&lt;50000,30%,IF(B180&lt;100000,25%,20%))))</f>
        <v/>
      </c>
      <c r="P175" s="38" t="str">
        <f aca="false">IF($A180="","",COUNTIFS(持仓表!$A:$A,$A180,持仓表!$G:$G,"&gt;0"))</f>
        <v/>
      </c>
      <c r="Q175" s="38" t="str">
        <f aca="false">IF($A180="","",COUNTIFS(持仓表!$A:$A,$A180,持仓表!$D:$D,"是",持仓表!$G:$G,"&gt;0"))</f>
        <v/>
      </c>
      <c r="R175" s="38" t="str">
        <f aca="false">IF($A180="","",MAX(0,P180-Q180))</f>
        <v/>
      </c>
      <c r="S175" s="38" t="str">
        <f aca="false">IF($B180="","",IF(B180&lt;50000,3,IF(B180&lt;100000,4,5)))</f>
        <v/>
      </c>
      <c r="T175" s="39" t="str">
        <f aca="false">IF($A180="","",IF(OR(M180&gt;=4,I180&lt;=-8%),"防守",IF(OR(M180&gt;=2,I180&lt;=-5%),"警戒","正常")))</f>
        <v/>
      </c>
      <c r="U175" s="39" t="str">
        <f aca="false">IF($A180="","",IF(AND(L180&gt;=3,M180&lt;=2,T180&lt;&gt;"防守"),"是","否"))</f>
        <v/>
      </c>
      <c r="V175" s="39" t="str">
        <f aca="false">IF($A180="","",IF(AND(E180&lt;N180,R180&lt;S180,M180&lt;=2,I180&gt;-15%),"是","否"))</f>
        <v/>
      </c>
      <c r="W175" s="39" t="str">
        <f aca="false">IF($A180="","",IF(OR(M180&gt;=3,I180&lt;=-15%),"是","否"))</f>
        <v/>
      </c>
      <c r="X175" s="35" t="str">
        <f aca="false">IF($A180="","",IFERROR(maxifs(候选池!$AB:$AB,候选池!$A:$A,$A180),0))</f>
        <v/>
      </c>
      <c r="Y175" s="35" t="str">
        <f aca="false">IF($A180="","",IF(OR(M180&gt;=4,I180&lt;=-8%),MAX(0,B180*60%-C180),IF(AND(ISNUMBER(AD180),B180&gt;AD180),IF(B180&lt;30000,0,IF(B180&lt;100000,MAX(0,(B180-AD180)*0.2),MAX(0,(B180-AD180)*0.3))),0)))</f>
        <v/>
      </c>
      <c r="Z175" s="28"/>
      <c r="AA175" s="39" t="str">
        <f aca="false">IF($A180="","",IF($AA$2&lt;&gt;"",$AA$2,""))</f>
        <v/>
      </c>
      <c r="AB175" s="28" t="str">
        <f aca="false">IF($A180="","",IF(B180&lt;30000,0.03,IF(B180&lt;100000,0.02,0.015)))</f>
        <v/>
      </c>
      <c r="AC175" s="38" t="str">
        <f aca="false">IF($A180="","",IFERROR(DATEDIF($A$2,$A180,"m"),0))</f>
        <v/>
      </c>
      <c r="AD175" s="35" t="str">
        <f aca="false">IF($A180="","",IF(OR(AA180="",AB180="",AC180=""),"",AA180*POWER(1+AB180,AC180)))</f>
        <v/>
      </c>
      <c r="AE175" s="41" t="str">
        <f aca="false">IF($A180="","",IF(OR(AD180="",AD180=0),"",B180/AD180-1))</f>
        <v/>
      </c>
      <c r="AG175" s="1" t="str">
        <f aca="false">IF($A180="","",IF(B180&lt;30000,"婴儿",IF(B180&lt;100000,"成长","成熟")))</f>
        <v/>
      </c>
      <c r="AH175" s="42"/>
      <c r="AJ175" s="42"/>
      <c r="AK175" s="42"/>
      <c r="AM175" s="42"/>
      <c r="AP175" s="32"/>
      <c r="AQ175" s="43" t="str">
        <f aca="false">IF($A180="","",B180-$AA$2-SUM($F$2:F180))</f>
        <v/>
      </c>
      <c r="AR175" s="1" t="str">
        <f aca="false">IF($A179="","",30000)</f>
        <v/>
      </c>
      <c r="AS175" s="1" t="str">
        <f aca="false">IF($A179="","",AR179-B179)</f>
        <v/>
      </c>
      <c r="AT175" s="1" t="str">
        <f aca="false">IF($A179="","",IFERROR(B179/AR179,0))</f>
        <v/>
      </c>
      <c r="AU175" s="1" t="str">
        <f aca="false">IF($A179="","",IFERROR(B179*O179,0))</f>
        <v/>
      </c>
      <c r="AV175" s="1" t="str">
        <f aca="false">IF($A179="","",IFERROR(C179/B179,0))</f>
        <v/>
      </c>
      <c r="AW175" s="1" t="str">
        <f aca="false">IF($A179="","",MAX(0,R179-S179))</f>
        <v/>
      </c>
      <c r="AX175" s="1" t="str">
        <f aca="false">IF($A179="","",IF(AW179&gt;0,"优先降持仓数",IF(C179&lt;=0,"现金不足","允许评估")))</f>
        <v/>
      </c>
      <c r="AY175" s="1" t="str">
        <f aca="false">IF($A179="","",IF(B179&lt;30000,"婴儿阶段: 优先活下来,禁止单票失控,限制持仓数,服务3W目标","幼儿阶段达成"))</f>
        <v/>
      </c>
    </row>
    <row r="176" customFormat="false" ht="15" hidden="false" customHeight="true" outlineLevel="0" collapsed="false">
      <c r="A176" s="30"/>
      <c r="B176" s="44"/>
      <c r="C176" s="44"/>
      <c r="D176" s="35" t="str">
        <f aca="false">IF($A181="","",SUMIFS(持仓表!$J:$J,持仓表!$A:$A,$A181))</f>
        <v/>
      </c>
      <c r="E176" s="36" t="n">
        <f aca="false">IFERROR(D181/B181,0)</f>
        <v>0</v>
      </c>
      <c r="F176" s="44"/>
      <c r="G176" s="35" t="str">
        <f aca="false">IF($B181="","",MAX($B$2:B181))</f>
        <v/>
      </c>
      <c r="H176" s="36" t="n">
        <f aca="false">IFERROR((B181-F181)/F181,0)</f>
        <v>0</v>
      </c>
      <c r="I176" s="36" t="n">
        <f aca="false">IFERROR((B181-G181)/G181,0)</f>
        <v>0</v>
      </c>
      <c r="J176" s="30"/>
      <c r="K176" s="31"/>
      <c r="L176" s="45"/>
      <c r="M176" s="45"/>
      <c r="N176" s="36" t="str">
        <f aca="false">IF($B181="","",MIN(70%,IF($I181&lt;=-15%,10%,IF($I181&lt;=-10%,30%,IF($M181&gt;=4,10%,IF($M181&gt;=3,30%,IF($J181="强",IF($K181="A",70%,IF($K181="B",60%,40%)),IF($J181="中性",IF($K181="A",50%,IF($K181="B",40%,25%)),IF($K181="A",30%,IF($K181="B",20%,10%))))))))))</f>
        <v/>
      </c>
      <c r="O176" s="36" t="str">
        <f aca="false">IF($B181="","",IF(B181&lt;30000,35%,IF(B181&lt;50000,30%,IF(B181&lt;100000,25%,20%))))</f>
        <v/>
      </c>
      <c r="P176" s="38" t="str">
        <f aca="false">IF($A181="","",COUNTIFS(持仓表!$A:$A,$A181,持仓表!$G:$G,"&gt;0"))</f>
        <v/>
      </c>
      <c r="Q176" s="38" t="str">
        <f aca="false">IF($A181="","",COUNTIFS(持仓表!$A:$A,$A181,持仓表!$D:$D,"是",持仓表!$G:$G,"&gt;0"))</f>
        <v/>
      </c>
      <c r="R176" s="38" t="str">
        <f aca="false">IF($A181="","",MAX(0,P181-Q181))</f>
        <v/>
      </c>
      <c r="S176" s="38" t="str">
        <f aca="false">IF($B181="","",IF(B181&lt;50000,3,IF(B181&lt;100000,4,5)))</f>
        <v/>
      </c>
      <c r="T176" s="39" t="str">
        <f aca="false">IF($A181="","",IF(OR(M181&gt;=4,I181&lt;=-8%),"防守",IF(OR(M181&gt;=2,I181&lt;=-5%),"警戒","正常")))</f>
        <v/>
      </c>
      <c r="U176" s="39" t="str">
        <f aca="false">IF($A181="","",IF(AND(L181&gt;=3,M181&lt;=2,T181&lt;&gt;"防守"),"是","否"))</f>
        <v/>
      </c>
      <c r="V176" s="39" t="str">
        <f aca="false">IF($A181="","",IF(AND(E181&lt;N181,R181&lt;S181,M181&lt;=2,I181&gt;-15%),"是","否"))</f>
        <v/>
      </c>
      <c r="W176" s="39" t="str">
        <f aca="false">IF($A181="","",IF(OR(M181&gt;=3,I181&lt;=-15%),"是","否"))</f>
        <v/>
      </c>
      <c r="X176" s="35" t="str">
        <f aca="false">IF($A181="","",IFERROR(maxifs(候选池!$AB:$AB,候选池!$A:$A,$A181),0))</f>
        <v/>
      </c>
      <c r="Y176" s="35" t="str">
        <f aca="false">IF($A181="","",IF(OR(M181&gt;=4,I181&lt;=-8%),MAX(0,B181*60%-C181),IF(AND(ISNUMBER(AD181),B181&gt;AD181),IF(B181&lt;30000,0,IF(B181&lt;100000,MAX(0,(B181-AD181)*0.2),MAX(0,(B181-AD181)*0.3))),0)))</f>
        <v/>
      </c>
      <c r="Z176" s="30"/>
      <c r="AA176" s="39" t="str">
        <f aca="false">IF($A181="","",IF($AA$2&lt;&gt;"",$AA$2,""))</f>
        <v/>
      </c>
      <c r="AB176" s="30" t="str">
        <f aca="false">IF($A181="","",IF(B181&lt;30000,0.03,IF(B181&lt;100000,0.02,0.015)))</f>
        <v/>
      </c>
      <c r="AC176" s="38" t="str">
        <f aca="false">IF($A181="","",IFERROR(DATEDIF($A$2,$A181,"m"),0))</f>
        <v/>
      </c>
      <c r="AD176" s="35" t="str">
        <f aca="false">IF($A181="","",IF(OR(AA181="",AB181="",AC181=""),"",AA181*POWER(1+AB181,AC181)))</f>
        <v/>
      </c>
      <c r="AE176" s="47" t="str">
        <f aca="false">IF($A181="","",IF(OR(AD181="",AD181=0),"",B181/AD181-1))</f>
        <v/>
      </c>
      <c r="AG176" s="1" t="str">
        <f aca="false">IF($A181="","",IF(B181&lt;30000,"婴儿",IF(B181&lt;100000,"成长","成熟")))</f>
        <v/>
      </c>
      <c r="AH176" s="42"/>
      <c r="AJ176" s="42"/>
      <c r="AK176" s="42"/>
      <c r="AM176" s="42"/>
      <c r="AP176" s="32"/>
      <c r="AQ176" s="43" t="str">
        <f aca="false">IF($A181="","",B181-$AA$2-SUM($F$2:F181))</f>
        <v/>
      </c>
      <c r="AR176" s="1" t="str">
        <f aca="false">IF($A180="","",30000)</f>
        <v/>
      </c>
      <c r="AS176" s="1" t="str">
        <f aca="false">IF($A180="","",AR180-B180)</f>
        <v/>
      </c>
      <c r="AT176" s="1" t="str">
        <f aca="false">IF($A180="","",IFERROR(B180/AR180,0))</f>
        <v/>
      </c>
      <c r="AU176" s="1" t="str">
        <f aca="false">IF($A180="","",IFERROR(B180*O180,0))</f>
        <v/>
      </c>
      <c r="AV176" s="1" t="str">
        <f aca="false">IF($A180="","",IFERROR(C180/B180,0))</f>
        <v/>
      </c>
      <c r="AW176" s="1" t="str">
        <f aca="false">IF($A180="","",MAX(0,R180-S180))</f>
        <v/>
      </c>
      <c r="AX176" s="1" t="str">
        <f aca="false">IF($A180="","",IF(AW180&gt;0,"优先降持仓数",IF(C180&lt;=0,"现金不足","允许评估")))</f>
        <v/>
      </c>
      <c r="AY176" s="1" t="str">
        <f aca="false">IF($A180="","",IF(B180&lt;30000,"婴儿阶段: 优先活下来,禁止单票失控,限制持仓数,服务3W目标","幼儿阶段达成"))</f>
        <v/>
      </c>
    </row>
    <row r="177" customFormat="false" ht="15" hidden="false" customHeight="true" outlineLevel="0" collapsed="false">
      <c r="A177" s="28"/>
      <c r="B177" s="34"/>
      <c r="C177" s="34"/>
      <c r="D177" s="35" t="str">
        <f aca="false">IF($A182="","",SUMIFS(持仓表!$J:$J,持仓表!$A:$A,$A182))</f>
        <v/>
      </c>
      <c r="E177" s="36" t="n">
        <f aca="false">IFERROR(D182/B182,0)</f>
        <v>0</v>
      </c>
      <c r="F177" s="34"/>
      <c r="G177" s="35" t="str">
        <f aca="false">IF($B182="","",MAX($B$2:B182))</f>
        <v/>
      </c>
      <c r="H177" s="36" t="n">
        <f aca="false">IFERROR((B182-F182)/F182,0)</f>
        <v>0</v>
      </c>
      <c r="I177" s="36" t="n">
        <f aca="false">IFERROR((B182-G182)/G182,0)</f>
        <v>0</v>
      </c>
      <c r="J177" s="28"/>
      <c r="K177" s="29"/>
      <c r="L177" s="37"/>
      <c r="M177" s="37"/>
      <c r="N177" s="36" t="str">
        <f aca="false">IF($B182="","",MIN(70%,IF($I182&lt;=-15%,10%,IF($I182&lt;=-10%,30%,IF($M182&gt;=4,10%,IF($M182&gt;=3,30%,IF($J182="强",IF($K182="A",70%,IF($K182="B",60%,40%)),IF($J182="中性",IF($K182="A",50%,IF($K182="B",40%,25%)),IF($K182="A",30%,IF($K182="B",20%,10%))))))))))</f>
        <v/>
      </c>
      <c r="O177" s="36" t="str">
        <f aca="false">IF($B182="","",IF(B182&lt;30000,35%,IF(B182&lt;50000,30%,IF(B182&lt;100000,25%,20%))))</f>
        <v/>
      </c>
      <c r="P177" s="38" t="str">
        <f aca="false">IF($A182="","",COUNTIFS(持仓表!$A:$A,$A182,持仓表!$G:$G,"&gt;0"))</f>
        <v/>
      </c>
      <c r="Q177" s="38" t="str">
        <f aca="false">IF($A182="","",COUNTIFS(持仓表!$A:$A,$A182,持仓表!$D:$D,"是",持仓表!$G:$G,"&gt;0"))</f>
        <v/>
      </c>
      <c r="R177" s="38" t="str">
        <f aca="false">IF($A182="","",MAX(0,P182-Q182))</f>
        <v/>
      </c>
      <c r="S177" s="38" t="str">
        <f aca="false">IF($B182="","",IF(B182&lt;50000,3,IF(B182&lt;100000,4,5)))</f>
        <v/>
      </c>
      <c r="T177" s="39" t="str">
        <f aca="false">IF($A182="","",IF(OR(M182&gt;=4,I182&lt;=-8%),"防守",IF(OR(M182&gt;=2,I182&lt;=-5%),"警戒","正常")))</f>
        <v/>
      </c>
      <c r="U177" s="39" t="str">
        <f aca="false">IF($A182="","",IF(AND(L182&gt;=3,M182&lt;=2,T182&lt;&gt;"防守"),"是","否"))</f>
        <v/>
      </c>
      <c r="V177" s="39" t="str">
        <f aca="false">IF($A182="","",IF(AND(E182&lt;N182,R182&lt;S182,M182&lt;=2,I182&gt;-15%),"是","否"))</f>
        <v/>
      </c>
      <c r="W177" s="39" t="str">
        <f aca="false">IF($A182="","",IF(OR(M182&gt;=3,I182&lt;=-15%),"是","否"))</f>
        <v/>
      </c>
      <c r="X177" s="35" t="str">
        <f aca="false">IF($A182="","",IFERROR(maxifs(候选池!$AB:$AB,候选池!$A:$A,$A182),0))</f>
        <v/>
      </c>
      <c r="Y177" s="35" t="str">
        <f aca="false">IF($A182="","",IF(OR(M182&gt;=4,I182&lt;=-8%),MAX(0,B182*60%-C182),IF(AND(ISNUMBER(AD182),B182&gt;AD182),IF(B182&lt;30000,0,IF(B182&lt;100000,MAX(0,(B182-AD182)*0.2),MAX(0,(B182-AD182)*0.3))),0)))</f>
        <v/>
      </c>
      <c r="Z177" s="28"/>
      <c r="AA177" s="39" t="str">
        <f aca="false">IF($A182="","",IF($AA$2&lt;&gt;"",$AA$2,""))</f>
        <v/>
      </c>
      <c r="AB177" s="28" t="str">
        <f aca="false">IF($A182="","",IF(B182&lt;30000,0.03,IF(B182&lt;100000,0.02,0.015)))</f>
        <v/>
      </c>
      <c r="AC177" s="38" t="str">
        <f aca="false">IF($A182="","",IFERROR(DATEDIF($A$2,$A182,"m"),0))</f>
        <v/>
      </c>
      <c r="AD177" s="35" t="str">
        <f aca="false">IF($A182="","",IF(OR(AA182="",AB182="",AC182=""),"",AA182*POWER(1+AB182,AC182)))</f>
        <v/>
      </c>
      <c r="AE177" s="41" t="str">
        <f aca="false">IF($A182="","",IF(OR(AD182="",AD182=0),"",B182/AD182-1))</f>
        <v/>
      </c>
      <c r="AG177" s="1" t="str">
        <f aca="false">IF($A182="","",IF(B182&lt;30000,"婴儿",IF(B182&lt;100000,"成长","成熟")))</f>
        <v/>
      </c>
      <c r="AH177" s="42"/>
      <c r="AJ177" s="42"/>
      <c r="AK177" s="42"/>
      <c r="AM177" s="42"/>
      <c r="AP177" s="32"/>
      <c r="AQ177" s="43" t="str">
        <f aca="false">IF($A182="","",B182-$AA$2-SUM($F$2:F182))</f>
        <v/>
      </c>
      <c r="AR177" s="1" t="str">
        <f aca="false">IF($A181="","",30000)</f>
        <v/>
      </c>
      <c r="AS177" s="1" t="str">
        <f aca="false">IF($A181="","",AR181-B181)</f>
        <v/>
      </c>
      <c r="AT177" s="1" t="str">
        <f aca="false">IF($A181="","",IFERROR(B181/AR181,0))</f>
        <v/>
      </c>
      <c r="AU177" s="1" t="str">
        <f aca="false">IF($A181="","",IFERROR(B181*O181,0))</f>
        <v/>
      </c>
      <c r="AV177" s="1" t="str">
        <f aca="false">IF($A181="","",IFERROR(C181/B181,0))</f>
        <v/>
      </c>
      <c r="AW177" s="1" t="str">
        <f aca="false">IF($A181="","",MAX(0,R181-S181))</f>
        <v/>
      </c>
      <c r="AX177" s="1" t="str">
        <f aca="false">IF($A181="","",IF(AW181&gt;0,"优先降持仓数",IF(C181&lt;=0,"现金不足","允许评估")))</f>
        <v/>
      </c>
      <c r="AY177" s="1" t="str">
        <f aca="false">IF($A181="","",IF(B181&lt;30000,"婴儿阶段: 优先活下来,禁止单票失控,限制持仓数,服务3W目标","幼儿阶段达成"))</f>
        <v/>
      </c>
    </row>
    <row r="178" customFormat="false" ht="15" hidden="false" customHeight="true" outlineLevel="0" collapsed="false">
      <c r="A178" s="30"/>
      <c r="B178" s="44"/>
      <c r="C178" s="44"/>
      <c r="D178" s="35" t="str">
        <f aca="false">IF($A183="","",SUMIFS(持仓表!$J:$J,持仓表!$A:$A,$A183))</f>
        <v/>
      </c>
      <c r="E178" s="36" t="n">
        <f aca="false">IFERROR(D183/B183,0)</f>
        <v>0</v>
      </c>
      <c r="F178" s="44"/>
      <c r="G178" s="35" t="str">
        <f aca="false">IF($B183="","",MAX($B$2:B183))</f>
        <v/>
      </c>
      <c r="H178" s="36" t="n">
        <f aca="false">IFERROR((B183-F183)/F183,0)</f>
        <v>0</v>
      </c>
      <c r="I178" s="36" t="n">
        <f aca="false">IFERROR((B183-G183)/G183,0)</f>
        <v>0</v>
      </c>
      <c r="J178" s="30"/>
      <c r="K178" s="31"/>
      <c r="L178" s="45"/>
      <c r="M178" s="45"/>
      <c r="N178" s="36" t="str">
        <f aca="false">IF($B183="","",MIN(70%,IF($I183&lt;=-15%,10%,IF($I183&lt;=-10%,30%,IF($M183&gt;=4,10%,IF($M183&gt;=3,30%,IF($J183="强",IF($K183="A",70%,IF($K183="B",60%,40%)),IF($J183="中性",IF($K183="A",50%,IF($K183="B",40%,25%)),IF($K183="A",30%,IF($K183="B",20%,10%))))))))))</f>
        <v/>
      </c>
      <c r="O178" s="36" t="str">
        <f aca="false">IF($B183="","",IF(B183&lt;30000,35%,IF(B183&lt;50000,30%,IF(B183&lt;100000,25%,20%))))</f>
        <v/>
      </c>
      <c r="P178" s="38" t="str">
        <f aca="false">IF($A183="","",COUNTIFS(持仓表!$A:$A,$A183,持仓表!$G:$G,"&gt;0"))</f>
        <v/>
      </c>
      <c r="Q178" s="38" t="str">
        <f aca="false">IF($A183="","",COUNTIFS(持仓表!$A:$A,$A183,持仓表!$D:$D,"是",持仓表!$G:$G,"&gt;0"))</f>
        <v/>
      </c>
      <c r="R178" s="38" t="str">
        <f aca="false">IF($A183="","",MAX(0,P183-Q183))</f>
        <v/>
      </c>
      <c r="S178" s="38" t="str">
        <f aca="false">IF($B183="","",IF(B183&lt;50000,3,IF(B183&lt;100000,4,5)))</f>
        <v/>
      </c>
      <c r="T178" s="39" t="str">
        <f aca="false">IF($A183="","",IF(OR(M183&gt;=4,I183&lt;=-8%),"防守",IF(OR(M183&gt;=2,I183&lt;=-5%),"警戒","正常")))</f>
        <v/>
      </c>
      <c r="U178" s="39" t="str">
        <f aca="false">IF($A183="","",IF(AND(L183&gt;=3,M183&lt;=2,T183&lt;&gt;"防守"),"是","否"))</f>
        <v/>
      </c>
      <c r="V178" s="39" t="str">
        <f aca="false">IF($A183="","",IF(AND(E183&lt;N183,R183&lt;S183,M183&lt;=2,I183&gt;-15%),"是","否"))</f>
        <v/>
      </c>
      <c r="W178" s="39" t="str">
        <f aca="false">IF($A183="","",IF(OR(M183&gt;=3,I183&lt;=-15%),"是","否"))</f>
        <v/>
      </c>
      <c r="X178" s="35" t="str">
        <f aca="false">IF($A183="","",IFERROR(maxifs(候选池!$AB:$AB,候选池!$A:$A,$A183),0))</f>
        <v/>
      </c>
      <c r="Y178" s="35" t="str">
        <f aca="false">IF($A183="","",IF(OR(M183&gt;=4,I183&lt;=-8%),MAX(0,B183*60%-C183),IF(AND(ISNUMBER(AD183),B183&gt;AD183),IF(B183&lt;30000,0,IF(B183&lt;100000,MAX(0,(B183-AD183)*0.2),MAX(0,(B183-AD183)*0.3))),0)))</f>
        <v/>
      </c>
      <c r="Z178" s="30"/>
      <c r="AA178" s="39" t="str">
        <f aca="false">IF($A183="","",IF($AA$2&lt;&gt;"",$AA$2,""))</f>
        <v/>
      </c>
      <c r="AB178" s="30" t="str">
        <f aca="false">IF($A183="","",IF(B183&lt;30000,0.03,IF(B183&lt;100000,0.02,0.015)))</f>
        <v/>
      </c>
      <c r="AC178" s="38" t="str">
        <f aca="false">IF($A183="","",IFERROR(DATEDIF($A$2,$A183,"m"),0))</f>
        <v/>
      </c>
      <c r="AD178" s="35" t="str">
        <f aca="false">IF($A183="","",IF(OR(AA183="",AB183="",AC183=""),"",AA183*POWER(1+AB183,AC183)))</f>
        <v/>
      </c>
      <c r="AE178" s="47" t="str">
        <f aca="false">IF($A183="","",IF(OR(AD183="",AD183=0),"",B183/AD183-1))</f>
        <v/>
      </c>
      <c r="AG178" s="1" t="str">
        <f aca="false">IF($A183="","",IF(B183&lt;30000,"婴儿",IF(B183&lt;100000,"成长","成熟")))</f>
        <v/>
      </c>
      <c r="AH178" s="42"/>
      <c r="AJ178" s="42"/>
      <c r="AK178" s="42"/>
      <c r="AM178" s="42"/>
      <c r="AP178" s="32"/>
      <c r="AQ178" s="43" t="str">
        <f aca="false">IF($A183="","",B183-$AA$2-SUM($F$2:F183))</f>
        <v/>
      </c>
      <c r="AR178" s="1" t="str">
        <f aca="false">IF($A182="","",30000)</f>
        <v/>
      </c>
      <c r="AS178" s="1" t="str">
        <f aca="false">IF($A182="","",AR182-B182)</f>
        <v/>
      </c>
      <c r="AT178" s="1" t="str">
        <f aca="false">IF($A182="","",IFERROR(B182/AR182,0))</f>
        <v/>
      </c>
      <c r="AU178" s="1" t="str">
        <f aca="false">IF($A182="","",IFERROR(B182*O182,0))</f>
        <v/>
      </c>
      <c r="AV178" s="1" t="str">
        <f aca="false">IF($A182="","",IFERROR(C182/B182,0))</f>
        <v/>
      </c>
      <c r="AW178" s="1" t="str">
        <f aca="false">IF($A182="","",MAX(0,R182-S182))</f>
        <v/>
      </c>
      <c r="AX178" s="1" t="str">
        <f aca="false">IF($A182="","",IF(AW182&gt;0,"优先降持仓数",IF(C182&lt;=0,"现金不足","允许评估")))</f>
        <v/>
      </c>
      <c r="AY178" s="1" t="str">
        <f aca="false">IF($A182="","",IF(B182&lt;30000,"婴儿阶段: 优先活下来,禁止单票失控,限制持仓数,服务3W目标","幼儿阶段达成"))</f>
        <v/>
      </c>
    </row>
    <row r="179" customFormat="false" ht="15" hidden="false" customHeight="true" outlineLevel="0" collapsed="false">
      <c r="A179" s="28"/>
      <c r="B179" s="34"/>
      <c r="C179" s="34"/>
      <c r="D179" s="35" t="str">
        <f aca="false">IF($A184="","",SUMIFS(持仓表!$J:$J,持仓表!$A:$A,$A184))</f>
        <v/>
      </c>
      <c r="E179" s="36" t="n">
        <f aca="false">IFERROR(D184/B184,0)</f>
        <v>0</v>
      </c>
      <c r="F179" s="34"/>
      <c r="G179" s="35" t="str">
        <f aca="false">IF($B184="","",MAX($B$2:B184))</f>
        <v/>
      </c>
      <c r="H179" s="36" t="n">
        <f aca="false">IFERROR((B184-F184)/F184,0)</f>
        <v>0</v>
      </c>
      <c r="I179" s="36" t="n">
        <f aca="false">IFERROR((B184-G184)/G184,0)</f>
        <v>0</v>
      </c>
      <c r="J179" s="28"/>
      <c r="K179" s="29"/>
      <c r="L179" s="37"/>
      <c r="M179" s="37"/>
      <c r="N179" s="36" t="str">
        <f aca="false">IF($B184="","",MIN(70%,IF($I184&lt;=-15%,10%,IF($I184&lt;=-10%,30%,IF($M184&gt;=4,10%,IF($M184&gt;=3,30%,IF($J184="强",IF($K184="A",70%,IF($K184="B",60%,40%)),IF($J184="中性",IF($K184="A",50%,IF($K184="B",40%,25%)),IF($K184="A",30%,IF($K184="B",20%,10%))))))))))</f>
        <v/>
      </c>
      <c r="O179" s="36" t="str">
        <f aca="false">IF($B184="","",IF(B184&lt;30000,35%,IF(B184&lt;50000,30%,IF(B184&lt;100000,25%,20%))))</f>
        <v/>
      </c>
      <c r="P179" s="38" t="str">
        <f aca="false">IF($A184="","",COUNTIFS(持仓表!$A:$A,$A184,持仓表!$G:$G,"&gt;0"))</f>
        <v/>
      </c>
      <c r="Q179" s="38" t="str">
        <f aca="false">IF($A184="","",COUNTIFS(持仓表!$A:$A,$A184,持仓表!$D:$D,"是",持仓表!$G:$G,"&gt;0"))</f>
        <v/>
      </c>
      <c r="R179" s="38" t="str">
        <f aca="false">IF($A184="","",MAX(0,P184-Q184))</f>
        <v/>
      </c>
      <c r="S179" s="38" t="str">
        <f aca="false">IF($B184="","",IF(B184&lt;50000,3,IF(B184&lt;100000,4,5)))</f>
        <v/>
      </c>
      <c r="T179" s="39" t="str">
        <f aca="false">IF($A184="","",IF(OR(M184&gt;=4,I184&lt;=-8%),"防守",IF(OR(M184&gt;=2,I184&lt;=-5%),"警戒","正常")))</f>
        <v/>
      </c>
      <c r="U179" s="39" t="str">
        <f aca="false">IF($A184="","",IF(AND(L184&gt;=3,M184&lt;=2,T184&lt;&gt;"防守"),"是","否"))</f>
        <v/>
      </c>
      <c r="V179" s="39" t="str">
        <f aca="false">IF($A184="","",IF(AND(E184&lt;N184,R184&lt;S184,M184&lt;=2,I184&gt;-15%),"是","否"))</f>
        <v/>
      </c>
      <c r="W179" s="39" t="str">
        <f aca="false">IF($A184="","",IF(OR(M184&gt;=3,I184&lt;=-15%),"是","否"))</f>
        <v/>
      </c>
      <c r="X179" s="35" t="str">
        <f aca="false">IF($A184="","",IFERROR(maxifs(候选池!$AB:$AB,候选池!$A:$A,$A184),0))</f>
        <v/>
      </c>
      <c r="Y179" s="35" t="str">
        <f aca="false">IF($A184="","",IF(OR(M184&gt;=4,I184&lt;=-8%),MAX(0,B184*60%-C184),IF(AND(ISNUMBER(AD184),B184&gt;AD184),IF(B184&lt;30000,0,IF(B184&lt;100000,MAX(0,(B184-AD184)*0.2),MAX(0,(B184-AD184)*0.3))),0)))</f>
        <v/>
      </c>
      <c r="Z179" s="28"/>
      <c r="AA179" s="39" t="str">
        <f aca="false">IF($A184="","",IF($AA$2&lt;&gt;"",$AA$2,""))</f>
        <v/>
      </c>
      <c r="AB179" s="28" t="str">
        <f aca="false">IF($A184="","",IF(B184&lt;30000,0.03,IF(B184&lt;100000,0.02,0.015)))</f>
        <v/>
      </c>
      <c r="AC179" s="38" t="str">
        <f aca="false">IF($A184="","",IFERROR(DATEDIF($A$2,$A184,"m"),0))</f>
        <v/>
      </c>
      <c r="AD179" s="35" t="str">
        <f aca="false">IF($A184="","",IF(OR(AA184="",AB184="",AC184=""),"",AA184*POWER(1+AB184,AC184)))</f>
        <v/>
      </c>
      <c r="AE179" s="41" t="str">
        <f aca="false">IF($A184="","",IF(OR(AD184="",AD184=0),"",B184/AD184-1))</f>
        <v/>
      </c>
      <c r="AG179" s="1" t="str">
        <f aca="false">IF($A184="","",IF(B184&lt;30000,"婴儿",IF(B184&lt;100000,"成长","成熟")))</f>
        <v/>
      </c>
      <c r="AH179" s="42"/>
      <c r="AJ179" s="42"/>
      <c r="AK179" s="42"/>
      <c r="AM179" s="42"/>
      <c r="AP179" s="32"/>
      <c r="AQ179" s="43" t="str">
        <f aca="false">IF($A184="","",B184-$AA$2-SUM($F$2:F184))</f>
        <v/>
      </c>
      <c r="AR179" s="1" t="str">
        <f aca="false">IF($A183="","",30000)</f>
        <v/>
      </c>
      <c r="AS179" s="1" t="str">
        <f aca="false">IF($A183="","",AR183-B183)</f>
        <v/>
      </c>
      <c r="AT179" s="1" t="str">
        <f aca="false">IF($A183="","",IFERROR(B183/AR183,0))</f>
        <v/>
      </c>
      <c r="AU179" s="1" t="str">
        <f aca="false">IF($A183="","",IFERROR(B183*O183,0))</f>
        <v/>
      </c>
      <c r="AV179" s="1" t="str">
        <f aca="false">IF($A183="","",IFERROR(C183/B183,0))</f>
        <v/>
      </c>
      <c r="AW179" s="1" t="str">
        <f aca="false">IF($A183="","",MAX(0,R183-S183))</f>
        <v/>
      </c>
      <c r="AX179" s="1" t="str">
        <f aca="false">IF($A183="","",IF(AW183&gt;0,"优先降持仓数",IF(C183&lt;=0,"现金不足","允许评估")))</f>
        <v/>
      </c>
      <c r="AY179" s="1" t="str">
        <f aca="false">IF($A183="","",IF(B183&lt;30000,"婴儿阶段: 优先活下来,禁止单票失控,限制持仓数,服务3W目标","幼儿阶段达成"))</f>
        <v/>
      </c>
    </row>
    <row r="180" customFormat="false" ht="15" hidden="false" customHeight="true" outlineLevel="0" collapsed="false">
      <c r="A180" s="30"/>
      <c r="B180" s="44"/>
      <c r="C180" s="44"/>
      <c r="D180" s="35" t="str">
        <f aca="false">IF($A185="","",SUMIFS(持仓表!$J:$J,持仓表!$A:$A,$A185))</f>
        <v/>
      </c>
      <c r="E180" s="36" t="n">
        <f aca="false">IFERROR(D185/B185,0)</f>
        <v>0</v>
      </c>
      <c r="F180" s="44"/>
      <c r="G180" s="35" t="str">
        <f aca="false">IF($B185="","",MAX($B$2:B185))</f>
        <v/>
      </c>
      <c r="H180" s="36" t="n">
        <f aca="false">IFERROR((B185-F185)/F185,0)</f>
        <v>0</v>
      </c>
      <c r="I180" s="36" t="n">
        <f aca="false">IFERROR((B185-G185)/G185,0)</f>
        <v>0</v>
      </c>
      <c r="J180" s="30"/>
      <c r="K180" s="31"/>
      <c r="L180" s="45"/>
      <c r="M180" s="45"/>
      <c r="N180" s="36" t="str">
        <f aca="false">IF($B185="","",MIN(70%,IF($I185&lt;=-15%,10%,IF($I185&lt;=-10%,30%,IF($M185&gt;=4,10%,IF($M185&gt;=3,30%,IF($J185="强",IF($K185="A",70%,IF($K185="B",60%,40%)),IF($J185="中性",IF($K185="A",50%,IF($K185="B",40%,25%)),IF($K185="A",30%,IF($K185="B",20%,10%))))))))))</f>
        <v/>
      </c>
      <c r="O180" s="36" t="str">
        <f aca="false">IF($B185="","",IF(B185&lt;30000,35%,IF(B185&lt;50000,30%,IF(B185&lt;100000,25%,20%))))</f>
        <v/>
      </c>
      <c r="P180" s="38" t="str">
        <f aca="false">IF($A185="","",COUNTIFS(持仓表!$A:$A,$A185,持仓表!$G:$G,"&gt;0"))</f>
        <v/>
      </c>
      <c r="Q180" s="38" t="str">
        <f aca="false">IF($A185="","",COUNTIFS(持仓表!$A:$A,$A185,持仓表!$D:$D,"是",持仓表!$G:$G,"&gt;0"))</f>
        <v/>
      </c>
      <c r="R180" s="38" t="str">
        <f aca="false">IF($A185="","",MAX(0,P185-Q185))</f>
        <v/>
      </c>
      <c r="S180" s="38" t="str">
        <f aca="false">IF($B185="","",IF(B185&lt;50000,3,IF(B185&lt;100000,4,5)))</f>
        <v/>
      </c>
      <c r="T180" s="39" t="str">
        <f aca="false">IF($A185="","",IF(OR(M185&gt;=4,I185&lt;=-8%),"防守",IF(OR(M185&gt;=2,I185&lt;=-5%),"警戒","正常")))</f>
        <v/>
      </c>
      <c r="U180" s="39" t="str">
        <f aca="false">IF($A185="","",IF(AND(L185&gt;=3,M185&lt;=2,T185&lt;&gt;"防守"),"是","否"))</f>
        <v/>
      </c>
      <c r="V180" s="39" t="str">
        <f aca="false">IF($A185="","",IF(AND(E185&lt;N185,R185&lt;S185,M185&lt;=2,I185&gt;-15%),"是","否"))</f>
        <v/>
      </c>
      <c r="W180" s="39" t="str">
        <f aca="false">IF($A185="","",IF(OR(M185&gt;=3,I185&lt;=-15%),"是","否"))</f>
        <v/>
      </c>
      <c r="X180" s="35" t="str">
        <f aca="false">IF($A185="","",IFERROR(maxifs(候选池!$AB:$AB,候选池!$A:$A,$A185),0))</f>
        <v/>
      </c>
      <c r="Y180" s="35" t="str">
        <f aca="false">IF($A185="","",IF(OR(M185&gt;=4,I185&lt;=-8%),MAX(0,B185*60%-C185),IF(AND(ISNUMBER(AD185),B185&gt;AD185),IF(B185&lt;30000,0,IF(B185&lt;100000,MAX(0,(B185-AD185)*0.2),MAX(0,(B185-AD185)*0.3))),0)))</f>
        <v/>
      </c>
      <c r="Z180" s="30"/>
      <c r="AA180" s="39" t="str">
        <f aca="false">IF($A185="","",IF($AA$2&lt;&gt;"",$AA$2,""))</f>
        <v/>
      </c>
      <c r="AB180" s="30" t="str">
        <f aca="false">IF($A185="","",IF(B185&lt;30000,0.03,IF(B185&lt;100000,0.02,0.015)))</f>
        <v/>
      </c>
      <c r="AC180" s="38" t="str">
        <f aca="false">IF($A185="","",IFERROR(DATEDIF($A$2,$A185,"m"),0))</f>
        <v/>
      </c>
      <c r="AD180" s="35" t="str">
        <f aca="false">IF($A185="","",IF(OR(AA185="",AB185="",AC185=""),"",AA185*POWER(1+AB185,AC185)))</f>
        <v/>
      </c>
      <c r="AE180" s="47" t="str">
        <f aca="false">IF($A185="","",IF(OR(AD185="",AD185=0),"",B185/AD185-1))</f>
        <v/>
      </c>
      <c r="AG180" s="1" t="str">
        <f aca="false">IF($A185="","",IF(B185&lt;30000,"婴儿",IF(B185&lt;100000,"成长","成熟")))</f>
        <v/>
      </c>
      <c r="AH180" s="42"/>
      <c r="AJ180" s="42"/>
      <c r="AK180" s="42"/>
      <c r="AM180" s="42"/>
      <c r="AP180" s="32"/>
      <c r="AQ180" s="43" t="str">
        <f aca="false">IF($A185="","",B185-$AA$2-SUM($F$2:F185))</f>
        <v/>
      </c>
      <c r="AR180" s="1" t="str">
        <f aca="false">IF($A184="","",30000)</f>
        <v/>
      </c>
      <c r="AS180" s="1" t="str">
        <f aca="false">IF($A184="","",AR184-B184)</f>
        <v/>
      </c>
      <c r="AT180" s="1" t="str">
        <f aca="false">IF($A184="","",IFERROR(B184/AR184,0))</f>
        <v/>
      </c>
      <c r="AU180" s="1" t="str">
        <f aca="false">IF($A184="","",IFERROR(B184*O184,0))</f>
        <v/>
      </c>
      <c r="AV180" s="1" t="str">
        <f aca="false">IF($A184="","",IFERROR(C184/B184,0))</f>
        <v/>
      </c>
      <c r="AW180" s="1" t="str">
        <f aca="false">IF($A184="","",MAX(0,R184-S184))</f>
        <v/>
      </c>
      <c r="AX180" s="1" t="str">
        <f aca="false">IF($A184="","",IF(AW184&gt;0,"优先降持仓数",IF(C184&lt;=0,"现金不足","允许评估")))</f>
        <v/>
      </c>
      <c r="AY180" s="1" t="str">
        <f aca="false">IF($A184="","",IF(B184&lt;30000,"婴儿阶段: 优先活下来,禁止单票失控,限制持仓数,服务3W目标","幼儿阶段达成"))</f>
        <v/>
      </c>
    </row>
    <row r="181" customFormat="false" ht="15" hidden="false" customHeight="true" outlineLevel="0" collapsed="false">
      <c r="A181" s="28"/>
      <c r="B181" s="34"/>
      <c r="C181" s="34"/>
      <c r="D181" s="35" t="str">
        <f aca="false">IF($A186="","",SUMIFS(持仓表!$J:$J,持仓表!$A:$A,$A186))</f>
        <v/>
      </c>
      <c r="E181" s="36" t="n">
        <f aca="false">IFERROR(D186/B186,0)</f>
        <v>0</v>
      </c>
      <c r="F181" s="34"/>
      <c r="G181" s="35" t="str">
        <f aca="false">IF($B186="","",MAX($B$2:B186))</f>
        <v/>
      </c>
      <c r="H181" s="36" t="n">
        <f aca="false">IFERROR((B186-F186)/F186,0)</f>
        <v>0</v>
      </c>
      <c r="I181" s="36" t="n">
        <f aca="false">IFERROR((B186-G186)/G186,0)</f>
        <v>0</v>
      </c>
      <c r="J181" s="28"/>
      <c r="K181" s="29"/>
      <c r="L181" s="37"/>
      <c r="M181" s="37"/>
      <c r="N181" s="36" t="str">
        <f aca="false">IF($B186="","",MIN(70%,IF($I186&lt;=-15%,10%,IF($I186&lt;=-10%,30%,IF($M186&gt;=4,10%,IF($M186&gt;=3,30%,IF($J186="强",IF($K186="A",70%,IF($K186="B",60%,40%)),IF($J186="中性",IF($K186="A",50%,IF($K186="B",40%,25%)),IF($K186="A",30%,IF($K186="B",20%,10%))))))))))</f>
        <v/>
      </c>
      <c r="O181" s="36" t="str">
        <f aca="false">IF($B186="","",IF(B186&lt;30000,35%,IF(B186&lt;50000,30%,IF(B186&lt;100000,25%,20%))))</f>
        <v/>
      </c>
      <c r="P181" s="38" t="str">
        <f aca="false">IF($A186="","",COUNTIFS(持仓表!$A:$A,$A186,持仓表!$G:$G,"&gt;0"))</f>
        <v/>
      </c>
      <c r="Q181" s="38" t="str">
        <f aca="false">IF($A186="","",COUNTIFS(持仓表!$A:$A,$A186,持仓表!$D:$D,"是",持仓表!$G:$G,"&gt;0"))</f>
        <v/>
      </c>
      <c r="R181" s="38" t="str">
        <f aca="false">IF($A186="","",MAX(0,P186-Q186))</f>
        <v/>
      </c>
      <c r="S181" s="38" t="str">
        <f aca="false">IF($B186="","",IF(B186&lt;50000,3,IF(B186&lt;100000,4,5)))</f>
        <v/>
      </c>
      <c r="T181" s="39" t="str">
        <f aca="false">IF($A186="","",IF(OR(M186&gt;=4,I186&lt;=-8%),"防守",IF(OR(M186&gt;=2,I186&lt;=-5%),"警戒","正常")))</f>
        <v/>
      </c>
      <c r="U181" s="39" t="str">
        <f aca="false">IF($A186="","",IF(AND(L186&gt;=3,M186&lt;=2,T186&lt;&gt;"防守"),"是","否"))</f>
        <v/>
      </c>
      <c r="V181" s="39" t="str">
        <f aca="false">IF($A186="","",IF(AND(E186&lt;N186,R186&lt;S186,M186&lt;=2,I186&gt;-15%),"是","否"))</f>
        <v/>
      </c>
      <c r="W181" s="39" t="str">
        <f aca="false">IF($A186="","",IF(OR(M186&gt;=3,I186&lt;=-15%),"是","否"))</f>
        <v/>
      </c>
      <c r="X181" s="35" t="str">
        <f aca="false">IF($A186="","",IFERROR(maxifs(候选池!$AB:$AB,候选池!$A:$A,$A186),0))</f>
        <v/>
      </c>
      <c r="Y181" s="35" t="str">
        <f aca="false">IF($A186="","",IF(OR(M186&gt;=4,I186&lt;=-8%),MAX(0,B186*60%-C186),IF(AND(ISNUMBER(AD186),B186&gt;AD186),IF(B186&lt;30000,0,IF(B186&lt;100000,MAX(0,(B186-AD186)*0.2),MAX(0,(B186-AD186)*0.3))),0)))</f>
        <v/>
      </c>
      <c r="Z181" s="28"/>
      <c r="AA181" s="39" t="str">
        <f aca="false">IF($A186="","",IF($AA$2&lt;&gt;"",$AA$2,""))</f>
        <v/>
      </c>
      <c r="AB181" s="28" t="str">
        <f aca="false">IF($A186="","",IF(B186&lt;30000,0.03,IF(B186&lt;100000,0.02,0.015)))</f>
        <v/>
      </c>
      <c r="AC181" s="38" t="str">
        <f aca="false">IF($A186="","",IFERROR(DATEDIF($A$2,$A186,"m"),0))</f>
        <v/>
      </c>
      <c r="AD181" s="35" t="str">
        <f aca="false">IF($A186="","",IF(OR(AA186="",AB186="",AC186=""),"",AA186*POWER(1+AB186,AC186)))</f>
        <v/>
      </c>
      <c r="AE181" s="41" t="str">
        <f aca="false">IF($A186="","",IF(OR(AD186="",AD186=0),"",B186/AD186-1))</f>
        <v/>
      </c>
      <c r="AG181" s="1" t="str">
        <f aca="false">IF($A186="","",IF(B186&lt;30000,"婴儿",IF(B186&lt;100000,"成长","成熟")))</f>
        <v/>
      </c>
      <c r="AH181" s="42"/>
      <c r="AJ181" s="42"/>
      <c r="AK181" s="42"/>
      <c r="AM181" s="42"/>
      <c r="AP181" s="32"/>
      <c r="AQ181" s="43" t="str">
        <f aca="false">IF($A186="","",B186-$AA$2-SUM($F$2:F186))</f>
        <v/>
      </c>
      <c r="AR181" s="1" t="str">
        <f aca="false">IF($A185="","",30000)</f>
        <v/>
      </c>
      <c r="AS181" s="1" t="str">
        <f aca="false">IF($A185="","",AR185-B185)</f>
        <v/>
      </c>
      <c r="AT181" s="1" t="str">
        <f aca="false">IF($A185="","",IFERROR(B185/AR185,0))</f>
        <v/>
      </c>
      <c r="AU181" s="1" t="str">
        <f aca="false">IF($A185="","",IFERROR(B185*O185,0))</f>
        <v/>
      </c>
      <c r="AV181" s="1" t="str">
        <f aca="false">IF($A185="","",IFERROR(C185/B185,0))</f>
        <v/>
      </c>
      <c r="AW181" s="1" t="str">
        <f aca="false">IF($A185="","",MAX(0,R185-S185))</f>
        <v/>
      </c>
      <c r="AX181" s="1" t="str">
        <f aca="false">IF($A185="","",IF(AW185&gt;0,"优先降持仓数",IF(C185&lt;=0,"现金不足","允许评估")))</f>
        <v/>
      </c>
      <c r="AY181" s="1" t="str">
        <f aca="false">IF($A185="","",IF(B185&lt;30000,"婴儿阶段: 优先活下来,禁止单票失控,限制持仓数,服务3W目标","幼儿阶段达成"))</f>
        <v/>
      </c>
    </row>
    <row r="182" customFormat="false" ht="15" hidden="false" customHeight="true" outlineLevel="0" collapsed="false">
      <c r="A182" s="30"/>
      <c r="B182" s="44"/>
      <c r="C182" s="44"/>
      <c r="D182" s="35" t="str">
        <f aca="false">IF($A187="","",SUMIFS(持仓表!$J:$J,持仓表!$A:$A,$A187))</f>
        <v/>
      </c>
      <c r="E182" s="36" t="n">
        <f aca="false">IFERROR(D187/B187,0)</f>
        <v>0</v>
      </c>
      <c r="F182" s="44"/>
      <c r="G182" s="35" t="str">
        <f aca="false">IF($B187="","",MAX($B$2:B187))</f>
        <v/>
      </c>
      <c r="H182" s="36" t="n">
        <f aca="false">IFERROR((B187-F187)/F187,0)</f>
        <v>0</v>
      </c>
      <c r="I182" s="36" t="n">
        <f aca="false">IFERROR((B187-G187)/G187,0)</f>
        <v>0</v>
      </c>
      <c r="J182" s="30"/>
      <c r="K182" s="31"/>
      <c r="L182" s="45"/>
      <c r="M182" s="45"/>
      <c r="N182" s="36" t="str">
        <f aca="false">IF($B187="","",MIN(70%,IF($I187&lt;=-15%,10%,IF($I187&lt;=-10%,30%,IF($M187&gt;=4,10%,IF($M187&gt;=3,30%,IF($J187="强",IF($K187="A",70%,IF($K187="B",60%,40%)),IF($J187="中性",IF($K187="A",50%,IF($K187="B",40%,25%)),IF($K187="A",30%,IF($K187="B",20%,10%))))))))))</f>
        <v/>
      </c>
      <c r="O182" s="36" t="str">
        <f aca="false">IF($B187="","",IF(B187&lt;30000,35%,IF(B187&lt;50000,30%,IF(B187&lt;100000,25%,20%))))</f>
        <v/>
      </c>
      <c r="P182" s="38" t="str">
        <f aca="false">IF($A187="","",COUNTIFS(持仓表!$A:$A,$A187,持仓表!$G:$G,"&gt;0"))</f>
        <v/>
      </c>
      <c r="Q182" s="38" t="str">
        <f aca="false">IF($A187="","",COUNTIFS(持仓表!$A:$A,$A187,持仓表!$D:$D,"是",持仓表!$G:$G,"&gt;0"))</f>
        <v/>
      </c>
      <c r="R182" s="38" t="str">
        <f aca="false">IF($A187="","",MAX(0,P187-Q187))</f>
        <v/>
      </c>
      <c r="S182" s="38" t="str">
        <f aca="false">IF($B187="","",IF(B187&lt;50000,3,IF(B187&lt;100000,4,5)))</f>
        <v/>
      </c>
      <c r="T182" s="39" t="str">
        <f aca="false">IF($A187="","",IF(OR(M187&gt;=4,I187&lt;=-8%),"防守",IF(OR(M187&gt;=2,I187&lt;=-5%),"警戒","正常")))</f>
        <v/>
      </c>
      <c r="U182" s="39" t="str">
        <f aca="false">IF($A187="","",IF(AND(L187&gt;=3,M187&lt;=2,T187&lt;&gt;"防守"),"是","否"))</f>
        <v/>
      </c>
      <c r="V182" s="39" t="str">
        <f aca="false">IF($A187="","",IF(AND(E187&lt;N187,R187&lt;S187,M187&lt;=2,I187&gt;-15%),"是","否"))</f>
        <v/>
      </c>
      <c r="W182" s="39" t="str">
        <f aca="false">IF($A187="","",IF(OR(M187&gt;=3,I187&lt;=-15%),"是","否"))</f>
        <v/>
      </c>
      <c r="X182" s="35" t="str">
        <f aca="false">IF($A187="","",IFERROR(maxifs(候选池!$AB:$AB,候选池!$A:$A,$A187),0))</f>
        <v/>
      </c>
      <c r="Y182" s="35" t="str">
        <f aca="false">IF($A187="","",IF(OR(M187&gt;=4,I187&lt;=-8%),MAX(0,B187*60%-C187),IF(AND(ISNUMBER(AD187),B187&gt;AD187),IF(B187&lt;30000,0,IF(B187&lt;100000,MAX(0,(B187-AD187)*0.2),MAX(0,(B187-AD187)*0.3))),0)))</f>
        <v/>
      </c>
      <c r="Z182" s="30"/>
      <c r="AA182" s="39" t="str">
        <f aca="false">IF($A187="","",IF($AA$2&lt;&gt;"",$AA$2,""))</f>
        <v/>
      </c>
      <c r="AB182" s="30" t="str">
        <f aca="false">IF($A187="","",IF(B187&lt;30000,0.03,IF(B187&lt;100000,0.02,0.015)))</f>
        <v/>
      </c>
      <c r="AC182" s="38" t="str">
        <f aca="false">IF($A187="","",IFERROR(DATEDIF($A$2,$A187,"m"),0))</f>
        <v/>
      </c>
      <c r="AD182" s="35" t="str">
        <f aca="false">IF($A187="","",IF(OR(AA187="",AB187="",AC187=""),"",AA187*POWER(1+AB187,AC187)))</f>
        <v/>
      </c>
      <c r="AE182" s="47" t="str">
        <f aca="false">IF($A187="","",IF(OR(AD187="",AD187=0),"",B187/AD187-1))</f>
        <v/>
      </c>
      <c r="AG182" s="1" t="str">
        <f aca="false">IF($A187="","",IF(B187&lt;30000,"婴儿",IF(B187&lt;100000,"成长","成熟")))</f>
        <v/>
      </c>
      <c r="AH182" s="42"/>
      <c r="AJ182" s="42"/>
      <c r="AK182" s="42"/>
      <c r="AM182" s="42"/>
      <c r="AP182" s="32"/>
      <c r="AQ182" s="43" t="str">
        <f aca="false">IF($A187="","",B187-$AA$2-SUM($F$2:F187))</f>
        <v/>
      </c>
      <c r="AR182" s="1" t="str">
        <f aca="false">IF($A186="","",30000)</f>
        <v/>
      </c>
      <c r="AS182" s="1" t="str">
        <f aca="false">IF($A186="","",AR186-B186)</f>
        <v/>
      </c>
      <c r="AT182" s="1" t="str">
        <f aca="false">IF($A186="","",IFERROR(B186/AR186,0))</f>
        <v/>
      </c>
      <c r="AU182" s="1" t="str">
        <f aca="false">IF($A186="","",IFERROR(B186*O186,0))</f>
        <v/>
      </c>
      <c r="AV182" s="1" t="str">
        <f aca="false">IF($A186="","",IFERROR(C186/B186,0))</f>
        <v/>
      </c>
      <c r="AW182" s="1" t="str">
        <f aca="false">IF($A186="","",MAX(0,R186-S186))</f>
        <v/>
      </c>
      <c r="AX182" s="1" t="str">
        <f aca="false">IF($A186="","",IF(AW186&gt;0,"优先降持仓数",IF(C186&lt;=0,"现金不足","允许评估")))</f>
        <v/>
      </c>
      <c r="AY182" s="1" t="str">
        <f aca="false">IF($A186="","",IF(B186&lt;30000,"婴儿阶段: 优先活下来,禁止单票失控,限制持仓数,服务3W目标","幼儿阶段达成"))</f>
        <v/>
      </c>
    </row>
    <row r="183" customFormat="false" ht="15" hidden="false" customHeight="true" outlineLevel="0" collapsed="false">
      <c r="A183" s="28"/>
      <c r="B183" s="34"/>
      <c r="C183" s="34"/>
      <c r="D183" s="35" t="str">
        <f aca="false">IF($A188="","",SUMIFS(持仓表!$J:$J,持仓表!$A:$A,$A188))</f>
        <v/>
      </c>
      <c r="E183" s="36" t="n">
        <f aca="false">IFERROR(D188/B188,0)</f>
        <v>0</v>
      </c>
      <c r="F183" s="34"/>
      <c r="G183" s="35" t="str">
        <f aca="false">IF($B188="","",MAX($B$2:B188))</f>
        <v/>
      </c>
      <c r="H183" s="36" t="n">
        <f aca="false">IFERROR((B188-F188)/F188,0)</f>
        <v>0</v>
      </c>
      <c r="I183" s="36" t="n">
        <f aca="false">IFERROR((B188-G188)/G188,0)</f>
        <v>0</v>
      </c>
      <c r="J183" s="28"/>
      <c r="K183" s="29"/>
      <c r="L183" s="37"/>
      <c r="M183" s="37"/>
      <c r="N183" s="36" t="str">
        <f aca="false">IF($B188="","",MIN(70%,IF($I188&lt;=-15%,10%,IF($I188&lt;=-10%,30%,IF($M188&gt;=4,10%,IF($M188&gt;=3,30%,IF($J188="强",IF($K188="A",70%,IF($K188="B",60%,40%)),IF($J188="中性",IF($K188="A",50%,IF($K188="B",40%,25%)),IF($K188="A",30%,IF($K188="B",20%,10%))))))))))</f>
        <v/>
      </c>
      <c r="O183" s="36" t="str">
        <f aca="false">IF($B188="","",IF(B188&lt;30000,35%,IF(B188&lt;50000,30%,IF(B188&lt;100000,25%,20%))))</f>
        <v/>
      </c>
      <c r="P183" s="38" t="str">
        <f aca="false">IF($A188="","",COUNTIFS(持仓表!$A:$A,$A188,持仓表!$G:$G,"&gt;0"))</f>
        <v/>
      </c>
      <c r="Q183" s="38" t="str">
        <f aca="false">IF($A188="","",COUNTIFS(持仓表!$A:$A,$A188,持仓表!$D:$D,"是",持仓表!$G:$G,"&gt;0"))</f>
        <v/>
      </c>
      <c r="R183" s="38" t="str">
        <f aca="false">IF($A188="","",MAX(0,P188-Q188))</f>
        <v/>
      </c>
      <c r="S183" s="38" t="str">
        <f aca="false">IF($B188="","",IF(B188&lt;50000,3,IF(B188&lt;100000,4,5)))</f>
        <v/>
      </c>
      <c r="T183" s="39" t="str">
        <f aca="false">IF($A188="","",IF(OR(M188&gt;=4,I188&lt;=-8%),"防守",IF(OR(M188&gt;=2,I188&lt;=-5%),"警戒","正常")))</f>
        <v/>
      </c>
      <c r="U183" s="39" t="str">
        <f aca="false">IF($A188="","",IF(AND(L188&gt;=3,M188&lt;=2,T188&lt;&gt;"防守"),"是","否"))</f>
        <v/>
      </c>
      <c r="V183" s="39" t="str">
        <f aca="false">IF($A188="","",IF(AND(E188&lt;N188,R188&lt;S188,M188&lt;=2,I188&gt;-15%),"是","否"))</f>
        <v/>
      </c>
      <c r="W183" s="39" t="str">
        <f aca="false">IF($A188="","",IF(OR(M188&gt;=3,I188&lt;=-15%),"是","否"))</f>
        <v/>
      </c>
      <c r="X183" s="35" t="str">
        <f aca="false">IF($A188="","",IFERROR(maxifs(候选池!$AB:$AB,候选池!$A:$A,$A188),0))</f>
        <v/>
      </c>
      <c r="Y183" s="35" t="str">
        <f aca="false">IF($A188="","",IF(OR(M188&gt;=4,I188&lt;=-8%),MAX(0,B188*60%-C188),IF(AND(ISNUMBER(AD188),B188&gt;AD188),IF(B188&lt;30000,0,IF(B188&lt;100000,MAX(0,(B188-AD188)*0.2),MAX(0,(B188-AD188)*0.3))),0)))</f>
        <v/>
      </c>
      <c r="Z183" s="28"/>
      <c r="AA183" s="39" t="str">
        <f aca="false">IF($A188="","",IF($AA$2&lt;&gt;"",$AA$2,""))</f>
        <v/>
      </c>
      <c r="AB183" s="28" t="str">
        <f aca="false">IF($A188="","",IF(B188&lt;30000,0.03,IF(B188&lt;100000,0.02,0.015)))</f>
        <v/>
      </c>
      <c r="AC183" s="38" t="str">
        <f aca="false">IF($A188="","",IFERROR(DATEDIF($A$2,$A188,"m"),0))</f>
        <v/>
      </c>
      <c r="AD183" s="35" t="str">
        <f aca="false">IF($A188="","",IF(OR(AA188="",AB188="",AC188=""),"",AA188*POWER(1+AB188,AC188)))</f>
        <v/>
      </c>
      <c r="AE183" s="41" t="str">
        <f aca="false">IF($A188="","",IF(OR(AD188="",AD188=0),"",B188/AD188-1))</f>
        <v/>
      </c>
      <c r="AG183" s="1" t="str">
        <f aca="false">IF($A188="","",IF(B188&lt;30000,"婴儿",IF(B188&lt;100000,"成长","成熟")))</f>
        <v/>
      </c>
      <c r="AH183" s="42"/>
      <c r="AJ183" s="42"/>
      <c r="AK183" s="42"/>
      <c r="AM183" s="42"/>
      <c r="AP183" s="32"/>
      <c r="AQ183" s="43" t="str">
        <f aca="false">IF($A188="","",B188-$AA$2-SUM($F$2:F188))</f>
        <v/>
      </c>
      <c r="AR183" s="1" t="str">
        <f aca="false">IF($A187="","",30000)</f>
        <v/>
      </c>
      <c r="AS183" s="1" t="str">
        <f aca="false">IF($A187="","",AR187-B187)</f>
        <v/>
      </c>
      <c r="AT183" s="1" t="str">
        <f aca="false">IF($A187="","",IFERROR(B187/AR187,0))</f>
        <v/>
      </c>
      <c r="AU183" s="1" t="str">
        <f aca="false">IF($A187="","",IFERROR(B187*O187,0))</f>
        <v/>
      </c>
      <c r="AV183" s="1" t="str">
        <f aca="false">IF($A187="","",IFERROR(C187/B187,0))</f>
        <v/>
      </c>
      <c r="AW183" s="1" t="str">
        <f aca="false">IF($A187="","",MAX(0,R187-S187))</f>
        <v/>
      </c>
      <c r="AX183" s="1" t="str">
        <f aca="false">IF($A187="","",IF(AW187&gt;0,"优先降持仓数",IF(C187&lt;=0,"现金不足","允许评估")))</f>
        <v/>
      </c>
      <c r="AY183" s="1" t="str">
        <f aca="false">IF($A187="","",IF(B187&lt;30000,"婴儿阶段: 优先活下来,禁止单票失控,限制持仓数,服务3W目标","幼儿阶段达成"))</f>
        <v/>
      </c>
    </row>
    <row r="184" customFormat="false" ht="15" hidden="false" customHeight="true" outlineLevel="0" collapsed="false">
      <c r="A184" s="30"/>
      <c r="B184" s="44"/>
      <c r="C184" s="44"/>
      <c r="D184" s="35" t="str">
        <f aca="false">IF($A189="","",SUMIFS(持仓表!$J:$J,持仓表!$A:$A,$A189))</f>
        <v/>
      </c>
      <c r="E184" s="36" t="n">
        <f aca="false">IFERROR(D189/B189,0)</f>
        <v>0</v>
      </c>
      <c r="F184" s="44"/>
      <c r="G184" s="35" t="str">
        <f aca="false">IF($B189="","",MAX($B$2:B189))</f>
        <v/>
      </c>
      <c r="H184" s="36" t="n">
        <f aca="false">IFERROR((B189-F189)/F189,0)</f>
        <v>0</v>
      </c>
      <c r="I184" s="36" t="n">
        <f aca="false">IFERROR((B189-G189)/G189,0)</f>
        <v>0</v>
      </c>
      <c r="J184" s="30"/>
      <c r="K184" s="31"/>
      <c r="L184" s="45"/>
      <c r="M184" s="45"/>
      <c r="N184" s="36" t="str">
        <f aca="false">IF($B189="","",MIN(70%,IF($I189&lt;=-15%,10%,IF($I189&lt;=-10%,30%,IF($M189&gt;=4,10%,IF($M189&gt;=3,30%,IF($J189="强",IF($K189="A",70%,IF($K189="B",60%,40%)),IF($J189="中性",IF($K189="A",50%,IF($K189="B",40%,25%)),IF($K189="A",30%,IF($K189="B",20%,10%))))))))))</f>
        <v/>
      </c>
      <c r="O184" s="36" t="str">
        <f aca="false">IF($B189="","",IF(B189&lt;30000,35%,IF(B189&lt;50000,30%,IF(B189&lt;100000,25%,20%))))</f>
        <v/>
      </c>
      <c r="P184" s="38" t="str">
        <f aca="false">IF($A189="","",COUNTIFS(持仓表!$A:$A,$A189,持仓表!$G:$G,"&gt;0"))</f>
        <v/>
      </c>
      <c r="Q184" s="38" t="str">
        <f aca="false">IF($A189="","",COUNTIFS(持仓表!$A:$A,$A189,持仓表!$D:$D,"是",持仓表!$G:$G,"&gt;0"))</f>
        <v/>
      </c>
      <c r="R184" s="38" t="str">
        <f aca="false">IF($A189="","",MAX(0,P189-Q189))</f>
        <v/>
      </c>
      <c r="S184" s="38" t="str">
        <f aca="false">IF($B189="","",IF(B189&lt;50000,3,IF(B189&lt;100000,4,5)))</f>
        <v/>
      </c>
      <c r="T184" s="39" t="str">
        <f aca="false">IF($A189="","",IF(OR(M189&gt;=4,I189&lt;=-8%),"防守",IF(OR(M189&gt;=2,I189&lt;=-5%),"警戒","正常")))</f>
        <v/>
      </c>
      <c r="U184" s="39" t="str">
        <f aca="false">IF($A189="","",IF(AND(L189&gt;=3,M189&lt;=2,T189&lt;&gt;"防守"),"是","否"))</f>
        <v/>
      </c>
      <c r="V184" s="39" t="str">
        <f aca="false">IF($A189="","",IF(AND(E189&lt;N189,R189&lt;S189,M189&lt;=2,I189&gt;-15%),"是","否"))</f>
        <v/>
      </c>
      <c r="W184" s="39" t="str">
        <f aca="false">IF($A189="","",IF(OR(M189&gt;=3,I189&lt;=-15%),"是","否"))</f>
        <v/>
      </c>
      <c r="X184" s="35" t="str">
        <f aca="false">IF($A189="","",IFERROR(maxifs(候选池!$AB:$AB,候选池!$A:$A,$A189),0))</f>
        <v/>
      </c>
      <c r="Y184" s="35" t="str">
        <f aca="false">IF($A189="","",IF(OR(M189&gt;=4,I189&lt;=-8%),MAX(0,B189*60%-C189),IF(AND(ISNUMBER(AD189),B189&gt;AD189),IF(B189&lt;30000,0,IF(B189&lt;100000,MAX(0,(B189-AD189)*0.2),MAX(0,(B189-AD189)*0.3))),0)))</f>
        <v/>
      </c>
      <c r="Z184" s="30"/>
      <c r="AA184" s="39" t="str">
        <f aca="false">IF($A189="","",IF($AA$2&lt;&gt;"",$AA$2,""))</f>
        <v/>
      </c>
      <c r="AB184" s="30" t="str">
        <f aca="false">IF($A189="","",IF(B189&lt;30000,0.03,IF(B189&lt;100000,0.02,0.015)))</f>
        <v/>
      </c>
      <c r="AC184" s="38" t="str">
        <f aca="false">IF($A189="","",IFERROR(DATEDIF($A$2,$A189,"m"),0))</f>
        <v/>
      </c>
      <c r="AD184" s="35" t="str">
        <f aca="false">IF($A189="","",IF(OR(AA189="",AB189="",AC189=""),"",AA189*POWER(1+AB189,AC189)))</f>
        <v/>
      </c>
      <c r="AE184" s="47" t="str">
        <f aca="false">IF($A189="","",IF(OR(AD189="",AD189=0),"",B189/AD189-1))</f>
        <v/>
      </c>
      <c r="AG184" s="1" t="str">
        <f aca="false">IF($A189="","",IF(B189&lt;30000,"婴儿",IF(B189&lt;100000,"成长","成熟")))</f>
        <v/>
      </c>
      <c r="AH184" s="42"/>
      <c r="AJ184" s="42"/>
      <c r="AK184" s="42"/>
      <c r="AM184" s="42"/>
      <c r="AP184" s="32"/>
      <c r="AQ184" s="43" t="str">
        <f aca="false">IF($A189="","",B189-$AA$2-SUM($F$2:F189))</f>
        <v/>
      </c>
      <c r="AR184" s="1" t="str">
        <f aca="false">IF($A188="","",30000)</f>
        <v/>
      </c>
      <c r="AS184" s="1" t="str">
        <f aca="false">IF($A188="","",AR188-B188)</f>
        <v/>
      </c>
      <c r="AT184" s="1" t="str">
        <f aca="false">IF($A188="","",IFERROR(B188/AR188,0))</f>
        <v/>
      </c>
      <c r="AU184" s="1" t="str">
        <f aca="false">IF($A188="","",IFERROR(B188*O188,0))</f>
        <v/>
      </c>
      <c r="AV184" s="1" t="str">
        <f aca="false">IF($A188="","",IFERROR(C188/B188,0))</f>
        <v/>
      </c>
      <c r="AW184" s="1" t="str">
        <f aca="false">IF($A188="","",MAX(0,R188-S188))</f>
        <v/>
      </c>
      <c r="AX184" s="1" t="str">
        <f aca="false">IF($A188="","",IF(AW188&gt;0,"优先降持仓数",IF(C188&lt;=0,"现金不足","允许评估")))</f>
        <v/>
      </c>
      <c r="AY184" s="1" t="str">
        <f aca="false">IF($A188="","",IF(B188&lt;30000,"婴儿阶段: 优先活下来,禁止单票失控,限制持仓数,服务3W目标","幼儿阶段达成"))</f>
        <v/>
      </c>
    </row>
    <row r="185" customFormat="false" ht="15" hidden="false" customHeight="true" outlineLevel="0" collapsed="false">
      <c r="A185" s="28"/>
      <c r="B185" s="34"/>
      <c r="C185" s="34"/>
      <c r="D185" s="35" t="str">
        <f aca="false">IF($A190="","",SUMIFS(持仓表!$J:$J,持仓表!$A:$A,$A190))</f>
        <v/>
      </c>
      <c r="E185" s="36" t="n">
        <f aca="false">IFERROR(D190/B190,0)</f>
        <v>0</v>
      </c>
      <c r="F185" s="34"/>
      <c r="G185" s="35" t="str">
        <f aca="false">IF($B190="","",MAX($B$2:B190))</f>
        <v/>
      </c>
      <c r="H185" s="36" t="n">
        <f aca="false">IFERROR((B190-F190)/F190,0)</f>
        <v>0</v>
      </c>
      <c r="I185" s="36" t="n">
        <f aca="false">IFERROR((B190-G190)/G190,0)</f>
        <v>0</v>
      </c>
      <c r="J185" s="28"/>
      <c r="K185" s="29"/>
      <c r="L185" s="37"/>
      <c r="M185" s="37"/>
      <c r="N185" s="36" t="str">
        <f aca="false">IF($B190="","",MIN(70%,IF($I190&lt;=-15%,10%,IF($I190&lt;=-10%,30%,IF($M190&gt;=4,10%,IF($M190&gt;=3,30%,IF($J190="强",IF($K190="A",70%,IF($K190="B",60%,40%)),IF($J190="中性",IF($K190="A",50%,IF($K190="B",40%,25%)),IF($K190="A",30%,IF($K190="B",20%,10%))))))))))</f>
        <v/>
      </c>
      <c r="O185" s="36" t="str">
        <f aca="false">IF($B190="","",IF(B190&lt;30000,35%,IF(B190&lt;50000,30%,IF(B190&lt;100000,25%,20%))))</f>
        <v/>
      </c>
      <c r="P185" s="38" t="str">
        <f aca="false">IF($A190="","",COUNTIFS(持仓表!$A:$A,$A190,持仓表!$G:$G,"&gt;0"))</f>
        <v/>
      </c>
      <c r="Q185" s="38" t="str">
        <f aca="false">IF($A190="","",COUNTIFS(持仓表!$A:$A,$A190,持仓表!$D:$D,"是",持仓表!$G:$G,"&gt;0"))</f>
        <v/>
      </c>
      <c r="R185" s="38" t="str">
        <f aca="false">IF($A190="","",MAX(0,P190-Q190))</f>
        <v/>
      </c>
      <c r="S185" s="38" t="str">
        <f aca="false">IF($B190="","",IF(B190&lt;50000,3,IF(B190&lt;100000,4,5)))</f>
        <v/>
      </c>
      <c r="T185" s="39" t="str">
        <f aca="false">IF($A190="","",IF(OR(M190&gt;=4,I190&lt;=-8%),"防守",IF(OR(M190&gt;=2,I190&lt;=-5%),"警戒","正常")))</f>
        <v/>
      </c>
      <c r="U185" s="39" t="str">
        <f aca="false">IF($A190="","",IF(AND(L190&gt;=3,M190&lt;=2,T190&lt;&gt;"防守"),"是","否"))</f>
        <v/>
      </c>
      <c r="V185" s="39" t="str">
        <f aca="false">IF($A190="","",IF(AND(E190&lt;N190,R190&lt;S190,M190&lt;=2,I190&gt;-15%),"是","否"))</f>
        <v/>
      </c>
      <c r="W185" s="39" t="str">
        <f aca="false">IF($A190="","",IF(OR(M190&gt;=3,I190&lt;=-15%),"是","否"))</f>
        <v/>
      </c>
      <c r="X185" s="35" t="str">
        <f aca="false">IF($A190="","",IFERROR(maxifs(候选池!$AB:$AB,候选池!$A:$A,$A190),0))</f>
        <v/>
      </c>
      <c r="Y185" s="35" t="str">
        <f aca="false">IF($A190="","",IF(OR(M190&gt;=4,I190&lt;=-8%),MAX(0,B190*60%-C190),IF(AND(ISNUMBER(AD190),B190&gt;AD190),IF(B190&lt;30000,0,IF(B190&lt;100000,MAX(0,(B190-AD190)*0.2),MAX(0,(B190-AD190)*0.3))),0)))</f>
        <v/>
      </c>
      <c r="Z185" s="28"/>
      <c r="AA185" s="39" t="str">
        <f aca="false">IF($A190="","",IF($AA$2&lt;&gt;"",$AA$2,""))</f>
        <v/>
      </c>
      <c r="AB185" s="28" t="str">
        <f aca="false">IF($A190="","",IF(B190&lt;30000,0.03,IF(B190&lt;100000,0.02,0.015)))</f>
        <v/>
      </c>
      <c r="AC185" s="38" t="str">
        <f aca="false">IF($A190="","",IFERROR(DATEDIF($A$2,$A190,"m"),0))</f>
        <v/>
      </c>
      <c r="AD185" s="35" t="str">
        <f aca="false">IF($A190="","",IF(OR(AA190="",AB190="",AC190=""),"",AA190*POWER(1+AB190,AC190)))</f>
        <v/>
      </c>
      <c r="AE185" s="41" t="str">
        <f aca="false">IF($A190="","",IF(OR(AD190="",AD190=0),"",B190/AD190-1))</f>
        <v/>
      </c>
      <c r="AG185" s="1" t="str">
        <f aca="false">IF($A190="","",IF(B190&lt;30000,"婴儿",IF(B190&lt;100000,"成长","成熟")))</f>
        <v/>
      </c>
      <c r="AH185" s="42"/>
      <c r="AJ185" s="42"/>
      <c r="AK185" s="42"/>
      <c r="AM185" s="42"/>
      <c r="AP185" s="32"/>
      <c r="AQ185" s="43" t="str">
        <f aca="false">IF($A190="","",B190-$AA$2-SUM($F$2:F190))</f>
        <v/>
      </c>
      <c r="AR185" s="1" t="str">
        <f aca="false">IF($A189="","",30000)</f>
        <v/>
      </c>
      <c r="AS185" s="1" t="str">
        <f aca="false">IF($A189="","",AR189-B189)</f>
        <v/>
      </c>
      <c r="AT185" s="1" t="str">
        <f aca="false">IF($A189="","",IFERROR(B189/AR189,0))</f>
        <v/>
      </c>
      <c r="AU185" s="1" t="str">
        <f aca="false">IF($A189="","",IFERROR(B189*O189,0))</f>
        <v/>
      </c>
      <c r="AV185" s="1" t="str">
        <f aca="false">IF($A189="","",IFERROR(C189/B189,0))</f>
        <v/>
      </c>
      <c r="AW185" s="1" t="str">
        <f aca="false">IF($A189="","",MAX(0,R189-S189))</f>
        <v/>
      </c>
      <c r="AX185" s="1" t="str">
        <f aca="false">IF($A189="","",IF(AW189&gt;0,"优先降持仓数",IF(C189&lt;=0,"现金不足","允许评估")))</f>
        <v/>
      </c>
      <c r="AY185" s="1" t="str">
        <f aca="false">IF($A189="","",IF(B189&lt;30000,"婴儿阶段: 优先活下来,禁止单票失控,限制持仓数,服务3W目标","幼儿阶段达成"))</f>
        <v/>
      </c>
    </row>
    <row r="186" customFormat="false" ht="15" hidden="false" customHeight="true" outlineLevel="0" collapsed="false">
      <c r="A186" s="30"/>
      <c r="B186" s="44"/>
      <c r="C186" s="44"/>
      <c r="D186" s="35" t="str">
        <f aca="false">IF($A191="","",SUMIFS(持仓表!$J:$J,持仓表!$A:$A,$A191))</f>
        <v/>
      </c>
      <c r="E186" s="36" t="n">
        <f aca="false">IFERROR(D191/B191,0)</f>
        <v>0</v>
      </c>
      <c r="F186" s="44"/>
      <c r="G186" s="35" t="str">
        <f aca="false">IF($B191="","",MAX($B$2:B191))</f>
        <v/>
      </c>
      <c r="H186" s="36" t="n">
        <f aca="false">IFERROR((B191-F191)/F191,0)</f>
        <v>0</v>
      </c>
      <c r="I186" s="36" t="n">
        <f aca="false">IFERROR((B191-G191)/G191,0)</f>
        <v>-1</v>
      </c>
      <c r="J186" s="30"/>
      <c r="K186" s="31"/>
      <c r="L186" s="45"/>
      <c r="M186" s="45"/>
      <c r="N186" s="36" t="str">
        <f aca="false">IF($B191="","",MIN(70%,IF($I191&lt;=-15%,10%,IF($I191&lt;=-10%,30%,IF($M191&gt;=4,10%,IF($M191&gt;=3,30%,IF($J191="强",IF($K191="A",70%,IF($K191="B",60%,40%)),IF($J191="中性",IF($K191="A",50%,IF($K191="B",40%,25%)),IF($K191="A",30%,IF($K191="B",20%,10%))))))))))</f>
        <v/>
      </c>
      <c r="O186" s="36" t="str">
        <f aca="false">IF($B191="","",IF(B191&lt;30000,35%,IF(B191&lt;50000,30%,IF(B191&lt;100000,25%,20%))))</f>
        <v/>
      </c>
      <c r="P186" s="38" t="str">
        <f aca="false">IF($A191="","",COUNTIFS(持仓表!$A:$A,$A191,持仓表!$G:$G,"&gt;0"))</f>
        <v/>
      </c>
      <c r="Q186" s="38" t="str">
        <f aca="false">IF($A191="","",COUNTIFS(持仓表!$A:$A,$A191,持仓表!$D:$D,"是",持仓表!$G:$G,"&gt;0"))</f>
        <v/>
      </c>
      <c r="R186" s="38" t="str">
        <f aca="false">IF($A191="","",MAX(0,P191-Q191))</f>
        <v/>
      </c>
      <c r="S186" s="38" t="str">
        <f aca="false">IF($B191="","",IF(B191&lt;50000,3,IF(B191&lt;100000,4,5)))</f>
        <v/>
      </c>
      <c r="T186" s="39" t="str">
        <f aca="false">IF($A191="","",IF(OR(M191&gt;=4,I191&lt;=-8%),"防守",IF(OR(M191&gt;=2,I191&lt;=-5%),"警戒","正常")))</f>
        <v/>
      </c>
      <c r="U186" s="39" t="str">
        <f aca="false">IF($A191="","",IF(AND(L191&gt;=3,M191&lt;=2,T191&lt;&gt;"防守"),"是","否"))</f>
        <v/>
      </c>
      <c r="V186" s="39" t="str">
        <f aca="false">IF($A191="","",IF(AND(E191&lt;N191,R191&lt;S191,M191&lt;=2,I191&gt;-15%),"是","否"))</f>
        <v/>
      </c>
      <c r="W186" s="39" t="str">
        <f aca="false">IF($A191="","",IF(OR(M191&gt;=3,I191&lt;=-15%),"是","否"))</f>
        <v/>
      </c>
      <c r="X186" s="35" t="str">
        <f aca="false">IF($A191="","",IFERROR(maxifs(候选池!$AB:$AB,候选池!$A:$A,$A191),0))</f>
        <v/>
      </c>
      <c r="Y186" s="35" t="str">
        <f aca="false">IF($A191="","",IF(OR(M191&gt;=4,I191&lt;=-8%),MAX(0,B191*60%-C191),IF(AND(ISNUMBER(AD191),B191&gt;AD191),IF(B191&lt;30000,0,IF(B191&lt;100000,MAX(0,(B191-AD191)*0.2),MAX(0,(B191-AD191)*0.3))),0)))</f>
        <v/>
      </c>
      <c r="Z186" s="30"/>
      <c r="AA186" s="39" t="str">
        <f aca="false">IF($A191="","",IF($AA$2&lt;&gt;"",$AA$2,""))</f>
        <v/>
      </c>
      <c r="AB186" s="30" t="str">
        <f aca="false">IF($A191="","",IF(B191&lt;30000,0.03,IF(B191&lt;100000,0.02,0.015)))</f>
        <v/>
      </c>
      <c r="AC186" s="38" t="str">
        <f aca="false">IF($A191="","",IFERROR(DATEDIF($A$2,$A191,"m"),0))</f>
        <v/>
      </c>
      <c r="AD186" s="35" t="str">
        <f aca="false">IF($A191="","",IF(OR(AA191="",AB191="",AC191=""),"",AA191*POWER(1+AB191,AC191)))</f>
        <v/>
      </c>
      <c r="AE186" s="47" t="str">
        <f aca="false">IF($A191="","",IF(OR(AD191="",AD191=0),"",B191/AD191-1))</f>
        <v/>
      </c>
      <c r="AG186" s="1" t="str">
        <f aca="false">IF($A191="","",IF(B191&lt;30000,"婴儿",IF(B191&lt;100000,"成长","成熟")))</f>
        <v/>
      </c>
      <c r="AH186" s="42"/>
      <c r="AJ186" s="42"/>
      <c r="AK186" s="42"/>
      <c r="AM186" s="42"/>
      <c r="AP186" s="32"/>
      <c r="AQ186" s="43" t="str">
        <f aca="false">IF($A191="","",B191-$AA$2-SUM($F$2:F191))</f>
        <v/>
      </c>
      <c r="AR186" s="1" t="str">
        <f aca="false">IF($A190="","",30000)</f>
        <v/>
      </c>
      <c r="AS186" s="1" t="str">
        <f aca="false">IF($A190="","",AR190-B190)</f>
        <v/>
      </c>
      <c r="AT186" s="1" t="str">
        <f aca="false">IF($A190="","",IFERROR(B190/AR190,0))</f>
        <v/>
      </c>
      <c r="AU186" s="1" t="str">
        <f aca="false">IF($A190="","",IFERROR(B190*O190,0))</f>
        <v/>
      </c>
      <c r="AV186" s="1" t="str">
        <f aca="false">IF($A190="","",IFERROR(C190/B190,0))</f>
        <v/>
      </c>
      <c r="AW186" s="1" t="str">
        <f aca="false">IF($A190="","",MAX(0,R190-S190))</f>
        <v/>
      </c>
      <c r="AX186" s="1" t="str">
        <f aca="false">IF($A190="","",IF(AW190&gt;0,"优先降持仓数",IF(C190&lt;=0,"现金不足","允许评估")))</f>
        <v/>
      </c>
      <c r="AY186" s="1" t="str">
        <f aca="false">IF($A190="","",IF(B190&lt;30000,"婴儿阶段: 优先活下来,禁止单票失控,限制持仓数,服务3W目标","幼儿阶段达成"))</f>
        <v/>
      </c>
    </row>
    <row r="187" customFormat="false" ht="15" hidden="false" customHeight="true" outlineLevel="0" collapsed="false">
      <c r="A187" s="28"/>
      <c r="B187" s="34"/>
      <c r="C187" s="34"/>
      <c r="D187" s="35" t="str">
        <f aca="false">IF($A192="","",SUMIFS(持仓表!$J:$J,持仓表!$A:$A,$A192))</f>
        <v/>
      </c>
      <c r="E187" s="36" t="n">
        <f aca="false">IFERROR(D192/B192,0)</f>
        <v>0</v>
      </c>
      <c r="F187" s="34"/>
      <c r="G187" s="35" t="str">
        <f aca="false">IF($B192="","",MAX($B$2:B192))</f>
        <v/>
      </c>
      <c r="H187" s="36" t="n">
        <f aca="false">IFERROR((B192-F192)/F192,0)</f>
        <v>0</v>
      </c>
      <c r="I187" s="36" t="n">
        <f aca="false">IFERROR((B192-G192)/G192,0)</f>
        <v>-1</v>
      </c>
      <c r="J187" s="28"/>
      <c r="K187" s="29"/>
      <c r="L187" s="37"/>
      <c r="M187" s="37"/>
      <c r="N187" s="36" t="str">
        <f aca="false">IF($B192="","",MIN(70%,IF($I192&lt;=-15%,10%,IF($I192&lt;=-10%,30%,IF($M192&gt;=4,10%,IF($M192&gt;=3,30%,IF($J192="强",IF($K192="A",70%,IF($K192="B",60%,40%)),IF($J192="中性",IF($K192="A",50%,IF($K192="B",40%,25%)),IF($K192="A",30%,IF($K192="B",20%,10%))))))))))</f>
        <v/>
      </c>
      <c r="O187" s="36" t="str">
        <f aca="false">IF($B192="","",IF(B192&lt;30000,35%,IF(B192&lt;50000,30%,IF(B192&lt;100000,25%,20%))))</f>
        <v/>
      </c>
      <c r="P187" s="38" t="str">
        <f aca="false">IF($A192="","",COUNTIFS(持仓表!$A:$A,$A192,持仓表!$G:$G,"&gt;0"))</f>
        <v/>
      </c>
      <c r="Q187" s="38" t="str">
        <f aca="false">IF($A192="","",COUNTIFS(持仓表!$A:$A,$A192,持仓表!$D:$D,"是",持仓表!$G:$G,"&gt;0"))</f>
        <v/>
      </c>
      <c r="R187" s="38" t="str">
        <f aca="false">IF($A192="","",MAX(0,P192-Q192))</f>
        <v/>
      </c>
      <c r="S187" s="38" t="str">
        <f aca="false">IF($B192="","",IF(B192&lt;50000,3,IF(B192&lt;100000,4,5)))</f>
        <v/>
      </c>
      <c r="T187" s="39" t="str">
        <f aca="false">IF($A192="","",IF(OR(M192&gt;=4,I192&lt;=-8%),"防守",IF(OR(M192&gt;=2,I192&lt;=-5%),"警戒","正常")))</f>
        <v/>
      </c>
      <c r="U187" s="39" t="str">
        <f aca="false">IF($A192="","",IF(AND(L192&gt;=3,M192&lt;=2,T192&lt;&gt;"防守"),"是","否"))</f>
        <v/>
      </c>
      <c r="V187" s="39" t="str">
        <f aca="false">IF($A192="","",IF(AND(E192&lt;N192,R192&lt;S192,M192&lt;=2,I192&gt;-15%),"是","否"))</f>
        <v/>
      </c>
      <c r="W187" s="39" t="str">
        <f aca="false">IF($A192="","",IF(OR(M192&gt;=3,I192&lt;=-15%),"是","否"))</f>
        <v/>
      </c>
      <c r="X187" s="35" t="str">
        <f aca="false">IF($A192="","",IFERROR(maxifs(候选池!$AB:$AB,候选池!$A:$A,$A192),0))</f>
        <v/>
      </c>
      <c r="Y187" s="35" t="str">
        <f aca="false">IF($A192="","",IF(OR(M192&gt;=4,I192&lt;=-8%),MAX(0,B192*60%-C192),IF(AND(ISNUMBER(AD192),B192&gt;AD192),IF(B192&lt;30000,0,IF(B192&lt;100000,MAX(0,(B192-AD192)*0.2),MAX(0,(B192-AD192)*0.3))),0)))</f>
        <v/>
      </c>
      <c r="Z187" s="28"/>
      <c r="AA187" s="39" t="str">
        <f aca="false">IF($A192="","",IF($AA$2&lt;&gt;"",$AA$2,""))</f>
        <v/>
      </c>
      <c r="AB187" s="28" t="str">
        <f aca="false">IF($A192="","",IF(B192&lt;30000,0.03,IF(B192&lt;100000,0.02,0.015)))</f>
        <v/>
      </c>
      <c r="AC187" s="38" t="str">
        <f aca="false">IF($A192="","",IFERROR(DATEDIF($A$2,$A192,"m"),0))</f>
        <v/>
      </c>
      <c r="AD187" s="35" t="str">
        <f aca="false">IF($A192="","",IF(OR(AA192="",AB192="",AC192=""),"",AA192*POWER(1+AB192,AC192)))</f>
        <v/>
      </c>
      <c r="AE187" s="41" t="str">
        <f aca="false">IF($A192="","",IF(OR(AD192="",AD192=0),"",B192/AD192-1))</f>
        <v/>
      </c>
      <c r="AG187" s="1" t="str">
        <f aca="false">IF($A192="","",IF(B192&lt;30000,"婴儿",IF(B192&lt;100000,"成长","成熟")))</f>
        <v/>
      </c>
      <c r="AH187" s="42"/>
      <c r="AJ187" s="42"/>
      <c r="AK187" s="42"/>
      <c r="AM187" s="42"/>
      <c r="AP187" s="32"/>
      <c r="AQ187" s="43" t="str">
        <f aca="false">IF($A192="","",B192-$AA$2-SUM($F$2:F192))</f>
        <v/>
      </c>
      <c r="AR187" s="1" t="str">
        <f aca="false">IF($A191="","",30000)</f>
        <v/>
      </c>
      <c r="AS187" s="1" t="str">
        <f aca="false">IF($A191="","",AR191-B191)</f>
        <v/>
      </c>
      <c r="AT187" s="1" t="str">
        <f aca="false">IF($A191="","",IFERROR(B191/AR191,0))</f>
        <v/>
      </c>
      <c r="AU187" s="1" t="str">
        <f aca="false">IF($A191="","",IFERROR(B191*O191,0))</f>
        <v/>
      </c>
      <c r="AV187" s="1" t="str">
        <f aca="false">IF($A191="","",IFERROR(C191/B191,0))</f>
        <v/>
      </c>
      <c r="AW187" s="1" t="str">
        <f aca="false">IF($A191="","",MAX(0,R191-S191))</f>
        <v/>
      </c>
      <c r="AX187" s="1" t="str">
        <f aca="false">IF($A191="","",IF(AW191&gt;0,"优先降持仓数",IF(C191&lt;=0,"现金不足","允许评估")))</f>
        <v/>
      </c>
      <c r="AY187" s="1" t="str">
        <f aca="false">IF($A191="","",IF(B191&lt;30000,"婴儿阶段: 优先活下来,禁止单票失控,限制持仓数,服务3W目标","幼儿阶段达成"))</f>
        <v/>
      </c>
    </row>
    <row r="188" customFormat="false" ht="15" hidden="false" customHeight="true" outlineLevel="0" collapsed="false">
      <c r="A188" s="30"/>
      <c r="B188" s="44"/>
      <c r="C188" s="44"/>
      <c r="D188" s="35" t="str">
        <f aca="false">IF($A193="","",SUMIFS(持仓表!$J:$J,持仓表!$A:$A,$A193))</f>
        <v/>
      </c>
      <c r="E188" s="36" t="n">
        <f aca="false">IFERROR(D193/B193,0)</f>
        <v>0</v>
      </c>
      <c r="F188" s="44"/>
      <c r="G188" s="35" t="str">
        <f aca="false">IF($B193="","",MAX($B$2:B193))</f>
        <v/>
      </c>
      <c r="H188" s="36" t="n">
        <f aca="false">IFERROR((B193-F193)/F193,0)</f>
        <v>0</v>
      </c>
      <c r="I188" s="36" t="n">
        <f aca="false">IFERROR((B193-G193)/G193,0)</f>
        <v>0</v>
      </c>
      <c r="J188" s="30"/>
      <c r="K188" s="31"/>
      <c r="L188" s="45"/>
      <c r="M188" s="45"/>
      <c r="N188" s="36" t="str">
        <f aca="false">IF($B193="","",MIN(70%,IF($I193&lt;=-15%,10%,IF($I193&lt;=-10%,30%,IF($M193&gt;=4,10%,IF($M193&gt;=3,30%,IF($J193="强",IF($K193="A",70%,IF($K193="B",60%,40%)),IF($J193="中性",IF($K193="A",50%,IF($K193="B",40%,25%)),IF($K193="A",30%,IF($K193="B",20%,10%))))))))))</f>
        <v/>
      </c>
      <c r="O188" s="36" t="str">
        <f aca="false">IF($B193="","",IF(B193&lt;30000,35%,IF(B193&lt;50000,30%,IF(B193&lt;100000,25%,20%))))</f>
        <v/>
      </c>
      <c r="P188" s="38" t="str">
        <f aca="false">IF($A193="","",COUNTIFS(持仓表!$A:$A,$A193,持仓表!$G:$G,"&gt;0"))</f>
        <v/>
      </c>
      <c r="Q188" s="38" t="str">
        <f aca="false">IF($A193="","",COUNTIFS(持仓表!$A:$A,$A193,持仓表!$D:$D,"是",持仓表!$G:$G,"&gt;0"))</f>
        <v/>
      </c>
      <c r="R188" s="38" t="str">
        <f aca="false">IF($A193="","",MAX(0,P193-Q193))</f>
        <v/>
      </c>
      <c r="S188" s="38" t="str">
        <f aca="false">IF($B193="","",IF(B193&lt;50000,3,IF(B193&lt;100000,4,5)))</f>
        <v/>
      </c>
      <c r="T188" s="39" t="str">
        <f aca="false">IF($A193="","",IF(OR(M193&gt;=4,I193&lt;=-8%),"防守",IF(OR(M193&gt;=2,I193&lt;=-5%),"警戒","正常")))</f>
        <v/>
      </c>
      <c r="U188" s="39" t="str">
        <f aca="false">IF($A193="","",IF(AND(L193&gt;=3,M193&lt;=2,T193&lt;&gt;"防守"),"是","否"))</f>
        <v/>
      </c>
      <c r="V188" s="39" t="str">
        <f aca="false">IF($A193="","",IF(AND(E193&lt;N193,R193&lt;S193,M193&lt;=2,I193&gt;-15%),"是","否"))</f>
        <v/>
      </c>
      <c r="W188" s="39" t="str">
        <f aca="false">IF($A193="","",IF(OR(M193&gt;=3,I193&lt;=-15%),"是","否"))</f>
        <v/>
      </c>
      <c r="X188" s="35" t="str">
        <f aca="false">IF($A193="","",IFERROR(maxifs(候选池!$AB:$AB,候选池!$A:$A,$A193),0))</f>
        <v/>
      </c>
      <c r="Y188" s="35" t="str">
        <f aca="false">IF($A193="","",IF(OR(M193&gt;=4,I193&lt;=-8%),MAX(0,B193*60%-C193),IF(AND(ISNUMBER(AD193),B193&gt;AD193),IF(B193&lt;30000,0,IF(B193&lt;100000,MAX(0,(B193-AD193)*0.2),MAX(0,(B193-AD193)*0.3))),0)))</f>
        <v/>
      </c>
      <c r="Z188" s="30"/>
      <c r="AA188" s="39" t="str">
        <f aca="false">IF($A193="","",IF($AA$2&lt;&gt;"",$AA$2,""))</f>
        <v/>
      </c>
      <c r="AB188" s="30" t="str">
        <f aca="false">IF($A193="","",IF(B193&lt;30000,0.03,IF(B193&lt;100000,0.02,0.015)))</f>
        <v/>
      </c>
      <c r="AC188" s="38" t="str">
        <f aca="false">IF($A193="","",IFERROR(DATEDIF($A$2,$A193,"m"),0))</f>
        <v/>
      </c>
      <c r="AD188" s="35" t="str">
        <f aca="false">IF($A193="","",IF(OR(AA193="",AB193="",AC193=""),"",AA193*POWER(1+AB193,AC193)))</f>
        <v/>
      </c>
      <c r="AE188" s="47" t="str">
        <f aca="false">IF($A193="","",IF(OR(AD193="",AD193=0),"",B193/AD193-1))</f>
        <v/>
      </c>
      <c r="AG188" s="1" t="str">
        <f aca="false">IF($A193="","",IF(B193&lt;30000,"婴儿",IF(B193&lt;100000,"成长","成熟")))</f>
        <v/>
      </c>
      <c r="AH188" s="42"/>
      <c r="AJ188" s="42"/>
      <c r="AK188" s="42"/>
      <c r="AM188" s="42"/>
      <c r="AP188" s="32"/>
      <c r="AQ188" s="43" t="str">
        <f aca="false">IF($A193="","",B193-$AA$2-SUM($F$2:F193))</f>
        <v/>
      </c>
      <c r="AR188" s="1" t="str">
        <f aca="false">IF($A192="","",30000)</f>
        <v/>
      </c>
      <c r="AS188" s="1" t="str">
        <f aca="false">IF($A192="","",AR192-B192)</f>
        <v/>
      </c>
      <c r="AT188" s="1" t="str">
        <f aca="false">IF($A192="","",IFERROR(B192/AR192,0))</f>
        <v/>
      </c>
      <c r="AU188" s="1" t="str">
        <f aca="false">IF($A192="","",IFERROR(B192*O192,0))</f>
        <v/>
      </c>
      <c r="AV188" s="1" t="str">
        <f aca="false">IF($A192="","",IFERROR(C192/B192,0))</f>
        <v/>
      </c>
      <c r="AW188" s="1" t="str">
        <f aca="false">IF($A192="","",MAX(0,R192-S192))</f>
        <v/>
      </c>
      <c r="AX188" s="1" t="str">
        <f aca="false">IF($A192="","",IF(AW192&gt;0,"优先降持仓数",IF(C192&lt;=0,"现金不足","允许评估")))</f>
        <v/>
      </c>
      <c r="AY188" s="1" t="str">
        <f aca="false">IF($A192="","",IF(B192&lt;30000,"婴儿阶段: 优先活下来,禁止单票失控,限制持仓数,服务3W目标","幼儿阶段达成"))</f>
        <v/>
      </c>
    </row>
    <row r="189" customFormat="false" ht="15" hidden="false" customHeight="true" outlineLevel="0" collapsed="false">
      <c r="A189" s="28"/>
      <c r="B189" s="34"/>
      <c r="C189" s="34"/>
      <c r="D189" s="35" t="str">
        <f aca="false">IF($A194="","",SUMIFS(持仓表!$J:$J,持仓表!$A:$A,$A194))</f>
        <v/>
      </c>
      <c r="E189" s="36" t="n">
        <f aca="false">IFERROR(D194/B194,0)</f>
        <v>0</v>
      </c>
      <c r="F189" s="34"/>
      <c r="G189" s="35" t="str">
        <f aca="false">IF($B194="","",MAX($B$2:B194))</f>
        <v/>
      </c>
      <c r="H189" s="36" t="n">
        <f aca="false">IFERROR((B194-F194)/F194,0)</f>
        <v>0</v>
      </c>
      <c r="I189" s="36" t="n">
        <f aca="false">IFERROR((B194-G194)/G194,0)</f>
        <v>0</v>
      </c>
      <c r="J189" s="28"/>
      <c r="K189" s="29"/>
      <c r="L189" s="37"/>
      <c r="M189" s="37"/>
      <c r="N189" s="36" t="str">
        <f aca="false">IF($B194="","",MIN(70%,IF($I194&lt;=-15%,10%,IF($I194&lt;=-10%,30%,IF($M194&gt;=4,10%,IF($M194&gt;=3,30%,IF($J194="强",IF($K194="A",70%,IF($K194="B",60%,40%)),IF($J194="中性",IF($K194="A",50%,IF($K194="B",40%,25%)),IF($K194="A",30%,IF($K194="B",20%,10%))))))))))</f>
        <v/>
      </c>
      <c r="O189" s="36" t="str">
        <f aca="false">IF($B194="","",IF(B194&lt;30000,35%,IF(B194&lt;50000,30%,IF(B194&lt;100000,25%,20%))))</f>
        <v/>
      </c>
      <c r="P189" s="38" t="str">
        <f aca="false">IF($A194="","",COUNTIFS(持仓表!$A:$A,$A194,持仓表!$G:$G,"&gt;0"))</f>
        <v/>
      </c>
      <c r="Q189" s="38" t="str">
        <f aca="false">IF($A194="","",COUNTIFS(持仓表!$A:$A,$A194,持仓表!$D:$D,"是",持仓表!$G:$G,"&gt;0"))</f>
        <v/>
      </c>
      <c r="R189" s="38" t="str">
        <f aca="false">IF($A194="","",MAX(0,P194-Q194))</f>
        <v/>
      </c>
      <c r="S189" s="38" t="str">
        <f aca="false">IF($B194="","",IF(B194&lt;50000,3,IF(B194&lt;100000,4,5)))</f>
        <v/>
      </c>
      <c r="T189" s="39" t="str">
        <f aca="false">IF($A194="","",IF(OR(M194&gt;=4,I194&lt;=-8%),"防守",IF(OR(M194&gt;=2,I194&lt;=-5%),"警戒","正常")))</f>
        <v/>
      </c>
      <c r="U189" s="39" t="str">
        <f aca="false">IF($A194="","",IF(AND(L194&gt;=3,M194&lt;=2,T194&lt;&gt;"防守"),"是","否"))</f>
        <v/>
      </c>
      <c r="V189" s="39" t="str">
        <f aca="false">IF($A194="","",IF(AND(E194&lt;N194,R194&lt;S194,M194&lt;=2,I194&gt;-15%),"是","否"))</f>
        <v/>
      </c>
      <c r="W189" s="39" t="str">
        <f aca="false">IF($A194="","",IF(OR(M194&gt;=3,I194&lt;=-15%),"是","否"))</f>
        <v/>
      </c>
      <c r="X189" s="35" t="str">
        <f aca="false">IF($A194="","",IFERROR(maxifs(候选池!$AB:$AB,候选池!$A:$A,$A194),0))</f>
        <v/>
      </c>
      <c r="Y189" s="35" t="str">
        <f aca="false">IF($A194="","",IF(OR(M194&gt;=4,I194&lt;=-8%),MAX(0,B194*60%-C194),IF(AND(ISNUMBER(AD194),B194&gt;AD194),IF(B194&lt;30000,0,IF(B194&lt;100000,MAX(0,(B194-AD194)*0.2),MAX(0,(B194-AD194)*0.3))),0)))</f>
        <v/>
      </c>
      <c r="Z189" s="28"/>
      <c r="AA189" s="39" t="str">
        <f aca="false">IF($A194="","",IF($AA$2&lt;&gt;"",$AA$2,""))</f>
        <v/>
      </c>
      <c r="AB189" s="28" t="str">
        <f aca="false">IF($A194="","",IF(B194&lt;30000,0.03,IF(B194&lt;100000,0.02,0.015)))</f>
        <v/>
      </c>
      <c r="AC189" s="38" t="str">
        <f aca="false">IF($A194="","",IFERROR(DATEDIF($A$2,$A194,"m"),0))</f>
        <v/>
      </c>
      <c r="AD189" s="35" t="str">
        <f aca="false">IF($A194="","",IF(OR(AA194="",AB194="",AC194=""),"",AA194*POWER(1+AB194,AC194)))</f>
        <v/>
      </c>
      <c r="AE189" s="41" t="str">
        <f aca="false">IF($A194="","",IF(OR(AD194="",AD194=0),"",B194/AD194-1))</f>
        <v/>
      </c>
      <c r="AG189" s="1" t="str">
        <f aca="false">IF($A194="","",IF(B194&lt;30000,"婴儿",IF(B194&lt;100000,"成长","成熟")))</f>
        <v/>
      </c>
      <c r="AH189" s="42"/>
      <c r="AJ189" s="42"/>
      <c r="AK189" s="42"/>
      <c r="AM189" s="42"/>
      <c r="AP189" s="32"/>
      <c r="AQ189" s="43" t="str">
        <f aca="false">IF($A194="","",B194-$AA$2-SUM($F$2:F194))</f>
        <v/>
      </c>
      <c r="AR189" s="1" t="str">
        <f aca="false">IF($A193="","",30000)</f>
        <v/>
      </c>
      <c r="AS189" s="1" t="str">
        <f aca="false">IF($A193="","",AR193-B193)</f>
        <v/>
      </c>
      <c r="AT189" s="1" t="str">
        <f aca="false">IF($A193="","",IFERROR(B193/AR193,0))</f>
        <v/>
      </c>
      <c r="AU189" s="1" t="str">
        <f aca="false">IF($A193="","",IFERROR(B193*O193,0))</f>
        <v/>
      </c>
      <c r="AV189" s="1" t="str">
        <f aca="false">IF($A193="","",IFERROR(C193/B193,0))</f>
        <v/>
      </c>
      <c r="AW189" s="1" t="str">
        <f aca="false">IF($A193="","",MAX(0,R193-S193))</f>
        <v/>
      </c>
      <c r="AX189" s="1" t="str">
        <f aca="false">IF($A193="","",IF(AW193&gt;0,"优先降持仓数",IF(C193&lt;=0,"现金不足","允许评估")))</f>
        <v/>
      </c>
      <c r="AY189" s="1" t="str">
        <f aca="false">IF($A193="","",IF(B193&lt;30000,"婴儿阶段: 优先活下来,禁止单票失控,限制持仓数,服务3W目标","幼儿阶段达成"))</f>
        <v/>
      </c>
    </row>
    <row r="190" customFormat="false" ht="15" hidden="false" customHeight="true" outlineLevel="0" collapsed="false">
      <c r="A190" s="30"/>
      <c r="B190" s="44"/>
      <c r="C190" s="44"/>
      <c r="D190" s="35" t="str">
        <f aca="false">IF($A195="","",SUMIFS(持仓表!$J:$J,持仓表!$A:$A,$A195))</f>
        <v/>
      </c>
      <c r="E190" s="36" t="n">
        <f aca="false">IFERROR(D195/B195,0)</f>
        <v>0</v>
      </c>
      <c r="F190" s="44"/>
      <c r="G190" s="35" t="str">
        <f aca="false">IF($B195="","",MAX($B$2:B195))</f>
        <v/>
      </c>
      <c r="H190" s="36" t="n">
        <f aca="false">IFERROR((B195-F195)/F195,0)</f>
        <v>0</v>
      </c>
      <c r="I190" s="36" t="n">
        <f aca="false">IFERROR((B195-G195)/G195,0)</f>
        <v>0</v>
      </c>
      <c r="J190" s="30"/>
      <c r="K190" s="31"/>
      <c r="L190" s="45"/>
      <c r="M190" s="45"/>
      <c r="N190" s="36" t="str">
        <f aca="false">IF($B195="","",MIN(70%,IF($I195&lt;=-15%,10%,IF($I195&lt;=-10%,30%,IF($M195&gt;=4,10%,IF($M195&gt;=3,30%,IF($J195="强",IF($K195="A",70%,IF($K195="B",60%,40%)),IF($J195="中性",IF($K195="A",50%,IF($K195="B",40%,25%)),IF($K195="A",30%,IF($K195="B",20%,10%))))))))))</f>
        <v/>
      </c>
      <c r="O190" s="36" t="str">
        <f aca="false">IF($B195="","",IF(B195&lt;30000,35%,IF(B195&lt;50000,30%,IF(B195&lt;100000,25%,20%))))</f>
        <v/>
      </c>
      <c r="P190" s="38" t="str">
        <f aca="false">IF($A195="","",COUNTIFS(持仓表!$A:$A,$A195,持仓表!$G:$G,"&gt;0"))</f>
        <v/>
      </c>
      <c r="Q190" s="38" t="str">
        <f aca="false">IF($A195="","",COUNTIFS(持仓表!$A:$A,$A195,持仓表!$D:$D,"是",持仓表!$G:$G,"&gt;0"))</f>
        <v/>
      </c>
      <c r="R190" s="38" t="str">
        <f aca="false">IF($A195="","",MAX(0,P195-Q195))</f>
        <v/>
      </c>
      <c r="S190" s="38" t="str">
        <f aca="false">IF($B195="","",IF(B195&lt;50000,3,IF(B195&lt;100000,4,5)))</f>
        <v/>
      </c>
      <c r="T190" s="39" t="str">
        <f aca="false">IF($A195="","",IF(OR(M195&gt;=4,I195&lt;=-8%),"防守",IF(OR(M195&gt;=2,I195&lt;=-5%),"警戒","正常")))</f>
        <v/>
      </c>
      <c r="U190" s="39" t="str">
        <f aca="false">IF($A195="","",IF(AND(L195&gt;=3,M195&lt;=2,T195&lt;&gt;"防守"),"是","否"))</f>
        <v/>
      </c>
      <c r="V190" s="39" t="str">
        <f aca="false">IF($A195="","",IF(AND(E195&lt;N195,R195&lt;S195,M195&lt;=2,I195&gt;-15%),"是","否"))</f>
        <v/>
      </c>
      <c r="W190" s="39" t="str">
        <f aca="false">IF($A195="","",IF(OR(M195&gt;=3,I195&lt;=-15%),"是","否"))</f>
        <v/>
      </c>
      <c r="X190" s="35" t="str">
        <f aca="false">IF($A195="","",IFERROR(maxifs(候选池!$AB:$AB,候选池!$A:$A,$A195),0))</f>
        <v/>
      </c>
      <c r="Y190" s="35" t="str">
        <f aca="false">IF($A195="","",IF(OR(M195&gt;=4,I195&lt;=-8%),MAX(0,B195*60%-C195),IF(AND(ISNUMBER(AD195),B195&gt;AD195),IF(B195&lt;30000,0,IF(B195&lt;100000,MAX(0,(B195-AD195)*0.2),MAX(0,(B195-AD195)*0.3))),0)))</f>
        <v/>
      </c>
      <c r="Z190" s="30"/>
      <c r="AA190" s="39" t="str">
        <f aca="false">IF($A195="","",IF($AA$2&lt;&gt;"",$AA$2,""))</f>
        <v/>
      </c>
      <c r="AB190" s="30" t="str">
        <f aca="false">IF($A195="","",IF(B195&lt;30000,0.03,IF(B195&lt;100000,0.02,0.015)))</f>
        <v/>
      </c>
      <c r="AC190" s="38" t="str">
        <f aca="false">IF($A195="","",IFERROR(DATEDIF($A$2,$A195,"m"),0))</f>
        <v/>
      </c>
      <c r="AD190" s="35" t="str">
        <f aca="false">IF($A195="","",IF(OR(AA195="",AB195="",AC195=""),"",AA195*POWER(1+AB195,AC195)))</f>
        <v/>
      </c>
      <c r="AE190" s="47" t="str">
        <f aca="false">IF($A195="","",IF(OR(AD195="",AD195=0),"",B195/AD195-1))</f>
        <v/>
      </c>
      <c r="AG190" s="1" t="str">
        <f aca="false">IF($A195="","",IF(B195&lt;30000,"婴儿",IF(B195&lt;100000,"成长","成熟")))</f>
        <v/>
      </c>
      <c r="AH190" s="42"/>
      <c r="AJ190" s="42"/>
      <c r="AK190" s="42"/>
      <c r="AM190" s="42"/>
      <c r="AP190" s="32"/>
      <c r="AQ190" s="43" t="str">
        <f aca="false">IF($A195="","",B195-$AA$2-SUM($F$2:F195))</f>
        <v/>
      </c>
      <c r="AR190" s="1" t="str">
        <f aca="false">IF($A194="","",30000)</f>
        <v/>
      </c>
      <c r="AS190" s="1" t="str">
        <f aca="false">IF($A194="","",AR194-B194)</f>
        <v/>
      </c>
      <c r="AT190" s="1" t="str">
        <f aca="false">IF($A194="","",IFERROR(B194/AR194,0))</f>
        <v/>
      </c>
      <c r="AU190" s="1" t="str">
        <f aca="false">IF($A194="","",IFERROR(B194*O194,0))</f>
        <v/>
      </c>
      <c r="AV190" s="1" t="str">
        <f aca="false">IF($A194="","",IFERROR(C194/B194,0))</f>
        <v/>
      </c>
      <c r="AW190" s="1" t="str">
        <f aca="false">IF($A194="","",MAX(0,R194-S194))</f>
        <v/>
      </c>
      <c r="AX190" s="1" t="str">
        <f aca="false">IF($A194="","",IF(AW194&gt;0,"优先降持仓数",IF(C194&lt;=0,"现金不足","允许评估")))</f>
        <v/>
      </c>
      <c r="AY190" s="1" t="str">
        <f aca="false">IF($A194="","",IF(B194&lt;30000,"婴儿阶段: 优先活下来,禁止单票失控,限制持仓数,服务3W目标","幼儿阶段达成"))</f>
        <v/>
      </c>
    </row>
    <row r="191" customFormat="false" ht="15" hidden="false" customHeight="true" outlineLevel="0" collapsed="false">
      <c r="A191" s="28"/>
      <c r="B191" s="34"/>
      <c r="C191" s="34"/>
      <c r="D191" s="35" t="n">
        <f aca="false">IF($A196="","",SUMIFS(持仓表!$J:$J,持仓表!$A:$A,$A196))</f>
        <v>0</v>
      </c>
      <c r="E191" s="36" t="n">
        <f aca="false">IFERROR(D196/B196,0)</f>
        <v>0</v>
      </c>
      <c r="F191" s="34"/>
      <c r="G191" s="35" t="n">
        <f aca="false">IF($B196="","",MAX($B$2:B196))</f>
        <v>21370.8</v>
      </c>
      <c r="H191" s="36" t="n">
        <f aca="false">IFERROR((B196-F196)/F196,0)</f>
        <v>0</v>
      </c>
      <c r="I191" s="36" t="n">
        <f aca="false">IFERROR((B196-G196)/G196,0)</f>
        <v>0</v>
      </c>
      <c r="J191" s="28"/>
      <c r="K191" s="29"/>
      <c r="L191" s="37"/>
      <c r="M191" s="37"/>
      <c r="N191" s="36" t="n">
        <f aca="false">IF($B196="","",MIN(70%,IF($I196&lt;=-15%,10%,IF($I196&lt;=-10%,30%,IF($M196&gt;=4,10%,IF($M196&gt;=3,30%,IF($J196="强",IF($K196="A",70%,IF($K196="B",60%,40%)),IF($J196="中性",IF($K196="A",50%,IF($K196="B",40%,25%)),IF($K196="A",30%,IF($K196="B",20%,10%))))))))))</f>
        <v>0.1</v>
      </c>
      <c r="O191" s="36" t="n">
        <f aca="false">IF($B196="","",IF(B196&lt;30000,35%,IF(B196&lt;50000,30%,IF(B196&lt;100000,25%,20%))))</f>
        <v>0.35</v>
      </c>
      <c r="P191" s="38" t="n">
        <f aca="false">IF($A196="","",COUNTIFS(持仓表!$A:$A,$A196,持仓表!$G:$G,"&gt;0"))</f>
        <v>0</v>
      </c>
      <c r="Q191" s="38" t="n">
        <f aca="false">IF($A196="","",COUNTIFS(持仓表!$A:$A,$A196,持仓表!$D:$D,"是",持仓表!$G:$G,"&gt;0"))</f>
        <v>0</v>
      </c>
      <c r="R191" s="38" t="str">
        <f aca="false">IF($A191="","",MAX(0,P191-Q191))</f>
        <v/>
      </c>
      <c r="S191" s="38" t="n">
        <f aca="false">IF($B196="","",IF(B196&lt;50000,3,IF(B196&lt;100000,4,5)))</f>
        <v>3</v>
      </c>
      <c r="T191" s="39" t="str">
        <f aca="false">IF($A196="","",IF(OR(M196&gt;=4,I196&lt;=-8%),"防守",IF(OR(M196&gt;=2,I196&lt;=-5%),"警戒","正常")))</f>
        <v>正常</v>
      </c>
      <c r="U191" s="39" t="str">
        <f aca="false">IF($A196="","",IF(AND(L196&gt;=3,M196&lt;=2,T196&lt;&gt;"防守"),"是","否"))</f>
        <v>否</v>
      </c>
      <c r="V191" s="39" t="str">
        <f aca="false">IF($A196="","",IF(AND(E196&lt;N196,R196&lt;S196,M196&lt;=2,I196&gt;-15%),"是","否"))</f>
        <v>否</v>
      </c>
      <c r="W191" s="39" t="str">
        <f aca="false">IF($A196="","",IF(OR(M196&gt;=3,I196&lt;=-15%),"是","否"))</f>
        <v>否</v>
      </c>
      <c r="X191" s="35" t="n">
        <f aca="false">IF($A196="","",IFERROR(maxifs(候选池!$AB:$AB,候选池!$A:$A,$A196),0))</f>
        <v>0</v>
      </c>
      <c r="Y191" s="35" t="n">
        <f aca="false">IF($A196="","",IF(OR(M196&gt;=4,I196&lt;=-8%),MAX(0,B196*60%-C196),IF(AND(ISNUMBER(AD196),B196&gt;AD196),IF(B196&lt;30000,0,IF(B196&lt;100000,MAX(0,(B196-AD196)*0.2),MAX(0,(B196-AD196)*0.3))),0)))</f>
        <v>0</v>
      </c>
      <c r="Z191" s="28"/>
      <c r="AA191" s="39" t="n">
        <f aca="false">IF($A196="","",IF($AA$2&lt;&gt;"",$AA$2,""))</f>
        <v>6683.54</v>
      </c>
      <c r="AB191" s="28" t="n">
        <f aca="false">IF($A196="","",IF(B196&lt;30000,0.03,IF(B196&lt;100000,0.02,0.015)))</f>
        <v>0.03</v>
      </c>
      <c r="AC191" s="38" t="n">
        <f aca="false">IF($A196="","",IFERROR(DATEDIF($A$2,$A196,"m"),0))</f>
        <v>6</v>
      </c>
      <c r="AD191" s="35" t="str">
        <f aca="false">IF($A196="","",IF(OR(AA196="",AB196="",AC196=""),"",AA196*POWER(1+AB196,AC196)))</f>
        <v/>
      </c>
      <c r="AE191" s="41" t="str">
        <f aca="false">IF($A196="","",IF(OR(AD196="",AD196=0),"",B196/AD196-1))</f>
        <v/>
      </c>
      <c r="AG191" s="1" t="str">
        <f aca="false">IF($A196="","",IF(B196&lt;30000,"婴儿",IF(B196&lt;100000,"成长","成熟")))</f>
        <v>婴儿</v>
      </c>
      <c r="AH191" s="42"/>
      <c r="AJ191" s="42"/>
      <c r="AK191" s="42"/>
      <c r="AM191" s="42"/>
      <c r="AP191" s="32"/>
      <c r="AQ191" s="43" t="n">
        <f aca="false">IF($A196="","",B196-$AA$2-SUM($F$2:F196))</f>
        <v>10670.26</v>
      </c>
      <c r="AR191" s="1" t="str">
        <f aca="false">IF($A195="","",30000)</f>
        <v/>
      </c>
      <c r="AS191" s="1" t="str">
        <f aca="false">IF($A195="","",AR195-B195)</f>
        <v/>
      </c>
      <c r="AT191" s="1" t="str">
        <f aca="false">IF($A195="","",IFERROR(B195/AR195,0))</f>
        <v/>
      </c>
      <c r="AU191" s="1" t="str">
        <f aca="false">IF($A195="","",IFERROR(B195*O195,0))</f>
        <v/>
      </c>
      <c r="AV191" s="1" t="str">
        <f aca="false">IF($A195="","",IFERROR(C195/B195,0))</f>
        <v/>
      </c>
      <c r="AW191" s="1" t="str">
        <f aca="false">IF($A195="","",MAX(0,R195-S195))</f>
        <v/>
      </c>
      <c r="AX191" s="1" t="str">
        <f aca="false">IF($A195="","",IF(AW195&gt;0,"优先降持仓数",IF(C195&lt;=0,"现金不足","允许评估")))</f>
        <v/>
      </c>
      <c r="AY191" s="1" t="str">
        <f aca="false">IF($A195="","",IF(B195&lt;30000,"婴儿阶段: 优先活下来,禁止单票失控,限制持仓数,服务3W目标","幼儿阶段达成"))</f>
        <v/>
      </c>
    </row>
    <row r="192" customFormat="false" ht="15" hidden="false" customHeight="true" outlineLevel="0" collapsed="false">
      <c r="A192" s="30"/>
      <c r="B192" s="44"/>
      <c r="C192" s="44"/>
      <c r="D192" s="35" t="n">
        <f aca="false">IF($A197="","",SUMIFS(持仓表!$J:$J,持仓表!$A:$A,$A197))</f>
        <v>0</v>
      </c>
      <c r="E192" s="36" t="n">
        <f aca="false">IFERROR(D197/B197,0)</f>
        <v>0.374061803956801</v>
      </c>
      <c r="F192" s="44"/>
      <c r="G192" s="35" t="n">
        <f aca="false">IF($B197="","",MAX($B$2:B197))</f>
        <v>21370.8</v>
      </c>
      <c r="H192" s="36" t="n">
        <f aca="false">IFERROR((B197-F197)/F197,0)</f>
        <v>0</v>
      </c>
      <c r="I192" s="36" t="n">
        <f aca="false">IFERROR((B197-G197)/G197,0)</f>
        <v>0</v>
      </c>
      <c r="J192" s="30"/>
      <c r="K192" s="31"/>
      <c r="L192" s="45"/>
      <c r="M192" s="45"/>
      <c r="N192" s="36" t="n">
        <f aca="false">IF($B197="","",MIN(70%,IF($I197&lt;=-15%,10%,IF($I197&lt;=-10%,30%,IF($M197&gt;=4,10%,IF($M197&gt;=3,30%,IF($J197="强",IF($K197="A",70%,IF($K197="B",60%,40%)),IF($J197="中性",IF($K197="A",50%,IF($K197="B",40%,25%)),IF($K197="A",30%,IF($K197="B",20%,10%))))))))))</f>
        <v>0.1</v>
      </c>
      <c r="O192" s="36" t="n">
        <f aca="false">IF($B197="","",IF(B197&lt;30000,35%,IF(B197&lt;50000,30%,IF(B197&lt;100000,25%,20%))))</f>
        <v>0.35</v>
      </c>
      <c r="P192" s="38" t="n">
        <f aca="false">IF($A197="","",COUNTIFS(持仓表!$A:$A,$A197,持仓表!$G:$G,"&gt;0"))</f>
        <v>0</v>
      </c>
      <c r="Q192" s="38" t="n">
        <f aca="false">IF($A197="","",COUNTIFS(持仓表!$A:$A,$A197,持仓表!$D:$D,"是",持仓表!$G:$G,"&gt;0"))</f>
        <v>0</v>
      </c>
      <c r="R192" s="38" t="n">
        <f aca="false">IF($A197="","",MAX(0,P197-Q197))</f>
        <v>0</v>
      </c>
      <c r="S192" s="38" t="n">
        <f aca="false">IF($B197="","",IF(B197&lt;50000,3,IF(B197&lt;100000,4,5)))</f>
        <v>3</v>
      </c>
      <c r="T192" s="39" t="str">
        <f aca="false">IF($A197="","",IF(OR(M197&gt;=4,I197&lt;=-8%),"防守",IF(OR(M197&gt;=2,I197&lt;=-5%),"警戒","正常")))</f>
        <v>正常</v>
      </c>
      <c r="U192" s="39" t="str">
        <f aca="false">IF($A197="","",IF(AND(L197&gt;=3,M197&lt;=2,T197&lt;&gt;"防守"),"是","否"))</f>
        <v>否</v>
      </c>
      <c r="V192" s="39" t="str">
        <f aca="false">IF($A197="","",IF(AND(E197&lt;N197,R197&lt;S197,M197&lt;=2,I197&gt;-15%),"是","否"))</f>
        <v>否</v>
      </c>
      <c r="W192" s="39" t="str">
        <f aca="false">IF($A197="","",IF(OR(M197&gt;=3,I197&lt;=-15%),"是","否"))</f>
        <v>否</v>
      </c>
      <c r="X192" s="35" t="n">
        <f aca="false">IF($A197="","",IFERROR(maxifs(候选池!$AB:$AB,候选池!$A:$A,$A197),0))</f>
        <v>0</v>
      </c>
      <c r="Y192" s="35" t="n">
        <f aca="false">IF($A197="","",IF(OR(M197&gt;=4,I197&lt;=-8%),MAX(0,B197*60%-C197),IF(AND(ISNUMBER(AD197),B197&gt;AD197),IF(B197&lt;30000,0,IF(B197&lt;100000,MAX(0,(B197-AD197)*0.2),MAX(0,(B197-AD197)*0.3))),0)))</f>
        <v>0</v>
      </c>
      <c r="Z192" s="30"/>
      <c r="AA192" s="39" t="n">
        <f aca="false">IF($A197="","",IF($AA$2&lt;&gt;"",$AA$2,""))</f>
        <v>6683.54</v>
      </c>
      <c r="AB192" s="30" t="n">
        <f aca="false">IF($A197="","",IF(B197&lt;30000,0.03,IF(B197&lt;100000,0.02,0.015)))</f>
        <v>0.03</v>
      </c>
      <c r="AC192" s="38" t="n">
        <f aca="false">IF($A197="","",IFERROR(DATEDIF($A$2,$A197,"m"),0))</f>
        <v>6</v>
      </c>
      <c r="AD192" s="35" t="str">
        <f aca="false">IF($A197="","",IF(OR(AA197="",AB197="",AC197=""),"",AA197*POWER(1+AB197,AC197)))</f>
        <v/>
      </c>
      <c r="AE192" s="47" t="str">
        <f aca="false">IF($A197="","",IF(OR(AD197="",AD197=0),"",B197/AD197-1))</f>
        <v/>
      </c>
      <c r="AG192" s="1" t="str">
        <f aca="false">IF($A197="","",IF(B197&lt;30000,"婴儿",IF(B197&lt;100000,"成长","成熟")))</f>
        <v>婴儿</v>
      </c>
      <c r="AH192" s="42"/>
      <c r="AJ192" s="42"/>
      <c r="AK192" s="42"/>
      <c r="AM192" s="42"/>
      <c r="AP192" s="32"/>
      <c r="AQ192" s="43" t="n">
        <f aca="false">IF($A197="","",B197-$AA$2-SUM($F$2:F197))</f>
        <v>10670.26</v>
      </c>
      <c r="AR192" s="1" t="n">
        <f aca="false">IF($A196="","",30000)</f>
        <v>30000</v>
      </c>
      <c r="AS192" s="1" t="str">
        <f aca="false">IF($A192="","",AR192-B192)</f>
        <v/>
      </c>
      <c r="AT192" s="1" t="n">
        <f aca="false">IF($A196="","",IFERROR(B196/AR196,0))</f>
        <v>0</v>
      </c>
      <c r="AU192" s="1" t="n">
        <f aca="false">IF($A196="","",IFERROR(B196*O196,0))</f>
        <v>0</v>
      </c>
      <c r="AV192" s="1" t="n">
        <f aca="false">IF($A196="","",IFERROR(C196/B196,0))</f>
        <v>0.625938196043199</v>
      </c>
      <c r="AW192" s="1" t="str">
        <f aca="false">IF($A192="","",MAX(0,R192-S192))</f>
        <v/>
      </c>
      <c r="AX192" s="1" t="str">
        <f aca="false">IF($A196="","",IF(AW196&gt;0,"优先降持仓数",IF(C196&lt;=0,"现金不足","允许评估")))</f>
        <v>优先降持仓数</v>
      </c>
      <c r="AY192" s="1" t="str">
        <f aca="false">IF($A196="","",IF(B196&lt;30000,"婴儿阶段: 优先活下来,禁止单票失控,限制持仓数,服务3W目标","幼儿阶段达成"))</f>
        <v>婴儿阶段: 优先活下来,禁止单票失控,限制持仓数,服务3W目标</v>
      </c>
    </row>
    <row r="193" customFormat="false" ht="15" hidden="false" customHeight="true" outlineLevel="0" collapsed="false">
      <c r="A193" s="28"/>
      <c r="B193" s="34"/>
      <c r="C193" s="34"/>
      <c r="D193" s="35" t="str">
        <f aca="false">IF($A198="","",SUMIFS(持仓表!$J:$J,持仓表!$A:$A,$A198))</f>
        <v/>
      </c>
      <c r="E193" s="36" t="n">
        <f aca="false">IFERROR(D198/B198,0)</f>
        <v>0</v>
      </c>
      <c r="F193" s="34"/>
      <c r="G193" s="35" t="str">
        <f aca="false">IF($B198="","",MAX($B$2:B198))</f>
        <v/>
      </c>
      <c r="H193" s="36" t="n">
        <f aca="false">IFERROR((B198-F198)/F198,0)</f>
        <v>0</v>
      </c>
      <c r="I193" s="36" t="n">
        <f aca="false">IFERROR((B198-G198)/G198,0)</f>
        <v>0</v>
      </c>
      <c r="J193" s="28"/>
      <c r="K193" s="29"/>
      <c r="L193" s="37"/>
      <c r="M193" s="37"/>
      <c r="N193" s="36" t="str">
        <f aca="false">IF($B198="","",MIN(70%,IF($I198&lt;=-15%,10%,IF($I198&lt;=-10%,30%,IF($M198&gt;=4,10%,IF($M198&gt;=3,30%,IF($J198="强",IF($K198="A",70%,IF($K198="B",60%,40%)),IF($J198="中性",IF($K198="A",50%,IF($K198="B",40%,25%)),IF($K198="A",30%,IF($K198="B",20%,10%))))))))))</f>
        <v/>
      </c>
      <c r="O193" s="36" t="str">
        <f aca="false">IF($B198="","",IF(B198&lt;30000,35%,IF(B198&lt;50000,30%,IF(B198&lt;100000,25%,20%))))</f>
        <v/>
      </c>
      <c r="P193" s="38" t="str">
        <f aca="false">IF($A198="","",COUNTIFS(持仓表!$A:$A,$A198,持仓表!$G:$G,"&gt;0"))</f>
        <v/>
      </c>
      <c r="Q193" s="38" t="str">
        <f aca="false">IF($A198="","",COUNTIFS(持仓表!$A:$A,$A198,持仓表!$D:$D,"是",持仓表!$G:$G,"&gt;0"))</f>
        <v/>
      </c>
      <c r="R193" s="38" t="str">
        <f aca="false">IF($A198="","",MAX(0,P198-Q198))</f>
        <v/>
      </c>
      <c r="S193" s="38" t="str">
        <f aca="false">IF($B198="","",IF(B198&lt;50000,3,IF(B198&lt;100000,4,5)))</f>
        <v/>
      </c>
      <c r="T193" s="39" t="str">
        <f aca="false">IF($A198="","",IF(OR(M198&gt;=4,I198&lt;=-8%),"防守",IF(OR(M198&gt;=2,I198&lt;=-5%),"警戒","正常")))</f>
        <v/>
      </c>
      <c r="U193" s="39" t="str">
        <f aca="false">IF($A198="","",IF(AND(L198&gt;=3,M198&lt;=2,T198&lt;&gt;"防守"),"是","否"))</f>
        <v/>
      </c>
      <c r="V193" s="39" t="str">
        <f aca="false">IF($A198="","",IF(AND(E198&lt;N198,R198&lt;S198,M198&lt;=2,I198&gt;-15%),"是","否"))</f>
        <v/>
      </c>
      <c r="W193" s="39" t="str">
        <f aca="false">IF($A198="","",IF(OR(M198&gt;=3,I198&lt;=-15%),"是","否"))</f>
        <v/>
      </c>
      <c r="X193" s="35" t="str">
        <f aca="false">IF($A198="","",IFERROR(maxifs(候选池!$AB:$AB,候选池!$A:$A,$A198),0))</f>
        <v/>
      </c>
      <c r="Y193" s="35" t="str">
        <f aca="false">IF($A198="","",IF(OR(M198&gt;=4,I198&lt;=-8%),MAX(0,B198*60%-C198),IF(AND(ISNUMBER(AD198),B198&gt;AD198),IF(B198&lt;30000,0,IF(B198&lt;100000,MAX(0,(B198-AD198)*0.2),MAX(0,(B198-AD198)*0.3))),0)))</f>
        <v/>
      </c>
      <c r="Z193" s="28"/>
      <c r="AA193" s="39" t="str">
        <f aca="false">IF($A198="","",IF($AA$2&lt;&gt;"",$AA$2,""))</f>
        <v/>
      </c>
      <c r="AB193" s="28" t="str">
        <f aca="false">IF($A198="","",IF(B198&lt;30000,0.03,IF(B198&lt;100000,0.02,0.015)))</f>
        <v/>
      </c>
      <c r="AC193" s="38" t="str">
        <f aca="false">IF($A198="","",IFERROR(DATEDIF($A$2,$A198,"m"),0))</f>
        <v/>
      </c>
      <c r="AD193" s="35" t="str">
        <f aca="false">IF($A198="","",IF(OR(AA198="",AB198="",AC198=""),"",AA198*POWER(1+AB198,AC198)))</f>
        <v/>
      </c>
      <c r="AE193" s="41" t="str">
        <f aca="false">IF($A198="","",IF(OR(AD198="",AD198=0),"",B198/AD198-1))</f>
        <v/>
      </c>
      <c r="AG193" s="1" t="str">
        <f aca="false">IF($A198="","",IF(B198&lt;30000,"婴儿",IF(B198&lt;100000,"成长","成熟")))</f>
        <v/>
      </c>
      <c r="AH193" s="42"/>
      <c r="AJ193" s="42"/>
      <c r="AK193" s="42"/>
      <c r="AM193" s="42"/>
      <c r="AP193" s="32"/>
      <c r="AQ193" s="43" t="str">
        <f aca="false">IF($A198="","",B198-$AA$2-SUM($F$2:F198))</f>
        <v/>
      </c>
      <c r="AR193" s="1" t="n">
        <f aca="false">IF($A197="","",30000)</f>
        <v>30000</v>
      </c>
      <c r="AS193" s="1" t="n">
        <f aca="false">IF($A197="","",AR197-B197)</f>
        <v>-21370.8</v>
      </c>
      <c r="AT193" s="1" t="n">
        <f aca="false">IF($A197="","",IFERROR(B197/AR197,0))</f>
        <v>0</v>
      </c>
      <c r="AU193" s="1" t="n">
        <f aca="false">IF($A197="","",IFERROR(B197*O197,0))</f>
        <v>0</v>
      </c>
      <c r="AV193" s="1" t="n">
        <f aca="false">IF($A197="","",IFERROR(C197/B197,0))</f>
        <v>0.625938196043199</v>
      </c>
      <c r="AW193" s="1" t="n">
        <f aca="false">IF($A197="","",MAX(0,R197-S197))</f>
        <v>0</v>
      </c>
      <c r="AX193" s="1" t="str">
        <f aca="false">IF($A197="","",IF(AW197&gt;0,"优先降持仓数",IF(C197&lt;=0,"现金不足","允许评估")))</f>
        <v>允许评估</v>
      </c>
      <c r="AY193" s="1" t="str">
        <f aca="false">IF($A197="","",IF(B197&lt;30000,"婴儿阶段: 优先活下来,禁止单票失控,限制持仓数,服务3W目标","幼儿阶段达成"))</f>
        <v>婴儿阶段: 优先活下来,禁止单票失控,限制持仓数,服务3W目标</v>
      </c>
    </row>
    <row r="194" customFormat="false" ht="15" hidden="false" customHeight="true" outlineLevel="0" collapsed="false">
      <c r="A194" s="30"/>
      <c r="B194" s="44"/>
      <c r="C194" s="44"/>
      <c r="D194" s="35" t="str">
        <f aca="false">IF($A199="","",SUMIFS(持仓表!$J:$J,持仓表!$A:$A,$A199))</f>
        <v/>
      </c>
      <c r="E194" s="36" t="n">
        <f aca="false">IFERROR(D199/B199,0)</f>
        <v>0</v>
      </c>
      <c r="F194" s="44"/>
      <c r="G194" s="35" t="str">
        <f aca="false">IF($B199="","",MAX($B$2:B199))</f>
        <v/>
      </c>
      <c r="H194" s="36" t="n">
        <f aca="false">IFERROR((B199-F199)/F199,0)</f>
        <v>0</v>
      </c>
      <c r="I194" s="36" t="n">
        <f aca="false">IFERROR((B199-G199)/G199,0)</f>
        <v>0</v>
      </c>
      <c r="J194" s="30"/>
      <c r="K194" s="31"/>
      <c r="L194" s="45"/>
      <c r="M194" s="45"/>
      <c r="N194" s="36" t="str">
        <f aca="false">IF($B199="","",MIN(70%,IF($I199&lt;=-15%,10%,IF($I199&lt;=-10%,30%,IF($M199&gt;=4,10%,IF($M199&gt;=3,30%,IF($J199="强",IF($K199="A",70%,IF($K199="B",60%,40%)),IF($J199="中性",IF($K199="A",50%,IF($K199="B",40%,25%)),IF($K199="A",30%,IF($K199="B",20%,10%))))))))))</f>
        <v/>
      </c>
      <c r="O194" s="36" t="str">
        <f aca="false">IF($B199="","",IF(B199&lt;30000,35%,IF(B199&lt;50000,30%,IF(B199&lt;100000,25%,20%))))</f>
        <v/>
      </c>
      <c r="P194" s="38" t="str">
        <f aca="false">IF($A199="","",COUNTIFS(持仓表!$A:$A,$A199,持仓表!$G:$G,"&gt;0"))</f>
        <v/>
      </c>
      <c r="Q194" s="38" t="str">
        <f aca="false">IF($A199="","",COUNTIFS(持仓表!$A:$A,$A199,持仓表!$D:$D,"是",持仓表!$G:$G,"&gt;0"))</f>
        <v/>
      </c>
      <c r="R194" s="38" t="str">
        <f aca="false">IF($A199="","",MAX(0,P199-Q199))</f>
        <v/>
      </c>
      <c r="S194" s="38" t="str">
        <f aca="false">IF($B199="","",IF(B199&lt;50000,3,IF(B199&lt;100000,4,5)))</f>
        <v/>
      </c>
      <c r="T194" s="39" t="str">
        <f aca="false">IF($A199="","",IF(OR(M199&gt;=4,I199&lt;=-8%),"防守",IF(OR(M199&gt;=2,I199&lt;=-5%),"警戒","正常")))</f>
        <v/>
      </c>
      <c r="U194" s="39" t="str">
        <f aca="false">IF($A199="","",IF(AND(L199&gt;=3,M199&lt;=2,T199&lt;&gt;"防守"),"是","否"))</f>
        <v/>
      </c>
      <c r="V194" s="39" t="str">
        <f aca="false">IF($A199="","",IF(AND(E199&lt;N199,R199&lt;S199,M199&lt;=2,I199&gt;-15%),"是","否"))</f>
        <v/>
      </c>
      <c r="W194" s="39" t="str">
        <f aca="false">IF($A199="","",IF(OR(M199&gt;=3,I199&lt;=-15%),"是","否"))</f>
        <v/>
      </c>
      <c r="X194" s="35" t="str">
        <f aca="false">IF($A199="","",IFERROR(maxifs(候选池!$AB:$AB,候选池!$A:$A,$A199),0))</f>
        <v/>
      </c>
      <c r="Y194" s="35" t="str">
        <f aca="false">IF($A199="","",IF(OR(M199&gt;=4,I199&lt;=-8%),MAX(0,B199*60%-C199),IF(AND(ISNUMBER(AD199),B199&gt;AD199),IF(B199&lt;30000,0,IF(B199&lt;100000,MAX(0,(B199-AD199)*0.2),MAX(0,(B199-AD199)*0.3))),0)))</f>
        <v/>
      </c>
      <c r="Z194" s="30"/>
      <c r="AA194" s="39" t="str">
        <f aca="false">IF($A199="","",IF($AA$2&lt;&gt;"",$AA$2,""))</f>
        <v/>
      </c>
      <c r="AB194" s="30" t="str">
        <f aca="false">IF($A199="","",IF(B199&lt;30000,0.03,IF(B199&lt;100000,0.02,0.015)))</f>
        <v/>
      </c>
      <c r="AC194" s="38" t="str">
        <f aca="false">IF($A199="","",IFERROR(DATEDIF($A$2,$A199,"m"),0))</f>
        <v/>
      </c>
      <c r="AD194" s="35" t="str">
        <f aca="false">IF($A199="","",IF(OR(AA199="",AB199="",AC199=""),"",AA199*POWER(1+AB199,AC199)))</f>
        <v/>
      </c>
      <c r="AE194" s="47" t="str">
        <f aca="false">IF($A199="","",IF(OR(AD199="",AD199=0),"",B199/AD199-1))</f>
        <v/>
      </c>
      <c r="AG194" s="1" t="str">
        <f aca="false">IF($A199="","",IF(B199&lt;30000,"婴儿",IF(B199&lt;100000,"成长","成熟")))</f>
        <v/>
      </c>
      <c r="AH194" s="42"/>
      <c r="AJ194" s="42"/>
      <c r="AK194" s="42"/>
      <c r="AM194" s="42"/>
      <c r="AP194" s="32"/>
      <c r="AQ194" s="43" t="str">
        <f aca="false">IF($A199="","",B199-$AA$2-SUM($F$2:F199))</f>
        <v/>
      </c>
      <c r="AR194" s="1" t="str">
        <f aca="false">IF($A198="","",30000)</f>
        <v/>
      </c>
      <c r="AS194" s="1" t="str">
        <f aca="false">IF($A198="","",AR198-B198)</f>
        <v/>
      </c>
      <c r="AT194" s="1" t="str">
        <f aca="false">IF($A198="","",IFERROR(B198/AR198,0))</f>
        <v/>
      </c>
      <c r="AU194" s="1" t="str">
        <f aca="false">IF($A198="","",IFERROR(B198*O198,0))</f>
        <v/>
      </c>
      <c r="AV194" s="1" t="str">
        <f aca="false">IF($A198="","",IFERROR(C198/B198,0))</f>
        <v/>
      </c>
      <c r="AW194" s="1" t="str">
        <f aca="false">IF($A198="","",MAX(0,R198-S198))</f>
        <v/>
      </c>
      <c r="AX194" s="1" t="str">
        <f aca="false">IF($A198="","",IF(AW198&gt;0,"优先降持仓数",IF(C198&lt;=0,"现金不足","允许评估")))</f>
        <v/>
      </c>
      <c r="AY194" s="1" t="str">
        <f aca="false">IF($A198="","",IF(B198&lt;30000,"婴儿阶段: 优先活下来,禁止单票失控,限制持仓数,服务3W目标","幼儿阶段达成"))</f>
        <v/>
      </c>
    </row>
    <row r="195" customFormat="false" ht="15" hidden="false" customHeight="true" outlineLevel="0" collapsed="false">
      <c r="A195" s="28"/>
      <c r="B195" s="34"/>
      <c r="C195" s="34"/>
      <c r="D195" s="35" t="str">
        <f aca="false">IF($A200="","",SUMIFS(持仓表!$J:$J,持仓表!$A:$A,$A200))</f>
        <v/>
      </c>
      <c r="E195" s="36" t="n">
        <f aca="false">IFERROR(D200/B200,0)</f>
        <v>0</v>
      </c>
      <c r="F195" s="34"/>
      <c r="G195" s="35" t="str">
        <f aca="false">IF($B200="","",MAX($B$2:B200))</f>
        <v/>
      </c>
      <c r="H195" s="36" t="n">
        <f aca="false">IFERROR((B200-F200)/F200,0)</f>
        <v>0</v>
      </c>
      <c r="I195" s="36" t="n">
        <f aca="false">IFERROR((B200-G200)/G200,0)</f>
        <v>0</v>
      </c>
      <c r="J195" s="28"/>
      <c r="K195" s="29"/>
      <c r="L195" s="37"/>
      <c r="M195" s="37"/>
      <c r="N195" s="36" t="str">
        <f aca="false">IF($B200="","",MIN(70%,IF($I200&lt;=-15%,10%,IF($I200&lt;=-10%,30%,IF($M200&gt;=4,10%,IF($M200&gt;=3,30%,IF($J200="强",IF($K200="A",70%,IF($K200="B",60%,40%)),IF($J200="中性",IF($K200="A",50%,IF($K200="B",40%,25%)),IF($K200="A",30%,IF($K200="B",20%,10%))))))))))</f>
        <v/>
      </c>
      <c r="O195" s="36" t="str">
        <f aca="false">IF($B200="","",IF(B200&lt;30000,35%,IF(B200&lt;50000,30%,IF(B200&lt;100000,25%,20%))))</f>
        <v/>
      </c>
      <c r="P195" s="38" t="str">
        <f aca="false">IF($A200="","",COUNTIFS(持仓表!$A:$A,$A200,持仓表!$G:$G,"&gt;0"))</f>
        <v/>
      </c>
      <c r="Q195" s="38" t="str">
        <f aca="false">IF($A200="","",COUNTIFS(持仓表!$A:$A,$A200,持仓表!$D:$D,"是",持仓表!$G:$G,"&gt;0"))</f>
        <v/>
      </c>
      <c r="R195" s="38" t="str">
        <f aca="false">IF($A200="","",MAX(0,P200-Q200))</f>
        <v/>
      </c>
      <c r="S195" s="38" t="str">
        <f aca="false">IF($B200="","",IF(B200&lt;50000,3,IF(B200&lt;100000,4,5)))</f>
        <v/>
      </c>
      <c r="T195" s="39" t="str">
        <f aca="false">IF($A200="","",IF(OR(M200&gt;=4,I200&lt;=-8%),"防守",IF(OR(M200&gt;=2,I200&lt;=-5%),"警戒","正常")))</f>
        <v/>
      </c>
      <c r="U195" s="39" t="str">
        <f aca="false">IF($A200="","",IF(AND(L200&gt;=3,M200&lt;=2,T200&lt;&gt;"防守"),"是","否"))</f>
        <v/>
      </c>
      <c r="V195" s="39" t="str">
        <f aca="false">IF($A200="","",IF(AND(E200&lt;N200,R200&lt;S200,M200&lt;=2,I200&gt;-15%),"是","否"))</f>
        <v/>
      </c>
      <c r="W195" s="39" t="str">
        <f aca="false">IF($A200="","",IF(OR(M200&gt;=3,I200&lt;=-15%),"是","否"))</f>
        <v/>
      </c>
      <c r="X195" s="35" t="str">
        <f aca="false">IF($A200="","",IFERROR(maxifs(候选池!$AB:$AB,候选池!$A:$A,$A200),0))</f>
        <v/>
      </c>
      <c r="Y195" s="35" t="str">
        <f aca="false">IF($A200="","",IF(OR(M200&gt;=4,I200&lt;=-8%),MAX(0,B200*60%-C200),IF(AND(ISNUMBER(AD200),B200&gt;AD200),IF(B200&lt;30000,0,IF(B200&lt;100000,MAX(0,(B200-AD200)*0.2),MAX(0,(B200-AD200)*0.3))),0)))</f>
        <v/>
      </c>
      <c r="Z195" s="28"/>
      <c r="AA195" s="39" t="str">
        <f aca="false">IF($A200="","",IF($AA$2&lt;&gt;"",$AA$2,""))</f>
        <v/>
      </c>
      <c r="AB195" s="28" t="str">
        <f aca="false">IF($A200="","",IF(B200&lt;30000,0.03,IF(B200&lt;100000,0.02,0.015)))</f>
        <v/>
      </c>
      <c r="AC195" s="38" t="str">
        <f aca="false">IF($A200="","",IFERROR(DATEDIF($A$2,$A200,"m"),0))</f>
        <v/>
      </c>
      <c r="AD195" s="35" t="str">
        <f aca="false">IF($A200="","",IF(OR(AA200="",AB200="",AC200=""),"",AA200*POWER(1+AB200,AC200)))</f>
        <v/>
      </c>
      <c r="AE195" s="41" t="str">
        <f aca="false">IF($A200="","",IF(OR(AD200="",AD200=0),"",B200/AD200-1))</f>
        <v/>
      </c>
      <c r="AG195" s="1" t="str">
        <f aca="false">IF($A200="","",IF(B200&lt;30000,"婴儿",IF(B200&lt;100000,"成长","成熟")))</f>
        <v/>
      </c>
      <c r="AH195" s="42"/>
      <c r="AJ195" s="42"/>
      <c r="AK195" s="42"/>
      <c r="AM195" s="42"/>
      <c r="AP195" s="32"/>
      <c r="AQ195" s="43" t="str">
        <f aca="false">IF($A200="","",B200-$AA$2-SUM($F$2:F200))</f>
        <v/>
      </c>
      <c r="AR195" s="1" t="str">
        <f aca="false">IF($A199="","",30000)</f>
        <v/>
      </c>
      <c r="AS195" s="1" t="str">
        <f aca="false">IF($A199="","",AR199-B199)</f>
        <v/>
      </c>
      <c r="AT195" s="1" t="str">
        <f aca="false">IF($A199="","",IFERROR(B199/AR199,0))</f>
        <v/>
      </c>
      <c r="AU195" s="1" t="str">
        <f aca="false">IF($A199="","",IFERROR(B199*O199,0))</f>
        <v/>
      </c>
      <c r="AV195" s="1" t="str">
        <f aca="false">IF($A199="","",IFERROR(C199/B199,0))</f>
        <v/>
      </c>
      <c r="AW195" s="1" t="str">
        <f aca="false">IF($A199="","",MAX(0,R199-S199))</f>
        <v/>
      </c>
      <c r="AX195" s="1" t="str">
        <f aca="false">IF($A199="","",IF(AW199&gt;0,"优先降持仓数",IF(C199&lt;=0,"现金不足","允许评估")))</f>
        <v/>
      </c>
      <c r="AY195" s="1" t="str">
        <f aca="false">IF($A199="","",IF(B199&lt;30000,"婴儿阶段: 优先活下来,禁止单票失控,限制持仓数,服务3W目标","幼儿阶段达成"))</f>
        <v/>
      </c>
    </row>
    <row r="196" customFormat="false" ht="15" hidden="false" customHeight="true" outlineLevel="0" collapsed="false">
      <c r="A196" s="55" t="n">
        <v>46234.6518383681</v>
      </c>
      <c r="B196" s="1" t="n">
        <v>21370.8</v>
      </c>
      <c r="C196" s="1" t="n">
        <v>13376.8</v>
      </c>
      <c r="D196" s="1" t="str">
        <f aca="false">IF($A201="","",SUMIFS(持仓表!$J:$J,持仓表!$A:$A,$A201))</f>
        <v/>
      </c>
      <c r="E196" s="1" t="n">
        <v>0.374</v>
      </c>
      <c r="G196" s="1" t="str">
        <f aca="false">IF($B201="","",MAX($B$2:B201))</f>
        <v/>
      </c>
      <c r="H196" s="1" t="n">
        <f aca="false">IFERROR((B196-$AA$2-SUM($F$2:F196))/($AA$2+SUM($F$2:F196)),0)</f>
        <v>0.99717023626845</v>
      </c>
      <c r="I196" s="1" t="n">
        <f aca="false">IFERROR((B201-G201)/G201,0)</f>
        <v>0</v>
      </c>
      <c r="N196" s="1" t="str">
        <f aca="false">IF($B201="","",MIN(70%,IF($I201&lt;=-15%,10%,IF($I201&lt;=-10%,30%,IF($M201&gt;=4,10%,IF($M201&gt;=3,30%,IF($J201="强",IF($K201="A",70%,IF($K201="B",60%,40%)),IF($J201="中性",IF($K201="A",50%,IF($K201="B",40%,25%)),IF($K201="A",30%,IF($K201="B",20%,10%))))))))))</f>
        <v/>
      </c>
      <c r="O196" s="1" t="str">
        <f aca="false">IF($B201="","",IF(B201&lt;30000,35%,IF(B201&lt;50000,30%,IF(B201&lt;100000,25%,20%))))</f>
        <v/>
      </c>
      <c r="P196" s="1" t="str">
        <f aca="false">IF($A201="","",COUNTIFS(持仓表!$A:$A,$A201,持仓表!$G:$G,"&gt;0"))</f>
        <v/>
      </c>
      <c r="Q196" s="1" t="str">
        <f aca="false">IF($A201="","",COUNTIFS(持仓表!$A:$A,$A201,持仓表!$D:$D,"是",持仓表!$G:$G,"&gt;0"))</f>
        <v/>
      </c>
      <c r="R196" s="1" t="str">
        <f aca="false">IF($A201="","",MAX(0,P201-Q201))</f>
        <v/>
      </c>
      <c r="S196" s="1" t="str">
        <f aca="false">IF($B201="","",IF(B201&lt;50000,3,IF(B201&lt;100000,4,5)))</f>
        <v/>
      </c>
      <c r="T196" s="32" t="s">
        <v>344</v>
      </c>
      <c r="U196" s="1" t="str">
        <f aca="false">IF($A201="","",IF(AND(L201&gt;=3,M201&lt;=2,T201&lt;&gt;"防守"),"是","否"))</f>
        <v/>
      </c>
      <c r="V196" s="32" t="s">
        <v>206</v>
      </c>
      <c r="W196" s="1" t="str">
        <f aca="false">IF($A201="","",IF(OR(M201&gt;=3,I201&lt;=-15%),"是","否"))</f>
        <v/>
      </c>
      <c r="X196" s="1" t="str">
        <f aca="false">IF($A201="","",IFERROR(maxifs(候选池!$AB:$AB,候选池!$A:$A,$A201),0))</f>
        <v/>
      </c>
      <c r="Y196" s="1" t="str">
        <f aca="false">IF($A201="","",IF(OR(M201&gt;=4,I201&lt;=-8%),MAX(0,B201*60%-C201),IF(AND(ISNUMBER(AD201),B201&gt;AD201),IF(B201&lt;30000,0,IF(B201&lt;100000,MAX(0,(B201-AD201)*0.2),MAX(0,(B201-AD201)*0.3))),0)))</f>
        <v/>
      </c>
      <c r="AA196" s="1" t="str">
        <f aca="false">IF($A201="","",IF($AA$2&lt;&gt;"",$AA$2,""))</f>
        <v/>
      </c>
      <c r="AB196" s="1" t="str">
        <f aca="false">IF($A201="","",IF(B201&lt;30000,0.03,IF(B201&lt;100000,0.02,0.015)))</f>
        <v/>
      </c>
      <c r="AC196" s="1" t="str">
        <f aca="false">IF($A201="","",IFERROR(DATEDIF($A$2,$A201,"m"),0))</f>
        <v/>
      </c>
      <c r="AD196" s="1" t="str">
        <f aca="false">IF($A201="","",IF(OR(AA201="",AB201="",AC201=""),"",AA201*POWER(1+AB201,AC201)))</f>
        <v/>
      </c>
      <c r="AE196" s="1" t="str">
        <f aca="false">IF($A201="","",IF(OR(AD201="",AD201=0),"",B201/AD201-1))</f>
        <v/>
      </c>
      <c r="AG196" s="1" t="str">
        <f aca="false">IF($A201="","",IF(B201&lt;30000,"婴儿",IF(B201&lt;100000,"成长","成熟")))</f>
        <v/>
      </c>
      <c r="AQ196" s="1" t="str">
        <f aca="false">IF($A201="","",B201-$AA$2-SUM($F$2:F201))</f>
        <v/>
      </c>
      <c r="AR196" s="1" t="str">
        <f aca="false">IF($A200="","",30000)</f>
        <v/>
      </c>
      <c r="AS196" s="1" t="str">
        <f aca="false">IF($A200="","",AR200-B200)</f>
        <v/>
      </c>
      <c r="AT196" s="1" t="str">
        <f aca="false">IF($A200="","",IFERROR(B200/AR200,0))</f>
        <v/>
      </c>
      <c r="AU196" s="1" t="str">
        <f aca="false">IF($A200="","",IFERROR(B200*O200,0))</f>
        <v/>
      </c>
      <c r="AV196" s="1" t="str">
        <f aca="false">IF($A200="","",IFERROR(C200/B200,0))</f>
        <v/>
      </c>
      <c r="AW196" s="1" t="str">
        <f aca="false">IF($A200="","",MAX(0,R200-S200))</f>
        <v/>
      </c>
      <c r="AX196" s="1" t="str">
        <f aca="false">IF($A200="","",IF(AW200&gt;0,"优先降持仓数",IF(C200&lt;=0,"现金不足","允许评估")))</f>
        <v/>
      </c>
      <c r="AY196" s="1" t="str">
        <f aca="false">IF($A200="","",IF(B200&lt;30000,"婴儿阶段: 优先活下来,禁止单票失控,限制持仓数,服务3W目标","幼儿阶段达成"))</f>
        <v/>
      </c>
    </row>
    <row r="197" customFormat="false" ht="15" hidden="false" customHeight="true" outlineLevel="0" collapsed="false">
      <c r="A197" s="55" t="n">
        <v>46236.3062645255</v>
      </c>
      <c r="B197" s="1" t="n">
        <v>21370.8</v>
      </c>
      <c r="C197" s="1" t="n">
        <v>13376.8</v>
      </c>
      <c r="D197" s="1" t="n">
        <v>7994</v>
      </c>
      <c r="E197" s="1" t="n">
        <v>0.374</v>
      </c>
      <c r="H197" s="1" t="n">
        <f aca="false">IFERROR((B197-$AA$2-SUM($F$2:F197))/($AA$2+SUM($F$2:F197)),0)</f>
        <v>0.99717023626845</v>
      </c>
    </row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</sheetData>
  <sheetProtection sheet="true" password="c42e"/>
  <autoFilter ref="A1:AE201"/>
  <conditionalFormatting sqref="AE2:AE201">
    <cfRule type="expression" priority="2" aboveAverage="0" equalAverage="0" bottom="0" percent="0" rank="0" text="" dxfId="9">
      <formula>AND($AE2&gt;=0.5,$AG2="婴儿")</formula>
    </cfRule>
    <cfRule type="expression" priority="3" aboveAverage="0" equalAverage="0" bottom="0" percent="0" rank="0" text="" dxfId="17">
      <formula>AND($AE2&gt;=0.3,$AE2&lt;0.5,$AG2="婴儿")</formula>
    </cfRule>
    <cfRule type="expression" priority="4" aboveAverage="0" equalAverage="0" bottom="0" percent="0" rank="0" text="" dxfId="18">
      <formula>AND($AE2&gt;=0,$AE2&lt;0.3,$AG2="婴儿")</formula>
    </cfRule>
    <cfRule type="expression" priority="5" aboveAverage="0" equalAverage="0" bottom="0" percent="0" rank="0" text="" dxfId="10">
      <formula>AND($AE2&lt;0,$AG2="婴儿")</formula>
    </cfRule>
    <cfRule type="expression" priority="6" aboveAverage="0" equalAverage="0" bottom="0" percent="0" rank="0" text="" dxfId="9">
      <formula>AND($AE2&gt;=0.3,$AG2="成长")</formula>
    </cfRule>
    <cfRule type="expression" priority="7" aboveAverage="0" equalAverage="0" bottom="0" percent="0" rank="0" text="" dxfId="17">
      <formula>AND($AE2&gt;=0.15,$AE2&lt;0.3,$AG2="成长")</formula>
    </cfRule>
    <cfRule type="expression" priority="8" aboveAverage="0" equalAverage="0" bottom="0" percent="0" rank="0" text="" dxfId="18">
      <formula>AND($AE2&gt;=0,$AE2&lt;0.15,$AG2="成长")</formula>
    </cfRule>
    <cfRule type="expression" priority="9" aboveAverage="0" equalAverage="0" bottom="0" percent="0" rank="0" text="" dxfId="10">
      <formula>AND($AE2&lt;0,$AG2="成长")</formula>
    </cfRule>
    <cfRule type="expression" priority="10" aboveAverage="0" equalAverage="0" bottom="0" percent="0" rank="0" text="" dxfId="9">
      <formula>AND($AE2&gt;=0.1,$AG2="成熟")</formula>
    </cfRule>
    <cfRule type="expression" priority="11" aboveAverage="0" equalAverage="0" bottom="0" percent="0" rank="0" text="" dxfId="17">
      <formula>AND($AE2&gt;=0.05,$AE2&lt;0.1,$AG2="成熟")</formula>
    </cfRule>
    <cfRule type="expression" priority="12" aboveAverage="0" equalAverage="0" bottom="0" percent="0" rank="0" text="" dxfId="18">
      <formula>AND($AE2&gt;=0,$AE2&lt;0.05,$AG2="成熟")</formula>
    </cfRule>
    <cfRule type="expression" priority="13" aboveAverage="0" equalAverage="0" bottom="0" percent="0" rank="0" text="" dxfId="10">
      <formula>AND($AE2&lt;-0.1,$AG2="成熟")</formula>
    </cfRule>
  </conditionalFormatting>
  <dataValidations count="3">
    <dataValidation allowBlank="true" errorStyle="stop" operator="between" showDropDown="false" showErrorMessage="false" showInputMessage="false" sqref="J2:J201" type="list">
      <formula1>"强,中性,弱"</formula1>
      <formula2>0</formula2>
    </dataValidation>
    <dataValidation allowBlank="true" errorStyle="stop" operator="between" showDropDown="false" showErrorMessage="false" showInputMessage="false" sqref="K2:K201" type="list">
      <formula1>"A,B,C"</formula1>
      <formula2>0</formula2>
    </dataValidation>
    <dataValidation allowBlank="true" errorStyle="stop" operator="between" showDropDown="false" showErrorMessage="false" showInputMessage="false" sqref="AP2:AP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12" min="8" style="1" width="14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13"/>
    <col collapsed="false" customWidth="true" hidden="false" outlineLevel="0" max="24" min="19" style="1" width="12"/>
    <col collapsed="false" customWidth="true" hidden="false" outlineLevel="0" max="25" min="25" style="1" width="13"/>
    <col collapsed="false" customWidth="true" hidden="false" outlineLevel="0" max="28" min="26" style="1" width="12"/>
    <col collapsed="false" customWidth="true" hidden="false" outlineLevel="0" max="34" min="29" style="1" width="14"/>
  </cols>
  <sheetData>
    <row r="1" customFormat="false" ht="15" hidden="false" customHeight="true" outlineLevel="0" collapsed="false">
      <c r="A1" s="2" t="s">
        <v>271</v>
      </c>
      <c r="B1" s="2" t="s">
        <v>345</v>
      </c>
      <c r="C1" s="2" t="s">
        <v>346</v>
      </c>
      <c r="D1" s="2" t="s">
        <v>347</v>
      </c>
      <c r="E1" s="27" t="s">
        <v>348</v>
      </c>
      <c r="F1" s="2" t="s">
        <v>349</v>
      </c>
      <c r="G1" s="2" t="s">
        <v>350</v>
      </c>
      <c r="H1" s="2" t="s">
        <v>351</v>
      </c>
      <c r="I1" s="2" t="s">
        <v>352</v>
      </c>
      <c r="J1" s="2" t="s">
        <v>274</v>
      </c>
      <c r="K1" s="2" t="s">
        <v>353</v>
      </c>
      <c r="L1" s="2" t="s">
        <v>354</v>
      </c>
      <c r="M1" s="2" t="s">
        <v>355</v>
      </c>
      <c r="N1" s="2" t="s">
        <v>356</v>
      </c>
      <c r="O1" s="2" t="s">
        <v>357</v>
      </c>
      <c r="P1" s="2" t="s">
        <v>358</v>
      </c>
      <c r="Q1" s="2" t="s">
        <v>359</v>
      </c>
      <c r="R1" s="27" t="s">
        <v>360</v>
      </c>
      <c r="S1" s="27" t="s">
        <v>361</v>
      </c>
      <c r="T1" s="27" t="s">
        <v>362</v>
      </c>
      <c r="U1" s="27" t="s">
        <v>363</v>
      </c>
      <c r="V1" s="27" t="s">
        <v>364</v>
      </c>
      <c r="W1" s="27" t="s">
        <v>175</v>
      </c>
      <c r="X1" s="2" t="s">
        <v>365</v>
      </c>
      <c r="Y1" s="2" t="s">
        <v>366</v>
      </c>
      <c r="Z1" s="2" t="s">
        <v>367</v>
      </c>
      <c r="AA1" s="33" t="s">
        <v>314</v>
      </c>
      <c r="AB1" s="33" t="s">
        <v>368</v>
      </c>
      <c r="AC1" s="33" t="s">
        <v>369</v>
      </c>
      <c r="AD1" s="33" t="s">
        <v>366</v>
      </c>
      <c r="AE1" s="33" t="s">
        <v>370</v>
      </c>
      <c r="AF1" s="33" t="s">
        <v>371</v>
      </c>
      <c r="AG1" s="33" t="s">
        <v>372</v>
      </c>
      <c r="AH1" s="33" t="s">
        <v>373</v>
      </c>
      <c r="AI1" s="56" t="s">
        <v>374</v>
      </c>
    </row>
    <row r="2" customFormat="false" ht="15" hidden="false" customHeight="true" outlineLevel="0" collapsed="false">
      <c r="A2" s="48" t="n">
        <v>46227</v>
      </c>
      <c r="B2" s="28" t="s">
        <v>375</v>
      </c>
      <c r="C2" s="29" t="s">
        <v>376</v>
      </c>
      <c r="D2" s="28" t="s">
        <v>206</v>
      </c>
      <c r="E2" s="34" t="n">
        <v>8.711</v>
      </c>
      <c r="F2" s="48" t="n">
        <v>5.67</v>
      </c>
      <c r="G2" s="37" t="n">
        <v>100</v>
      </c>
      <c r="H2" s="34" t="n">
        <v>8.711</v>
      </c>
      <c r="I2" s="34" t="n">
        <v>5.4</v>
      </c>
      <c r="J2" s="35" t="n">
        <f aca="false">IF(A2="","",G2*I2)</f>
        <v>540</v>
      </c>
      <c r="K2" s="35" t="n">
        <f aca="false">IF(A2="","",G2*H2)</f>
        <v>871.1</v>
      </c>
      <c r="L2" s="35" t="n">
        <f aca="false">IF(OR(A2="",J2="",K2=""),"",J2-K2)</f>
        <v>-331.1</v>
      </c>
      <c r="M2" s="36" t="n">
        <f aca="false">IFERROR((I2-H2)/H2,0)</f>
        <v>-0.380094133853748</v>
      </c>
      <c r="N2" s="36" t="n">
        <f aca="false">IFERROR(J2/INDEX(账户总表!$B:$B,MATCH($A2,账户总表!$A:$A,0)),0)</f>
        <v>0.0259088239696924</v>
      </c>
      <c r="O2" s="34"/>
      <c r="P2" s="35" t="n">
        <v>5.2234</v>
      </c>
      <c r="Q2" s="39" t="str">
        <f aca="false">IF($A2="","",IF(AND(I2&gt;0,P2&gt;0,I2&lt;=P2),"是","否"))</f>
        <v>否</v>
      </c>
      <c r="R2" s="40"/>
      <c r="S2" s="28"/>
      <c r="T2" s="29"/>
      <c r="U2" s="29"/>
      <c r="V2" s="39" t="str">
        <f aca="false">IF($A2="","",IF(OR(AND(O2&gt;0,I2&lt;O2),AND(T2="False",S2&lt;0.8)),"是","否"))</f>
        <v>否</v>
      </c>
      <c r="W2" s="39" t="s">
        <v>206</v>
      </c>
      <c r="X2" s="39" t="str">
        <f aca="false">IF($A2="","",IF(AND(R2&lt;60%,S2&gt;0.8,T2="True",U2="一卖"),"是","否"))</f>
        <v>否</v>
      </c>
      <c r="Y2" s="39" t="str">
        <f aca="false">IF($A2="","",IF(D2="是","否",IF(N2&gt;LOOKUP(2,1/(账户总表!$A:$A&lt;&gt;""),账户总表!$O:$O),"是","否")))</f>
        <v>否</v>
      </c>
      <c r="Z2" s="39" t="str">
        <f aca="false">IF($A2="","",IF(M2&gt;=0,"盈利","亏损"))</f>
        <v>亏损</v>
      </c>
      <c r="AA2" s="39" t="n">
        <f aca="false">IF($A2="","",IFERROR(INDEX(账户总表!$B:$B,MATCH($A2,账户总表!$A:$A,0))*INDEX(账户总表!$O:$O,MATCH($A2,账户总表!$A:$A,0)),0))</f>
        <v>7294.812</v>
      </c>
      <c r="AB2" s="57" t="n">
        <f aca="false">IF($A2="","",IFERROR(MAX(0,AA2-J2),0))</f>
        <v>6754.812</v>
      </c>
      <c r="AC2" s="39" t="n">
        <f aca="false">IF($A2="","",IF(I2&gt;0,IFERROR(FLOOR(AB2/I2,100),0),0))</f>
        <v>1200</v>
      </c>
      <c r="AD2" s="28" t="str">
        <f aca="false">IF($A2="","",IF(N2&gt;LOOKUP(2,1/(账户总表!$A:$A&lt;&gt;""),账户总表!$O:$O),"超限","合规"))</f>
        <v>超限</v>
      </c>
      <c r="AE2" s="1" t="n">
        <f aca="false">IF($A2="","",IFERROR((I2-P2)/I2,0))</f>
        <v>0.0327037037037038</v>
      </c>
      <c r="AF2" s="1" t="n">
        <f aca="false">IF($A2="","",IFERROR(MAX(0,(I2-P2)*G2),0))</f>
        <v>17.6600000000001</v>
      </c>
      <c r="AG2" s="1" t="str">
        <f aca="false">IF($A2="","",IF(COUNTIFS(候选池!$C$2:$C$201,C2,候选池!$K$2:$K$201,"核心池")&gt;0,"核心池","否"))</f>
        <v>否</v>
      </c>
      <c r="AH2" s="1" t="str">
        <f aca="false">IF(A2="","",IF(OR(J2="",K2="",K2=0),"",IF((J2-K2)/K2&lt;0.05,"不可加仓(无浮盈护垫)",IF(N2&gt;0.6,"不可加仓(超三买上限)",IF(N2&gt;0.5,"可加仓(三买区,上限60%)",IF(N2&gt;0.35,"可加仓(二买区,上限50%)","可加仓(一买区,上限35%)"))))))</f>
        <v>不可加仓(无浮盈护垫)</v>
      </c>
    </row>
    <row r="3" customFormat="false" ht="15" hidden="false" customHeight="true" outlineLevel="0" collapsed="false">
      <c r="A3" s="58" t="n">
        <v>46227</v>
      </c>
      <c r="B3" s="30" t="s">
        <v>377</v>
      </c>
      <c r="C3" s="31" t="s">
        <v>378</v>
      </c>
      <c r="D3" s="30" t="s">
        <v>324</v>
      </c>
      <c r="E3" s="44"/>
      <c r="F3" s="58" t="s">
        <v>379</v>
      </c>
      <c r="G3" s="45" t="n">
        <v>0</v>
      </c>
      <c r="H3" s="44" t="n">
        <v>11.107</v>
      </c>
      <c r="I3" s="44" t="n">
        <v>12.42</v>
      </c>
      <c r="J3" s="35" t="n">
        <f aca="false">IF(A3="","",G3*I3)</f>
        <v>0</v>
      </c>
      <c r="K3" s="35" t="n">
        <f aca="false">IF(A3="","",G3*H3)</f>
        <v>0</v>
      </c>
      <c r="L3" s="35" t="n">
        <f aca="false">IF(OR(A3="",J3="",K3=""),"",J3-K3)</f>
        <v>0</v>
      </c>
      <c r="M3" s="36" t="n">
        <f aca="false">IFERROR((I3-H3)/H3,0)</f>
        <v>0.118213739083461</v>
      </c>
      <c r="N3" s="36" t="n">
        <f aca="false">IFERROR(J3/INDEX(账户总表!$B:$B,MATCH($A3,账户总表!$A:$A,0)),0)</f>
        <v>0</v>
      </c>
      <c r="O3" s="44"/>
      <c r="P3" s="35" t="n">
        <v>10.55165</v>
      </c>
      <c r="Q3" s="39" t="str">
        <f aca="false">IF($A3="","",IF(AND(I3&gt;0,P3&gt;0,I3&lt;=P3),"是","否"))</f>
        <v>否</v>
      </c>
      <c r="R3" s="46"/>
      <c r="S3" s="30"/>
      <c r="T3" s="31"/>
      <c r="U3" s="31"/>
      <c r="V3" s="39" t="str">
        <f aca="false">IF($A3="","",IF(OR(AND(O3&gt;0,I3&lt;O3),AND(T3="False",S3&lt;0.8)),"是","否"))</f>
        <v>否</v>
      </c>
      <c r="W3" s="39" t="s">
        <v>324</v>
      </c>
      <c r="X3" s="39" t="str">
        <f aca="false">IF($A3="","",IF(AND(R3&lt;60%,S3&gt;0.8,T3="True",U3="一卖"),"是","否"))</f>
        <v>否</v>
      </c>
      <c r="Y3" s="39" t="str">
        <f aca="false">IF($A3="","",IF(D3="是","否",IF(N3&gt;LOOKUP(2,1/(账户总表!$A:$A&lt;&gt;""),账户总表!$O:$O),"是","否")))</f>
        <v>否</v>
      </c>
      <c r="Z3" s="39" t="str">
        <f aca="false">IF($A3="","",IF(M3&gt;=0,"盈利","亏损"))</f>
        <v>盈利</v>
      </c>
      <c r="AA3" s="39" t="n">
        <f aca="false">IF($A3="","",IFERROR(INDEX(账户总表!$B:$B,MATCH($A3,账户总表!$A:$A,0))*INDEX(账户总表!$O:$O,MATCH($A3,账户总表!$A:$A,0)),0))</f>
        <v>7294.812</v>
      </c>
      <c r="AB3" s="57" t="n">
        <f aca="false">IF($A3="","",IFERROR(MAX(0,AA3-J3),0))</f>
        <v>7294.812</v>
      </c>
      <c r="AC3" s="39" t="n">
        <f aca="false">IF($A3="","",IF(I3&gt;0,IFERROR(FLOOR(AB3/I3,100),0),0))</f>
        <v>500</v>
      </c>
      <c r="AD3" s="30" t="str">
        <f aca="false">IF($A3="","",IF(N3&gt;LOOKUP(2,1/(账户总表!$A:$A&lt;&gt;""),账户总表!$O:$O),"超限","合规"))</f>
        <v>合规</v>
      </c>
      <c r="AE3" s="1" t="n">
        <f aca="false">IF($A3="","",IFERROR((I3-P3)/I3,0))</f>
        <v>0.1504307568438</v>
      </c>
      <c r="AF3" s="1" t="n">
        <f aca="false">IF($A3="","",IFERROR(MAX(0,(I3-P3)*G3),0))</f>
        <v>0</v>
      </c>
      <c r="AG3" s="1" t="str">
        <f aca="false">IF($A3="","",IF(COUNTIFS(候选池!$C$2:$C$201,C3,候选池!$K$2:$K$201,"核心池")&gt;0,"核心池","否"))</f>
        <v>否</v>
      </c>
      <c r="AH3" s="1" t="str">
        <f aca="false">IF(A3="","",IF(OR(J3="",K3="",K3=0),"",IF((J3-K3)/K3&lt;0.05,"不可加仓(无浮盈护垫)",IF(N3&gt;0.6,"不可加仓(超三买上限)",IF(N3&gt;0.5,"可加仓(三买区,上限60%)",IF(N3&gt;0.35,"可加仓(二买区,上限50%)","可加仓(一买区,上限35%)"))))))</f>
        <v/>
      </c>
    </row>
    <row r="4" customFormat="false" ht="15" hidden="false" customHeight="true" outlineLevel="0" collapsed="false">
      <c r="A4" s="48" t="n">
        <v>46227</v>
      </c>
      <c r="B4" s="28" t="s">
        <v>380</v>
      </c>
      <c r="C4" s="29" t="s">
        <v>381</v>
      </c>
      <c r="D4" s="28" t="s">
        <v>324</v>
      </c>
      <c r="E4" s="34"/>
      <c r="F4" s="48" t="s">
        <v>379</v>
      </c>
      <c r="G4" s="37" t="n">
        <v>0</v>
      </c>
      <c r="H4" s="34" t="n">
        <v>8.021</v>
      </c>
      <c r="I4" s="34" t="n">
        <v>8.03</v>
      </c>
      <c r="J4" s="35" t="n">
        <f aca="false">IF(A4="","",G4*I4)</f>
        <v>0</v>
      </c>
      <c r="K4" s="35" t="n">
        <f aca="false">IF(A4="","",G4*H4)</f>
        <v>0</v>
      </c>
      <c r="L4" s="35" t="n">
        <f aca="false">IF(OR(A4="",J4="",K4=""),"",J4-K4)</f>
        <v>0</v>
      </c>
      <c r="M4" s="36" t="n">
        <f aca="false">IFERROR((I4-H4)/H4,0)</f>
        <v>0.00112205460665735</v>
      </c>
      <c r="N4" s="36" t="n">
        <f aca="false">IFERROR(J4/INDEX(账户总表!$B:$B,MATCH($A4,账户总表!$A:$A,0)),0)</f>
        <v>0</v>
      </c>
      <c r="O4" s="34"/>
      <c r="P4" s="35" t="n">
        <v>7.61995</v>
      </c>
      <c r="Q4" s="39" t="str">
        <f aca="false">IF($A4="","",IF(AND(I4&gt;0,P4&gt;0,I4&lt;=P4),"是","否"))</f>
        <v>否</v>
      </c>
      <c r="R4" s="40"/>
      <c r="S4" s="28"/>
      <c r="T4" s="29"/>
      <c r="U4" s="29"/>
      <c r="V4" s="39" t="str">
        <f aca="false">IF($A4="","",IF(OR(AND(O4&gt;0,I4&lt;O4),AND(T4="False",S4&lt;0.8)),"是","否"))</f>
        <v>否</v>
      </c>
      <c r="W4" s="39" t="s">
        <v>206</v>
      </c>
      <c r="X4" s="39" t="str">
        <f aca="false">IF($A4="","",IF(AND(R4&lt;60%,S4&gt;0.8,T4="True",U4="一卖"),"是","否"))</f>
        <v>否</v>
      </c>
      <c r="Y4" s="39" t="str">
        <f aca="false">IF($A4="","",IF(D4="是","否",IF(N4&gt;LOOKUP(2,1/(账户总表!$A:$A&lt;&gt;""),账户总表!$O:$O),"是","否")))</f>
        <v>否</v>
      </c>
      <c r="Z4" s="39" t="str">
        <f aca="false">IF($A4="","",IF(M4&gt;=0,"盈利","亏损"))</f>
        <v>盈利</v>
      </c>
      <c r="AA4" s="39" t="n">
        <f aca="false">IF($A4="","",IFERROR(INDEX(账户总表!$B:$B,MATCH($A4,账户总表!$A:$A,0))*INDEX(账户总表!$O:$O,MATCH($A4,账户总表!$A:$A,0)),0))</f>
        <v>7294.812</v>
      </c>
      <c r="AB4" s="57" t="n">
        <f aca="false">IF($A4="","",IFERROR(MAX(0,AA4-J4),0))</f>
        <v>7294.812</v>
      </c>
      <c r="AC4" s="39" t="n">
        <f aca="false">IF($A4="","",IF(I4&gt;0,IFERROR(FLOOR(AB4/I4,100),0),0))</f>
        <v>900</v>
      </c>
      <c r="AD4" s="28" t="str">
        <f aca="false">IF($A4="","",IF(N4&gt;LOOKUP(2,1/(账户总表!$A:$A&lt;&gt;""),账户总表!$O:$O),"超限","合规"))</f>
        <v>合规</v>
      </c>
      <c r="AE4" s="1" t="n">
        <f aca="false">IF($A4="","",IFERROR((I4-P4)/I4,0))</f>
        <v>0.0510647571606475</v>
      </c>
      <c r="AF4" s="1" t="n">
        <f aca="false">IF($A4="","",IFERROR(MAX(0,(I4-P4)*G4),0))</f>
        <v>0</v>
      </c>
      <c r="AG4" s="1" t="str">
        <f aca="false">IF($A4="","",IF(COUNTIFS(候选池!$C$2:$C$201,C4,候选池!$K$2:$K$201,"核心池")&gt;0,"核心池","否"))</f>
        <v>否</v>
      </c>
      <c r="AH4" s="1" t="str">
        <f aca="false">IF(A4="","",IF(OR(J4="",K4="",K4=0),"",IF((J4-K4)/K4&lt;0.05,"不可加仓(无浮盈护垫)",IF(N4&gt;0.6,"不可加仓(超三买上限)",IF(N4&gt;0.5,"可加仓(三买区,上限60%)",IF(N4&gt;0.35,"可加仓(二买区,上限50%)","可加仓(一买区,上限35%)"))))))</f>
        <v/>
      </c>
    </row>
    <row r="5" customFormat="false" ht="15" hidden="false" customHeight="true" outlineLevel="0" collapsed="false">
      <c r="A5" s="49" t="n">
        <v>46227</v>
      </c>
      <c r="B5" s="30" t="s">
        <v>382</v>
      </c>
      <c r="C5" s="31" t="s">
        <v>383</v>
      </c>
      <c r="D5" s="30" t="s">
        <v>324</v>
      </c>
      <c r="E5" s="44"/>
      <c r="F5" s="31" t="s">
        <v>379</v>
      </c>
      <c r="G5" s="45" t="n">
        <v>0</v>
      </c>
      <c r="H5" s="44" t="n">
        <v>4.804</v>
      </c>
      <c r="I5" s="44" t="n">
        <v>4.73</v>
      </c>
      <c r="J5" s="35" t="n">
        <f aca="false">IF(A5="","",G5*I5)</f>
        <v>0</v>
      </c>
      <c r="K5" s="35" t="n">
        <f aca="false">IF(A5="","",G5*H5)</f>
        <v>0</v>
      </c>
      <c r="L5" s="35" t="n">
        <f aca="false">IF(OR(A5="",J5="",K5=""),"",J5-K5)</f>
        <v>0</v>
      </c>
      <c r="M5" s="36" t="n">
        <f aca="false">IFERROR((I5-H5)/H5,0)</f>
        <v>-0.0154038301415487</v>
      </c>
      <c r="N5" s="36" t="n">
        <f aca="false">IFERROR(J5/INDEX(账户总表!$B:$B,MATCH($A5,账户总表!$A:$A,0)),0)</f>
        <v>0</v>
      </c>
      <c r="O5" s="44"/>
      <c r="P5" s="35" t="n">
        <v>4.5638</v>
      </c>
      <c r="Q5" s="39" t="str">
        <f aca="false">IF($A5="","",IF(AND(I5&gt;0,P5&gt;0,I5&lt;=P5),"是","否"))</f>
        <v>否</v>
      </c>
      <c r="R5" s="46"/>
      <c r="S5" s="30"/>
      <c r="T5" s="31"/>
      <c r="U5" s="31"/>
      <c r="V5" s="39" t="str">
        <f aca="false">IF($A5="","",IF(OR(AND(O5&gt;0,I5&lt;O5),AND(T5="False",S5&lt;0.8)),"是","否"))</f>
        <v>否</v>
      </c>
      <c r="W5" s="39" t="s">
        <v>206</v>
      </c>
      <c r="X5" s="39" t="str">
        <f aca="false">IF($A5="","",IF(AND(R5&lt;60%,S5&gt;0.8,T5="True",U5="一卖"),"是","否"))</f>
        <v>否</v>
      </c>
      <c r="Y5" s="39" t="str">
        <f aca="false">IF($A5="","",IF(D5="是","否",IF(N5&gt;LOOKUP(2,1/(账户总表!$A:$A&lt;&gt;""),账户总表!$O:$O),"是","否")))</f>
        <v>否</v>
      </c>
      <c r="Z5" s="39" t="str">
        <f aca="false">IF($A5="","",IF(M5&gt;=0,"盈利","亏损"))</f>
        <v>亏损</v>
      </c>
      <c r="AA5" s="39" t="n">
        <f aca="false">IF($A5="","",IFERROR(INDEX(账户总表!$B:$B,MATCH($A5,账户总表!$A:$A,0))*INDEX(账户总表!$O:$O,MATCH($A5,账户总表!$A:$A,0)),0))</f>
        <v>7294.812</v>
      </c>
      <c r="AB5" s="57" t="n">
        <f aca="false">IF($A5="","",IFERROR(MAX(0,AA5-J5),0))</f>
        <v>7294.812</v>
      </c>
      <c r="AC5" s="39" t="n">
        <f aca="false">IF($A5="","",IF(I5&gt;0,IFERROR(FLOOR(AB5/I5,100),0),0))</f>
        <v>1500</v>
      </c>
      <c r="AD5" s="30" t="str">
        <f aca="false">IF($A5="","",IF(N5&gt;LOOKUP(2,1/(账户总表!$A:$A&lt;&gt;""),账户总表!$O:$O),"超限","合规"))</f>
        <v>合规</v>
      </c>
      <c r="AE5" s="1" t="n">
        <f aca="false">IF($A5="","",IFERROR((I5-P5)/I5,0))</f>
        <v>0.0351374207188162</v>
      </c>
      <c r="AF5" s="1" t="n">
        <f aca="false">IF($A5="","",IFERROR(MAX(0,(I5-P5)*G5),0))</f>
        <v>0</v>
      </c>
      <c r="AG5" s="1" t="str">
        <f aca="false">IF($A5="","",IF(COUNTIFS(候选池!$C$2:$C$201,C5,候选池!$K$2:$K$201,"核心池")&gt;0,"核心池","否"))</f>
        <v>否</v>
      </c>
      <c r="AH5" s="1" t="str">
        <f aca="false">IF(A5="","",IF(OR(J5="",K5="",K5=0),"",IF((J5-K5)/K5&lt;0.05,"不可加仓(无浮盈护垫)",IF(N5&gt;0.6,"不可加仓(超三买上限)",IF(N5&gt;0.5,"可加仓(三买区,上限60%)",IF(N5&gt;0.35,"可加仓(二买区,上限50%)","可加仓(一买区,上限35%)"))))))</f>
        <v/>
      </c>
    </row>
    <row r="6" customFormat="false" ht="15" hidden="false" customHeight="true" outlineLevel="0" collapsed="false">
      <c r="A6" s="50" t="n">
        <v>46227</v>
      </c>
      <c r="B6" s="28" t="s">
        <v>384</v>
      </c>
      <c r="C6" s="29" t="s">
        <v>385</v>
      </c>
      <c r="D6" s="28" t="s">
        <v>324</v>
      </c>
      <c r="E6" s="34"/>
      <c r="F6" s="29" t="s">
        <v>379</v>
      </c>
      <c r="G6" s="37" t="n">
        <v>0</v>
      </c>
      <c r="H6" s="34" t="n">
        <v>9.271</v>
      </c>
      <c r="I6" s="34" t="n">
        <v>8.96</v>
      </c>
      <c r="J6" s="35" t="n">
        <f aca="false">IF(A6="","",G6*I6)</f>
        <v>0</v>
      </c>
      <c r="K6" s="35" t="n">
        <f aca="false">IF(A6="","",G6*H6)</f>
        <v>0</v>
      </c>
      <c r="L6" s="35" t="n">
        <f aca="false">IF(OR(A6="",J6="",K6=""),"",J6-K6)</f>
        <v>0</v>
      </c>
      <c r="M6" s="36" t="n">
        <f aca="false">IFERROR((I6-H6)/H6,0)</f>
        <v>-0.0335454643512027</v>
      </c>
      <c r="N6" s="36" t="n">
        <f aca="false">IFERROR(J6/INDEX(账户总表!$B:$B,MATCH($A6,账户总表!$A:$A,0)),0)</f>
        <v>0</v>
      </c>
      <c r="O6" s="34"/>
      <c r="P6" s="35" t="n">
        <v>8.80745</v>
      </c>
      <c r="Q6" s="39" t="str">
        <f aca="false">IF($A6="","",IF(AND(I6&gt;0,P6&gt;0,I6&lt;=P6),"是","否"))</f>
        <v>否</v>
      </c>
      <c r="R6" s="40"/>
      <c r="S6" s="28"/>
      <c r="T6" s="29"/>
      <c r="U6" s="29"/>
      <c r="V6" s="39" t="str">
        <f aca="false">IF($A6="","",IF(OR(AND(O6&gt;0,I6&lt;O6),AND(T6="False",S6&lt;0.8)),"是","否"))</f>
        <v>否</v>
      </c>
      <c r="W6" s="39" t="s">
        <v>206</v>
      </c>
      <c r="X6" s="39" t="str">
        <f aca="false">IF($A6="","",IF(AND(R6&lt;60%,S6&gt;0.8,T6="True",U6="一卖"),"是","否"))</f>
        <v>否</v>
      </c>
      <c r="Y6" s="39" t="str">
        <f aca="false">IF($A6="","",IF(D6="是","否",IF(N6&gt;LOOKUP(2,1/(账户总表!$A:$A&lt;&gt;""),账户总表!$O:$O),"是","否")))</f>
        <v>否</v>
      </c>
      <c r="Z6" s="39" t="str">
        <f aca="false">IF($A6="","",IF(M6&gt;=0,"盈利","亏损"))</f>
        <v>亏损</v>
      </c>
      <c r="AA6" s="39" t="n">
        <f aca="false">IF($A6="","",IFERROR(INDEX(账户总表!$B:$B,MATCH($A6,账户总表!$A:$A,0))*INDEX(账户总表!$O:$O,MATCH($A6,账户总表!$A:$A,0)),0))</f>
        <v>7294.812</v>
      </c>
      <c r="AB6" s="57" t="n">
        <f aca="false">IF($A6="","",IFERROR(MAX(0,AA6-J6),0))</f>
        <v>7294.812</v>
      </c>
      <c r="AC6" s="39" t="n">
        <f aca="false">IF($A6="","",IF(I6&gt;0,IFERROR(FLOOR(AB6/I6,100),0),0))</f>
        <v>800</v>
      </c>
      <c r="AD6" s="28" t="str">
        <f aca="false">IF($A6="","",IF(N6&gt;LOOKUP(2,1/(账户总表!$A:$A&lt;&gt;""),账户总表!$O:$O),"超限","合规"))</f>
        <v>合规</v>
      </c>
      <c r="AE6" s="1" t="n">
        <f aca="false">IF($A6="","",IFERROR((I6-P6)/I6,0))</f>
        <v>0.0170256696428573</v>
      </c>
      <c r="AF6" s="1" t="n">
        <f aca="false">IF($A6="","",IFERROR(MAX(0,(I6-P6)*G6),0))</f>
        <v>0</v>
      </c>
      <c r="AG6" s="1" t="str">
        <f aca="false">IF($A6="","",IF(COUNTIFS(候选池!$C$2:$C$201,C6,候选池!$K$2:$K$201,"核心池")&gt;0,"核心池","否"))</f>
        <v>否</v>
      </c>
      <c r="AH6" s="1" t="str">
        <f aca="false">IF(A6="","",IF(OR(J6="",K6="",K6=0),"",IF((J6-K6)/K6&lt;0.05,"不可加仓(无浮盈护垫)",IF(N6&gt;0.6,"不可加仓(超三买上限)",IF(N6&gt;0.5,"可加仓(三买区,上限60%)",IF(N6&gt;0.35,"可加仓(二买区,上限50%)","可加仓(一买区,上限35%)"))))))</f>
        <v/>
      </c>
    </row>
    <row r="7" customFormat="false" ht="15" hidden="false" customHeight="true" outlineLevel="0" collapsed="false">
      <c r="A7" s="49" t="n">
        <v>46227</v>
      </c>
      <c r="B7" s="30" t="s">
        <v>386</v>
      </c>
      <c r="C7" s="31" t="s">
        <v>387</v>
      </c>
      <c r="D7" s="30" t="s">
        <v>324</v>
      </c>
      <c r="E7" s="44"/>
      <c r="F7" s="31" t="s">
        <v>379</v>
      </c>
      <c r="G7" s="45" t="n">
        <v>0</v>
      </c>
      <c r="H7" s="44" t="n">
        <v>3.966</v>
      </c>
      <c r="I7" s="44" t="n">
        <v>4.02</v>
      </c>
      <c r="J7" s="35" t="n">
        <f aca="false">IF(A7="","",G7*I7)</f>
        <v>0</v>
      </c>
      <c r="K7" s="35" t="n">
        <f aca="false">IF(A7="","",G7*H7)</f>
        <v>0</v>
      </c>
      <c r="L7" s="35" t="n">
        <f aca="false">IF(OR(A7="",J7="",K7=""),"",J7-K7)</f>
        <v>0</v>
      </c>
      <c r="M7" s="36" t="n">
        <f aca="false">IFERROR((I7-H7)/H7,0)</f>
        <v>0.0136157337367623</v>
      </c>
      <c r="N7" s="36" t="n">
        <f aca="false">IFERROR(J7/INDEX(账户总表!$B:$B,MATCH($A7,账户总表!$A:$A,0)),0)</f>
        <v>0</v>
      </c>
      <c r="O7" s="44"/>
      <c r="P7" s="35" t="n">
        <v>3.7677</v>
      </c>
      <c r="Q7" s="39" t="str">
        <f aca="false">IF($A7="","",IF(AND(I7&gt;0,P7&gt;0,I7&lt;=P7),"是","否"))</f>
        <v>否</v>
      </c>
      <c r="R7" s="46"/>
      <c r="S7" s="30"/>
      <c r="T7" s="31"/>
      <c r="U7" s="31"/>
      <c r="V7" s="39" t="str">
        <f aca="false">IF($A7="","",IF(OR(AND(O7&gt;0,I7&lt;O7),AND(T7="False",S7&lt;0.8)),"是","否"))</f>
        <v>否</v>
      </c>
      <c r="W7" s="39" t="s">
        <v>206</v>
      </c>
      <c r="X7" s="39" t="str">
        <f aca="false">IF($A7="","",IF(AND(R7&lt;60%,S7&gt;0.8,T7="True",U7="一卖"),"是","否"))</f>
        <v>否</v>
      </c>
      <c r="Y7" s="39" t="str">
        <f aca="false">IF($A7="","",IF(D7="是","否",IF(N7&gt;LOOKUP(2,1/(账户总表!$A:$A&lt;&gt;""),账户总表!$O:$O),"是","否")))</f>
        <v>否</v>
      </c>
      <c r="Z7" s="39" t="str">
        <f aca="false">IF($A7="","",IF(M7&gt;=0,"盈利","亏损"))</f>
        <v>盈利</v>
      </c>
      <c r="AA7" s="39" t="n">
        <f aca="false">IF($A7="","",IFERROR(INDEX(账户总表!$B:$B,MATCH($A7,账户总表!$A:$A,0))*INDEX(账户总表!$O:$O,MATCH($A7,账户总表!$A:$A,0)),0))</f>
        <v>7294.812</v>
      </c>
      <c r="AB7" s="57" t="n">
        <f aca="false">IF($A7="","",IFERROR(MAX(0,AA7-J7),0))</f>
        <v>7294.812</v>
      </c>
      <c r="AC7" s="39" t="n">
        <f aca="false">IF($A7="","",IF(I7&gt;0,IFERROR(FLOOR(AB7/I7,100),0),0))</f>
        <v>1800</v>
      </c>
      <c r="AD7" s="30" t="str">
        <f aca="false">IF($A7="","",IF(N7&gt;LOOKUP(2,1/(账户总表!$A:$A&lt;&gt;""),账户总表!$O:$O),"超限","合规"))</f>
        <v>合规</v>
      </c>
      <c r="AE7" s="1" t="n">
        <f aca="false">IF($A7="","",IFERROR((I7-P7)/I7,0))</f>
        <v>0.0627611940298506</v>
      </c>
      <c r="AF7" s="1" t="n">
        <f aca="false">IF($A7="","",IFERROR(MAX(0,(I7-P7)*G7),0))</f>
        <v>0</v>
      </c>
      <c r="AG7" s="1" t="str">
        <f aca="false">IF($A7="","",IF(COUNTIFS(候选池!$C$2:$C$201,C7,候选池!$K$2:$K$201,"核心池")&gt;0,"核心池","否"))</f>
        <v>否</v>
      </c>
      <c r="AH7" s="1" t="str">
        <f aca="false">IF(A7="","",IF(OR(J7="",K7="",K7=0),"",IF((J7-K7)/K7&lt;0.05,"不可加仓(无浮盈护垫)",IF(N7&gt;0.6,"不可加仓(超三买上限)",IF(N7&gt;0.5,"可加仓(三买区,上限60%)",IF(N7&gt;0.35,"可加仓(二买区,上限50%)","可加仓(一买区,上限35%)"))))))</f>
        <v/>
      </c>
    </row>
    <row r="8" customFormat="false" ht="15" hidden="false" customHeight="true" outlineLevel="0" collapsed="false">
      <c r="A8" s="50" t="n">
        <v>46227</v>
      </c>
      <c r="B8" s="28" t="s">
        <v>388</v>
      </c>
      <c r="C8" s="29" t="s">
        <v>389</v>
      </c>
      <c r="D8" s="28" t="s">
        <v>324</v>
      </c>
      <c r="E8" s="34"/>
      <c r="F8" s="29" t="s">
        <v>379</v>
      </c>
      <c r="G8" s="37" t="n">
        <v>0</v>
      </c>
      <c r="H8" s="34" t="n">
        <v>3.142</v>
      </c>
      <c r="I8" s="34" t="n">
        <v>3.09</v>
      </c>
      <c r="J8" s="35" t="n">
        <f aca="false">IF(A8="","",G8*I8)</f>
        <v>0</v>
      </c>
      <c r="K8" s="35" t="n">
        <f aca="false">IF(A8="","",G8*H8)</f>
        <v>0</v>
      </c>
      <c r="L8" s="35" t="n">
        <f aca="false">IF(OR(A8="",J8="",K8=""),"",J8-K8)</f>
        <v>0</v>
      </c>
      <c r="M8" s="36" t="n">
        <f aca="false">IFERROR((I8-H8)/H8,0)</f>
        <v>-0.0165499681731381</v>
      </c>
      <c r="N8" s="36" t="n">
        <f aca="false">IFERROR(J8/INDEX(账户总表!$B:$B,MATCH($A8,账户总表!$A:$A,0)),0)</f>
        <v>0</v>
      </c>
      <c r="O8" s="34"/>
      <c r="P8" s="35" t="n">
        <v>2.9849</v>
      </c>
      <c r="Q8" s="39" t="str">
        <f aca="false">IF($A8="","",IF(AND(I8&gt;0,P8&gt;0,I8&lt;=P8),"是","否"))</f>
        <v>否</v>
      </c>
      <c r="R8" s="40"/>
      <c r="S8" s="28"/>
      <c r="T8" s="29"/>
      <c r="U8" s="29"/>
      <c r="V8" s="39" t="str">
        <f aca="false">IF($A8="","",IF(OR(AND(O8&gt;0,I8&lt;O8),AND(T8="False",S8&lt;0.8)),"是","否"))</f>
        <v>否</v>
      </c>
      <c r="W8" s="39" t="s">
        <v>206</v>
      </c>
      <c r="X8" s="39" t="str">
        <f aca="false">IF($A8="","",IF(AND(R8&lt;60%,S8&gt;0.8,T8="True",U8="一卖"),"是","否"))</f>
        <v>否</v>
      </c>
      <c r="Y8" s="39" t="str">
        <f aca="false">IF($A8="","",IF(D8="是","否",IF(N8&gt;LOOKUP(2,1/(账户总表!$A:$A&lt;&gt;""),账户总表!$O:$O),"是","否")))</f>
        <v>否</v>
      </c>
      <c r="Z8" s="39" t="str">
        <f aca="false">IF($A8="","",IF(M8&gt;=0,"盈利","亏损"))</f>
        <v>亏损</v>
      </c>
      <c r="AA8" s="39" t="n">
        <f aca="false">IF($A8="","",IFERROR(INDEX(账户总表!$B:$B,MATCH($A8,账户总表!$A:$A,0))*INDEX(账户总表!$O:$O,MATCH($A8,账户总表!$A:$A,0)),0))</f>
        <v>7294.812</v>
      </c>
      <c r="AB8" s="57" t="n">
        <f aca="false">IF($A8="","",IFERROR(MAX(0,AA8-J8),0))</f>
        <v>7294.812</v>
      </c>
      <c r="AC8" s="39" t="n">
        <f aca="false">IF($A8="","",IF(I8&gt;0,IFERROR(FLOOR(AB8/I8,100),0),0))</f>
        <v>2300</v>
      </c>
      <c r="AD8" s="28" t="str">
        <f aca="false">IF($A8="","",IF(N8&gt;LOOKUP(2,1/(账户总表!$A:$A&lt;&gt;""),账户总表!$O:$O),"超限","合规"))</f>
        <v>合规</v>
      </c>
      <c r="AE8" s="1" t="n">
        <f aca="false">IF($A8="","",IFERROR((I8-P8)/I8,0))</f>
        <v>0.0340129449838187</v>
      </c>
      <c r="AF8" s="1" t="n">
        <f aca="false">IF($A8="","",IFERROR(MAX(0,(I8-P8)*G8),0))</f>
        <v>0</v>
      </c>
      <c r="AG8" s="1" t="str">
        <f aca="false">IF($A8="","",IF(COUNTIFS(候选池!$C$2:$C$201,C8,候选池!$K$2:$K$201,"核心池")&gt;0,"核心池","否"))</f>
        <v>否</v>
      </c>
      <c r="AH8" s="1" t="str">
        <f aca="false">IF(A8="","",IF(OR(J8="",K8="",K8=0),"",IF((J8-K8)/K8&lt;0.05,"不可加仓(无浮盈护垫)",IF(N8&gt;0.6,"不可加仓(超三买上限)",IF(N8&gt;0.5,"可加仓(三买区,上限60%)",IF(N8&gt;0.35,"可加仓(二买区,上限50%)","可加仓(一买区,上限35%)"))))))</f>
        <v/>
      </c>
    </row>
    <row r="9" customFormat="false" ht="15" hidden="false" customHeight="true" outlineLevel="0" collapsed="false">
      <c r="A9" s="49" t="n">
        <v>46230</v>
      </c>
      <c r="B9" s="30" t="s">
        <v>390</v>
      </c>
      <c r="C9" s="31" t="s">
        <v>391</v>
      </c>
      <c r="D9" s="30" t="s">
        <v>324</v>
      </c>
      <c r="E9" s="44" t="n">
        <v>3.788</v>
      </c>
      <c r="F9" s="31" t="n">
        <v>4.87</v>
      </c>
      <c r="G9" s="45" t="n">
        <v>100</v>
      </c>
      <c r="H9" s="44" t="n">
        <v>4.595</v>
      </c>
      <c r="I9" s="44" t="n">
        <v>4.68</v>
      </c>
      <c r="J9" s="35" t="n">
        <f aca="false">IF(A9="","",G9*I9)</f>
        <v>468</v>
      </c>
      <c r="K9" s="35" t="n">
        <f aca="false">IF(A9="","",G9*H9)</f>
        <v>459.5</v>
      </c>
      <c r="L9" s="35" t="n">
        <f aca="false">IF(OR(A9="",J9="",K9=""),"",J9-K9)</f>
        <v>8.5</v>
      </c>
      <c r="M9" s="36" t="n">
        <f aca="false">IFERROR((I9-H9)/H9,0)</f>
        <v>0.0184983677910773</v>
      </c>
      <c r="N9" s="36" t="n">
        <f aca="false">IFERROR(J9/INDEX(账户总表!$B:$B,MATCH($A9,账户总表!$A:$A,0)),0)</f>
        <v>0.0224536677202618</v>
      </c>
      <c r="O9" s="44"/>
      <c r="P9" s="35" t="n">
        <v>4.37</v>
      </c>
      <c r="Q9" s="39" t="str">
        <f aca="false">IF($A9="","",IF(AND(I9&gt;0,P9&gt;0,I9&lt;=P9),"是","否"))</f>
        <v>否</v>
      </c>
      <c r="R9" s="46"/>
      <c r="S9" s="30"/>
      <c r="T9" s="31"/>
      <c r="U9" s="31"/>
      <c r="V9" s="39" t="str">
        <f aca="false">IF($A9="","",IF(OR(AND(O9&gt;0,I9&lt;O9),AND(T9="False",S9&lt;0.8)),"是","否"))</f>
        <v>否</v>
      </c>
      <c r="W9" s="39"/>
      <c r="X9" s="39" t="str">
        <f aca="false">IF($A9="","",IF(AND(R9&lt;60%,S9&gt;0.8,T9="True",U9="一卖"),"是","否"))</f>
        <v>否</v>
      </c>
      <c r="Y9" s="39" t="str">
        <f aca="false">IF($A9="","",IF(D9="是","否",IF(N9&gt;LOOKUP(2,1/(账户总表!$A:$A&lt;&gt;""),账户总表!$O:$O),"是","否")))</f>
        <v>是</v>
      </c>
      <c r="Z9" s="39" t="str">
        <f aca="false">IF($A9="","",IF(M9&gt;=0,"盈利","亏损"))</f>
        <v>盈利</v>
      </c>
      <c r="AA9" s="39" t="n">
        <f aca="false">IF($A9="","",IFERROR(INDEX(账户总表!$B:$B,MATCH($A9,账户总表!$A:$A,0))*INDEX(账户总表!$O:$O,MATCH($A9,账户总表!$A:$A,0)),0))</f>
        <v>7295.022</v>
      </c>
      <c r="AB9" s="57" t="n">
        <f aca="false">IF($A9="","",IFERROR(MAX(0,AA9-J9),0))</f>
        <v>6827.022</v>
      </c>
      <c r="AC9" s="39" t="n">
        <f aca="false">IF($A9="","",IF(I9&gt;0,IFERROR(FLOOR(AB9/I9,100),0),0))</f>
        <v>1400</v>
      </c>
      <c r="AD9" s="30" t="str">
        <f aca="false">IF($A9="","",IF(N9&gt;LOOKUP(2,1/(账户总表!$A:$A&lt;&gt;""),账户总表!$O:$O),"超限","合规"))</f>
        <v>超限</v>
      </c>
      <c r="AE9" s="1" t="n">
        <f aca="false">IF($A9="","",IFERROR((I9-P9)/I9,0))</f>
        <v>0.0662393162393162</v>
      </c>
      <c r="AF9" s="1" t="n">
        <f aca="false">IF($A9="","",IFERROR(MAX(0,(I9-P9)*G9),0))</f>
        <v>31</v>
      </c>
      <c r="AG9" s="1" t="str">
        <f aca="false">IF($A9="","",IF(COUNTIFS(候选池!$C$2:$C$201,C9,候选池!$K$2:$K$201,"核心池")&gt;0,"核心池","否"))</f>
        <v>否</v>
      </c>
      <c r="AH9" s="1" t="str">
        <f aca="false">IF(A9="","",IF(OR(J9="",K9="",K9=0),"",IF((J9-K9)/K9&lt;0.05,"不可加仓(无浮盈护垫)",IF(N9&gt;0.6,"不可加仓(超三买上限)",IF(N9&gt;0.5,"可加仓(三买区,上限60%)",IF(N9&gt;0.35,"可加仓(二买区,上限50%)","可加仓(一买区,上限35%)"))))))</f>
        <v>不可加仓(无浮盈护垫)</v>
      </c>
    </row>
    <row r="10" customFormat="false" ht="15" hidden="false" customHeight="true" outlineLevel="0" collapsed="false">
      <c r="A10" s="50" t="n">
        <v>46230</v>
      </c>
      <c r="B10" s="28" t="s">
        <v>392</v>
      </c>
      <c r="C10" s="29" t="s">
        <v>393</v>
      </c>
      <c r="D10" s="28" t="s">
        <v>324</v>
      </c>
      <c r="E10" s="34"/>
      <c r="F10" s="29" t="s">
        <v>394</v>
      </c>
      <c r="G10" s="37" t="n">
        <v>400</v>
      </c>
      <c r="H10" s="34" t="n">
        <v>4.625</v>
      </c>
      <c r="I10" s="34" t="n">
        <v>4.79</v>
      </c>
      <c r="J10" s="35" t="n">
        <f aca="false">IF(A10="","",G10*I10)</f>
        <v>1916</v>
      </c>
      <c r="K10" s="35" t="n">
        <f aca="false">IF(A10="","",G10*H10)</f>
        <v>1850</v>
      </c>
      <c r="L10" s="35" t="n">
        <f aca="false">IF(OR(A10="",J10="",K10=""),"",J10-K10)</f>
        <v>66</v>
      </c>
      <c r="M10" s="36" t="n">
        <f aca="false">IFERROR((I10-H10)/H10,0)</f>
        <v>0.0356756756756757</v>
      </c>
      <c r="N10" s="36" t="n">
        <f aca="false">IFERROR(J10/INDEX(账户总表!$B:$B,MATCH($A10,账户总表!$A:$A,0)),0)</f>
        <v>0.0919256994701318</v>
      </c>
      <c r="O10" s="34"/>
      <c r="P10" s="35" t="n">
        <v>4.39</v>
      </c>
      <c r="Q10" s="39" t="str">
        <f aca="false">IF($A10="","",IF(AND(I10&gt;0,P10&gt;0,I10&lt;=P10),"是","否"))</f>
        <v>否</v>
      </c>
      <c r="R10" s="40"/>
      <c r="S10" s="28"/>
      <c r="T10" s="29"/>
      <c r="U10" s="29"/>
      <c r="V10" s="39" t="str">
        <f aca="false">IF($A10="","",IF(OR(AND(O10&gt;0,I10&lt;O10),AND(T10="False",S10&lt;0.8)),"是","否"))</f>
        <v>否</v>
      </c>
      <c r="W10" s="39"/>
      <c r="X10" s="39" t="str">
        <f aca="false">IF($A10="","",IF(AND(R10&lt;60%,S10&gt;0.8,T10="True",U10="一卖"),"是","否"))</f>
        <v>否</v>
      </c>
      <c r="Y10" s="39" t="str">
        <f aca="false">IF($A10="","",IF(D10="是","否",IF(N10&gt;LOOKUP(2,1/(账户总表!$A:$A&lt;&gt;""),账户总表!$O:$O),"是","否")))</f>
        <v>是</v>
      </c>
      <c r="Z10" s="39" t="str">
        <f aca="false">IF($A10="","",IF(M10&gt;=0,"盈利","亏损"))</f>
        <v>盈利</v>
      </c>
      <c r="AA10" s="39" t="n">
        <f aca="false">IF($A10="","",IFERROR(INDEX(账户总表!$B:$B,MATCH($A10,账户总表!$A:$A,0))*INDEX(账户总表!$O:$O,MATCH($A10,账户总表!$A:$A,0)),0))</f>
        <v>7295.022</v>
      </c>
      <c r="AB10" s="57" t="n">
        <f aca="false">IF($A10="","",IFERROR(MAX(0,AA10-J10),0))</f>
        <v>5379.022</v>
      </c>
      <c r="AC10" s="39" t="n">
        <f aca="false">IF($A10="","",IF(I10&gt;0,IFERROR(FLOOR(AB10/I10,100),0),0))</f>
        <v>1100</v>
      </c>
      <c r="AD10" s="28" t="str">
        <f aca="false">IF($A10="","",IF(N10&gt;LOOKUP(2,1/(账户总表!$A:$A&lt;&gt;""),账户总表!$O:$O),"超限","合规"))</f>
        <v>超限</v>
      </c>
      <c r="AE10" s="1" t="n">
        <f aca="false">IF($A10="","",IFERROR((I10-P10)/I10,0))</f>
        <v>0.0835073068893529</v>
      </c>
      <c r="AF10" s="1" t="n">
        <f aca="false">IF($A10="","",IFERROR(MAX(0,(I10-P10)*G10),0))</f>
        <v>160</v>
      </c>
      <c r="AG10" s="1" t="str">
        <f aca="false">IF($A10="","",IF(COUNTIFS(候选池!$C$2:$C$201,C10,候选池!$K$2:$K$201,"核心池")&gt;0,"核心池","否"))</f>
        <v>否</v>
      </c>
      <c r="AH10" s="1" t="str">
        <f aca="false">IF(A10="","",IF(OR(J10="",K10="",K10=0),"",IF((J10-K10)/K10&lt;0.05,"不可加仓(无浮盈护垫)",IF(N10&gt;0.6,"不可加仓(超三买上限)",IF(N10&gt;0.5,"可加仓(三买区,上限60%)",IF(N10&gt;0.35,"可加仓(二买区,上限50%)","可加仓(一买区,上限35%)"))))))</f>
        <v>不可加仓(无浮盈护垫)</v>
      </c>
    </row>
    <row r="11" customFormat="false" ht="15" hidden="false" customHeight="true" outlineLevel="0" collapsed="false">
      <c r="A11" s="49" t="n">
        <v>46230</v>
      </c>
      <c r="B11" s="30" t="s">
        <v>395</v>
      </c>
      <c r="C11" s="31" t="s">
        <v>396</v>
      </c>
      <c r="D11" s="30" t="s">
        <v>324</v>
      </c>
      <c r="E11" s="44"/>
      <c r="F11" s="31" t="s">
        <v>394</v>
      </c>
      <c r="G11" s="45" t="n">
        <v>0</v>
      </c>
      <c r="H11" s="44" t="n">
        <v>3.287</v>
      </c>
      <c r="I11" s="44" t="n">
        <v>3.35</v>
      </c>
      <c r="J11" s="35" t="n">
        <f aca="false">IF(A11="","",G11*I11)</f>
        <v>0</v>
      </c>
      <c r="K11" s="35" t="n">
        <f aca="false">IF(A11="","",G11*H11)</f>
        <v>0</v>
      </c>
      <c r="L11" s="35" t="n">
        <f aca="false">IF(OR(A11="",J11="",K11=""),"",J11-K11)</f>
        <v>0</v>
      </c>
      <c r="M11" s="36" t="n">
        <f aca="false">IFERROR((I11-H11)/H11,0)</f>
        <v>0.0191664131426833</v>
      </c>
      <c r="N11" s="36" t="n">
        <f aca="false">IFERROR(J11/INDEX(账户总表!$B:$B,MATCH($A11,账户总表!$A:$A,0)),0)</f>
        <v>0</v>
      </c>
      <c r="O11" s="44"/>
      <c r="P11" s="35" t="n">
        <v>3.12</v>
      </c>
      <c r="Q11" s="39" t="str">
        <f aca="false">IF($A11="","",IF(AND(I11&gt;0,P11&gt;0,I11&lt;=P11),"是","否"))</f>
        <v>否</v>
      </c>
      <c r="R11" s="46"/>
      <c r="S11" s="30"/>
      <c r="T11" s="30" t="s">
        <v>397</v>
      </c>
      <c r="U11" s="31"/>
      <c r="V11" s="39" t="str">
        <f aca="false">IF($A11="","",IF(OR(AND(O11&gt;0,I11&lt;O11),AND(T11="False",S11&lt;0.8)),"是","否"))</f>
        <v>否</v>
      </c>
      <c r="W11" s="39"/>
      <c r="X11" s="39" t="str">
        <f aca="false">IF($A11="","",IF(AND(R11&lt;60%,S11&gt;0.8,T11="True",U11="一卖"),"是","否"))</f>
        <v>否</v>
      </c>
      <c r="Y11" s="39" t="str">
        <f aca="false">IF($A11="","",IF(D11="是","否",IF(N11&gt;LOOKUP(2,1/(账户总表!$A:$A&lt;&gt;""),账户总表!$O:$O),"是","否")))</f>
        <v>否</v>
      </c>
      <c r="Z11" s="39" t="str">
        <f aca="false">IF($A11="","",IF(M11&gt;=0,"盈利","亏损"))</f>
        <v>盈利</v>
      </c>
      <c r="AA11" s="39" t="n">
        <f aca="false">IF($A11="","",IFERROR(INDEX(账户总表!$B:$B,MATCH($A11,账户总表!$A:$A,0))*INDEX(账户总表!$O:$O,MATCH($A11,账户总表!$A:$A,0)),0))</f>
        <v>7295.022</v>
      </c>
      <c r="AB11" s="57" t="n">
        <f aca="false">IF($A11="","",IFERROR(MAX(0,AA11-J11),0))</f>
        <v>7295.022</v>
      </c>
      <c r="AC11" s="39" t="n">
        <f aca="false">IF($A11="","",IF(I11&gt;0,IFERROR(FLOOR(AB11/I11,100),0),0))</f>
        <v>2100</v>
      </c>
      <c r="AD11" s="30" t="str">
        <f aca="false">IF($A11="","",IF(N11&gt;LOOKUP(2,1/(账户总表!$A:$A&lt;&gt;""),账户总表!$O:$O),"超限","合规"))</f>
        <v>合规</v>
      </c>
      <c r="AE11" s="1" t="n">
        <f aca="false">IF($A11="","",IFERROR((I11-P11)/I11,0))</f>
        <v>0.0686567164179104</v>
      </c>
      <c r="AF11" s="1" t="n">
        <f aca="false">IF($A11="","",IFERROR(MAX(0,(I11-P11)*G11),0))</f>
        <v>0</v>
      </c>
      <c r="AG11" s="1" t="str">
        <f aca="false">IF($A11="","",IF(COUNTIFS(候选池!$C$2:$C$201,C11,候选池!$K$2:$K$201,"核心池")&gt;0,"核心池","否"))</f>
        <v>否</v>
      </c>
      <c r="AH11" s="1" t="str">
        <f aca="false">IF(A11="","",IF(OR(J11="",K11="",K11=0),"",IF((J11-K11)/K11&lt;0.05,"不可加仓(无浮盈护垫)",IF(N11&gt;0.6,"不可加仓(超三买上限)",IF(N11&gt;0.5,"可加仓(三买区,上限60%)",IF(N11&gt;0.35,"可加仓(二买区,上限50%)","可加仓(一买区,上限35%)"))))))</f>
        <v/>
      </c>
    </row>
    <row r="12" customFormat="false" ht="15" hidden="false" customHeight="true" outlineLevel="0" collapsed="false">
      <c r="A12" s="50" t="n">
        <v>46230</v>
      </c>
      <c r="B12" s="28" t="s">
        <v>398</v>
      </c>
      <c r="C12" s="29" t="s">
        <v>399</v>
      </c>
      <c r="D12" s="28" t="s">
        <v>324</v>
      </c>
      <c r="E12" s="34"/>
      <c r="F12" s="29" t="s">
        <v>394</v>
      </c>
      <c r="G12" s="37" t="n">
        <v>0</v>
      </c>
      <c r="H12" s="34" t="n">
        <v>15.331</v>
      </c>
      <c r="I12" s="34" t="n">
        <v>15.67</v>
      </c>
      <c r="J12" s="35" t="n">
        <f aca="false">IF(A12="","",G12*I12)</f>
        <v>0</v>
      </c>
      <c r="K12" s="35" t="n">
        <f aca="false">IF(A12="","",G12*H12)</f>
        <v>0</v>
      </c>
      <c r="L12" s="35" t="n">
        <f aca="false">IF(OR(A12="",J12="",K12=""),"",J12-K12)</f>
        <v>0</v>
      </c>
      <c r="M12" s="36" t="n">
        <f aca="false">IFERROR((I12-H12)/H12,0)</f>
        <v>0.0221120605309504</v>
      </c>
      <c r="N12" s="36" t="n">
        <f aca="false">IFERROR(J12/INDEX(账户总表!$B:$B,MATCH($A12,账户总表!$A:$A,0)),0)</f>
        <v>0</v>
      </c>
      <c r="O12" s="34"/>
      <c r="P12" s="35" t="n">
        <v>14.56</v>
      </c>
      <c r="Q12" s="39" t="str">
        <f aca="false">IF($A12="","",IF(AND(I12&gt;0,P12&gt;0,I12&lt;=P12),"是","否"))</f>
        <v>否</v>
      </c>
      <c r="R12" s="40"/>
      <c r="S12" s="28"/>
      <c r="T12" s="28" t="s">
        <v>397</v>
      </c>
      <c r="U12" s="29"/>
      <c r="V12" s="39" t="str">
        <f aca="false">IF($A12="","",IF(OR(AND(O12&gt;0,I12&lt;O12),AND(T12="False",S12&lt;0.8)),"是","否"))</f>
        <v>否</v>
      </c>
      <c r="W12" s="39"/>
      <c r="X12" s="39" t="str">
        <f aca="false">IF($A12="","",IF(AND(R12&lt;60%,S12&gt;0.8,T12="True",U12="一卖"),"是","否"))</f>
        <v>否</v>
      </c>
      <c r="Y12" s="39" t="str">
        <f aca="false">IF($A12="","",IF(D12="是","否",IF(N12&gt;LOOKUP(2,1/(账户总表!$A:$A&lt;&gt;""),账户总表!$O:$O),"是","否")))</f>
        <v>否</v>
      </c>
      <c r="Z12" s="39" t="str">
        <f aca="false">IF($A12="","",IF(M12&gt;=0,"盈利","亏损"))</f>
        <v>盈利</v>
      </c>
      <c r="AA12" s="39" t="n">
        <f aca="false">IF($A12="","",IFERROR(INDEX(账户总表!$B:$B,MATCH($A12,账户总表!$A:$A,0))*INDEX(账户总表!$O:$O,MATCH($A12,账户总表!$A:$A,0)),0))</f>
        <v>7295.022</v>
      </c>
      <c r="AB12" s="57" t="n">
        <f aca="false">IF($A12="","",IFERROR(MAX(0,AA12-J12),0))</f>
        <v>7295.022</v>
      </c>
      <c r="AC12" s="39" t="n">
        <f aca="false">IF($A12="","",IF(I12&gt;0,IFERROR(FLOOR(AB12/I12,100),0),0))</f>
        <v>400</v>
      </c>
      <c r="AD12" s="28" t="str">
        <f aca="false">IF($A12="","",IF(N12&gt;LOOKUP(2,1/(账户总表!$A:$A&lt;&gt;""),账户总表!$O:$O),"超限","合规"))</f>
        <v>合规</v>
      </c>
      <c r="AE12" s="1" t="n">
        <f aca="false">IF($A12="","",IFERROR((I12-P12)/I12,0))</f>
        <v>0.0708359923420548</v>
      </c>
      <c r="AF12" s="1" t="n">
        <f aca="false">IF($A12="","",IFERROR(MAX(0,(I12-P12)*G12),0))</f>
        <v>0</v>
      </c>
      <c r="AG12" s="1" t="str">
        <f aca="false">IF($A12="","",IF(COUNTIFS(候选池!$C$2:$C$201,C12,候选池!$K$2:$K$201,"核心池")&gt;0,"核心池","否"))</f>
        <v>否</v>
      </c>
      <c r="AH12" s="1" t="str">
        <f aca="false">IF(A12="","",IF(OR(J12="",K12="",K12=0),"",IF((J12-K12)/K12&lt;0.05,"不可加仓(无浮盈护垫)",IF(N12&gt;0.6,"不可加仓(超三买上限)",IF(N12&gt;0.5,"可加仓(三买区,上限60%)",IF(N12&gt;0.35,"可加仓(二买区,上限50%)","可加仓(一买区,上限35%)"))))))</f>
        <v/>
      </c>
    </row>
    <row r="13" customFormat="false" ht="15" hidden="false" customHeight="true" outlineLevel="0" collapsed="false">
      <c r="A13" s="54" t="n">
        <v>46231</v>
      </c>
      <c r="B13" s="30" t="s">
        <v>390</v>
      </c>
      <c r="C13" s="59" t="s">
        <v>391</v>
      </c>
      <c r="D13" s="30" t="s">
        <v>324</v>
      </c>
      <c r="E13" s="44" t="n">
        <v>3.788</v>
      </c>
      <c r="F13" s="54" t="n">
        <v>4.87</v>
      </c>
      <c r="G13" s="45" t="n">
        <v>100</v>
      </c>
      <c r="H13" s="44" t="n">
        <v>4.595</v>
      </c>
      <c r="I13" s="44" t="n">
        <v>4.72</v>
      </c>
      <c r="J13" s="35" t="n">
        <f aca="false">IF(A13="","",G13*I13)</f>
        <v>472</v>
      </c>
      <c r="K13" s="35" t="n">
        <f aca="false">IF(A13="","",G13*H13)</f>
        <v>459.5</v>
      </c>
      <c r="L13" s="35" t="n">
        <f aca="false">IF(OR(A13="",J13="",K13=""),"",J13-K13)</f>
        <v>12.5</v>
      </c>
      <c r="M13" s="36" t="n">
        <f aca="false">IFERROR((I13-H13)/H13,0)</f>
        <v>0.0272034820457019</v>
      </c>
      <c r="N13" s="36" t="n">
        <f aca="false">IFERROR(J13/INDEX(账户总表!$B:$B,MATCH($A13,账户总表!$A:$A,0)),0)</f>
        <v>0.0223246380759946</v>
      </c>
      <c r="O13" s="44" t="n">
        <v>4.365</v>
      </c>
      <c r="P13" s="35" t="n">
        <v>4.227</v>
      </c>
      <c r="Q13" s="39" t="str">
        <f aca="false">IF($A13="","",IF(AND(I13&gt;0,P13&gt;0,I13&lt;=P13),"是","否"))</f>
        <v>否</v>
      </c>
      <c r="R13" s="46"/>
      <c r="S13" s="30"/>
      <c r="T13" s="31"/>
      <c r="U13" s="31"/>
      <c r="V13" s="39" t="str">
        <f aca="false">IF($A13="","",IF(OR(AND(O13&gt;0,I13&lt;O13),AND(T13="False",S13&lt;0.8)),"是","否"))</f>
        <v>否</v>
      </c>
      <c r="W13" s="39"/>
      <c r="X13" s="39" t="str">
        <f aca="false">IF($A13="","",IF(AND(R13&lt;60%,S13&gt;0.8,T13="True",U13="一卖"),"是","否"))</f>
        <v>否</v>
      </c>
      <c r="Y13" s="39" t="str">
        <f aca="false">IF($A13="","",IF(D13="是","否",IF(N13&gt;LOOKUP(2,1/(账户总表!$A:$A&lt;&gt;""),账户总表!$O:$O),"是","否")))</f>
        <v>是</v>
      </c>
      <c r="Z13" s="39" t="str">
        <f aca="false">IF($A13="","",IF(M13&gt;=0,"盈利","亏损"))</f>
        <v>盈利</v>
      </c>
      <c r="AA13" s="39" t="n">
        <f aca="false">IF($A13="","",IFERROR(INDEX(账户总表!$B:$B,MATCH($A13,账户总表!$A:$A,0))*INDEX(账户总表!$O:$O,MATCH($A13,账户总表!$A:$A,0)),0))</f>
        <v>7399.896</v>
      </c>
      <c r="AB13" s="57" t="n">
        <f aca="false">IF($A13="","",IFERROR(MAX(0,AA13-J13),0))</f>
        <v>6927.896</v>
      </c>
      <c r="AC13" s="39" t="n">
        <f aca="false">IF($A13="","",IF(I13&gt;0,IFERROR(FLOOR(AB13/I13,100),0),0))</f>
        <v>1400</v>
      </c>
      <c r="AD13" s="30" t="str">
        <f aca="false">IF($A13="","",IF(N13&gt;LOOKUP(2,1/(账户总表!$A:$A&lt;&gt;""),账户总表!$O:$O),"超限","合规"))</f>
        <v>超限</v>
      </c>
      <c r="AE13" s="1" t="n">
        <f aca="false">IF($A13="","",IFERROR((I13-P13)/I13,0))</f>
        <v>0.104449152542373</v>
      </c>
      <c r="AF13" s="1" t="n">
        <f aca="false">IF($A13="","",IFERROR(MAX(0,(I13-P13)*G13),0))</f>
        <v>49.2999999999999</v>
      </c>
      <c r="AG13" s="1" t="str">
        <f aca="false">IF($A13="","",IF(COUNTIFS(候选池!$C$2:$C$201,C13,候选池!$K$2:$K$201,"核心池")&gt;0,"核心池","否"))</f>
        <v>否</v>
      </c>
      <c r="AH13" s="1" t="str">
        <f aca="false">IF(A13="","",IF(OR(J13="",K13="",K13=0),"",IF((J13-K13)/K13&lt;0.05,"不可加仓(无浮盈护垫)",IF(N13&gt;0.6,"不可加仓(超三买上限)",IF(N13&gt;0.5,"可加仓(三买区,上限60%)",IF(N13&gt;0.35,"可加仓(二买区,上限50%)","可加仓(一买区,上限35%)"))))))</f>
        <v>不可加仓(无浮盈护垫)</v>
      </c>
    </row>
    <row r="14" customFormat="false" ht="15" hidden="false" customHeight="true" outlineLevel="0" collapsed="false">
      <c r="A14" s="52" t="n">
        <v>46231</v>
      </c>
      <c r="B14" s="28" t="s">
        <v>395</v>
      </c>
      <c r="C14" s="60" t="s">
        <v>396</v>
      </c>
      <c r="D14" s="28" t="s">
        <v>324</v>
      </c>
      <c r="E14" s="34"/>
      <c r="F14" s="52" t="n">
        <v>46231</v>
      </c>
      <c r="G14" s="37" t="n">
        <v>0</v>
      </c>
      <c r="H14" s="34" t="n">
        <v>3.287</v>
      </c>
      <c r="I14" s="34" t="n">
        <v>3.39</v>
      </c>
      <c r="J14" s="35" t="n">
        <f aca="false">IF(A14="","",G14*I14)</f>
        <v>0</v>
      </c>
      <c r="K14" s="35" t="n">
        <f aca="false">IF(A14="","",G14*H14)</f>
        <v>0</v>
      </c>
      <c r="L14" s="35" t="n">
        <f aca="false">IF(OR(A14="",J14="",K14=""),"",J14-K14)</f>
        <v>0</v>
      </c>
      <c r="M14" s="36" t="n">
        <f aca="false">IFERROR((I14-H14)/H14,0)</f>
        <v>0.031335564344387</v>
      </c>
      <c r="N14" s="36" t="n">
        <f aca="false">IFERROR(J14/INDEX(账户总表!$B:$B,MATCH($A14,账户总表!$A:$A,0)),0)</f>
        <v>0</v>
      </c>
      <c r="O14" s="34" t="n">
        <v>3.123</v>
      </c>
      <c r="P14" s="35" t="n">
        <v>3.024</v>
      </c>
      <c r="Q14" s="39" t="str">
        <f aca="false">IF($A14="","",IF(AND(I14&gt;0,P14&gt;0,I14&lt;=P14),"是","否"))</f>
        <v>否</v>
      </c>
      <c r="R14" s="40"/>
      <c r="S14" s="28"/>
      <c r="T14" s="28" t="s">
        <v>397</v>
      </c>
      <c r="U14" s="29"/>
      <c r="V14" s="39" t="str">
        <f aca="false">IF($A14="","",IF(OR(AND(O14&gt;0,I14&lt;O14),AND(T14="False",S14&lt;0.8)),"是","否"))</f>
        <v>否</v>
      </c>
      <c r="W14" s="39"/>
      <c r="X14" s="39" t="str">
        <f aca="false">IF($A14="","",IF(AND(R14&lt;60%,S14&gt;0.8,T14="True",U14="一卖"),"是","否"))</f>
        <v>否</v>
      </c>
      <c r="Y14" s="39" t="str">
        <f aca="false">IF($A14="","",IF(D14="是","否",IF(N14&gt;LOOKUP(2,1/(账户总表!$A:$A&lt;&gt;""),账户总表!$O:$O),"是","否")))</f>
        <v>否</v>
      </c>
      <c r="Z14" s="39" t="str">
        <f aca="false">IF($A14="","",IF(M14&gt;=0,"盈利","亏损"))</f>
        <v>盈利</v>
      </c>
      <c r="AA14" s="39" t="n">
        <f aca="false">IF($A14="","",IFERROR(INDEX(账户总表!$B:$B,MATCH($A14,账户总表!$A:$A,0))*INDEX(账户总表!$O:$O,MATCH($A14,账户总表!$A:$A,0)),0))</f>
        <v>7399.896</v>
      </c>
      <c r="AB14" s="57" t="n">
        <f aca="false">IF($A14="","",IFERROR(MAX(0,AA14-J14),0))</f>
        <v>7399.896</v>
      </c>
      <c r="AC14" s="39" t="n">
        <f aca="false">IF($A14="","",IF(I14&gt;0,IFERROR(FLOOR(AB14/I14,100),0),0))</f>
        <v>2100</v>
      </c>
      <c r="AD14" s="28" t="str">
        <f aca="false">IF($A14="","",IF(N14&gt;LOOKUP(2,1/(账户总表!$A:$A&lt;&gt;""),账户总表!$O:$O),"超限","合规"))</f>
        <v>合规</v>
      </c>
      <c r="AE14" s="1" t="n">
        <f aca="false">IF($A14="","",IFERROR((I14-P14)/I14,0))</f>
        <v>0.107964601769912</v>
      </c>
      <c r="AF14" s="1" t="n">
        <f aca="false">IF($A14="","",IFERROR(MAX(0,(I14-P14)*G14),0))</f>
        <v>0</v>
      </c>
      <c r="AG14" s="1" t="str">
        <f aca="false">IF($A14="","",IF(COUNTIFS(候选池!$C$2:$C$201,C14,候选池!$K$2:$K$201,"核心池")&gt;0,"核心池","否"))</f>
        <v>否</v>
      </c>
      <c r="AH14" s="1" t="str">
        <f aca="false">IF(A14="","",IF(OR(J14="",K14="",K14=0),"",IF((J14-K14)/K14&lt;0.05,"不可加仓(无浮盈护垫)",IF(N14&gt;0.6,"不可加仓(超三买上限)",IF(N14&gt;0.5,"可加仓(三买区,上限60%)",IF(N14&gt;0.35,"可加仓(二买区,上限50%)","可加仓(一买区,上限35%)"))))))</f>
        <v/>
      </c>
    </row>
    <row r="15" customFormat="false" ht="15" hidden="false" customHeight="true" outlineLevel="0" collapsed="false">
      <c r="A15" s="54" t="n">
        <v>46231</v>
      </c>
      <c r="B15" s="30" t="s">
        <v>398</v>
      </c>
      <c r="C15" s="59" t="s">
        <v>399</v>
      </c>
      <c r="D15" s="30" t="s">
        <v>324</v>
      </c>
      <c r="E15" s="44"/>
      <c r="F15" s="54" t="n">
        <v>46231</v>
      </c>
      <c r="G15" s="45" t="n">
        <v>0</v>
      </c>
      <c r="H15" s="44" t="n">
        <v>15.33</v>
      </c>
      <c r="I15" s="44" t="n">
        <v>15.78</v>
      </c>
      <c r="J15" s="35" t="n">
        <f aca="false">IF(A15="","",G15*I15)</f>
        <v>0</v>
      </c>
      <c r="K15" s="35" t="n">
        <f aca="false">IF(A15="","",G15*H15)</f>
        <v>0</v>
      </c>
      <c r="L15" s="35" t="n">
        <f aca="false">IF(OR(A15="",J15="",K15=""),"",J15-K15)</f>
        <v>0</v>
      </c>
      <c r="M15" s="36" t="n">
        <f aca="false">IFERROR((I15-H15)/H15,0)</f>
        <v>0.0293542074363992</v>
      </c>
      <c r="N15" s="36" t="n">
        <f aca="false">IFERROR(J15/INDEX(账户总表!$B:$B,MATCH($A15,账户总表!$A:$A,0)),0)</f>
        <v>0</v>
      </c>
      <c r="O15" s="44" t="n">
        <v>14.563</v>
      </c>
      <c r="P15" s="35" t="n">
        <v>14.104</v>
      </c>
      <c r="Q15" s="39" t="str">
        <f aca="false">IF($A15="","",IF(AND(I15&gt;0,P15&gt;0,I15&lt;=P15),"是","否"))</f>
        <v>否</v>
      </c>
      <c r="R15" s="46"/>
      <c r="S15" s="30"/>
      <c r="T15" s="30" t="s">
        <v>397</v>
      </c>
      <c r="U15" s="31"/>
      <c r="V15" s="39" t="str">
        <f aca="false">IF($A15="","",IF(OR(AND(O15&gt;0,I15&lt;O15),AND(T15="False",S15&lt;0.8)),"是","否"))</f>
        <v>否</v>
      </c>
      <c r="W15" s="39"/>
      <c r="X15" s="39" t="str">
        <f aca="false">IF($A15="","",IF(AND(R15&lt;60%,S15&gt;0.8,T15="True",U15="一卖"),"是","否"))</f>
        <v>否</v>
      </c>
      <c r="Y15" s="39" t="str">
        <f aca="false">IF($A15="","",IF(D15="是","否",IF(N15&gt;LOOKUP(2,1/(账户总表!$A:$A&lt;&gt;""),账户总表!$O:$O),"是","否")))</f>
        <v>否</v>
      </c>
      <c r="Z15" s="39" t="str">
        <f aca="false">IF($A15="","",IF(M15&gt;=0,"盈利","亏损"))</f>
        <v>盈利</v>
      </c>
      <c r="AA15" s="39" t="n">
        <f aca="false">IF($A15="","",IFERROR(INDEX(账户总表!$B:$B,MATCH($A15,账户总表!$A:$A,0))*INDEX(账户总表!$O:$O,MATCH($A15,账户总表!$A:$A,0)),0))</f>
        <v>7399.896</v>
      </c>
      <c r="AB15" s="57" t="n">
        <f aca="false">IF($A15="","",IFERROR(MAX(0,AA15-J15),0))</f>
        <v>7399.896</v>
      </c>
      <c r="AC15" s="39" t="n">
        <f aca="false">IF($A15="","",IF(I15&gt;0,IFERROR(FLOOR(AB15/I15,100),0),0))</f>
        <v>400</v>
      </c>
      <c r="AD15" s="30" t="str">
        <f aca="false">IF($A15="","",IF(N15&gt;LOOKUP(2,1/(账户总表!$A:$A&lt;&gt;""),账户总表!$O:$O),"超限","合规"))</f>
        <v>合规</v>
      </c>
      <c r="AE15" s="1" t="n">
        <f aca="false">IF($A15="","",IFERROR((I15-P15)/I15,0))</f>
        <v>0.106210392902408</v>
      </c>
      <c r="AF15" s="1" t="n">
        <f aca="false">IF($A15="","",IFERROR(MAX(0,(I15-P15)*G15),0))</f>
        <v>0</v>
      </c>
      <c r="AG15" s="1" t="str">
        <f aca="false">IF($A15="","",IF(COUNTIFS(候选池!$C$2:$C$201,C15,候选池!$K$2:$K$201,"核心池")&gt;0,"核心池","否"))</f>
        <v>否</v>
      </c>
      <c r="AH15" s="1" t="str">
        <f aca="false">IF(A15="","",IF(OR(J15="",K15="",K15=0),"",IF((J15-K15)/K15&lt;0.05,"不可加仓(无浮盈护垫)",IF(N15&gt;0.6,"不可加仓(超三买上限)",IF(N15&gt;0.5,"可加仓(三买区,上限60%)",IF(N15&gt;0.35,"可加仓(二买区,上限50%)","可加仓(一买区,上限35%)"))))))</f>
        <v/>
      </c>
    </row>
    <row r="16" customFormat="false" ht="15" hidden="false" customHeight="true" outlineLevel="0" collapsed="false">
      <c r="A16" s="52" t="n">
        <v>46231</v>
      </c>
      <c r="B16" s="28" t="s">
        <v>375</v>
      </c>
      <c r="C16" s="60" t="s">
        <v>376</v>
      </c>
      <c r="D16" s="28" t="s">
        <v>206</v>
      </c>
      <c r="E16" s="34" t="n">
        <v>8.711</v>
      </c>
      <c r="F16" s="52" t="n">
        <v>5.67</v>
      </c>
      <c r="G16" s="37" t="n">
        <v>100</v>
      </c>
      <c r="H16" s="34" t="n">
        <v>8.711</v>
      </c>
      <c r="I16" s="34" t="n">
        <v>5.49</v>
      </c>
      <c r="J16" s="35" t="n">
        <f aca="false">IF(A16="","",G16*I16)</f>
        <v>549</v>
      </c>
      <c r="K16" s="35" t="n">
        <f aca="false">IF(A16="","",G16*H16)</f>
        <v>871.1</v>
      </c>
      <c r="L16" s="35" t="n">
        <f aca="false">IF(OR(A16="",J16="",K16=""),"",J16-K16)</f>
        <v>-322.1</v>
      </c>
      <c r="M16" s="36" t="n">
        <f aca="false">IFERROR((I16-H16)/H16,0)</f>
        <v>-0.369762369417977</v>
      </c>
      <c r="N16" s="36" t="n">
        <f aca="false">IFERROR(J16/INDEX(账户总表!$B:$B,MATCH($A16,账户总表!$A:$A,0)),0)</f>
        <v>0.0259665811519513</v>
      </c>
      <c r="O16" s="34" t="n">
        <v>8.275</v>
      </c>
      <c r="P16" s="35" t="n">
        <v>8.014</v>
      </c>
      <c r="Q16" s="39" t="str">
        <f aca="false">IF($A16="","",IF(AND(I16&gt;0,P16&gt;0,I16&lt;=P16),"是","否"))</f>
        <v>是</v>
      </c>
      <c r="R16" s="40"/>
      <c r="S16" s="28"/>
      <c r="T16" s="29"/>
      <c r="U16" s="29"/>
      <c r="V16" s="39" t="str">
        <f aca="false">IF($A16="","",IF(OR(AND(O16&gt;0,I16&lt;O16),AND(T16="False",S16&lt;0.8)),"是","否"))</f>
        <v>是</v>
      </c>
      <c r="W16" s="39"/>
      <c r="X16" s="39" t="str">
        <f aca="false">IF($A16="","",IF(AND(R16&lt;60%,S16&gt;0.8,T16="True",U16="一卖"),"是","否"))</f>
        <v>否</v>
      </c>
      <c r="Y16" s="39" t="str">
        <f aca="false">IF($A16="","",IF(D16="是","否",IF(N16&gt;LOOKUP(2,1/(账户总表!$A:$A&lt;&gt;""),账户总表!$O:$O),"是","否")))</f>
        <v>否</v>
      </c>
      <c r="Z16" s="39" t="str">
        <f aca="false">IF($A16="","",IF(M16&gt;=0,"盈利","亏损"))</f>
        <v>亏损</v>
      </c>
      <c r="AA16" s="39" t="n">
        <f aca="false">IF($A16="","",IFERROR(INDEX(账户总表!$B:$B,MATCH($A16,账户总表!$A:$A,0))*INDEX(账户总表!$O:$O,MATCH($A16,账户总表!$A:$A,0)),0))</f>
        <v>7399.896</v>
      </c>
      <c r="AB16" s="57" t="n">
        <f aca="false">IF($A16="","",IFERROR(MAX(0,AA16-J16),0))</f>
        <v>6850.896</v>
      </c>
      <c r="AC16" s="39" t="n">
        <f aca="false">IF($A16="","",IF(I16&gt;0,IFERROR(FLOOR(AB16/I16,100),0),0))</f>
        <v>1200</v>
      </c>
      <c r="AD16" s="28" t="str">
        <f aca="false">IF($A16="","",IF(N16&gt;LOOKUP(2,1/(账户总表!$A:$A&lt;&gt;""),账户总表!$O:$O),"超限","合规"))</f>
        <v>超限</v>
      </c>
      <c r="AE16" s="1" t="n">
        <f aca="false">IF($A16="","",IFERROR((I16-P16)/I16,0))</f>
        <v>-0.459744990892532</v>
      </c>
      <c r="AF16" s="1" t="n">
        <f aca="false">IF($A16="","",IFERROR(MAX(0,(I16-P16)*G16),0))</f>
        <v>0</v>
      </c>
      <c r="AG16" s="1" t="str">
        <f aca="false">IF($A16="","",IF(COUNTIFS(候选池!$C$2:$C$201,C16,候选池!$K$2:$K$201,"核心池")&gt;0,"核心池","否"))</f>
        <v>否</v>
      </c>
      <c r="AH16" s="1" t="str">
        <f aca="false">IF(A16="","",IF(OR(J16="",K16="",K16=0),"",IF((J16-K16)/K16&lt;0.05,"不可加仓(无浮盈护垫)",IF(N16&gt;0.6,"不可加仓(超三买上限)",IF(N16&gt;0.5,"可加仓(三买区,上限60%)",IF(N16&gt;0.35,"可加仓(二买区,上限50%)","可加仓(一买区,上限35%)"))))))</f>
        <v>不可加仓(无浮盈护垫)</v>
      </c>
    </row>
    <row r="17" customFormat="false" ht="15" hidden="false" customHeight="true" outlineLevel="0" collapsed="false">
      <c r="A17" s="54" t="n">
        <v>46231</v>
      </c>
      <c r="B17" s="30" t="s">
        <v>400</v>
      </c>
      <c r="C17" s="59" t="s">
        <v>401</v>
      </c>
      <c r="D17" s="30" t="s">
        <v>324</v>
      </c>
      <c r="E17" s="44" t="n">
        <v>9.193</v>
      </c>
      <c r="F17" s="54" t="n">
        <v>9.3</v>
      </c>
      <c r="G17" s="45" t="n">
        <v>300</v>
      </c>
      <c r="H17" s="44" t="n">
        <v>9.171</v>
      </c>
      <c r="I17" s="44" t="n">
        <v>9.17</v>
      </c>
      <c r="J17" s="35" t="n">
        <f aca="false">IF(A17="","",G17*I17)</f>
        <v>2751</v>
      </c>
      <c r="K17" s="35" t="n">
        <f aca="false">IF(A17="","",G17*H17)</f>
        <v>2751.3</v>
      </c>
      <c r="L17" s="35" t="n">
        <f aca="false">IF(OR(A17="",J17="",K17=""),"",J17-K17)</f>
        <v>-0.299999999999727</v>
      </c>
      <c r="M17" s="36" t="n">
        <f aca="false">IFERROR((I17-H17)/H17,0)</f>
        <v>-0.000109039363210058</v>
      </c>
      <c r="N17" s="36" t="n">
        <f aca="false">IFERROR(J17/INDEX(账户总表!$B:$B,MATCH($A17,账户总表!$A:$A,0)),0)</f>
        <v>0.130116693531909</v>
      </c>
      <c r="O17" s="44" t="n">
        <v>8.712</v>
      </c>
      <c r="P17" s="35" t="n">
        <v>8.437</v>
      </c>
      <c r="Q17" s="39" t="str">
        <f aca="false">IF($A17="","",IF(AND(I17&gt;0,P17&gt;0,I17&lt;=P17),"是","否"))</f>
        <v>否</v>
      </c>
      <c r="R17" s="46"/>
      <c r="S17" s="30"/>
      <c r="T17" s="31"/>
      <c r="U17" s="31"/>
      <c r="V17" s="39" t="str">
        <f aca="false">IF($A17="","",IF(OR(AND(O17&gt;0,I17&lt;O17),AND(T17="False",S17&lt;0.8)),"是","否"))</f>
        <v>否</v>
      </c>
      <c r="W17" s="39"/>
      <c r="X17" s="39" t="str">
        <f aca="false">IF($A17="","",IF(AND(R17&lt;60%,S17&gt;0.8,T17="True",U17="一卖"),"是","否"))</f>
        <v>否</v>
      </c>
      <c r="Y17" s="39" t="str">
        <f aca="false">IF($A17="","",IF(D17="是","否",IF(N17&gt;LOOKUP(2,1/(账户总表!$A:$A&lt;&gt;""),账户总表!$O:$O),"是","否")))</f>
        <v>是</v>
      </c>
      <c r="Z17" s="39" t="str">
        <f aca="false">IF($A17="","",IF(M17&gt;=0,"盈利","亏损"))</f>
        <v>亏损</v>
      </c>
      <c r="AA17" s="39" t="n">
        <f aca="false">IF($A17="","",IFERROR(INDEX(账户总表!$B:$B,MATCH($A17,账户总表!$A:$A,0))*INDEX(账户总表!$O:$O,MATCH($A17,账户总表!$A:$A,0)),0))</f>
        <v>7399.896</v>
      </c>
      <c r="AB17" s="57" t="n">
        <f aca="false">IF($A17="","",IFERROR(MAX(0,AA17-J17),0))</f>
        <v>4648.896</v>
      </c>
      <c r="AC17" s="39" t="n">
        <f aca="false">IF($A17="","",IF(I17&gt;0,IFERROR(FLOOR(AB17/I17,100),0),0))</f>
        <v>500</v>
      </c>
      <c r="AD17" s="30" t="str">
        <f aca="false">IF($A17="","",IF(N17&gt;LOOKUP(2,1/(账户总表!$A:$A&lt;&gt;""),账户总表!$O:$O),"超限","合规"))</f>
        <v>超限</v>
      </c>
      <c r="AE17" s="1" t="n">
        <f aca="false">IF($A17="","",IFERROR((I17-P17)/I17,0))</f>
        <v>0.0799345692475464</v>
      </c>
      <c r="AF17" s="1" t="n">
        <f aca="false">IF($A17="","",IFERROR(MAX(0,(I17-P17)*G17),0))</f>
        <v>219.9</v>
      </c>
      <c r="AG17" s="1" t="str">
        <f aca="false">IF($A17="","",IF(COUNTIFS(候选池!$C$2:$C$201,C17,候选池!$K$2:$K$201,"核心池")&gt;0,"核心池","否"))</f>
        <v>否</v>
      </c>
      <c r="AH17" s="1" t="str">
        <f aca="false">IF(A17="","",IF(OR(J17="",K17="",K17=0),"",IF((J17-K17)/K17&lt;0.05,"不可加仓(无浮盈护垫)",IF(N17&gt;0.6,"不可加仓(超三买上限)",IF(N17&gt;0.5,"可加仓(三买区,上限60%)",IF(N17&gt;0.35,"可加仓(二买区,上限50%)","可加仓(一买区,上限35%)"))))))</f>
        <v>不可加仓(无浮盈护垫)</v>
      </c>
    </row>
    <row r="18" customFormat="false" ht="15" hidden="false" customHeight="true" outlineLevel="0" collapsed="false">
      <c r="A18" s="52" t="n">
        <v>46231</v>
      </c>
      <c r="B18" s="28" t="s">
        <v>390</v>
      </c>
      <c r="C18" s="60" t="s">
        <v>391</v>
      </c>
      <c r="D18" s="28" t="s">
        <v>324</v>
      </c>
      <c r="E18" s="34" t="n">
        <v>3.788</v>
      </c>
      <c r="F18" s="52" t="n">
        <v>4.87</v>
      </c>
      <c r="G18" s="37" t="n">
        <v>100</v>
      </c>
      <c r="H18" s="34" t="n">
        <v>4.595</v>
      </c>
      <c r="I18" s="34" t="n">
        <v>4.72</v>
      </c>
      <c r="J18" s="35" t="n">
        <f aca="false">IF(A18="","",G18*I18)</f>
        <v>472</v>
      </c>
      <c r="K18" s="35" t="n">
        <f aca="false">IF(A18="","",G18*H18)</f>
        <v>459.5</v>
      </c>
      <c r="L18" s="35" t="n">
        <f aca="false">IF(OR(A18="",J18="",K18=""),"",J18-K18)</f>
        <v>12.5</v>
      </c>
      <c r="M18" s="36" t="n">
        <f aca="false">IFERROR((I18-H18)/H18,0)</f>
        <v>0.0272034820457019</v>
      </c>
      <c r="N18" s="36" t="n">
        <f aca="false">IFERROR(J18/INDEX(账户总表!$B:$B,MATCH($A18,账户总表!$A:$A,0)),0)</f>
        <v>0.0223246380759946</v>
      </c>
      <c r="O18" s="34" t="n">
        <v>4.365</v>
      </c>
      <c r="P18" s="35" t="n">
        <v>4.227</v>
      </c>
      <c r="Q18" s="39" t="str">
        <f aca="false">IF($A18="","",IF(AND(I18&gt;0,P18&gt;0,I18&lt;=P18),"是","否"))</f>
        <v>否</v>
      </c>
      <c r="R18" s="40"/>
      <c r="S18" s="28"/>
      <c r="T18" s="29"/>
      <c r="U18" s="29"/>
      <c r="V18" s="39" t="str">
        <f aca="false">IF($A18="","",IF(OR(AND(O18&gt;0,I18&lt;O18),AND(T18="False",S18&lt;0.8)),"是","否"))</f>
        <v>否</v>
      </c>
      <c r="W18" s="39"/>
      <c r="X18" s="39" t="str">
        <f aca="false">IF($A18="","",IF(AND(R18&lt;60%,S18&gt;0.8,T18="True",U18="一卖"),"是","否"))</f>
        <v>否</v>
      </c>
      <c r="Y18" s="39" t="str">
        <f aca="false">IF($A18="","",IF(D18="是","否",IF(N18&gt;LOOKUP(2,1/(账户总表!$A:$A&lt;&gt;""),账户总表!$O:$O),"是","否")))</f>
        <v>是</v>
      </c>
      <c r="Z18" s="39" t="str">
        <f aca="false">IF($A18="","",IF(M18&gt;=0,"盈利","亏损"))</f>
        <v>盈利</v>
      </c>
      <c r="AA18" s="39" t="n">
        <f aca="false">IF($A18="","",IFERROR(INDEX(账户总表!$B:$B,MATCH($A18,账户总表!$A:$A,0))*INDEX(账户总表!$O:$O,MATCH($A18,账户总表!$A:$A,0)),0))</f>
        <v>7399.896</v>
      </c>
      <c r="AB18" s="57" t="n">
        <f aca="false">IF($A18="","",IFERROR(MAX(0,AA18-J18),0))</f>
        <v>6927.896</v>
      </c>
      <c r="AC18" s="39" t="n">
        <f aca="false">IF($A18="","",IF(I18&gt;0,IFERROR(FLOOR(AB18/I18,100),0),0))</f>
        <v>1400</v>
      </c>
      <c r="AD18" s="28" t="str">
        <f aca="false">IF($A18="","",IF(N18&gt;LOOKUP(2,1/(账户总表!$A:$A&lt;&gt;""),账户总表!$O:$O),"超限","合规"))</f>
        <v>超限</v>
      </c>
      <c r="AE18" s="1" t="n">
        <f aca="false">IF($A18="","",IFERROR((I18-P18)/I18,0))</f>
        <v>0.104449152542373</v>
      </c>
      <c r="AF18" s="1" t="n">
        <f aca="false">IF($A18="","",IFERROR(MAX(0,(I18-P18)*G18),0))</f>
        <v>49.2999999999999</v>
      </c>
      <c r="AG18" s="1" t="str">
        <f aca="false">IF($A18="","",IF(COUNTIFS(候选池!$C$2:$C$201,C18,候选池!$K$2:$K$201,"核心池")&gt;0,"核心池","否"))</f>
        <v>否</v>
      </c>
      <c r="AH18" s="1" t="str">
        <f aca="false">IF(A18="","",IF(OR(J18="",K18="",K18=0),"",IF((J18-K18)/K18&lt;0.05,"不可加仓(无浮盈护垫)",IF(N18&gt;0.6,"不可加仓(超三买上限)",IF(N18&gt;0.5,"可加仓(三买区,上限60%)",IF(N18&gt;0.35,"可加仓(二买区,上限50%)","可加仓(一买区,上限35%)"))))))</f>
        <v>不可加仓(无浮盈护垫)</v>
      </c>
    </row>
    <row r="19" customFormat="false" ht="15" hidden="false" customHeight="true" outlineLevel="0" collapsed="false">
      <c r="A19" s="54" t="n">
        <v>46231</v>
      </c>
      <c r="B19" s="30" t="s">
        <v>395</v>
      </c>
      <c r="C19" s="59" t="s">
        <v>396</v>
      </c>
      <c r="D19" s="30" t="s">
        <v>324</v>
      </c>
      <c r="E19" s="44"/>
      <c r="F19" s="54" t="n">
        <v>46231</v>
      </c>
      <c r="G19" s="45" t="n">
        <v>0</v>
      </c>
      <c r="H19" s="44" t="n">
        <v>3.287</v>
      </c>
      <c r="I19" s="44" t="n">
        <v>3.39</v>
      </c>
      <c r="J19" s="35" t="n">
        <f aca="false">IF(A19="","",G19*I19)</f>
        <v>0</v>
      </c>
      <c r="K19" s="35" t="n">
        <f aca="false">IF(A19="","",G19*H19)</f>
        <v>0</v>
      </c>
      <c r="L19" s="35" t="n">
        <f aca="false">IF(OR(A19="",J19="",K19=""),"",J19-K19)</f>
        <v>0</v>
      </c>
      <c r="M19" s="36" t="n">
        <f aca="false">IFERROR((I19-H19)/H19,0)</f>
        <v>0.031335564344387</v>
      </c>
      <c r="N19" s="36" t="n">
        <f aca="false">IFERROR(J19/INDEX(账户总表!$B:$B,MATCH($A19,账户总表!$A:$A,0)),0)</f>
        <v>0</v>
      </c>
      <c r="O19" s="44" t="n">
        <v>3.123</v>
      </c>
      <c r="P19" s="35" t="n">
        <v>3.024</v>
      </c>
      <c r="Q19" s="39" t="str">
        <f aca="false">IF($A19="","",IF(AND(I19&gt;0,P19&gt;0,I19&lt;=P19),"是","否"))</f>
        <v>否</v>
      </c>
      <c r="R19" s="46"/>
      <c r="S19" s="30"/>
      <c r="T19" s="30" t="s">
        <v>397</v>
      </c>
      <c r="U19" s="31"/>
      <c r="V19" s="39" t="str">
        <f aca="false">IF($A19="","",IF(OR(AND(O19&gt;0,I19&lt;O19),AND(T19="False",S19&lt;0.8)),"是","否"))</f>
        <v>否</v>
      </c>
      <c r="W19" s="39"/>
      <c r="X19" s="39" t="str">
        <f aca="false">IF($A19="","",IF(AND(R19&lt;60%,S19&gt;0.8,T19="True",U19="一卖"),"是","否"))</f>
        <v>否</v>
      </c>
      <c r="Y19" s="39" t="str">
        <f aca="false">IF($A19="","",IF(D19="是","否",IF(N19&gt;LOOKUP(2,1/(账户总表!$A:$A&lt;&gt;""),账户总表!$O:$O),"是","否")))</f>
        <v>否</v>
      </c>
      <c r="Z19" s="39" t="str">
        <f aca="false">IF($A19="","",IF(M19&gt;=0,"盈利","亏损"))</f>
        <v>盈利</v>
      </c>
      <c r="AA19" s="39" t="n">
        <f aca="false">IF($A19="","",IFERROR(INDEX(账户总表!$B:$B,MATCH($A19,账户总表!$A:$A,0))*INDEX(账户总表!$O:$O,MATCH($A19,账户总表!$A:$A,0)),0))</f>
        <v>7399.896</v>
      </c>
      <c r="AB19" s="57" t="n">
        <f aca="false">IF($A19="","",IFERROR(MAX(0,AA19-J19),0))</f>
        <v>7399.896</v>
      </c>
      <c r="AC19" s="39" t="n">
        <f aca="false">IF($A19="","",IF(I19&gt;0,IFERROR(FLOOR(AB19/I19,100),0),0))</f>
        <v>2100</v>
      </c>
      <c r="AD19" s="30" t="str">
        <f aca="false">IF($A19="","",IF(N19&gt;LOOKUP(2,1/(账户总表!$A:$A&lt;&gt;""),账户总表!$O:$O),"超限","合规"))</f>
        <v>合规</v>
      </c>
      <c r="AE19" s="1" t="n">
        <f aca="false">IF($A19="","",IFERROR((I19-P19)/I19,0))</f>
        <v>0.107964601769912</v>
      </c>
      <c r="AF19" s="1" t="n">
        <f aca="false">IF($A19="","",IFERROR(MAX(0,(I19-P19)*G19),0))</f>
        <v>0</v>
      </c>
      <c r="AG19" s="1" t="str">
        <f aca="false">IF($A19="","",IF(COUNTIFS(候选池!$C$2:$C$201,C19,候选池!$K$2:$K$201,"核心池")&gt;0,"核心池","否"))</f>
        <v>否</v>
      </c>
      <c r="AH19" s="1" t="str">
        <f aca="false">IF(A19="","",IF(OR(J19="",K19="",K19=0),"",IF((J19-K19)/K19&lt;0.05,"不可加仓(无浮盈护垫)",IF(N19&gt;0.6,"不可加仓(超三买上限)",IF(N19&gt;0.5,"可加仓(三买区,上限60%)",IF(N19&gt;0.35,"可加仓(二买区,上限50%)","可加仓(一买区,上限35%)"))))))</f>
        <v/>
      </c>
    </row>
    <row r="20" customFormat="false" ht="15" hidden="false" customHeight="true" outlineLevel="0" collapsed="false">
      <c r="A20" s="52" t="n">
        <v>46231</v>
      </c>
      <c r="B20" s="28" t="s">
        <v>398</v>
      </c>
      <c r="C20" s="60" t="s">
        <v>399</v>
      </c>
      <c r="D20" s="28" t="s">
        <v>324</v>
      </c>
      <c r="E20" s="34"/>
      <c r="F20" s="52" t="n">
        <v>46231</v>
      </c>
      <c r="G20" s="37" t="n">
        <v>0</v>
      </c>
      <c r="H20" s="34" t="n">
        <v>15.33</v>
      </c>
      <c r="I20" s="34" t="n">
        <v>15.78</v>
      </c>
      <c r="J20" s="35" t="n">
        <f aca="false">IF(A20="","",G20*I20)</f>
        <v>0</v>
      </c>
      <c r="K20" s="35" t="n">
        <f aca="false">IF(A20="","",G20*H20)</f>
        <v>0</v>
      </c>
      <c r="L20" s="35" t="n">
        <f aca="false">IF(OR(A20="",J20="",K20=""),"",J20-K20)</f>
        <v>0</v>
      </c>
      <c r="M20" s="36" t="n">
        <f aca="false">IFERROR((I20-H20)/H20,0)</f>
        <v>0.0293542074363992</v>
      </c>
      <c r="N20" s="36" t="n">
        <f aca="false">IFERROR(J20/INDEX(账户总表!$B:$B,MATCH($A20,账户总表!$A:$A,0)),0)</f>
        <v>0</v>
      </c>
      <c r="O20" s="34" t="n">
        <v>14.563</v>
      </c>
      <c r="P20" s="35" t="n">
        <v>14.104</v>
      </c>
      <c r="Q20" s="39" t="str">
        <f aca="false">IF($A20="","",IF(AND(I20&gt;0,P20&gt;0,I20&lt;=P20),"是","否"))</f>
        <v>否</v>
      </c>
      <c r="R20" s="40"/>
      <c r="S20" s="28"/>
      <c r="T20" s="28" t="s">
        <v>397</v>
      </c>
      <c r="U20" s="29"/>
      <c r="V20" s="39" t="str">
        <f aca="false">IF($A20="","",IF(OR(AND(O20&gt;0,I20&lt;O20),AND(T20="False",S20&lt;0.8)),"是","否"))</f>
        <v>否</v>
      </c>
      <c r="W20" s="39"/>
      <c r="X20" s="39" t="str">
        <f aca="false">IF($A20="","",IF(AND(R20&lt;60%,S20&gt;0.8,T20="True",U20="一卖"),"是","否"))</f>
        <v>否</v>
      </c>
      <c r="Y20" s="39" t="str">
        <f aca="false">IF($A20="","",IF(D20="是","否",IF(N20&gt;LOOKUP(2,1/(账户总表!$A:$A&lt;&gt;""),账户总表!$O:$O),"是","否")))</f>
        <v>否</v>
      </c>
      <c r="Z20" s="39" t="str">
        <f aca="false">IF($A20="","",IF(M20&gt;=0,"盈利","亏损"))</f>
        <v>盈利</v>
      </c>
      <c r="AA20" s="39" t="n">
        <f aca="false">IF($A20="","",IFERROR(INDEX(账户总表!$B:$B,MATCH($A20,账户总表!$A:$A,0))*INDEX(账户总表!$O:$O,MATCH($A20,账户总表!$A:$A,0)),0))</f>
        <v>7399.896</v>
      </c>
      <c r="AB20" s="57" t="n">
        <f aca="false">IF($A20="","",IFERROR(MAX(0,AA20-J20),0))</f>
        <v>7399.896</v>
      </c>
      <c r="AC20" s="39" t="n">
        <f aca="false">IF($A20="","",IF(I20&gt;0,IFERROR(FLOOR(AB20/I20,100),0),0))</f>
        <v>400</v>
      </c>
      <c r="AD20" s="28" t="str">
        <f aca="false">IF($A20="","",IF(N20&gt;LOOKUP(2,1/(账户总表!$A:$A&lt;&gt;""),账户总表!$O:$O),"超限","合规"))</f>
        <v>合规</v>
      </c>
      <c r="AE20" s="1" t="n">
        <f aca="false">IF($A20="","",IFERROR((I20-P20)/I20,0))</f>
        <v>0.106210392902408</v>
      </c>
      <c r="AF20" s="1" t="n">
        <f aca="false">IF($A20="","",IFERROR(MAX(0,(I20-P20)*G20),0))</f>
        <v>0</v>
      </c>
      <c r="AG20" s="1" t="str">
        <f aca="false">IF($A20="","",IF(COUNTIFS(候选池!$C$2:$C$201,C20,候选池!$K$2:$K$201,"核心池")&gt;0,"核心池","否"))</f>
        <v>否</v>
      </c>
      <c r="AH20" s="1" t="str">
        <f aca="false">IF(A20="","",IF(OR(J20="",K20="",K20=0),"",IF((J20-K20)/K20&lt;0.05,"不可加仓(无浮盈护垫)",IF(N20&gt;0.6,"不可加仓(超三买上限)",IF(N20&gt;0.5,"可加仓(三买区,上限60%)",IF(N20&gt;0.35,"可加仓(二买区,上限50%)","可加仓(一买区,上限35%)"))))))</f>
        <v/>
      </c>
    </row>
    <row r="21" customFormat="false" ht="15" hidden="false" customHeight="true" outlineLevel="0" collapsed="false">
      <c r="A21" s="54" t="n">
        <v>46231</v>
      </c>
      <c r="B21" s="30" t="s">
        <v>375</v>
      </c>
      <c r="C21" s="59" t="s">
        <v>376</v>
      </c>
      <c r="D21" s="30" t="s">
        <v>206</v>
      </c>
      <c r="E21" s="44" t="n">
        <v>8.711</v>
      </c>
      <c r="F21" s="54" t="n">
        <v>5.67</v>
      </c>
      <c r="G21" s="45" t="n">
        <v>100</v>
      </c>
      <c r="H21" s="44" t="n">
        <v>8.711</v>
      </c>
      <c r="I21" s="44" t="n">
        <v>5.49</v>
      </c>
      <c r="J21" s="35" t="n">
        <f aca="false">IF(A21="","",G21*I21)</f>
        <v>549</v>
      </c>
      <c r="K21" s="35" t="n">
        <f aca="false">IF(A21="","",G21*H21)</f>
        <v>871.1</v>
      </c>
      <c r="L21" s="35" t="n">
        <f aca="false">IF(OR(A21="",J21="",K21=""),"",J21-K21)</f>
        <v>-322.1</v>
      </c>
      <c r="M21" s="36" t="n">
        <f aca="false">IFERROR((I21-H21)/H21,0)</f>
        <v>-0.369762369417977</v>
      </c>
      <c r="N21" s="36" t="n">
        <f aca="false">IFERROR(J21/INDEX(账户总表!$B:$B,MATCH($A21,账户总表!$A:$A,0)),0)</f>
        <v>0.0259665811519513</v>
      </c>
      <c r="O21" s="44" t="n">
        <v>8.275</v>
      </c>
      <c r="P21" s="35" t="n">
        <v>8.014</v>
      </c>
      <c r="Q21" s="39" t="str">
        <f aca="false">IF($A21="","",IF(AND(I21&gt;0,P21&gt;0,I21&lt;=P21),"是","否"))</f>
        <v>是</v>
      </c>
      <c r="R21" s="46"/>
      <c r="S21" s="30"/>
      <c r="T21" s="31"/>
      <c r="U21" s="31"/>
      <c r="V21" s="39" t="str">
        <f aca="false">IF($A21="","",IF(OR(AND(O21&gt;0,I21&lt;O21),AND(T21="False",S21&lt;0.8)),"是","否"))</f>
        <v>是</v>
      </c>
      <c r="W21" s="39"/>
      <c r="X21" s="39" t="str">
        <f aca="false">IF($A21="","",IF(AND(R21&lt;60%,S21&gt;0.8,T21="True",U21="一卖"),"是","否"))</f>
        <v>否</v>
      </c>
      <c r="Y21" s="39" t="str">
        <f aca="false">IF($A21="","",IF(D21="是","否",IF(N21&gt;LOOKUP(2,1/(账户总表!$A:$A&lt;&gt;""),账户总表!$O:$O),"是","否")))</f>
        <v>否</v>
      </c>
      <c r="Z21" s="39" t="str">
        <f aca="false">IF($A21="","",IF(M21&gt;=0,"盈利","亏损"))</f>
        <v>亏损</v>
      </c>
      <c r="AA21" s="39" t="n">
        <f aca="false">IF($A21="","",IFERROR(INDEX(账户总表!$B:$B,MATCH($A21,账户总表!$A:$A,0))*INDEX(账户总表!$O:$O,MATCH($A21,账户总表!$A:$A,0)),0))</f>
        <v>7399.896</v>
      </c>
      <c r="AB21" s="57" t="n">
        <f aca="false">IF($A21="","",IFERROR(MAX(0,AA21-J21),0))</f>
        <v>6850.896</v>
      </c>
      <c r="AC21" s="39" t="n">
        <f aca="false">IF($A21="","",IF(I21&gt;0,IFERROR(FLOOR(AB21/I21,100),0),0))</f>
        <v>1200</v>
      </c>
      <c r="AD21" s="30" t="str">
        <f aca="false">IF($A21="","",IF(N21&gt;LOOKUP(2,1/(账户总表!$A:$A&lt;&gt;""),账户总表!$O:$O),"超限","合规"))</f>
        <v>超限</v>
      </c>
      <c r="AE21" s="1" t="n">
        <f aca="false">IF($A21="","",IFERROR((I21-P21)/I21,0))</f>
        <v>-0.459744990892532</v>
      </c>
      <c r="AF21" s="1" t="n">
        <f aca="false">IF($A21="","",IFERROR(MAX(0,(I21-P21)*G21),0))</f>
        <v>0</v>
      </c>
      <c r="AG21" s="1" t="str">
        <f aca="false">IF($A21="","",IF(COUNTIFS(候选池!$C$2:$C$201,C21,候选池!$K$2:$K$201,"核心池")&gt;0,"核心池","否"))</f>
        <v>否</v>
      </c>
      <c r="AH21" s="1" t="str">
        <f aca="false">IF(A21="","",IF(OR(J21="",K21="",K21=0),"",IF((J21-K21)/K21&lt;0.05,"不可加仓(无浮盈护垫)",IF(N21&gt;0.6,"不可加仓(超三买上限)",IF(N21&gt;0.5,"可加仓(三买区,上限60%)",IF(N21&gt;0.35,"可加仓(二买区,上限50%)","可加仓(一买区,上限35%)"))))))</f>
        <v>不可加仓(无浮盈护垫)</v>
      </c>
    </row>
    <row r="22" customFormat="false" ht="15" hidden="false" customHeight="true" outlineLevel="0" collapsed="false">
      <c r="A22" s="52" t="n">
        <v>46231</v>
      </c>
      <c r="B22" s="28" t="s">
        <v>400</v>
      </c>
      <c r="C22" s="60" t="s">
        <v>401</v>
      </c>
      <c r="D22" s="28" t="s">
        <v>324</v>
      </c>
      <c r="E22" s="34" t="n">
        <v>9.193</v>
      </c>
      <c r="F22" s="52" t="n">
        <v>9.3</v>
      </c>
      <c r="G22" s="37" t="n">
        <v>300</v>
      </c>
      <c r="H22" s="34" t="n">
        <v>9.171</v>
      </c>
      <c r="I22" s="34" t="n">
        <v>9.17</v>
      </c>
      <c r="J22" s="35" t="n">
        <f aca="false">IF(A22="","",G22*I22)</f>
        <v>2751</v>
      </c>
      <c r="K22" s="35" t="n">
        <f aca="false">IF(A22="","",G22*H22)</f>
        <v>2751.3</v>
      </c>
      <c r="L22" s="35" t="n">
        <f aca="false">IF(OR(A22="",J22="",K22=""),"",J22-K22)</f>
        <v>-0.299999999999727</v>
      </c>
      <c r="M22" s="36" t="n">
        <f aca="false">IFERROR((I22-H22)/H22,0)</f>
        <v>-0.000109039363210058</v>
      </c>
      <c r="N22" s="36" t="n">
        <f aca="false">IFERROR(J22/INDEX(账户总表!$B:$B,MATCH($A22,账户总表!$A:$A,0)),0)</f>
        <v>0.130116693531909</v>
      </c>
      <c r="O22" s="34" t="n">
        <v>8.712</v>
      </c>
      <c r="P22" s="35" t="n">
        <v>8.437</v>
      </c>
      <c r="Q22" s="39" t="str">
        <f aca="false">IF($A22="","",IF(AND(I22&gt;0,P22&gt;0,I22&lt;=P22),"是","否"))</f>
        <v>否</v>
      </c>
      <c r="R22" s="40"/>
      <c r="S22" s="28"/>
      <c r="T22" s="29"/>
      <c r="U22" s="29"/>
      <c r="V22" s="39" t="str">
        <f aca="false">IF($A22="","",IF(OR(AND(O22&gt;0,I22&lt;O22),AND(T22="False",S22&lt;0.8)),"是","否"))</f>
        <v>否</v>
      </c>
      <c r="W22" s="39"/>
      <c r="X22" s="39" t="str">
        <f aca="false">IF($A22="","",IF(AND(R22&lt;60%,S22&gt;0.8,T22="True",U22="一卖"),"是","否"))</f>
        <v>否</v>
      </c>
      <c r="Y22" s="39" t="str">
        <f aca="false">IF($A22="","",IF(D22="是","否",IF(N22&gt;LOOKUP(2,1/(账户总表!$A:$A&lt;&gt;""),账户总表!$O:$O),"是","否")))</f>
        <v>是</v>
      </c>
      <c r="Z22" s="39" t="str">
        <f aca="false">IF($A22="","",IF(M22&gt;=0,"盈利","亏损"))</f>
        <v>亏损</v>
      </c>
      <c r="AA22" s="39" t="n">
        <f aca="false">IF($A22="","",IFERROR(INDEX(账户总表!$B:$B,MATCH($A22,账户总表!$A:$A,0))*INDEX(账户总表!$O:$O,MATCH($A22,账户总表!$A:$A,0)),0))</f>
        <v>7399.896</v>
      </c>
      <c r="AB22" s="57" t="n">
        <f aca="false">IF($A22="","",IFERROR(MAX(0,AA22-J22),0))</f>
        <v>4648.896</v>
      </c>
      <c r="AC22" s="39" t="n">
        <f aca="false">IF($A22="","",IF(I22&gt;0,IFERROR(FLOOR(AB22/I22,100),0),0))</f>
        <v>500</v>
      </c>
      <c r="AD22" s="28" t="str">
        <f aca="false">IF($A22="","",IF(N22&gt;LOOKUP(2,1/(账户总表!$A:$A&lt;&gt;""),账户总表!$O:$O),"超限","合规"))</f>
        <v>超限</v>
      </c>
      <c r="AE22" s="1" t="n">
        <f aca="false">IF($A22="","",IFERROR((I22-P22)/I22,0))</f>
        <v>0.0799345692475464</v>
      </c>
      <c r="AF22" s="1" t="n">
        <f aca="false">IF($A22="","",IFERROR(MAX(0,(I22-P22)*G22),0))</f>
        <v>219.9</v>
      </c>
      <c r="AG22" s="1" t="str">
        <f aca="false">IF($A22="","",IF(COUNTIFS(候选池!$C$2:$C$201,C22,候选池!$K$2:$K$201,"核心池")&gt;0,"核心池","否"))</f>
        <v>否</v>
      </c>
      <c r="AH22" s="1" t="str">
        <f aca="false">IF(A22="","",IF(OR(J22="",K22="",K22=0),"",IF((J22-K22)/K22&lt;0.05,"不可加仓(无浮盈护垫)",IF(N22&gt;0.6,"不可加仓(超三买上限)",IF(N22&gt;0.5,"可加仓(三买区,上限60%)",IF(N22&gt;0.35,"可加仓(二买区,上限50%)","可加仓(一买区,上限35%)"))))))</f>
        <v>不可加仓(无浮盈护垫)</v>
      </c>
    </row>
    <row r="23" customFormat="false" ht="15" hidden="false" customHeight="true" outlineLevel="0" collapsed="false">
      <c r="A23" s="30"/>
      <c r="B23" s="30"/>
      <c r="C23" s="30"/>
      <c r="D23" s="30"/>
      <c r="E23" s="44"/>
      <c r="F23" s="30"/>
      <c r="G23" s="45"/>
      <c r="H23" s="44"/>
      <c r="I23" s="44"/>
      <c r="J23" s="35"/>
      <c r="K23" s="35"/>
      <c r="L23" s="35"/>
      <c r="M23" s="36"/>
      <c r="N23" s="36"/>
      <c r="O23" s="44"/>
      <c r="P23" s="35"/>
      <c r="Q23" s="39"/>
      <c r="R23" s="46"/>
      <c r="S23" s="30"/>
      <c r="T23" s="31"/>
      <c r="U23" s="31"/>
      <c r="V23" s="39"/>
      <c r="W23" s="39"/>
      <c r="X23" s="39"/>
      <c r="Y23" s="39"/>
      <c r="Z23" s="39"/>
      <c r="AA23" s="39" t="str">
        <f aca="false">IF($A23="","",IFERROR(INDEX(账户总表!$B:$B,MATCH($A23,账户总表!$A:$A,0))*INDEX(账户总表!$O:$O,MATCH($A23,账户总表!$A:$A,0)),0))</f>
        <v/>
      </c>
      <c r="AB23" s="57" t="str">
        <f aca="false">IF($A23="","",IFERROR(MAX(0,AA23-J23),0))</f>
        <v/>
      </c>
      <c r="AC23" s="39" t="str">
        <f aca="false">IF($A23="","",IF(I23&gt;0,IFERROR(FLOOR(AB23/I23,100),0),0))</f>
        <v/>
      </c>
      <c r="AD23" s="30" t="str">
        <f aca="false">IF($A23="","",IF(N23&gt;INDEX(账户总表!$O:$O,MATCH($A23,账户总表!$A:$A,0)),"超限","合规"))</f>
        <v/>
      </c>
      <c r="AE23" s="1" t="str">
        <f aca="false">IF($A23="","",IFERROR((I23-P23)/I23,0))</f>
        <v/>
      </c>
      <c r="AF23" s="1" t="str">
        <f aca="false">IF($A23="","",IFERROR(MAX(0,(I23-P23)*G23),0))</f>
        <v/>
      </c>
      <c r="AG23" s="1" t="str">
        <f aca="false">IF($A23="","",IF(COUNTIFS(候选池!$C$2:$C$201,C23,候选池!$K$2:$K$201,"核心池")&gt;0,"核心池","否"))</f>
        <v/>
      </c>
      <c r="AH23" s="1" t="str">
        <f aca="false">IF(A23="","",IF(OR(J23="",K23="",K23=0),"",IF((J23-K23)/K23&lt;0.05,"不可加仓(无浮盈护垫)",IF(N23&gt;0.6,"不可加仓(超三买上限)",IF(N23&gt;0.5,"可加仓(三买区,上限60%)",IF(N23&gt;0.35,"可加仓(二买区,上限50%)","可加仓(一买区,上限35%)"))))))</f>
        <v/>
      </c>
    </row>
    <row r="24" customFormat="false" ht="15" hidden="false" customHeight="true" outlineLevel="0" collapsed="false">
      <c r="A24" s="28"/>
      <c r="B24" s="28"/>
      <c r="C24" s="28"/>
      <c r="D24" s="28"/>
      <c r="E24" s="34"/>
      <c r="F24" s="28"/>
      <c r="G24" s="37"/>
      <c r="H24" s="34"/>
      <c r="I24" s="34"/>
      <c r="J24" s="35"/>
      <c r="K24" s="35"/>
      <c r="L24" s="35"/>
      <c r="M24" s="36"/>
      <c r="N24" s="36"/>
      <c r="O24" s="34"/>
      <c r="P24" s="35"/>
      <c r="Q24" s="39"/>
      <c r="R24" s="40"/>
      <c r="S24" s="28"/>
      <c r="T24" s="29"/>
      <c r="U24" s="29"/>
      <c r="V24" s="39"/>
      <c r="W24" s="39"/>
      <c r="X24" s="39"/>
      <c r="Y24" s="39"/>
      <c r="Z24" s="39"/>
      <c r="AA24" s="39" t="str">
        <f aca="false">IF($A24="","",IFERROR(INDEX(账户总表!$B:$B,MATCH($A24,账户总表!$A:$A,0))*INDEX(账户总表!$O:$O,MATCH($A24,账户总表!$A:$A,0)),0))</f>
        <v/>
      </c>
      <c r="AB24" s="57" t="str">
        <f aca="false">IF($A24="","",IFERROR(MAX(0,AA24-J24),0))</f>
        <v/>
      </c>
      <c r="AC24" s="39" t="str">
        <f aca="false">IF($A24="","",IF(I24&gt;0,IFERROR(FLOOR(AB24/I24,100),0),0))</f>
        <v/>
      </c>
      <c r="AD24" s="28" t="str">
        <f aca="false">IF($A24="","",IF(N24&gt;INDEX(账户总表!$O:$O,MATCH($A24,账户总表!$A:$A,0)),"超限","合规"))</f>
        <v/>
      </c>
      <c r="AE24" s="1" t="str">
        <f aca="false">IF($A24="","",IFERROR((I24-P24)/I24,0))</f>
        <v/>
      </c>
      <c r="AF24" s="1" t="str">
        <f aca="false">IF($A24="","",IFERROR(MAX(0,(I24-P24)*G24),0))</f>
        <v/>
      </c>
      <c r="AG24" s="1" t="str">
        <f aca="false">IF($A24="","",IF(COUNTIFS(候选池!$C$2:$C$201,C24,候选池!$K$2:$K$201,"核心池")&gt;0,"核心池","否"))</f>
        <v/>
      </c>
      <c r="AH24" s="1" t="str">
        <f aca="false">IF(A24="","",IF(OR(J24="",K24="",K24=0),"",IF((J24-K24)/K24&lt;0.05,"不可加仓(无浮盈护垫)",IF(N24&gt;0.6,"不可加仓(超三买上限)",IF(N24&gt;0.5,"可加仓(三买区,上限60%)",IF(N24&gt;0.35,"可加仓(二买区,上限50%)","可加仓(一买区,上限35%)"))))))</f>
        <v/>
      </c>
    </row>
    <row r="25" customFormat="false" ht="15" hidden="false" customHeight="true" outlineLevel="0" collapsed="false">
      <c r="A25" s="30"/>
      <c r="B25" s="30"/>
      <c r="C25" s="30"/>
      <c r="D25" s="30"/>
      <c r="E25" s="44"/>
      <c r="F25" s="30"/>
      <c r="G25" s="45"/>
      <c r="H25" s="44"/>
      <c r="I25" s="44"/>
      <c r="J25" s="35"/>
      <c r="K25" s="35"/>
      <c r="L25" s="35"/>
      <c r="M25" s="36"/>
      <c r="N25" s="36"/>
      <c r="O25" s="44"/>
      <c r="P25" s="35"/>
      <c r="Q25" s="39"/>
      <c r="R25" s="46"/>
      <c r="S25" s="30"/>
      <c r="T25" s="31"/>
      <c r="U25" s="31"/>
      <c r="V25" s="39"/>
      <c r="W25" s="39"/>
      <c r="X25" s="39"/>
      <c r="Y25" s="39"/>
      <c r="Z25" s="39"/>
      <c r="AA25" s="39" t="str">
        <f aca="false">IF($A25="","",IFERROR(INDEX(账户总表!$B:$B,MATCH($A25,账户总表!$A:$A,0))*INDEX(账户总表!$O:$O,MATCH($A25,账户总表!$A:$A,0)),0))</f>
        <v/>
      </c>
      <c r="AB25" s="57" t="str">
        <f aca="false">IF($A25="","",IFERROR(MAX(0,AA25-J25),0))</f>
        <v/>
      </c>
      <c r="AC25" s="39" t="str">
        <f aca="false">IF($A25="","",IF(I25&gt;0,IFERROR(FLOOR(AB25/I25,100),0),0))</f>
        <v/>
      </c>
      <c r="AD25" s="30" t="str">
        <f aca="false">IF($A25="","",IF(N25&gt;INDEX(账户总表!$O:$O,MATCH($A25,账户总表!$A:$A,0)),"超限","合规"))</f>
        <v/>
      </c>
      <c r="AE25" s="1" t="str">
        <f aca="false">IF($A25="","",IFERROR((I25-P25)/I25,0))</f>
        <v/>
      </c>
      <c r="AF25" s="1" t="str">
        <f aca="false">IF($A25="","",IFERROR(MAX(0,(I25-P25)*G25),0))</f>
        <v/>
      </c>
      <c r="AG25" s="1" t="str">
        <f aca="false">IF($A25="","",IF(COUNTIFS(候选池!$C$2:$C$201,C25,候选池!$K$2:$K$201,"核心池")&gt;0,"核心池","否"))</f>
        <v/>
      </c>
      <c r="AH25" s="1" t="str">
        <f aca="false">IF(A25="","",IF(OR(J25="",K25="",K25=0),"",IF((J25-K25)/K25&lt;0.05,"不可加仓(无浮盈护垫)",IF(N25&gt;0.6,"不可加仓(超三买上限)",IF(N25&gt;0.5,"可加仓(三买区,上限60%)",IF(N25&gt;0.35,"可加仓(二买区,上限50%)","可加仓(一买区,上限35%)"))))))</f>
        <v/>
      </c>
    </row>
    <row r="26" customFormat="false" ht="15" hidden="false" customHeight="true" outlineLevel="0" collapsed="false">
      <c r="A26" s="28"/>
      <c r="B26" s="28"/>
      <c r="C26" s="28"/>
      <c r="D26" s="28"/>
      <c r="E26" s="34"/>
      <c r="F26" s="28"/>
      <c r="G26" s="37"/>
      <c r="H26" s="34"/>
      <c r="I26" s="34"/>
      <c r="J26" s="35"/>
      <c r="K26" s="35"/>
      <c r="L26" s="35"/>
      <c r="M26" s="36"/>
      <c r="N26" s="36"/>
      <c r="O26" s="34"/>
      <c r="P26" s="35"/>
      <c r="Q26" s="39"/>
      <c r="R26" s="40"/>
      <c r="S26" s="28"/>
      <c r="T26" s="29"/>
      <c r="U26" s="29"/>
      <c r="V26" s="39"/>
      <c r="W26" s="39"/>
      <c r="X26" s="39"/>
      <c r="Y26" s="39"/>
      <c r="Z26" s="39"/>
      <c r="AA26" s="39" t="str">
        <f aca="false">IF($A26="","",IFERROR(INDEX(账户总表!$B:$B,MATCH($A26,账户总表!$A:$A,0))*INDEX(账户总表!$O:$O,MATCH($A26,账户总表!$A:$A,0)),0))</f>
        <v/>
      </c>
      <c r="AB26" s="57" t="str">
        <f aca="false">IF($A26="","",IFERROR(MAX(0,AA26-J26),0))</f>
        <v/>
      </c>
      <c r="AC26" s="39" t="str">
        <f aca="false">IF($A26="","",IF(I26&gt;0,IFERROR(FLOOR(AB26/I26,100),0),0))</f>
        <v/>
      </c>
      <c r="AD26" s="28" t="str">
        <f aca="false">IF($A26="","",IF(N26&gt;INDEX(账户总表!$O:$O,MATCH($A26,账户总表!$A:$A,0)),"超限","合规"))</f>
        <v/>
      </c>
      <c r="AE26" s="1" t="str">
        <f aca="false">IF($A26="","",IFERROR((I26-P26)/I26,0))</f>
        <v/>
      </c>
      <c r="AF26" s="1" t="str">
        <f aca="false">IF($A26="","",IFERROR(MAX(0,(I26-P26)*G26),0))</f>
        <v/>
      </c>
      <c r="AG26" s="1" t="str">
        <f aca="false">IF($A26="","",IF(COUNTIFS(候选池!$C$2:$C$201,C26,候选池!$K$2:$K$201,"核心池")&gt;0,"核心池","否"))</f>
        <v/>
      </c>
      <c r="AH26" s="1" t="str">
        <f aca="false">IF(A26="","",IF(OR(J26="",K26="",K26=0),"",IF((J26-K26)/K26&lt;0.05,"不可加仓(无浮盈护垫)",IF(N26&gt;0.6,"不可加仓(超三买上限)",IF(N26&gt;0.5,"可加仓(三买区,上限60%)",IF(N26&gt;0.35,"可加仓(二买区,上限50%)","可加仓(一买区,上限35%)"))))))</f>
        <v/>
      </c>
    </row>
    <row r="27" customFormat="false" ht="15" hidden="false" customHeight="true" outlineLevel="0" collapsed="false">
      <c r="A27" s="30"/>
      <c r="B27" s="30"/>
      <c r="C27" s="30"/>
      <c r="D27" s="30"/>
      <c r="E27" s="44"/>
      <c r="F27" s="30"/>
      <c r="G27" s="45"/>
      <c r="H27" s="44"/>
      <c r="I27" s="44"/>
      <c r="J27" s="35"/>
      <c r="K27" s="35"/>
      <c r="L27" s="35"/>
      <c r="M27" s="36"/>
      <c r="N27" s="36"/>
      <c r="O27" s="44"/>
      <c r="P27" s="35"/>
      <c r="Q27" s="39"/>
      <c r="R27" s="46"/>
      <c r="S27" s="30"/>
      <c r="T27" s="31"/>
      <c r="U27" s="31"/>
      <c r="V27" s="39"/>
      <c r="W27" s="39"/>
      <c r="X27" s="39"/>
      <c r="Y27" s="39"/>
      <c r="Z27" s="39"/>
      <c r="AA27" s="39" t="str">
        <f aca="false">IF($A27="","",IFERROR(INDEX(账户总表!$B:$B,MATCH($A27,账户总表!$A:$A,0))*INDEX(账户总表!$O:$O,MATCH($A27,账户总表!$A:$A,0)),0))</f>
        <v/>
      </c>
      <c r="AB27" s="57" t="str">
        <f aca="false">IF($A27="","",IFERROR(MAX(0,AA27-J27),0))</f>
        <v/>
      </c>
      <c r="AC27" s="39" t="str">
        <f aca="false">IF($A27="","",IF(I27&gt;0,IFERROR(FLOOR(AB27/I27,100),0),0))</f>
        <v/>
      </c>
      <c r="AD27" s="30" t="str">
        <f aca="false">IF($A27="","",IF(N27&gt;INDEX(账户总表!$O:$O,MATCH($A27,账户总表!$A:$A,0)),"超限","合规"))</f>
        <v/>
      </c>
      <c r="AE27" s="1" t="str">
        <f aca="false">IF($A27="","",IFERROR((I27-P27)/I27,0))</f>
        <v/>
      </c>
      <c r="AF27" s="1" t="str">
        <f aca="false">IF($A27="","",IFERROR(MAX(0,(I27-P27)*G27),0))</f>
        <v/>
      </c>
      <c r="AG27" s="1" t="str">
        <f aca="false">IF($A27="","",IF(COUNTIFS(候选池!$C$2:$C$201,C27,候选池!$K$2:$K$201,"核心池")&gt;0,"核心池","否"))</f>
        <v/>
      </c>
      <c r="AH27" s="1" t="str">
        <f aca="false">IF(A27="","",IF(OR(J27="",K27="",K27=0),"",IF((J27-K27)/K27&lt;0.05,"不可加仓(无浮盈护垫)",IF(N27&gt;0.6,"不可加仓(超三买上限)",IF(N27&gt;0.5,"可加仓(三买区,上限60%)",IF(N27&gt;0.35,"可加仓(二买区,上限50%)","可加仓(一买区,上限35%)"))))))</f>
        <v/>
      </c>
    </row>
    <row r="28" customFormat="false" ht="15" hidden="false" customHeight="true" outlineLevel="0" collapsed="false">
      <c r="A28" s="28"/>
      <c r="B28" s="28"/>
      <c r="C28" s="28"/>
      <c r="D28" s="28"/>
      <c r="E28" s="34"/>
      <c r="F28" s="28"/>
      <c r="G28" s="37"/>
      <c r="H28" s="34"/>
      <c r="I28" s="34"/>
      <c r="J28" s="35"/>
      <c r="K28" s="35"/>
      <c r="L28" s="35"/>
      <c r="M28" s="36"/>
      <c r="N28" s="36"/>
      <c r="O28" s="34"/>
      <c r="P28" s="35"/>
      <c r="Q28" s="39"/>
      <c r="R28" s="40"/>
      <c r="S28" s="28"/>
      <c r="T28" s="29"/>
      <c r="U28" s="29"/>
      <c r="V28" s="39"/>
      <c r="W28" s="39"/>
      <c r="X28" s="39"/>
      <c r="Y28" s="39"/>
      <c r="Z28" s="39"/>
      <c r="AA28" s="39" t="str">
        <f aca="false">IF($A28="","",IFERROR(INDEX(账户总表!$B:$B,MATCH($A28,账户总表!$A:$A,0))*INDEX(账户总表!$O:$O,MATCH($A28,账户总表!$A:$A,0)),0))</f>
        <v/>
      </c>
      <c r="AB28" s="57" t="str">
        <f aca="false">IF($A28="","",IFERROR(MAX(0,AA28-J28),0))</f>
        <v/>
      </c>
      <c r="AC28" s="39" t="str">
        <f aca="false">IF($A28="","",IF(I28&gt;0,IFERROR(FLOOR(AB28/I28,100),0),0))</f>
        <v/>
      </c>
      <c r="AD28" s="28" t="str">
        <f aca="false">IF($A28="","",IF(N28&gt;INDEX(账户总表!$O:$O,MATCH($A28,账户总表!$A:$A,0)),"超限","合规"))</f>
        <v/>
      </c>
      <c r="AE28" s="1" t="str">
        <f aca="false">IF($A28="","",IFERROR((I28-P28)/I28,0))</f>
        <v/>
      </c>
      <c r="AF28" s="1" t="str">
        <f aca="false">IF($A28="","",IFERROR(MAX(0,(I28-P28)*G28),0))</f>
        <v/>
      </c>
      <c r="AG28" s="1" t="str">
        <f aca="false">IF($A28="","",IF(COUNTIFS(候选池!$C$2:$C$201,C28,候选池!$K$2:$K$201,"核心池")&gt;0,"核心池","否"))</f>
        <v/>
      </c>
      <c r="AH28" s="1" t="str">
        <f aca="false">IF(A28="","",IF(OR(J28="",K28="",K28=0),"",IF((J28-K28)/K28&lt;0.05,"不可加仓(无浮盈护垫)",IF(N28&gt;0.6,"不可加仓(超三买上限)",IF(N28&gt;0.5,"可加仓(三买区,上限60%)",IF(N28&gt;0.35,"可加仓(二买区,上限50%)","可加仓(一买区,上限35%)"))))))</f>
        <v/>
      </c>
    </row>
    <row r="29" customFormat="false" ht="15" hidden="false" customHeight="true" outlineLevel="0" collapsed="false">
      <c r="A29" s="30"/>
      <c r="B29" s="30"/>
      <c r="C29" s="30"/>
      <c r="D29" s="30"/>
      <c r="E29" s="44"/>
      <c r="F29" s="30"/>
      <c r="G29" s="45"/>
      <c r="H29" s="44"/>
      <c r="I29" s="44"/>
      <c r="J29" s="35"/>
      <c r="K29" s="35"/>
      <c r="L29" s="35"/>
      <c r="M29" s="36"/>
      <c r="N29" s="36"/>
      <c r="O29" s="44"/>
      <c r="P29" s="35"/>
      <c r="Q29" s="39"/>
      <c r="R29" s="46"/>
      <c r="S29" s="30"/>
      <c r="T29" s="31"/>
      <c r="U29" s="31"/>
      <c r="V29" s="39"/>
      <c r="W29" s="39"/>
      <c r="X29" s="39"/>
      <c r="Y29" s="39"/>
      <c r="Z29" s="39"/>
      <c r="AA29" s="39" t="str">
        <f aca="false">IF($A29="","",IFERROR(INDEX(账户总表!$B:$B,MATCH($A29,账户总表!$A:$A,0))*INDEX(账户总表!$O:$O,MATCH($A29,账户总表!$A:$A,0)),0))</f>
        <v/>
      </c>
      <c r="AB29" s="57" t="str">
        <f aca="false">IF($A29="","",IFERROR(MAX(0,AA29-J29),0))</f>
        <v/>
      </c>
      <c r="AC29" s="39" t="str">
        <f aca="false">IF($A29="","",IF(I29&gt;0,IFERROR(FLOOR(AB29/I29,100),0),0))</f>
        <v/>
      </c>
      <c r="AD29" s="30" t="str">
        <f aca="false">IF($A29="","",IF(N29&gt;INDEX(账户总表!$O:$O,MATCH($A29,账户总表!$A:$A,0)),"超限","合规"))</f>
        <v/>
      </c>
      <c r="AE29" s="1" t="str">
        <f aca="false">IF($A29="","",IFERROR((I29-P29)/I29,0))</f>
        <v/>
      </c>
      <c r="AF29" s="1" t="str">
        <f aca="false">IF($A29="","",IFERROR(MAX(0,(I29-P29)*G29),0))</f>
        <v/>
      </c>
      <c r="AG29" s="1" t="str">
        <f aca="false">IF($A29="","",IF(COUNTIFS(候选池!$C$2:$C$201,C29,候选池!$K$2:$K$201,"核心池")&gt;0,"核心池","否"))</f>
        <v/>
      </c>
      <c r="AH29" s="1" t="str">
        <f aca="false">IF(A29="","",IF(OR(J29="",K29="",K29=0),"",IF((J29-K29)/K29&lt;0.05,"不可加仓(无浮盈护垫)",IF(N29&gt;0.6,"不可加仓(超三买上限)",IF(N29&gt;0.5,"可加仓(三买区,上限60%)",IF(N29&gt;0.35,"可加仓(二买区,上限50%)","可加仓(一买区,上限35%)"))))))</f>
        <v/>
      </c>
    </row>
    <row r="30" customFormat="false" ht="15" hidden="false" customHeight="true" outlineLevel="0" collapsed="false">
      <c r="A30" s="28"/>
      <c r="B30" s="28"/>
      <c r="C30" s="28"/>
      <c r="D30" s="28"/>
      <c r="E30" s="34"/>
      <c r="F30" s="28"/>
      <c r="G30" s="37"/>
      <c r="H30" s="34"/>
      <c r="I30" s="34"/>
      <c r="J30" s="35"/>
      <c r="K30" s="35"/>
      <c r="L30" s="35"/>
      <c r="M30" s="36"/>
      <c r="N30" s="36"/>
      <c r="O30" s="34"/>
      <c r="P30" s="35"/>
      <c r="Q30" s="39"/>
      <c r="R30" s="40"/>
      <c r="S30" s="28"/>
      <c r="T30" s="29"/>
      <c r="U30" s="29"/>
      <c r="V30" s="39"/>
      <c r="W30" s="39"/>
      <c r="X30" s="39"/>
      <c r="Y30" s="39"/>
      <c r="Z30" s="39"/>
      <c r="AA30" s="39" t="str">
        <f aca="false">IF($A30="","",IFERROR(INDEX(账户总表!$B:$B,MATCH($A30,账户总表!$A:$A,0))*INDEX(账户总表!$O:$O,MATCH($A30,账户总表!$A:$A,0)),0))</f>
        <v/>
      </c>
      <c r="AB30" s="57" t="str">
        <f aca="false">IF($A30="","",IFERROR(MAX(0,AA30-J30),0))</f>
        <v/>
      </c>
      <c r="AC30" s="39" t="str">
        <f aca="false">IF($A30="","",IF(I30&gt;0,IFERROR(FLOOR(AB30/I30,100),0),0))</f>
        <v/>
      </c>
      <c r="AD30" s="28" t="str">
        <f aca="false">IF($A30="","",IF(N30&gt;INDEX(账户总表!$O:$O,MATCH($A30,账户总表!$A:$A,0)),"超限","合规"))</f>
        <v/>
      </c>
      <c r="AE30" s="1" t="str">
        <f aca="false">IF($A30="","",IFERROR((I30-P30)/I30,0))</f>
        <v/>
      </c>
      <c r="AF30" s="1" t="str">
        <f aca="false">IF($A30="","",IFERROR(MAX(0,(I30-P30)*G30),0))</f>
        <v/>
      </c>
      <c r="AG30" s="1" t="str">
        <f aca="false">IF($A30="","",IF(COUNTIFS(候选池!$C$2:$C$201,C30,候选池!$K$2:$K$201,"核心池")&gt;0,"核心池","否"))</f>
        <v/>
      </c>
      <c r="AH30" s="1" t="str">
        <f aca="false">IF(A30="","",IF(OR(J30="",K30="",K30=0),"",IF((J30-K30)/K30&lt;0.05,"不可加仓(无浮盈护垫)",IF(N30&gt;0.6,"不可加仓(超三买上限)",IF(N30&gt;0.5,"可加仓(三买区,上限60%)",IF(N30&gt;0.35,"可加仓(二买区,上限50%)","可加仓(一买区,上限35%)"))))))</f>
        <v/>
      </c>
    </row>
    <row r="31" customFormat="false" ht="15" hidden="false" customHeight="true" outlineLevel="0" collapsed="false">
      <c r="A31" s="30"/>
      <c r="B31" s="30"/>
      <c r="C31" s="30"/>
      <c r="D31" s="30"/>
      <c r="E31" s="44"/>
      <c r="F31" s="30"/>
      <c r="G31" s="45"/>
      <c r="H31" s="44"/>
      <c r="I31" s="44"/>
      <c r="J31" s="35"/>
      <c r="K31" s="35"/>
      <c r="L31" s="35"/>
      <c r="M31" s="36"/>
      <c r="N31" s="36"/>
      <c r="O31" s="44"/>
      <c r="P31" s="35"/>
      <c r="Q31" s="39"/>
      <c r="R31" s="46"/>
      <c r="S31" s="30"/>
      <c r="T31" s="31"/>
      <c r="U31" s="31"/>
      <c r="V31" s="39"/>
      <c r="W31" s="39"/>
      <c r="X31" s="39"/>
      <c r="Y31" s="39"/>
      <c r="Z31" s="39"/>
      <c r="AA31" s="39" t="str">
        <f aca="false">IF($A31="","",IFERROR(INDEX(账户总表!$B:$B,MATCH($A31,账户总表!$A:$A,0))*INDEX(账户总表!$O:$O,MATCH($A31,账户总表!$A:$A,0)),0))</f>
        <v/>
      </c>
      <c r="AB31" s="57" t="str">
        <f aca="false">IF($A31="","",IFERROR(MAX(0,AA31-J31),0))</f>
        <v/>
      </c>
      <c r="AC31" s="39" t="str">
        <f aca="false">IF($A31="","",IF(I31&gt;0,IFERROR(FLOOR(AB31/I31,100),0),0))</f>
        <v/>
      </c>
      <c r="AD31" s="30" t="str">
        <f aca="false">IF($A31="","",IF(N31&gt;INDEX(账户总表!$O:$O,MATCH($A31,账户总表!$A:$A,0)),"超限","合规"))</f>
        <v/>
      </c>
      <c r="AE31" s="1" t="str">
        <f aca="false">IF($A31="","",IFERROR((I31-P31)/I31,0))</f>
        <v/>
      </c>
      <c r="AF31" s="1" t="str">
        <f aca="false">IF($A31="","",IFERROR(MAX(0,(I31-P31)*G31),0))</f>
        <v/>
      </c>
      <c r="AG31" s="1" t="str">
        <f aca="false">IF($A31="","",IF(COUNTIFS(候选池!$C$2:$C$201,C31,候选池!$K$2:$K$201,"核心池")&gt;0,"核心池","否"))</f>
        <v/>
      </c>
      <c r="AH31" s="1" t="str">
        <f aca="false">IF(A31="","",IF(OR(J31="",K31="",K31=0),"",IF((J31-K31)/K31&lt;0.05,"不可加仓(无浮盈护垫)",IF(N31&gt;0.6,"不可加仓(超三买上限)",IF(N31&gt;0.5,"可加仓(三买区,上限60%)",IF(N31&gt;0.35,"可加仓(二买区,上限50%)","可加仓(一买区,上限35%)"))))))</f>
        <v/>
      </c>
    </row>
    <row r="32" customFormat="false" ht="15" hidden="false" customHeight="true" outlineLevel="0" collapsed="false">
      <c r="A32" s="28"/>
      <c r="B32" s="28"/>
      <c r="C32" s="28"/>
      <c r="D32" s="28"/>
      <c r="E32" s="34"/>
      <c r="F32" s="28"/>
      <c r="G32" s="37"/>
      <c r="H32" s="34"/>
      <c r="I32" s="34"/>
      <c r="J32" s="35"/>
      <c r="K32" s="35"/>
      <c r="L32" s="35"/>
      <c r="M32" s="36"/>
      <c r="N32" s="36"/>
      <c r="O32" s="34"/>
      <c r="P32" s="35"/>
      <c r="Q32" s="39"/>
      <c r="R32" s="40"/>
      <c r="S32" s="28"/>
      <c r="T32" s="29"/>
      <c r="U32" s="29"/>
      <c r="V32" s="39"/>
      <c r="W32" s="39"/>
      <c r="X32" s="39"/>
      <c r="Y32" s="39"/>
      <c r="Z32" s="39"/>
      <c r="AA32" s="39" t="str">
        <f aca="false">IF($A32="","",IFERROR(INDEX(账户总表!$B:$B,MATCH($A32,账户总表!$A:$A,0))*INDEX(账户总表!$O:$O,MATCH($A32,账户总表!$A:$A,0)),0))</f>
        <v/>
      </c>
      <c r="AB32" s="57" t="str">
        <f aca="false">IF($A32="","",IFERROR(MAX(0,AA32-J32),0))</f>
        <v/>
      </c>
      <c r="AC32" s="39" t="str">
        <f aca="false">IF($A32="","",IF(I32&gt;0,IFERROR(FLOOR(AB32/I32,100),0),0))</f>
        <v/>
      </c>
      <c r="AD32" s="28" t="str">
        <f aca="false">IF($A32="","",IF(N32&gt;INDEX(账户总表!$O:$O,MATCH($A32,账户总表!$A:$A,0)),"超限","合规"))</f>
        <v/>
      </c>
      <c r="AE32" s="1" t="str">
        <f aca="false">IF($A32="","",IFERROR((I32-P32)/I32,0))</f>
        <v/>
      </c>
      <c r="AF32" s="1" t="str">
        <f aca="false">IF($A32="","",IFERROR(MAX(0,(I32-P32)*G32),0))</f>
        <v/>
      </c>
      <c r="AG32" s="1" t="str">
        <f aca="false">IF($A32="","",IF(COUNTIFS(候选池!$C$2:$C$201,C32,候选池!$K$2:$K$201,"核心池")&gt;0,"核心池","否"))</f>
        <v/>
      </c>
      <c r="AH32" s="1" t="str">
        <f aca="false">IF(A32="","",IF(OR(J32="",K32="",K32=0),"",IF((J32-K32)/K32&lt;0.05,"不可加仓(无浮盈护垫)",IF(N32&gt;0.6,"不可加仓(超三买上限)",IF(N32&gt;0.5,"可加仓(三买区,上限60%)",IF(N32&gt;0.35,"可加仓(二买区,上限50%)","可加仓(一买区,上限35%)"))))))</f>
        <v/>
      </c>
    </row>
    <row r="33" customFormat="false" ht="15" hidden="false" customHeight="true" outlineLevel="0" collapsed="false">
      <c r="A33" s="30"/>
      <c r="B33" s="30"/>
      <c r="C33" s="30"/>
      <c r="D33" s="30"/>
      <c r="E33" s="44"/>
      <c r="F33" s="30"/>
      <c r="G33" s="45"/>
      <c r="H33" s="44"/>
      <c r="I33" s="44"/>
      <c r="J33" s="35"/>
      <c r="K33" s="35"/>
      <c r="L33" s="35"/>
      <c r="M33" s="36"/>
      <c r="N33" s="36"/>
      <c r="O33" s="44"/>
      <c r="P33" s="35"/>
      <c r="Q33" s="39"/>
      <c r="R33" s="46"/>
      <c r="S33" s="30"/>
      <c r="T33" s="31"/>
      <c r="U33" s="31"/>
      <c r="V33" s="39"/>
      <c r="W33" s="39"/>
      <c r="X33" s="39"/>
      <c r="Y33" s="39"/>
      <c r="Z33" s="39"/>
      <c r="AA33" s="39" t="str">
        <f aca="false">IF($A33="","",IFERROR(INDEX(账户总表!$B:$B,MATCH($A33,账户总表!$A:$A,0))*INDEX(账户总表!$O:$O,MATCH($A33,账户总表!$A:$A,0)),0))</f>
        <v/>
      </c>
      <c r="AB33" s="57" t="str">
        <f aca="false">IF($A33="","",IFERROR(MAX(0,AA33-J33),0))</f>
        <v/>
      </c>
      <c r="AC33" s="39" t="str">
        <f aca="false">IF($A33="","",IF(I33&gt;0,IFERROR(FLOOR(AB33/I33,100),0),0))</f>
        <v/>
      </c>
      <c r="AD33" s="30" t="str">
        <f aca="false">IF($A33="","",IF(N33&gt;INDEX(账户总表!$O:$O,MATCH($A33,账户总表!$A:$A,0)),"超限","合规"))</f>
        <v/>
      </c>
      <c r="AE33" s="1" t="str">
        <f aca="false">IF($A33="","",IFERROR((I33-P33)/I33,0))</f>
        <v/>
      </c>
      <c r="AF33" s="1" t="str">
        <f aca="false">IF($A33="","",IFERROR(MAX(0,(I33-P33)*G33),0))</f>
        <v/>
      </c>
      <c r="AG33" s="1" t="str">
        <f aca="false">IF($A33="","",IF(COUNTIFS(候选池!$C$2:$C$201,C33,候选池!$K$2:$K$201,"核心池")&gt;0,"核心池","否"))</f>
        <v/>
      </c>
      <c r="AH33" s="1" t="str">
        <f aca="false">IF(A33="","",IF(OR(J33="",K33="",K33=0),"",IF((J33-K33)/K33&lt;0.05,"不可加仓(无浮盈护垫)",IF(N33&gt;0.6,"不可加仓(超三买上限)",IF(N33&gt;0.5,"可加仓(三买区,上限60%)",IF(N33&gt;0.35,"可加仓(二买区,上限50%)","可加仓(一买区,上限35%)"))))))</f>
        <v/>
      </c>
    </row>
    <row r="34" customFormat="false" ht="15" hidden="false" customHeight="true" outlineLevel="0" collapsed="false">
      <c r="A34" s="28"/>
      <c r="B34" s="28"/>
      <c r="C34" s="28"/>
      <c r="D34" s="28"/>
      <c r="E34" s="34"/>
      <c r="F34" s="28"/>
      <c r="G34" s="37"/>
      <c r="H34" s="34"/>
      <c r="I34" s="34"/>
      <c r="J34" s="35"/>
      <c r="K34" s="35"/>
      <c r="L34" s="35"/>
      <c r="M34" s="36"/>
      <c r="N34" s="36"/>
      <c r="O34" s="34"/>
      <c r="P34" s="35"/>
      <c r="Q34" s="39"/>
      <c r="R34" s="40"/>
      <c r="S34" s="28"/>
      <c r="T34" s="29"/>
      <c r="U34" s="29"/>
      <c r="V34" s="39"/>
      <c r="W34" s="39"/>
      <c r="X34" s="39"/>
      <c r="Y34" s="39"/>
      <c r="Z34" s="39"/>
      <c r="AA34" s="39" t="str">
        <f aca="false">IF($A34="","",IFERROR(INDEX(账户总表!$B:$B,MATCH($A34,账户总表!$A:$A,0))*INDEX(账户总表!$O:$O,MATCH($A34,账户总表!$A:$A,0)),0))</f>
        <v/>
      </c>
      <c r="AB34" s="57" t="str">
        <f aca="false">IF($A34="","",IFERROR(MAX(0,AA34-J34),0))</f>
        <v/>
      </c>
      <c r="AC34" s="39" t="str">
        <f aca="false">IF($A34="","",IF(I34&gt;0,IFERROR(FLOOR(AB34/I34,100),0),0))</f>
        <v/>
      </c>
      <c r="AD34" s="28" t="str">
        <f aca="false">IF($A34="","",IF(N34&gt;INDEX(账户总表!$O:$O,MATCH($A34,账户总表!$A:$A,0)),"超限","合规"))</f>
        <v/>
      </c>
      <c r="AE34" s="1" t="str">
        <f aca="false">IF($A34="","",IFERROR((I34-P34)/I34,0))</f>
        <v/>
      </c>
      <c r="AF34" s="1" t="str">
        <f aca="false">IF($A34="","",IFERROR(MAX(0,(I34-P34)*G34),0))</f>
        <v/>
      </c>
      <c r="AG34" s="1" t="str">
        <f aca="false">IF($A34="","",IF(COUNTIFS(候选池!$C$2:$C$201,C34,候选池!$K$2:$K$201,"核心池")&gt;0,"核心池","否"))</f>
        <v/>
      </c>
      <c r="AH34" s="1" t="str">
        <f aca="false">IF(A34="","",IF(OR(J34="",K34="",K34=0),"",IF((J34-K34)/K34&lt;0.05,"不可加仓(无浮盈护垫)",IF(N34&gt;0.6,"不可加仓(超三买上限)",IF(N34&gt;0.5,"可加仓(三买区,上限60%)",IF(N34&gt;0.35,"可加仓(二买区,上限50%)","可加仓(一买区,上限35%)"))))))</f>
        <v/>
      </c>
    </row>
    <row r="35" customFormat="false" ht="15" hidden="false" customHeight="true" outlineLevel="0" collapsed="false">
      <c r="A35" s="30"/>
      <c r="B35" s="30"/>
      <c r="C35" s="30"/>
      <c r="D35" s="30"/>
      <c r="E35" s="44"/>
      <c r="F35" s="30"/>
      <c r="G35" s="45"/>
      <c r="H35" s="44"/>
      <c r="I35" s="44"/>
      <c r="J35" s="35"/>
      <c r="K35" s="35"/>
      <c r="L35" s="35"/>
      <c r="M35" s="36"/>
      <c r="N35" s="36"/>
      <c r="O35" s="44"/>
      <c r="P35" s="35"/>
      <c r="Q35" s="39"/>
      <c r="R35" s="46"/>
      <c r="S35" s="30"/>
      <c r="T35" s="31"/>
      <c r="U35" s="31"/>
      <c r="V35" s="39"/>
      <c r="W35" s="39"/>
      <c r="X35" s="39"/>
      <c r="Y35" s="39"/>
      <c r="Z35" s="39"/>
      <c r="AA35" s="39" t="str">
        <f aca="false">IF($A35="","",IFERROR(INDEX(账户总表!$B:$B,MATCH($A35,账户总表!$A:$A,0))*INDEX(账户总表!$O:$O,MATCH($A35,账户总表!$A:$A,0)),0))</f>
        <v/>
      </c>
      <c r="AB35" s="57" t="str">
        <f aca="false">IF($A35="","",IFERROR(MAX(0,AA35-J35),0))</f>
        <v/>
      </c>
      <c r="AC35" s="39" t="str">
        <f aca="false">IF($A35="","",IF(I35&gt;0,IFERROR(FLOOR(AB35/I35,100),0),0))</f>
        <v/>
      </c>
      <c r="AD35" s="30" t="str">
        <f aca="false">IF($A35="","",IF(N35&gt;INDEX(账户总表!$O:$O,MATCH($A35,账户总表!$A:$A,0)),"超限","合规"))</f>
        <v/>
      </c>
      <c r="AE35" s="1" t="str">
        <f aca="false">IF($A35="","",IFERROR((I35-P35)/I35,0))</f>
        <v/>
      </c>
      <c r="AF35" s="1" t="str">
        <f aca="false">IF($A35="","",IFERROR(MAX(0,(I35-P35)*G35),0))</f>
        <v/>
      </c>
      <c r="AG35" s="1" t="str">
        <f aca="false">IF($A35="","",IF(COUNTIFS(候选池!$C$2:$C$201,C35,候选池!$K$2:$K$201,"核心池")&gt;0,"核心池","否"))</f>
        <v/>
      </c>
      <c r="AH35" s="1" t="str">
        <f aca="false">IF(A35="","",IF(OR(J35="",K35="",K35=0),"",IF((J35-K35)/K35&lt;0.05,"不可加仓(无浮盈护垫)",IF(N35&gt;0.6,"不可加仓(超三买上限)",IF(N35&gt;0.5,"可加仓(三买区,上限60%)",IF(N35&gt;0.35,"可加仓(二买区,上限50%)","可加仓(一买区,上限35%)"))))))</f>
        <v/>
      </c>
    </row>
    <row r="36" customFormat="false" ht="15" hidden="false" customHeight="true" outlineLevel="0" collapsed="false">
      <c r="A36" s="28"/>
      <c r="B36" s="28"/>
      <c r="C36" s="28"/>
      <c r="D36" s="28"/>
      <c r="E36" s="34"/>
      <c r="F36" s="28"/>
      <c r="G36" s="37"/>
      <c r="H36" s="34"/>
      <c r="I36" s="34"/>
      <c r="J36" s="35"/>
      <c r="K36" s="35"/>
      <c r="L36" s="35"/>
      <c r="M36" s="36"/>
      <c r="N36" s="36"/>
      <c r="O36" s="34"/>
      <c r="P36" s="35"/>
      <c r="Q36" s="39"/>
      <c r="R36" s="40"/>
      <c r="S36" s="28"/>
      <c r="T36" s="29"/>
      <c r="U36" s="29"/>
      <c r="V36" s="39"/>
      <c r="W36" s="39"/>
      <c r="X36" s="39"/>
      <c r="Y36" s="39"/>
      <c r="Z36" s="39"/>
      <c r="AA36" s="39" t="str">
        <f aca="false">IF($A36="","",IFERROR(INDEX(账户总表!$B:$B,MATCH($A36,账户总表!$A:$A,0))*INDEX(账户总表!$O:$O,MATCH($A36,账户总表!$A:$A,0)),0))</f>
        <v/>
      </c>
      <c r="AB36" s="57" t="str">
        <f aca="false">IF($A36="","",IFERROR(MAX(0,AA36-J36),0))</f>
        <v/>
      </c>
      <c r="AC36" s="39" t="str">
        <f aca="false">IF($A36="","",IF(I36&gt;0,IFERROR(FLOOR(AB36/I36,100),0),0))</f>
        <v/>
      </c>
      <c r="AD36" s="28" t="str">
        <f aca="false">IF($A36="","",IF(N36&gt;INDEX(账户总表!$O:$O,MATCH($A36,账户总表!$A:$A,0)),"超限","合规"))</f>
        <v/>
      </c>
      <c r="AE36" s="1" t="str">
        <f aca="false">IF($A36="","",IFERROR((I36-P36)/I36,0))</f>
        <v/>
      </c>
      <c r="AF36" s="1" t="str">
        <f aca="false">IF($A36="","",IFERROR(MAX(0,(I36-P36)*G36),0))</f>
        <v/>
      </c>
      <c r="AG36" s="1" t="str">
        <f aca="false">IF($A36="","",IF(COUNTIFS(候选池!$C$2:$C$201,C36,候选池!$K$2:$K$201,"核心池")&gt;0,"核心池","否"))</f>
        <v/>
      </c>
      <c r="AH36" s="1" t="str">
        <f aca="false">IF(A36="","",IF(OR(J36="",K36="",K36=0),"",IF((J36-K36)/K36&lt;0.05,"不可加仓(无浮盈护垫)",IF(N36&gt;0.6,"不可加仓(超三买上限)",IF(N36&gt;0.5,"可加仓(三买区,上限60%)",IF(N36&gt;0.35,"可加仓(二买区,上限50%)","可加仓(一买区,上限35%)"))))))</f>
        <v/>
      </c>
    </row>
    <row r="37" customFormat="false" ht="15" hidden="false" customHeight="true" outlineLevel="0" collapsed="false">
      <c r="A37" s="30"/>
      <c r="B37" s="30"/>
      <c r="C37" s="30"/>
      <c r="D37" s="30"/>
      <c r="E37" s="44"/>
      <c r="F37" s="30"/>
      <c r="G37" s="45"/>
      <c r="H37" s="44"/>
      <c r="I37" s="44"/>
      <c r="J37" s="35"/>
      <c r="K37" s="35"/>
      <c r="L37" s="35"/>
      <c r="M37" s="36"/>
      <c r="N37" s="36"/>
      <c r="O37" s="44"/>
      <c r="P37" s="35"/>
      <c r="Q37" s="39"/>
      <c r="R37" s="46"/>
      <c r="S37" s="30"/>
      <c r="T37" s="31"/>
      <c r="U37" s="31"/>
      <c r="V37" s="39"/>
      <c r="W37" s="39"/>
      <c r="X37" s="39"/>
      <c r="Y37" s="39"/>
      <c r="Z37" s="39"/>
      <c r="AA37" s="39" t="str">
        <f aca="false">IF($A37="","",IFERROR(INDEX(账户总表!$B:$B,MATCH($A37,账户总表!$A:$A,0))*INDEX(账户总表!$O:$O,MATCH($A37,账户总表!$A:$A,0)),0))</f>
        <v/>
      </c>
      <c r="AB37" s="57" t="str">
        <f aca="false">IF($A37="","",IFERROR(MAX(0,AA37-J37),0))</f>
        <v/>
      </c>
      <c r="AC37" s="39" t="str">
        <f aca="false">IF($A37="","",IF(I37&gt;0,IFERROR(FLOOR(AB37/I37,100),0),0))</f>
        <v/>
      </c>
      <c r="AD37" s="30" t="str">
        <f aca="false">IF($A37="","",IF(N37&gt;INDEX(账户总表!$O:$O,MATCH($A37,账户总表!$A:$A,0)),"超限","合规"))</f>
        <v/>
      </c>
      <c r="AE37" s="1" t="str">
        <f aca="false">IF($A37="","",IFERROR((I37-P37)/I37,0))</f>
        <v/>
      </c>
      <c r="AF37" s="1" t="str">
        <f aca="false">IF($A37="","",IFERROR(MAX(0,(I37-P37)*G37),0))</f>
        <v/>
      </c>
      <c r="AG37" s="1" t="str">
        <f aca="false">IF($A37="","",IF(COUNTIFS(候选池!$C$2:$C$201,C37,候选池!$K$2:$K$201,"核心池")&gt;0,"核心池","否"))</f>
        <v/>
      </c>
      <c r="AH37" s="1" t="str">
        <f aca="false">IF(A37="","",IF(OR(J37="",K37="",K37=0),"",IF((J37-K37)/K37&lt;0.05,"不可加仓(无浮盈护垫)",IF(N37&gt;0.6,"不可加仓(超三买上限)",IF(N37&gt;0.5,"可加仓(三买区,上限60%)",IF(N37&gt;0.35,"可加仓(二买区,上限50%)","可加仓(一买区,上限35%)"))))))</f>
        <v/>
      </c>
    </row>
    <row r="38" customFormat="false" ht="15" hidden="false" customHeight="true" outlineLevel="0" collapsed="false">
      <c r="A38" s="28"/>
      <c r="B38" s="28"/>
      <c r="C38" s="28"/>
      <c r="D38" s="28"/>
      <c r="E38" s="34"/>
      <c r="F38" s="28"/>
      <c r="G38" s="37"/>
      <c r="H38" s="34"/>
      <c r="I38" s="34"/>
      <c r="J38" s="35"/>
      <c r="K38" s="35"/>
      <c r="L38" s="35"/>
      <c r="M38" s="36"/>
      <c r="N38" s="36"/>
      <c r="O38" s="34"/>
      <c r="P38" s="35"/>
      <c r="Q38" s="39"/>
      <c r="R38" s="40"/>
      <c r="S38" s="28"/>
      <c r="T38" s="29"/>
      <c r="U38" s="29"/>
      <c r="V38" s="39"/>
      <c r="W38" s="39"/>
      <c r="X38" s="39"/>
      <c r="Y38" s="39"/>
      <c r="Z38" s="39"/>
      <c r="AA38" s="39" t="str">
        <f aca="false">IF($A38="","",IFERROR(INDEX(账户总表!$B:$B,MATCH($A38,账户总表!$A:$A,0))*INDEX(账户总表!$O:$O,MATCH($A38,账户总表!$A:$A,0)),0))</f>
        <v/>
      </c>
      <c r="AB38" s="57" t="str">
        <f aca="false">IF($A38="","",IFERROR(MAX(0,AA38-J38),0))</f>
        <v/>
      </c>
      <c r="AC38" s="39" t="str">
        <f aca="false">IF($A38="","",IF(I38&gt;0,IFERROR(FLOOR(AB38/I38,100),0),0))</f>
        <v/>
      </c>
      <c r="AD38" s="28" t="str">
        <f aca="false">IF($A38="","",IF(N38&gt;INDEX(账户总表!$O:$O,MATCH($A38,账户总表!$A:$A,0)),"超限","合规"))</f>
        <v/>
      </c>
      <c r="AE38" s="1" t="str">
        <f aca="false">IF($A38="","",IFERROR((I38-P38)/I38,0))</f>
        <v/>
      </c>
      <c r="AF38" s="1" t="str">
        <f aca="false">IF($A38="","",IFERROR(MAX(0,(I38-P38)*G38),0))</f>
        <v/>
      </c>
      <c r="AG38" s="1" t="str">
        <f aca="false">IF($A38="","",IF(COUNTIFS(候选池!$C$2:$C$201,C38,候选池!$K$2:$K$201,"核心池")&gt;0,"核心池","否"))</f>
        <v/>
      </c>
      <c r="AH38" s="1" t="str">
        <f aca="false">IF(A38="","",IF(OR(J38="",K38="",K38=0),"",IF((J38-K38)/K38&lt;0.05,"不可加仓(无浮盈护垫)",IF(N38&gt;0.6,"不可加仓(超三买上限)",IF(N38&gt;0.5,"可加仓(三买区,上限60%)",IF(N38&gt;0.35,"可加仓(二买区,上限50%)","可加仓(一买区,上限35%)"))))))</f>
        <v/>
      </c>
    </row>
    <row r="39" customFormat="false" ht="15" hidden="false" customHeight="true" outlineLevel="0" collapsed="false">
      <c r="A39" s="30"/>
      <c r="B39" s="30"/>
      <c r="C39" s="30"/>
      <c r="D39" s="30"/>
      <c r="E39" s="44"/>
      <c r="F39" s="30"/>
      <c r="G39" s="45"/>
      <c r="H39" s="44"/>
      <c r="I39" s="44"/>
      <c r="J39" s="35"/>
      <c r="K39" s="35"/>
      <c r="L39" s="35"/>
      <c r="M39" s="36"/>
      <c r="N39" s="36"/>
      <c r="O39" s="44"/>
      <c r="P39" s="35"/>
      <c r="Q39" s="39"/>
      <c r="R39" s="46"/>
      <c r="S39" s="30"/>
      <c r="T39" s="31"/>
      <c r="U39" s="31"/>
      <c r="V39" s="39"/>
      <c r="W39" s="39"/>
      <c r="X39" s="39"/>
      <c r="Y39" s="39"/>
      <c r="Z39" s="39"/>
      <c r="AA39" s="39" t="str">
        <f aca="false">IF($A39="","",IFERROR(INDEX(账户总表!$B:$B,MATCH($A39,账户总表!$A:$A,0))*INDEX(账户总表!$O:$O,MATCH($A39,账户总表!$A:$A,0)),0))</f>
        <v/>
      </c>
      <c r="AB39" s="57" t="str">
        <f aca="false">IF($A39="","",IFERROR(MAX(0,AA39-J39),0))</f>
        <v/>
      </c>
      <c r="AC39" s="39" t="str">
        <f aca="false">IF($A39="","",IF(I39&gt;0,IFERROR(FLOOR(AB39/I39,100),0),0))</f>
        <v/>
      </c>
      <c r="AD39" s="30" t="str">
        <f aca="false">IF($A39="","",IF(N39&gt;INDEX(账户总表!$O:$O,MATCH($A39,账户总表!$A:$A,0)),"超限","合规"))</f>
        <v/>
      </c>
      <c r="AE39" s="1" t="str">
        <f aca="false">IF($A39="","",IFERROR((I39-P39)/I39,0))</f>
        <v/>
      </c>
      <c r="AF39" s="1" t="str">
        <f aca="false">IF($A39="","",IFERROR(MAX(0,(I39-P39)*G39),0))</f>
        <v/>
      </c>
      <c r="AG39" s="1" t="str">
        <f aca="false">IF($A39="","",IF(COUNTIFS(候选池!$C$2:$C$201,C39,候选池!$K$2:$K$201,"核心池")&gt;0,"核心池","否"))</f>
        <v/>
      </c>
      <c r="AH39" s="1" t="str">
        <f aca="false">IF(A39="","",IF(OR(J39="",K39="",K39=0),"",IF((J39-K39)/K39&lt;0.05,"不可加仓(无浮盈护垫)",IF(N39&gt;0.6,"不可加仓(超三买上限)",IF(N39&gt;0.5,"可加仓(三买区,上限60%)",IF(N39&gt;0.35,"可加仓(二买区,上限50%)","可加仓(一买区,上限35%)"))))))</f>
        <v/>
      </c>
    </row>
    <row r="40" customFormat="false" ht="15" hidden="false" customHeight="true" outlineLevel="0" collapsed="false">
      <c r="A40" s="28"/>
      <c r="B40" s="28"/>
      <c r="C40" s="28"/>
      <c r="D40" s="28"/>
      <c r="E40" s="34"/>
      <c r="F40" s="28"/>
      <c r="G40" s="37"/>
      <c r="H40" s="34"/>
      <c r="I40" s="34"/>
      <c r="J40" s="35"/>
      <c r="K40" s="35"/>
      <c r="L40" s="35"/>
      <c r="M40" s="36"/>
      <c r="N40" s="36"/>
      <c r="O40" s="34"/>
      <c r="P40" s="35"/>
      <c r="Q40" s="39"/>
      <c r="R40" s="40"/>
      <c r="S40" s="28"/>
      <c r="T40" s="29"/>
      <c r="U40" s="29"/>
      <c r="V40" s="39"/>
      <c r="W40" s="39"/>
      <c r="X40" s="39"/>
      <c r="Y40" s="39"/>
      <c r="Z40" s="39"/>
      <c r="AA40" s="39" t="str">
        <f aca="false">IF($A40="","",IFERROR(INDEX(账户总表!$B:$B,MATCH($A40,账户总表!$A:$A,0))*INDEX(账户总表!$O:$O,MATCH($A40,账户总表!$A:$A,0)),0))</f>
        <v/>
      </c>
      <c r="AB40" s="57" t="str">
        <f aca="false">IF($A40="","",IFERROR(MAX(0,AA40-J40),0))</f>
        <v/>
      </c>
      <c r="AC40" s="39" t="str">
        <f aca="false">IF($A40="","",IF(I40&gt;0,IFERROR(FLOOR(AB40/I40,100),0),0))</f>
        <v/>
      </c>
      <c r="AD40" s="28" t="str">
        <f aca="false">IF($A40="","",IF(N40&gt;INDEX(账户总表!$O:$O,MATCH($A40,账户总表!$A:$A,0)),"超限","合规"))</f>
        <v/>
      </c>
      <c r="AE40" s="1" t="str">
        <f aca="false">IF($A40="","",IFERROR((I40-P40)/I40,0))</f>
        <v/>
      </c>
      <c r="AF40" s="1" t="str">
        <f aca="false">IF($A40="","",IFERROR(MAX(0,(I40-P40)*G40),0))</f>
        <v/>
      </c>
      <c r="AG40" s="1" t="str">
        <f aca="false">IF($A40="","",IF(COUNTIFS(候选池!$C$2:$C$201,C40,候选池!$K$2:$K$201,"核心池")&gt;0,"核心池","否"))</f>
        <v/>
      </c>
      <c r="AH40" s="1" t="str">
        <f aca="false">IF(A40="","",IF(OR(J40="",K40="",K40=0),"",IF((J40-K40)/K40&lt;0.05,"不可加仓(无浮盈护垫)",IF(N40&gt;0.6,"不可加仓(超三买上限)",IF(N40&gt;0.5,"可加仓(三买区,上限60%)",IF(N40&gt;0.35,"可加仓(二买区,上限50%)","可加仓(一买区,上限35%)"))))))</f>
        <v/>
      </c>
    </row>
    <row r="41" customFormat="false" ht="15" hidden="false" customHeight="true" outlineLevel="0" collapsed="false">
      <c r="A41" s="30"/>
      <c r="B41" s="30"/>
      <c r="C41" s="30"/>
      <c r="D41" s="30"/>
      <c r="E41" s="44"/>
      <c r="F41" s="30"/>
      <c r="G41" s="45"/>
      <c r="H41" s="44"/>
      <c r="I41" s="44"/>
      <c r="J41" s="35"/>
      <c r="K41" s="35"/>
      <c r="L41" s="35"/>
      <c r="M41" s="36"/>
      <c r="N41" s="36"/>
      <c r="O41" s="44"/>
      <c r="P41" s="35"/>
      <c r="Q41" s="39"/>
      <c r="R41" s="46"/>
      <c r="S41" s="30"/>
      <c r="T41" s="31"/>
      <c r="U41" s="31"/>
      <c r="V41" s="39"/>
      <c r="W41" s="39"/>
      <c r="X41" s="39"/>
      <c r="Y41" s="39"/>
      <c r="Z41" s="39"/>
      <c r="AA41" s="39" t="str">
        <f aca="false">IF($A41="","",IFERROR(INDEX(账户总表!$B:$B,MATCH($A41,账户总表!$A:$A,0))*INDEX(账户总表!$O:$O,MATCH($A41,账户总表!$A:$A,0)),0))</f>
        <v/>
      </c>
      <c r="AB41" s="57" t="str">
        <f aca="false">IF($A41="","",IFERROR(MAX(0,AA41-J41),0))</f>
        <v/>
      </c>
      <c r="AC41" s="39" t="str">
        <f aca="false">IF($A41="","",IF(I41&gt;0,IFERROR(FLOOR(AB41/I41,100),0),0))</f>
        <v/>
      </c>
      <c r="AD41" s="30" t="str">
        <f aca="false">IF($A41="","",IF(N41&gt;INDEX(账户总表!$O:$O,MATCH($A41,账户总表!$A:$A,0)),"超限","合规"))</f>
        <v/>
      </c>
      <c r="AE41" s="1" t="str">
        <f aca="false">IF($A41="","",IFERROR((I41-P41)/I41,0))</f>
        <v/>
      </c>
      <c r="AF41" s="1" t="str">
        <f aca="false">IF($A41="","",IFERROR(MAX(0,(I41-P41)*G41),0))</f>
        <v/>
      </c>
      <c r="AG41" s="1" t="str">
        <f aca="false">IF($A41="","",IF(COUNTIFS(候选池!$C$2:$C$201,C41,候选池!$K$2:$K$201,"核心池")&gt;0,"核心池","否"))</f>
        <v/>
      </c>
      <c r="AH41" s="1" t="str">
        <f aca="false">IF(A41="","",IF(OR(J41="",K41="",K41=0),"",IF((J41-K41)/K41&lt;0.05,"不可加仓(无浮盈护垫)",IF(N41&gt;0.6,"不可加仓(超三买上限)",IF(N41&gt;0.5,"可加仓(三买区,上限60%)",IF(N41&gt;0.35,"可加仓(二买区,上限50%)","可加仓(一买区,上限35%)"))))))</f>
        <v/>
      </c>
    </row>
    <row r="42" customFormat="false" ht="15" hidden="false" customHeight="true" outlineLevel="0" collapsed="false">
      <c r="A42" s="28"/>
      <c r="B42" s="28"/>
      <c r="C42" s="28"/>
      <c r="D42" s="28"/>
      <c r="E42" s="34"/>
      <c r="F42" s="28"/>
      <c r="G42" s="37"/>
      <c r="H42" s="34"/>
      <c r="I42" s="34"/>
      <c r="J42" s="35"/>
      <c r="K42" s="35"/>
      <c r="L42" s="35"/>
      <c r="M42" s="36"/>
      <c r="N42" s="36"/>
      <c r="O42" s="34"/>
      <c r="P42" s="35"/>
      <c r="Q42" s="39"/>
      <c r="R42" s="40"/>
      <c r="S42" s="28"/>
      <c r="T42" s="29"/>
      <c r="U42" s="29"/>
      <c r="V42" s="39"/>
      <c r="W42" s="39"/>
      <c r="X42" s="39"/>
      <c r="Y42" s="39"/>
      <c r="Z42" s="39"/>
      <c r="AA42" s="39" t="str">
        <f aca="false">IF($A42="","",IFERROR(INDEX(账户总表!$B:$B,MATCH($A42,账户总表!$A:$A,0))*INDEX(账户总表!$O:$O,MATCH($A42,账户总表!$A:$A,0)),0))</f>
        <v/>
      </c>
      <c r="AB42" s="57" t="str">
        <f aca="false">IF($A42="","",IFERROR(MAX(0,AA42-J42),0))</f>
        <v/>
      </c>
      <c r="AC42" s="39" t="str">
        <f aca="false">IF($A42="","",IF(I42&gt;0,IFERROR(FLOOR(AB42/I42,100),0),0))</f>
        <v/>
      </c>
      <c r="AD42" s="28" t="str">
        <f aca="false">IF($A42="","",IF(N42&gt;INDEX(账户总表!$O:$O,MATCH($A42,账户总表!$A:$A,0)),"超限","合规"))</f>
        <v/>
      </c>
      <c r="AE42" s="1" t="str">
        <f aca="false">IF($A42="","",IFERROR((I42-P42)/I42,0))</f>
        <v/>
      </c>
      <c r="AF42" s="1" t="str">
        <f aca="false">IF($A42="","",IFERROR(MAX(0,(I42-P42)*G42),0))</f>
        <v/>
      </c>
      <c r="AG42" s="1" t="str">
        <f aca="false">IF($A42="","",IF(COUNTIFS(候选池!$C$2:$C$201,C42,候选池!$K$2:$K$201,"核心池")&gt;0,"核心池","否"))</f>
        <v/>
      </c>
      <c r="AH42" s="1" t="str">
        <f aca="false">IF(A42="","",IF(OR(J42="",K42="",K42=0),"",IF((J42-K42)/K42&lt;0.05,"不可加仓(无浮盈护垫)",IF(N42&gt;0.6,"不可加仓(超三买上限)",IF(N42&gt;0.5,"可加仓(三买区,上限60%)",IF(N42&gt;0.35,"可加仓(二买区,上限50%)","可加仓(一买区,上限35%)"))))))</f>
        <v/>
      </c>
    </row>
    <row r="43" customFormat="false" ht="15" hidden="false" customHeight="true" outlineLevel="0" collapsed="false">
      <c r="A43" s="30"/>
      <c r="B43" s="30"/>
      <c r="C43" s="30"/>
      <c r="D43" s="30"/>
      <c r="E43" s="44"/>
      <c r="F43" s="30"/>
      <c r="G43" s="45"/>
      <c r="H43" s="44"/>
      <c r="I43" s="44"/>
      <c r="J43" s="35"/>
      <c r="K43" s="35"/>
      <c r="L43" s="35"/>
      <c r="M43" s="36"/>
      <c r="N43" s="36"/>
      <c r="O43" s="44"/>
      <c r="P43" s="35"/>
      <c r="Q43" s="39"/>
      <c r="R43" s="46"/>
      <c r="S43" s="30"/>
      <c r="T43" s="31"/>
      <c r="U43" s="31"/>
      <c r="V43" s="39"/>
      <c r="W43" s="39"/>
      <c r="X43" s="39"/>
      <c r="Y43" s="39"/>
      <c r="Z43" s="39"/>
      <c r="AA43" s="39" t="str">
        <f aca="false">IF($A43="","",IFERROR(INDEX(账户总表!$B:$B,MATCH($A43,账户总表!$A:$A,0))*INDEX(账户总表!$O:$O,MATCH($A43,账户总表!$A:$A,0)),0))</f>
        <v/>
      </c>
      <c r="AB43" s="57" t="str">
        <f aca="false">IF($A43="","",IFERROR(MAX(0,AA43-J43),0))</f>
        <v/>
      </c>
      <c r="AC43" s="39" t="str">
        <f aca="false">IF($A43="","",IF(I43&gt;0,IFERROR(FLOOR(AB43/I43,100),0),0))</f>
        <v/>
      </c>
      <c r="AD43" s="30" t="str">
        <f aca="false">IF($A43="","",IF(N43&gt;INDEX(账户总表!$O:$O,MATCH($A43,账户总表!$A:$A,0)),"超限","合规"))</f>
        <v/>
      </c>
      <c r="AE43" s="1" t="str">
        <f aca="false">IF($A43="","",IFERROR((I43-P43)/I43,0))</f>
        <v/>
      </c>
      <c r="AF43" s="1" t="str">
        <f aca="false">IF($A43="","",IFERROR(MAX(0,(I43-P43)*G43),0))</f>
        <v/>
      </c>
      <c r="AG43" s="1" t="str">
        <f aca="false">IF($A43="","",IF(COUNTIFS(候选池!$C$2:$C$201,C43,候选池!$K$2:$K$201,"核心池")&gt;0,"核心池","否"))</f>
        <v/>
      </c>
      <c r="AH43" s="1" t="str">
        <f aca="false">IF(A43="","",IF(OR(J43="",K43="",K43=0),"",IF((J43-K43)/K43&lt;0.05,"不可加仓(无浮盈护垫)",IF(N43&gt;0.6,"不可加仓(超三买上限)",IF(N43&gt;0.5,"可加仓(三买区,上限60%)",IF(N43&gt;0.35,"可加仓(二买区,上限50%)","可加仓(一买区,上限35%)"))))))</f>
        <v/>
      </c>
    </row>
    <row r="44" customFormat="false" ht="15" hidden="false" customHeight="true" outlineLevel="0" collapsed="false">
      <c r="A44" s="28"/>
      <c r="B44" s="28"/>
      <c r="C44" s="28"/>
      <c r="D44" s="28"/>
      <c r="E44" s="34"/>
      <c r="F44" s="28"/>
      <c r="G44" s="37"/>
      <c r="H44" s="34"/>
      <c r="I44" s="34"/>
      <c r="J44" s="35"/>
      <c r="K44" s="35"/>
      <c r="L44" s="35"/>
      <c r="M44" s="36"/>
      <c r="N44" s="36"/>
      <c r="O44" s="34"/>
      <c r="P44" s="35"/>
      <c r="Q44" s="39"/>
      <c r="R44" s="40"/>
      <c r="S44" s="28"/>
      <c r="T44" s="29"/>
      <c r="U44" s="29"/>
      <c r="V44" s="39"/>
      <c r="W44" s="39"/>
      <c r="X44" s="39"/>
      <c r="Y44" s="39"/>
      <c r="Z44" s="39"/>
      <c r="AA44" s="39" t="str">
        <f aca="false">IF($A44="","",IFERROR(INDEX(账户总表!$B:$B,MATCH($A44,账户总表!$A:$A,0))*INDEX(账户总表!$O:$O,MATCH($A44,账户总表!$A:$A,0)),0))</f>
        <v/>
      </c>
      <c r="AB44" s="57" t="str">
        <f aca="false">IF($A44="","",IFERROR(MAX(0,AA44-J44),0))</f>
        <v/>
      </c>
      <c r="AC44" s="39" t="str">
        <f aca="false">IF($A44="","",IF(I44&gt;0,IFERROR(FLOOR(AB44/I44,100),0),0))</f>
        <v/>
      </c>
      <c r="AD44" s="28" t="str">
        <f aca="false">IF($A44="","",IF(N44&gt;INDEX(账户总表!$O:$O,MATCH($A44,账户总表!$A:$A,0)),"超限","合规"))</f>
        <v/>
      </c>
      <c r="AE44" s="1" t="str">
        <f aca="false">IF($A44="","",IFERROR((I44-P44)/I44,0))</f>
        <v/>
      </c>
      <c r="AF44" s="1" t="str">
        <f aca="false">IF($A44="","",IFERROR(MAX(0,(I44-P44)*G44),0))</f>
        <v/>
      </c>
      <c r="AG44" s="1" t="str">
        <f aca="false">IF($A44="","",IF(COUNTIFS(候选池!$C$2:$C$201,C44,候选池!$K$2:$K$201,"核心池")&gt;0,"核心池","否"))</f>
        <v/>
      </c>
      <c r="AH44" s="1" t="str">
        <f aca="false">IF(A44="","",IF(OR(J44="",K44="",K44=0),"",IF((J44-K44)/K44&lt;0.05,"不可加仓(无浮盈护垫)",IF(N44&gt;0.6,"不可加仓(超三买上限)",IF(N44&gt;0.5,"可加仓(三买区,上限60%)",IF(N44&gt;0.35,"可加仓(二买区,上限50%)","可加仓(一买区,上限35%)"))))))</f>
        <v/>
      </c>
    </row>
    <row r="45" customFormat="false" ht="15" hidden="false" customHeight="true" outlineLevel="0" collapsed="false">
      <c r="A45" s="30"/>
      <c r="B45" s="30"/>
      <c r="C45" s="30"/>
      <c r="D45" s="30"/>
      <c r="E45" s="44"/>
      <c r="F45" s="30"/>
      <c r="G45" s="45"/>
      <c r="H45" s="44"/>
      <c r="I45" s="44"/>
      <c r="J45" s="35"/>
      <c r="K45" s="35"/>
      <c r="L45" s="35"/>
      <c r="M45" s="36"/>
      <c r="N45" s="36"/>
      <c r="O45" s="44"/>
      <c r="P45" s="35"/>
      <c r="Q45" s="39"/>
      <c r="R45" s="46"/>
      <c r="S45" s="30"/>
      <c r="T45" s="31"/>
      <c r="U45" s="31"/>
      <c r="V45" s="39"/>
      <c r="W45" s="39"/>
      <c r="X45" s="39"/>
      <c r="Y45" s="39"/>
      <c r="Z45" s="39"/>
      <c r="AA45" s="39" t="str">
        <f aca="false">IF($A45="","",IFERROR(INDEX(账户总表!$B:$B,MATCH($A45,账户总表!$A:$A,0))*INDEX(账户总表!$O:$O,MATCH($A45,账户总表!$A:$A,0)),0))</f>
        <v/>
      </c>
      <c r="AB45" s="57" t="str">
        <f aca="false">IF($A45="","",IFERROR(MAX(0,AA45-J45),0))</f>
        <v/>
      </c>
      <c r="AC45" s="39" t="str">
        <f aca="false">IF($A45="","",IF(I45&gt;0,IFERROR(FLOOR(AB45/I45,100),0),0))</f>
        <v/>
      </c>
      <c r="AD45" s="30" t="str">
        <f aca="false">IF($A45="","",IF(N45&gt;INDEX(账户总表!$O:$O,MATCH($A45,账户总表!$A:$A,0)),"超限","合规"))</f>
        <v/>
      </c>
      <c r="AE45" s="1" t="str">
        <f aca="false">IF($A45="","",IFERROR((I45-P45)/I45,0))</f>
        <v/>
      </c>
      <c r="AF45" s="1" t="str">
        <f aca="false">IF($A45="","",IFERROR(MAX(0,(I45-P45)*G45),0))</f>
        <v/>
      </c>
      <c r="AG45" s="1" t="str">
        <f aca="false">IF($A45="","",IF(COUNTIFS(候选池!$C$2:$C$201,C45,候选池!$K$2:$K$201,"核心池")&gt;0,"核心池","否"))</f>
        <v/>
      </c>
      <c r="AH45" s="1" t="str">
        <f aca="false">IF(A45="","",IF(OR(J45="",K45="",K45=0),"",IF((J45-K45)/K45&lt;0.05,"不可加仓(无浮盈护垫)",IF(N45&gt;0.6,"不可加仓(超三买上限)",IF(N45&gt;0.5,"可加仓(三买区,上限60%)",IF(N45&gt;0.35,"可加仓(二买区,上限50%)","可加仓(一买区,上限35%)"))))))</f>
        <v/>
      </c>
    </row>
    <row r="46" customFormat="false" ht="15" hidden="false" customHeight="true" outlineLevel="0" collapsed="false">
      <c r="A46" s="28"/>
      <c r="B46" s="28"/>
      <c r="C46" s="28"/>
      <c r="D46" s="28"/>
      <c r="E46" s="34"/>
      <c r="F46" s="28"/>
      <c r="G46" s="37"/>
      <c r="H46" s="34"/>
      <c r="I46" s="34"/>
      <c r="J46" s="35"/>
      <c r="K46" s="35"/>
      <c r="L46" s="35"/>
      <c r="M46" s="36"/>
      <c r="N46" s="36"/>
      <c r="O46" s="34"/>
      <c r="P46" s="35"/>
      <c r="Q46" s="39"/>
      <c r="R46" s="40"/>
      <c r="S46" s="28"/>
      <c r="T46" s="29"/>
      <c r="U46" s="29"/>
      <c r="V46" s="39"/>
      <c r="W46" s="39"/>
      <c r="X46" s="39"/>
      <c r="Y46" s="39"/>
      <c r="Z46" s="39"/>
      <c r="AA46" s="39" t="str">
        <f aca="false">IF($A46="","",IFERROR(INDEX(账户总表!$B:$B,MATCH($A46,账户总表!$A:$A,0))*INDEX(账户总表!$O:$O,MATCH($A46,账户总表!$A:$A,0)),0))</f>
        <v/>
      </c>
      <c r="AB46" s="57" t="str">
        <f aca="false">IF($A46="","",IFERROR(MAX(0,AA46-J46),0))</f>
        <v/>
      </c>
      <c r="AC46" s="39" t="str">
        <f aca="false">IF($A46="","",IF(I46&gt;0,IFERROR(FLOOR(AB46/I46,100),0),0))</f>
        <v/>
      </c>
      <c r="AD46" s="28" t="str">
        <f aca="false">IF($A46="","",IF(N46&gt;INDEX(账户总表!$O:$O,MATCH($A46,账户总表!$A:$A,0)),"超限","合规"))</f>
        <v/>
      </c>
      <c r="AE46" s="1" t="str">
        <f aca="false">IF($A46="","",IFERROR((I46-P46)/I46,0))</f>
        <v/>
      </c>
      <c r="AF46" s="1" t="str">
        <f aca="false">IF($A46="","",IFERROR(MAX(0,(I46-P46)*G46),0))</f>
        <v/>
      </c>
      <c r="AG46" s="1" t="str">
        <f aca="false">IF($A46="","",IF(COUNTIFS(候选池!$C$2:$C$201,C46,候选池!$K$2:$K$201,"核心池")&gt;0,"核心池","否"))</f>
        <v/>
      </c>
      <c r="AH46" s="1" t="str">
        <f aca="false">IF(A46="","",IF(OR(J46="",K46="",K46=0),"",IF((J46-K46)/K46&lt;0.05,"不可加仓(无浮盈护垫)",IF(N46&gt;0.6,"不可加仓(超三买上限)",IF(N46&gt;0.5,"可加仓(三买区,上限60%)",IF(N46&gt;0.35,"可加仓(二买区,上限50%)","可加仓(一买区,上限35%)"))))))</f>
        <v/>
      </c>
    </row>
    <row r="47" customFormat="false" ht="15" hidden="false" customHeight="true" outlineLevel="0" collapsed="false">
      <c r="A47" s="30"/>
      <c r="B47" s="30"/>
      <c r="C47" s="30"/>
      <c r="D47" s="30"/>
      <c r="E47" s="44"/>
      <c r="F47" s="30"/>
      <c r="G47" s="45"/>
      <c r="H47" s="44"/>
      <c r="I47" s="44"/>
      <c r="J47" s="35"/>
      <c r="K47" s="35"/>
      <c r="L47" s="35"/>
      <c r="M47" s="36"/>
      <c r="N47" s="36"/>
      <c r="O47" s="44"/>
      <c r="P47" s="35"/>
      <c r="Q47" s="39"/>
      <c r="R47" s="46"/>
      <c r="S47" s="30"/>
      <c r="T47" s="31"/>
      <c r="U47" s="31"/>
      <c r="V47" s="39"/>
      <c r="W47" s="39"/>
      <c r="X47" s="39"/>
      <c r="Y47" s="39"/>
      <c r="Z47" s="39"/>
      <c r="AA47" s="39" t="str">
        <f aca="false">IF($A47="","",IFERROR(INDEX(账户总表!$B:$B,MATCH($A47,账户总表!$A:$A,0))*INDEX(账户总表!$O:$O,MATCH($A47,账户总表!$A:$A,0)),0))</f>
        <v/>
      </c>
      <c r="AB47" s="57" t="str">
        <f aca="false">IF($A47="","",IFERROR(MAX(0,AA47-J47),0))</f>
        <v/>
      </c>
      <c r="AC47" s="39" t="str">
        <f aca="false">IF($A47="","",IF(I47&gt;0,IFERROR(FLOOR(AB47/I47,100),0),0))</f>
        <v/>
      </c>
      <c r="AD47" s="30" t="str">
        <f aca="false">IF($A47="","",IF(N47&gt;INDEX(账户总表!$O:$O,MATCH($A47,账户总表!$A:$A,0)),"超限","合规"))</f>
        <v/>
      </c>
      <c r="AE47" s="1" t="str">
        <f aca="false">IF($A47="","",IFERROR((I47-P47)/I47,0))</f>
        <v/>
      </c>
      <c r="AF47" s="1" t="str">
        <f aca="false">IF($A47="","",IFERROR(MAX(0,(I47-P47)*G47),0))</f>
        <v/>
      </c>
      <c r="AG47" s="1" t="str">
        <f aca="false">IF($A47="","",IF(COUNTIFS(候选池!$C$2:$C$201,C47,候选池!$K$2:$K$201,"核心池")&gt;0,"核心池","否"))</f>
        <v/>
      </c>
      <c r="AH47" s="1" t="str">
        <f aca="false">IF(A47="","",IF(OR(J47="",K47="",K47=0),"",IF((J47-K47)/K47&lt;0.05,"不可加仓(无浮盈护垫)",IF(N47&gt;0.6,"不可加仓(超三买上限)",IF(N47&gt;0.5,"可加仓(三买区,上限60%)",IF(N47&gt;0.35,"可加仓(二买区,上限50%)","可加仓(一买区,上限35%)"))))))</f>
        <v/>
      </c>
    </row>
    <row r="48" customFormat="false" ht="15" hidden="false" customHeight="true" outlineLevel="0" collapsed="false">
      <c r="A48" s="28"/>
      <c r="B48" s="28"/>
      <c r="C48" s="28"/>
      <c r="D48" s="28"/>
      <c r="E48" s="34"/>
      <c r="F48" s="28"/>
      <c r="G48" s="37"/>
      <c r="H48" s="34"/>
      <c r="I48" s="34"/>
      <c r="J48" s="35"/>
      <c r="K48" s="35"/>
      <c r="L48" s="35"/>
      <c r="M48" s="36"/>
      <c r="N48" s="36"/>
      <c r="O48" s="34"/>
      <c r="P48" s="35"/>
      <c r="Q48" s="39"/>
      <c r="R48" s="40"/>
      <c r="S48" s="28"/>
      <c r="T48" s="29"/>
      <c r="U48" s="29"/>
      <c r="V48" s="39"/>
      <c r="W48" s="39"/>
      <c r="X48" s="39"/>
      <c r="Y48" s="39"/>
      <c r="Z48" s="39"/>
      <c r="AA48" s="39" t="str">
        <f aca="false">IF($A48="","",IFERROR(INDEX(账户总表!$B:$B,MATCH($A48,账户总表!$A:$A,0))*INDEX(账户总表!$O:$O,MATCH($A48,账户总表!$A:$A,0)),0))</f>
        <v/>
      </c>
      <c r="AB48" s="57" t="str">
        <f aca="false">IF($A48="","",IFERROR(MAX(0,AA48-J48),0))</f>
        <v/>
      </c>
      <c r="AC48" s="39" t="str">
        <f aca="false">IF($A48="","",IF(I48&gt;0,IFERROR(FLOOR(AB48/I48,100),0),0))</f>
        <v/>
      </c>
      <c r="AD48" s="28" t="str">
        <f aca="false">IF($A48="","",IF(N48&gt;INDEX(账户总表!$O:$O,MATCH($A48,账户总表!$A:$A,0)),"超限","合规"))</f>
        <v/>
      </c>
      <c r="AE48" s="1" t="str">
        <f aca="false">IF($A48="","",IFERROR((I48-P48)/I48,0))</f>
        <v/>
      </c>
      <c r="AF48" s="1" t="str">
        <f aca="false">IF($A48="","",IFERROR(MAX(0,(I48-P48)*G48),0))</f>
        <v/>
      </c>
      <c r="AG48" s="1" t="str">
        <f aca="false">IF($A48="","",IF(COUNTIFS(候选池!$C$2:$C$201,C48,候选池!$K$2:$K$201,"核心池")&gt;0,"核心池","否"))</f>
        <v/>
      </c>
      <c r="AH48" s="1" t="str">
        <f aca="false">IF(A48="","",IF(OR(J48="",K48="",K48=0),"",IF((J48-K48)/K48&lt;0.05,"不可加仓(无浮盈护垫)",IF(N48&gt;0.6,"不可加仓(超三买上限)",IF(N48&gt;0.5,"可加仓(三买区,上限60%)",IF(N48&gt;0.35,"可加仓(二买区,上限50%)","可加仓(一买区,上限35%)"))))))</f>
        <v/>
      </c>
    </row>
    <row r="49" customFormat="false" ht="15" hidden="false" customHeight="true" outlineLevel="0" collapsed="false">
      <c r="A49" s="30"/>
      <c r="B49" s="30"/>
      <c r="C49" s="30"/>
      <c r="D49" s="30"/>
      <c r="E49" s="44"/>
      <c r="F49" s="30"/>
      <c r="G49" s="45"/>
      <c r="H49" s="44"/>
      <c r="I49" s="44"/>
      <c r="J49" s="35"/>
      <c r="K49" s="35"/>
      <c r="L49" s="35"/>
      <c r="M49" s="36"/>
      <c r="N49" s="36"/>
      <c r="O49" s="44"/>
      <c r="P49" s="35"/>
      <c r="Q49" s="39"/>
      <c r="R49" s="46"/>
      <c r="S49" s="30"/>
      <c r="T49" s="31"/>
      <c r="U49" s="31"/>
      <c r="V49" s="39"/>
      <c r="W49" s="39"/>
      <c r="X49" s="39"/>
      <c r="Y49" s="39"/>
      <c r="Z49" s="39"/>
      <c r="AA49" s="39" t="str">
        <f aca="false">IF($A49="","",IFERROR(INDEX(账户总表!$B:$B,MATCH($A49,账户总表!$A:$A,0))*INDEX(账户总表!$O:$O,MATCH($A49,账户总表!$A:$A,0)),0))</f>
        <v/>
      </c>
      <c r="AB49" s="57" t="str">
        <f aca="false">IF($A49="","",IFERROR(MAX(0,AA49-J49),0))</f>
        <v/>
      </c>
      <c r="AC49" s="39" t="str">
        <f aca="false">IF($A49="","",IF(I49&gt;0,IFERROR(FLOOR(AB49/I49,100),0),0))</f>
        <v/>
      </c>
      <c r="AD49" s="30" t="str">
        <f aca="false">IF($A49="","",IF(N49&gt;INDEX(账户总表!$O:$O,MATCH($A49,账户总表!$A:$A,0)),"超限","合规"))</f>
        <v/>
      </c>
      <c r="AE49" s="1" t="str">
        <f aca="false">IF($A49="","",IFERROR((I49-P49)/I49,0))</f>
        <v/>
      </c>
      <c r="AF49" s="1" t="str">
        <f aca="false">IF($A49="","",IFERROR(MAX(0,(I49-P49)*G49),0))</f>
        <v/>
      </c>
      <c r="AG49" s="1" t="str">
        <f aca="false">IF($A49="","",IF(COUNTIFS(候选池!$C$2:$C$201,C49,候选池!$K$2:$K$201,"核心池")&gt;0,"核心池","否"))</f>
        <v/>
      </c>
      <c r="AH49" s="1" t="str">
        <f aca="false">IF(A49="","",IF(OR(J49="",K49="",K49=0),"",IF((J49-K49)/K49&lt;0.05,"不可加仓(无浮盈护垫)",IF(N49&gt;0.6,"不可加仓(超三买上限)",IF(N49&gt;0.5,"可加仓(三买区,上限60%)",IF(N49&gt;0.35,"可加仓(二买区,上限50%)","可加仓(一买区,上限35%)"))))))</f>
        <v/>
      </c>
    </row>
    <row r="50" customFormat="false" ht="15" hidden="false" customHeight="true" outlineLevel="0" collapsed="false">
      <c r="A50" s="28"/>
      <c r="B50" s="28"/>
      <c r="C50" s="28"/>
      <c r="D50" s="28"/>
      <c r="E50" s="34"/>
      <c r="F50" s="28"/>
      <c r="G50" s="37"/>
      <c r="H50" s="34"/>
      <c r="I50" s="34"/>
      <c r="J50" s="35"/>
      <c r="K50" s="35"/>
      <c r="L50" s="35"/>
      <c r="M50" s="36"/>
      <c r="N50" s="36"/>
      <c r="O50" s="34"/>
      <c r="P50" s="35"/>
      <c r="Q50" s="39"/>
      <c r="R50" s="40"/>
      <c r="S50" s="28"/>
      <c r="T50" s="29"/>
      <c r="U50" s="29"/>
      <c r="V50" s="39"/>
      <c r="W50" s="39"/>
      <c r="X50" s="39"/>
      <c r="Y50" s="39"/>
      <c r="Z50" s="39"/>
      <c r="AA50" s="39" t="str">
        <f aca="false">IF($A50="","",IFERROR(INDEX(账户总表!$B:$B,MATCH($A50,账户总表!$A:$A,0))*INDEX(账户总表!$O:$O,MATCH($A50,账户总表!$A:$A,0)),0))</f>
        <v/>
      </c>
      <c r="AB50" s="57" t="str">
        <f aca="false">IF($A50="","",IFERROR(MAX(0,AA50-J50),0))</f>
        <v/>
      </c>
      <c r="AC50" s="39" t="str">
        <f aca="false">IF($A50="","",IF(I50&gt;0,IFERROR(FLOOR(AB50/I50,100),0),0))</f>
        <v/>
      </c>
      <c r="AD50" s="28" t="str">
        <f aca="false">IF($A50="","",IF(N50&gt;INDEX(账户总表!$O:$O,MATCH($A50,账户总表!$A:$A,0)),"超限","合规"))</f>
        <v/>
      </c>
      <c r="AE50" s="1" t="str">
        <f aca="false">IF($A50="","",IFERROR((I50-P50)/I50,0))</f>
        <v/>
      </c>
      <c r="AF50" s="1" t="str">
        <f aca="false">IF($A50="","",IFERROR(MAX(0,(I50-P50)*G50),0))</f>
        <v/>
      </c>
      <c r="AG50" s="1" t="str">
        <f aca="false">IF($A50="","",IF(COUNTIFS(候选池!$C$2:$C$201,C50,候选池!$K$2:$K$201,"核心池")&gt;0,"核心池","否"))</f>
        <v/>
      </c>
      <c r="AH50" s="1" t="str">
        <f aca="false">IF(A50="","",IF(OR(J50="",K50="",K50=0),"",IF((J50-K50)/K50&lt;0.05,"不可加仓(无浮盈护垫)",IF(N50&gt;0.6,"不可加仓(超三买上限)",IF(N50&gt;0.5,"可加仓(三买区,上限60%)",IF(N50&gt;0.35,"可加仓(二买区,上限50%)","可加仓(一买区,上限35%)"))))))</f>
        <v/>
      </c>
    </row>
    <row r="51" customFormat="false" ht="15" hidden="false" customHeight="true" outlineLevel="0" collapsed="false">
      <c r="A51" s="30"/>
      <c r="B51" s="30"/>
      <c r="C51" s="30"/>
      <c r="D51" s="30"/>
      <c r="E51" s="44"/>
      <c r="F51" s="30"/>
      <c r="G51" s="45"/>
      <c r="H51" s="44"/>
      <c r="I51" s="44"/>
      <c r="J51" s="35"/>
      <c r="K51" s="35"/>
      <c r="L51" s="35"/>
      <c r="M51" s="36"/>
      <c r="N51" s="36"/>
      <c r="O51" s="44"/>
      <c r="P51" s="35"/>
      <c r="Q51" s="39"/>
      <c r="R51" s="46"/>
      <c r="S51" s="30"/>
      <c r="T51" s="31"/>
      <c r="U51" s="31"/>
      <c r="V51" s="39"/>
      <c r="W51" s="39"/>
      <c r="X51" s="39"/>
      <c r="Y51" s="39"/>
      <c r="Z51" s="39"/>
      <c r="AA51" s="39" t="str">
        <f aca="false">IF($A51="","",IFERROR(INDEX(账户总表!$B:$B,MATCH($A51,账户总表!$A:$A,0))*INDEX(账户总表!$O:$O,MATCH($A51,账户总表!$A:$A,0)),0))</f>
        <v/>
      </c>
      <c r="AB51" s="57" t="str">
        <f aca="false">IF($A51="","",IFERROR(MAX(0,AA51-J51),0))</f>
        <v/>
      </c>
      <c r="AC51" s="39" t="str">
        <f aca="false">IF($A51="","",IF(I51&gt;0,IFERROR(FLOOR(AB51/I51,100),0),0))</f>
        <v/>
      </c>
      <c r="AD51" s="30" t="str">
        <f aca="false">IF($A51="","",IF(N51&gt;INDEX(账户总表!$O:$O,MATCH($A51,账户总表!$A:$A,0)),"超限","合规"))</f>
        <v/>
      </c>
      <c r="AE51" s="1" t="str">
        <f aca="false">IF($A51="","",IFERROR((I51-P51)/I51,0))</f>
        <v/>
      </c>
      <c r="AF51" s="1" t="str">
        <f aca="false">IF($A51="","",IFERROR(MAX(0,(I51-P51)*G51),0))</f>
        <v/>
      </c>
      <c r="AG51" s="1" t="str">
        <f aca="false">IF($A51="","",IF(COUNTIFS(候选池!$C$2:$C$201,C51,候选池!$K$2:$K$201,"核心池")&gt;0,"核心池","否"))</f>
        <v/>
      </c>
      <c r="AH51" s="1" t="str">
        <f aca="false">IF(A51="","",IF(OR(J51="",K51="",K51=0),"",IF((J51-K51)/K51&lt;0.05,"不可加仓(无浮盈护垫)",IF(N51&gt;0.6,"不可加仓(超三买上限)",IF(N51&gt;0.5,"可加仓(三买区,上限60%)",IF(N51&gt;0.35,"可加仓(二买区,上限50%)","可加仓(一买区,上限35%)"))))))</f>
        <v/>
      </c>
    </row>
    <row r="52" customFormat="false" ht="15" hidden="false" customHeight="true" outlineLevel="0" collapsed="false">
      <c r="A52" s="28"/>
      <c r="B52" s="28"/>
      <c r="C52" s="28"/>
      <c r="D52" s="28"/>
      <c r="E52" s="34"/>
      <c r="F52" s="28"/>
      <c r="G52" s="37"/>
      <c r="H52" s="34"/>
      <c r="I52" s="34"/>
      <c r="J52" s="35"/>
      <c r="K52" s="35"/>
      <c r="L52" s="35"/>
      <c r="M52" s="36"/>
      <c r="N52" s="36"/>
      <c r="O52" s="34"/>
      <c r="P52" s="35"/>
      <c r="Q52" s="39"/>
      <c r="R52" s="40"/>
      <c r="S52" s="28"/>
      <c r="T52" s="29"/>
      <c r="U52" s="29"/>
      <c r="V52" s="39"/>
      <c r="W52" s="39"/>
      <c r="X52" s="39"/>
      <c r="Y52" s="39"/>
      <c r="Z52" s="39"/>
      <c r="AA52" s="39" t="str">
        <f aca="false">IF($A52="","",IFERROR(INDEX(账户总表!$B:$B,MATCH($A52,账户总表!$A:$A,0))*INDEX(账户总表!$O:$O,MATCH($A52,账户总表!$A:$A,0)),0))</f>
        <v/>
      </c>
      <c r="AB52" s="57" t="str">
        <f aca="false">IF($A52="","",IFERROR(MAX(0,AA52-J52),0))</f>
        <v/>
      </c>
      <c r="AC52" s="39" t="str">
        <f aca="false">IF($A52="","",IF(I52&gt;0,IFERROR(FLOOR(AB52/I52,100),0),0))</f>
        <v/>
      </c>
      <c r="AD52" s="28" t="str">
        <f aca="false">IF($A52="","",IF(N52&gt;INDEX(账户总表!$O:$O,MATCH($A52,账户总表!$A:$A,0)),"超限","合规"))</f>
        <v/>
      </c>
      <c r="AE52" s="1" t="str">
        <f aca="false">IF($A52="","",IFERROR((I52-P52)/I52,0))</f>
        <v/>
      </c>
      <c r="AF52" s="1" t="str">
        <f aca="false">IF($A52="","",IFERROR(MAX(0,(I52-P52)*G52),0))</f>
        <v/>
      </c>
      <c r="AG52" s="1" t="str">
        <f aca="false">IF($A52="","",IF(COUNTIFS(候选池!$C$2:$C$201,C52,候选池!$K$2:$K$201,"核心池")&gt;0,"核心池","否"))</f>
        <v/>
      </c>
      <c r="AH52" s="1" t="str">
        <f aca="false">IF(A52="","",IF(OR(J52="",K52="",K52=0),"",IF((J52-K52)/K52&lt;0.05,"不可加仓(无浮盈护垫)",IF(N52&gt;0.6,"不可加仓(超三买上限)",IF(N52&gt;0.5,"可加仓(三买区,上限60%)",IF(N52&gt;0.35,"可加仓(二买区,上限50%)","可加仓(一买区,上限35%)"))))))</f>
        <v/>
      </c>
    </row>
    <row r="53" customFormat="false" ht="15" hidden="false" customHeight="true" outlineLevel="0" collapsed="false">
      <c r="A53" s="30"/>
      <c r="B53" s="30"/>
      <c r="C53" s="30"/>
      <c r="D53" s="30"/>
      <c r="E53" s="44"/>
      <c r="F53" s="30"/>
      <c r="G53" s="45"/>
      <c r="H53" s="44"/>
      <c r="I53" s="44"/>
      <c r="J53" s="35"/>
      <c r="K53" s="35"/>
      <c r="L53" s="35"/>
      <c r="M53" s="36"/>
      <c r="N53" s="36"/>
      <c r="O53" s="44"/>
      <c r="P53" s="35"/>
      <c r="Q53" s="39"/>
      <c r="R53" s="46"/>
      <c r="S53" s="30"/>
      <c r="T53" s="31"/>
      <c r="U53" s="31"/>
      <c r="V53" s="39"/>
      <c r="W53" s="39"/>
      <c r="X53" s="39"/>
      <c r="Y53" s="39"/>
      <c r="Z53" s="39"/>
      <c r="AA53" s="39" t="str">
        <f aca="false">IF($A53="","",IFERROR(INDEX(账户总表!$B:$B,MATCH($A53,账户总表!$A:$A,0))*INDEX(账户总表!$O:$O,MATCH($A53,账户总表!$A:$A,0)),0))</f>
        <v/>
      </c>
      <c r="AB53" s="57" t="str">
        <f aca="false">IF($A53="","",IFERROR(MAX(0,AA53-J53),0))</f>
        <v/>
      </c>
      <c r="AC53" s="39" t="str">
        <f aca="false">IF($A53="","",IF(I53&gt;0,IFERROR(FLOOR(AB53/I53,100),0),0))</f>
        <v/>
      </c>
      <c r="AD53" s="30" t="str">
        <f aca="false">IF($A53="","",IF(N53&gt;INDEX(账户总表!$O:$O,MATCH($A53,账户总表!$A:$A,0)),"超限","合规"))</f>
        <v/>
      </c>
      <c r="AE53" s="1" t="str">
        <f aca="false">IF($A53="","",IFERROR((I53-P53)/I53,0))</f>
        <v/>
      </c>
      <c r="AF53" s="1" t="str">
        <f aca="false">IF($A53="","",IFERROR(MAX(0,(I53-P53)*G53),0))</f>
        <v/>
      </c>
      <c r="AG53" s="1" t="str">
        <f aca="false">IF($A53="","",IF(COUNTIFS(候选池!$C$2:$C$201,C53,候选池!$K$2:$K$201,"核心池")&gt;0,"核心池","否"))</f>
        <v/>
      </c>
      <c r="AH53" s="1" t="str">
        <f aca="false">IF(A53="","",IF(OR(J53="",K53="",K53=0),"",IF((J53-K53)/K53&lt;0.05,"不可加仓(无浮盈护垫)",IF(N53&gt;0.6,"不可加仓(超三买上限)",IF(N53&gt;0.5,"可加仓(三买区,上限60%)",IF(N53&gt;0.35,"可加仓(二买区,上限50%)","可加仓(一买区,上限35%)"))))))</f>
        <v/>
      </c>
    </row>
    <row r="54" customFormat="false" ht="15" hidden="false" customHeight="true" outlineLevel="0" collapsed="false">
      <c r="A54" s="28"/>
      <c r="B54" s="28"/>
      <c r="C54" s="28"/>
      <c r="D54" s="28"/>
      <c r="E54" s="34"/>
      <c r="F54" s="28"/>
      <c r="G54" s="37"/>
      <c r="H54" s="34"/>
      <c r="I54" s="34"/>
      <c r="J54" s="35"/>
      <c r="K54" s="35"/>
      <c r="L54" s="35"/>
      <c r="M54" s="36"/>
      <c r="N54" s="36"/>
      <c r="O54" s="34"/>
      <c r="P54" s="35"/>
      <c r="Q54" s="39"/>
      <c r="R54" s="40"/>
      <c r="S54" s="28"/>
      <c r="T54" s="29"/>
      <c r="U54" s="29"/>
      <c r="V54" s="39"/>
      <c r="W54" s="39"/>
      <c r="X54" s="39"/>
      <c r="Y54" s="39"/>
      <c r="Z54" s="39"/>
      <c r="AA54" s="39" t="str">
        <f aca="false">IF($A54="","",IFERROR(INDEX(账户总表!$B:$B,MATCH($A54,账户总表!$A:$A,0))*INDEX(账户总表!$O:$O,MATCH($A54,账户总表!$A:$A,0)),0))</f>
        <v/>
      </c>
      <c r="AB54" s="57" t="str">
        <f aca="false">IF($A54="","",IFERROR(MAX(0,AA54-J54),0))</f>
        <v/>
      </c>
      <c r="AC54" s="39" t="str">
        <f aca="false">IF($A54="","",IF(I54&gt;0,IFERROR(FLOOR(AB54/I54,100),0),0))</f>
        <v/>
      </c>
      <c r="AD54" s="28" t="str">
        <f aca="false">IF($A54="","",IF(N54&gt;INDEX(账户总表!$O:$O,MATCH($A54,账户总表!$A:$A,0)),"超限","合规"))</f>
        <v/>
      </c>
      <c r="AE54" s="1" t="str">
        <f aca="false">IF($A54="","",IFERROR((I54-P54)/I54,0))</f>
        <v/>
      </c>
      <c r="AF54" s="1" t="str">
        <f aca="false">IF($A54="","",IFERROR(MAX(0,(I54-P54)*G54),0))</f>
        <v/>
      </c>
      <c r="AG54" s="1" t="str">
        <f aca="false">IF($A54="","",IF(COUNTIFS(候选池!$C$2:$C$201,C54,候选池!$K$2:$K$201,"核心池")&gt;0,"核心池","否"))</f>
        <v/>
      </c>
      <c r="AH54" s="1" t="str">
        <f aca="false">IF(A54="","",IF(OR(J54="",K54="",K54=0),"",IF((J54-K54)/K54&lt;0.05,"不可加仓(无浮盈护垫)",IF(N54&gt;0.6,"不可加仓(超三买上限)",IF(N54&gt;0.5,"可加仓(三买区,上限60%)",IF(N54&gt;0.35,"可加仓(二买区,上限50%)","可加仓(一买区,上限35%)"))))))</f>
        <v/>
      </c>
    </row>
    <row r="55" customFormat="false" ht="15" hidden="false" customHeight="true" outlineLevel="0" collapsed="false">
      <c r="A55" s="30"/>
      <c r="B55" s="30"/>
      <c r="C55" s="30"/>
      <c r="D55" s="30"/>
      <c r="E55" s="44"/>
      <c r="F55" s="30"/>
      <c r="G55" s="45"/>
      <c r="H55" s="44"/>
      <c r="I55" s="44"/>
      <c r="J55" s="35"/>
      <c r="K55" s="35"/>
      <c r="L55" s="35"/>
      <c r="M55" s="36"/>
      <c r="N55" s="36"/>
      <c r="O55" s="44"/>
      <c r="P55" s="35"/>
      <c r="Q55" s="39"/>
      <c r="R55" s="46"/>
      <c r="S55" s="30"/>
      <c r="T55" s="31"/>
      <c r="U55" s="31"/>
      <c r="V55" s="39"/>
      <c r="W55" s="39"/>
      <c r="X55" s="39"/>
      <c r="Y55" s="39"/>
      <c r="Z55" s="39"/>
      <c r="AA55" s="39" t="str">
        <f aca="false">IF($A55="","",IFERROR(INDEX(账户总表!$B:$B,MATCH($A55,账户总表!$A:$A,0))*INDEX(账户总表!$O:$O,MATCH($A55,账户总表!$A:$A,0)),0))</f>
        <v/>
      </c>
      <c r="AB55" s="57" t="str">
        <f aca="false">IF($A55="","",IFERROR(MAX(0,AA55-J55),0))</f>
        <v/>
      </c>
      <c r="AC55" s="39" t="str">
        <f aca="false">IF($A55="","",IF(I55&gt;0,IFERROR(FLOOR(AB55/I55,100),0),0))</f>
        <v/>
      </c>
      <c r="AD55" s="30" t="str">
        <f aca="false">IF($A55="","",IF(N55&gt;INDEX(账户总表!$O:$O,MATCH($A55,账户总表!$A:$A,0)),"超限","合规"))</f>
        <v/>
      </c>
      <c r="AE55" s="1" t="str">
        <f aca="false">IF($A55="","",IFERROR((I55-P55)/I55,0))</f>
        <v/>
      </c>
      <c r="AF55" s="1" t="str">
        <f aca="false">IF($A55="","",IFERROR(MAX(0,(I55-P55)*G55),0))</f>
        <v/>
      </c>
      <c r="AG55" s="1" t="str">
        <f aca="false">IF($A55="","",IF(COUNTIFS(候选池!$C$2:$C$201,C55,候选池!$K$2:$K$201,"核心池")&gt;0,"核心池","否"))</f>
        <v/>
      </c>
      <c r="AH55" s="1" t="str">
        <f aca="false">IF(A55="","",IF(OR(J55="",K55="",K55=0),"",IF((J55-K55)/K55&lt;0.05,"不可加仓(无浮盈护垫)",IF(N55&gt;0.6,"不可加仓(超三买上限)",IF(N55&gt;0.5,"可加仓(三买区,上限60%)",IF(N55&gt;0.35,"可加仓(二买区,上限50%)","可加仓(一买区,上限35%)"))))))</f>
        <v/>
      </c>
    </row>
    <row r="56" customFormat="false" ht="15" hidden="false" customHeight="true" outlineLevel="0" collapsed="false">
      <c r="A56" s="28"/>
      <c r="B56" s="28"/>
      <c r="C56" s="28"/>
      <c r="D56" s="28"/>
      <c r="E56" s="34"/>
      <c r="F56" s="28"/>
      <c r="G56" s="37"/>
      <c r="H56" s="34"/>
      <c r="I56" s="34"/>
      <c r="J56" s="35"/>
      <c r="K56" s="35"/>
      <c r="L56" s="35"/>
      <c r="M56" s="36"/>
      <c r="N56" s="36"/>
      <c r="O56" s="34"/>
      <c r="P56" s="35"/>
      <c r="Q56" s="39"/>
      <c r="R56" s="40"/>
      <c r="S56" s="28"/>
      <c r="T56" s="29"/>
      <c r="U56" s="29"/>
      <c r="V56" s="39"/>
      <c r="W56" s="39"/>
      <c r="X56" s="39"/>
      <c r="Y56" s="39"/>
      <c r="Z56" s="39"/>
      <c r="AA56" s="39" t="str">
        <f aca="false">IF($A56="","",IFERROR(INDEX(账户总表!$B:$B,MATCH($A56,账户总表!$A:$A,0))*INDEX(账户总表!$O:$O,MATCH($A56,账户总表!$A:$A,0)),0))</f>
        <v/>
      </c>
      <c r="AB56" s="57" t="str">
        <f aca="false">IF($A56="","",IFERROR(MAX(0,AA56-J56),0))</f>
        <v/>
      </c>
      <c r="AC56" s="39" t="str">
        <f aca="false">IF($A56="","",IF(I56&gt;0,IFERROR(FLOOR(AB56/I56,100),0),0))</f>
        <v/>
      </c>
      <c r="AD56" s="28" t="str">
        <f aca="false">IF($A56="","",IF(N56&gt;INDEX(账户总表!$O:$O,MATCH($A56,账户总表!$A:$A,0)),"超限","合规"))</f>
        <v/>
      </c>
      <c r="AE56" s="1" t="str">
        <f aca="false">IF($A56="","",IFERROR((I56-P56)/I56,0))</f>
        <v/>
      </c>
      <c r="AF56" s="1" t="str">
        <f aca="false">IF($A56="","",IFERROR(MAX(0,(I56-P56)*G56),0))</f>
        <v/>
      </c>
      <c r="AG56" s="1" t="str">
        <f aca="false">IF($A56="","",IF(COUNTIFS(候选池!$C$2:$C$201,C56,候选池!$K$2:$K$201,"核心池")&gt;0,"核心池","否"))</f>
        <v/>
      </c>
      <c r="AH56" s="1" t="str">
        <f aca="false">IF(A56="","",IF(OR(J56="",K56="",K56=0),"",IF((J56-K56)/K56&lt;0.05,"不可加仓(无浮盈护垫)",IF(N56&gt;0.6,"不可加仓(超三买上限)",IF(N56&gt;0.5,"可加仓(三买区,上限60%)",IF(N56&gt;0.35,"可加仓(二买区,上限50%)","可加仓(一买区,上限35%)"))))))</f>
        <v/>
      </c>
    </row>
    <row r="57" customFormat="false" ht="15" hidden="false" customHeight="true" outlineLevel="0" collapsed="false">
      <c r="A57" s="30"/>
      <c r="B57" s="30"/>
      <c r="C57" s="30"/>
      <c r="D57" s="30"/>
      <c r="E57" s="44"/>
      <c r="F57" s="30"/>
      <c r="G57" s="45"/>
      <c r="H57" s="44"/>
      <c r="I57" s="44"/>
      <c r="J57" s="35"/>
      <c r="K57" s="35"/>
      <c r="L57" s="35"/>
      <c r="M57" s="36"/>
      <c r="N57" s="36"/>
      <c r="O57" s="44"/>
      <c r="P57" s="35"/>
      <c r="Q57" s="39"/>
      <c r="R57" s="46"/>
      <c r="S57" s="30"/>
      <c r="T57" s="31"/>
      <c r="U57" s="31"/>
      <c r="V57" s="39"/>
      <c r="W57" s="39"/>
      <c r="X57" s="39"/>
      <c r="Y57" s="39"/>
      <c r="Z57" s="39"/>
      <c r="AA57" s="39" t="str">
        <f aca="false">IF($A57="","",IFERROR(INDEX(账户总表!$B:$B,MATCH($A57,账户总表!$A:$A,0))*INDEX(账户总表!$O:$O,MATCH($A57,账户总表!$A:$A,0)),0))</f>
        <v/>
      </c>
      <c r="AB57" s="57" t="str">
        <f aca="false">IF($A57="","",IFERROR(MAX(0,AA57-J57),0))</f>
        <v/>
      </c>
      <c r="AC57" s="39" t="str">
        <f aca="false">IF($A57="","",IF(I57&gt;0,IFERROR(FLOOR(AB57/I57,100),0),0))</f>
        <v/>
      </c>
      <c r="AD57" s="30" t="str">
        <f aca="false">IF($A57="","",IF(N57&gt;INDEX(账户总表!$O:$O,MATCH($A57,账户总表!$A:$A,0)),"超限","合规"))</f>
        <v/>
      </c>
      <c r="AE57" s="1" t="str">
        <f aca="false">IF($A57="","",IFERROR((I57-P57)/I57,0))</f>
        <v/>
      </c>
      <c r="AF57" s="1" t="str">
        <f aca="false">IF($A57="","",IFERROR(MAX(0,(I57-P57)*G57),0))</f>
        <v/>
      </c>
      <c r="AG57" s="1" t="str">
        <f aca="false">IF($A57="","",IF(COUNTIFS(候选池!$C$2:$C$201,C57,候选池!$K$2:$K$201,"核心池")&gt;0,"核心池","否"))</f>
        <v/>
      </c>
      <c r="AH57" s="1" t="str">
        <f aca="false">IF(A57="","",IF(OR(J57="",K57="",K57=0),"",IF((J57-K57)/K57&lt;0.05,"不可加仓(无浮盈护垫)",IF(N57&gt;0.6,"不可加仓(超三买上限)",IF(N57&gt;0.5,"可加仓(三买区,上限60%)",IF(N57&gt;0.35,"可加仓(二买区,上限50%)","可加仓(一买区,上限35%)"))))))</f>
        <v/>
      </c>
    </row>
    <row r="58" customFormat="false" ht="15" hidden="false" customHeight="true" outlineLevel="0" collapsed="false">
      <c r="A58" s="28"/>
      <c r="B58" s="28"/>
      <c r="C58" s="28"/>
      <c r="D58" s="28"/>
      <c r="E58" s="34"/>
      <c r="F58" s="28"/>
      <c r="G58" s="37"/>
      <c r="H58" s="34"/>
      <c r="I58" s="34"/>
      <c r="J58" s="35"/>
      <c r="K58" s="35"/>
      <c r="L58" s="35"/>
      <c r="M58" s="36"/>
      <c r="N58" s="36"/>
      <c r="O58" s="34"/>
      <c r="P58" s="35"/>
      <c r="Q58" s="39"/>
      <c r="R58" s="40"/>
      <c r="S58" s="28"/>
      <c r="T58" s="29"/>
      <c r="U58" s="29"/>
      <c r="V58" s="39"/>
      <c r="W58" s="39"/>
      <c r="X58" s="39"/>
      <c r="Y58" s="39"/>
      <c r="Z58" s="39"/>
      <c r="AA58" s="39" t="str">
        <f aca="false">IF($A58="","",IFERROR(INDEX(账户总表!$B:$B,MATCH($A58,账户总表!$A:$A,0))*INDEX(账户总表!$O:$O,MATCH($A58,账户总表!$A:$A,0)),0))</f>
        <v/>
      </c>
      <c r="AB58" s="57" t="str">
        <f aca="false">IF($A58="","",IFERROR(MAX(0,AA58-J58),0))</f>
        <v/>
      </c>
      <c r="AC58" s="39" t="str">
        <f aca="false">IF($A58="","",IF(I58&gt;0,IFERROR(FLOOR(AB58/I58,100),0),0))</f>
        <v/>
      </c>
      <c r="AD58" s="28" t="str">
        <f aca="false">IF($A58="","",IF(N58&gt;INDEX(账户总表!$O:$O,MATCH($A58,账户总表!$A:$A,0)),"超限","合规"))</f>
        <v/>
      </c>
      <c r="AE58" s="1" t="str">
        <f aca="false">IF($A58="","",IFERROR((I58-P58)/I58,0))</f>
        <v/>
      </c>
      <c r="AF58" s="1" t="str">
        <f aca="false">IF($A58="","",IFERROR(MAX(0,(I58-P58)*G58),0))</f>
        <v/>
      </c>
      <c r="AG58" s="1" t="str">
        <f aca="false">IF($A58="","",IF(COUNTIFS(候选池!$C$2:$C$201,C58,候选池!$K$2:$K$201,"核心池")&gt;0,"核心池","否"))</f>
        <v/>
      </c>
      <c r="AH58" s="1" t="str">
        <f aca="false">IF(A58="","",IF(OR(J58="",K58="",K58=0),"",IF((J58-K58)/K58&lt;0.05,"不可加仓(无浮盈护垫)",IF(N58&gt;0.6,"不可加仓(超三买上限)",IF(N58&gt;0.5,"可加仓(三买区,上限60%)",IF(N58&gt;0.35,"可加仓(二买区,上限50%)","可加仓(一买区,上限35%)"))))))</f>
        <v/>
      </c>
    </row>
    <row r="59" customFormat="false" ht="15" hidden="false" customHeight="true" outlineLevel="0" collapsed="false">
      <c r="A59" s="30"/>
      <c r="B59" s="30"/>
      <c r="C59" s="30"/>
      <c r="D59" s="30"/>
      <c r="E59" s="44"/>
      <c r="F59" s="30"/>
      <c r="G59" s="45"/>
      <c r="H59" s="44"/>
      <c r="I59" s="44"/>
      <c r="J59" s="35"/>
      <c r="K59" s="35"/>
      <c r="L59" s="35"/>
      <c r="M59" s="36"/>
      <c r="N59" s="36"/>
      <c r="O59" s="44"/>
      <c r="P59" s="35"/>
      <c r="Q59" s="39"/>
      <c r="R59" s="46"/>
      <c r="S59" s="30"/>
      <c r="T59" s="31"/>
      <c r="U59" s="31"/>
      <c r="V59" s="39"/>
      <c r="W59" s="39"/>
      <c r="X59" s="39"/>
      <c r="Y59" s="39"/>
      <c r="Z59" s="39"/>
      <c r="AA59" s="39" t="str">
        <f aca="false">IF($A59="","",IFERROR(INDEX(账户总表!$B:$B,MATCH($A59,账户总表!$A:$A,0))*INDEX(账户总表!$O:$O,MATCH($A59,账户总表!$A:$A,0)),0))</f>
        <v/>
      </c>
      <c r="AB59" s="57" t="str">
        <f aca="false">IF($A59="","",IFERROR(MAX(0,AA59-J59),0))</f>
        <v/>
      </c>
      <c r="AC59" s="39" t="str">
        <f aca="false">IF($A59="","",IF(I59&gt;0,IFERROR(FLOOR(AB59/I59,100),0),0))</f>
        <v/>
      </c>
      <c r="AD59" s="30" t="str">
        <f aca="false">IF($A59="","",IF(N59&gt;INDEX(账户总表!$O:$O,MATCH($A59,账户总表!$A:$A,0)),"超限","合规"))</f>
        <v/>
      </c>
      <c r="AE59" s="1" t="str">
        <f aca="false">IF($A59="","",IFERROR((I59-P59)/I59,0))</f>
        <v/>
      </c>
      <c r="AF59" s="1" t="str">
        <f aca="false">IF($A59="","",IFERROR(MAX(0,(I59-P59)*G59),0))</f>
        <v/>
      </c>
      <c r="AG59" s="1" t="str">
        <f aca="false">IF($A59="","",IF(COUNTIFS(候选池!$C$2:$C$201,C59,候选池!$K$2:$K$201,"核心池")&gt;0,"核心池","否"))</f>
        <v/>
      </c>
      <c r="AH59" s="1" t="str">
        <f aca="false">IF(A59="","",IF(OR(J59="",K59="",K59=0),"",IF((J59-K59)/K59&lt;0.05,"不可加仓(无浮盈护垫)",IF(N59&gt;0.6,"不可加仓(超三买上限)",IF(N59&gt;0.5,"可加仓(三买区,上限60%)",IF(N59&gt;0.35,"可加仓(二买区,上限50%)","可加仓(一买区,上限35%)"))))))</f>
        <v/>
      </c>
    </row>
    <row r="60" customFormat="false" ht="15" hidden="false" customHeight="true" outlineLevel="0" collapsed="false">
      <c r="A60" s="28"/>
      <c r="B60" s="28"/>
      <c r="C60" s="28"/>
      <c r="D60" s="28"/>
      <c r="E60" s="34"/>
      <c r="F60" s="28"/>
      <c r="G60" s="37"/>
      <c r="H60" s="34"/>
      <c r="I60" s="34"/>
      <c r="J60" s="35"/>
      <c r="K60" s="35"/>
      <c r="L60" s="35"/>
      <c r="M60" s="36"/>
      <c r="N60" s="36"/>
      <c r="O60" s="34"/>
      <c r="P60" s="35"/>
      <c r="Q60" s="39"/>
      <c r="R60" s="40"/>
      <c r="S60" s="28"/>
      <c r="T60" s="29"/>
      <c r="U60" s="29"/>
      <c r="V60" s="39"/>
      <c r="W60" s="39"/>
      <c r="X60" s="39"/>
      <c r="Y60" s="39"/>
      <c r="Z60" s="39"/>
      <c r="AA60" s="39" t="str">
        <f aca="false">IF($A60="","",IFERROR(INDEX(账户总表!$B:$B,MATCH($A60,账户总表!$A:$A,0))*INDEX(账户总表!$O:$O,MATCH($A60,账户总表!$A:$A,0)),0))</f>
        <v/>
      </c>
      <c r="AB60" s="57" t="str">
        <f aca="false">IF($A60="","",IFERROR(MAX(0,AA60-J60),0))</f>
        <v/>
      </c>
      <c r="AC60" s="39" t="str">
        <f aca="false">IF($A60="","",IF(I60&gt;0,IFERROR(FLOOR(AB60/I60,100),0),0))</f>
        <v/>
      </c>
      <c r="AD60" s="28" t="str">
        <f aca="false">IF($A60="","",IF(N60&gt;INDEX(账户总表!$O:$O,MATCH($A60,账户总表!$A:$A,0)),"超限","合规"))</f>
        <v/>
      </c>
      <c r="AE60" s="1" t="str">
        <f aca="false">IF($A60="","",IFERROR((I60-P60)/I60,0))</f>
        <v/>
      </c>
      <c r="AF60" s="1" t="str">
        <f aca="false">IF($A60="","",IFERROR(MAX(0,(I60-P60)*G60),0))</f>
        <v/>
      </c>
      <c r="AG60" s="1" t="str">
        <f aca="false">IF($A60="","",IF(COUNTIFS(候选池!$C$2:$C$201,C60,候选池!$K$2:$K$201,"核心池")&gt;0,"核心池","否"))</f>
        <v/>
      </c>
      <c r="AH60" s="1" t="str">
        <f aca="false">IF(A60="","",IF(OR(J60="",K60="",K60=0),"",IF((J60-K60)/K60&lt;0.05,"不可加仓(无浮盈护垫)",IF(N60&gt;0.6,"不可加仓(超三买上限)",IF(N60&gt;0.5,"可加仓(三买区,上限60%)",IF(N60&gt;0.35,"可加仓(二买区,上限50%)","可加仓(一买区,上限35%)"))))))</f>
        <v/>
      </c>
    </row>
    <row r="61" customFormat="false" ht="15" hidden="false" customHeight="true" outlineLevel="0" collapsed="false">
      <c r="A61" s="30"/>
      <c r="B61" s="30"/>
      <c r="C61" s="30"/>
      <c r="D61" s="30"/>
      <c r="E61" s="44"/>
      <c r="F61" s="30"/>
      <c r="G61" s="45"/>
      <c r="H61" s="44"/>
      <c r="I61" s="44"/>
      <c r="J61" s="35"/>
      <c r="K61" s="35"/>
      <c r="L61" s="35"/>
      <c r="M61" s="36"/>
      <c r="N61" s="36"/>
      <c r="O61" s="44"/>
      <c r="P61" s="35"/>
      <c r="Q61" s="39"/>
      <c r="R61" s="46"/>
      <c r="S61" s="30"/>
      <c r="T61" s="31"/>
      <c r="U61" s="31"/>
      <c r="V61" s="39"/>
      <c r="W61" s="39"/>
      <c r="X61" s="39"/>
      <c r="Y61" s="39"/>
      <c r="Z61" s="39"/>
      <c r="AA61" s="39" t="str">
        <f aca="false">IF($A61="","",IFERROR(INDEX(账户总表!$B:$B,MATCH($A61,账户总表!$A:$A,0))*INDEX(账户总表!$O:$O,MATCH($A61,账户总表!$A:$A,0)),0))</f>
        <v/>
      </c>
      <c r="AB61" s="57" t="str">
        <f aca="false">IF($A61="","",IFERROR(MAX(0,AA61-J61),0))</f>
        <v/>
      </c>
      <c r="AC61" s="39" t="str">
        <f aca="false">IF($A61="","",IF(I61&gt;0,IFERROR(FLOOR(AB61/I61,100),0),0))</f>
        <v/>
      </c>
      <c r="AD61" s="30" t="str">
        <f aca="false">IF($A61="","",IF(N61&gt;INDEX(账户总表!$O:$O,MATCH($A61,账户总表!$A:$A,0)),"超限","合规"))</f>
        <v/>
      </c>
      <c r="AE61" s="1" t="str">
        <f aca="false">IF($A61="","",IFERROR((I61-P61)/I61,0))</f>
        <v/>
      </c>
      <c r="AF61" s="1" t="str">
        <f aca="false">IF($A61="","",IFERROR(MAX(0,(I61-P61)*G61),0))</f>
        <v/>
      </c>
      <c r="AG61" s="1" t="str">
        <f aca="false">IF($A61="","",IF(COUNTIFS(候选池!$C$2:$C$201,C61,候选池!$K$2:$K$201,"核心池")&gt;0,"核心池","否"))</f>
        <v/>
      </c>
      <c r="AH61" s="1" t="str">
        <f aca="false">IF(A61="","",IF(OR(J61="",K61="",K61=0),"",IF((J61-K61)/K61&lt;0.05,"不可加仓(无浮盈护垫)",IF(N61&gt;0.6,"不可加仓(超三买上限)",IF(N61&gt;0.5,"可加仓(三买区,上限60%)",IF(N61&gt;0.35,"可加仓(二买区,上限50%)","可加仓(一买区,上限35%)"))))))</f>
        <v/>
      </c>
    </row>
    <row r="62" customFormat="false" ht="15" hidden="false" customHeight="true" outlineLevel="0" collapsed="false">
      <c r="A62" s="28"/>
      <c r="B62" s="28"/>
      <c r="C62" s="28"/>
      <c r="D62" s="28"/>
      <c r="E62" s="34"/>
      <c r="F62" s="28"/>
      <c r="G62" s="37"/>
      <c r="H62" s="34"/>
      <c r="I62" s="34"/>
      <c r="J62" s="35"/>
      <c r="K62" s="35"/>
      <c r="L62" s="35"/>
      <c r="M62" s="36"/>
      <c r="N62" s="36"/>
      <c r="O62" s="34"/>
      <c r="P62" s="35"/>
      <c r="Q62" s="39"/>
      <c r="R62" s="40"/>
      <c r="S62" s="28"/>
      <c r="T62" s="29"/>
      <c r="U62" s="29"/>
      <c r="V62" s="39"/>
      <c r="W62" s="39"/>
      <c r="X62" s="39"/>
      <c r="Y62" s="39"/>
      <c r="Z62" s="39"/>
      <c r="AA62" s="39" t="str">
        <f aca="false">IF($A62="","",IFERROR(INDEX(账户总表!$B:$B,MATCH($A62,账户总表!$A:$A,0))*INDEX(账户总表!$O:$O,MATCH($A62,账户总表!$A:$A,0)),0))</f>
        <v/>
      </c>
      <c r="AB62" s="57" t="str">
        <f aca="false">IF($A62="","",IFERROR(MAX(0,AA62-J62),0))</f>
        <v/>
      </c>
      <c r="AC62" s="39" t="str">
        <f aca="false">IF($A62="","",IF(I62&gt;0,IFERROR(FLOOR(AB62/I62,100),0),0))</f>
        <v/>
      </c>
      <c r="AD62" s="28" t="str">
        <f aca="false">IF($A62="","",IF(N62&gt;INDEX(账户总表!$O:$O,MATCH($A62,账户总表!$A:$A,0)),"超限","合规"))</f>
        <v/>
      </c>
      <c r="AE62" s="1" t="str">
        <f aca="false">IF($A62="","",IFERROR((I62-P62)/I62,0))</f>
        <v/>
      </c>
      <c r="AF62" s="1" t="str">
        <f aca="false">IF($A62="","",IFERROR(MAX(0,(I62-P62)*G62),0))</f>
        <v/>
      </c>
      <c r="AG62" s="1" t="str">
        <f aca="false">IF($A62="","",IF(COUNTIFS(候选池!$C$2:$C$201,C62,候选池!$K$2:$K$201,"核心池")&gt;0,"核心池","否"))</f>
        <v/>
      </c>
      <c r="AH62" s="1" t="str">
        <f aca="false">IF(A62="","",IF(OR(J62="",K62="",K62=0),"",IF((J62-K62)/K62&lt;0.05,"不可加仓(无浮盈护垫)",IF(N62&gt;0.6,"不可加仓(超三买上限)",IF(N62&gt;0.5,"可加仓(三买区,上限60%)",IF(N62&gt;0.35,"可加仓(二买区,上限50%)","可加仓(一买区,上限35%)"))))))</f>
        <v/>
      </c>
    </row>
    <row r="63" customFormat="false" ht="15" hidden="false" customHeight="true" outlineLevel="0" collapsed="false">
      <c r="A63" s="30"/>
      <c r="B63" s="30"/>
      <c r="C63" s="30"/>
      <c r="D63" s="30"/>
      <c r="E63" s="44"/>
      <c r="F63" s="30"/>
      <c r="G63" s="45"/>
      <c r="H63" s="44"/>
      <c r="I63" s="44"/>
      <c r="J63" s="35"/>
      <c r="K63" s="35"/>
      <c r="L63" s="35"/>
      <c r="M63" s="36"/>
      <c r="N63" s="36"/>
      <c r="O63" s="44"/>
      <c r="P63" s="35"/>
      <c r="Q63" s="39"/>
      <c r="R63" s="46"/>
      <c r="S63" s="30"/>
      <c r="T63" s="31"/>
      <c r="U63" s="31"/>
      <c r="V63" s="39"/>
      <c r="W63" s="39"/>
      <c r="X63" s="39"/>
      <c r="Y63" s="39"/>
      <c r="Z63" s="39"/>
      <c r="AA63" s="39" t="str">
        <f aca="false">IF($A63="","",IFERROR(INDEX(账户总表!$B:$B,MATCH($A63,账户总表!$A:$A,0))*INDEX(账户总表!$O:$O,MATCH($A63,账户总表!$A:$A,0)),0))</f>
        <v/>
      </c>
      <c r="AB63" s="57" t="str">
        <f aca="false">IF($A63="","",IFERROR(MAX(0,AA63-J63),0))</f>
        <v/>
      </c>
      <c r="AC63" s="39" t="str">
        <f aca="false">IF($A63="","",IF(I63&gt;0,IFERROR(FLOOR(AB63/I63,100),0),0))</f>
        <v/>
      </c>
      <c r="AD63" s="30" t="str">
        <f aca="false">IF($A63="","",IF(N63&gt;INDEX(账户总表!$O:$O,MATCH($A63,账户总表!$A:$A,0)),"超限","合规"))</f>
        <v/>
      </c>
      <c r="AE63" s="1" t="str">
        <f aca="false">IF($A63="","",IFERROR((I63-P63)/I63,0))</f>
        <v/>
      </c>
      <c r="AF63" s="1" t="str">
        <f aca="false">IF($A63="","",IFERROR(MAX(0,(I63-P63)*G63),0))</f>
        <v/>
      </c>
      <c r="AG63" s="1" t="str">
        <f aca="false">IF($A63="","",IF(COUNTIFS(候选池!$C$2:$C$201,C63,候选池!$K$2:$K$201,"核心池")&gt;0,"核心池","否"))</f>
        <v/>
      </c>
      <c r="AH63" s="1" t="str">
        <f aca="false">IF(A63="","",IF(OR(J63="",K63="",K63=0),"",IF((J63-K63)/K63&lt;0.05,"不可加仓(无浮盈护垫)",IF(N63&gt;0.6,"不可加仓(超三买上限)",IF(N63&gt;0.5,"可加仓(三买区,上限60%)",IF(N63&gt;0.35,"可加仓(二买区,上限50%)","可加仓(一买区,上限35%)"))))))</f>
        <v/>
      </c>
    </row>
    <row r="64" customFormat="false" ht="15" hidden="false" customHeight="true" outlineLevel="0" collapsed="false">
      <c r="A64" s="28"/>
      <c r="B64" s="28"/>
      <c r="C64" s="28"/>
      <c r="D64" s="28"/>
      <c r="E64" s="34"/>
      <c r="F64" s="28"/>
      <c r="G64" s="37"/>
      <c r="H64" s="34"/>
      <c r="I64" s="34"/>
      <c r="J64" s="35"/>
      <c r="K64" s="35"/>
      <c r="L64" s="35"/>
      <c r="M64" s="36"/>
      <c r="N64" s="36"/>
      <c r="O64" s="34"/>
      <c r="P64" s="35"/>
      <c r="Q64" s="39"/>
      <c r="R64" s="40"/>
      <c r="S64" s="28"/>
      <c r="T64" s="29"/>
      <c r="U64" s="29"/>
      <c r="V64" s="39"/>
      <c r="W64" s="39"/>
      <c r="X64" s="39"/>
      <c r="Y64" s="39"/>
      <c r="Z64" s="39"/>
      <c r="AA64" s="39" t="str">
        <f aca="false">IF($A64="","",IFERROR(INDEX(账户总表!$B:$B,MATCH($A64,账户总表!$A:$A,0))*INDEX(账户总表!$O:$O,MATCH($A64,账户总表!$A:$A,0)),0))</f>
        <v/>
      </c>
      <c r="AB64" s="57" t="str">
        <f aca="false">IF($A64="","",IFERROR(MAX(0,AA64-J64),0))</f>
        <v/>
      </c>
      <c r="AC64" s="39" t="str">
        <f aca="false">IF($A64="","",IF(I64&gt;0,IFERROR(FLOOR(AB64/I64,100),0),0))</f>
        <v/>
      </c>
      <c r="AD64" s="28" t="str">
        <f aca="false">IF($A64="","",IF(N64&gt;INDEX(账户总表!$O:$O,MATCH($A64,账户总表!$A:$A,0)),"超限","合规"))</f>
        <v/>
      </c>
      <c r="AE64" s="1" t="str">
        <f aca="false">IF($A64="","",IFERROR((I64-P64)/I64,0))</f>
        <v/>
      </c>
      <c r="AF64" s="1" t="str">
        <f aca="false">IF($A64="","",IFERROR(MAX(0,(I64-P64)*G64),0))</f>
        <v/>
      </c>
      <c r="AG64" s="1" t="str">
        <f aca="false">IF($A64="","",IF(COUNTIFS(候选池!$C$2:$C$201,C64,候选池!$K$2:$K$201,"核心池")&gt;0,"核心池","否"))</f>
        <v/>
      </c>
      <c r="AH64" s="1" t="str">
        <f aca="false">IF(A64="","",IF(OR(J64="",K64="",K64=0),"",IF((J64-K64)/K64&lt;0.05,"不可加仓(无浮盈护垫)",IF(N64&gt;0.6,"不可加仓(超三买上限)",IF(N64&gt;0.5,"可加仓(三买区,上限60%)",IF(N64&gt;0.35,"可加仓(二买区,上限50%)","可加仓(一买区,上限35%)"))))))</f>
        <v/>
      </c>
    </row>
    <row r="65" customFormat="false" ht="15" hidden="false" customHeight="true" outlineLevel="0" collapsed="false">
      <c r="A65" s="30"/>
      <c r="B65" s="30"/>
      <c r="C65" s="30"/>
      <c r="D65" s="30"/>
      <c r="E65" s="44"/>
      <c r="F65" s="30"/>
      <c r="G65" s="45"/>
      <c r="H65" s="44"/>
      <c r="I65" s="44"/>
      <c r="J65" s="35"/>
      <c r="K65" s="35"/>
      <c r="L65" s="35"/>
      <c r="M65" s="36"/>
      <c r="N65" s="36"/>
      <c r="O65" s="44"/>
      <c r="P65" s="35"/>
      <c r="Q65" s="39"/>
      <c r="R65" s="46"/>
      <c r="S65" s="30"/>
      <c r="T65" s="31"/>
      <c r="U65" s="31"/>
      <c r="V65" s="39"/>
      <c r="W65" s="39"/>
      <c r="X65" s="39"/>
      <c r="Y65" s="39"/>
      <c r="Z65" s="39"/>
      <c r="AA65" s="39" t="str">
        <f aca="false">IF($A65="","",IFERROR(INDEX(账户总表!$B:$B,MATCH($A65,账户总表!$A:$A,0))*INDEX(账户总表!$O:$O,MATCH($A65,账户总表!$A:$A,0)),0))</f>
        <v/>
      </c>
      <c r="AB65" s="57" t="str">
        <f aca="false">IF($A65="","",IFERROR(MAX(0,AA65-J65),0))</f>
        <v/>
      </c>
      <c r="AC65" s="39" t="str">
        <f aca="false">IF($A65="","",IF(I65&gt;0,IFERROR(FLOOR(AB65/I65,100),0),0))</f>
        <v/>
      </c>
      <c r="AD65" s="30" t="str">
        <f aca="false">IF($A65="","",IF(N65&gt;INDEX(账户总表!$O:$O,MATCH($A65,账户总表!$A:$A,0)),"超限","合规"))</f>
        <v/>
      </c>
      <c r="AE65" s="1" t="str">
        <f aca="false">IF($A65="","",IFERROR((I65-P65)/I65,0))</f>
        <v/>
      </c>
      <c r="AF65" s="1" t="str">
        <f aca="false">IF($A65="","",IFERROR(MAX(0,(I65-P65)*G65),0))</f>
        <v/>
      </c>
      <c r="AG65" s="1" t="str">
        <f aca="false">IF($A65="","",IF(COUNTIFS(候选池!$C$2:$C$201,C65,候选池!$K$2:$K$201,"核心池")&gt;0,"核心池","否"))</f>
        <v/>
      </c>
      <c r="AH65" s="1" t="str">
        <f aca="false">IF(A65="","",IF(OR(J65="",K65="",K65=0),"",IF((J65-K65)/K65&lt;0.05,"不可加仓(无浮盈护垫)",IF(N65&gt;0.6,"不可加仓(超三买上限)",IF(N65&gt;0.5,"可加仓(三买区,上限60%)",IF(N65&gt;0.35,"可加仓(二买区,上限50%)","可加仓(一买区,上限35%)"))))))</f>
        <v/>
      </c>
    </row>
    <row r="66" customFormat="false" ht="15" hidden="false" customHeight="true" outlineLevel="0" collapsed="false">
      <c r="A66" s="28"/>
      <c r="B66" s="28"/>
      <c r="C66" s="28"/>
      <c r="D66" s="28"/>
      <c r="E66" s="34"/>
      <c r="F66" s="28"/>
      <c r="G66" s="37"/>
      <c r="H66" s="34"/>
      <c r="I66" s="34"/>
      <c r="J66" s="35"/>
      <c r="K66" s="35"/>
      <c r="L66" s="35"/>
      <c r="M66" s="36"/>
      <c r="N66" s="36"/>
      <c r="O66" s="34"/>
      <c r="P66" s="35"/>
      <c r="Q66" s="39"/>
      <c r="R66" s="40"/>
      <c r="S66" s="28"/>
      <c r="T66" s="29"/>
      <c r="U66" s="29"/>
      <c r="V66" s="39"/>
      <c r="W66" s="39"/>
      <c r="X66" s="39"/>
      <c r="Y66" s="39"/>
      <c r="Z66" s="39"/>
      <c r="AA66" s="39" t="str">
        <f aca="false">IF($A66="","",IFERROR(INDEX(账户总表!$B:$B,MATCH($A66,账户总表!$A:$A,0))*INDEX(账户总表!$O:$O,MATCH($A66,账户总表!$A:$A,0)),0))</f>
        <v/>
      </c>
      <c r="AB66" s="57" t="str">
        <f aca="false">IF($A66="","",IFERROR(MAX(0,AA66-J66),0))</f>
        <v/>
      </c>
      <c r="AC66" s="39" t="str">
        <f aca="false">IF($A66="","",IF(I66&gt;0,IFERROR(FLOOR(AB66/I66,100),0),0))</f>
        <v/>
      </c>
      <c r="AD66" s="28" t="str">
        <f aca="false">IF($A66="","",IF(N66&gt;INDEX(账户总表!$O:$O,MATCH($A66,账户总表!$A:$A,0)),"超限","合规"))</f>
        <v/>
      </c>
      <c r="AE66" s="1" t="str">
        <f aca="false">IF($A66="","",IFERROR((I66-P66)/I66,0))</f>
        <v/>
      </c>
      <c r="AF66" s="1" t="str">
        <f aca="false">IF($A66="","",IFERROR(MAX(0,(I66-P66)*G66),0))</f>
        <v/>
      </c>
      <c r="AG66" s="1" t="str">
        <f aca="false">IF($A66="","",IF(COUNTIFS(候选池!$C$2:$C$201,C66,候选池!$K$2:$K$201,"核心池")&gt;0,"核心池","否"))</f>
        <v/>
      </c>
      <c r="AH66" s="1" t="str">
        <f aca="false">IF(A66="","",IF(OR(J66="",K66="",K66=0),"",IF((J66-K66)/K66&lt;0.05,"不可加仓(无浮盈护垫)",IF(N66&gt;0.6,"不可加仓(超三买上限)",IF(N66&gt;0.5,"可加仓(三买区,上限60%)",IF(N66&gt;0.35,"可加仓(二买区,上限50%)","可加仓(一买区,上限35%)"))))))</f>
        <v/>
      </c>
    </row>
    <row r="67" customFormat="false" ht="15" hidden="false" customHeight="true" outlineLevel="0" collapsed="false">
      <c r="A67" s="30"/>
      <c r="B67" s="30"/>
      <c r="C67" s="30"/>
      <c r="D67" s="30"/>
      <c r="E67" s="44"/>
      <c r="F67" s="30"/>
      <c r="G67" s="45"/>
      <c r="H67" s="44"/>
      <c r="I67" s="44"/>
      <c r="J67" s="35"/>
      <c r="K67" s="35"/>
      <c r="L67" s="35"/>
      <c r="M67" s="36"/>
      <c r="N67" s="36"/>
      <c r="O67" s="44"/>
      <c r="P67" s="35"/>
      <c r="Q67" s="39"/>
      <c r="R67" s="46"/>
      <c r="S67" s="30"/>
      <c r="T67" s="31"/>
      <c r="U67" s="31"/>
      <c r="V67" s="39"/>
      <c r="W67" s="39"/>
      <c r="X67" s="39"/>
      <c r="Y67" s="39"/>
      <c r="Z67" s="39"/>
      <c r="AA67" s="39" t="str">
        <f aca="false">IF($A67="","",IFERROR(INDEX(账户总表!$B:$B,MATCH($A67,账户总表!$A:$A,0))*INDEX(账户总表!$O:$O,MATCH($A67,账户总表!$A:$A,0)),0))</f>
        <v/>
      </c>
      <c r="AB67" s="57" t="str">
        <f aca="false">IF($A67="","",IFERROR(MAX(0,AA67-J67),0))</f>
        <v/>
      </c>
      <c r="AC67" s="39" t="str">
        <f aca="false">IF($A67="","",IF(I67&gt;0,IFERROR(FLOOR(AB67/I67,100),0),0))</f>
        <v/>
      </c>
      <c r="AD67" s="30" t="str">
        <f aca="false">IF($A67="","",IF(N67&gt;INDEX(账户总表!$O:$O,MATCH($A67,账户总表!$A:$A,0)),"超限","合规"))</f>
        <v/>
      </c>
      <c r="AE67" s="1" t="str">
        <f aca="false">IF($A67="","",IFERROR((I67-P67)/I67,0))</f>
        <v/>
      </c>
      <c r="AF67" s="1" t="str">
        <f aca="false">IF($A67="","",IFERROR(MAX(0,(I67-P67)*G67),0))</f>
        <v/>
      </c>
      <c r="AG67" s="1" t="str">
        <f aca="false">IF($A67="","",IF(COUNTIFS(候选池!$C$2:$C$201,C67,候选池!$K$2:$K$201,"核心池")&gt;0,"核心池","否"))</f>
        <v/>
      </c>
      <c r="AH67" s="1" t="str">
        <f aca="false">IF(A67="","",IF(OR(J67="",K67="",K67=0),"",IF((J67-K67)/K67&lt;0.05,"不可加仓(无浮盈护垫)",IF(N67&gt;0.6,"不可加仓(超三买上限)",IF(N67&gt;0.5,"可加仓(三买区,上限60%)",IF(N67&gt;0.35,"可加仓(二买区,上限50%)","可加仓(一买区,上限35%)"))))))</f>
        <v/>
      </c>
    </row>
    <row r="68" customFormat="false" ht="15" hidden="false" customHeight="true" outlineLevel="0" collapsed="false">
      <c r="A68" s="28"/>
      <c r="B68" s="28"/>
      <c r="C68" s="28"/>
      <c r="D68" s="28"/>
      <c r="E68" s="34"/>
      <c r="F68" s="28"/>
      <c r="G68" s="37"/>
      <c r="H68" s="34"/>
      <c r="I68" s="34"/>
      <c r="J68" s="35"/>
      <c r="K68" s="35"/>
      <c r="L68" s="35"/>
      <c r="M68" s="36"/>
      <c r="N68" s="36"/>
      <c r="O68" s="34"/>
      <c r="P68" s="35"/>
      <c r="Q68" s="39"/>
      <c r="R68" s="40"/>
      <c r="S68" s="28"/>
      <c r="T68" s="29"/>
      <c r="U68" s="29"/>
      <c r="V68" s="39"/>
      <c r="W68" s="39"/>
      <c r="X68" s="39"/>
      <c r="Y68" s="39"/>
      <c r="Z68" s="39"/>
      <c r="AA68" s="39" t="str">
        <f aca="false">IF($A68="","",IFERROR(INDEX(账户总表!$B:$B,MATCH($A68,账户总表!$A:$A,0))*INDEX(账户总表!$O:$O,MATCH($A68,账户总表!$A:$A,0)),0))</f>
        <v/>
      </c>
      <c r="AB68" s="57" t="str">
        <f aca="false">IF($A68="","",IFERROR(MAX(0,AA68-J68),0))</f>
        <v/>
      </c>
      <c r="AC68" s="39" t="str">
        <f aca="false">IF($A68="","",IF(I68&gt;0,IFERROR(FLOOR(AB68/I68,100),0),0))</f>
        <v/>
      </c>
      <c r="AD68" s="28" t="str">
        <f aca="false">IF($A68="","",IF(N68&gt;INDEX(账户总表!$O:$O,MATCH($A68,账户总表!$A:$A,0)),"超限","合规"))</f>
        <v/>
      </c>
      <c r="AE68" s="1" t="str">
        <f aca="false">IF($A68="","",IFERROR((I68-P68)/I68,0))</f>
        <v/>
      </c>
      <c r="AF68" s="1" t="str">
        <f aca="false">IF($A68="","",IFERROR(MAX(0,(I68-P68)*G68),0))</f>
        <v/>
      </c>
      <c r="AG68" s="1" t="str">
        <f aca="false">IF($A68="","",IF(COUNTIFS(候选池!$C$2:$C$201,C68,候选池!$K$2:$K$201,"核心池")&gt;0,"核心池","否"))</f>
        <v/>
      </c>
      <c r="AH68" s="1" t="str">
        <f aca="false">IF(A68="","",IF(OR(J68="",K68="",K68=0),"",IF((J68-K68)/K68&lt;0.05,"不可加仓(无浮盈护垫)",IF(N68&gt;0.6,"不可加仓(超三买上限)",IF(N68&gt;0.5,"可加仓(三买区,上限60%)",IF(N68&gt;0.35,"可加仓(二买区,上限50%)","可加仓(一买区,上限35%)"))))))</f>
        <v/>
      </c>
    </row>
    <row r="69" customFormat="false" ht="15" hidden="false" customHeight="true" outlineLevel="0" collapsed="false">
      <c r="A69" s="30"/>
      <c r="B69" s="30"/>
      <c r="C69" s="30"/>
      <c r="D69" s="30"/>
      <c r="E69" s="44"/>
      <c r="F69" s="30"/>
      <c r="G69" s="45"/>
      <c r="H69" s="44"/>
      <c r="I69" s="44"/>
      <c r="J69" s="35"/>
      <c r="K69" s="35"/>
      <c r="L69" s="35"/>
      <c r="M69" s="36"/>
      <c r="N69" s="36"/>
      <c r="O69" s="44"/>
      <c r="P69" s="35"/>
      <c r="Q69" s="39"/>
      <c r="R69" s="46"/>
      <c r="S69" s="30"/>
      <c r="T69" s="31"/>
      <c r="U69" s="31"/>
      <c r="V69" s="39"/>
      <c r="W69" s="39"/>
      <c r="X69" s="39"/>
      <c r="Y69" s="39"/>
      <c r="Z69" s="39"/>
      <c r="AA69" s="39" t="str">
        <f aca="false">IF($A69="","",IFERROR(INDEX(账户总表!$B:$B,MATCH($A69,账户总表!$A:$A,0))*INDEX(账户总表!$O:$O,MATCH($A69,账户总表!$A:$A,0)),0))</f>
        <v/>
      </c>
      <c r="AB69" s="57" t="str">
        <f aca="false">IF($A69="","",IFERROR(MAX(0,AA69-J69),0))</f>
        <v/>
      </c>
      <c r="AC69" s="39" t="str">
        <f aca="false">IF($A69="","",IF(I69&gt;0,IFERROR(FLOOR(AB69/I69,100),0),0))</f>
        <v/>
      </c>
      <c r="AD69" s="30" t="str">
        <f aca="false">IF($A69="","",IF(N69&gt;INDEX(账户总表!$O:$O,MATCH($A69,账户总表!$A:$A,0)),"超限","合规"))</f>
        <v/>
      </c>
      <c r="AE69" s="1" t="str">
        <f aca="false">IF($A69="","",IFERROR((I69-P69)/I69,0))</f>
        <v/>
      </c>
      <c r="AF69" s="1" t="str">
        <f aca="false">IF($A69="","",IFERROR(MAX(0,(I69-P69)*G69),0))</f>
        <v/>
      </c>
      <c r="AG69" s="1" t="str">
        <f aca="false">IF($A69="","",IF(COUNTIFS(候选池!$C$2:$C$201,C69,候选池!$K$2:$K$201,"核心池")&gt;0,"核心池","否"))</f>
        <v/>
      </c>
      <c r="AH69" s="1" t="str">
        <f aca="false">IF(A69="","",IF(OR(J69="",K69="",K69=0),"",IF((J69-K69)/K69&lt;0.05,"不可加仓(无浮盈护垫)",IF(N69&gt;0.6,"不可加仓(超三买上限)",IF(N69&gt;0.5,"可加仓(三买区,上限60%)",IF(N69&gt;0.35,"可加仓(二买区,上限50%)","可加仓(一买区,上限35%)"))))))</f>
        <v/>
      </c>
    </row>
    <row r="70" customFormat="false" ht="15" hidden="false" customHeight="true" outlineLevel="0" collapsed="false">
      <c r="A70" s="28"/>
      <c r="B70" s="28"/>
      <c r="C70" s="28"/>
      <c r="D70" s="28"/>
      <c r="E70" s="34"/>
      <c r="F70" s="28"/>
      <c r="G70" s="37"/>
      <c r="H70" s="34"/>
      <c r="I70" s="34"/>
      <c r="J70" s="35"/>
      <c r="K70" s="35"/>
      <c r="L70" s="35"/>
      <c r="M70" s="36"/>
      <c r="N70" s="36"/>
      <c r="O70" s="34"/>
      <c r="P70" s="35"/>
      <c r="Q70" s="39"/>
      <c r="R70" s="40"/>
      <c r="S70" s="28"/>
      <c r="T70" s="29"/>
      <c r="U70" s="29"/>
      <c r="V70" s="39"/>
      <c r="W70" s="39"/>
      <c r="X70" s="39"/>
      <c r="Y70" s="39"/>
      <c r="Z70" s="39"/>
      <c r="AA70" s="39" t="str">
        <f aca="false">IF($A70="","",IFERROR(INDEX(账户总表!$B:$B,MATCH($A70,账户总表!$A:$A,0))*INDEX(账户总表!$O:$O,MATCH($A70,账户总表!$A:$A,0)),0))</f>
        <v/>
      </c>
      <c r="AB70" s="57" t="str">
        <f aca="false">IF($A70="","",IFERROR(MAX(0,AA70-J70),0))</f>
        <v/>
      </c>
      <c r="AC70" s="39" t="str">
        <f aca="false">IF($A70="","",IF(I70&gt;0,IFERROR(FLOOR(AB70/I70,100),0),0))</f>
        <v/>
      </c>
      <c r="AD70" s="28" t="str">
        <f aca="false">IF($A70="","",IF(N70&gt;INDEX(账户总表!$O:$O,MATCH($A70,账户总表!$A:$A,0)),"超限","合规"))</f>
        <v/>
      </c>
      <c r="AE70" s="1" t="str">
        <f aca="false">IF($A70="","",IFERROR((I70-P70)/I70,0))</f>
        <v/>
      </c>
      <c r="AF70" s="1" t="str">
        <f aca="false">IF($A70="","",IFERROR(MAX(0,(I70-P70)*G70),0))</f>
        <v/>
      </c>
      <c r="AG70" s="1" t="str">
        <f aca="false">IF($A70="","",IF(COUNTIFS(候选池!$C$2:$C$201,C70,候选池!$K$2:$K$201,"核心池")&gt;0,"核心池","否"))</f>
        <v/>
      </c>
      <c r="AH70" s="1" t="str">
        <f aca="false">IF(A70="","",IF(OR(J70="",K70="",K70=0),"",IF((J70-K70)/K70&lt;0.05,"不可加仓(无浮盈护垫)",IF(N70&gt;0.6,"不可加仓(超三买上限)",IF(N70&gt;0.5,"可加仓(三买区,上限60%)",IF(N70&gt;0.35,"可加仓(二买区,上限50%)","可加仓(一买区,上限35%)"))))))</f>
        <v/>
      </c>
    </row>
    <row r="71" customFormat="false" ht="15" hidden="false" customHeight="true" outlineLevel="0" collapsed="false">
      <c r="A71" s="30"/>
      <c r="B71" s="30"/>
      <c r="C71" s="30"/>
      <c r="D71" s="30"/>
      <c r="E71" s="44"/>
      <c r="F71" s="30"/>
      <c r="G71" s="45"/>
      <c r="H71" s="44"/>
      <c r="I71" s="44"/>
      <c r="J71" s="35"/>
      <c r="K71" s="35"/>
      <c r="L71" s="35"/>
      <c r="M71" s="36"/>
      <c r="N71" s="36"/>
      <c r="O71" s="44"/>
      <c r="P71" s="35"/>
      <c r="Q71" s="39"/>
      <c r="R71" s="46"/>
      <c r="S71" s="30"/>
      <c r="T71" s="31"/>
      <c r="U71" s="31"/>
      <c r="V71" s="39"/>
      <c r="W71" s="39"/>
      <c r="X71" s="39"/>
      <c r="Y71" s="39"/>
      <c r="Z71" s="39"/>
      <c r="AA71" s="39" t="str">
        <f aca="false">IF($A71="","",IFERROR(INDEX(账户总表!$B:$B,MATCH($A71,账户总表!$A:$A,0))*INDEX(账户总表!$O:$O,MATCH($A71,账户总表!$A:$A,0)),0))</f>
        <v/>
      </c>
      <c r="AB71" s="57" t="str">
        <f aca="false">IF($A71="","",IFERROR(MAX(0,AA71-J71),0))</f>
        <v/>
      </c>
      <c r="AC71" s="39" t="str">
        <f aca="false">IF($A71="","",IF(I71&gt;0,IFERROR(FLOOR(AB71/I71,100),0),0))</f>
        <v/>
      </c>
      <c r="AD71" s="30" t="str">
        <f aca="false">IF($A71="","",IF(N71&gt;INDEX(账户总表!$O:$O,MATCH($A71,账户总表!$A:$A,0)),"超限","合规"))</f>
        <v/>
      </c>
      <c r="AE71" s="1" t="str">
        <f aca="false">IF($A71="","",IFERROR((I71-P71)/I71,0))</f>
        <v/>
      </c>
      <c r="AF71" s="1" t="str">
        <f aca="false">IF($A71="","",IFERROR(MAX(0,(I71-P71)*G71),0))</f>
        <v/>
      </c>
      <c r="AG71" s="1" t="str">
        <f aca="false">IF($A71="","",IF(COUNTIFS(候选池!$C$2:$C$201,C71,候选池!$K$2:$K$201,"核心池")&gt;0,"核心池","否"))</f>
        <v/>
      </c>
      <c r="AH71" s="1" t="str">
        <f aca="false">IF(A71="","",IF(OR(J71="",K71="",K71=0),"",IF((J71-K71)/K71&lt;0.05,"不可加仓(无浮盈护垫)",IF(N71&gt;0.6,"不可加仓(超三买上限)",IF(N71&gt;0.5,"可加仓(三买区,上限60%)",IF(N71&gt;0.35,"可加仓(二买区,上限50%)","可加仓(一买区,上限35%)"))))))</f>
        <v/>
      </c>
    </row>
    <row r="72" customFormat="false" ht="15" hidden="false" customHeight="true" outlineLevel="0" collapsed="false">
      <c r="A72" s="28"/>
      <c r="B72" s="28"/>
      <c r="C72" s="28"/>
      <c r="D72" s="28"/>
      <c r="E72" s="34"/>
      <c r="F72" s="28"/>
      <c r="G72" s="37"/>
      <c r="H72" s="34"/>
      <c r="I72" s="34"/>
      <c r="J72" s="35"/>
      <c r="K72" s="35"/>
      <c r="L72" s="35"/>
      <c r="M72" s="36"/>
      <c r="N72" s="36"/>
      <c r="O72" s="34"/>
      <c r="P72" s="35"/>
      <c r="Q72" s="39"/>
      <c r="R72" s="40"/>
      <c r="S72" s="28"/>
      <c r="T72" s="29"/>
      <c r="U72" s="29"/>
      <c r="V72" s="39"/>
      <c r="W72" s="39"/>
      <c r="X72" s="39"/>
      <c r="Y72" s="39"/>
      <c r="Z72" s="39"/>
      <c r="AA72" s="39" t="str">
        <f aca="false">IF($A72="","",IFERROR(INDEX(账户总表!$B:$B,MATCH($A72,账户总表!$A:$A,0))*INDEX(账户总表!$O:$O,MATCH($A72,账户总表!$A:$A,0)),0))</f>
        <v/>
      </c>
      <c r="AB72" s="57" t="str">
        <f aca="false">IF($A72="","",IFERROR(MAX(0,AA72-J72),0))</f>
        <v/>
      </c>
      <c r="AC72" s="39" t="str">
        <f aca="false">IF($A72="","",IF(I72&gt;0,IFERROR(FLOOR(AB72/I72,100),0),0))</f>
        <v/>
      </c>
      <c r="AD72" s="28" t="str">
        <f aca="false">IF($A72="","",IF(N72&gt;INDEX(账户总表!$O:$O,MATCH($A72,账户总表!$A:$A,0)),"超限","合规"))</f>
        <v/>
      </c>
      <c r="AE72" s="1" t="str">
        <f aca="false">IF($A72="","",IFERROR((I72-P72)/I72,0))</f>
        <v/>
      </c>
      <c r="AF72" s="1" t="str">
        <f aca="false">IF($A72="","",IFERROR(MAX(0,(I72-P72)*G72),0))</f>
        <v/>
      </c>
      <c r="AG72" s="1" t="str">
        <f aca="false">IF($A72="","",IF(COUNTIFS(候选池!$C$2:$C$201,C72,候选池!$K$2:$K$201,"核心池")&gt;0,"核心池","否"))</f>
        <v/>
      </c>
      <c r="AH72" s="1" t="str">
        <f aca="false">IF(A72="","",IF(OR(J72="",K72="",K72=0),"",IF((J72-K72)/K72&lt;0.05,"不可加仓(无浮盈护垫)",IF(N72&gt;0.6,"不可加仓(超三买上限)",IF(N72&gt;0.5,"可加仓(三买区,上限60%)",IF(N72&gt;0.35,"可加仓(二买区,上限50%)","可加仓(一买区,上限35%)"))))))</f>
        <v/>
      </c>
    </row>
    <row r="73" customFormat="false" ht="15" hidden="false" customHeight="true" outlineLevel="0" collapsed="false">
      <c r="A73" s="30"/>
      <c r="B73" s="30"/>
      <c r="C73" s="30"/>
      <c r="D73" s="30"/>
      <c r="E73" s="44"/>
      <c r="F73" s="30"/>
      <c r="G73" s="45"/>
      <c r="H73" s="44"/>
      <c r="I73" s="44"/>
      <c r="J73" s="35"/>
      <c r="K73" s="35"/>
      <c r="L73" s="35"/>
      <c r="M73" s="36"/>
      <c r="N73" s="36"/>
      <c r="O73" s="44"/>
      <c r="P73" s="35"/>
      <c r="Q73" s="39"/>
      <c r="R73" s="46"/>
      <c r="S73" s="30"/>
      <c r="T73" s="31"/>
      <c r="U73" s="31"/>
      <c r="V73" s="39"/>
      <c r="W73" s="39"/>
      <c r="X73" s="39"/>
      <c r="Y73" s="39"/>
      <c r="Z73" s="39"/>
      <c r="AA73" s="39" t="str">
        <f aca="false">IF($A73="","",IFERROR(INDEX(账户总表!$B:$B,MATCH($A73,账户总表!$A:$A,0))*INDEX(账户总表!$O:$O,MATCH($A73,账户总表!$A:$A,0)),0))</f>
        <v/>
      </c>
      <c r="AB73" s="57" t="str">
        <f aca="false">IF($A73="","",IFERROR(MAX(0,AA73-J73),0))</f>
        <v/>
      </c>
      <c r="AC73" s="39" t="str">
        <f aca="false">IF($A73="","",IF(I73&gt;0,IFERROR(FLOOR(AB73/I73,100),0),0))</f>
        <v/>
      </c>
      <c r="AD73" s="30" t="str">
        <f aca="false">IF($A73="","",IF(N73&gt;INDEX(账户总表!$O:$O,MATCH($A73,账户总表!$A:$A,0)),"超限","合规"))</f>
        <v/>
      </c>
      <c r="AE73" s="1" t="str">
        <f aca="false">IF($A73="","",IFERROR((I73-P73)/I73,0))</f>
        <v/>
      </c>
      <c r="AF73" s="1" t="str">
        <f aca="false">IF($A73="","",IFERROR(MAX(0,(I73-P73)*G73),0))</f>
        <v/>
      </c>
      <c r="AG73" s="1" t="str">
        <f aca="false">IF($A73="","",IF(COUNTIFS(候选池!$C$2:$C$201,C73,候选池!$K$2:$K$201,"核心池")&gt;0,"核心池","否"))</f>
        <v/>
      </c>
      <c r="AH73" s="1" t="str">
        <f aca="false">IF(A73="","",IF(OR(J73="",K73="",K73=0),"",IF((J73-K73)/K73&lt;0.05,"不可加仓(无浮盈护垫)",IF(N73&gt;0.6,"不可加仓(超三买上限)",IF(N73&gt;0.5,"可加仓(三买区,上限60%)",IF(N73&gt;0.35,"可加仓(二买区,上限50%)","可加仓(一买区,上限35%)"))))))</f>
        <v/>
      </c>
    </row>
    <row r="74" customFormat="false" ht="15" hidden="false" customHeight="true" outlineLevel="0" collapsed="false">
      <c r="A74" s="28"/>
      <c r="B74" s="28"/>
      <c r="C74" s="28"/>
      <c r="D74" s="28"/>
      <c r="E74" s="34"/>
      <c r="F74" s="28"/>
      <c r="G74" s="37"/>
      <c r="H74" s="34"/>
      <c r="I74" s="34"/>
      <c r="J74" s="35"/>
      <c r="K74" s="35"/>
      <c r="L74" s="35"/>
      <c r="M74" s="36"/>
      <c r="N74" s="36"/>
      <c r="O74" s="34"/>
      <c r="P74" s="35"/>
      <c r="Q74" s="39"/>
      <c r="R74" s="40"/>
      <c r="S74" s="28"/>
      <c r="T74" s="29"/>
      <c r="U74" s="29"/>
      <c r="V74" s="39"/>
      <c r="W74" s="39"/>
      <c r="X74" s="39"/>
      <c r="Y74" s="39"/>
      <c r="Z74" s="39"/>
      <c r="AA74" s="39" t="str">
        <f aca="false">IF($A74="","",IFERROR(INDEX(账户总表!$B:$B,MATCH($A74,账户总表!$A:$A,0))*INDEX(账户总表!$O:$O,MATCH($A74,账户总表!$A:$A,0)),0))</f>
        <v/>
      </c>
      <c r="AB74" s="57" t="str">
        <f aca="false">IF($A74="","",IFERROR(MAX(0,AA74-J74),0))</f>
        <v/>
      </c>
      <c r="AC74" s="39" t="str">
        <f aca="false">IF($A74="","",IF(I74&gt;0,IFERROR(FLOOR(AB74/I74,100),0),0))</f>
        <v/>
      </c>
      <c r="AD74" s="28" t="str">
        <f aca="false">IF($A74="","",IF(N74&gt;INDEX(账户总表!$O:$O,MATCH($A74,账户总表!$A:$A,0)),"超限","合规"))</f>
        <v/>
      </c>
      <c r="AE74" s="1" t="str">
        <f aca="false">IF($A74="","",IFERROR((I74-P74)/I74,0))</f>
        <v/>
      </c>
      <c r="AF74" s="1" t="str">
        <f aca="false">IF($A74="","",IFERROR(MAX(0,(I74-P74)*G74),0))</f>
        <v/>
      </c>
      <c r="AG74" s="1" t="str">
        <f aca="false">IF($A74="","",IF(COUNTIFS(候选池!$C$2:$C$201,C74,候选池!$K$2:$K$201,"核心池")&gt;0,"核心池","否"))</f>
        <v/>
      </c>
      <c r="AH74" s="1" t="str">
        <f aca="false">IF(A74="","",IF(OR(J74="",K74="",K74=0),"",IF((J74-K74)/K74&lt;0.05,"不可加仓(无浮盈护垫)",IF(N74&gt;0.6,"不可加仓(超三买上限)",IF(N74&gt;0.5,"可加仓(三买区,上限60%)",IF(N74&gt;0.35,"可加仓(二买区,上限50%)","可加仓(一买区,上限35%)"))))))</f>
        <v/>
      </c>
    </row>
    <row r="75" customFormat="false" ht="15" hidden="false" customHeight="true" outlineLevel="0" collapsed="false">
      <c r="A75" s="30"/>
      <c r="B75" s="30"/>
      <c r="C75" s="30"/>
      <c r="D75" s="30"/>
      <c r="E75" s="44"/>
      <c r="F75" s="30"/>
      <c r="G75" s="45"/>
      <c r="H75" s="44"/>
      <c r="I75" s="44"/>
      <c r="J75" s="35"/>
      <c r="K75" s="35"/>
      <c r="L75" s="35"/>
      <c r="M75" s="36"/>
      <c r="N75" s="36"/>
      <c r="O75" s="44"/>
      <c r="P75" s="35"/>
      <c r="Q75" s="39"/>
      <c r="R75" s="46"/>
      <c r="S75" s="30"/>
      <c r="T75" s="31"/>
      <c r="U75" s="31"/>
      <c r="V75" s="39"/>
      <c r="W75" s="39"/>
      <c r="X75" s="39"/>
      <c r="Y75" s="39"/>
      <c r="Z75" s="39"/>
      <c r="AA75" s="39" t="str">
        <f aca="false">IF($A75="","",IFERROR(INDEX(账户总表!$B:$B,MATCH($A75,账户总表!$A:$A,0))*INDEX(账户总表!$O:$O,MATCH($A75,账户总表!$A:$A,0)),0))</f>
        <v/>
      </c>
      <c r="AB75" s="57" t="str">
        <f aca="false">IF($A75="","",IFERROR(MAX(0,AA75-J75),0))</f>
        <v/>
      </c>
      <c r="AC75" s="39" t="str">
        <f aca="false">IF($A75="","",IF(I75&gt;0,IFERROR(FLOOR(AB75/I75,100),0),0))</f>
        <v/>
      </c>
      <c r="AD75" s="30" t="str">
        <f aca="false">IF($A75="","",IF(N75&gt;INDEX(账户总表!$O:$O,MATCH($A75,账户总表!$A:$A,0)),"超限","合规"))</f>
        <v/>
      </c>
      <c r="AE75" s="1" t="str">
        <f aca="false">IF($A75="","",IFERROR((I75-P75)/I75,0))</f>
        <v/>
      </c>
      <c r="AF75" s="1" t="str">
        <f aca="false">IF($A75="","",IFERROR(MAX(0,(I75-P75)*G75),0))</f>
        <v/>
      </c>
      <c r="AG75" s="1" t="str">
        <f aca="false">IF($A75="","",IF(COUNTIFS(候选池!$C$2:$C$201,C75,候选池!$K$2:$K$201,"核心池")&gt;0,"核心池","否"))</f>
        <v/>
      </c>
      <c r="AH75" s="1" t="str">
        <f aca="false">IF(A75="","",IF(OR(J75="",K75="",K75=0),"",IF((J75-K75)/K75&lt;0.05,"不可加仓(无浮盈护垫)",IF(N75&gt;0.6,"不可加仓(超三买上限)",IF(N75&gt;0.5,"可加仓(三买区,上限60%)",IF(N75&gt;0.35,"可加仓(二买区,上限50%)","可加仓(一买区,上限35%)"))))))</f>
        <v/>
      </c>
    </row>
    <row r="76" customFormat="false" ht="15" hidden="false" customHeight="true" outlineLevel="0" collapsed="false">
      <c r="A76" s="28"/>
      <c r="B76" s="28"/>
      <c r="C76" s="28"/>
      <c r="D76" s="28"/>
      <c r="E76" s="34"/>
      <c r="F76" s="28"/>
      <c r="G76" s="37"/>
      <c r="H76" s="34"/>
      <c r="I76" s="34"/>
      <c r="J76" s="35"/>
      <c r="K76" s="35"/>
      <c r="L76" s="35"/>
      <c r="M76" s="36"/>
      <c r="N76" s="36"/>
      <c r="O76" s="34"/>
      <c r="P76" s="35"/>
      <c r="Q76" s="39"/>
      <c r="R76" s="40"/>
      <c r="S76" s="28"/>
      <c r="T76" s="29"/>
      <c r="U76" s="29"/>
      <c r="V76" s="39"/>
      <c r="W76" s="39"/>
      <c r="X76" s="39"/>
      <c r="Y76" s="39"/>
      <c r="Z76" s="39"/>
      <c r="AA76" s="39" t="str">
        <f aca="false">IF($A76="","",IFERROR(INDEX(账户总表!$B:$B,MATCH($A76,账户总表!$A:$A,0))*INDEX(账户总表!$O:$O,MATCH($A76,账户总表!$A:$A,0)),0))</f>
        <v/>
      </c>
      <c r="AB76" s="57" t="str">
        <f aca="false">IF($A76="","",IFERROR(MAX(0,AA76-J76),0))</f>
        <v/>
      </c>
      <c r="AC76" s="39" t="str">
        <f aca="false">IF($A76="","",IF(I76&gt;0,IFERROR(FLOOR(AB76/I76,100),0),0))</f>
        <v/>
      </c>
      <c r="AD76" s="28" t="str">
        <f aca="false">IF($A76="","",IF(N76&gt;INDEX(账户总表!$O:$O,MATCH($A76,账户总表!$A:$A,0)),"超限","合规"))</f>
        <v/>
      </c>
      <c r="AE76" s="1" t="str">
        <f aca="false">IF($A76="","",IFERROR((I76-P76)/I76,0))</f>
        <v/>
      </c>
      <c r="AF76" s="1" t="str">
        <f aca="false">IF($A76="","",IFERROR(MAX(0,(I76-P76)*G76),0))</f>
        <v/>
      </c>
      <c r="AG76" s="1" t="str">
        <f aca="false">IF($A76="","",IF(COUNTIFS(候选池!$C$2:$C$201,C76,候选池!$K$2:$K$201,"核心池")&gt;0,"核心池","否"))</f>
        <v/>
      </c>
      <c r="AH76" s="1" t="str">
        <f aca="false">IF(A76="","",IF(OR(J76="",K76="",K76=0),"",IF((J76-K76)/K76&lt;0.05,"不可加仓(无浮盈护垫)",IF(N76&gt;0.6,"不可加仓(超三买上限)",IF(N76&gt;0.5,"可加仓(三买区,上限60%)",IF(N76&gt;0.35,"可加仓(二买区,上限50%)","可加仓(一买区,上限35%)"))))))</f>
        <v/>
      </c>
    </row>
    <row r="77" customFormat="false" ht="15" hidden="false" customHeight="true" outlineLevel="0" collapsed="false">
      <c r="A77" s="30"/>
      <c r="B77" s="30"/>
      <c r="C77" s="30"/>
      <c r="D77" s="30"/>
      <c r="E77" s="44"/>
      <c r="F77" s="30"/>
      <c r="G77" s="45"/>
      <c r="H77" s="44"/>
      <c r="I77" s="44"/>
      <c r="J77" s="35"/>
      <c r="K77" s="35"/>
      <c r="L77" s="35"/>
      <c r="M77" s="36"/>
      <c r="N77" s="36"/>
      <c r="O77" s="44"/>
      <c r="P77" s="35"/>
      <c r="Q77" s="39"/>
      <c r="R77" s="46"/>
      <c r="S77" s="30"/>
      <c r="T77" s="31"/>
      <c r="U77" s="31"/>
      <c r="V77" s="39"/>
      <c r="W77" s="39"/>
      <c r="X77" s="39"/>
      <c r="Y77" s="39"/>
      <c r="Z77" s="39"/>
      <c r="AA77" s="39" t="str">
        <f aca="false">IF($A77="","",IFERROR(INDEX(账户总表!$B:$B,MATCH($A77,账户总表!$A:$A,0))*INDEX(账户总表!$O:$O,MATCH($A77,账户总表!$A:$A,0)),0))</f>
        <v/>
      </c>
      <c r="AB77" s="57" t="str">
        <f aca="false">IF($A77="","",IFERROR(MAX(0,AA77-J77),0))</f>
        <v/>
      </c>
      <c r="AC77" s="39" t="str">
        <f aca="false">IF($A77="","",IF(I77&gt;0,IFERROR(FLOOR(AB77/I77,100),0),0))</f>
        <v/>
      </c>
      <c r="AD77" s="30" t="str">
        <f aca="false">IF($A77="","",IF(N77&gt;INDEX(账户总表!$O:$O,MATCH($A77,账户总表!$A:$A,0)),"超限","合规"))</f>
        <v/>
      </c>
      <c r="AE77" s="1" t="str">
        <f aca="false">IF($A77="","",IFERROR((I77-P77)/I77,0))</f>
        <v/>
      </c>
      <c r="AF77" s="1" t="str">
        <f aca="false">IF($A77="","",IFERROR(MAX(0,(I77-P77)*G77),0))</f>
        <v/>
      </c>
      <c r="AG77" s="1" t="str">
        <f aca="false">IF($A77="","",IF(COUNTIFS(候选池!$C$2:$C$201,C77,候选池!$K$2:$K$201,"核心池")&gt;0,"核心池","否"))</f>
        <v/>
      </c>
      <c r="AH77" s="1" t="str">
        <f aca="false">IF(A77="","",IF(OR(J77="",K77="",K77=0),"",IF((J77-K77)/K77&lt;0.05,"不可加仓(无浮盈护垫)",IF(N77&gt;0.6,"不可加仓(超三买上限)",IF(N77&gt;0.5,"可加仓(三买区,上限60%)",IF(N77&gt;0.35,"可加仓(二买区,上限50%)","可加仓(一买区,上限35%)"))))))</f>
        <v/>
      </c>
    </row>
    <row r="78" customFormat="false" ht="15" hidden="false" customHeight="true" outlineLevel="0" collapsed="false">
      <c r="A78" s="28"/>
      <c r="B78" s="28"/>
      <c r="C78" s="28"/>
      <c r="D78" s="28"/>
      <c r="E78" s="34"/>
      <c r="F78" s="28"/>
      <c r="G78" s="37"/>
      <c r="H78" s="34"/>
      <c r="I78" s="34"/>
      <c r="J78" s="35"/>
      <c r="K78" s="35"/>
      <c r="L78" s="35"/>
      <c r="M78" s="36"/>
      <c r="N78" s="36"/>
      <c r="O78" s="34"/>
      <c r="P78" s="35"/>
      <c r="Q78" s="39"/>
      <c r="R78" s="40"/>
      <c r="S78" s="28"/>
      <c r="T78" s="29"/>
      <c r="U78" s="29"/>
      <c r="V78" s="39"/>
      <c r="W78" s="39"/>
      <c r="X78" s="39"/>
      <c r="Y78" s="39"/>
      <c r="Z78" s="39"/>
      <c r="AA78" s="39" t="str">
        <f aca="false">IF($A78="","",IFERROR(INDEX(账户总表!$B:$B,MATCH($A78,账户总表!$A:$A,0))*INDEX(账户总表!$O:$O,MATCH($A78,账户总表!$A:$A,0)),0))</f>
        <v/>
      </c>
      <c r="AB78" s="57" t="str">
        <f aca="false">IF($A78="","",IFERROR(MAX(0,AA78-J78),0))</f>
        <v/>
      </c>
      <c r="AC78" s="39" t="str">
        <f aca="false">IF($A78="","",IF(I78&gt;0,IFERROR(FLOOR(AB78/I78,100),0),0))</f>
        <v/>
      </c>
      <c r="AD78" s="28" t="str">
        <f aca="false">IF($A78="","",IF(N78&gt;INDEX(账户总表!$O:$O,MATCH($A78,账户总表!$A:$A,0)),"超限","合规"))</f>
        <v/>
      </c>
      <c r="AE78" s="1" t="str">
        <f aca="false">IF($A78="","",IFERROR((I78-P78)/I78,0))</f>
        <v/>
      </c>
      <c r="AF78" s="1" t="str">
        <f aca="false">IF($A78="","",IFERROR(MAX(0,(I78-P78)*G78),0))</f>
        <v/>
      </c>
      <c r="AG78" s="1" t="str">
        <f aca="false">IF($A78="","",IF(COUNTIFS(候选池!$C$2:$C$201,C78,候选池!$K$2:$K$201,"核心池")&gt;0,"核心池","否"))</f>
        <v/>
      </c>
      <c r="AH78" s="1" t="str">
        <f aca="false">IF(A78="","",IF(OR(J78="",K78="",K78=0),"",IF((J78-K78)/K78&lt;0.05,"不可加仓(无浮盈护垫)",IF(N78&gt;0.6,"不可加仓(超三买上限)",IF(N78&gt;0.5,"可加仓(三买区,上限60%)",IF(N78&gt;0.35,"可加仓(二买区,上限50%)","可加仓(一买区,上限35%)"))))))</f>
        <v/>
      </c>
    </row>
    <row r="79" customFormat="false" ht="15" hidden="false" customHeight="true" outlineLevel="0" collapsed="false">
      <c r="A79" s="30"/>
      <c r="B79" s="30"/>
      <c r="C79" s="30"/>
      <c r="D79" s="30"/>
      <c r="E79" s="44"/>
      <c r="F79" s="30"/>
      <c r="G79" s="45"/>
      <c r="H79" s="44"/>
      <c r="I79" s="44"/>
      <c r="J79" s="35"/>
      <c r="K79" s="35"/>
      <c r="L79" s="35"/>
      <c r="M79" s="36"/>
      <c r="N79" s="36"/>
      <c r="O79" s="44"/>
      <c r="P79" s="35"/>
      <c r="Q79" s="39"/>
      <c r="R79" s="46"/>
      <c r="S79" s="30"/>
      <c r="T79" s="31"/>
      <c r="U79" s="31"/>
      <c r="V79" s="39"/>
      <c r="W79" s="39"/>
      <c r="X79" s="39"/>
      <c r="Y79" s="39"/>
      <c r="Z79" s="39"/>
      <c r="AA79" s="39" t="str">
        <f aca="false">IF($A79="","",IFERROR(INDEX(账户总表!$B:$B,MATCH($A79,账户总表!$A:$A,0))*INDEX(账户总表!$O:$O,MATCH($A79,账户总表!$A:$A,0)),0))</f>
        <v/>
      </c>
      <c r="AB79" s="57" t="str">
        <f aca="false">IF($A79="","",IFERROR(MAX(0,AA79-J79),0))</f>
        <v/>
      </c>
      <c r="AC79" s="39" t="str">
        <f aca="false">IF($A79="","",IF(I79&gt;0,IFERROR(FLOOR(AB79/I79,100),0),0))</f>
        <v/>
      </c>
      <c r="AD79" s="30" t="str">
        <f aca="false">IF($A79="","",IF(N79&gt;INDEX(账户总表!$O:$O,MATCH($A79,账户总表!$A:$A,0)),"超限","合规"))</f>
        <v/>
      </c>
      <c r="AE79" s="1" t="str">
        <f aca="false">IF($A79="","",IFERROR((I79-P79)/I79,0))</f>
        <v/>
      </c>
      <c r="AF79" s="1" t="str">
        <f aca="false">IF($A79="","",IFERROR(MAX(0,(I79-P79)*G79),0))</f>
        <v/>
      </c>
      <c r="AG79" s="1" t="str">
        <f aca="false">IF($A79="","",IF(COUNTIFS(候选池!$C$2:$C$201,C79,候选池!$K$2:$K$201,"核心池")&gt;0,"核心池","否"))</f>
        <v/>
      </c>
      <c r="AH79" s="1" t="str">
        <f aca="false">IF(A79="","",IF(OR(J79="",K79="",K79=0),"",IF((J79-K79)/K79&lt;0.05,"不可加仓(无浮盈护垫)",IF(N79&gt;0.6,"不可加仓(超三买上限)",IF(N79&gt;0.5,"可加仓(三买区,上限60%)",IF(N79&gt;0.35,"可加仓(二买区,上限50%)","可加仓(一买区,上限35%)"))))))</f>
        <v/>
      </c>
    </row>
    <row r="80" customFormat="false" ht="15" hidden="false" customHeight="true" outlineLevel="0" collapsed="false">
      <c r="A80" s="28"/>
      <c r="B80" s="28"/>
      <c r="C80" s="28"/>
      <c r="D80" s="28"/>
      <c r="E80" s="34"/>
      <c r="F80" s="28"/>
      <c r="G80" s="37"/>
      <c r="H80" s="34"/>
      <c r="I80" s="34"/>
      <c r="J80" s="35"/>
      <c r="K80" s="35"/>
      <c r="L80" s="35"/>
      <c r="M80" s="36"/>
      <c r="N80" s="36"/>
      <c r="O80" s="34"/>
      <c r="P80" s="35"/>
      <c r="Q80" s="39"/>
      <c r="R80" s="40"/>
      <c r="S80" s="28"/>
      <c r="T80" s="29"/>
      <c r="U80" s="29"/>
      <c r="V80" s="39"/>
      <c r="W80" s="39"/>
      <c r="X80" s="39"/>
      <c r="Y80" s="39"/>
      <c r="Z80" s="39"/>
      <c r="AA80" s="39" t="str">
        <f aca="false">IF($A80="","",IFERROR(INDEX(账户总表!$B:$B,MATCH($A80,账户总表!$A:$A,0))*INDEX(账户总表!$O:$O,MATCH($A80,账户总表!$A:$A,0)),0))</f>
        <v/>
      </c>
      <c r="AB80" s="57" t="str">
        <f aca="false">IF($A80="","",IFERROR(MAX(0,AA80-J80),0))</f>
        <v/>
      </c>
      <c r="AC80" s="39" t="str">
        <f aca="false">IF($A80="","",IF(I80&gt;0,IFERROR(FLOOR(AB80/I80,100),0),0))</f>
        <v/>
      </c>
      <c r="AD80" s="28" t="str">
        <f aca="false">IF($A80="","",IF(N80&gt;INDEX(账户总表!$O:$O,MATCH($A80,账户总表!$A:$A,0)),"超限","合规"))</f>
        <v/>
      </c>
      <c r="AE80" s="1" t="str">
        <f aca="false">IF($A80="","",IFERROR((I80-P80)/I80,0))</f>
        <v/>
      </c>
      <c r="AF80" s="1" t="str">
        <f aca="false">IF($A80="","",IFERROR(MAX(0,(I80-P80)*G80),0))</f>
        <v/>
      </c>
      <c r="AG80" s="1" t="str">
        <f aca="false">IF($A80="","",IF(COUNTIFS(候选池!$C$2:$C$201,C80,候选池!$K$2:$K$201,"核心池")&gt;0,"核心池","否"))</f>
        <v/>
      </c>
      <c r="AH80" s="1" t="str">
        <f aca="false">IF(A80="","",IF(OR(J80="",K80="",K80=0),"",IF((J80-K80)/K80&lt;0.05,"不可加仓(无浮盈护垫)",IF(N80&gt;0.6,"不可加仓(超三买上限)",IF(N80&gt;0.5,"可加仓(三买区,上限60%)",IF(N80&gt;0.35,"可加仓(二买区,上限50%)","可加仓(一买区,上限35%)"))))))</f>
        <v/>
      </c>
    </row>
    <row r="81" customFormat="false" ht="15" hidden="false" customHeight="true" outlineLevel="0" collapsed="false">
      <c r="A81" s="30"/>
      <c r="B81" s="30"/>
      <c r="C81" s="30"/>
      <c r="D81" s="30"/>
      <c r="E81" s="44"/>
      <c r="F81" s="30"/>
      <c r="G81" s="45"/>
      <c r="H81" s="44"/>
      <c r="I81" s="44"/>
      <c r="J81" s="35"/>
      <c r="K81" s="35"/>
      <c r="L81" s="35"/>
      <c r="M81" s="36"/>
      <c r="N81" s="36"/>
      <c r="O81" s="44"/>
      <c r="P81" s="35"/>
      <c r="Q81" s="39"/>
      <c r="R81" s="46"/>
      <c r="S81" s="30"/>
      <c r="T81" s="31"/>
      <c r="U81" s="31"/>
      <c r="V81" s="39"/>
      <c r="W81" s="39"/>
      <c r="X81" s="39"/>
      <c r="Y81" s="39"/>
      <c r="Z81" s="39"/>
      <c r="AA81" s="39" t="str">
        <f aca="false">IF($A81="","",IFERROR(INDEX(账户总表!$B:$B,MATCH($A81,账户总表!$A:$A,0))*INDEX(账户总表!$O:$O,MATCH($A81,账户总表!$A:$A,0)),0))</f>
        <v/>
      </c>
      <c r="AB81" s="57" t="str">
        <f aca="false">IF($A81="","",IFERROR(MAX(0,AA81-J81),0))</f>
        <v/>
      </c>
      <c r="AC81" s="39" t="str">
        <f aca="false">IF($A81="","",IF(I81&gt;0,IFERROR(FLOOR(AB81/I81,100),0),0))</f>
        <v/>
      </c>
      <c r="AD81" s="30" t="str">
        <f aca="false">IF($A81="","",IF(N81&gt;INDEX(账户总表!$O:$O,MATCH($A81,账户总表!$A:$A,0)),"超限","合规"))</f>
        <v/>
      </c>
      <c r="AE81" s="1" t="str">
        <f aca="false">IF($A81="","",IFERROR((I81-P81)/I81,0))</f>
        <v/>
      </c>
      <c r="AF81" s="1" t="str">
        <f aca="false">IF($A81="","",IFERROR(MAX(0,(I81-P81)*G81),0))</f>
        <v/>
      </c>
      <c r="AG81" s="1" t="str">
        <f aca="false">IF($A81="","",IF(COUNTIFS(候选池!$C$2:$C$201,C81,候选池!$K$2:$K$201,"核心池")&gt;0,"核心池","否"))</f>
        <v/>
      </c>
      <c r="AH81" s="1" t="str">
        <f aca="false">IF(A81="","",IF(OR(J81="",K81="",K81=0),"",IF((J81-K81)/K81&lt;0.05,"不可加仓(无浮盈护垫)",IF(N81&gt;0.6,"不可加仓(超三买上限)",IF(N81&gt;0.5,"可加仓(三买区,上限60%)",IF(N81&gt;0.35,"可加仓(二买区,上限50%)","可加仓(一买区,上限35%)"))))))</f>
        <v/>
      </c>
    </row>
    <row r="82" customFormat="false" ht="15" hidden="false" customHeight="true" outlineLevel="0" collapsed="false">
      <c r="A82" s="28"/>
      <c r="B82" s="28"/>
      <c r="C82" s="28"/>
      <c r="D82" s="28"/>
      <c r="E82" s="34"/>
      <c r="F82" s="28"/>
      <c r="G82" s="37"/>
      <c r="H82" s="34"/>
      <c r="I82" s="34"/>
      <c r="J82" s="35"/>
      <c r="K82" s="35"/>
      <c r="L82" s="35"/>
      <c r="M82" s="36"/>
      <c r="N82" s="36"/>
      <c r="O82" s="34"/>
      <c r="P82" s="35"/>
      <c r="Q82" s="39"/>
      <c r="R82" s="40"/>
      <c r="S82" s="28"/>
      <c r="T82" s="29"/>
      <c r="U82" s="29"/>
      <c r="V82" s="39"/>
      <c r="W82" s="39"/>
      <c r="X82" s="39"/>
      <c r="Y82" s="39"/>
      <c r="Z82" s="39"/>
      <c r="AA82" s="39" t="str">
        <f aca="false">IF($A82="","",IFERROR(INDEX(账户总表!$B:$B,MATCH($A82,账户总表!$A:$A,0))*INDEX(账户总表!$O:$O,MATCH($A82,账户总表!$A:$A,0)),0))</f>
        <v/>
      </c>
      <c r="AB82" s="57" t="str">
        <f aca="false">IF($A82="","",IFERROR(MAX(0,AA82-J82),0))</f>
        <v/>
      </c>
      <c r="AC82" s="39" t="str">
        <f aca="false">IF($A82="","",IF(I82&gt;0,IFERROR(FLOOR(AB82/I82,100),0),0))</f>
        <v/>
      </c>
      <c r="AD82" s="28" t="str">
        <f aca="false">IF($A82="","",IF(N82&gt;INDEX(账户总表!$O:$O,MATCH($A82,账户总表!$A:$A,0)),"超限","合规"))</f>
        <v/>
      </c>
      <c r="AE82" s="1" t="str">
        <f aca="false">IF($A82="","",IFERROR((I82-P82)/I82,0))</f>
        <v/>
      </c>
      <c r="AF82" s="1" t="str">
        <f aca="false">IF($A82="","",IFERROR(MAX(0,(I82-P82)*G82),0))</f>
        <v/>
      </c>
      <c r="AG82" s="1" t="str">
        <f aca="false">IF($A82="","",IF(COUNTIFS(候选池!$C$2:$C$201,C82,候选池!$K$2:$K$201,"核心池")&gt;0,"核心池","否"))</f>
        <v/>
      </c>
      <c r="AH82" s="1" t="str">
        <f aca="false">IF(A82="","",IF(OR(J82="",K82="",K82=0),"",IF((J82-K82)/K82&lt;0.05,"不可加仓(无浮盈护垫)",IF(N82&gt;0.6,"不可加仓(超三买上限)",IF(N82&gt;0.5,"可加仓(三买区,上限60%)",IF(N82&gt;0.35,"可加仓(二买区,上限50%)","可加仓(一买区,上限35%)"))))))</f>
        <v/>
      </c>
    </row>
    <row r="83" customFormat="false" ht="15" hidden="false" customHeight="true" outlineLevel="0" collapsed="false">
      <c r="A83" s="30"/>
      <c r="B83" s="30"/>
      <c r="C83" s="30"/>
      <c r="D83" s="30"/>
      <c r="E83" s="44"/>
      <c r="F83" s="30"/>
      <c r="G83" s="45"/>
      <c r="H83" s="44"/>
      <c r="I83" s="44"/>
      <c r="J83" s="35"/>
      <c r="K83" s="35"/>
      <c r="L83" s="35"/>
      <c r="M83" s="36"/>
      <c r="N83" s="36"/>
      <c r="O83" s="44"/>
      <c r="P83" s="35"/>
      <c r="Q83" s="39"/>
      <c r="R83" s="46"/>
      <c r="S83" s="30"/>
      <c r="T83" s="31"/>
      <c r="U83" s="31"/>
      <c r="V83" s="39"/>
      <c r="W83" s="39"/>
      <c r="X83" s="39"/>
      <c r="Y83" s="39"/>
      <c r="Z83" s="39"/>
      <c r="AA83" s="39" t="str">
        <f aca="false">IF($A83="","",IFERROR(INDEX(账户总表!$B:$B,MATCH($A83,账户总表!$A:$A,0))*INDEX(账户总表!$O:$O,MATCH($A83,账户总表!$A:$A,0)),0))</f>
        <v/>
      </c>
      <c r="AB83" s="57" t="str">
        <f aca="false">IF($A83="","",IFERROR(MAX(0,AA83-J83),0))</f>
        <v/>
      </c>
      <c r="AC83" s="39" t="str">
        <f aca="false">IF($A83="","",IF(I83&gt;0,IFERROR(FLOOR(AB83/I83,100),0),0))</f>
        <v/>
      </c>
      <c r="AD83" s="30" t="str">
        <f aca="false">IF($A83="","",IF(N83&gt;INDEX(账户总表!$O:$O,MATCH($A83,账户总表!$A:$A,0)),"超限","合规"))</f>
        <v/>
      </c>
      <c r="AE83" s="1" t="str">
        <f aca="false">IF($A83="","",IFERROR((I83-P83)/I83,0))</f>
        <v/>
      </c>
      <c r="AF83" s="1" t="str">
        <f aca="false">IF($A83="","",IFERROR(MAX(0,(I83-P83)*G83),0))</f>
        <v/>
      </c>
      <c r="AG83" s="1" t="str">
        <f aca="false">IF($A83="","",IF(COUNTIFS(候选池!$C$2:$C$201,C83,候选池!$K$2:$K$201,"核心池")&gt;0,"核心池","否"))</f>
        <v/>
      </c>
      <c r="AH83" s="1" t="str">
        <f aca="false">IF(A83="","",IF(OR(J83="",K83="",K83=0),"",IF((J83-K83)/K83&lt;0.05,"不可加仓(无浮盈护垫)",IF(N83&gt;0.6,"不可加仓(超三买上限)",IF(N83&gt;0.5,"可加仓(三买区,上限60%)",IF(N83&gt;0.35,"可加仓(二买区,上限50%)","可加仓(一买区,上限35%)"))))))</f>
        <v/>
      </c>
    </row>
    <row r="84" customFormat="false" ht="15" hidden="false" customHeight="true" outlineLevel="0" collapsed="false">
      <c r="A84" s="28"/>
      <c r="B84" s="28"/>
      <c r="C84" s="28"/>
      <c r="D84" s="28"/>
      <c r="E84" s="34"/>
      <c r="F84" s="28"/>
      <c r="G84" s="37"/>
      <c r="H84" s="34"/>
      <c r="I84" s="34"/>
      <c r="J84" s="35"/>
      <c r="K84" s="35"/>
      <c r="L84" s="35"/>
      <c r="M84" s="36"/>
      <c r="N84" s="36"/>
      <c r="O84" s="34"/>
      <c r="P84" s="35"/>
      <c r="Q84" s="39"/>
      <c r="R84" s="40"/>
      <c r="S84" s="28"/>
      <c r="T84" s="29"/>
      <c r="U84" s="29"/>
      <c r="V84" s="39"/>
      <c r="W84" s="39"/>
      <c r="X84" s="39"/>
      <c r="Y84" s="39"/>
      <c r="Z84" s="39"/>
      <c r="AA84" s="39" t="str">
        <f aca="false">IF($A84="","",IFERROR(INDEX(账户总表!$B:$B,MATCH($A84,账户总表!$A:$A,0))*INDEX(账户总表!$O:$O,MATCH($A84,账户总表!$A:$A,0)),0))</f>
        <v/>
      </c>
      <c r="AB84" s="57" t="str">
        <f aca="false">IF($A84="","",IFERROR(MAX(0,AA84-J84),0))</f>
        <v/>
      </c>
      <c r="AC84" s="39" t="str">
        <f aca="false">IF($A84="","",IF(I84&gt;0,IFERROR(FLOOR(AB84/I84,100),0),0))</f>
        <v/>
      </c>
      <c r="AD84" s="28" t="str">
        <f aca="false">IF($A84="","",IF(N84&gt;INDEX(账户总表!$O:$O,MATCH($A84,账户总表!$A:$A,0)),"超限","合规"))</f>
        <v/>
      </c>
      <c r="AE84" s="1" t="str">
        <f aca="false">IF($A84="","",IFERROR((I84-P84)/I84,0))</f>
        <v/>
      </c>
      <c r="AF84" s="1" t="str">
        <f aca="false">IF($A84="","",IFERROR(MAX(0,(I84-P84)*G84),0))</f>
        <v/>
      </c>
      <c r="AG84" s="1" t="str">
        <f aca="false">IF($A84="","",IF(COUNTIFS(候选池!$C$2:$C$201,C84,候选池!$K$2:$K$201,"核心池")&gt;0,"核心池","否"))</f>
        <v/>
      </c>
      <c r="AH84" s="1" t="str">
        <f aca="false">IF(A84="","",IF(OR(J84="",K84="",K84=0),"",IF((J84-K84)/K84&lt;0.05,"不可加仓(无浮盈护垫)",IF(N84&gt;0.6,"不可加仓(超三买上限)",IF(N84&gt;0.5,"可加仓(三买区,上限60%)",IF(N84&gt;0.35,"可加仓(二买区,上限50%)","可加仓(一买区,上限35%)"))))))</f>
        <v/>
      </c>
    </row>
    <row r="85" customFormat="false" ht="15" hidden="false" customHeight="true" outlineLevel="0" collapsed="false">
      <c r="A85" s="30"/>
      <c r="B85" s="30"/>
      <c r="C85" s="30"/>
      <c r="D85" s="30"/>
      <c r="E85" s="44"/>
      <c r="F85" s="30"/>
      <c r="G85" s="45"/>
      <c r="H85" s="44"/>
      <c r="I85" s="44"/>
      <c r="J85" s="35"/>
      <c r="K85" s="35"/>
      <c r="L85" s="35"/>
      <c r="M85" s="36"/>
      <c r="N85" s="36"/>
      <c r="O85" s="44"/>
      <c r="P85" s="35"/>
      <c r="Q85" s="39"/>
      <c r="R85" s="46"/>
      <c r="S85" s="30"/>
      <c r="T85" s="31"/>
      <c r="U85" s="31"/>
      <c r="V85" s="39"/>
      <c r="W85" s="39"/>
      <c r="X85" s="39"/>
      <c r="Y85" s="39"/>
      <c r="Z85" s="39"/>
      <c r="AA85" s="39" t="str">
        <f aca="false">IF($A85="","",IFERROR(INDEX(账户总表!$B:$B,MATCH($A85,账户总表!$A:$A,0))*INDEX(账户总表!$O:$O,MATCH($A85,账户总表!$A:$A,0)),0))</f>
        <v/>
      </c>
      <c r="AB85" s="57" t="str">
        <f aca="false">IF($A85="","",IFERROR(MAX(0,AA85-J85),0))</f>
        <v/>
      </c>
      <c r="AC85" s="39" t="str">
        <f aca="false">IF($A85="","",IF(I85&gt;0,IFERROR(FLOOR(AB85/I85,100),0),0))</f>
        <v/>
      </c>
      <c r="AD85" s="30" t="str">
        <f aca="false">IF($A85="","",IF(N85&gt;INDEX(账户总表!$O:$O,MATCH($A85,账户总表!$A:$A,0)),"超限","合规"))</f>
        <v/>
      </c>
      <c r="AE85" s="1" t="str">
        <f aca="false">IF($A85="","",IFERROR((I85-P85)/I85,0))</f>
        <v/>
      </c>
      <c r="AF85" s="1" t="str">
        <f aca="false">IF($A85="","",IFERROR(MAX(0,(I85-P85)*G85),0))</f>
        <v/>
      </c>
      <c r="AG85" s="1" t="str">
        <f aca="false">IF($A85="","",IF(COUNTIFS(候选池!$C$2:$C$201,C85,候选池!$K$2:$K$201,"核心池")&gt;0,"核心池","否"))</f>
        <v/>
      </c>
      <c r="AH85" s="1" t="str">
        <f aca="false">IF(A85="","",IF(OR(J85="",K85="",K85=0),"",IF((J85-K85)/K85&lt;0.05,"不可加仓(无浮盈护垫)",IF(N85&gt;0.6,"不可加仓(超三买上限)",IF(N85&gt;0.5,"可加仓(三买区,上限60%)",IF(N85&gt;0.35,"可加仓(二买区,上限50%)","可加仓(一买区,上限35%)"))))))</f>
        <v/>
      </c>
    </row>
    <row r="86" customFormat="false" ht="15" hidden="false" customHeight="true" outlineLevel="0" collapsed="false">
      <c r="A86" s="28"/>
      <c r="B86" s="28"/>
      <c r="C86" s="28"/>
      <c r="D86" s="28"/>
      <c r="E86" s="34"/>
      <c r="F86" s="28"/>
      <c r="G86" s="37"/>
      <c r="H86" s="34"/>
      <c r="I86" s="34"/>
      <c r="J86" s="35"/>
      <c r="K86" s="35"/>
      <c r="L86" s="35"/>
      <c r="M86" s="36"/>
      <c r="N86" s="36"/>
      <c r="O86" s="34"/>
      <c r="P86" s="35"/>
      <c r="Q86" s="39"/>
      <c r="R86" s="40"/>
      <c r="S86" s="28"/>
      <c r="T86" s="29"/>
      <c r="U86" s="29"/>
      <c r="V86" s="39"/>
      <c r="W86" s="39"/>
      <c r="X86" s="39"/>
      <c r="Y86" s="39"/>
      <c r="Z86" s="39"/>
      <c r="AA86" s="39" t="str">
        <f aca="false">IF($A86="","",IFERROR(INDEX(账户总表!$B:$B,MATCH($A86,账户总表!$A:$A,0))*INDEX(账户总表!$O:$O,MATCH($A86,账户总表!$A:$A,0)),0))</f>
        <v/>
      </c>
      <c r="AB86" s="57" t="str">
        <f aca="false">IF($A86="","",IFERROR(MAX(0,AA86-J86),0))</f>
        <v/>
      </c>
      <c r="AC86" s="39" t="str">
        <f aca="false">IF($A86="","",IF(I86&gt;0,IFERROR(FLOOR(AB86/I86,100),0),0))</f>
        <v/>
      </c>
      <c r="AD86" s="28" t="str">
        <f aca="false">IF($A86="","",IF(N86&gt;INDEX(账户总表!$O:$O,MATCH($A86,账户总表!$A:$A,0)),"超限","合规"))</f>
        <v/>
      </c>
      <c r="AE86" s="1" t="str">
        <f aca="false">IF($A86="","",IFERROR((I86-P86)/I86,0))</f>
        <v/>
      </c>
      <c r="AF86" s="1" t="str">
        <f aca="false">IF($A86="","",IFERROR(MAX(0,(I86-P86)*G86),0))</f>
        <v/>
      </c>
      <c r="AG86" s="1" t="str">
        <f aca="false">IF($A86="","",IF(COUNTIFS(候选池!$C$2:$C$201,C86,候选池!$K$2:$K$201,"核心池")&gt;0,"核心池","否"))</f>
        <v/>
      </c>
      <c r="AH86" s="1" t="str">
        <f aca="false">IF(A86="","",IF(OR(J86="",K86="",K86=0),"",IF((J86-K86)/K86&lt;0.05,"不可加仓(无浮盈护垫)",IF(N86&gt;0.6,"不可加仓(超三买上限)",IF(N86&gt;0.5,"可加仓(三买区,上限60%)",IF(N86&gt;0.35,"可加仓(二买区,上限50%)","可加仓(一买区,上限35%)"))))))</f>
        <v/>
      </c>
    </row>
    <row r="87" customFormat="false" ht="15" hidden="false" customHeight="true" outlineLevel="0" collapsed="false">
      <c r="A87" s="30"/>
      <c r="B87" s="30"/>
      <c r="C87" s="30"/>
      <c r="D87" s="30"/>
      <c r="E87" s="44"/>
      <c r="F87" s="30"/>
      <c r="G87" s="45"/>
      <c r="H87" s="44"/>
      <c r="I87" s="44"/>
      <c r="J87" s="35"/>
      <c r="K87" s="35"/>
      <c r="L87" s="35"/>
      <c r="M87" s="36"/>
      <c r="N87" s="36"/>
      <c r="O87" s="44"/>
      <c r="P87" s="35"/>
      <c r="Q87" s="39"/>
      <c r="R87" s="46"/>
      <c r="S87" s="30"/>
      <c r="T87" s="31"/>
      <c r="U87" s="31"/>
      <c r="V87" s="39"/>
      <c r="W87" s="39"/>
      <c r="X87" s="39"/>
      <c r="Y87" s="39"/>
      <c r="Z87" s="39"/>
      <c r="AA87" s="39" t="str">
        <f aca="false">IF($A87="","",IFERROR(INDEX(账户总表!$B:$B,MATCH($A87,账户总表!$A:$A,0))*INDEX(账户总表!$O:$O,MATCH($A87,账户总表!$A:$A,0)),0))</f>
        <v/>
      </c>
      <c r="AB87" s="57" t="str">
        <f aca="false">IF($A87="","",IFERROR(MAX(0,AA87-J87),0))</f>
        <v/>
      </c>
      <c r="AC87" s="39" t="str">
        <f aca="false">IF($A87="","",IF(I87&gt;0,IFERROR(FLOOR(AB87/I87,100),0),0))</f>
        <v/>
      </c>
      <c r="AD87" s="30" t="str">
        <f aca="false">IF($A87="","",IF(N87&gt;INDEX(账户总表!$O:$O,MATCH($A87,账户总表!$A:$A,0)),"超限","合规"))</f>
        <v/>
      </c>
      <c r="AE87" s="1" t="str">
        <f aca="false">IF($A87="","",IFERROR((I87-P87)/I87,0))</f>
        <v/>
      </c>
      <c r="AF87" s="1" t="str">
        <f aca="false">IF($A87="","",IFERROR(MAX(0,(I87-P87)*G87),0))</f>
        <v/>
      </c>
      <c r="AG87" s="1" t="str">
        <f aca="false">IF($A87="","",IF(COUNTIFS(候选池!$C$2:$C$201,C87,候选池!$K$2:$K$201,"核心池")&gt;0,"核心池","否"))</f>
        <v/>
      </c>
      <c r="AH87" s="1" t="str">
        <f aca="false">IF(A87="","",IF(OR(J87="",K87="",K87=0),"",IF((J87-K87)/K87&lt;0.05,"不可加仓(无浮盈护垫)",IF(N87&gt;0.6,"不可加仓(超三买上限)",IF(N87&gt;0.5,"可加仓(三买区,上限60%)",IF(N87&gt;0.35,"可加仓(二买区,上限50%)","可加仓(一买区,上限35%)"))))))</f>
        <v/>
      </c>
    </row>
    <row r="88" customFormat="false" ht="15" hidden="false" customHeight="true" outlineLevel="0" collapsed="false">
      <c r="A88" s="28"/>
      <c r="B88" s="28"/>
      <c r="C88" s="28"/>
      <c r="D88" s="28"/>
      <c r="E88" s="34"/>
      <c r="F88" s="28"/>
      <c r="G88" s="37"/>
      <c r="H88" s="34"/>
      <c r="I88" s="34"/>
      <c r="J88" s="35"/>
      <c r="K88" s="35"/>
      <c r="L88" s="35"/>
      <c r="M88" s="36"/>
      <c r="N88" s="36"/>
      <c r="O88" s="34"/>
      <c r="P88" s="35"/>
      <c r="Q88" s="39"/>
      <c r="R88" s="40"/>
      <c r="S88" s="28"/>
      <c r="T88" s="29"/>
      <c r="U88" s="29"/>
      <c r="V88" s="39"/>
      <c r="W88" s="39"/>
      <c r="X88" s="39"/>
      <c r="Y88" s="39"/>
      <c r="Z88" s="39"/>
      <c r="AA88" s="39" t="str">
        <f aca="false">IF($A88="","",IFERROR(INDEX(账户总表!$B:$B,MATCH($A88,账户总表!$A:$A,0))*INDEX(账户总表!$O:$O,MATCH($A88,账户总表!$A:$A,0)),0))</f>
        <v/>
      </c>
      <c r="AB88" s="57" t="str">
        <f aca="false">IF($A88="","",IFERROR(MAX(0,AA88-J88),0))</f>
        <v/>
      </c>
      <c r="AC88" s="39" t="str">
        <f aca="false">IF($A88="","",IF(I88&gt;0,IFERROR(FLOOR(AB88/I88,100),0),0))</f>
        <v/>
      </c>
      <c r="AD88" s="28" t="str">
        <f aca="false">IF($A88="","",IF(N88&gt;INDEX(账户总表!$O:$O,MATCH($A88,账户总表!$A:$A,0)),"超限","合规"))</f>
        <v/>
      </c>
      <c r="AE88" s="1" t="str">
        <f aca="false">IF($A88="","",IFERROR((I88-P88)/I88,0))</f>
        <v/>
      </c>
      <c r="AF88" s="1" t="str">
        <f aca="false">IF($A88="","",IFERROR(MAX(0,(I88-P88)*G88),0))</f>
        <v/>
      </c>
      <c r="AG88" s="1" t="str">
        <f aca="false">IF($A88="","",IF(COUNTIFS(候选池!$C$2:$C$201,C88,候选池!$K$2:$K$201,"核心池")&gt;0,"核心池","否"))</f>
        <v/>
      </c>
      <c r="AH88" s="1" t="str">
        <f aca="false">IF(A88="","",IF(OR(J88="",K88="",K88=0),"",IF((J88-K88)/K88&lt;0.05,"不可加仓(无浮盈护垫)",IF(N88&gt;0.6,"不可加仓(超三买上限)",IF(N88&gt;0.5,"可加仓(三买区,上限60%)",IF(N88&gt;0.35,"可加仓(二买区,上限50%)","可加仓(一买区,上限35%)"))))))</f>
        <v/>
      </c>
    </row>
    <row r="89" customFormat="false" ht="15" hidden="false" customHeight="true" outlineLevel="0" collapsed="false">
      <c r="A89" s="30"/>
      <c r="B89" s="30"/>
      <c r="C89" s="30"/>
      <c r="D89" s="30"/>
      <c r="E89" s="44"/>
      <c r="F89" s="30"/>
      <c r="G89" s="45"/>
      <c r="H89" s="44"/>
      <c r="I89" s="44"/>
      <c r="J89" s="35"/>
      <c r="K89" s="35"/>
      <c r="L89" s="35"/>
      <c r="M89" s="36"/>
      <c r="N89" s="36"/>
      <c r="O89" s="44"/>
      <c r="P89" s="35"/>
      <c r="Q89" s="39"/>
      <c r="R89" s="46"/>
      <c r="S89" s="30"/>
      <c r="T89" s="31"/>
      <c r="U89" s="31"/>
      <c r="V89" s="39"/>
      <c r="W89" s="39"/>
      <c r="X89" s="39"/>
      <c r="Y89" s="39"/>
      <c r="Z89" s="39"/>
      <c r="AA89" s="39" t="str">
        <f aca="false">IF($A89="","",IFERROR(INDEX(账户总表!$B:$B,MATCH($A89,账户总表!$A:$A,0))*INDEX(账户总表!$O:$O,MATCH($A89,账户总表!$A:$A,0)),0))</f>
        <v/>
      </c>
      <c r="AB89" s="57" t="str">
        <f aca="false">IF($A89="","",IFERROR(MAX(0,AA89-J89),0))</f>
        <v/>
      </c>
      <c r="AC89" s="39" t="str">
        <f aca="false">IF($A89="","",IF(I89&gt;0,IFERROR(FLOOR(AB89/I89,100),0),0))</f>
        <v/>
      </c>
      <c r="AD89" s="30" t="str">
        <f aca="false">IF($A89="","",IF(N89&gt;INDEX(账户总表!$O:$O,MATCH($A89,账户总表!$A:$A,0)),"超限","合规"))</f>
        <v/>
      </c>
      <c r="AE89" s="1" t="str">
        <f aca="false">IF($A89="","",IFERROR((I89-P89)/I89,0))</f>
        <v/>
      </c>
      <c r="AF89" s="1" t="str">
        <f aca="false">IF($A89="","",IFERROR(MAX(0,(I89-P89)*G89),0))</f>
        <v/>
      </c>
      <c r="AG89" s="1" t="str">
        <f aca="false">IF($A89="","",IF(COUNTIFS(候选池!$C$2:$C$201,C89,候选池!$K$2:$K$201,"核心池")&gt;0,"核心池","否"))</f>
        <v/>
      </c>
      <c r="AH89" s="1" t="str">
        <f aca="false">IF(A89="","",IF(OR(J89="",K89="",K89=0),"",IF((J89-K89)/K89&lt;0.05,"不可加仓(无浮盈护垫)",IF(N89&gt;0.6,"不可加仓(超三买上限)",IF(N89&gt;0.5,"可加仓(三买区,上限60%)",IF(N89&gt;0.35,"可加仓(二买区,上限50%)","可加仓(一买区,上限35%)"))))))</f>
        <v/>
      </c>
    </row>
    <row r="90" customFormat="false" ht="15" hidden="false" customHeight="true" outlineLevel="0" collapsed="false">
      <c r="A90" s="28"/>
      <c r="B90" s="28"/>
      <c r="C90" s="28"/>
      <c r="D90" s="28"/>
      <c r="E90" s="34"/>
      <c r="F90" s="28"/>
      <c r="G90" s="37"/>
      <c r="H90" s="34"/>
      <c r="I90" s="34"/>
      <c r="J90" s="35"/>
      <c r="K90" s="35"/>
      <c r="L90" s="35"/>
      <c r="M90" s="36"/>
      <c r="N90" s="36"/>
      <c r="O90" s="34"/>
      <c r="P90" s="35"/>
      <c r="Q90" s="39"/>
      <c r="R90" s="40"/>
      <c r="S90" s="28"/>
      <c r="T90" s="29"/>
      <c r="U90" s="29"/>
      <c r="V90" s="39"/>
      <c r="W90" s="39"/>
      <c r="X90" s="39"/>
      <c r="Y90" s="39"/>
      <c r="Z90" s="39"/>
      <c r="AA90" s="39" t="str">
        <f aca="false">IF($A90="","",IFERROR(INDEX(账户总表!$B:$B,MATCH($A90,账户总表!$A:$A,0))*INDEX(账户总表!$O:$O,MATCH($A90,账户总表!$A:$A,0)),0))</f>
        <v/>
      </c>
      <c r="AB90" s="57" t="str">
        <f aca="false">IF($A90="","",IFERROR(MAX(0,AA90-J90),0))</f>
        <v/>
      </c>
      <c r="AC90" s="39" t="str">
        <f aca="false">IF($A90="","",IF(I90&gt;0,IFERROR(FLOOR(AB90/I90,100),0),0))</f>
        <v/>
      </c>
      <c r="AD90" s="28" t="str">
        <f aca="false">IF($A90="","",IF(N90&gt;INDEX(账户总表!$O:$O,MATCH($A90,账户总表!$A:$A,0)),"超限","合规"))</f>
        <v/>
      </c>
      <c r="AE90" s="1" t="str">
        <f aca="false">IF($A90="","",IFERROR((I90-P90)/I90,0))</f>
        <v/>
      </c>
      <c r="AF90" s="1" t="str">
        <f aca="false">IF($A90="","",IFERROR(MAX(0,(I90-P90)*G90),0))</f>
        <v/>
      </c>
      <c r="AG90" s="1" t="str">
        <f aca="false">IF($A90="","",IF(COUNTIFS(候选池!$C$2:$C$201,C90,候选池!$K$2:$K$201,"核心池")&gt;0,"核心池","否"))</f>
        <v/>
      </c>
      <c r="AH90" s="1" t="str">
        <f aca="false">IF(A90="","",IF(OR(J90="",K90="",K90=0),"",IF((J90-K90)/K90&lt;0.05,"不可加仓(无浮盈护垫)",IF(N90&gt;0.6,"不可加仓(超三买上限)",IF(N90&gt;0.5,"可加仓(三买区,上限60%)",IF(N90&gt;0.35,"可加仓(二买区,上限50%)","可加仓(一买区,上限35%)"))))))</f>
        <v/>
      </c>
    </row>
    <row r="91" customFormat="false" ht="15" hidden="false" customHeight="true" outlineLevel="0" collapsed="false">
      <c r="A91" s="30"/>
      <c r="B91" s="30"/>
      <c r="C91" s="30"/>
      <c r="D91" s="30"/>
      <c r="E91" s="44"/>
      <c r="F91" s="30"/>
      <c r="G91" s="45"/>
      <c r="H91" s="44"/>
      <c r="I91" s="44"/>
      <c r="J91" s="35"/>
      <c r="K91" s="35"/>
      <c r="L91" s="35"/>
      <c r="M91" s="36"/>
      <c r="N91" s="36"/>
      <c r="O91" s="44"/>
      <c r="P91" s="35"/>
      <c r="Q91" s="39"/>
      <c r="R91" s="46"/>
      <c r="S91" s="30"/>
      <c r="T91" s="31"/>
      <c r="U91" s="31"/>
      <c r="V91" s="39"/>
      <c r="W91" s="39"/>
      <c r="X91" s="39"/>
      <c r="Y91" s="39"/>
      <c r="Z91" s="39"/>
      <c r="AA91" s="39" t="str">
        <f aca="false">IF($A91="","",IFERROR(INDEX(账户总表!$B:$B,MATCH($A91,账户总表!$A:$A,0))*INDEX(账户总表!$O:$O,MATCH($A91,账户总表!$A:$A,0)),0))</f>
        <v/>
      </c>
      <c r="AB91" s="57" t="str">
        <f aca="false">IF($A91="","",IFERROR(MAX(0,AA91-J91),0))</f>
        <v/>
      </c>
      <c r="AC91" s="39" t="str">
        <f aca="false">IF($A91="","",IF(I91&gt;0,IFERROR(FLOOR(AB91/I91,100),0),0))</f>
        <v/>
      </c>
      <c r="AD91" s="30" t="str">
        <f aca="false">IF($A91="","",IF(N91&gt;INDEX(账户总表!$O:$O,MATCH($A91,账户总表!$A:$A,0)),"超限","合规"))</f>
        <v/>
      </c>
      <c r="AE91" s="1" t="str">
        <f aca="false">IF($A91="","",IFERROR((I91-P91)/I91,0))</f>
        <v/>
      </c>
      <c r="AF91" s="1" t="str">
        <f aca="false">IF($A91="","",IFERROR(MAX(0,(I91-P91)*G91),0))</f>
        <v/>
      </c>
      <c r="AG91" s="1" t="str">
        <f aca="false">IF($A91="","",IF(COUNTIFS(候选池!$C$2:$C$201,C91,候选池!$K$2:$K$201,"核心池")&gt;0,"核心池","否"))</f>
        <v/>
      </c>
      <c r="AH91" s="1" t="str">
        <f aca="false">IF(A91="","",IF(OR(J91="",K91="",K91=0),"",IF((J91-K91)/K91&lt;0.05,"不可加仓(无浮盈护垫)",IF(N91&gt;0.6,"不可加仓(超三买上限)",IF(N91&gt;0.5,"可加仓(三买区,上限60%)",IF(N91&gt;0.35,"可加仓(二买区,上限50%)","可加仓(一买区,上限35%)"))))))</f>
        <v/>
      </c>
    </row>
    <row r="92" customFormat="false" ht="15" hidden="false" customHeight="true" outlineLevel="0" collapsed="false">
      <c r="A92" s="28"/>
      <c r="B92" s="28"/>
      <c r="C92" s="28"/>
      <c r="D92" s="28"/>
      <c r="E92" s="34"/>
      <c r="F92" s="28"/>
      <c r="G92" s="37"/>
      <c r="H92" s="34"/>
      <c r="I92" s="34"/>
      <c r="J92" s="35"/>
      <c r="K92" s="35"/>
      <c r="L92" s="35"/>
      <c r="M92" s="36"/>
      <c r="N92" s="36"/>
      <c r="O92" s="34"/>
      <c r="P92" s="35"/>
      <c r="Q92" s="39"/>
      <c r="R92" s="40"/>
      <c r="S92" s="28"/>
      <c r="T92" s="29"/>
      <c r="U92" s="29"/>
      <c r="V92" s="39"/>
      <c r="W92" s="39"/>
      <c r="X92" s="39"/>
      <c r="Y92" s="39"/>
      <c r="Z92" s="39"/>
      <c r="AA92" s="39" t="str">
        <f aca="false">IF($A92="","",IFERROR(INDEX(账户总表!$B:$B,MATCH($A92,账户总表!$A:$A,0))*INDEX(账户总表!$O:$O,MATCH($A92,账户总表!$A:$A,0)),0))</f>
        <v/>
      </c>
      <c r="AB92" s="57" t="str">
        <f aca="false">IF($A92="","",IFERROR(MAX(0,AA92-J92),0))</f>
        <v/>
      </c>
      <c r="AC92" s="39" t="str">
        <f aca="false">IF($A92="","",IF(I92&gt;0,IFERROR(FLOOR(AB92/I92,100),0),0))</f>
        <v/>
      </c>
      <c r="AD92" s="28" t="str">
        <f aca="false">IF($A92="","",IF(N92&gt;INDEX(账户总表!$O:$O,MATCH($A92,账户总表!$A:$A,0)),"超限","合规"))</f>
        <v/>
      </c>
      <c r="AE92" s="1" t="str">
        <f aca="false">IF($A92="","",IFERROR((I92-P92)/I92,0))</f>
        <v/>
      </c>
      <c r="AF92" s="1" t="str">
        <f aca="false">IF($A92="","",IFERROR(MAX(0,(I92-P92)*G92),0))</f>
        <v/>
      </c>
      <c r="AG92" s="1" t="str">
        <f aca="false">IF($A92="","",IF(COUNTIFS(候选池!$C$2:$C$201,C92,候选池!$K$2:$K$201,"核心池")&gt;0,"核心池","否"))</f>
        <v/>
      </c>
      <c r="AH92" s="1" t="str">
        <f aca="false">IF(A92="","",IF(OR(J92="",K92="",K92=0),"",IF((J92-K92)/K92&lt;0.05,"不可加仓(无浮盈护垫)",IF(N92&gt;0.6,"不可加仓(超三买上限)",IF(N92&gt;0.5,"可加仓(三买区,上限60%)",IF(N92&gt;0.35,"可加仓(二买区,上限50%)","可加仓(一买区,上限35%)"))))))</f>
        <v/>
      </c>
    </row>
    <row r="93" customFormat="false" ht="15" hidden="false" customHeight="true" outlineLevel="0" collapsed="false">
      <c r="A93" s="30"/>
      <c r="B93" s="30"/>
      <c r="C93" s="30"/>
      <c r="D93" s="30"/>
      <c r="E93" s="44"/>
      <c r="F93" s="30"/>
      <c r="G93" s="45"/>
      <c r="H93" s="44"/>
      <c r="I93" s="44"/>
      <c r="J93" s="35"/>
      <c r="K93" s="35"/>
      <c r="L93" s="35"/>
      <c r="M93" s="36"/>
      <c r="N93" s="36"/>
      <c r="O93" s="44"/>
      <c r="P93" s="35"/>
      <c r="Q93" s="39"/>
      <c r="R93" s="46"/>
      <c r="S93" s="30"/>
      <c r="T93" s="31"/>
      <c r="U93" s="31"/>
      <c r="V93" s="39"/>
      <c r="W93" s="39"/>
      <c r="X93" s="39"/>
      <c r="Y93" s="39"/>
      <c r="Z93" s="39"/>
      <c r="AA93" s="39" t="str">
        <f aca="false">IF($A93="","",IFERROR(INDEX(账户总表!$B:$B,MATCH($A93,账户总表!$A:$A,0))*INDEX(账户总表!$O:$O,MATCH($A93,账户总表!$A:$A,0)),0))</f>
        <v/>
      </c>
      <c r="AB93" s="57" t="str">
        <f aca="false">IF($A93="","",IFERROR(MAX(0,AA93-J93),0))</f>
        <v/>
      </c>
      <c r="AC93" s="39" t="str">
        <f aca="false">IF($A93="","",IF(I93&gt;0,IFERROR(FLOOR(AB93/I93,100),0),0))</f>
        <v/>
      </c>
      <c r="AD93" s="30" t="str">
        <f aca="false">IF($A93="","",IF(N93&gt;INDEX(账户总表!$O:$O,MATCH($A93,账户总表!$A:$A,0)),"超限","合规"))</f>
        <v/>
      </c>
      <c r="AE93" s="1" t="str">
        <f aca="false">IF($A93="","",IFERROR((I93-P93)/I93,0))</f>
        <v/>
      </c>
      <c r="AF93" s="1" t="str">
        <f aca="false">IF($A93="","",IFERROR(MAX(0,(I93-P93)*G93),0))</f>
        <v/>
      </c>
      <c r="AG93" s="1" t="str">
        <f aca="false">IF($A93="","",IF(COUNTIFS(候选池!$C$2:$C$201,C93,候选池!$K$2:$K$201,"核心池")&gt;0,"核心池","否"))</f>
        <v/>
      </c>
      <c r="AH93" s="1" t="str">
        <f aca="false">IF(A93="","",IF(OR(J93="",K93="",K93=0),"",IF((J93-K93)/K93&lt;0.05,"不可加仓(无浮盈护垫)",IF(N93&gt;0.6,"不可加仓(超三买上限)",IF(N93&gt;0.5,"可加仓(三买区,上限60%)",IF(N93&gt;0.35,"可加仓(二买区,上限50%)","可加仓(一买区,上限35%)"))))))</f>
        <v/>
      </c>
    </row>
    <row r="94" customFormat="false" ht="15" hidden="false" customHeight="true" outlineLevel="0" collapsed="false">
      <c r="A94" s="28"/>
      <c r="B94" s="28"/>
      <c r="C94" s="28"/>
      <c r="D94" s="28"/>
      <c r="E94" s="34"/>
      <c r="F94" s="28"/>
      <c r="G94" s="37"/>
      <c r="H94" s="34"/>
      <c r="I94" s="34"/>
      <c r="J94" s="35"/>
      <c r="K94" s="35"/>
      <c r="L94" s="35"/>
      <c r="M94" s="36"/>
      <c r="N94" s="36"/>
      <c r="O94" s="34"/>
      <c r="P94" s="35"/>
      <c r="Q94" s="39"/>
      <c r="R94" s="40"/>
      <c r="S94" s="28"/>
      <c r="T94" s="29"/>
      <c r="U94" s="29"/>
      <c r="V94" s="39"/>
      <c r="W94" s="39"/>
      <c r="X94" s="39"/>
      <c r="Y94" s="39"/>
      <c r="Z94" s="39"/>
      <c r="AA94" s="39" t="str">
        <f aca="false">IF($A94="","",IFERROR(INDEX(账户总表!$B:$B,MATCH($A94,账户总表!$A:$A,0))*INDEX(账户总表!$O:$O,MATCH($A94,账户总表!$A:$A,0)),0))</f>
        <v/>
      </c>
      <c r="AB94" s="57" t="str">
        <f aca="false">IF($A94="","",IFERROR(MAX(0,AA94-J94),0))</f>
        <v/>
      </c>
      <c r="AC94" s="39" t="str">
        <f aca="false">IF($A94="","",IF(I94&gt;0,IFERROR(FLOOR(AB94/I94,100),0),0))</f>
        <v/>
      </c>
      <c r="AD94" s="28" t="str">
        <f aca="false">IF($A94="","",IF(N94&gt;INDEX(账户总表!$O:$O,MATCH($A94,账户总表!$A:$A,0)),"超限","合规"))</f>
        <v/>
      </c>
      <c r="AE94" s="1" t="str">
        <f aca="false">IF($A94="","",IFERROR((I94-P94)/I94,0))</f>
        <v/>
      </c>
      <c r="AF94" s="1" t="str">
        <f aca="false">IF($A94="","",IFERROR(MAX(0,(I94-P94)*G94),0))</f>
        <v/>
      </c>
      <c r="AG94" s="1" t="str">
        <f aca="false">IF($A94="","",IF(COUNTIFS(候选池!$C$2:$C$201,C94,候选池!$K$2:$K$201,"核心池")&gt;0,"核心池","否"))</f>
        <v/>
      </c>
      <c r="AH94" s="1" t="str">
        <f aca="false">IF(A94="","",IF(OR(J94="",K94="",K94=0),"",IF((J94-K94)/K94&lt;0.05,"不可加仓(无浮盈护垫)",IF(N94&gt;0.6,"不可加仓(超三买上限)",IF(N94&gt;0.5,"可加仓(三买区,上限60%)",IF(N94&gt;0.35,"可加仓(二买区,上限50%)","可加仓(一买区,上限35%)"))))))</f>
        <v/>
      </c>
    </row>
    <row r="95" customFormat="false" ht="15" hidden="false" customHeight="true" outlineLevel="0" collapsed="false">
      <c r="A95" s="30"/>
      <c r="B95" s="30"/>
      <c r="C95" s="30"/>
      <c r="D95" s="30"/>
      <c r="E95" s="44"/>
      <c r="F95" s="30"/>
      <c r="G95" s="45"/>
      <c r="H95" s="44"/>
      <c r="I95" s="44"/>
      <c r="J95" s="35"/>
      <c r="K95" s="35"/>
      <c r="L95" s="35"/>
      <c r="M95" s="36"/>
      <c r="N95" s="36"/>
      <c r="O95" s="44"/>
      <c r="P95" s="35"/>
      <c r="Q95" s="39"/>
      <c r="R95" s="46"/>
      <c r="S95" s="30"/>
      <c r="T95" s="31"/>
      <c r="U95" s="31"/>
      <c r="V95" s="39"/>
      <c r="W95" s="39"/>
      <c r="X95" s="39"/>
      <c r="Y95" s="39"/>
      <c r="Z95" s="39"/>
      <c r="AA95" s="39" t="str">
        <f aca="false">IF($A95="","",IFERROR(INDEX(账户总表!$B:$B,MATCH($A95,账户总表!$A:$A,0))*INDEX(账户总表!$O:$O,MATCH($A95,账户总表!$A:$A,0)),0))</f>
        <v/>
      </c>
      <c r="AB95" s="57" t="str">
        <f aca="false">IF($A95="","",IFERROR(MAX(0,AA95-J95),0))</f>
        <v/>
      </c>
      <c r="AC95" s="39" t="str">
        <f aca="false">IF($A95="","",IF(I95&gt;0,IFERROR(FLOOR(AB95/I95,100),0),0))</f>
        <v/>
      </c>
      <c r="AD95" s="30" t="str">
        <f aca="false">IF($A95="","",IF(N95&gt;INDEX(账户总表!$O:$O,MATCH($A95,账户总表!$A:$A,0)),"超限","合规"))</f>
        <v/>
      </c>
      <c r="AE95" s="1" t="str">
        <f aca="false">IF($A95="","",IFERROR((I95-P95)/I95,0))</f>
        <v/>
      </c>
      <c r="AF95" s="1" t="str">
        <f aca="false">IF($A95="","",IFERROR(MAX(0,(I95-P95)*G95),0))</f>
        <v/>
      </c>
      <c r="AG95" s="1" t="str">
        <f aca="false">IF($A95="","",IF(COUNTIFS(候选池!$C$2:$C$201,C95,候选池!$K$2:$K$201,"核心池")&gt;0,"核心池","否"))</f>
        <v/>
      </c>
      <c r="AH95" s="1" t="str">
        <f aca="false">IF(A95="","",IF(OR(J95="",K95="",K95=0),"",IF((J95-K95)/K95&lt;0.05,"不可加仓(无浮盈护垫)",IF(N95&gt;0.6,"不可加仓(超三买上限)",IF(N95&gt;0.5,"可加仓(三买区,上限60%)",IF(N95&gt;0.35,"可加仓(二买区,上限50%)","可加仓(一买区,上限35%)"))))))</f>
        <v/>
      </c>
    </row>
    <row r="96" customFormat="false" ht="15" hidden="false" customHeight="true" outlineLevel="0" collapsed="false">
      <c r="A96" s="28"/>
      <c r="B96" s="28"/>
      <c r="C96" s="28"/>
      <c r="D96" s="28"/>
      <c r="E96" s="34"/>
      <c r="F96" s="28"/>
      <c r="G96" s="37"/>
      <c r="H96" s="34"/>
      <c r="I96" s="34"/>
      <c r="J96" s="35"/>
      <c r="K96" s="35"/>
      <c r="L96" s="35"/>
      <c r="M96" s="36"/>
      <c r="N96" s="36"/>
      <c r="O96" s="34"/>
      <c r="P96" s="35"/>
      <c r="Q96" s="39"/>
      <c r="R96" s="40"/>
      <c r="S96" s="28"/>
      <c r="T96" s="29"/>
      <c r="U96" s="29"/>
      <c r="V96" s="39"/>
      <c r="W96" s="39"/>
      <c r="X96" s="39"/>
      <c r="Y96" s="39"/>
      <c r="Z96" s="39"/>
      <c r="AA96" s="39" t="str">
        <f aca="false">IF($A96="","",IFERROR(INDEX(账户总表!$B:$B,MATCH($A96,账户总表!$A:$A,0))*INDEX(账户总表!$O:$O,MATCH($A96,账户总表!$A:$A,0)),0))</f>
        <v/>
      </c>
      <c r="AB96" s="57" t="str">
        <f aca="false">IF($A96="","",IFERROR(MAX(0,AA96-J96),0))</f>
        <v/>
      </c>
      <c r="AC96" s="39" t="str">
        <f aca="false">IF($A96="","",IF(I96&gt;0,IFERROR(FLOOR(AB96/I96,100),0),0))</f>
        <v/>
      </c>
      <c r="AD96" s="28" t="str">
        <f aca="false">IF($A96="","",IF(N96&gt;INDEX(账户总表!$O:$O,MATCH($A96,账户总表!$A:$A,0)),"超限","合规"))</f>
        <v/>
      </c>
      <c r="AE96" s="1" t="str">
        <f aca="false">IF($A96="","",IFERROR((I96-P96)/I96,0))</f>
        <v/>
      </c>
      <c r="AF96" s="1" t="str">
        <f aca="false">IF($A96="","",IFERROR(MAX(0,(I96-P96)*G96),0))</f>
        <v/>
      </c>
      <c r="AG96" s="1" t="str">
        <f aca="false">IF($A96="","",IF(COUNTIFS(候选池!$C$2:$C$201,C96,候选池!$K$2:$K$201,"核心池")&gt;0,"核心池","否"))</f>
        <v/>
      </c>
      <c r="AH96" s="1" t="str">
        <f aca="false">IF(A96="","",IF(OR(J96="",K96="",K96=0),"",IF((J96-K96)/K96&lt;0.05,"不可加仓(无浮盈护垫)",IF(N96&gt;0.6,"不可加仓(超三买上限)",IF(N96&gt;0.5,"可加仓(三买区,上限60%)",IF(N96&gt;0.35,"可加仓(二买区,上限50%)","可加仓(一买区,上限35%)"))))))</f>
        <v/>
      </c>
    </row>
    <row r="97" customFormat="false" ht="15" hidden="false" customHeight="true" outlineLevel="0" collapsed="false">
      <c r="A97" s="30"/>
      <c r="B97" s="30"/>
      <c r="C97" s="30"/>
      <c r="D97" s="30"/>
      <c r="E97" s="44"/>
      <c r="F97" s="30"/>
      <c r="G97" s="45"/>
      <c r="H97" s="44"/>
      <c r="I97" s="44"/>
      <c r="J97" s="35"/>
      <c r="K97" s="35"/>
      <c r="L97" s="35"/>
      <c r="M97" s="36"/>
      <c r="N97" s="36"/>
      <c r="O97" s="44"/>
      <c r="P97" s="35"/>
      <c r="Q97" s="39"/>
      <c r="R97" s="46"/>
      <c r="S97" s="30"/>
      <c r="T97" s="31"/>
      <c r="U97" s="31"/>
      <c r="V97" s="39"/>
      <c r="W97" s="39"/>
      <c r="X97" s="39"/>
      <c r="Y97" s="39"/>
      <c r="Z97" s="39"/>
      <c r="AA97" s="39" t="str">
        <f aca="false">IF($A97="","",IFERROR(INDEX(账户总表!$B:$B,MATCH($A97,账户总表!$A:$A,0))*INDEX(账户总表!$O:$O,MATCH($A97,账户总表!$A:$A,0)),0))</f>
        <v/>
      </c>
      <c r="AB97" s="57" t="str">
        <f aca="false">IF($A97="","",IFERROR(MAX(0,AA97-J97),0))</f>
        <v/>
      </c>
      <c r="AC97" s="39" t="str">
        <f aca="false">IF($A97="","",IF(I97&gt;0,IFERROR(FLOOR(AB97/I97,100),0),0))</f>
        <v/>
      </c>
      <c r="AD97" s="30" t="str">
        <f aca="false">IF($A97="","",IF(N97&gt;INDEX(账户总表!$O:$O,MATCH($A97,账户总表!$A:$A,0)),"超限","合规"))</f>
        <v/>
      </c>
      <c r="AE97" s="1" t="str">
        <f aca="false">IF($A97="","",IFERROR((I97-P97)/I97,0))</f>
        <v/>
      </c>
      <c r="AF97" s="1" t="str">
        <f aca="false">IF($A97="","",IFERROR(MAX(0,(I97-P97)*G97),0))</f>
        <v/>
      </c>
      <c r="AG97" s="1" t="str">
        <f aca="false">IF($A97="","",IF(COUNTIFS(候选池!$C$2:$C$201,C97,候选池!$K$2:$K$201,"核心池")&gt;0,"核心池","否"))</f>
        <v/>
      </c>
      <c r="AH97" s="1" t="str">
        <f aca="false">IF(A97="","",IF(OR(J97="",K97="",K97=0),"",IF((J97-K97)/K97&lt;0.05,"不可加仓(无浮盈护垫)",IF(N97&gt;0.6,"不可加仓(超三买上限)",IF(N97&gt;0.5,"可加仓(三买区,上限60%)",IF(N97&gt;0.35,"可加仓(二买区,上限50%)","可加仓(一买区,上限35%)"))))))</f>
        <v/>
      </c>
    </row>
    <row r="98" customFormat="false" ht="15" hidden="false" customHeight="true" outlineLevel="0" collapsed="false">
      <c r="A98" s="28"/>
      <c r="B98" s="28"/>
      <c r="C98" s="28"/>
      <c r="D98" s="28"/>
      <c r="E98" s="34"/>
      <c r="F98" s="28"/>
      <c r="G98" s="37"/>
      <c r="H98" s="34"/>
      <c r="I98" s="34"/>
      <c r="J98" s="35"/>
      <c r="K98" s="35"/>
      <c r="L98" s="35"/>
      <c r="M98" s="36"/>
      <c r="N98" s="36"/>
      <c r="O98" s="34"/>
      <c r="P98" s="35"/>
      <c r="Q98" s="39"/>
      <c r="R98" s="40"/>
      <c r="S98" s="28"/>
      <c r="T98" s="29"/>
      <c r="U98" s="29"/>
      <c r="V98" s="39"/>
      <c r="W98" s="39"/>
      <c r="X98" s="39"/>
      <c r="Y98" s="39"/>
      <c r="Z98" s="39"/>
      <c r="AA98" s="39" t="str">
        <f aca="false">IF($A98="","",IFERROR(INDEX(账户总表!$B:$B,MATCH($A98,账户总表!$A:$A,0))*INDEX(账户总表!$O:$O,MATCH($A98,账户总表!$A:$A,0)),0))</f>
        <v/>
      </c>
      <c r="AB98" s="57" t="str">
        <f aca="false">IF($A98="","",IFERROR(MAX(0,AA98-J98),0))</f>
        <v/>
      </c>
      <c r="AC98" s="39" t="str">
        <f aca="false">IF($A98="","",IF(I98&gt;0,IFERROR(FLOOR(AB98/I98,100),0),0))</f>
        <v/>
      </c>
      <c r="AD98" s="28" t="str">
        <f aca="false">IF($A98="","",IF(N98&gt;INDEX(账户总表!$O:$O,MATCH($A98,账户总表!$A:$A,0)),"超限","合规"))</f>
        <v/>
      </c>
      <c r="AE98" s="1" t="str">
        <f aca="false">IF($A98="","",IFERROR((I98-P98)/I98,0))</f>
        <v/>
      </c>
      <c r="AF98" s="1" t="str">
        <f aca="false">IF($A98="","",IFERROR(MAX(0,(I98-P98)*G98),0))</f>
        <v/>
      </c>
      <c r="AG98" s="1" t="str">
        <f aca="false">IF($A98="","",IF(COUNTIFS(候选池!$C$2:$C$201,C98,候选池!$K$2:$K$201,"核心池")&gt;0,"核心池","否"))</f>
        <v/>
      </c>
      <c r="AH98" s="1" t="str">
        <f aca="false">IF(A98="","",IF(OR(J98="",K98="",K98=0),"",IF((J98-K98)/K98&lt;0.05,"不可加仓(无浮盈护垫)",IF(N98&gt;0.6,"不可加仓(超三买上限)",IF(N98&gt;0.5,"可加仓(三买区,上限60%)",IF(N98&gt;0.35,"可加仓(二买区,上限50%)","可加仓(一买区,上限35%)"))))))</f>
        <v/>
      </c>
    </row>
    <row r="99" customFormat="false" ht="15" hidden="false" customHeight="true" outlineLevel="0" collapsed="false">
      <c r="A99" s="30"/>
      <c r="B99" s="30"/>
      <c r="C99" s="30"/>
      <c r="D99" s="30"/>
      <c r="E99" s="44"/>
      <c r="F99" s="30"/>
      <c r="G99" s="45"/>
      <c r="H99" s="44"/>
      <c r="I99" s="44"/>
      <c r="J99" s="35"/>
      <c r="K99" s="35"/>
      <c r="L99" s="35"/>
      <c r="M99" s="36"/>
      <c r="N99" s="36"/>
      <c r="O99" s="44"/>
      <c r="P99" s="35"/>
      <c r="Q99" s="39"/>
      <c r="R99" s="46"/>
      <c r="S99" s="30"/>
      <c r="T99" s="31"/>
      <c r="U99" s="31"/>
      <c r="V99" s="39"/>
      <c r="W99" s="39"/>
      <c r="X99" s="39"/>
      <c r="Y99" s="39"/>
      <c r="Z99" s="39"/>
      <c r="AA99" s="39" t="str">
        <f aca="false">IF($A99="","",IFERROR(INDEX(账户总表!$B:$B,MATCH($A99,账户总表!$A:$A,0))*INDEX(账户总表!$O:$O,MATCH($A99,账户总表!$A:$A,0)),0))</f>
        <v/>
      </c>
      <c r="AB99" s="57" t="str">
        <f aca="false">IF($A99="","",IFERROR(MAX(0,AA99-J99),0))</f>
        <v/>
      </c>
      <c r="AC99" s="39" t="str">
        <f aca="false">IF($A99="","",IF(I99&gt;0,IFERROR(FLOOR(AB99/I99,100),0),0))</f>
        <v/>
      </c>
      <c r="AD99" s="30" t="str">
        <f aca="false">IF($A99="","",IF(N99&gt;INDEX(账户总表!$O:$O,MATCH($A99,账户总表!$A:$A,0)),"超限","合规"))</f>
        <v/>
      </c>
      <c r="AE99" s="1" t="str">
        <f aca="false">IF($A99="","",IFERROR((I99-P99)/I99,0))</f>
        <v/>
      </c>
      <c r="AF99" s="1" t="str">
        <f aca="false">IF($A99="","",IFERROR(MAX(0,(I99-P99)*G99),0))</f>
        <v/>
      </c>
      <c r="AG99" s="1" t="str">
        <f aca="false">IF($A99="","",IF(COUNTIFS(候选池!$C$2:$C$201,C99,候选池!$K$2:$K$201,"核心池")&gt;0,"核心池","否"))</f>
        <v/>
      </c>
      <c r="AH99" s="1" t="str">
        <f aca="false">IF(A99="","",IF(OR(J99="",K99="",K99=0),"",IF((J99-K99)/K99&lt;0.05,"不可加仓(无浮盈护垫)",IF(N99&gt;0.6,"不可加仓(超三买上限)",IF(N99&gt;0.5,"可加仓(三买区,上限60%)",IF(N99&gt;0.35,"可加仓(二买区,上限50%)","可加仓(一买区,上限35%)"))))))</f>
        <v/>
      </c>
    </row>
    <row r="100" customFormat="false" ht="15" hidden="false" customHeight="true" outlineLevel="0" collapsed="false">
      <c r="A100" s="28"/>
      <c r="B100" s="28"/>
      <c r="C100" s="28"/>
      <c r="D100" s="28"/>
      <c r="E100" s="34"/>
      <c r="F100" s="28"/>
      <c r="G100" s="37"/>
      <c r="H100" s="34"/>
      <c r="I100" s="34"/>
      <c r="J100" s="35"/>
      <c r="K100" s="35"/>
      <c r="L100" s="35"/>
      <c r="M100" s="36"/>
      <c r="N100" s="36"/>
      <c r="O100" s="34"/>
      <c r="P100" s="35"/>
      <c r="Q100" s="39"/>
      <c r="R100" s="40"/>
      <c r="S100" s="28"/>
      <c r="T100" s="29"/>
      <c r="U100" s="29"/>
      <c r="V100" s="39"/>
      <c r="W100" s="39"/>
      <c r="X100" s="39"/>
      <c r="Y100" s="39"/>
      <c r="Z100" s="39"/>
      <c r="AA100" s="39" t="str">
        <f aca="false">IF($A100="","",IFERROR(INDEX(账户总表!$B:$B,MATCH($A100,账户总表!$A:$A,0))*INDEX(账户总表!$O:$O,MATCH($A100,账户总表!$A:$A,0)),0))</f>
        <v/>
      </c>
      <c r="AB100" s="57" t="str">
        <f aca="false">IF($A100="","",IFERROR(MAX(0,AA100-J100),0))</f>
        <v/>
      </c>
      <c r="AC100" s="39" t="str">
        <f aca="false">IF($A100="","",IF(I100&gt;0,IFERROR(FLOOR(AB100/I100,100),0),0))</f>
        <v/>
      </c>
      <c r="AD100" s="28" t="str">
        <f aca="false">IF($A100="","",IF(N100&gt;INDEX(账户总表!$O:$O,MATCH($A100,账户总表!$A:$A,0)),"超限","合规"))</f>
        <v/>
      </c>
      <c r="AE100" s="1" t="str">
        <f aca="false">IF($A100="","",IFERROR((I100-P100)/I100,0))</f>
        <v/>
      </c>
      <c r="AF100" s="1" t="str">
        <f aca="false">IF($A100="","",IFERROR(MAX(0,(I100-P100)*G100),0))</f>
        <v/>
      </c>
      <c r="AG100" s="1" t="str">
        <f aca="false">IF($A100="","",IF(COUNTIFS(候选池!$C$2:$C$201,C100,候选池!$K$2:$K$201,"核心池")&gt;0,"核心池","否"))</f>
        <v/>
      </c>
      <c r="AH100" s="1" t="str">
        <f aca="false">IF(A100="","",IF(OR(J100="",K100="",K100=0),"",IF((J100-K100)/K100&lt;0.05,"不可加仓(无浮盈护垫)",IF(N100&gt;0.6,"不可加仓(超三买上限)",IF(N100&gt;0.5,"可加仓(三买区,上限60%)",IF(N100&gt;0.35,"可加仓(二买区,上限50%)","可加仓(一买区,上限35%)"))))))</f>
        <v/>
      </c>
    </row>
    <row r="101" customFormat="false" ht="15" hidden="false" customHeight="true" outlineLevel="0" collapsed="false">
      <c r="A101" s="30"/>
      <c r="B101" s="30"/>
      <c r="C101" s="30"/>
      <c r="D101" s="30"/>
      <c r="E101" s="44"/>
      <c r="F101" s="30"/>
      <c r="G101" s="45"/>
      <c r="H101" s="44"/>
      <c r="I101" s="44"/>
      <c r="J101" s="35"/>
      <c r="K101" s="35"/>
      <c r="L101" s="35"/>
      <c r="M101" s="36"/>
      <c r="N101" s="36"/>
      <c r="O101" s="44"/>
      <c r="P101" s="35"/>
      <c r="Q101" s="39"/>
      <c r="R101" s="46"/>
      <c r="S101" s="30"/>
      <c r="T101" s="31"/>
      <c r="U101" s="31"/>
      <c r="V101" s="39"/>
      <c r="W101" s="39"/>
      <c r="X101" s="39"/>
      <c r="Y101" s="39"/>
      <c r="Z101" s="39"/>
      <c r="AA101" s="39" t="str">
        <f aca="false">IF($A101="","",IFERROR(INDEX(账户总表!$B:$B,MATCH($A101,账户总表!$A:$A,0))*INDEX(账户总表!$O:$O,MATCH($A101,账户总表!$A:$A,0)),0))</f>
        <v/>
      </c>
      <c r="AB101" s="57" t="str">
        <f aca="false">IF($A101="","",IFERROR(MAX(0,AA101-J101),0))</f>
        <v/>
      </c>
      <c r="AC101" s="39" t="str">
        <f aca="false">IF($A101="","",IF(I101&gt;0,IFERROR(FLOOR(AB101/I101,100),0),0))</f>
        <v/>
      </c>
      <c r="AD101" s="30" t="str">
        <f aca="false">IF($A101="","",IF(N101&gt;INDEX(账户总表!$O:$O,MATCH($A101,账户总表!$A:$A,0)),"超限","合规"))</f>
        <v/>
      </c>
      <c r="AE101" s="1" t="str">
        <f aca="false">IF($A101="","",IFERROR((I101-P101)/I101,0))</f>
        <v/>
      </c>
      <c r="AF101" s="1" t="str">
        <f aca="false">IF($A101="","",IFERROR(MAX(0,(I101-P101)*G101),0))</f>
        <v/>
      </c>
      <c r="AG101" s="1" t="str">
        <f aca="false">IF($A101="","",IF(COUNTIFS(候选池!$C$2:$C$201,C101,候选池!$K$2:$K$201,"核心池")&gt;0,"核心池","否"))</f>
        <v/>
      </c>
      <c r="AH101" s="1" t="str">
        <f aca="false">IF(A101="","",IF(OR(J101="",K101="",K101=0),"",IF((J101-K101)/K101&lt;0.05,"不可加仓(无浮盈护垫)",IF(N101&gt;0.6,"不可加仓(超三买上限)",IF(N101&gt;0.5,"可加仓(三买区,上限60%)",IF(N101&gt;0.35,"可加仓(二买区,上限50%)","可加仓(一买区,上限35%)"))))))</f>
        <v/>
      </c>
    </row>
    <row r="102" customFormat="false" ht="15" hidden="false" customHeight="true" outlineLevel="0" collapsed="false">
      <c r="A102" s="28"/>
      <c r="B102" s="28"/>
      <c r="C102" s="28"/>
      <c r="D102" s="28"/>
      <c r="E102" s="34"/>
      <c r="F102" s="28"/>
      <c r="G102" s="37"/>
      <c r="H102" s="34"/>
      <c r="I102" s="34"/>
      <c r="J102" s="35"/>
      <c r="K102" s="35"/>
      <c r="L102" s="35"/>
      <c r="M102" s="36"/>
      <c r="N102" s="36"/>
      <c r="O102" s="34"/>
      <c r="P102" s="35"/>
      <c r="Q102" s="39"/>
      <c r="R102" s="40"/>
      <c r="S102" s="28"/>
      <c r="T102" s="29"/>
      <c r="U102" s="29"/>
      <c r="V102" s="39"/>
      <c r="W102" s="39"/>
      <c r="X102" s="39"/>
      <c r="Y102" s="39"/>
      <c r="Z102" s="39"/>
      <c r="AA102" s="39" t="str">
        <f aca="false">IF($A102="","",IFERROR(INDEX(账户总表!$B:$B,MATCH($A102,账户总表!$A:$A,0))*INDEX(账户总表!$O:$O,MATCH($A102,账户总表!$A:$A,0)),0))</f>
        <v/>
      </c>
      <c r="AB102" s="57" t="str">
        <f aca="false">IF($A102="","",IFERROR(MAX(0,AA102-J102),0))</f>
        <v/>
      </c>
      <c r="AC102" s="39" t="str">
        <f aca="false">IF($A102="","",IF(I102&gt;0,IFERROR(FLOOR(AB102/I102,100),0),0))</f>
        <v/>
      </c>
      <c r="AD102" s="28" t="str">
        <f aca="false">IF($A102="","",IF(N102&gt;INDEX(账户总表!$O:$O,MATCH($A102,账户总表!$A:$A,0)),"超限","合规"))</f>
        <v/>
      </c>
      <c r="AE102" s="1" t="str">
        <f aca="false">IF($A102="","",IFERROR((I102-P102)/I102,0))</f>
        <v/>
      </c>
      <c r="AF102" s="1" t="str">
        <f aca="false">IF($A102="","",IFERROR(MAX(0,(I102-P102)*G102),0))</f>
        <v/>
      </c>
      <c r="AG102" s="1" t="str">
        <f aca="false">IF($A102="","",IF(COUNTIFS(候选池!$C$2:$C$201,C102,候选池!$K$2:$K$201,"核心池")&gt;0,"核心池","否"))</f>
        <v/>
      </c>
      <c r="AH102" s="1" t="str">
        <f aca="false">IF(A102="","",IF(OR(J102="",K102="",K102=0),"",IF((J102-K102)/K102&lt;0.05,"不可加仓(无浮盈护垫)",IF(N102&gt;0.6,"不可加仓(超三买上限)",IF(N102&gt;0.5,"可加仓(三买区,上限60%)",IF(N102&gt;0.35,"可加仓(二买区,上限50%)","可加仓(一买区,上限35%)"))))))</f>
        <v/>
      </c>
    </row>
    <row r="103" customFormat="false" ht="15" hidden="false" customHeight="true" outlineLevel="0" collapsed="false">
      <c r="A103" s="30"/>
      <c r="B103" s="30"/>
      <c r="C103" s="30"/>
      <c r="D103" s="30"/>
      <c r="E103" s="44"/>
      <c r="F103" s="30"/>
      <c r="G103" s="45"/>
      <c r="H103" s="44"/>
      <c r="I103" s="44"/>
      <c r="J103" s="35"/>
      <c r="K103" s="35"/>
      <c r="L103" s="35"/>
      <c r="M103" s="36"/>
      <c r="N103" s="36"/>
      <c r="O103" s="44"/>
      <c r="P103" s="35"/>
      <c r="Q103" s="39"/>
      <c r="R103" s="46"/>
      <c r="S103" s="30"/>
      <c r="T103" s="31"/>
      <c r="U103" s="31"/>
      <c r="V103" s="39"/>
      <c r="W103" s="39"/>
      <c r="X103" s="39"/>
      <c r="Y103" s="39"/>
      <c r="Z103" s="39"/>
      <c r="AA103" s="39" t="str">
        <f aca="false">IF($A103="","",IFERROR(INDEX(账户总表!$B:$B,MATCH($A103,账户总表!$A:$A,0))*INDEX(账户总表!$O:$O,MATCH($A103,账户总表!$A:$A,0)),0))</f>
        <v/>
      </c>
      <c r="AB103" s="57" t="str">
        <f aca="false">IF($A103="","",IFERROR(MAX(0,AA103-J103),0))</f>
        <v/>
      </c>
      <c r="AC103" s="39" t="str">
        <f aca="false">IF($A103="","",IF(I103&gt;0,IFERROR(FLOOR(AB103/I103,100),0),0))</f>
        <v/>
      </c>
      <c r="AD103" s="30" t="str">
        <f aca="false">IF($A103="","",IF(N103&gt;INDEX(账户总表!$O:$O,MATCH($A103,账户总表!$A:$A,0)),"超限","合规"))</f>
        <v/>
      </c>
      <c r="AE103" s="1" t="str">
        <f aca="false">IF($A103="","",IFERROR((I103-P103)/I103,0))</f>
        <v/>
      </c>
      <c r="AF103" s="1" t="str">
        <f aca="false">IF($A103="","",IFERROR(MAX(0,(I103-P103)*G103),0))</f>
        <v/>
      </c>
      <c r="AG103" s="1" t="str">
        <f aca="false">IF($A103="","",IF(COUNTIFS(候选池!$C$2:$C$201,C103,候选池!$K$2:$K$201,"核心池")&gt;0,"核心池","否"))</f>
        <v/>
      </c>
      <c r="AH103" s="1" t="str">
        <f aca="false">IF(A103="","",IF(OR(J103="",K103="",K103=0),"",IF((J103-K103)/K103&lt;0.05,"不可加仓(无浮盈护垫)",IF(N103&gt;0.6,"不可加仓(超三买上限)",IF(N103&gt;0.5,"可加仓(三买区,上限60%)",IF(N103&gt;0.35,"可加仓(二买区,上限50%)","可加仓(一买区,上限35%)"))))))</f>
        <v/>
      </c>
    </row>
    <row r="104" customFormat="false" ht="15" hidden="false" customHeight="true" outlineLevel="0" collapsed="false">
      <c r="A104" s="28"/>
      <c r="B104" s="28"/>
      <c r="C104" s="28"/>
      <c r="D104" s="28"/>
      <c r="E104" s="34"/>
      <c r="F104" s="28"/>
      <c r="G104" s="37"/>
      <c r="H104" s="34"/>
      <c r="I104" s="34"/>
      <c r="J104" s="35"/>
      <c r="K104" s="35"/>
      <c r="L104" s="35"/>
      <c r="M104" s="36"/>
      <c r="N104" s="36"/>
      <c r="O104" s="34"/>
      <c r="P104" s="35"/>
      <c r="Q104" s="39"/>
      <c r="R104" s="40"/>
      <c r="S104" s="28"/>
      <c r="T104" s="29"/>
      <c r="U104" s="29"/>
      <c r="V104" s="39"/>
      <c r="W104" s="39"/>
      <c r="X104" s="39"/>
      <c r="Y104" s="39"/>
      <c r="Z104" s="39"/>
      <c r="AA104" s="39" t="str">
        <f aca="false">IF($A104="","",IFERROR(INDEX(账户总表!$B:$B,MATCH($A104,账户总表!$A:$A,0))*INDEX(账户总表!$O:$O,MATCH($A104,账户总表!$A:$A,0)),0))</f>
        <v/>
      </c>
      <c r="AB104" s="57" t="str">
        <f aca="false">IF($A104="","",IFERROR(MAX(0,AA104-J104),0))</f>
        <v/>
      </c>
      <c r="AC104" s="39" t="str">
        <f aca="false">IF($A104="","",IF(I104&gt;0,IFERROR(FLOOR(AB104/I104,100),0),0))</f>
        <v/>
      </c>
      <c r="AD104" s="28" t="str">
        <f aca="false">IF($A104="","",IF(N104&gt;INDEX(账户总表!$O:$O,MATCH($A104,账户总表!$A:$A,0)),"超限","合规"))</f>
        <v/>
      </c>
      <c r="AE104" s="1" t="str">
        <f aca="false">IF($A104="","",IFERROR((I104-P104)/I104,0))</f>
        <v/>
      </c>
      <c r="AF104" s="1" t="str">
        <f aca="false">IF($A104="","",IFERROR(MAX(0,(I104-P104)*G104),0))</f>
        <v/>
      </c>
      <c r="AG104" s="1" t="str">
        <f aca="false">IF($A104="","",IF(COUNTIFS(候选池!$C$2:$C$201,C104,候选池!$K$2:$K$201,"核心池")&gt;0,"核心池","否"))</f>
        <v/>
      </c>
      <c r="AH104" s="1" t="str">
        <f aca="false">IF(A104="","",IF(OR(J104="",K104="",K104=0),"",IF((J104-K104)/K104&lt;0.05,"不可加仓(无浮盈护垫)",IF(N104&gt;0.6,"不可加仓(超三买上限)",IF(N104&gt;0.5,"可加仓(三买区,上限60%)",IF(N104&gt;0.35,"可加仓(二买区,上限50%)","可加仓(一买区,上限35%)"))))))</f>
        <v/>
      </c>
    </row>
    <row r="105" customFormat="false" ht="15" hidden="false" customHeight="true" outlineLevel="0" collapsed="false">
      <c r="A105" s="30"/>
      <c r="B105" s="30"/>
      <c r="C105" s="30"/>
      <c r="D105" s="30"/>
      <c r="E105" s="44"/>
      <c r="F105" s="30"/>
      <c r="G105" s="45"/>
      <c r="H105" s="44"/>
      <c r="I105" s="44"/>
      <c r="J105" s="35"/>
      <c r="K105" s="35"/>
      <c r="L105" s="35"/>
      <c r="M105" s="36"/>
      <c r="N105" s="36"/>
      <c r="O105" s="44"/>
      <c r="P105" s="35"/>
      <c r="Q105" s="39"/>
      <c r="R105" s="46"/>
      <c r="S105" s="30"/>
      <c r="T105" s="31"/>
      <c r="U105" s="31"/>
      <c r="V105" s="39"/>
      <c r="W105" s="39"/>
      <c r="X105" s="39"/>
      <c r="Y105" s="39"/>
      <c r="Z105" s="39"/>
      <c r="AA105" s="39" t="str">
        <f aca="false">IF($A105="","",IFERROR(INDEX(账户总表!$B:$B,MATCH($A105,账户总表!$A:$A,0))*INDEX(账户总表!$O:$O,MATCH($A105,账户总表!$A:$A,0)),0))</f>
        <v/>
      </c>
      <c r="AB105" s="57" t="str">
        <f aca="false">IF($A105="","",IFERROR(MAX(0,AA105-J105),0))</f>
        <v/>
      </c>
      <c r="AC105" s="39" t="str">
        <f aca="false">IF($A105="","",IF(I105&gt;0,IFERROR(FLOOR(AB105/I105,100),0),0))</f>
        <v/>
      </c>
      <c r="AD105" s="30" t="str">
        <f aca="false">IF($A105="","",IF(N105&gt;INDEX(账户总表!$O:$O,MATCH($A105,账户总表!$A:$A,0)),"超限","合规"))</f>
        <v/>
      </c>
      <c r="AE105" s="1" t="str">
        <f aca="false">IF($A105="","",IFERROR((I105-P105)/I105,0))</f>
        <v/>
      </c>
      <c r="AF105" s="1" t="str">
        <f aca="false">IF($A105="","",IFERROR(MAX(0,(I105-P105)*G105),0))</f>
        <v/>
      </c>
      <c r="AG105" s="1" t="str">
        <f aca="false">IF($A105="","",IF(COUNTIFS(候选池!$C$2:$C$201,C105,候选池!$K$2:$K$201,"核心池")&gt;0,"核心池","否"))</f>
        <v/>
      </c>
      <c r="AH105" s="1" t="str">
        <f aca="false">IF(A105="","",IF(OR(J105="",K105="",K105=0),"",IF((J105-K105)/K105&lt;0.05,"不可加仓(无浮盈护垫)",IF(N105&gt;0.6,"不可加仓(超三买上限)",IF(N105&gt;0.5,"可加仓(三买区,上限60%)",IF(N105&gt;0.35,"可加仓(二买区,上限50%)","可加仓(一买区,上限35%)"))))))</f>
        <v/>
      </c>
    </row>
    <row r="106" customFormat="false" ht="15" hidden="false" customHeight="true" outlineLevel="0" collapsed="false">
      <c r="A106" s="28"/>
      <c r="B106" s="28"/>
      <c r="C106" s="28"/>
      <c r="D106" s="28"/>
      <c r="E106" s="34"/>
      <c r="F106" s="28"/>
      <c r="G106" s="37"/>
      <c r="H106" s="34"/>
      <c r="I106" s="34"/>
      <c r="J106" s="35"/>
      <c r="K106" s="35"/>
      <c r="L106" s="35"/>
      <c r="M106" s="36"/>
      <c r="N106" s="36"/>
      <c r="O106" s="34"/>
      <c r="P106" s="35"/>
      <c r="Q106" s="39"/>
      <c r="R106" s="40"/>
      <c r="S106" s="28"/>
      <c r="T106" s="29"/>
      <c r="U106" s="29"/>
      <c r="V106" s="39"/>
      <c r="W106" s="39"/>
      <c r="X106" s="39"/>
      <c r="Y106" s="39"/>
      <c r="Z106" s="39"/>
      <c r="AA106" s="39" t="str">
        <f aca="false">IF($A106="","",IFERROR(INDEX(账户总表!$B:$B,MATCH($A106,账户总表!$A:$A,0))*INDEX(账户总表!$O:$O,MATCH($A106,账户总表!$A:$A,0)),0))</f>
        <v/>
      </c>
      <c r="AB106" s="57" t="str">
        <f aca="false">IF($A106="","",IFERROR(MAX(0,AA106-J106),0))</f>
        <v/>
      </c>
      <c r="AC106" s="39" t="str">
        <f aca="false">IF($A106="","",IF(I106&gt;0,IFERROR(FLOOR(AB106/I106,100),0),0))</f>
        <v/>
      </c>
      <c r="AD106" s="28" t="str">
        <f aca="false">IF($A106="","",IF(N106&gt;INDEX(账户总表!$O:$O,MATCH($A106,账户总表!$A:$A,0)),"超限","合规"))</f>
        <v/>
      </c>
      <c r="AE106" s="1" t="str">
        <f aca="false">IF($A106="","",IFERROR((I106-P106)/I106,0))</f>
        <v/>
      </c>
      <c r="AF106" s="1" t="str">
        <f aca="false">IF($A106="","",IFERROR(MAX(0,(I106-P106)*G106),0))</f>
        <v/>
      </c>
      <c r="AG106" s="1" t="str">
        <f aca="false">IF($A106="","",IF(COUNTIFS(候选池!$C$2:$C$201,C106,候选池!$K$2:$K$201,"核心池")&gt;0,"核心池","否"))</f>
        <v/>
      </c>
      <c r="AH106" s="1" t="str">
        <f aca="false">IF(A106="","",IF(OR(J106="",K106="",K106=0),"",IF((J106-K106)/K106&lt;0.05,"不可加仓(无浮盈护垫)",IF(N106&gt;0.6,"不可加仓(超三买上限)",IF(N106&gt;0.5,"可加仓(三买区,上限60%)",IF(N106&gt;0.35,"可加仓(二买区,上限50%)","可加仓(一买区,上限35%)"))))))</f>
        <v/>
      </c>
    </row>
    <row r="107" customFormat="false" ht="15" hidden="false" customHeight="true" outlineLevel="0" collapsed="false">
      <c r="A107" s="30"/>
      <c r="B107" s="30"/>
      <c r="C107" s="30"/>
      <c r="D107" s="30"/>
      <c r="E107" s="44"/>
      <c r="F107" s="30"/>
      <c r="G107" s="45"/>
      <c r="H107" s="44"/>
      <c r="I107" s="44"/>
      <c r="J107" s="35"/>
      <c r="K107" s="35"/>
      <c r="L107" s="35"/>
      <c r="M107" s="36"/>
      <c r="N107" s="36"/>
      <c r="O107" s="44"/>
      <c r="P107" s="35"/>
      <c r="Q107" s="39"/>
      <c r="R107" s="46"/>
      <c r="S107" s="30"/>
      <c r="T107" s="31"/>
      <c r="U107" s="31"/>
      <c r="V107" s="39"/>
      <c r="W107" s="39"/>
      <c r="X107" s="39"/>
      <c r="Y107" s="39"/>
      <c r="Z107" s="39"/>
      <c r="AA107" s="39" t="str">
        <f aca="false">IF($A107="","",IFERROR(INDEX(账户总表!$B:$B,MATCH($A107,账户总表!$A:$A,0))*INDEX(账户总表!$O:$O,MATCH($A107,账户总表!$A:$A,0)),0))</f>
        <v/>
      </c>
      <c r="AB107" s="57" t="str">
        <f aca="false">IF($A107="","",IFERROR(MAX(0,AA107-J107),0))</f>
        <v/>
      </c>
      <c r="AC107" s="39" t="str">
        <f aca="false">IF($A107="","",IF(I107&gt;0,IFERROR(FLOOR(AB107/I107,100),0),0))</f>
        <v/>
      </c>
      <c r="AD107" s="30" t="str">
        <f aca="false">IF($A107="","",IF(N107&gt;INDEX(账户总表!$O:$O,MATCH($A107,账户总表!$A:$A,0)),"超限","合规"))</f>
        <v/>
      </c>
      <c r="AE107" s="1" t="str">
        <f aca="false">IF($A107="","",IFERROR((I107-P107)/I107,0))</f>
        <v/>
      </c>
      <c r="AF107" s="1" t="str">
        <f aca="false">IF($A107="","",IFERROR(MAX(0,(I107-P107)*G107),0))</f>
        <v/>
      </c>
      <c r="AG107" s="1" t="str">
        <f aca="false">IF($A107="","",IF(COUNTIFS(候选池!$C$2:$C$201,C107,候选池!$K$2:$K$201,"核心池")&gt;0,"核心池","否"))</f>
        <v/>
      </c>
      <c r="AH107" s="1" t="str">
        <f aca="false">IF(A107="","",IF(OR(J107="",K107="",K107=0),"",IF((J107-K107)/K107&lt;0.05,"不可加仓(无浮盈护垫)",IF(N107&gt;0.6,"不可加仓(超三买上限)",IF(N107&gt;0.5,"可加仓(三买区,上限60%)",IF(N107&gt;0.35,"可加仓(二买区,上限50%)","可加仓(一买区,上限35%)"))))))</f>
        <v/>
      </c>
    </row>
    <row r="108" customFormat="false" ht="15" hidden="false" customHeight="true" outlineLevel="0" collapsed="false">
      <c r="A108" s="28"/>
      <c r="B108" s="28"/>
      <c r="C108" s="28"/>
      <c r="D108" s="28"/>
      <c r="E108" s="34"/>
      <c r="F108" s="28"/>
      <c r="G108" s="37"/>
      <c r="H108" s="34"/>
      <c r="I108" s="34"/>
      <c r="J108" s="35"/>
      <c r="K108" s="35"/>
      <c r="L108" s="35"/>
      <c r="M108" s="36"/>
      <c r="N108" s="36"/>
      <c r="O108" s="34"/>
      <c r="P108" s="35"/>
      <c r="Q108" s="39"/>
      <c r="R108" s="40"/>
      <c r="S108" s="28"/>
      <c r="T108" s="29"/>
      <c r="U108" s="29"/>
      <c r="V108" s="39"/>
      <c r="W108" s="39"/>
      <c r="X108" s="39"/>
      <c r="Y108" s="39"/>
      <c r="Z108" s="39"/>
      <c r="AA108" s="39" t="str">
        <f aca="false">IF($A108="","",IFERROR(INDEX(账户总表!$B:$B,MATCH($A108,账户总表!$A:$A,0))*INDEX(账户总表!$O:$O,MATCH($A108,账户总表!$A:$A,0)),0))</f>
        <v/>
      </c>
      <c r="AB108" s="57" t="str">
        <f aca="false">IF($A108="","",IFERROR(MAX(0,AA108-J108),0))</f>
        <v/>
      </c>
      <c r="AC108" s="39" t="str">
        <f aca="false">IF($A108="","",IF(I108&gt;0,IFERROR(FLOOR(AB108/I108,100),0),0))</f>
        <v/>
      </c>
      <c r="AD108" s="28" t="str">
        <f aca="false">IF($A108="","",IF(N108&gt;INDEX(账户总表!$O:$O,MATCH($A108,账户总表!$A:$A,0)),"超限","合规"))</f>
        <v/>
      </c>
      <c r="AE108" s="1" t="str">
        <f aca="false">IF($A108="","",IFERROR((I108-P108)/I108,0))</f>
        <v/>
      </c>
      <c r="AF108" s="1" t="str">
        <f aca="false">IF($A108="","",IFERROR(MAX(0,(I108-P108)*G108),0))</f>
        <v/>
      </c>
      <c r="AG108" s="1" t="str">
        <f aca="false">IF($A108="","",IF(COUNTIFS(候选池!$C$2:$C$201,C108,候选池!$K$2:$K$201,"核心池")&gt;0,"核心池","否"))</f>
        <v/>
      </c>
      <c r="AH108" s="1" t="str">
        <f aca="false">IF(A108="","",IF(OR(J108="",K108="",K108=0),"",IF((J108-K108)/K108&lt;0.05,"不可加仓(无浮盈护垫)",IF(N108&gt;0.6,"不可加仓(超三买上限)",IF(N108&gt;0.5,"可加仓(三买区,上限60%)",IF(N108&gt;0.35,"可加仓(二买区,上限50%)","可加仓(一买区,上限35%)"))))))</f>
        <v/>
      </c>
    </row>
    <row r="109" customFormat="false" ht="15" hidden="false" customHeight="true" outlineLevel="0" collapsed="false">
      <c r="A109" s="30"/>
      <c r="B109" s="30"/>
      <c r="C109" s="30"/>
      <c r="D109" s="30"/>
      <c r="E109" s="44"/>
      <c r="F109" s="30"/>
      <c r="G109" s="45"/>
      <c r="H109" s="44"/>
      <c r="I109" s="44"/>
      <c r="J109" s="35"/>
      <c r="K109" s="35"/>
      <c r="L109" s="35"/>
      <c r="M109" s="36"/>
      <c r="N109" s="36"/>
      <c r="O109" s="44"/>
      <c r="P109" s="35"/>
      <c r="Q109" s="39"/>
      <c r="R109" s="46"/>
      <c r="S109" s="30"/>
      <c r="T109" s="31"/>
      <c r="U109" s="31"/>
      <c r="V109" s="39"/>
      <c r="W109" s="39"/>
      <c r="X109" s="39"/>
      <c r="Y109" s="39"/>
      <c r="Z109" s="39"/>
      <c r="AA109" s="39" t="str">
        <f aca="false">IF($A109="","",IFERROR(INDEX(账户总表!$B:$B,MATCH($A109,账户总表!$A:$A,0))*INDEX(账户总表!$O:$O,MATCH($A109,账户总表!$A:$A,0)),0))</f>
        <v/>
      </c>
      <c r="AB109" s="57" t="str">
        <f aca="false">IF($A109="","",IFERROR(MAX(0,AA109-J109),0))</f>
        <v/>
      </c>
      <c r="AC109" s="39" t="str">
        <f aca="false">IF($A109="","",IF(I109&gt;0,IFERROR(FLOOR(AB109/I109,100),0),0))</f>
        <v/>
      </c>
      <c r="AD109" s="30" t="str">
        <f aca="false">IF($A109="","",IF(N109&gt;INDEX(账户总表!$O:$O,MATCH($A109,账户总表!$A:$A,0)),"超限","合规"))</f>
        <v/>
      </c>
      <c r="AE109" s="1" t="str">
        <f aca="false">IF($A109="","",IFERROR((I109-P109)/I109,0))</f>
        <v/>
      </c>
      <c r="AF109" s="1" t="str">
        <f aca="false">IF($A109="","",IFERROR(MAX(0,(I109-P109)*G109),0))</f>
        <v/>
      </c>
      <c r="AG109" s="1" t="str">
        <f aca="false">IF($A109="","",IF(COUNTIFS(候选池!$C$2:$C$201,C109,候选池!$K$2:$K$201,"核心池")&gt;0,"核心池","否"))</f>
        <v/>
      </c>
      <c r="AH109" s="1" t="str">
        <f aca="false">IF(A109="","",IF(OR(J109="",K109="",K109=0),"",IF((J109-K109)/K109&lt;0.05,"不可加仓(无浮盈护垫)",IF(N109&gt;0.6,"不可加仓(超三买上限)",IF(N109&gt;0.5,"可加仓(三买区,上限60%)",IF(N109&gt;0.35,"可加仓(二买区,上限50%)","可加仓(一买区,上限35%)"))))))</f>
        <v/>
      </c>
    </row>
    <row r="110" customFormat="false" ht="15" hidden="false" customHeight="true" outlineLevel="0" collapsed="false">
      <c r="A110" s="28"/>
      <c r="B110" s="28"/>
      <c r="C110" s="28"/>
      <c r="D110" s="28"/>
      <c r="E110" s="34"/>
      <c r="F110" s="28"/>
      <c r="G110" s="37"/>
      <c r="H110" s="34"/>
      <c r="I110" s="34"/>
      <c r="J110" s="35"/>
      <c r="K110" s="35"/>
      <c r="L110" s="35"/>
      <c r="M110" s="36"/>
      <c r="N110" s="36"/>
      <c r="O110" s="34"/>
      <c r="P110" s="35"/>
      <c r="Q110" s="39"/>
      <c r="R110" s="40"/>
      <c r="S110" s="28"/>
      <c r="T110" s="29"/>
      <c r="U110" s="29"/>
      <c r="V110" s="39"/>
      <c r="W110" s="39"/>
      <c r="X110" s="39"/>
      <c r="Y110" s="39"/>
      <c r="Z110" s="39"/>
      <c r="AA110" s="39" t="str">
        <f aca="false">IF($A110="","",IFERROR(INDEX(账户总表!$B:$B,MATCH($A110,账户总表!$A:$A,0))*INDEX(账户总表!$O:$O,MATCH($A110,账户总表!$A:$A,0)),0))</f>
        <v/>
      </c>
      <c r="AB110" s="57" t="str">
        <f aca="false">IF($A110="","",IFERROR(MAX(0,AA110-J110),0))</f>
        <v/>
      </c>
      <c r="AC110" s="39" t="str">
        <f aca="false">IF($A110="","",IF(I110&gt;0,IFERROR(FLOOR(AB110/I110,100),0),0))</f>
        <v/>
      </c>
      <c r="AD110" s="28" t="str">
        <f aca="false">IF($A110="","",IF(N110&gt;INDEX(账户总表!$O:$O,MATCH($A110,账户总表!$A:$A,0)),"超限","合规"))</f>
        <v/>
      </c>
      <c r="AE110" s="1" t="str">
        <f aca="false">IF($A110="","",IFERROR((I110-P110)/I110,0))</f>
        <v/>
      </c>
      <c r="AF110" s="1" t="str">
        <f aca="false">IF($A110="","",IFERROR(MAX(0,(I110-P110)*G110),0))</f>
        <v/>
      </c>
      <c r="AG110" s="1" t="str">
        <f aca="false">IF($A110="","",IF(COUNTIFS(候选池!$C$2:$C$201,C110,候选池!$K$2:$K$201,"核心池")&gt;0,"核心池","否"))</f>
        <v/>
      </c>
      <c r="AH110" s="1" t="str">
        <f aca="false">IF(A110="","",IF(OR(J110="",K110="",K110=0),"",IF((J110-K110)/K110&lt;0.05,"不可加仓(无浮盈护垫)",IF(N110&gt;0.6,"不可加仓(超三买上限)",IF(N110&gt;0.5,"可加仓(三买区,上限60%)",IF(N110&gt;0.35,"可加仓(二买区,上限50%)","可加仓(一买区,上限35%)"))))))</f>
        <v/>
      </c>
    </row>
    <row r="111" customFormat="false" ht="15" hidden="false" customHeight="true" outlineLevel="0" collapsed="false">
      <c r="A111" s="30"/>
      <c r="B111" s="30"/>
      <c r="C111" s="30"/>
      <c r="D111" s="30"/>
      <c r="E111" s="44"/>
      <c r="F111" s="30"/>
      <c r="G111" s="45"/>
      <c r="H111" s="44"/>
      <c r="I111" s="44"/>
      <c r="J111" s="35"/>
      <c r="K111" s="35"/>
      <c r="L111" s="35"/>
      <c r="M111" s="36"/>
      <c r="N111" s="36"/>
      <c r="O111" s="44"/>
      <c r="P111" s="35"/>
      <c r="Q111" s="39"/>
      <c r="R111" s="46"/>
      <c r="S111" s="30"/>
      <c r="T111" s="31"/>
      <c r="U111" s="31"/>
      <c r="V111" s="39"/>
      <c r="W111" s="39"/>
      <c r="X111" s="39"/>
      <c r="Y111" s="39"/>
      <c r="Z111" s="39"/>
      <c r="AA111" s="39" t="str">
        <f aca="false">IF($A111="","",IFERROR(INDEX(账户总表!$B:$B,MATCH($A111,账户总表!$A:$A,0))*INDEX(账户总表!$O:$O,MATCH($A111,账户总表!$A:$A,0)),0))</f>
        <v/>
      </c>
      <c r="AB111" s="57" t="str">
        <f aca="false">IF($A111="","",IFERROR(MAX(0,AA111-J111),0))</f>
        <v/>
      </c>
      <c r="AC111" s="39" t="str">
        <f aca="false">IF($A111="","",IF(I111&gt;0,IFERROR(FLOOR(AB111/I111,100),0),0))</f>
        <v/>
      </c>
      <c r="AD111" s="30" t="str">
        <f aca="false">IF($A111="","",IF(N111&gt;INDEX(账户总表!$O:$O,MATCH($A111,账户总表!$A:$A,0)),"超限","合规"))</f>
        <v/>
      </c>
      <c r="AE111" s="1" t="str">
        <f aca="false">IF($A111="","",IFERROR((I111-P111)/I111,0))</f>
        <v/>
      </c>
      <c r="AF111" s="1" t="str">
        <f aca="false">IF($A111="","",IFERROR(MAX(0,(I111-P111)*G111),0))</f>
        <v/>
      </c>
      <c r="AG111" s="1" t="str">
        <f aca="false">IF($A111="","",IF(COUNTIFS(候选池!$C$2:$C$201,C111,候选池!$K$2:$K$201,"核心池")&gt;0,"核心池","否"))</f>
        <v/>
      </c>
      <c r="AH111" s="1" t="str">
        <f aca="false">IF(A111="","",IF(OR(J111="",K111="",K111=0),"",IF((J111-K111)/K111&lt;0.05,"不可加仓(无浮盈护垫)",IF(N111&gt;0.6,"不可加仓(超三买上限)",IF(N111&gt;0.5,"可加仓(三买区,上限60%)",IF(N111&gt;0.35,"可加仓(二买区,上限50%)","可加仓(一买区,上限35%)"))))))</f>
        <v/>
      </c>
    </row>
    <row r="112" customFormat="false" ht="15" hidden="false" customHeight="true" outlineLevel="0" collapsed="false">
      <c r="A112" s="28"/>
      <c r="B112" s="28"/>
      <c r="C112" s="28"/>
      <c r="D112" s="28"/>
      <c r="E112" s="34"/>
      <c r="F112" s="28"/>
      <c r="G112" s="37"/>
      <c r="H112" s="34"/>
      <c r="I112" s="34"/>
      <c r="J112" s="35"/>
      <c r="K112" s="35"/>
      <c r="L112" s="35"/>
      <c r="M112" s="36"/>
      <c r="N112" s="36"/>
      <c r="O112" s="34"/>
      <c r="P112" s="35"/>
      <c r="Q112" s="39"/>
      <c r="R112" s="40"/>
      <c r="S112" s="28"/>
      <c r="T112" s="29"/>
      <c r="U112" s="29"/>
      <c r="V112" s="39"/>
      <c r="W112" s="39"/>
      <c r="X112" s="39"/>
      <c r="Y112" s="39"/>
      <c r="Z112" s="39"/>
      <c r="AA112" s="39" t="str">
        <f aca="false">IF($A112="","",IFERROR(INDEX(账户总表!$B:$B,MATCH($A112,账户总表!$A:$A,0))*INDEX(账户总表!$O:$O,MATCH($A112,账户总表!$A:$A,0)),0))</f>
        <v/>
      </c>
      <c r="AB112" s="57" t="str">
        <f aca="false">IF($A112="","",IFERROR(MAX(0,AA112-J112),0))</f>
        <v/>
      </c>
      <c r="AC112" s="39" t="str">
        <f aca="false">IF($A112="","",IF(I112&gt;0,IFERROR(FLOOR(AB112/I112,100),0),0))</f>
        <v/>
      </c>
      <c r="AD112" s="28" t="str">
        <f aca="false">IF($A112="","",IF(N112&gt;INDEX(账户总表!$O:$O,MATCH($A112,账户总表!$A:$A,0)),"超限","合规"))</f>
        <v/>
      </c>
      <c r="AE112" s="1" t="str">
        <f aca="false">IF($A112="","",IFERROR((I112-P112)/I112,0))</f>
        <v/>
      </c>
      <c r="AF112" s="1" t="str">
        <f aca="false">IF($A112="","",IFERROR(MAX(0,(I112-P112)*G112),0))</f>
        <v/>
      </c>
      <c r="AG112" s="1" t="str">
        <f aca="false">IF($A112="","",IF(COUNTIFS(候选池!$C$2:$C$201,C112,候选池!$K$2:$K$201,"核心池")&gt;0,"核心池","否"))</f>
        <v/>
      </c>
      <c r="AH112" s="1" t="str">
        <f aca="false">IF(A112="","",IF(OR(J112="",K112="",K112=0),"",IF((J112-K112)/K112&lt;0.05,"不可加仓(无浮盈护垫)",IF(N112&gt;0.6,"不可加仓(超三买上限)",IF(N112&gt;0.5,"可加仓(三买区,上限60%)",IF(N112&gt;0.35,"可加仓(二买区,上限50%)","可加仓(一买区,上限35%)"))))))</f>
        <v/>
      </c>
    </row>
    <row r="113" customFormat="false" ht="15" hidden="false" customHeight="true" outlineLevel="0" collapsed="false">
      <c r="A113" s="30"/>
      <c r="B113" s="30"/>
      <c r="C113" s="30"/>
      <c r="D113" s="30"/>
      <c r="E113" s="44"/>
      <c r="F113" s="30"/>
      <c r="G113" s="45"/>
      <c r="H113" s="44"/>
      <c r="I113" s="44"/>
      <c r="J113" s="35"/>
      <c r="K113" s="35"/>
      <c r="L113" s="35"/>
      <c r="M113" s="36"/>
      <c r="N113" s="36"/>
      <c r="O113" s="44"/>
      <c r="P113" s="35"/>
      <c r="Q113" s="39"/>
      <c r="R113" s="46"/>
      <c r="S113" s="30"/>
      <c r="T113" s="31"/>
      <c r="U113" s="31"/>
      <c r="V113" s="39"/>
      <c r="W113" s="39"/>
      <c r="X113" s="39"/>
      <c r="Y113" s="39"/>
      <c r="Z113" s="39"/>
      <c r="AA113" s="39" t="str">
        <f aca="false">IF($A113="","",IFERROR(INDEX(账户总表!$B:$B,MATCH($A113,账户总表!$A:$A,0))*INDEX(账户总表!$O:$O,MATCH($A113,账户总表!$A:$A,0)),0))</f>
        <v/>
      </c>
      <c r="AB113" s="57" t="str">
        <f aca="false">IF($A113="","",IFERROR(MAX(0,AA113-J113),0))</f>
        <v/>
      </c>
      <c r="AC113" s="39" t="str">
        <f aca="false">IF($A113="","",IF(I113&gt;0,IFERROR(FLOOR(AB113/I113,100),0),0))</f>
        <v/>
      </c>
      <c r="AD113" s="30" t="str">
        <f aca="false">IF($A113="","",IF(N113&gt;INDEX(账户总表!$O:$O,MATCH($A113,账户总表!$A:$A,0)),"超限","合规"))</f>
        <v/>
      </c>
      <c r="AE113" s="1" t="str">
        <f aca="false">IF($A113="","",IFERROR((I113-P113)/I113,0))</f>
        <v/>
      </c>
      <c r="AF113" s="1" t="str">
        <f aca="false">IF($A113="","",IFERROR(MAX(0,(I113-P113)*G113),0))</f>
        <v/>
      </c>
      <c r="AG113" s="1" t="str">
        <f aca="false">IF($A113="","",IF(COUNTIFS(候选池!$C$2:$C$201,C113,候选池!$K$2:$K$201,"核心池")&gt;0,"核心池","否"))</f>
        <v/>
      </c>
      <c r="AH113" s="1" t="str">
        <f aca="false">IF(A113="","",IF(OR(J113="",K113="",K113=0),"",IF((J113-K113)/K113&lt;0.05,"不可加仓(无浮盈护垫)",IF(N113&gt;0.6,"不可加仓(超三买上限)",IF(N113&gt;0.5,"可加仓(三买区,上限60%)",IF(N113&gt;0.35,"可加仓(二买区,上限50%)","可加仓(一买区,上限35%)"))))))</f>
        <v/>
      </c>
    </row>
    <row r="114" customFormat="false" ht="15" hidden="false" customHeight="true" outlineLevel="0" collapsed="false">
      <c r="A114" s="28"/>
      <c r="B114" s="28"/>
      <c r="C114" s="28"/>
      <c r="D114" s="28"/>
      <c r="E114" s="34"/>
      <c r="F114" s="28"/>
      <c r="G114" s="37"/>
      <c r="H114" s="34"/>
      <c r="I114" s="34"/>
      <c r="J114" s="35"/>
      <c r="K114" s="35"/>
      <c r="L114" s="35"/>
      <c r="M114" s="36"/>
      <c r="N114" s="36"/>
      <c r="O114" s="34"/>
      <c r="P114" s="35"/>
      <c r="Q114" s="39"/>
      <c r="R114" s="40"/>
      <c r="S114" s="28"/>
      <c r="T114" s="29"/>
      <c r="U114" s="29"/>
      <c r="V114" s="39"/>
      <c r="W114" s="39"/>
      <c r="X114" s="39"/>
      <c r="Y114" s="39"/>
      <c r="Z114" s="39"/>
      <c r="AA114" s="39" t="str">
        <f aca="false">IF($A114="","",IFERROR(INDEX(账户总表!$B:$B,MATCH($A114,账户总表!$A:$A,0))*INDEX(账户总表!$O:$O,MATCH($A114,账户总表!$A:$A,0)),0))</f>
        <v/>
      </c>
      <c r="AB114" s="57" t="str">
        <f aca="false">IF($A114="","",IFERROR(MAX(0,AA114-J114),0))</f>
        <v/>
      </c>
      <c r="AC114" s="39" t="str">
        <f aca="false">IF($A114="","",IF(I114&gt;0,IFERROR(FLOOR(AB114/I114,100),0),0))</f>
        <v/>
      </c>
      <c r="AD114" s="28" t="str">
        <f aca="false">IF($A114="","",IF(N114&gt;INDEX(账户总表!$O:$O,MATCH($A114,账户总表!$A:$A,0)),"超限","合规"))</f>
        <v/>
      </c>
      <c r="AE114" s="1" t="str">
        <f aca="false">IF($A114="","",IFERROR((I114-P114)/I114,0))</f>
        <v/>
      </c>
      <c r="AF114" s="1" t="str">
        <f aca="false">IF($A114="","",IFERROR(MAX(0,(I114-P114)*G114),0))</f>
        <v/>
      </c>
      <c r="AG114" s="1" t="str">
        <f aca="false">IF($A114="","",IF(COUNTIFS(候选池!$C$2:$C$201,C114,候选池!$K$2:$K$201,"核心池")&gt;0,"核心池","否"))</f>
        <v/>
      </c>
      <c r="AH114" s="1" t="str">
        <f aca="false">IF(A114="","",IF(OR(J114="",K114="",K114=0),"",IF((J114-K114)/K114&lt;0.05,"不可加仓(无浮盈护垫)",IF(N114&gt;0.6,"不可加仓(超三买上限)",IF(N114&gt;0.5,"可加仓(三买区,上限60%)",IF(N114&gt;0.35,"可加仓(二买区,上限50%)","可加仓(一买区,上限35%)"))))))</f>
        <v/>
      </c>
    </row>
    <row r="115" customFormat="false" ht="15" hidden="false" customHeight="true" outlineLevel="0" collapsed="false">
      <c r="A115" s="30"/>
      <c r="B115" s="30"/>
      <c r="C115" s="30"/>
      <c r="D115" s="30"/>
      <c r="E115" s="44"/>
      <c r="F115" s="30"/>
      <c r="G115" s="45"/>
      <c r="H115" s="44"/>
      <c r="I115" s="44"/>
      <c r="J115" s="35"/>
      <c r="K115" s="35"/>
      <c r="L115" s="35"/>
      <c r="M115" s="36"/>
      <c r="N115" s="36"/>
      <c r="O115" s="44"/>
      <c r="P115" s="35"/>
      <c r="Q115" s="39"/>
      <c r="R115" s="46"/>
      <c r="S115" s="30"/>
      <c r="T115" s="31"/>
      <c r="U115" s="31"/>
      <c r="V115" s="39"/>
      <c r="W115" s="39"/>
      <c r="X115" s="39"/>
      <c r="Y115" s="39"/>
      <c r="Z115" s="39"/>
      <c r="AA115" s="39" t="str">
        <f aca="false">IF($A115="","",IFERROR(INDEX(账户总表!$B:$B,MATCH($A115,账户总表!$A:$A,0))*INDEX(账户总表!$O:$O,MATCH($A115,账户总表!$A:$A,0)),0))</f>
        <v/>
      </c>
      <c r="AB115" s="57" t="str">
        <f aca="false">IF($A115="","",IFERROR(MAX(0,AA115-J115),0))</f>
        <v/>
      </c>
      <c r="AC115" s="39" t="str">
        <f aca="false">IF($A115="","",IF(I115&gt;0,IFERROR(FLOOR(AB115/I115,100),0),0))</f>
        <v/>
      </c>
      <c r="AD115" s="30" t="str">
        <f aca="false">IF($A115="","",IF(N115&gt;INDEX(账户总表!$O:$O,MATCH($A115,账户总表!$A:$A,0)),"超限","合规"))</f>
        <v/>
      </c>
      <c r="AE115" s="1" t="str">
        <f aca="false">IF($A115="","",IFERROR((I115-P115)/I115,0))</f>
        <v/>
      </c>
      <c r="AF115" s="1" t="str">
        <f aca="false">IF($A115="","",IFERROR(MAX(0,(I115-P115)*G115),0))</f>
        <v/>
      </c>
      <c r="AG115" s="1" t="str">
        <f aca="false">IF($A115="","",IF(COUNTIFS(候选池!$C$2:$C$201,C115,候选池!$K$2:$K$201,"核心池")&gt;0,"核心池","否"))</f>
        <v/>
      </c>
      <c r="AH115" s="1" t="str">
        <f aca="false">IF(A115="","",IF(OR(J115="",K115="",K115=0),"",IF((J115-K115)/K115&lt;0.05,"不可加仓(无浮盈护垫)",IF(N115&gt;0.6,"不可加仓(超三买上限)",IF(N115&gt;0.5,"可加仓(三买区,上限60%)",IF(N115&gt;0.35,"可加仓(二买区,上限50%)","可加仓(一买区,上限35%)"))))))</f>
        <v/>
      </c>
    </row>
    <row r="116" customFormat="false" ht="15" hidden="false" customHeight="true" outlineLevel="0" collapsed="false">
      <c r="A116" s="28"/>
      <c r="B116" s="28"/>
      <c r="C116" s="28"/>
      <c r="D116" s="28"/>
      <c r="E116" s="34"/>
      <c r="F116" s="28"/>
      <c r="G116" s="37"/>
      <c r="H116" s="34"/>
      <c r="I116" s="34"/>
      <c r="J116" s="35"/>
      <c r="K116" s="35"/>
      <c r="L116" s="35"/>
      <c r="M116" s="36"/>
      <c r="N116" s="36"/>
      <c r="O116" s="34"/>
      <c r="P116" s="35"/>
      <c r="Q116" s="39"/>
      <c r="R116" s="40"/>
      <c r="S116" s="28"/>
      <c r="T116" s="29"/>
      <c r="U116" s="29"/>
      <c r="V116" s="39"/>
      <c r="W116" s="39"/>
      <c r="X116" s="39"/>
      <c r="Y116" s="39"/>
      <c r="Z116" s="39"/>
      <c r="AA116" s="39" t="str">
        <f aca="false">IF($A116="","",IFERROR(INDEX(账户总表!$B:$B,MATCH($A116,账户总表!$A:$A,0))*INDEX(账户总表!$O:$O,MATCH($A116,账户总表!$A:$A,0)),0))</f>
        <v/>
      </c>
      <c r="AB116" s="57" t="str">
        <f aca="false">IF($A116="","",IFERROR(MAX(0,AA116-J116),0))</f>
        <v/>
      </c>
      <c r="AC116" s="39" t="str">
        <f aca="false">IF($A116="","",IF(I116&gt;0,IFERROR(FLOOR(AB116/I116,100),0),0))</f>
        <v/>
      </c>
      <c r="AD116" s="28" t="str">
        <f aca="false">IF($A116="","",IF(N116&gt;INDEX(账户总表!$O:$O,MATCH($A116,账户总表!$A:$A,0)),"超限","合规"))</f>
        <v/>
      </c>
      <c r="AE116" s="1" t="str">
        <f aca="false">IF($A116="","",IFERROR((I116-P116)/I116,0))</f>
        <v/>
      </c>
      <c r="AF116" s="1" t="str">
        <f aca="false">IF($A116="","",IFERROR(MAX(0,(I116-P116)*G116),0))</f>
        <v/>
      </c>
      <c r="AG116" s="1" t="str">
        <f aca="false">IF($A116="","",IF(COUNTIFS(候选池!$C$2:$C$201,C116,候选池!$K$2:$K$201,"核心池")&gt;0,"核心池","否"))</f>
        <v/>
      </c>
      <c r="AH116" s="1" t="str">
        <f aca="false">IF(A116="","",IF(OR(J116="",K116="",K116=0),"",IF((J116-K116)/K116&lt;0.05,"不可加仓(无浮盈护垫)",IF(N116&gt;0.6,"不可加仓(超三买上限)",IF(N116&gt;0.5,"可加仓(三买区,上限60%)",IF(N116&gt;0.35,"可加仓(二买区,上限50%)","可加仓(一买区,上限35%)"))))))</f>
        <v/>
      </c>
    </row>
    <row r="117" customFormat="false" ht="15" hidden="false" customHeight="true" outlineLevel="0" collapsed="false">
      <c r="A117" s="30"/>
      <c r="B117" s="30"/>
      <c r="C117" s="30"/>
      <c r="D117" s="30"/>
      <c r="E117" s="44"/>
      <c r="F117" s="30"/>
      <c r="G117" s="45"/>
      <c r="H117" s="44"/>
      <c r="I117" s="44"/>
      <c r="J117" s="35"/>
      <c r="K117" s="35"/>
      <c r="L117" s="35"/>
      <c r="M117" s="36"/>
      <c r="N117" s="36"/>
      <c r="O117" s="44"/>
      <c r="P117" s="35"/>
      <c r="Q117" s="39"/>
      <c r="R117" s="46"/>
      <c r="S117" s="30"/>
      <c r="T117" s="31"/>
      <c r="U117" s="31"/>
      <c r="V117" s="39"/>
      <c r="W117" s="39"/>
      <c r="X117" s="39"/>
      <c r="Y117" s="39"/>
      <c r="Z117" s="39"/>
      <c r="AA117" s="39" t="str">
        <f aca="false">IF($A117="","",IFERROR(INDEX(账户总表!$B:$B,MATCH($A117,账户总表!$A:$A,0))*INDEX(账户总表!$O:$O,MATCH($A117,账户总表!$A:$A,0)),0))</f>
        <v/>
      </c>
      <c r="AB117" s="57" t="str">
        <f aca="false">IF($A117="","",IFERROR(MAX(0,AA117-J117),0))</f>
        <v/>
      </c>
      <c r="AC117" s="39" t="str">
        <f aca="false">IF($A117="","",IF(I117&gt;0,IFERROR(FLOOR(AB117/I117,100),0),0))</f>
        <v/>
      </c>
      <c r="AD117" s="30" t="str">
        <f aca="false">IF($A117="","",IF(N117&gt;INDEX(账户总表!$O:$O,MATCH($A117,账户总表!$A:$A,0)),"超限","合规"))</f>
        <v/>
      </c>
      <c r="AE117" s="1" t="str">
        <f aca="false">IF($A117="","",IFERROR((I117-P117)/I117,0))</f>
        <v/>
      </c>
      <c r="AF117" s="1" t="str">
        <f aca="false">IF($A117="","",IFERROR(MAX(0,(I117-P117)*G117),0))</f>
        <v/>
      </c>
      <c r="AG117" s="1" t="str">
        <f aca="false">IF($A117="","",IF(COUNTIFS(候选池!$C$2:$C$201,C117,候选池!$K$2:$K$201,"核心池")&gt;0,"核心池","否"))</f>
        <v/>
      </c>
      <c r="AH117" s="1" t="str">
        <f aca="false">IF(A117="","",IF(OR(J117="",K117="",K117=0),"",IF((J117-K117)/K117&lt;0.05,"不可加仓(无浮盈护垫)",IF(N117&gt;0.6,"不可加仓(超三买上限)",IF(N117&gt;0.5,"可加仓(三买区,上限60%)",IF(N117&gt;0.35,"可加仓(二买区,上限50%)","可加仓(一买区,上限35%)"))))))</f>
        <v/>
      </c>
    </row>
    <row r="118" customFormat="false" ht="15" hidden="false" customHeight="true" outlineLevel="0" collapsed="false">
      <c r="A118" s="28"/>
      <c r="B118" s="28"/>
      <c r="C118" s="28"/>
      <c r="D118" s="28"/>
      <c r="E118" s="34"/>
      <c r="F118" s="28"/>
      <c r="G118" s="37"/>
      <c r="H118" s="34"/>
      <c r="I118" s="34"/>
      <c r="J118" s="35"/>
      <c r="K118" s="35"/>
      <c r="L118" s="35"/>
      <c r="M118" s="36"/>
      <c r="N118" s="36"/>
      <c r="O118" s="34"/>
      <c r="P118" s="35"/>
      <c r="Q118" s="39"/>
      <c r="R118" s="40"/>
      <c r="S118" s="28"/>
      <c r="T118" s="29"/>
      <c r="U118" s="29"/>
      <c r="V118" s="39"/>
      <c r="W118" s="39"/>
      <c r="X118" s="39"/>
      <c r="Y118" s="39"/>
      <c r="Z118" s="39"/>
      <c r="AA118" s="39" t="str">
        <f aca="false">IF($A118="","",IFERROR(INDEX(账户总表!$B:$B,MATCH($A118,账户总表!$A:$A,0))*INDEX(账户总表!$O:$O,MATCH($A118,账户总表!$A:$A,0)),0))</f>
        <v/>
      </c>
      <c r="AB118" s="57" t="str">
        <f aca="false">IF($A118="","",IFERROR(MAX(0,AA118-J118),0))</f>
        <v/>
      </c>
      <c r="AC118" s="39" t="str">
        <f aca="false">IF($A118="","",IF(I118&gt;0,IFERROR(FLOOR(AB118/I118,100),0),0))</f>
        <v/>
      </c>
      <c r="AD118" s="28" t="str">
        <f aca="false">IF($A118="","",IF(N118&gt;INDEX(账户总表!$O:$O,MATCH($A118,账户总表!$A:$A,0)),"超限","合规"))</f>
        <v/>
      </c>
      <c r="AE118" s="1" t="str">
        <f aca="false">IF($A118="","",IFERROR((I118-P118)/I118,0))</f>
        <v/>
      </c>
      <c r="AF118" s="1" t="str">
        <f aca="false">IF($A118="","",IFERROR(MAX(0,(I118-P118)*G118),0))</f>
        <v/>
      </c>
      <c r="AG118" s="1" t="str">
        <f aca="false">IF($A118="","",IF(COUNTIFS(候选池!$C$2:$C$201,C118,候选池!$K$2:$K$201,"核心池")&gt;0,"核心池","否"))</f>
        <v/>
      </c>
      <c r="AH118" s="1" t="str">
        <f aca="false">IF(A118="","",IF(OR(J118="",K118="",K118=0),"",IF((J118-K118)/K118&lt;0.05,"不可加仓(无浮盈护垫)",IF(N118&gt;0.6,"不可加仓(超三买上限)",IF(N118&gt;0.5,"可加仓(三买区,上限60%)",IF(N118&gt;0.35,"可加仓(二买区,上限50%)","可加仓(一买区,上限35%)"))))))</f>
        <v/>
      </c>
    </row>
    <row r="119" customFormat="false" ht="15" hidden="false" customHeight="true" outlineLevel="0" collapsed="false">
      <c r="A119" s="30"/>
      <c r="B119" s="30"/>
      <c r="C119" s="30"/>
      <c r="D119" s="30"/>
      <c r="E119" s="44"/>
      <c r="F119" s="30"/>
      <c r="G119" s="45"/>
      <c r="H119" s="44"/>
      <c r="I119" s="44"/>
      <c r="J119" s="35"/>
      <c r="K119" s="35"/>
      <c r="L119" s="35"/>
      <c r="M119" s="36"/>
      <c r="N119" s="36"/>
      <c r="O119" s="44"/>
      <c r="P119" s="35"/>
      <c r="Q119" s="39"/>
      <c r="R119" s="46"/>
      <c r="S119" s="30"/>
      <c r="T119" s="31"/>
      <c r="U119" s="31"/>
      <c r="V119" s="39"/>
      <c r="W119" s="39"/>
      <c r="X119" s="39"/>
      <c r="Y119" s="39"/>
      <c r="Z119" s="39"/>
      <c r="AA119" s="39" t="str">
        <f aca="false">IF($A119="","",IFERROR(INDEX(账户总表!$B:$B,MATCH($A119,账户总表!$A:$A,0))*INDEX(账户总表!$O:$O,MATCH($A119,账户总表!$A:$A,0)),0))</f>
        <v/>
      </c>
      <c r="AB119" s="57" t="str">
        <f aca="false">IF($A119="","",IFERROR(MAX(0,AA119-J119),0))</f>
        <v/>
      </c>
      <c r="AC119" s="39" t="str">
        <f aca="false">IF($A119="","",IF(I119&gt;0,IFERROR(FLOOR(AB119/I119,100),0),0))</f>
        <v/>
      </c>
      <c r="AD119" s="30" t="str">
        <f aca="false">IF($A119="","",IF(N119&gt;INDEX(账户总表!$O:$O,MATCH($A119,账户总表!$A:$A,0)),"超限","合规"))</f>
        <v/>
      </c>
      <c r="AE119" s="1" t="str">
        <f aca="false">IF($A119="","",IFERROR((I119-P119)/I119,0))</f>
        <v/>
      </c>
      <c r="AF119" s="1" t="str">
        <f aca="false">IF($A119="","",IFERROR(MAX(0,(I119-P119)*G119),0))</f>
        <v/>
      </c>
      <c r="AG119" s="1" t="str">
        <f aca="false">IF($A119="","",IF(COUNTIFS(候选池!$C$2:$C$201,C119,候选池!$K$2:$K$201,"核心池")&gt;0,"核心池","否"))</f>
        <v/>
      </c>
      <c r="AH119" s="1" t="str">
        <f aca="false">IF(A119="","",IF(OR(J119="",K119="",K119=0),"",IF((J119-K119)/K119&lt;0.05,"不可加仓(无浮盈护垫)",IF(N119&gt;0.6,"不可加仓(超三买上限)",IF(N119&gt;0.5,"可加仓(三买区,上限60%)",IF(N119&gt;0.35,"可加仓(二买区,上限50%)","可加仓(一买区,上限35%)"))))))</f>
        <v/>
      </c>
    </row>
    <row r="120" customFormat="false" ht="15" hidden="false" customHeight="true" outlineLevel="0" collapsed="false">
      <c r="A120" s="28"/>
      <c r="B120" s="28"/>
      <c r="C120" s="28"/>
      <c r="D120" s="28"/>
      <c r="E120" s="34"/>
      <c r="F120" s="28"/>
      <c r="G120" s="37"/>
      <c r="H120" s="34"/>
      <c r="I120" s="34"/>
      <c r="J120" s="35"/>
      <c r="K120" s="35"/>
      <c r="L120" s="35"/>
      <c r="M120" s="36"/>
      <c r="N120" s="36"/>
      <c r="O120" s="34"/>
      <c r="P120" s="35"/>
      <c r="Q120" s="39"/>
      <c r="R120" s="40"/>
      <c r="S120" s="28"/>
      <c r="T120" s="29"/>
      <c r="U120" s="29"/>
      <c r="V120" s="39"/>
      <c r="W120" s="39"/>
      <c r="X120" s="39"/>
      <c r="Y120" s="39"/>
      <c r="Z120" s="39"/>
      <c r="AA120" s="39" t="str">
        <f aca="false">IF($A120="","",IFERROR(INDEX(账户总表!$B:$B,MATCH($A120,账户总表!$A:$A,0))*INDEX(账户总表!$O:$O,MATCH($A120,账户总表!$A:$A,0)),0))</f>
        <v/>
      </c>
      <c r="AB120" s="57" t="str">
        <f aca="false">IF($A120="","",IFERROR(MAX(0,AA120-J120),0))</f>
        <v/>
      </c>
      <c r="AC120" s="39" t="str">
        <f aca="false">IF($A120="","",IF(I120&gt;0,IFERROR(FLOOR(AB120/I120,100),0),0))</f>
        <v/>
      </c>
      <c r="AD120" s="28" t="str">
        <f aca="false">IF($A120="","",IF(N120&gt;INDEX(账户总表!$O:$O,MATCH($A120,账户总表!$A:$A,0)),"超限","合规"))</f>
        <v/>
      </c>
      <c r="AE120" s="1" t="str">
        <f aca="false">IF($A120="","",IFERROR((I120-P120)/I120,0))</f>
        <v/>
      </c>
      <c r="AF120" s="1" t="str">
        <f aca="false">IF($A120="","",IFERROR(MAX(0,(I120-P120)*G120),0))</f>
        <v/>
      </c>
      <c r="AG120" s="1" t="str">
        <f aca="false">IF($A120="","",IF(COUNTIFS(候选池!$C$2:$C$201,C120,候选池!$K$2:$K$201,"核心池")&gt;0,"核心池","否"))</f>
        <v/>
      </c>
      <c r="AH120" s="1" t="str">
        <f aca="false">IF(A120="","",IF(OR(J120="",K120="",K120=0),"",IF((J120-K120)/K120&lt;0.05,"不可加仓(无浮盈护垫)",IF(N120&gt;0.6,"不可加仓(超三买上限)",IF(N120&gt;0.5,"可加仓(三买区,上限60%)",IF(N120&gt;0.35,"可加仓(二买区,上限50%)","可加仓(一买区,上限35%)"))))))</f>
        <v/>
      </c>
    </row>
    <row r="121" customFormat="false" ht="15" hidden="false" customHeight="true" outlineLevel="0" collapsed="false">
      <c r="A121" s="30"/>
      <c r="B121" s="30"/>
      <c r="C121" s="30"/>
      <c r="D121" s="30"/>
      <c r="E121" s="44"/>
      <c r="F121" s="30"/>
      <c r="G121" s="45"/>
      <c r="H121" s="44"/>
      <c r="I121" s="44"/>
      <c r="J121" s="35"/>
      <c r="K121" s="35"/>
      <c r="L121" s="35"/>
      <c r="M121" s="36"/>
      <c r="N121" s="36"/>
      <c r="O121" s="44"/>
      <c r="P121" s="35"/>
      <c r="Q121" s="39"/>
      <c r="R121" s="46"/>
      <c r="S121" s="30"/>
      <c r="T121" s="31"/>
      <c r="U121" s="31"/>
      <c r="V121" s="39"/>
      <c r="W121" s="39"/>
      <c r="X121" s="39"/>
      <c r="Y121" s="39"/>
      <c r="Z121" s="39"/>
      <c r="AA121" s="39" t="str">
        <f aca="false">IF($A121="","",IFERROR(INDEX(账户总表!$B:$B,MATCH($A121,账户总表!$A:$A,0))*INDEX(账户总表!$O:$O,MATCH($A121,账户总表!$A:$A,0)),0))</f>
        <v/>
      </c>
      <c r="AB121" s="57" t="str">
        <f aca="false">IF($A121="","",IFERROR(MAX(0,AA121-J121),0))</f>
        <v/>
      </c>
      <c r="AC121" s="39" t="str">
        <f aca="false">IF($A121="","",IF(I121&gt;0,IFERROR(FLOOR(AB121/I121,100),0),0))</f>
        <v/>
      </c>
      <c r="AD121" s="30" t="str">
        <f aca="false">IF($A121="","",IF(N121&gt;INDEX(账户总表!$O:$O,MATCH($A121,账户总表!$A:$A,0)),"超限","合规"))</f>
        <v/>
      </c>
      <c r="AE121" s="1" t="str">
        <f aca="false">IF($A121="","",IFERROR((I121-P121)/I121,0))</f>
        <v/>
      </c>
      <c r="AF121" s="1" t="str">
        <f aca="false">IF($A121="","",IFERROR(MAX(0,(I121-P121)*G121),0))</f>
        <v/>
      </c>
      <c r="AG121" s="1" t="str">
        <f aca="false">IF($A121="","",IF(COUNTIFS(候选池!$C$2:$C$201,C121,候选池!$K$2:$K$201,"核心池")&gt;0,"核心池","否"))</f>
        <v/>
      </c>
      <c r="AH121" s="1" t="str">
        <f aca="false">IF(A121="","",IF(OR(J121="",K121="",K121=0),"",IF((J121-K121)/K121&lt;0.05,"不可加仓(无浮盈护垫)",IF(N121&gt;0.6,"不可加仓(超三买上限)",IF(N121&gt;0.5,"可加仓(三买区,上限60%)",IF(N121&gt;0.35,"可加仓(二买区,上限50%)","可加仓(一买区,上限35%)"))))))</f>
        <v/>
      </c>
    </row>
    <row r="122" customFormat="false" ht="15" hidden="false" customHeight="true" outlineLevel="0" collapsed="false">
      <c r="A122" s="28"/>
      <c r="B122" s="28"/>
      <c r="C122" s="28"/>
      <c r="D122" s="28"/>
      <c r="E122" s="34"/>
      <c r="F122" s="28"/>
      <c r="G122" s="37"/>
      <c r="H122" s="34"/>
      <c r="I122" s="34"/>
      <c r="J122" s="35"/>
      <c r="K122" s="35"/>
      <c r="L122" s="35"/>
      <c r="M122" s="36"/>
      <c r="N122" s="36"/>
      <c r="O122" s="34"/>
      <c r="P122" s="35"/>
      <c r="Q122" s="39"/>
      <c r="R122" s="40"/>
      <c r="S122" s="28"/>
      <c r="T122" s="29"/>
      <c r="U122" s="29"/>
      <c r="V122" s="39"/>
      <c r="W122" s="39"/>
      <c r="X122" s="39"/>
      <c r="Y122" s="39"/>
      <c r="Z122" s="39"/>
      <c r="AA122" s="39" t="str">
        <f aca="false">IF($A122="","",IFERROR(INDEX(账户总表!$B:$B,MATCH($A122,账户总表!$A:$A,0))*INDEX(账户总表!$O:$O,MATCH($A122,账户总表!$A:$A,0)),0))</f>
        <v/>
      </c>
      <c r="AB122" s="57" t="str">
        <f aca="false">IF($A122="","",IFERROR(MAX(0,AA122-J122),0))</f>
        <v/>
      </c>
      <c r="AC122" s="39" t="str">
        <f aca="false">IF($A122="","",IF(I122&gt;0,IFERROR(FLOOR(AB122/I122,100),0),0))</f>
        <v/>
      </c>
      <c r="AD122" s="28" t="str">
        <f aca="false">IF($A122="","",IF(N122&gt;INDEX(账户总表!$O:$O,MATCH($A122,账户总表!$A:$A,0)),"超限","合规"))</f>
        <v/>
      </c>
      <c r="AE122" s="1" t="str">
        <f aca="false">IF($A122="","",IFERROR((I122-P122)/I122,0))</f>
        <v/>
      </c>
      <c r="AF122" s="1" t="str">
        <f aca="false">IF($A122="","",IFERROR(MAX(0,(I122-P122)*G122),0))</f>
        <v/>
      </c>
      <c r="AG122" s="1" t="str">
        <f aca="false">IF($A122="","",IF(COUNTIFS(候选池!$C$2:$C$201,C122,候选池!$K$2:$K$201,"核心池")&gt;0,"核心池","否"))</f>
        <v/>
      </c>
      <c r="AH122" s="1" t="str">
        <f aca="false">IF(A122="","",IF(OR(J122="",K122="",K122=0),"",IF((J122-K122)/K122&lt;0.05,"不可加仓(无浮盈护垫)",IF(N122&gt;0.6,"不可加仓(超三买上限)",IF(N122&gt;0.5,"可加仓(三买区,上限60%)",IF(N122&gt;0.35,"可加仓(二买区,上限50%)","可加仓(一买区,上限35%)"))))))</f>
        <v/>
      </c>
    </row>
    <row r="123" customFormat="false" ht="15" hidden="false" customHeight="true" outlineLevel="0" collapsed="false">
      <c r="A123" s="30"/>
      <c r="B123" s="30"/>
      <c r="C123" s="30"/>
      <c r="D123" s="30"/>
      <c r="E123" s="44"/>
      <c r="F123" s="30"/>
      <c r="G123" s="45"/>
      <c r="H123" s="44"/>
      <c r="I123" s="44"/>
      <c r="J123" s="35"/>
      <c r="K123" s="35"/>
      <c r="L123" s="35"/>
      <c r="M123" s="36"/>
      <c r="N123" s="36"/>
      <c r="O123" s="44"/>
      <c r="P123" s="35"/>
      <c r="Q123" s="39"/>
      <c r="R123" s="46"/>
      <c r="S123" s="30"/>
      <c r="T123" s="31"/>
      <c r="U123" s="31"/>
      <c r="V123" s="39"/>
      <c r="W123" s="39"/>
      <c r="X123" s="39"/>
      <c r="Y123" s="39"/>
      <c r="Z123" s="39"/>
      <c r="AA123" s="39" t="str">
        <f aca="false">IF($A123="","",IFERROR(INDEX(账户总表!$B:$B,MATCH($A123,账户总表!$A:$A,0))*INDEX(账户总表!$O:$O,MATCH($A123,账户总表!$A:$A,0)),0))</f>
        <v/>
      </c>
      <c r="AB123" s="57" t="str">
        <f aca="false">IF($A123="","",IFERROR(MAX(0,AA123-J123),0))</f>
        <v/>
      </c>
      <c r="AC123" s="39" t="str">
        <f aca="false">IF($A123="","",IF(I123&gt;0,IFERROR(FLOOR(AB123/I123,100),0),0))</f>
        <v/>
      </c>
      <c r="AD123" s="30" t="str">
        <f aca="false">IF($A123="","",IF(N123&gt;INDEX(账户总表!$O:$O,MATCH($A123,账户总表!$A:$A,0)),"超限","合规"))</f>
        <v/>
      </c>
      <c r="AE123" s="1" t="str">
        <f aca="false">IF($A123="","",IFERROR((I123-P123)/I123,0))</f>
        <v/>
      </c>
      <c r="AF123" s="1" t="str">
        <f aca="false">IF($A123="","",IFERROR(MAX(0,(I123-P123)*G123),0))</f>
        <v/>
      </c>
      <c r="AG123" s="1" t="str">
        <f aca="false">IF($A123="","",IF(COUNTIFS(候选池!$C$2:$C$201,C123,候选池!$K$2:$K$201,"核心池")&gt;0,"核心池","否"))</f>
        <v/>
      </c>
      <c r="AH123" s="1" t="str">
        <f aca="false">IF(A123="","",IF(OR(J123="",K123="",K123=0),"",IF((J123-K123)/K123&lt;0.05,"不可加仓(无浮盈护垫)",IF(N123&gt;0.6,"不可加仓(超三买上限)",IF(N123&gt;0.5,"可加仓(三买区,上限60%)",IF(N123&gt;0.35,"可加仓(二买区,上限50%)","可加仓(一买区,上限35%)"))))))</f>
        <v/>
      </c>
    </row>
    <row r="124" customFormat="false" ht="15" hidden="false" customHeight="true" outlineLevel="0" collapsed="false">
      <c r="A124" s="28"/>
      <c r="B124" s="28"/>
      <c r="C124" s="28"/>
      <c r="D124" s="28"/>
      <c r="E124" s="34"/>
      <c r="F124" s="28"/>
      <c r="G124" s="37"/>
      <c r="H124" s="34"/>
      <c r="I124" s="34"/>
      <c r="J124" s="35"/>
      <c r="K124" s="35"/>
      <c r="L124" s="35"/>
      <c r="M124" s="36"/>
      <c r="N124" s="36"/>
      <c r="O124" s="34"/>
      <c r="P124" s="35"/>
      <c r="Q124" s="39"/>
      <c r="R124" s="40"/>
      <c r="S124" s="28"/>
      <c r="T124" s="29"/>
      <c r="U124" s="29"/>
      <c r="V124" s="39"/>
      <c r="W124" s="39"/>
      <c r="X124" s="39"/>
      <c r="Y124" s="39"/>
      <c r="Z124" s="39"/>
      <c r="AA124" s="39" t="str">
        <f aca="false">IF($A124="","",IFERROR(INDEX(账户总表!$B:$B,MATCH($A124,账户总表!$A:$A,0))*INDEX(账户总表!$O:$O,MATCH($A124,账户总表!$A:$A,0)),0))</f>
        <v/>
      </c>
      <c r="AB124" s="57" t="str">
        <f aca="false">IF($A124="","",IFERROR(MAX(0,AA124-J124),0))</f>
        <v/>
      </c>
      <c r="AC124" s="39" t="str">
        <f aca="false">IF($A124="","",IF(I124&gt;0,IFERROR(FLOOR(AB124/I124,100),0),0))</f>
        <v/>
      </c>
      <c r="AD124" s="28" t="str">
        <f aca="false">IF($A124="","",IF(N124&gt;INDEX(账户总表!$O:$O,MATCH($A124,账户总表!$A:$A,0)),"超限","合规"))</f>
        <v/>
      </c>
      <c r="AE124" s="1" t="str">
        <f aca="false">IF($A124="","",IFERROR((I124-P124)/I124,0))</f>
        <v/>
      </c>
      <c r="AF124" s="1" t="str">
        <f aca="false">IF($A124="","",IFERROR(MAX(0,(I124-P124)*G124),0))</f>
        <v/>
      </c>
      <c r="AG124" s="1" t="str">
        <f aca="false">IF($A124="","",IF(COUNTIFS(候选池!$C$2:$C$201,C124,候选池!$K$2:$K$201,"核心池")&gt;0,"核心池","否"))</f>
        <v/>
      </c>
      <c r="AH124" s="1" t="str">
        <f aca="false">IF(A124="","",IF(OR(J124="",K124="",K124=0),"",IF((J124-K124)/K124&lt;0.05,"不可加仓(无浮盈护垫)",IF(N124&gt;0.6,"不可加仓(超三买上限)",IF(N124&gt;0.5,"可加仓(三买区,上限60%)",IF(N124&gt;0.35,"可加仓(二买区,上限50%)","可加仓(一买区,上限35%)"))))))</f>
        <v/>
      </c>
    </row>
    <row r="125" customFormat="false" ht="15" hidden="false" customHeight="true" outlineLevel="0" collapsed="false">
      <c r="A125" s="30"/>
      <c r="B125" s="30"/>
      <c r="C125" s="30"/>
      <c r="D125" s="30"/>
      <c r="E125" s="44"/>
      <c r="F125" s="30"/>
      <c r="G125" s="45"/>
      <c r="H125" s="44"/>
      <c r="I125" s="44"/>
      <c r="J125" s="35"/>
      <c r="K125" s="35"/>
      <c r="L125" s="35"/>
      <c r="M125" s="36"/>
      <c r="N125" s="36"/>
      <c r="O125" s="44"/>
      <c r="P125" s="35"/>
      <c r="Q125" s="39"/>
      <c r="R125" s="46"/>
      <c r="S125" s="30"/>
      <c r="T125" s="31"/>
      <c r="U125" s="31"/>
      <c r="V125" s="39"/>
      <c r="W125" s="39"/>
      <c r="X125" s="39"/>
      <c r="Y125" s="39"/>
      <c r="Z125" s="39"/>
      <c r="AA125" s="39" t="str">
        <f aca="false">IF($A125="","",IFERROR(INDEX(账户总表!$B:$B,MATCH($A125,账户总表!$A:$A,0))*INDEX(账户总表!$O:$O,MATCH($A125,账户总表!$A:$A,0)),0))</f>
        <v/>
      </c>
      <c r="AB125" s="57" t="str">
        <f aca="false">IF($A125="","",IFERROR(MAX(0,AA125-J125),0))</f>
        <v/>
      </c>
      <c r="AC125" s="39" t="str">
        <f aca="false">IF($A125="","",IF(I125&gt;0,IFERROR(FLOOR(AB125/I125,100),0),0))</f>
        <v/>
      </c>
      <c r="AD125" s="30" t="str">
        <f aca="false">IF($A125="","",IF(N125&gt;INDEX(账户总表!$O:$O,MATCH($A125,账户总表!$A:$A,0)),"超限","合规"))</f>
        <v/>
      </c>
      <c r="AE125" s="1" t="str">
        <f aca="false">IF($A125="","",IFERROR((I125-P125)/I125,0))</f>
        <v/>
      </c>
      <c r="AF125" s="1" t="str">
        <f aca="false">IF($A125="","",IFERROR(MAX(0,(I125-P125)*G125),0))</f>
        <v/>
      </c>
      <c r="AG125" s="1" t="str">
        <f aca="false">IF($A125="","",IF(COUNTIFS(候选池!$C$2:$C$201,C125,候选池!$K$2:$K$201,"核心池")&gt;0,"核心池","否"))</f>
        <v/>
      </c>
      <c r="AH125" s="1" t="str">
        <f aca="false">IF(A125="","",IF(OR(J125="",K125="",K125=0),"",IF((J125-K125)/K125&lt;0.05,"不可加仓(无浮盈护垫)",IF(N125&gt;0.6,"不可加仓(超三买上限)",IF(N125&gt;0.5,"可加仓(三买区,上限60%)",IF(N125&gt;0.35,"可加仓(二买区,上限50%)","可加仓(一买区,上限35%)"))))))</f>
        <v/>
      </c>
    </row>
    <row r="126" customFormat="false" ht="15" hidden="false" customHeight="true" outlineLevel="0" collapsed="false">
      <c r="A126" s="28"/>
      <c r="B126" s="28"/>
      <c r="C126" s="28"/>
      <c r="D126" s="28"/>
      <c r="E126" s="34"/>
      <c r="F126" s="28"/>
      <c r="G126" s="37"/>
      <c r="H126" s="34"/>
      <c r="I126" s="34"/>
      <c r="J126" s="35"/>
      <c r="K126" s="35"/>
      <c r="L126" s="35"/>
      <c r="M126" s="36"/>
      <c r="N126" s="36"/>
      <c r="O126" s="34"/>
      <c r="P126" s="35"/>
      <c r="Q126" s="39"/>
      <c r="R126" s="40"/>
      <c r="S126" s="28"/>
      <c r="T126" s="29"/>
      <c r="U126" s="29"/>
      <c r="V126" s="39"/>
      <c r="W126" s="39"/>
      <c r="X126" s="39"/>
      <c r="Y126" s="39"/>
      <c r="Z126" s="39"/>
      <c r="AA126" s="39" t="str">
        <f aca="false">IF($A126="","",IFERROR(INDEX(账户总表!$B:$B,MATCH($A126,账户总表!$A:$A,0))*INDEX(账户总表!$O:$O,MATCH($A126,账户总表!$A:$A,0)),0))</f>
        <v/>
      </c>
      <c r="AB126" s="57" t="str">
        <f aca="false">IF($A126="","",IFERROR(MAX(0,AA126-J126),0))</f>
        <v/>
      </c>
      <c r="AC126" s="39" t="str">
        <f aca="false">IF($A126="","",IF(I126&gt;0,IFERROR(FLOOR(AB126/I126,100),0),0))</f>
        <v/>
      </c>
      <c r="AD126" s="28" t="str">
        <f aca="false">IF($A126="","",IF(N126&gt;INDEX(账户总表!$O:$O,MATCH($A126,账户总表!$A:$A,0)),"超限","合规"))</f>
        <v/>
      </c>
      <c r="AE126" s="1" t="str">
        <f aca="false">IF($A126="","",IFERROR((I126-P126)/I126,0))</f>
        <v/>
      </c>
      <c r="AF126" s="1" t="str">
        <f aca="false">IF($A126="","",IFERROR(MAX(0,(I126-P126)*G126),0))</f>
        <v/>
      </c>
      <c r="AG126" s="1" t="str">
        <f aca="false">IF($A126="","",IF(COUNTIFS(候选池!$C$2:$C$201,C126,候选池!$K$2:$K$201,"核心池")&gt;0,"核心池","否"))</f>
        <v/>
      </c>
      <c r="AH126" s="1" t="str">
        <f aca="false">IF(A126="","",IF(OR(J126="",K126="",K126=0),"",IF((J126-K126)/K126&lt;0.05,"不可加仓(无浮盈护垫)",IF(N126&gt;0.6,"不可加仓(超三买上限)",IF(N126&gt;0.5,"可加仓(三买区,上限60%)",IF(N126&gt;0.35,"可加仓(二买区,上限50%)","可加仓(一买区,上限35%)"))))))</f>
        <v/>
      </c>
    </row>
    <row r="127" customFormat="false" ht="15" hidden="false" customHeight="true" outlineLevel="0" collapsed="false">
      <c r="A127" s="30"/>
      <c r="B127" s="30"/>
      <c r="C127" s="30"/>
      <c r="D127" s="30"/>
      <c r="E127" s="44"/>
      <c r="F127" s="30"/>
      <c r="G127" s="45"/>
      <c r="H127" s="44"/>
      <c r="I127" s="44"/>
      <c r="J127" s="35"/>
      <c r="K127" s="35"/>
      <c r="L127" s="35"/>
      <c r="M127" s="36"/>
      <c r="N127" s="36"/>
      <c r="O127" s="44"/>
      <c r="P127" s="35"/>
      <c r="Q127" s="39"/>
      <c r="R127" s="46"/>
      <c r="S127" s="30"/>
      <c r="T127" s="31"/>
      <c r="U127" s="31"/>
      <c r="V127" s="39"/>
      <c r="W127" s="39"/>
      <c r="X127" s="39"/>
      <c r="Y127" s="39"/>
      <c r="Z127" s="39"/>
      <c r="AA127" s="39" t="str">
        <f aca="false">IF($A127="","",IFERROR(INDEX(账户总表!$B:$B,MATCH($A127,账户总表!$A:$A,0))*INDEX(账户总表!$O:$O,MATCH($A127,账户总表!$A:$A,0)),0))</f>
        <v/>
      </c>
      <c r="AB127" s="57" t="str">
        <f aca="false">IF($A127="","",IFERROR(MAX(0,AA127-J127),0))</f>
        <v/>
      </c>
      <c r="AC127" s="39" t="str">
        <f aca="false">IF($A127="","",IF(I127&gt;0,IFERROR(FLOOR(AB127/I127,100),0),0))</f>
        <v/>
      </c>
      <c r="AD127" s="30" t="str">
        <f aca="false">IF($A127="","",IF(N127&gt;INDEX(账户总表!$O:$O,MATCH($A127,账户总表!$A:$A,0)),"超限","合规"))</f>
        <v/>
      </c>
      <c r="AE127" s="1" t="str">
        <f aca="false">IF($A127="","",IFERROR((I127-P127)/I127,0))</f>
        <v/>
      </c>
      <c r="AF127" s="1" t="str">
        <f aca="false">IF($A127="","",IFERROR(MAX(0,(I127-P127)*G127),0))</f>
        <v/>
      </c>
      <c r="AG127" s="1" t="str">
        <f aca="false">IF($A127="","",IF(COUNTIFS(候选池!$C$2:$C$201,C127,候选池!$K$2:$K$201,"核心池")&gt;0,"核心池","否"))</f>
        <v/>
      </c>
      <c r="AH127" s="1" t="str">
        <f aca="false">IF(A127="","",IF(OR(J127="",K127="",K127=0),"",IF((J127-K127)/K127&lt;0.05,"不可加仓(无浮盈护垫)",IF(N127&gt;0.6,"不可加仓(超三买上限)",IF(N127&gt;0.5,"可加仓(三买区,上限60%)",IF(N127&gt;0.35,"可加仓(二买区,上限50%)","可加仓(一买区,上限35%)"))))))</f>
        <v/>
      </c>
    </row>
    <row r="128" customFormat="false" ht="15" hidden="false" customHeight="true" outlineLevel="0" collapsed="false">
      <c r="A128" s="28"/>
      <c r="B128" s="28"/>
      <c r="C128" s="28"/>
      <c r="D128" s="28"/>
      <c r="E128" s="34"/>
      <c r="F128" s="28"/>
      <c r="G128" s="37"/>
      <c r="H128" s="34"/>
      <c r="I128" s="34"/>
      <c r="J128" s="35"/>
      <c r="K128" s="35"/>
      <c r="L128" s="35"/>
      <c r="M128" s="36"/>
      <c r="N128" s="36"/>
      <c r="O128" s="34"/>
      <c r="P128" s="35"/>
      <c r="Q128" s="39"/>
      <c r="R128" s="40"/>
      <c r="S128" s="28"/>
      <c r="T128" s="29"/>
      <c r="U128" s="29"/>
      <c r="V128" s="39"/>
      <c r="W128" s="39"/>
      <c r="X128" s="39"/>
      <c r="Y128" s="39"/>
      <c r="Z128" s="39"/>
      <c r="AA128" s="39" t="str">
        <f aca="false">IF($A128="","",IFERROR(INDEX(账户总表!$B:$B,MATCH($A128,账户总表!$A:$A,0))*INDEX(账户总表!$O:$O,MATCH($A128,账户总表!$A:$A,0)),0))</f>
        <v/>
      </c>
      <c r="AB128" s="57" t="str">
        <f aca="false">IF($A128="","",IFERROR(MAX(0,AA128-J128),0))</f>
        <v/>
      </c>
      <c r="AC128" s="39" t="str">
        <f aca="false">IF($A128="","",IF(I128&gt;0,IFERROR(FLOOR(AB128/I128,100),0),0))</f>
        <v/>
      </c>
      <c r="AD128" s="28" t="str">
        <f aca="false">IF($A128="","",IF(N128&gt;INDEX(账户总表!$O:$O,MATCH($A128,账户总表!$A:$A,0)),"超限","合规"))</f>
        <v/>
      </c>
      <c r="AE128" s="1" t="str">
        <f aca="false">IF($A128="","",IFERROR((I128-P128)/I128,0))</f>
        <v/>
      </c>
      <c r="AF128" s="1" t="str">
        <f aca="false">IF($A128="","",IFERROR(MAX(0,(I128-P128)*G128),0))</f>
        <v/>
      </c>
      <c r="AG128" s="1" t="str">
        <f aca="false">IF($A128="","",IF(COUNTIFS(候选池!$C$2:$C$201,C128,候选池!$K$2:$K$201,"核心池")&gt;0,"核心池","否"))</f>
        <v/>
      </c>
      <c r="AH128" s="1" t="str">
        <f aca="false">IF(A128="","",IF(OR(J128="",K128="",K128=0),"",IF((J128-K128)/K128&lt;0.05,"不可加仓(无浮盈护垫)",IF(N128&gt;0.6,"不可加仓(超三买上限)",IF(N128&gt;0.5,"可加仓(三买区,上限60%)",IF(N128&gt;0.35,"可加仓(二买区,上限50%)","可加仓(一买区,上限35%)"))))))</f>
        <v/>
      </c>
    </row>
    <row r="129" customFormat="false" ht="15" hidden="false" customHeight="true" outlineLevel="0" collapsed="false">
      <c r="A129" s="30"/>
      <c r="B129" s="30"/>
      <c r="C129" s="30"/>
      <c r="D129" s="30"/>
      <c r="E129" s="44"/>
      <c r="F129" s="30"/>
      <c r="G129" s="45"/>
      <c r="H129" s="44"/>
      <c r="I129" s="44"/>
      <c r="J129" s="35"/>
      <c r="K129" s="35"/>
      <c r="L129" s="35"/>
      <c r="M129" s="36"/>
      <c r="N129" s="36"/>
      <c r="O129" s="44"/>
      <c r="P129" s="35"/>
      <c r="Q129" s="39"/>
      <c r="R129" s="46"/>
      <c r="S129" s="30"/>
      <c r="T129" s="31"/>
      <c r="U129" s="31"/>
      <c r="V129" s="39"/>
      <c r="W129" s="39"/>
      <c r="X129" s="39"/>
      <c r="Y129" s="39"/>
      <c r="Z129" s="39"/>
      <c r="AA129" s="39" t="str">
        <f aca="false">IF($A129="","",IFERROR(INDEX(账户总表!$B:$B,MATCH($A129,账户总表!$A:$A,0))*INDEX(账户总表!$O:$O,MATCH($A129,账户总表!$A:$A,0)),0))</f>
        <v/>
      </c>
      <c r="AB129" s="57" t="str">
        <f aca="false">IF($A129="","",IFERROR(MAX(0,AA129-J129),0))</f>
        <v/>
      </c>
      <c r="AC129" s="39" t="str">
        <f aca="false">IF($A129="","",IF(I129&gt;0,IFERROR(FLOOR(AB129/I129,100),0),0))</f>
        <v/>
      </c>
      <c r="AD129" s="30" t="str">
        <f aca="false">IF($A129="","",IF(N129&gt;INDEX(账户总表!$O:$O,MATCH($A129,账户总表!$A:$A,0)),"超限","合规"))</f>
        <v/>
      </c>
      <c r="AE129" s="1" t="str">
        <f aca="false">IF($A129="","",IFERROR((I129-P129)/I129,0))</f>
        <v/>
      </c>
      <c r="AF129" s="1" t="str">
        <f aca="false">IF($A129="","",IFERROR(MAX(0,(I129-P129)*G129),0))</f>
        <v/>
      </c>
      <c r="AG129" s="1" t="str">
        <f aca="false">IF($A129="","",IF(COUNTIFS(候选池!$C$2:$C$201,C129,候选池!$K$2:$K$201,"核心池")&gt;0,"核心池","否"))</f>
        <v/>
      </c>
      <c r="AH129" s="1" t="str">
        <f aca="false">IF(A129="","",IF(OR(J129="",K129="",K129=0),"",IF((J129-K129)/K129&lt;0.05,"不可加仓(无浮盈护垫)",IF(N129&gt;0.6,"不可加仓(超三买上限)",IF(N129&gt;0.5,"可加仓(三买区,上限60%)",IF(N129&gt;0.35,"可加仓(二买区,上限50%)","可加仓(一买区,上限35%)"))))))</f>
        <v/>
      </c>
    </row>
    <row r="130" customFormat="false" ht="15" hidden="false" customHeight="true" outlineLevel="0" collapsed="false">
      <c r="A130" s="28"/>
      <c r="B130" s="28"/>
      <c r="C130" s="28"/>
      <c r="D130" s="28"/>
      <c r="E130" s="34"/>
      <c r="F130" s="28"/>
      <c r="G130" s="37"/>
      <c r="H130" s="34"/>
      <c r="I130" s="34"/>
      <c r="J130" s="35"/>
      <c r="K130" s="35"/>
      <c r="L130" s="35"/>
      <c r="M130" s="36"/>
      <c r="N130" s="36"/>
      <c r="O130" s="34"/>
      <c r="P130" s="35"/>
      <c r="Q130" s="39"/>
      <c r="R130" s="40"/>
      <c r="S130" s="28"/>
      <c r="T130" s="29"/>
      <c r="U130" s="29"/>
      <c r="V130" s="39"/>
      <c r="W130" s="39"/>
      <c r="X130" s="39"/>
      <c r="Y130" s="39"/>
      <c r="Z130" s="39"/>
      <c r="AA130" s="39" t="str">
        <f aca="false">IF($A130="","",IFERROR(INDEX(账户总表!$B:$B,MATCH($A130,账户总表!$A:$A,0))*INDEX(账户总表!$O:$O,MATCH($A130,账户总表!$A:$A,0)),0))</f>
        <v/>
      </c>
      <c r="AB130" s="57" t="str">
        <f aca="false">IF($A130="","",IFERROR(MAX(0,AA130-J130),0))</f>
        <v/>
      </c>
      <c r="AC130" s="39" t="str">
        <f aca="false">IF($A130="","",IF(I130&gt;0,IFERROR(FLOOR(AB130/I130,100),0),0))</f>
        <v/>
      </c>
      <c r="AD130" s="28" t="str">
        <f aca="false">IF($A130="","",IF(N130&gt;INDEX(账户总表!$O:$O,MATCH($A130,账户总表!$A:$A,0)),"超限","合规"))</f>
        <v/>
      </c>
      <c r="AE130" s="1" t="str">
        <f aca="false">IF($A130="","",IFERROR((I130-P130)/I130,0))</f>
        <v/>
      </c>
      <c r="AF130" s="1" t="str">
        <f aca="false">IF($A130="","",IFERROR(MAX(0,(I130-P130)*G130),0))</f>
        <v/>
      </c>
      <c r="AG130" s="1" t="str">
        <f aca="false">IF($A130="","",IF(COUNTIFS(候选池!$C$2:$C$201,C130,候选池!$K$2:$K$201,"核心池")&gt;0,"核心池","否"))</f>
        <v/>
      </c>
      <c r="AH130" s="1" t="str">
        <f aca="false">IF(A130="","",IF(OR(J130="",K130="",K130=0),"",IF((J130-K130)/K130&lt;0.05,"不可加仓(无浮盈护垫)",IF(N130&gt;0.6,"不可加仓(超三买上限)",IF(N130&gt;0.5,"可加仓(三买区,上限60%)",IF(N130&gt;0.35,"可加仓(二买区,上限50%)","可加仓(一买区,上限35%)"))))))</f>
        <v/>
      </c>
    </row>
    <row r="131" customFormat="false" ht="15" hidden="false" customHeight="true" outlineLevel="0" collapsed="false">
      <c r="A131" s="30"/>
      <c r="B131" s="30"/>
      <c r="C131" s="30"/>
      <c r="D131" s="30"/>
      <c r="E131" s="44"/>
      <c r="F131" s="30"/>
      <c r="G131" s="45"/>
      <c r="H131" s="44"/>
      <c r="I131" s="44"/>
      <c r="J131" s="35"/>
      <c r="K131" s="35"/>
      <c r="L131" s="35"/>
      <c r="M131" s="36"/>
      <c r="N131" s="36"/>
      <c r="O131" s="44"/>
      <c r="P131" s="35"/>
      <c r="Q131" s="39"/>
      <c r="R131" s="46"/>
      <c r="S131" s="30"/>
      <c r="T131" s="31"/>
      <c r="U131" s="31"/>
      <c r="V131" s="39"/>
      <c r="W131" s="39"/>
      <c r="X131" s="39"/>
      <c r="Y131" s="39"/>
      <c r="Z131" s="39"/>
      <c r="AA131" s="39" t="str">
        <f aca="false">IF($A131="","",IFERROR(INDEX(账户总表!$B:$B,MATCH($A131,账户总表!$A:$A,0))*INDEX(账户总表!$O:$O,MATCH($A131,账户总表!$A:$A,0)),0))</f>
        <v/>
      </c>
      <c r="AB131" s="57" t="str">
        <f aca="false">IF($A131="","",IFERROR(MAX(0,AA131-J131),0))</f>
        <v/>
      </c>
      <c r="AC131" s="39" t="str">
        <f aca="false">IF($A131="","",IF(I131&gt;0,IFERROR(FLOOR(AB131/I131,100),0),0))</f>
        <v/>
      </c>
      <c r="AD131" s="30" t="str">
        <f aca="false">IF($A131="","",IF(N131&gt;INDEX(账户总表!$O:$O,MATCH($A131,账户总表!$A:$A,0)),"超限","合规"))</f>
        <v/>
      </c>
      <c r="AE131" s="1" t="str">
        <f aca="false">IF($A131="","",IFERROR((I131-P131)/I131,0))</f>
        <v/>
      </c>
      <c r="AF131" s="1" t="str">
        <f aca="false">IF($A131="","",IFERROR(MAX(0,(I131-P131)*G131),0))</f>
        <v/>
      </c>
      <c r="AG131" s="1" t="str">
        <f aca="false">IF($A131="","",IF(COUNTIFS(候选池!$C$2:$C$201,C131,候选池!$K$2:$K$201,"核心池")&gt;0,"核心池","否"))</f>
        <v/>
      </c>
      <c r="AH131" s="1" t="str">
        <f aca="false">IF(A131="","",IF(OR(J131="",K131="",K131=0),"",IF((J131-K131)/K131&lt;0.05,"不可加仓(无浮盈护垫)",IF(N131&gt;0.6,"不可加仓(超三买上限)",IF(N131&gt;0.5,"可加仓(三买区,上限60%)",IF(N131&gt;0.35,"可加仓(二买区,上限50%)","可加仓(一买区,上限35%)"))))))</f>
        <v/>
      </c>
    </row>
    <row r="132" customFormat="false" ht="15" hidden="false" customHeight="true" outlineLevel="0" collapsed="false">
      <c r="A132" s="28"/>
      <c r="B132" s="28"/>
      <c r="C132" s="28"/>
      <c r="D132" s="28"/>
      <c r="E132" s="34"/>
      <c r="F132" s="28"/>
      <c r="G132" s="37"/>
      <c r="H132" s="34"/>
      <c r="I132" s="34"/>
      <c r="J132" s="35"/>
      <c r="K132" s="35"/>
      <c r="L132" s="35"/>
      <c r="M132" s="36"/>
      <c r="N132" s="36"/>
      <c r="O132" s="34"/>
      <c r="P132" s="35"/>
      <c r="Q132" s="39"/>
      <c r="R132" s="40"/>
      <c r="S132" s="28"/>
      <c r="T132" s="29"/>
      <c r="U132" s="29"/>
      <c r="V132" s="39"/>
      <c r="W132" s="39"/>
      <c r="X132" s="39"/>
      <c r="Y132" s="39"/>
      <c r="Z132" s="39"/>
      <c r="AA132" s="39" t="str">
        <f aca="false">IF($A132="","",IFERROR(INDEX(账户总表!$B:$B,MATCH($A132,账户总表!$A:$A,0))*INDEX(账户总表!$O:$O,MATCH($A132,账户总表!$A:$A,0)),0))</f>
        <v/>
      </c>
      <c r="AB132" s="57" t="str">
        <f aca="false">IF($A132="","",IFERROR(MAX(0,AA132-J132),0))</f>
        <v/>
      </c>
      <c r="AC132" s="39" t="str">
        <f aca="false">IF($A132="","",IF(I132&gt;0,IFERROR(FLOOR(AB132/I132,100),0),0))</f>
        <v/>
      </c>
      <c r="AD132" s="28" t="str">
        <f aca="false">IF($A132="","",IF(N132&gt;INDEX(账户总表!$O:$O,MATCH($A132,账户总表!$A:$A,0)),"超限","合规"))</f>
        <v/>
      </c>
      <c r="AE132" s="1" t="str">
        <f aca="false">IF($A132="","",IFERROR((I132-P132)/I132,0))</f>
        <v/>
      </c>
      <c r="AF132" s="1" t="str">
        <f aca="false">IF($A132="","",IFERROR(MAX(0,(I132-P132)*G132),0))</f>
        <v/>
      </c>
      <c r="AG132" s="1" t="str">
        <f aca="false">IF($A132="","",IF(COUNTIFS(候选池!$C$2:$C$201,C132,候选池!$K$2:$K$201,"核心池")&gt;0,"核心池","否"))</f>
        <v/>
      </c>
      <c r="AH132" s="1" t="str">
        <f aca="false">IF(A132="","",IF(OR(J132="",K132="",K132=0),"",IF((J132-K132)/K132&lt;0.05,"不可加仓(无浮盈护垫)",IF(N132&gt;0.6,"不可加仓(超三买上限)",IF(N132&gt;0.5,"可加仓(三买区,上限60%)",IF(N132&gt;0.35,"可加仓(二买区,上限50%)","可加仓(一买区,上限35%)"))))))</f>
        <v/>
      </c>
    </row>
    <row r="133" customFormat="false" ht="15" hidden="false" customHeight="true" outlineLevel="0" collapsed="false">
      <c r="A133" s="30"/>
      <c r="B133" s="30"/>
      <c r="C133" s="30"/>
      <c r="D133" s="30"/>
      <c r="E133" s="44"/>
      <c r="F133" s="30"/>
      <c r="G133" s="45"/>
      <c r="H133" s="44"/>
      <c r="I133" s="44"/>
      <c r="J133" s="35"/>
      <c r="K133" s="35"/>
      <c r="L133" s="35"/>
      <c r="M133" s="36"/>
      <c r="N133" s="36"/>
      <c r="O133" s="44"/>
      <c r="P133" s="35"/>
      <c r="Q133" s="39"/>
      <c r="R133" s="46"/>
      <c r="S133" s="30"/>
      <c r="T133" s="31"/>
      <c r="U133" s="31"/>
      <c r="V133" s="39"/>
      <c r="W133" s="39"/>
      <c r="X133" s="39"/>
      <c r="Y133" s="39"/>
      <c r="Z133" s="39"/>
      <c r="AA133" s="39" t="str">
        <f aca="false">IF($A133="","",IFERROR(INDEX(账户总表!$B:$B,MATCH($A133,账户总表!$A:$A,0))*INDEX(账户总表!$O:$O,MATCH($A133,账户总表!$A:$A,0)),0))</f>
        <v/>
      </c>
      <c r="AB133" s="57" t="str">
        <f aca="false">IF($A133="","",IFERROR(MAX(0,AA133-J133),0))</f>
        <v/>
      </c>
      <c r="AC133" s="39" t="str">
        <f aca="false">IF($A133="","",IF(I133&gt;0,IFERROR(FLOOR(AB133/I133,100),0),0))</f>
        <v/>
      </c>
      <c r="AD133" s="30" t="str">
        <f aca="false">IF($A133="","",IF(N133&gt;INDEX(账户总表!$O:$O,MATCH($A133,账户总表!$A:$A,0)),"超限","合规"))</f>
        <v/>
      </c>
      <c r="AE133" s="1" t="str">
        <f aca="false">IF($A133="","",IFERROR((I133-P133)/I133,0))</f>
        <v/>
      </c>
      <c r="AF133" s="1" t="str">
        <f aca="false">IF($A133="","",IFERROR(MAX(0,(I133-P133)*G133),0))</f>
        <v/>
      </c>
      <c r="AG133" s="1" t="str">
        <f aca="false">IF($A133="","",IF(COUNTIFS(候选池!$C$2:$C$201,C133,候选池!$K$2:$K$201,"核心池")&gt;0,"核心池","否"))</f>
        <v/>
      </c>
      <c r="AH133" s="1" t="str">
        <f aca="false">IF(A133="","",IF(OR(J133="",K133="",K133=0),"",IF((J133-K133)/K133&lt;0.05,"不可加仓(无浮盈护垫)",IF(N133&gt;0.6,"不可加仓(超三买上限)",IF(N133&gt;0.5,"可加仓(三买区,上限60%)",IF(N133&gt;0.35,"可加仓(二买区,上限50%)","可加仓(一买区,上限35%)"))))))</f>
        <v/>
      </c>
    </row>
    <row r="134" customFormat="false" ht="15" hidden="false" customHeight="true" outlineLevel="0" collapsed="false">
      <c r="A134" s="28"/>
      <c r="B134" s="28"/>
      <c r="C134" s="28"/>
      <c r="D134" s="28"/>
      <c r="E134" s="34"/>
      <c r="F134" s="28"/>
      <c r="G134" s="37"/>
      <c r="H134" s="34"/>
      <c r="I134" s="34"/>
      <c r="J134" s="35"/>
      <c r="K134" s="35"/>
      <c r="L134" s="35"/>
      <c r="M134" s="36"/>
      <c r="N134" s="36"/>
      <c r="O134" s="34"/>
      <c r="P134" s="35"/>
      <c r="Q134" s="39"/>
      <c r="R134" s="40"/>
      <c r="S134" s="28"/>
      <c r="T134" s="29"/>
      <c r="U134" s="29"/>
      <c r="V134" s="39"/>
      <c r="W134" s="39"/>
      <c r="X134" s="39"/>
      <c r="Y134" s="39"/>
      <c r="Z134" s="39"/>
      <c r="AA134" s="39" t="str">
        <f aca="false">IF($A134="","",IFERROR(INDEX(账户总表!$B:$B,MATCH($A134,账户总表!$A:$A,0))*INDEX(账户总表!$O:$O,MATCH($A134,账户总表!$A:$A,0)),0))</f>
        <v/>
      </c>
      <c r="AB134" s="57" t="str">
        <f aca="false">IF($A134="","",IFERROR(MAX(0,AA134-J134),0))</f>
        <v/>
      </c>
      <c r="AC134" s="39" t="str">
        <f aca="false">IF($A134="","",IF(I134&gt;0,IFERROR(FLOOR(AB134/I134,100),0),0))</f>
        <v/>
      </c>
      <c r="AD134" s="28" t="str">
        <f aca="false">IF($A134="","",IF(N134&gt;INDEX(账户总表!$O:$O,MATCH($A134,账户总表!$A:$A,0)),"超限","合规"))</f>
        <v/>
      </c>
      <c r="AE134" s="1" t="str">
        <f aca="false">IF($A134="","",IFERROR((I134-P134)/I134,0))</f>
        <v/>
      </c>
      <c r="AF134" s="1" t="str">
        <f aca="false">IF($A134="","",IFERROR(MAX(0,(I134-P134)*G134),0))</f>
        <v/>
      </c>
      <c r="AG134" s="1" t="str">
        <f aca="false">IF($A134="","",IF(COUNTIFS(候选池!$C$2:$C$201,C134,候选池!$K$2:$K$201,"核心池")&gt;0,"核心池","否"))</f>
        <v/>
      </c>
      <c r="AH134" s="1" t="str">
        <f aca="false">IF(A134="","",IF(OR(J134="",K134="",K134=0),"",IF((J134-K134)/K134&lt;0.05,"不可加仓(无浮盈护垫)",IF(N134&gt;0.6,"不可加仓(超三买上限)",IF(N134&gt;0.5,"可加仓(三买区,上限60%)",IF(N134&gt;0.35,"可加仓(二买区,上限50%)","可加仓(一买区,上限35%)"))))))</f>
        <v/>
      </c>
    </row>
    <row r="135" customFormat="false" ht="15" hidden="false" customHeight="true" outlineLevel="0" collapsed="false">
      <c r="A135" s="30"/>
      <c r="B135" s="30"/>
      <c r="C135" s="30"/>
      <c r="D135" s="30"/>
      <c r="E135" s="44"/>
      <c r="F135" s="30"/>
      <c r="G135" s="45"/>
      <c r="H135" s="44"/>
      <c r="I135" s="44"/>
      <c r="J135" s="35"/>
      <c r="K135" s="35"/>
      <c r="L135" s="35"/>
      <c r="M135" s="36"/>
      <c r="N135" s="36"/>
      <c r="O135" s="44"/>
      <c r="P135" s="35"/>
      <c r="Q135" s="39"/>
      <c r="R135" s="46"/>
      <c r="S135" s="30"/>
      <c r="T135" s="31"/>
      <c r="U135" s="31"/>
      <c r="V135" s="39"/>
      <c r="W135" s="39"/>
      <c r="X135" s="39"/>
      <c r="Y135" s="39"/>
      <c r="Z135" s="39"/>
      <c r="AA135" s="39" t="str">
        <f aca="false">IF($A135="","",IFERROR(INDEX(账户总表!$B:$B,MATCH($A135,账户总表!$A:$A,0))*INDEX(账户总表!$O:$O,MATCH($A135,账户总表!$A:$A,0)),0))</f>
        <v/>
      </c>
      <c r="AB135" s="57" t="str">
        <f aca="false">IF($A135="","",IFERROR(MAX(0,AA135-J135),0))</f>
        <v/>
      </c>
      <c r="AC135" s="39" t="str">
        <f aca="false">IF($A135="","",IF(I135&gt;0,IFERROR(FLOOR(AB135/I135,100),0),0))</f>
        <v/>
      </c>
      <c r="AD135" s="30" t="str">
        <f aca="false">IF($A135="","",IF(N135&gt;INDEX(账户总表!$O:$O,MATCH($A135,账户总表!$A:$A,0)),"超限","合规"))</f>
        <v/>
      </c>
      <c r="AE135" s="1" t="str">
        <f aca="false">IF($A135="","",IFERROR((I135-P135)/I135,0))</f>
        <v/>
      </c>
      <c r="AF135" s="1" t="str">
        <f aca="false">IF($A135="","",IFERROR(MAX(0,(I135-P135)*G135),0))</f>
        <v/>
      </c>
      <c r="AG135" s="1" t="str">
        <f aca="false">IF($A135="","",IF(COUNTIFS(候选池!$C$2:$C$201,C135,候选池!$K$2:$K$201,"核心池")&gt;0,"核心池","否"))</f>
        <v/>
      </c>
      <c r="AH135" s="1" t="str">
        <f aca="false">IF(A135="","",IF(OR(J135="",K135="",K135=0),"",IF((J135-K135)/K135&lt;0.05,"不可加仓(无浮盈护垫)",IF(N135&gt;0.6,"不可加仓(超三买上限)",IF(N135&gt;0.5,"可加仓(三买区,上限60%)",IF(N135&gt;0.35,"可加仓(二买区,上限50%)","可加仓(一买区,上限35%)"))))))</f>
        <v/>
      </c>
    </row>
    <row r="136" customFormat="false" ht="15" hidden="false" customHeight="true" outlineLevel="0" collapsed="false">
      <c r="A136" s="28"/>
      <c r="B136" s="28"/>
      <c r="C136" s="28"/>
      <c r="D136" s="28"/>
      <c r="E136" s="34"/>
      <c r="F136" s="28"/>
      <c r="G136" s="37"/>
      <c r="H136" s="34"/>
      <c r="I136" s="34"/>
      <c r="J136" s="35"/>
      <c r="K136" s="35"/>
      <c r="L136" s="35"/>
      <c r="M136" s="36"/>
      <c r="N136" s="36"/>
      <c r="O136" s="34"/>
      <c r="P136" s="35"/>
      <c r="Q136" s="39"/>
      <c r="R136" s="40"/>
      <c r="S136" s="28"/>
      <c r="T136" s="29"/>
      <c r="U136" s="29"/>
      <c r="V136" s="39"/>
      <c r="W136" s="39"/>
      <c r="X136" s="39"/>
      <c r="Y136" s="39"/>
      <c r="Z136" s="39"/>
      <c r="AA136" s="39" t="str">
        <f aca="false">IF($A136="","",IFERROR(INDEX(账户总表!$B:$B,MATCH($A136,账户总表!$A:$A,0))*INDEX(账户总表!$O:$O,MATCH($A136,账户总表!$A:$A,0)),0))</f>
        <v/>
      </c>
      <c r="AB136" s="57" t="str">
        <f aca="false">IF($A136="","",IFERROR(MAX(0,AA136-J136),0))</f>
        <v/>
      </c>
      <c r="AC136" s="39" t="str">
        <f aca="false">IF($A136="","",IF(I136&gt;0,IFERROR(FLOOR(AB136/I136,100),0),0))</f>
        <v/>
      </c>
      <c r="AD136" s="28" t="str">
        <f aca="false">IF($A136="","",IF(N136&gt;INDEX(账户总表!$O:$O,MATCH($A136,账户总表!$A:$A,0)),"超限","合规"))</f>
        <v/>
      </c>
      <c r="AE136" s="1" t="str">
        <f aca="false">IF($A136="","",IFERROR((I136-P136)/I136,0))</f>
        <v/>
      </c>
      <c r="AF136" s="1" t="str">
        <f aca="false">IF($A136="","",IFERROR(MAX(0,(I136-P136)*G136),0))</f>
        <v/>
      </c>
      <c r="AG136" s="1" t="str">
        <f aca="false">IF($A136="","",IF(COUNTIFS(候选池!$C$2:$C$201,C136,候选池!$K$2:$K$201,"核心池")&gt;0,"核心池","否"))</f>
        <v/>
      </c>
      <c r="AH136" s="1" t="str">
        <f aca="false">IF(A136="","",IF(OR(J136="",K136="",K136=0),"",IF((J136-K136)/K136&lt;0.05,"不可加仓(无浮盈护垫)",IF(N136&gt;0.6,"不可加仓(超三买上限)",IF(N136&gt;0.5,"可加仓(三买区,上限60%)",IF(N136&gt;0.35,"可加仓(二买区,上限50%)","可加仓(一买区,上限35%)"))))))</f>
        <v/>
      </c>
    </row>
    <row r="137" customFormat="false" ht="15" hidden="false" customHeight="true" outlineLevel="0" collapsed="false">
      <c r="A137" s="30"/>
      <c r="B137" s="30"/>
      <c r="C137" s="30"/>
      <c r="D137" s="30"/>
      <c r="E137" s="44"/>
      <c r="F137" s="30"/>
      <c r="G137" s="45"/>
      <c r="H137" s="44"/>
      <c r="I137" s="44"/>
      <c r="J137" s="35"/>
      <c r="K137" s="35"/>
      <c r="L137" s="35"/>
      <c r="M137" s="36"/>
      <c r="N137" s="36"/>
      <c r="O137" s="44"/>
      <c r="P137" s="35"/>
      <c r="Q137" s="39"/>
      <c r="R137" s="46"/>
      <c r="S137" s="30"/>
      <c r="T137" s="31"/>
      <c r="U137" s="31"/>
      <c r="V137" s="39"/>
      <c r="W137" s="39"/>
      <c r="X137" s="39"/>
      <c r="Y137" s="39"/>
      <c r="Z137" s="39"/>
      <c r="AA137" s="39" t="str">
        <f aca="false">IF($A137="","",IFERROR(INDEX(账户总表!$B:$B,MATCH($A137,账户总表!$A:$A,0))*INDEX(账户总表!$O:$O,MATCH($A137,账户总表!$A:$A,0)),0))</f>
        <v/>
      </c>
      <c r="AB137" s="57" t="str">
        <f aca="false">IF($A137="","",IFERROR(MAX(0,AA137-J137),0))</f>
        <v/>
      </c>
      <c r="AC137" s="39" t="str">
        <f aca="false">IF($A137="","",IF(I137&gt;0,IFERROR(FLOOR(AB137/I137,100),0),0))</f>
        <v/>
      </c>
      <c r="AD137" s="30" t="str">
        <f aca="false">IF($A137="","",IF(N137&gt;INDEX(账户总表!$O:$O,MATCH($A137,账户总表!$A:$A,0)),"超限","合规"))</f>
        <v/>
      </c>
      <c r="AE137" s="1" t="str">
        <f aca="false">IF($A137="","",IFERROR((I137-P137)/I137,0))</f>
        <v/>
      </c>
      <c r="AF137" s="1" t="str">
        <f aca="false">IF($A137="","",IFERROR(MAX(0,(I137-P137)*G137),0))</f>
        <v/>
      </c>
      <c r="AG137" s="1" t="str">
        <f aca="false">IF($A137="","",IF(COUNTIFS(候选池!$C$2:$C$201,C137,候选池!$K$2:$K$201,"核心池")&gt;0,"核心池","否"))</f>
        <v/>
      </c>
      <c r="AH137" s="1" t="str">
        <f aca="false">IF(A137="","",IF(OR(J137="",K137="",K137=0),"",IF((J137-K137)/K137&lt;0.05,"不可加仓(无浮盈护垫)",IF(N137&gt;0.6,"不可加仓(超三买上限)",IF(N137&gt;0.5,"可加仓(三买区,上限60%)",IF(N137&gt;0.35,"可加仓(二买区,上限50%)","可加仓(一买区,上限35%)"))))))</f>
        <v/>
      </c>
    </row>
    <row r="138" customFormat="false" ht="15" hidden="false" customHeight="true" outlineLevel="0" collapsed="false">
      <c r="A138" s="28"/>
      <c r="B138" s="28"/>
      <c r="C138" s="28"/>
      <c r="D138" s="28"/>
      <c r="E138" s="34"/>
      <c r="F138" s="28"/>
      <c r="G138" s="37"/>
      <c r="H138" s="34"/>
      <c r="I138" s="34"/>
      <c r="J138" s="35"/>
      <c r="K138" s="35"/>
      <c r="L138" s="35"/>
      <c r="M138" s="36"/>
      <c r="N138" s="36"/>
      <c r="O138" s="34"/>
      <c r="P138" s="35"/>
      <c r="Q138" s="39"/>
      <c r="R138" s="40"/>
      <c r="S138" s="28"/>
      <c r="T138" s="29"/>
      <c r="U138" s="29"/>
      <c r="V138" s="39"/>
      <c r="W138" s="39"/>
      <c r="X138" s="39"/>
      <c r="Y138" s="39"/>
      <c r="Z138" s="39"/>
      <c r="AA138" s="39" t="str">
        <f aca="false">IF($A138="","",IFERROR(INDEX(账户总表!$B:$B,MATCH($A138,账户总表!$A:$A,0))*INDEX(账户总表!$O:$O,MATCH($A138,账户总表!$A:$A,0)),0))</f>
        <v/>
      </c>
      <c r="AB138" s="57" t="str">
        <f aca="false">IF($A138="","",IFERROR(MAX(0,AA138-J138),0))</f>
        <v/>
      </c>
      <c r="AC138" s="39" t="str">
        <f aca="false">IF($A138="","",IF(I138&gt;0,IFERROR(FLOOR(AB138/I138,100),0),0))</f>
        <v/>
      </c>
      <c r="AD138" s="28" t="str">
        <f aca="false">IF($A138="","",IF(N138&gt;INDEX(账户总表!$O:$O,MATCH($A138,账户总表!$A:$A,0)),"超限","合规"))</f>
        <v/>
      </c>
      <c r="AE138" s="1" t="str">
        <f aca="false">IF($A138="","",IFERROR((I138-P138)/I138,0))</f>
        <v/>
      </c>
      <c r="AF138" s="1" t="str">
        <f aca="false">IF($A138="","",IFERROR(MAX(0,(I138-P138)*G138),0))</f>
        <v/>
      </c>
      <c r="AG138" s="1" t="str">
        <f aca="false">IF($A138="","",IF(COUNTIFS(候选池!$C$2:$C$201,C138,候选池!$K$2:$K$201,"核心池")&gt;0,"核心池","否"))</f>
        <v/>
      </c>
      <c r="AH138" s="1" t="str">
        <f aca="false">IF(A138="","",IF(OR(J138="",K138="",K138=0),"",IF((J138-K138)/K138&lt;0.05,"不可加仓(无浮盈护垫)",IF(N138&gt;0.6,"不可加仓(超三买上限)",IF(N138&gt;0.5,"可加仓(三买区,上限60%)",IF(N138&gt;0.35,"可加仓(二买区,上限50%)","可加仓(一买区,上限35%)"))))))</f>
        <v/>
      </c>
    </row>
    <row r="139" customFormat="false" ht="15" hidden="false" customHeight="true" outlineLevel="0" collapsed="false">
      <c r="A139" s="30"/>
      <c r="B139" s="30"/>
      <c r="C139" s="30"/>
      <c r="D139" s="30"/>
      <c r="E139" s="44"/>
      <c r="F139" s="30"/>
      <c r="G139" s="45"/>
      <c r="H139" s="44"/>
      <c r="I139" s="44"/>
      <c r="J139" s="35"/>
      <c r="K139" s="35"/>
      <c r="L139" s="35"/>
      <c r="M139" s="36"/>
      <c r="N139" s="36"/>
      <c r="O139" s="44"/>
      <c r="P139" s="35"/>
      <c r="Q139" s="39"/>
      <c r="R139" s="46"/>
      <c r="S139" s="30"/>
      <c r="T139" s="31"/>
      <c r="U139" s="31"/>
      <c r="V139" s="39"/>
      <c r="W139" s="39"/>
      <c r="X139" s="39"/>
      <c r="Y139" s="39"/>
      <c r="Z139" s="39"/>
      <c r="AA139" s="39" t="str">
        <f aca="false">IF($A139="","",IFERROR(INDEX(账户总表!$B:$B,MATCH($A139,账户总表!$A:$A,0))*INDEX(账户总表!$O:$O,MATCH($A139,账户总表!$A:$A,0)),0))</f>
        <v/>
      </c>
      <c r="AB139" s="57" t="str">
        <f aca="false">IF($A139="","",IFERROR(MAX(0,AA139-J139),0))</f>
        <v/>
      </c>
      <c r="AC139" s="39" t="str">
        <f aca="false">IF($A139="","",IF(I139&gt;0,IFERROR(FLOOR(AB139/I139,100),0),0))</f>
        <v/>
      </c>
      <c r="AD139" s="30" t="str">
        <f aca="false">IF($A139="","",IF(N139&gt;INDEX(账户总表!$O:$O,MATCH($A139,账户总表!$A:$A,0)),"超限","合规"))</f>
        <v/>
      </c>
      <c r="AE139" s="1" t="str">
        <f aca="false">IF($A139="","",IFERROR((I139-P139)/I139,0))</f>
        <v/>
      </c>
      <c r="AF139" s="1" t="str">
        <f aca="false">IF($A139="","",IFERROR(MAX(0,(I139-P139)*G139),0))</f>
        <v/>
      </c>
      <c r="AG139" s="1" t="str">
        <f aca="false">IF($A139="","",IF(COUNTIFS(候选池!$C$2:$C$201,C139,候选池!$K$2:$K$201,"核心池")&gt;0,"核心池","否"))</f>
        <v/>
      </c>
      <c r="AH139" s="1" t="str">
        <f aca="false">IF(A139="","",IF(OR(J139="",K139="",K139=0),"",IF((J139-K139)/K139&lt;0.05,"不可加仓(无浮盈护垫)",IF(N139&gt;0.6,"不可加仓(超三买上限)",IF(N139&gt;0.5,"可加仓(三买区,上限60%)",IF(N139&gt;0.35,"可加仓(二买区,上限50%)","可加仓(一买区,上限35%)"))))))</f>
        <v/>
      </c>
    </row>
    <row r="140" customFormat="false" ht="15" hidden="false" customHeight="true" outlineLevel="0" collapsed="false">
      <c r="A140" s="28"/>
      <c r="B140" s="28"/>
      <c r="C140" s="28"/>
      <c r="D140" s="28"/>
      <c r="E140" s="34"/>
      <c r="F140" s="28"/>
      <c r="G140" s="37"/>
      <c r="H140" s="34"/>
      <c r="I140" s="34"/>
      <c r="J140" s="35"/>
      <c r="K140" s="35"/>
      <c r="L140" s="35"/>
      <c r="M140" s="36"/>
      <c r="N140" s="36"/>
      <c r="O140" s="34"/>
      <c r="P140" s="35"/>
      <c r="Q140" s="39"/>
      <c r="R140" s="40"/>
      <c r="S140" s="28"/>
      <c r="T140" s="29"/>
      <c r="U140" s="29"/>
      <c r="V140" s="39"/>
      <c r="W140" s="39"/>
      <c r="X140" s="39"/>
      <c r="Y140" s="39"/>
      <c r="Z140" s="39"/>
      <c r="AA140" s="39" t="str">
        <f aca="false">IF($A140="","",IFERROR(INDEX(账户总表!$B:$B,MATCH($A140,账户总表!$A:$A,0))*INDEX(账户总表!$O:$O,MATCH($A140,账户总表!$A:$A,0)),0))</f>
        <v/>
      </c>
      <c r="AB140" s="57" t="str">
        <f aca="false">IF($A140="","",IFERROR(MAX(0,AA140-J140),0))</f>
        <v/>
      </c>
      <c r="AC140" s="39" t="str">
        <f aca="false">IF($A140="","",IF(I140&gt;0,IFERROR(FLOOR(AB140/I140,100),0),0))</f>
        <v/>
      </c>
      <c r="AD140" s="28" t="str">
        <f aca="false">IF($A140="","",IF(N140&gt;INDEX(账户总表!$O:$O,MATCH($A140,账户总表!$A:$A,0)),"超限","合规"))</f>
        <v/>
      </c>
      <c r="AE140" s="1" t="str">
        <f aca="false">IF($A140="","",IFERROR((I140-P140)/I140,0))</f>
        <v/>
      </c>
      <c r="AF140" s="1" t="str">
        <f aca="false">IF($A140="","",IFERROR(MAX(0,(I140-P140)*G140),0))</f>
        <v/>
      </c>
      <c r="AG140" s="1" t="str">
        <f aca="false">IF($A140="","",IF(COUNTIFS(候选池!$C$2:$C$201,C140,候选池!$K$2:$K$201,"核心池")&gt;0,"核心池","否"))</f>
        <v/>
      </c>
      <c r="AH140" s="1" t="str">
        <f aca="false">IF(A140="","",IF(OR(J140="",K140="",K140=0),"",IF((J140-K140)/K140&lt;0.05,"不可加仓(无浮盈护垫)",IF(N140&gt;0.6,"不可加仓(超三买上限)",IF(N140&gt;0.5,"可加仓(三买区,上限60%)",IF(N140&gt;0.35,"可加仓(二买区,上限50%)","可加仓(一买区,上限35%)"))))))</f>
        <v/>
      </c>
    </row>
    <row r="141" customFormat="false" ht="15" hidden="false" customHeight="true" outlineLevel="0" collapsed="false">
      <c r="A141" s="30"/>
      <c r="B141" s="30"/>
      <c r="C141" s="30"/>
      <c r="D141" s="30"/>
      <c r="E141" s="44"/>
      <c r="F141" s="30"/>
      <c r="G141" s="45"/>
      <c r="H141" s="44"/>
      <c r="I141" s="44"/>
      <c r="J141" s="35"/>
      <c r="K141" s="35"/>
      <c r="L141" s="35"/>
      <c r="M141" s="36"/>
      <c r="N141" s="36"/>
      <c r="O141" s="44"/>
      <c r="P141" s="35"/>
      <c r="Q141" s="39"/>
      <c r="R141" s="46"/>
      <c r="S141" s="30"/>
      <c r="T141" s="31"/>
      <c r="U141" s="31"/>
      <c r="V141" s="39"/>
      <c r="W141" s="39"/>
      <c r="X141" s="39"/>
      <c r="Y141" s="39"/>
      <c r="Z141" s="39"/>
      <c r="AA141" s="39" t="str">
        <f aca="false">IF($A141="","",IFERROR(INDEX(账户总表!$B:$B,MATCH($A141,账户总表!$A:$A,0))*INDEX(账户总表!$O:$O,MATCH($A141,账户总表!$A:$A,0)),0))</f>
        <v/>
      </c>
      <c r="AB141" s="57" t="str">
        <f aca="false">IF($A141="","",IFERROR(MAX(0,AA141-J141),0))</f>
        <v/>
      </c>
      <c r="AC141" s="39" t="str">
        <f aca="false">IF($A141="","",IF(I141&gt;0,IFERROR(FLOOR(AB141/I141,100),0),0))</f>
        <v/>
      </c>
      <c r="AD141" s="30" t="str">
        <f aca="false">IF($A141="","",IF(N141&gt;INDEX(账户总表!$O:$O,MATCH($A141,账户总表!$A:$A,0)),"超限","合规"))</f>
        <v/>
      </c>
      <c r="AE141" s="1" t="str">
        <f aca="false">IF($A141="","",IFERROR((I141-P141)/I141,0))</f>
        <v/>
      </c>
      <c r="AF141" s="1" t="str">
        <f aca="false">IF($A141="","",IFERROR(MAX(0,(I141-P141)*G141),0))</f>
        <v/>
      </c>
      <c r="AG141" s="1" t="str">
        <f aca="false">IF($A141="","",IF(COUNTIFS(候选池!$C$2:$C$201,C141,候选池!$K$2:$K$201,"核心池")&gt;0,"核心池","否"))</f>
        <v/>
      </c>
      <c r="AH141" s="1" t="str">
        <f aca="false">IF(A141="","",IF(OR(J141="",K141="",K141=0),"",IF((J141-K141)/K141&lt;0.05,"不可加仓(无浮盈护垫)",IF(N141&gt;0.6,"不可加仓(超三买上限)",IF(N141&gt;0.5,"可加仓(三买区,上限60%)",IF(N141&gt;0.35,"可加仓(二买区,上限50%)","可加仓(一买区,上限35%)"))))))</f>
        <v/>
      </c>
    </row>
    <row r="142" customFormat="false" ht="15" hidden="false" customHeight="true" outlineLevel="0" collapsed="false">
      <c r="A142" s="28"/>
      <c r="B142" s="28"/>
      <c r="C142" s="28"/>
      <c r="D142" s="28"/>
      <c r="E142" s="34"/>
      <c r="F142" s="28"/>
      <c r="G142" s="37"/>
      <c r="H142" s="34"/>
      <c r="I142" s="34"/>
      <c r="J142" s="35"/>
      <c r="K142" s="35"/>
      <c r="L142" s="35"/>
      <c r="M142" s="36"/>
      <c r="N142" s="36"/>
      <c r="O142" s="34"/>
      <c r="P142" s="35"/>
      <c r="Q142" s="39"/>
      <c r="R142" s="40"/>
      <c r="S142" s="28"/>
      <c r="T142" s="29"/>
      <c r="U142" s="29"/>
      <c r="V142" s="39"/>
      <c r="W142" s="39"/>
      <c r="X142" s="39"/>
      <c r="Y142" s="39"/>
      <c r="Z142" s="39"/>
      <c r="AA142" s="39" t="str">
        <f aca="false">IF($A142="","",IFERROR(INDEX(账户总表!$B:$B,MATCH($A142,账户总表!$A:$A,0))*INDEX(账户总表!$O:$O,MATCH($A142,账户总表!$A:$A,0)),0))</f>
        <v/>
      </c>
      <c r="AB142" s="57" t="str">
        <f aca="false">IF($A142="","",IFERROR(MAX(0,AA142-J142),0))</f>
        <v/>
      </c>
      <c r="AC142" s="39" t="str">
        <f aca="false">IF($A142="","",IF(I142&gt;0,IFERROR(FLOOR(AB142/I142,100),0),0))</f>
        <v/>
      </c>
      <c r="AD142" s="28" t="str">
        <f aca="false">IF($A142="","",IF(N142&gt;INDEX(账户总表!$O:$O,MATCH($A142,账户总表!$A:$A,0)),"超限","合规"))</f>
        <v/>
      </c>
      <c r="AE142" s="1" t="str">
        <f aca="false">IF($A142="","",IFERROR((I142-P142)/I142,0))</f>
        <v/>
      </c>
      <c r="AF142" s="1" t="str">
        <f aca="false">IF($A142="","",IFERROR(MAX(0,(I142-P142)*G142),0))</f>
        <v/>
      </c>
      <c r="AG142" s="1" t="str">
        <f aca="false">IF($A142="","",IF(COUNTIFS(候选池!$C$2:$C$201,C142,候选池!$K$2:$K$201,"核心池")&gt;0,"核心池","否"))</f>
        <v/>
      </c>
      <c r="AH142" s="1" t="str">
        <f aca="false">IF(A142="","",IF(OR(J142="",K142="",K142=0),"",IF((J142-K142)/K142&lt;0.05,"不可加仓(无浮盈护垫)",IF(N142&gt;0.6,"不可加仓(超三买上限)",IF(N142&gt;0.5,"可加仓(三买区,上限60%)",IF(N142&gt;0.35,"可加仓(二买区,上限50%)","可加仓(一买区,上限35%)"))))))</f>
        <v/>
      </c>
    </row>
    <row r="143" customFormat="false" ht="15" hidden="false" customHeight="true" outlineLevel="0" collapsed="false">
      <c r="A143" s="30"/>
      <c r="B143" s="30"/>
      <c r="C143" s="30"/>
      <c r="D143" s="30"/>
      <c r="E143" s="44"/>
      <c r="F143" s="30"/>
      <c r="G143" s="45"/>
      <c r="H143" s="44"/>
      <c r="I143" s="44"/>
      <c r="J143" s="35"/>
      <c r="K143" s="35"/>
      <c r="L143" s="35"/>
      <c r="M143" s="36"/>
      <c r="N143" s="36"/>
      <c r="O143" s="44"/>
      <c r="P143" s="35"/>
      <c r="Q143" s="39"/>
      <c r="R143" s="46"/>
      <c r="S143" s="30"/>
      <c r="T143" s="31"/>
      <c r="U143" s="31"/>
      <c r="V143" s="39"/>
      <c r="W143" s="39"/>
      <c r="X143" s="39"/>
      <c r="Y143" s="39"/>
      <c r="Z143" s="39"/>
      <c r="AA143" s="39" t="str">
        <f aca="false">IF($A143="","",IFERROR(INDEX(账户总表!$B:$B,MATCH($A143,账户总表!$A:$A,0))*INDEX(账户总表!$O:$O,MATCH($A143,账户总表!$A:$A,0)),0))</f>
        <v/>
      </c>
      <c r="AB143" s="57" t="str">
        <f aca="false">IF($A143="","",IFERROR(MAX(0,AA143-J143),0))</f>
        <v/>
      </c>
      <c r="AC143" s="39" t="str">
        <f aca="false">IF($A143="","",IF(I143&gt;0,IFERROR(FLOOR(AB143/I143,100),0),0))</f>
        <v/>
      </c>
      <c r="AD143" s="30" t="str">
        <f aca="false">IF($A143="","",IF(N143&gt;INDEX(账户总表!$O:$O,MATCH($A143,账户总表!$A:$A,0)),"超限","合规"))</f>
        <v/>
      </c>
      <c r="AE143" s="1" t="str">
        <f aca="false">IF($A143="","",IFERROR((I143-P143)/I143,0))</f>
        <v/>
      </c>
      <c r="AF143" s="1" t="str">
        <f aca="false">IF($A143="","",IFERROR(MAX(0,(I143-P143)*G143),0))</f>
        <v/>
      </c>
      <c r="AG143" s="1" t="str">
        <f aca="false">IF($A143="","",IF(COUNTIFS(候选池!$C$2:$C$201,C143,候选池!$K$2:$K$201,"核心池")&gt;0,"核心池","否"))</f>
        <v/>
      </c>
      <c r="AH143" s="1" t="str">
        <f aca="false">IF(A143="","",IF(OR(J143="",K143="",K143=0),"",IF((J143-K143)/K143&lt;0.05,"不可加仓(无浮盈护垫)",IF(N143&gt;0.6,"不可加仓(超三买上限)",IF(N143&gt;0.5,"可加仓(三买区,上限60%)",IF(N143&gt;0.35,"可加仓(二买区,上限50%)","可加仓(一买区,上限35%)"))))))</f>
        <v/>
      </c>
    </row>
    <row r="144" customFormat="false" ht="15" hidden="false" customHeight="true" outlineLevel="0" collapsed="false">
      <c r="A144" s="28"/>
      <c r="B144" s="28"/>
      <c r="C144" s="28"/>
      <c r="D144" s="28"/>
      <c r="E144" s="34"/>
      <c r="F144" s="28"/>
      <c r="G144" s="37"/>
      <c r="H144" s="34"/>
      <c r="I144" s="34"/>
      <c r="J144" s="35"/>
      <c r="K144" s="35"/>
      <c r="L144" s="35"/>
      <c r="M144" s="36"/>
      <c r="N144" s="36"/>
      <c r="O144" s="34"/>
      <c r="P144" s="35"/>
      <c r="Q144" s="39"/>
      <c r="R144" s="40"/>
      <c r="S144" s="28"/>
      <c r="T144" s="29"/>
      <c r="U144" s="29"/>
      <c r="V144" s="39"/>
      <c r="W144" s="39"/>
      <c r="X144" s="39"/>
      <c r="Y144" s="39"/>
      <c r="Z144" s="39"/>
      <c r="AA144" s="39" t="str">
        <f aca="false">IF($A144="","",IFERROR(INDEX(账户总表!$B:$B,MATCH($A144,账户总表!$A:$A,0))*INDEX(账户总表!$O:$O,MATCH($A144,账户总表!$A:$A,0)),0))</f>
        <v/>
      </c>
      <c r="AB144" s="57" t="str">
        <f aca="false">IF($A144="","",IFERROR(MAX(0,AA144-J144),0))</f>
        <v/>
      </c>
      <c r="AC144" s="39" t="str">
        <f aca="false">IF($A144="","",IF(I144&gt;0,IFERROR(FLOOR(AB144/I144,100),0),0))</f>
        <v/>
      </c>
      <c r="AD144" s="28" t="str">
        <f aca="false">IF($A144="","",IF(N144&gt;INDEX(账户总表!$O:$O,MATCH($A144,账户总表!$A:$A,0)),"超限","合规"))</f>
        <v/>
      </c>
      <c r="AE144" s="1" t="str">
        <f aca="false">IF($A144="","",IFERROR((I144-P144)/I144,0))</f>
        <v/>
      </c>
      <c r="AF144" s="1" t="str">
        <f aca="false">IF($A144="","",IFERROR(MAX(0,(I144-P144)*G144),0))</f>
        <v/>
      </c>
      <c r="AG144" s="1" t="str">
        <f aca="false">IF($A144="","",IF(COUNTIFS(候选池!$C$2:$C$201,C144,候选池!$K$2:$K$201,"核心池")&gt;0,"核心池","否"))</f>
        <v/>
      </c>
      <c r="AH144" s="1" t="str">
        <f aca="false">IF(A144="","",IF(OR(J144="",K144="",K144=0),"",IF((J144-K144)/K144&lt;0.05,"不可加仓(无浮盈护垫)",IF(N144&gt;0.6,"不可加仓(超三买上限)",IF(N144&gt;0.5,"可加仓(三买区,上限60%)",IF(N144&gt;0.35,"可加仓(二买区,上限50%)","可加仓(一买区,上限35%)"))))))</f>
        <v/>
      </c>
    </row>
    <row r="145" customFormat="false" ht="15" hidden="false" customHeight="true" outlineLevel="0" collapsed="false">
      <c r="A145" s="30"/>
      <c r="B145" s="30"/>
      <c r="C145" s="30"/>
      <c r="D145" s="30"/>
      <c r="E145" s="44"/>
      <c r="F145" s="30"/>
      <c r="G145" s="45"/>
      <c r="H145" s="44"/>
      <c r="I145" s="44"/>
      <c r="J145" s="35"/>
      <c r="K145" s="35"/>
      <c r="L145" s="35"/>
      <c r="M145" s="36"/>
      <c r="N145" s="36"/>
      <c r="O145" s="44"/>
      <c r="P145" s="35"/>
      <c r="Q145" s="39"/>
      <c r="R145" s="46"/>
      <c r="S145" s="30"/>
      <c r="T145" s="31"/>
      <c r="U145" s="31"/>
      <c r="V145" s="39"/>
      <c r="W145" s="39"/>
      <c r="X145" s="39"/>
      <c r="Y145" s="39"/>
      <c r="Z145" s="39"/>
      <c r="AA145" s="39" t="str">
        <f aca="false">IF($A145="","",IFERROR(INDEX(账户总表!$B:$B,MATCH($A145,账户总表!$A:$A,0))*INDEX(账户总表!$O:$O,MATCH($A145,账户总表!$A:$A,0)),0))</f>
        <v/>
      </c>
      <c r="AB145" s="57" t="str">
        <f aca="false">IF($A145="","",IFERROR(MAX(0,AA145-J145),0))</f>
        <v/>
      </c>
      <c r="AC145" s="39" t="str">
        <f aca="false">IF($A145="","",IF(I145&gt;0,IFERROR(FLOOR(AB145/I145,100),0),0))</f>
        <v/>
      </c>
      <c r="AD145" s="30" t="str">
        <f aca="false">IF($A145="","",IF(N145&gt;INDEX(账户总表!$O:$O,MATCH($A145,账户总表!$A:$A,0)),"超限","合规"))</f>
        <v/>
      </c>
      <c r="AE145" s="1" t="str">
        <f aca="false">IF($A145="","",IFERROR((I145-P145)/I145,0))</f>
        <v/>
      </c>
      <c r="AF145" s="1" t="str">
        <f aca="false">IF($A145="","",IFERROR(MAX(0,(I145-P145)*G145),0))</f>
        <v/>
      </c>
      <c r="AG145" s="1" t="str">
        <f aca="false">IF($A145="","",IF(COUNTIFS(候选池!$C$2:$C$201,C145,候选池!$K$2:$K$201,"核心池")&gt;0,"核心池","否"))</f>
        <v/>
      </c>
      <c r="AH145" s="1" t="str">
        <f aca="false">IF(A145="","",IF(OR(J145="",K145="",K145=0),"",IF((J145-K145)/K145&lt;0.05,"不可加仓(无浮盈护垫)",IF(N145&gt;0.6,"不可加仓(超三买上限)",IF(N145&gt;0.5,"可加仓(三买区,上限60%)",IF(N145&gt;0.35,"可加仓(二买区,上限50%)","可加仓(一买区,上限35%)"))))))</f>
        <v/>
      </c>
    </row>
    <row r="146" customFormat="false" ht="15" hidden="false" customHeight="true" outlineLevel="0" collapsed="false">
      <c r="A146" s="28"/>
      <c r="B146" s="28"/>
      <c r="C146" s="28"/>
      <c r="D146" s="28"/>
      <c r="E146" s="34"/>
      <c r="F146" s="28"/>
      <c r="G146" s="37"/>
      <c r="H146" s="34"/>
      <c r="I146" s="34"/>
      <c r="J146" s="35"/>
      <c r="K146" s="35"/>
      <c r="L146" s="35"/>
      <c r="M146" s="36"/>
      <c r="N146" s="36"/>
      <c r="O146" s="34"/>
      <c r="P146" s="35"/>
      <c r="Q146" s="39"/>
      <c r="R146" s="40"/>
      <c r="S146" s="28"/>
      <c r="T146" s="29"/>
      <c r="U146" s="29"/>
      <c r="V146" s="39"/>
      <c r="W146" s="39"/>
      <c r="X146" s="39"/>
      <c r="Y146" s="39"/>
      <c r="Z146" s="39"/>
      <c r="AA146" s="39" t="str">
        <f aca="false">IF($A146="","",IFERROR(INDEX(账户总表!$B:$B,MATCH($A146,账户总表!$A:$A,0))*INDEX(账户总表!$O:$O,MATCH($A146,账户总表!$A:$A,0)),0))</f>
        <v/>
      </c>
      <c r="AB146" s="57" t="str">
        <f aca="false">IF($A146="","",IFERROR(MAX(0,AA146-J146),0))</f>
        <v/>
      </c>
      <c r="AC146" s="39" t="str">
        <f aca="false">IF($A146="","",IF(I146&gt;0,IFERROR(FLOOR(AB146/I146,100),0),0))</f>
        <v/>
      </c>
      <c r="AD146" s="28" t="str">
        <f aca="false">IF($A146="","",IF(N146&gt;INDEX(账户总表!$O:$O,MATCH($A146,账户总表!$A:$A,0)),"超限","合规"))</f>
        <v/>
      </c>
      <c r="AE146" s="1" t="str">
        <f aca="false">IF($A146="","",IFERROR((I146-P146)/I146,0))</f>
        <v/>
      </c>
      <c r="AF146" s="1" t="str">
        <f aca="false">IF($A146="","",IFERROR(MAX(0,(I146-P146)*G146),0))</f>
        <v/>
      </c>
      <c r="AG146" s="1" t="str">
        <f aca="false">IF($A146="","",IF(COUNTIFS(候选池!$C$2:$C$201,C146,候选池!$K$2:$K$201,"核心池")&gt;0,"核心池","否"))</f>
        <v/>
      </c>
      <c r="AH146" s="1" t="str">
        <f aca="false">IF(A146="","",IF(OR(J146="",K146="",K146=0),"",IF((J146-K146)/K146&lt;0.05,"不可加仓(无浮盈护垫)",IF(N146&gt;0.6,"不可加仓(超三买上限)",IF(N146&gt;0.5,"可加仓(三买区,上限60%)",IF(N146&gt;0.35,"可加仓(二买区,上限50%)","可加仓(一买区,上限35%)"))))))</f>
        <v/>
      </c>
    </row>
    <row r="147" customFormat="false" ht="15" hidden="false" customHeight="true" outlineLevel="0" collapsed="false">
      <c r="A147" s="30"/>
      <c r="B147" s="30"/>
      <c r="C147" s="30"/>
      <c r="D147" s="30"/>
      <c r="E147" s="44"/>
      <c r="F147" s="30"/>
      <c r="G147" s="45"/>
      <c r="H147" s="44"/>
      <c r="I147" s="44"/>
      <c r="J147" s="35"/>
      <c r="K147" s="35"/>
      <c r="L147" s="35"/>
      <c r="M147" s="36"/>
      <c r="N147" s="36"/>
      <c r="O147" s="44"/>
      <c r="P147" s="35"/>
      <c r="Q147" s="39"/>
      <c r="R147" s="46"/>
      <c r="S147" s="30"/>
      <c r="T147" s="31"/>
      <c r="U147" s="31"/>
      <c r="V147" s="39"/>
      <c r="W147" s="39"/>
      <c r="X147" s="39"/>
      <c r="Y147" s="39"/>
      <c r="Z147" s="39"/>
      <c r="AA147" s="39" t="str">
        <f aca="false">IF($A147="","",IFERROR(INDEX(账户总表!$B:$B,MATCH($A147,账户总表!$A:$A,0))*INDEX(账户总表!$O:$O,MATCH($A147,账户总表!$A:$A,0)),0))</f>
        <v/>
      </c>
      <c r="AB147" s="57" t="str">
        <f aca="false">IF($A147="","",IFERROR(MAX(0,AA147-J147),0))</f>
        <v/>
      </c>
      <c r="AC147" s="39" t="str">
        <f aca="false">IF($A147="","",IF(I147&gt;0,IFERROR(FLOOR(AB147/I147,100),0),0))</f>
        <v/>
      </c>
      <c r="AD147" s="30" t="str">
        <f aca="false">IF($A147="","",IF(N147&gt;INDEX(账户总表!$O:$O,MATCH($A147,账户总表!$A:$A,0)),"超限","合规"))</f>
        <v/>
      </c>
      <c r="AE147" s="1" t="str">
        <f aca="false">IF($A147="","",IFERROR((I147-P147)/I147,0))</f>
        <v/>
      </c>
      <c r="AF147" s="1" t="str">
        <f aca="false">IF($A147="","",IFERROR(MAX(0,(I147-P147)*G147),0))</f>
        <v/>
      </c>
      <c r="AG147" s="1" t="str">
        <f aca="false">IF($A147="","",IF(COUNTIFS(候选池!$C$2:$C$201,C147,候选池!$K$2:$K$201,"核心池")&gt;0,"核心池","否"))</f>
        <v/>
      </c>
      <c r="AH147" s="1" t="str">
        <f aca="false">IF(A147="","",IF(OR(J147="",K147="",K147=0),"",IF((J147-K147)/K147&lt;0.05,"不可加仓(无浮盈护垫)",IF(N147&gt;0.6,"不可加仓(超三买上限)",IF(N147&gt;0.5,"可加仓(三买区,上限60%)",IF(N147&gt;0.35,"可加仓(二买区,上限50%)","可加仓(一买区,上限35%)"))))))</f>
        <v/>
      </c>
    </row>
    <row r="148" customFormat="false" ht="15" hidden="false" customHeight="true" outlineLevel="0" collapsed="false">
      <c r="A148" s="28"/>
      <c r="B148" s="28"/>
      <c r="C148" s="28"/>
      <c r="D148" s="28"/>
      <c r="E148" s="34"/>
      <c r="F148" s="28"/>
      <c r="G148" s="37"/>
      <c r="H148" s="34"/>
      <c r="I148" s="34"/>
      <c r="J148" s="35"/>
      <c r="K148" s="35"/>
      <c r="L148" s="35"/>
      <c r="M148" s="36"/>
      <c r="N148" s="36"/>
      <c r="O148" s="34"/>
      <c r="P148" s="35"/>
      <c r="Q148" s="39"/>
      <c r="R148" s="40"/>
      <c r="S148" s="28"/>
      <c r="T148" s="29"/>
      <c r="U148" s="29"/>
      <c r="V148" s="39"/>
      <c r="W148" s="39"/>
      <c r="X148" s="39"/>
      <c r="Y148" s="39"/>
      <c r="Z148" s="39"/>
      <c r="AA148" s="39" t="str">
        <f aca="false">IF($A148="","",IFERROR(INDEX(账户总表!$B:$B,MATCH($A148,账户总表!$A:$A,0))*INDEX(账户总表!$O:$O,MATCH($A148,账户总表!$A:$A,0)),0))</f>
        <v/>
      </c>
      <c r="AB148" s="57" t="str">
        <f aca="false">IF($A148="","",IFERROR(MAX(0,AA148-J148),0))</f>
        <v/>
      </c>
      <c r="AC148" s="39" t="str">
        <f aca="false">IF($A148="","",IF(I148&gt;0,IFERROR(FLOOR(AB148/I148,100),0),0))</f>
        <v/>
      </c>
      <c r="AD148" s="28" t="str">
        <f aca="false">IF($A148="","",IF(N148&gt;INDEX(账户总表!$O:$O,MATCH($A148,账户总表!$A:$A,0)),"超限","合规"))</f>
        <v/>
      </c>
      <c r="AE148" s="1" t="str">
        <f aca="false">IF($A148="","",IFERROR((I148-P148)/I148,0))</f>
        <v/>
      </c>
      <c r="AF148" s="1" t="str">
        <f aca="false">IF($A148="","",IFERROR(MAX(0,(I148-P148)*G148),0))</f>
        <v/>
      </c>
      <c r="AG148" s="1" t="str">
        <f aca="false">IF($A148="","",IF(COUNTIFS(候选池!$C$2:$C$201,C148,候选池!$K$2:$K$201,"核心池")&gt;0,"核心池","否"))</f>
        <v/>
      </c>
      <c r="AH148" s="1" t="str">
        <f aca="false">IF(A148="","",IF(OR(J148="",K148="",K148=0),"",IF((J148-K148)/K148&lt;0.05,"不可加仓(无浮盈护垫)",IF(N148&gt;0.6,"不可加仓(超三买上限)",IF(N148&gt;0.5,"可加仓(三买区,上限60%)",IF(N148&gt;0.35,"可加仓(二买区,上限50%)","可加仓(一买区,上限35%)"))))))</f>
        <v/>
      </c>
    </row>
    <row r="149" customFormat="false" ht="15" hidden="false" customHeight="true" outlineLevel="0" collapsed="false">
      <c r="A149" s="30"/>
      <c r="B149" s="30"/>
      <c r="C149" s="30"/>
      <c r="D149" s="30"/>
      <c r="E149" s="44"/>
      <c r="F149" s="30"/>
      <c r="G149" s="45"/>
      <c r="H149" s="44"/>
      <c r="I149" s="44"/>
      <c r="J149" s="35"/>
      <c r="K149" s="35"/>
      <c r="L149" s="35"/>
      <c r="M149" s="36"/>
      <c r="N149" s="36"/>
      <c r="O149" s="44"/>
      <c r="P149" s="35"/>
      <c r="Q149" s="39"/>
      <c r="R149" s="46"/>
      <c r="S149" s="30"/>
      <c r="T149" s="31"/>
      <c r="U149" s="31"/>
      <c r="V149" s="39"/>
      <c r="W149" s="39"/>
      <c r="X149" s="39"/>
      <c r="Y149" s="39"/>
      <c r="Z149" s="39"/>
      <c r="AA149" s="39" t="str">
        <f aca="false">IF($A149="","",IFERROR(INDEX(账户总表!$B:$B,MATCH($A149,账户总表!$A:$A,0))*INDEX(账户总表!$O:$O,MATCH($A149,账户总表!$A:$A,0)),0))</f>
        <v/>
      </c>
      <c r="AB149" s="57" t="str">
        <f aca="false">IF($A149="","",IFERROR(MAX(0,AA149-J149),0))</f>
        <v/>
      </c>
      <c r="AC149" s="39" t="str">
        <f aca="false">IF($A149="","",IF(I149&gt;0,IFERROR(FLOOR(AB149/I149,100),0),0))</f>
        <v/>
      </c>
      <c r="AD149" s="30" t="str">
        <f aca="false">IF($A149="","",IF(N149&gt;INDEX(账户总表!$O:$O,MATCH($A149,账户总表!$A:$A,0)),"超限","合规"))</f>
        <v/>
      </c>
      <c r="AE149" s="1" t="str">
        <f aca="false">IF($A149="","",IFERROR((I149-P149)/I149,0))</f>
        <v/>
      </c>
      <c r="AF149" s="1" t="str">
        <f aca="false">IF($A149="","",IFERROR(MAX(0,(I149-P149)*G149),0))</f>
        <v/>
      </c>
      <c r="AG149" s="1" t="str">
        <f aca="false">IF($A149="","",IF(COUNTIFS(候选池!$C$2:$C$201,C149,候选池!$K$2:$K$201,"核心池")&gt;0,"核心池","否"))</f>
        <v/>
      </c>
      <c r="AH149" s="1" t="str">
        <f aca="false">IF(A149="","",IF(OR(J149="",K149="",K149=0),"",IF((J149-K149)/K149&lt;0.05,"不可加仓(无浮盈护垫)",IF(N149&gt;0.6,"不可加仓(超三买上限)",IF(N149&gt;0.5,"可加仓(三买区,上限60%)",IF(N149&gt;0.35,"可加仓(二买区,上限50%)","可加仓(一买区,上限35%)"))))))</f>
        <v/>
      </c>
    </row>
    <row r="150" customFormat="false" ht="15" hidden="false" customHeight="true" outlineLevel="0" collapsed="false">
      <c r="A150" s="28"/>
      <c r="B150" s="28"/>
      <c r="C150" s="28"/>
      <c r="D150" s="28"/>
      <c r="E150" s="34"/>
      <c r="F150" s="28"/>
      <c r="G150" s="37"/>
      <c r="H150" s="34"/>
      <c r="I150" s="34"/>
      <c r="J150" s="35"/>
      <c r="K150" s="35"/>
      <c r="L150" s="35"/>
      <c r="M150" s="36"/>
      <c r="N150" s="36"/>
      <c r="O150" s="34"/>
      <c r="P150" s="35"/>
      <c r="Q150" s="39"/>
      <c r="R150" s="40"/>
      <c r="S150" s="28"/>
      <c r="T150" s="29"/>
      <c r="U150" s="29"/>
      <c r="V150" s="39"/>
      <c r="W150" s="39"/>
      <c r="X150" s="39"/>
      <c r="Y150" s="39"/>
      <c r="Z150" s="39"/>
      <c r="AA150" s="39" t="str">
        <f aca="false">IF($A150="","",IFERROR(INDEX(账户总表!$B:$B,MATCH($A150,账户总表!$A:$A,0))*INDEX(账户总表!$O:$O,MATCH($A150,账户总表!$A:$A,0)),0))</f>
        <v/>
      </c>
      <c r="AB150" s="57" t="str">
        <f aca="false">IF($A150="","",IFERROR(MAX(0,AA150-J150),0))</f>
        <v/>
      </c>
      <c r="AC150" s="39" t="str">
        <f aca="false">IF($A150="","",IF(I150&gt;0,IFERROR(FLOOR(AB150/I150,100),0),0))</f>
        <v/>
      </c>
      <c r="AD150" s="28" t="str">
        <f aca="false">IF($A150="","",IF(N150&gt;INDEX(账户总表!$O:$O,MATCH($A150,账户总表!$A:$A,0)),"超限","合规"))</f>
        <v/>
      </c>
      <c r="AE150" s="1" t="str">
        <f aca="false">IF($A150="","",IFERROR((I150-P150)/I150,0))</f>
        <v/>
      </c>
      <c r="AF150" s="1" t="str">
        <f aca="false">IF($A150="","",IFERROR(MAX(0,(I150-P150)*G150),0))</f>
        <v/>
      </c>
      <c r="AG150" s="1" t="str">
        <f aca="false">IF($A150="","",IF(COUNTIFS(候选池!$C$2:$C$201,C150,候选池!$K$2:$K$201,"核心池")&gt;0,"核心池","否"))</f>
        <v/>
      </c>
      <c r="AH150" s="1" t="str">
        <f aca="false">IF(A150="","",IF(OR(J150="",K150="",K150=0),"",IF((J150-K150)/K150&lt;0.05,"不可加仓(无浮盈护垫)",IF(N150&gt;0.6,"不可加仓(超三买上限)",IF(N150&gt;0.5,"可加仓(三买区,上限60%)",IF(N150&gt;0.35,"可加仓(二买区,上限50%)","可加仓(一买区,上限35%)"))))))</f>
        <v/>
      </c>
    </row>
    <row r="151" customFormat="false" ht="15" hidden="false" customHeight="true" outlineLevel="0" collapsed="false">
      <c r="A151" s="30"/>
      <c r="B151" s="30"/>
      <c r="C151" s="30"/>
      <c r="D151" s="30"/>
      <c r="E151" s="44"/>
      <c r="F151" s="30"/>
      <c r="G151" s="45"/>
      <c r="H151" s="44"/>
      <c r="I151" s="44"/>
      <c r="J151" s="35"/>
      <c r="K151" s="35"/>
      <c r="L151" s="35"/>
      <c r="M151" s="36"/>
      <c r="N151" s="36"/>
      <c r="O151" s="44"/>
      <c r="P151" s="35"/>
      <c r="Q151" s="39"/>
      <c r="R151" s="46"/>
      <c r="S151" s="30"/>
      <c r="T151" s="31"/>
      <c r="U151" s="31"/>
      <c r="V151" s="39"/>
      <c r="W151" s="39"/>
      <c r="X151" s="39"/>
      <c r="Y151" s="39"/>
      <c r="Z151" s="39"/>
      <c r="AA151" s="39" t="str">
        <f aca="false">IF($A151="","",IFERROR(INDEX(账户总表!$B:$B,MATCH($A151,账户总表!$A:$A,0))*INDEX(账户总表!$O:$O,MATCH($A151,账户总表!$A:$A,0)),0))</f>
        <v/>
      </c>
      <c r="AB151" s="57" t="str">
        <f aca="false">IF($A151="","",IFERROR(MAX(0,AA151-J151),0))</f>
        <v/>
      </c>
      <c r="AC151" s="39" t="str">
        <f aca="false">IF($A151="","",IF(I151&gt;0,IFERROR(FLOOR(AB151/I151,100),0),0))</f>
        <v/>
      </c>
      <c r="AD151" s="30" t="str">
        <f aca="false">IF($A151="","",IF(N151&gt;INDEX(账户总表!$O:$O,MATCH($A151,账户总表!$A:$A,0)),"超限","合规"))</f>
        <v/>
      </c>
      <c r="AE151" s="1" t="str">
        <f aca="false">IF($A151="","",IFERROR((I151-P151)/I151,0))</f>
        <v/>
      </c>
      <c r="AF151" s="1" t="str">
        <f aca="false">IF($A151="","",IFERROR(MAX(0,(I151-P151)*G151),0))</f>
        <v/>
      </c>
      <c r="AG151" s="1" t="str">
        <f aca="false">IF($A151="","",IF(COUNTIFS(候选池!$C$2:$C$201,C151,候选池!$K$2:$K$201,"核心池")&gt;0,"核心池","否"))</f>
        <v/>
      </c>
      <c r="AH151" s="1" t="str">
        <f aca="false">IF(A151="","",IF(OR(J151="",K151="",K151=0),"",IF((J151-K151)/K151&lt;0.05,"不可加仓(无浮盈护垫)",IF(N151&gt;0.6,"不可加仓(超三买上限)",IF(N151&gt;0.5,"可加仓(三买区,上限60%)",IF(N151&gt;0.35,"可加仓(二买区,上限50%)","可加仓(一买区,上限35%)"))))))</f>
        <v/>
      </c>
    </row>
    <row r="152" customFormat="false" ht="15" hidden="false" customHeight="true" outlineLevel="0" collapsed="false">
      <c r="A152" s="28"/>
      <c r="B152" s="28"/>
      <c r="C152" s="28"/>
      <c r="D152" s="28"/>
      <c r="E152" s="34"/>
      <c r="F152" s="28"/>
      <c r="G152" s="37"/>
      <c r="H152" s="34"/>
      <c r="I152" s="34"/>
      <c r="J152" s="35"/>
      <c r="K152" s="35"/>
      <c r="L152" s="35"/>
      <c r="M152" s="36"/>
      <c r="N152" s="36"/>
      <c r="O152" s="34"/>
      <c r="P152" s="35"/>
      <c r="Q152" s="39"/>
      <c r="R152" s="40"/>
      <c r="S152" s="28"/>
      <c r="T152" s="29"/>
      <c r="U152" s="29"/>
      <c r="V152" s="39"/>
      <c r="W152" s="39"/>
      <c r="X152" s="39"/>
      <c r="Y152" s="39"/>
      <c r="Z152" s="39"/>
      <c r="AA152" s="39" t="str">
        <f aca="false">IF($A152="","",IFERROR(INDEX(账户总表!$B:$B,MATCH($A152,账户总表!$A:$A,0))*INDEX(账户总表!$O:$O,MATCH($A152,账户总表!$A:$A,0)),0))</f>
        <v/>
      </c>
      <c r="AB152" s="57" t="str">
        <f aca="false">IF($A152="","",IFERROR(MAX(0,AA152-J152),0))</f>
        <v/>
      </c>
      <c r="AC152" s="39" t="str">
        <f aca="false">IF($A152="","",IF(I152&gt;0,IFERROR(FLOOR(AB152/I152,100),0),0))</f>
        <v/>
      </c>
      <c r="AD152" s="28" t="str">
        <f aca="false">IF($A152="","",IF(N152&gt;INDEX(账户总表!$O:$O,MATCH($A152,账户总表!$A:$A,0)),"超限","合规"))</f>
        <v/>
      </c>
      <c r="AE152" s="1" t="str">
        <f aca="false">IF($A152="","",IFERROR((I152-P152)/I152,0))</f>
        <v/>
      </c>
      <c r="AF152" s="1" t="str">
        <f aca="false">IF($A152="","",IFERROR(MAX(0,(I152-P152)*G152),0))</f>
        <v/>
      </c>
      <c r="AG152" s="1" t="str">
        <f aca="false">IF($A152="","",IF(COUNTIFS(候选池!$C$2:$C$201,C152,候选池!$K$2:$K$201,"核心池")&gt;0,"核心池","否"))</f>
        <v/>
      </c>
      <c r="AH152" s="1" t="str">
        <f aca="false">IF(A152="","",IF(OR(J152="",K152="",K152=0),"",IF((J152-K152)/K152&lt;0.05,"不可加仓(无浮盈护垫)",IF(N152&gt;0.6,"不可加仓(超三买上限)",IF(N152&gt;0.5,"可加仓(三买区,上限60%)",IF(N152&gt;0.35,"可加仓(二买区,上限50%)","可加仓(一买区,上限35%)"))))))</f>
        <v/>
      </c>
    </row>
    <row r="153" customFormat="false" ht="15" hidden="false" customHeight="true" outlineLevel="0" collapsed="false">
      <c r="A153" s="30"/>
      <c r="B153" s="30"/>
      <c r="C153" s="30"/>
      <c r="D153" s="30"/>
      <c r="E153" s="44"/>
      <c r="F153" s="30"/>
      <c r="G153" s="45"/>
      <c r="H153" s="44"/>
      <c r="I153" s="44"/>
      <c r="J153" s="35"/>
      <c r="K153" s="35"/>
      <c r="L153" s="35"/>
      <c r="M153" s="36"/>
      <c r="N153" s="36"/>
      <c r="O153" s="44"/>
      <c r="P153" s="35"/>
      <c r="Q153" s="39"/>
      <c r="R153" s="46"/>
      <c r="S153" s="30"/>
      <c r="T153" s="31"/>
      <c r="U153" s="31"/>
      <c r="V153" s="39"/>
      <c r="W153" s="39"/>
      <c r="X153" s="39"/>
      <c r="Y153" s="39"/>
      <c r="Z153" s="39"/>
      <c r="AA153" s="39" t="str">
        <f aca="false">IF($A153="","",IFERROR(INDEX(账户总表!$B:$B,MATCH($A153,账户总表!$A:$A,0))*INDEX(账户总表!$O:$O,MATCH($A153,账户总表!$A:$A,0)),0))</f>
        <v/>
      </c>
      <c r="AB153" s="57" t="str">
        <f aca="false">IF($A153="","",IFERROR(MAX(0,AA153-J153),0))</f>
        <v/>
      </c>
      <c r="AC153" s="39" t="str">
        <f aca="false">IF($A153="","",IF(I153&gt;0,IFERROR(FLOOR(AB153/I153,100),0),0))</f>
        <v/>
      </c>
      <c r="AD153" s="30" t="str">
        <f aca="false">IF($A153="","",IF(N153&gt;INDEX(账户总表!$O:$O,MATCH($A153,账户总表!$A:$A,0)),"超限","合规"))</f>
        <v/>
      </c>
      <c r="AE153" s="1" t="str">
        <f aca="false">IF($A153="","",IFERROR((I153-P153)/I153,0))</f>
        <v/>
      </c>
      <c r="AF153" s="1" t="str">
        <f aca="false">IF($A153="","",IFERROR(MAX(0,(I153-P153)*G153),0))</f>
        <v/>
      </c>
      <c r="AG153" s="1" t="str">
        <f aca="false">IF($A153="","",IF(COUNTIFS(候选池!$C$2:$C$201,C153,候选池!$K$2:$K$201,"核心池")&gt;0,"核心池","否"))</f>
        <v/>
      </c>
      <c r="AH153" s="1" t="str">
        <f aca="false">IF(A153="","",IF(OR(J153="",K153="",K153=0),"",IF((J153-K153)/K153&lt;0.05,"不可加仓(无浮盈护垫)",IF(N153&gt;0.6,"不可加仓(超三买上限)",IF(N153&gt;0.5,"可加仓(三买区,上限60%)",IF(N153&gt;0.35,"可加仓(二买区,上限50%)","可加仓(一买区,上限35%)"))))))</f>
        <v/>
      </c>
    </row>
    <row r="154" customFormat="false" ht="15" hidden="false" customHeight="true" outlineLevel="0" collapsed="false">
      <c r="A154" s="28"/>
      <c r="B154" s="28"/>
      <c r="C154" s="28"/>
      <c r="D154" s="28"/>
      <c r="E154" s="34"/>
      <c r="F154" s="28"/>
      <c r="G154" s="37"/>
      <c r="H154" s="34"/>
      <c r="I154" s="34"/>
      <c r="J154" s="35"/>
      <c r="K154" s="35"/>
      <c r="L154" s="35"/>
      <c r="M154" s="36"/>
      <c r="N154" s="36"/>
      <c r="O154" s="34"/>
      <c r="P154" s="35"/>
      <c r="Q154" s="39"/>
      <c r="R154" s="40"/>
      <c r="S154" s="28"/>
      <c r="T154" s="29"/>
      <c r="U154" s="29"/>
      <c r="V154" s="39"/>
      <c r="W154" s="39"/>
      <c r="X154" s="39"/>
      <c r="Y154" s="39"/>
      <c r="Z154" s="39"/>
      <c r="AA154" s="39" t="str">
        <f aca="false">IF($A154="","",IFERROR(INDEX(账户总表!$B:$B,MATCH($A154,账户总表!$A:$A,0))*INDEX(账户总表!$O:$O,MATCH($A154,账户总表!$A:$A,0)),0))</f>
        <v/>
      </c>
      <c r="AB154" s="57" t="str">
        <f aca="false">IF($A154="","",IFERROR(MAX(0,AA154-J154),0))</f>
        <v/>
      </c>
      <c r="AC154" s="39" t="str">
        <f aca="false">IF($A154="","",IF(I154&gt;0,IFERROR(FLOOR(AB154/I154,100),0),0))</f>
        <v/>
      </c>
      <c r="AD154" s="28" t="str">
        <f aca="false">IF($A154="","",IF(N154&gt;INDEX(账户总表!$O:$O,MATCH($A154,账户总表!$A:$A,0)),"超限","合规"))</f>
        <v/>
      </c>
      <c r="AE154" s="1" t="str">
        <f aca="false">IF($A154="","",IFERROR((I154-P154)/I154,0))</f>
        <v/>
      </c>
      <c r="AF154" s="1" t="str">
        <f aca="false">IF($A154="","",IFERROR(MAX(0,(I154-P154)*G154),0))</f>
        <v/>
      </c>
      <c r="AG154" s="1" t="str">
        <f aca="false">IF($A154="","",IF(COUNTIFS(候选池!$C$2:$C$201,C154,候选池!$K$2:$K$201,"核心池")&gt;0,"核心池","否"))</f>
        <v/>
      </c>
      <c r="AH154" s="1" t="str">
        <f aca="false">IF(A154="","",IF(OR(J154="",K154="",K154=0),"",IF((J154-K154)/K154&lt;0.05,"不可加仓(无浮盈护垫)",IF(N154&gt;0.6,"不可加仓(超三买上限)",IF(N154&gt;0.5,"可加仓(三买区,上限60%)",IF(N154&gt;0.35,"可加仓(二买区,上限50%)","可加仓(一买区,上限35%)"))))))</f>
        <v/>
      </c>
    </row>
    <row r="155" customFormat="false" ht="15" hidden="false" customHeight="true" outlineLevel="0" collapsed="false">
      <c r="A155" s="30"/>
      <c r="B155" s="30"/>
      <c r="C155" s="30"/>
      <c r="D155" s="30"/>
      <c r="E155" s="44"/>
      <c r="F155" s="30"/>
      <c r="G155" s="45"/>
      <c r="H155" s="44"/>
      <c r="I155" s="44"/>
      <c r="J155" s="35"/>
      <c r="K155" s="35"/>
      <c r="L155" s="35"/>
      <c r="M155" s="36"/>
      <c r="N155" s="36"/>
      <c r="O155" s="44"/>
      <c r="P155" s="35"/>
      <c r="Q155" s="39"/>
      <c r="R155" s="46"/>
      <c r="S155" s="30"/>
      <c r="T155" s="31"/>
      <c r="U155" s="31"/>
      <c r="V155" s="39"/>
      <c r="W155" s="39"/>
      <c r="X155" s="39"/>
      <c r="Y155" s="39"/>
      <c r="Z155" s="39"/>
      <c r="AA155" s="39" t="str">
        <f aca="false">IF($A155="","",IFERROR(INDEX(账户总表!$B:$B,MATCH($A155,账户总表!$A:$A,0))*INDEX(账户总表!$O:$O,MATCH($A155,账户总表!$A:$A,0)),0))</f>
        <v/>
      </c>
      <c r="AB155" s="57" t="str">
        <f aca="false">IF($A155="","",IFERROR(MAX(0,AA155-J155),0))</f>
        <v/>
      </c>
      <c r="AC155" s="39" t="str">
        <f aca="false">IF($A155="","",IF(I155&gt;0,IFERROR(FLOOR(AB155/I155,100),0),0))</f>
        <v/>
      </c>
      <c r="AD155" s="30" t="str">
        <f aca="false">IF($A155="","",IF(N155&gt;INDEX(账户总表!$O:$O,MATCH($A155,账户总表!$A:$A,0)),"超限","合规"))</f>
        <v/>
      </c>
      <c r="AE155" s="1" t="str">
        <f aca="false">IF($A155="","",IFERROR((I155-P155)/I155,0))</f>
        <v/>
      </c>
      <c r="AF155" s="1" t="str">
        <f aca="false">IF($A155="","",IFERROR(MAX(0,(I155-P155)*G155),0))</f>
        <v/>
      </c>
      <c r="AG155" s="1" t="str">
        <f aca="false">IF($A155="","",IF(COUNTIFS(候选池!$C$2:$C$201,C155,候选池!$K$2:$K$201,"核心池")&gt;0,"核心池","否"))</f>
        <v/>
      </c>
      <c r="AH155" s="1" t="str">
        <f aca="false">IF(A155="","",IF(OR(J155="",K155="",K155=0),"",IF((J155-K155)/K155&lt;0.05,"不可加仓(无浮盈护垫)",IF(N155&gt;0.6,"不可加仓(超三买上限)",IF(N155&gt;0.5,"可加仓(三买区,上限60%)",IF(N155&gt;0.35,"可加仓(二买区,上限50%)","可加仓(一买区,上限35%)"))))))</f>
        <v/>
      </c>
    </row>
    <row r="156" customFormat="false" ht="15" hidden="false" customHeight="true" outlineLevel="0" collapsed="false">
      <c r="A156" s="28"/>
      <c r="B156" s="28"/>
      <c r="C156" s="28"/>
      <c r="D156" s="28"/>
      <c r="E156" s="34"/>
      <c r="F156" s="28"/>
      <c r="G156" s="37"/>
      <c r="H156" s="34"/>
      <c r="I156" s="34"/>
      <c r="J156" s="35"/>
      <c r="K156" s="35"/>
      <c r="L156" s="35"/>
      <c r="M156" s="36"/>
      <c r="N156" s="36"/>
      <c r="O156" s="34"/>
      <c r="P156" s="35"/>
      <c r="Q156" s="39"/>
      <c r="R156" s="40"/>
      <c r="S156" s="28"/>
      <c r="T156" s="29"/>
      <c r="U156" s="29"/>
      <c r="V156" s="39"/>
      <c r="W156" s="39"/>
      <c r="X156" s="39"/>
      <c r="Y156" s="39"/>
      <c r="Z156" s="39"/>
      <c r="AA156" s="39" t="str">
        <f aca="false">IF($A156="","",IFERROR(INDEX(账户总表!$B:$B,MATCH($A156,账户总表!$A:$A,0))*INDEX(账户总表!$O:$O,MATCH($A156,账户总表!$A:$A,0)),0))</f>
        <v/>
      </c>
      <c r="AB156" s="57" t="str">
        <f aca="false">IF($A156="","",IFERROR(MAX(0,AA156-J156),0))</f>
        <v/>
      </c>
      <c r="AC156" s="39" t="str">
        <f aca="false">IF($A156="","",IF(I156&gt;0,IFERROR(FLOOR(AB156/I156,100),0),0))</f>
        <v/>
      </c>
      <c r="AD156" s="28" t="str">
        <f aca="false">IF($A156="","",IF(N156&gt;INDEX(账户总表!$O:$O,MATCH($A156,账户总表!$A:$A,0)),"超限","合规"))</f>
        <v/>
      </c>
      <c r="AE156" s="1" t="str">
        <f aca="false">IF($A156="","",IFERROR((I156-P156)/I156,0))</f>
        <v/>
      </c>
      <c r="AF156" s="1" t="str">
        <f aca="false">IF($A156="","",IFERROR(MAX(0,(I156-P156)*G156),0))</f>
        <v/>
      </c>
      <c r="AG156" s="1" t="str">
        <f aca="false">IF($A156="","",IF(COUNTIFS(候选池!$C$2:$C$201,C156,候选池!$K$2:$K$201,"核心池")&gt;0,"核心池","否"))</f>
        <v/>
      </c>
      <c r="AH156" s="1" t="str">
        <f aca="false">IF(A156="","",IF(OR(J156="",K156="",K156=0),"",IF((J156-K156)/K156&lt;0.05,"不可加仓(无浮盈护垫)",IF(N156&gt;0.6,"不可加仓(超三买上限)",IF(N156&gt;0.5,"可加仓(三买区,上限60%)",IF(N156&gt;0.35,"可加仓(二买区,上限50%)","可加仓(一买区,上限35%)"))))))</f>
        <v/>
      </c>
    </row>
    <row r="157" customFormat="false" ht="15" hidden="false" customHeight="true" outlineLevel="0" collapsed="false">
      <c r="A157" s="30"/>
      <c r="B157" s="30"/>
      <c r="C157" s="30"/>
      <c r="D157" s="30"/>
      <c r="E157" s="44"/>
      <c r="F157" s="30"/>
      <c r="G157" s="45"/>
      <c r="H157" s="44"/>
      <c r="I157" s="44"/>
      <c r="J157" s="35"/>
      <c r="K157" s="35"/>
      <c r="L157" s="35"/>
      <c r="M157" s="36"/>
      <c r="N157" s="36"/>
      <c r="O157" s="44"/>
      <c r="P157" s="35"/>
      <c r="Q157" s="39"/>
      <c r="R157" s="46"/>
      <c r="S157" s="30"/>
      <c r="T157" s="31"/>
      <c r="U157" s="31"/>
      <c r="V157" s="39"/>
      <c r="W157" s="39"/>
      <c r="X157" s="39"/>
      <c r="Y157" s="39"/>
      <c r="Z157" s="39"/>
      <c r="AA157" s="39" t="str">
        <f aca="false">IF($A157="","",IFERROR(INDEX(账户总表!$B:$B,MATCH($A157,账户总表!$A:$A,0))*INDEX(账户总表!$O:$O,MATCH($A157,账户总表!$A:$A,0)),0))</f>
        <v/>
      </c>
      <c r="AB157" s="57" t="str">
        <f aca="false">IF($A157="","",IFERROR(MAX(0,AA157-J157),0))</f>
        <v/>
      </c>
      <c r="AC157" s="39" t="str">
        <f aca="false">IF($A157="","",IF(I157&gt;0,IFERROR(FLOOR(AB157/I157,100),0),0))</f>
        <v/>
      </c>
      <c r="AD157" s="30" t="str">
        <f aca="false">IF($A157="","",IF(N157&gt;INDEX(账户总表!$O:$O,MATCH($A157,账户总表!$A:$A,0)),"超限","合规"))</f>
        <v/>
      </c>
      <c r="AE157" s="1" t="str">
        <f aca="false">IF($A157="","",IFERROR((I157-P157)/I157,0))</f>
        <v/>
      </c>
      <c r="AF157" s="1" t="str">
        <f aca="false">IF($A157="","",IFERROR(MAX(0,(I157-P157)*G157),0))</f>
        <v/>
      </c>
      <c r="AG157" s="1" t="str">
        <f aca="false">IF($A157="","",IF(COUNTIFS(候选池!$C$2:$C$201,C157,候选池!$K$2:$K$201,"核心池")&gt;0,"核心池","否"))</f>
        <v/>
      </c>
      <c r="AH157" s="1" t="str">
        <f aca="false">IF(A157="","",IF(OR(J157="",K157="",K157=0),"",IF((J157-K157)/K157&lt;0.05,"不可加仓(无浮盈护垫)",IF(N157&gt;0.6,"不可加仓(超三买上限)",IF(N157&gt;0.5,"可加仓(三买区,上限60%)",IF(N157&gt;0.35,"可加仓(二买区,上限50%)","可加仓(一买区,上限35%)"))))))</f>
        <v/>
      </c>
    </row>
    <row r="158" customFormat="false" ht="15" hidden="false" customHeight="true" outlineLevel="0" collapsed="false">
      <c r="A158" s="28"/>
      <c r="B158" s="28"/>
      <c r="C158" s="28"/>
      <c r="D158" s="28"/>
      <c r="E158" s="34"/>
      <c r="F158" s="28"/>
      <c r="G158" s="37"/>
      <c r="H158" s="34"/>
      <c r="I158" s="34"/>
      <c r="J158" s="35"/>
      <c r="K158" s="35"/>
      <c r="L158" s="35"/>
      <c r="M158" s="36"/>
      <c r="N158" s="36"/>
      <c r="O158" s="34"/>
      <c r="P158" s="35"/>
      <c r="Q158" s="39"/>
      <c r="R158" s="40"/>
      <c r="S158" s="28"/>
      <c r="T158" s="29"/>
      <c r="U158" s="29"/>
      <c r="V158" s="39"/>
      <c r="W158" s="39"/>
      <c r="X158" s="39"/>
      <c r="Y158" s="39"/>
      <c r="Z158" s="39"/>
      <c r="AA158" s="39" t="str">
        <f aca="false">IF($A158="","",IFERROR(INDEX(账户总表!$B:$B,MATCH($A158,账户总表!$A:$A,0))*INDEX(账户总表!$O:$O,MATCH($A158,账户总表!$A:$A,0)),0))</f>
        <v/>
      </c>
      <c r="AB158" s="57" t="str">
        <f aca="false">IF($A158="","",IFERROR(MAX(0,AA158-J158),0))</f>
        <v/>
      </c>
      <c r="AC158" s="39" t="str">
        <f aca="false">IF($A158="","",IF(I158&gt;0,IFERROR(FLOOR(AB158/I158,100),0),0))</f>
        <v/>
      </c>
      <c r="AD158" s="28" t="str">
        <f aca="false">IF($A158="","",IF(N158&gt;INDEX(账户总表!$O:$O,MATCH($A158,账户总表!$A:$A,0)),"超限","合规"))</f>
        <v/>
      </c>
      <c r="AE158" s="1" t="str">
        <f aca="false">IF($A158="","",IFERROR((I158-P158)/I158,0))</f>
        <v/>
      </c>
      <c r="AF158" s="1" t="str">
        <f aca="false">IF($A158="","",IFERROR(MAX(0,(I158-P158)*G158),0))</f>
        <v/>
      </c>
      <c r="AG158" s="1" t="str">
        <f aca="false">IF($A158="","",IF(COUNTIFS(候选池!$C$2:$C$201,C158,候选池!$K$2:$K$201,"核心池")&gt;0,"核心池","否"))</f>
        <v/>
      </c>
      <c r="AH158" s="1" t="str">
        <f aca="false">IF(A158="","",IF(OR(J158="",K158="",K158=0),"",IF((J158-K158)/K158&lt;0.05,"不可加仓(无浮盈护垫)",IF(N158&gt;0.6,"不可加仓(超三买上限)",IF(N158&gt;0.5,"可加仓(三买区,上限60%)",IF(N158&gt;0.35,"可加仓(二买区,上限50%)","可加仓(一买区,上限35%)"))))))</f>
        <v/>
      </c>
    </row>
    <row r="159" customFormat="false" ht="15" hidden="false" customHeight="true" outlineLevel="0" collapsed="false">
      <c r="A159" s="30"/>
      <c r="B159" s="30"/>
      <c r="C159" s="30"/>
      <c r="D159" s="30"/>
      <c r="E159" s="44"/>
      <c r="F159" s="30"/>
      <c r="G159" s="45"/>
      <c r="H159" s="44"/>
      <c r="I159" s="44"/>
      <c r="J159" s="35"/>
      <c r="K159" s="35"/>
      <c r="L159" s="35"/>
      <c r="M159" s="36"/>
      <c r="N159" s="36"/>
      <c r="O159" s="44"/>
      <c r="P159" s="35"/>
      <c r="Q159" s="39"/>
      <c r="R159" s="46"/>
      <c r="S159" s="30"/>
      <c r="T159" s="31"/>
      <c r="U159" s="31"/>
      <c r="V159" s="39"/>
      <c r="W159" s="39"/>
      <c r="X159" s="39"/>
      <c r="Y159" s="39"/>
      <c r="Z159" s="39"/>
      <c r="AA159" s="39" t="str">
        <f aca="false">IF($A159="","",IFERROR(INDEX(账户总表!$B:$B,MATCH($A159,账户总表!$A:$A,0))*INDEX(账户总表!$O:$O,MATCH($A159,账户总表!$A:$A,0)),0))</f>
        <v/>
      </c>
      <c r="AB159" s="57" t="str">
        <f aca="false">IF($A159="","",IFERROR(MAX(0,AA159-J159),0))</f>
        <v/>
      </c>
      <c r="AC159" s="39" t="str">
        <f aca="false">IF($A159="","",IF(I159&gt;0,IFERROR(FLOOR(AB159/I159,100),0),0))</f>
        <v/>
      </c>
      <c r="AD159" s="30" t="str">
        <f aca="false">IF($A159="","",IF(N159&gt;INDEX(账户总表!$O:$O,MATCH($A159,账户总表!$A:$A,0)),"超限","合规"))</f>
        <v/>
      </c>
      <c r="AE159" s="1" t="str">
        <f aca="false">IF($A159="","",IFERROR((I159-P159)/I159,0))</f>
        <v/>
      </c>
      <c r="AF159" s="1" t="str">
        <f aca="false">IF($A159="","",IFERROR(MAX(0,(I159-P159)*G159),0))</f>
        <v/>
      </c>
      <c r="AG159" s="1" t="str">
        <f aca="false">IF($A159="","",IF(COUNTIFS(候选池!$C$2:$C$201,C159,候选池!$K$2:$K$201,"核心池")&gt;0,"核心池","否"))</f>
        <v/>
      </c>
      <c r="AH159" s="1" t="str">
        <f aca="false">IF(A159="","",IF(OR(J159="",K159="",K159=0),"",IF((J159-K159)/K159&lt;0.05,"不可加仓(无浮盈护垫)",IF(N159&gt;0.6,"不可加仓(超三买上限)",IF(N159&gt;0.5,"可加仓(三买区,上限60%)",IF(N159&gt;0.35,"可加仓(二买区,上限50%)","可加仓(一买区,上限35%)"))))))</f>
        <v/>
      </c>
    </row>
    <row r="160" customFormat="false" ht="15" hidden="false" customHeight="true" outlineLevel="0" collapsed="false">
      <c r="A160" s="28"/>
      <c r="B160" s="28"/>
      <c r="C160" s="28"/>
      <c r="D160" s="28"/>
      <c r="E160" s="34"/>
      <c r="F160" s="28"/>
      <c r="G160" s="37"/>
      <c r="H160" s="34"/>
      <c r="I160" s="34"/>
      <c r="J160" s="35"/>
      <c r="K160" s="35"/>
      <c r="L160" s="35"/>
      <c r="M160" s="36"/>
      <c r="N160" s="36"/>
      <c r="O160" s="34"/>
      <c r="P160" s="35"/>
      <c r="Q160" s="39"/>
      <c r="R160" s="40"/>
      <c r="S160" s="28"/>
      <c r="T160" s="29"/>
      <c r="U160" s="29"/>
      <c r="V160" s="39"/>
      <c r="W160" s="39"/>
      <c r="X160" s="39"/>
      <c r="Y160" s="39"/>
      <c r="Z160" s="39"/>
      <c r="AA160" s="39" t="str">
        <f aca="false">IF($A160="","",IFERROR(INDEX(账户总表!$B:$B,MATCH($A160,账户总表!$A:$A,0))*INDEX(账户总表!$O:$O,MATCH($A160,账户总表!$A:$A,0)),0))</f>
        <v/>
      </c>
      <c r="AB160" s="57" t="str">
        <f aca="false">IF($A160="","",IFERROR(MAX(0,AA160-J160),0))</f>
        <v/>
      </c>
      <c r="AC160" s="39" t="str">
        <f aca="false">IF($A160="","",IF(I160&gt;0,IFERROR(FLOOR(AB160/I160,100),0),0))</f>
        <v/>
      </c>
      <c r="AD160" s="28" t="str">
        <f aca="false">IF($A160="","",IF(N160&gt;INDEX(账户总表!$O:$O,MATCH($A160,账户总表!$A:$A,0)),"超限","合规"))</f>
        <v/>
      </c>
      <c r="AE160" s="1" t="str">
        <f aca="false">IF($A160="","",IFERROR((I160-P160)/I160,0))</f>
        <v/>
      </c>
      <c r="AF160" s="1" t="str">
        <f aca="false">IF($A160="","",IFERROR(MAX(0,(I160-P160)*G160),0))</f>
        <v/>
      </c>
      <c r="AG160" s="1" t="str">
        <f aca="false">IF($A160="","",IF(COUNTIFS(候选池!$C$2:$C$201,C160,候选池!$K$2:$K$201,"核心池")&gt;0,"核心池","否"))</f>
        <v/>
      </c>
      <c r="AH160" s="1" t="str">
        <f aca="false">IF(A160="","",IF(OR(J160="",K160="",K160=0),"",IF((J160-K160)/K160&lt;0.05,"不可加仓(无浮盈护垫)",IF(N160&gt;0.6,"不可加仓(超三买上限)",IF(N160&gt;0.5,"可加仓(三买区,上限60%)",IF(N160&gt;0.35,"可加仓(二买区,上限50%)","可加仓(一买区,上限35%)"))))))</f>
        <v/>
      </c>
    </row>
    <row r="161" customFormat="false" ht="15" hidden="false" customHeight="true" outlineLevel="0" collapsed="false">
      <c r="A161" s="30"/>
      <c r="B161" s="30"/>
      <c r="C161" s="30"/>
      <c r="D161" s="30"/>
      <c r="E161" s="44"/>
      <c r="F161" s="30"/>
      <c r="G161" s="45"/>
      <c r="H161" s="44"/>
      <c r="I161" s="44"/>
      <c r="J161" s="35"/>
      <c r="K161" s="35"/>
      <c r="L161" s="35"/>
      <c r="M161" s="36"/>
      <c r="N161" s="36"/>
      <c r="O161" s="44"/>
      <c r="P161" s="35"/>
      <c r="Q161" s="39"/>
      <c r="R161" s="46"/>
      <c r="S161" s="30"/>
      <c r="T161" s="31"/>
      <c r="U161" s="31"/>
      <c r="V161" s="39"/>
      <c r="W161" s="39"/>
      <c r="X161" s="39"/>
      <c r="Y161" s="39"/>
      <c r="Z161" s="39"/>
      <c r="AA161" s="39" t="str">
        <f aca="false">IF($A161="","",IFERROR(INDEX(账户总表!$B:$B,MATCH($A161,账户总表!$A:$A,0))*INDEX(账户总表!$O:$O,MATCH($A161,账户总表!$A:$A,0)),0))</f>
        <v/>
      </c>
      <c r="AB161" s="57" t="str">
        <f aca="false">IF($A161="","",IFERROR(MAX(0,AA161-J161),0))</f>
        <v/>
      </c>
      <c r="AC161" s="39" t="str">
        <f aca="false">IF($A161="","",IF(I161&gt;0,IFERROR(FLOOR(AB161/I161,100),0),0))</f>
        <v/>
      </c>
      <c r="AD161" s="30" t="str">
        <f aca="false">IF($A161="","",IF(N161&gt;INDEX(账户总表!$O:$O,MATCH($A161,账户总表!$A:$A,0)),"超限","合规"))</f>
        <v/>
      </c>
      <c r="AE161" s="1" t="str">
        <f aca="false">IF($A161="","",IFERROR((I161-P161)/I161,0))</f>
        <v/>
      </c>
      <c r="AF161" s="1" t="str">
        <f aca="false">IF($A161="","",IFERROR(MAX(0,(I161-P161)*G161),0))</f>
        <v/>
      </c>
      <c r="AG161" s="1" t="str">
        <f aca="false">IF($A161="","",IF(COUNTIFS(候选池!$C$2:$C$201,C161,候选池!$K$2:$K$201,"核心池")&gt;0,"核心池","否"))</f>
        <v/>
      </c>
      <c r="AH161" s="1" t="str">
        <f aca="false">IF(A161="","",IF(OR(J161="",K161="",K161=0),"",IF((J161-K161)/K161&lt;0.05,"不可加仓(无浮盈护垫)",IF(N161&gt;0.6,"不可加仓(超三买上限)",IF(N161&gt;0.5,"可加仓(三买区,上限60%)",IF(N161&gt;0.35,"可加仓(二买区,上限50%)","可加仓(一买区,上限35%)"))))))</f>
        <v/>
      </c>
    </row>
    <row r="162" customFormat="false" ht="15" hidden="false" customHeight="true" outlineLevel="0" collapsed="false">
      <c r="A162" s="28"/>
      <c r="B162" s="28"/>
      <c r="C162" s="28"/>
      <c r="D162" s="28"/>
      <c r="E162" s="34"/>
      <c r="F162" s="28"/>
      <c r="G162" s="37"/>
      <c r="H162" s="34"/>
      <c r="I162" s="34"/>
      <c r="J162" s="35"/>
      <c r="K162" s="35"/>
      <c r="L162" s="35"/>
      <c r="M162" s="36"/>
      <c r="N162" s="36"/>
      <c r="O162" s="34"/>
      <c r="P162" s="35"/>
      <c r="Q162" s="39"/>
      <c r="R162" s="40"/>
      <c r="S162" s="28"/>
      <c r="T162" s="29"/>
      <c r="U162" s="29"/>
      <c r="V162" s="39"/>
      <c r="W162" s="39"/>
      <c r="X162" s="39"/>
      <c r="Y162" s="39"/>
      <c r="Z162" s="39"/>
      <c r="AA162" s="39" t="str">
        <f aca="false">IF($A162="","",IFERROR(INDEX(账户总表!$B:$B,MATCH($A162,账户总表!$A:$A,0))*INDEX(账户总表!$O:$O,MATCH($A162,账户总表!$A:$A,0)),0))</f>
        <v/>
      </c>
      <c r="AB162" s="57" t="str">
        <f aca="false">IF($A162="","",IFERROR(MAX(0,AA162-J162),0))</f>
        <v/>
      </c>
      <c r="AC162" s="39" t="str">
        <f aca="false">IF($A162="","",IF(I162&gt;0,IFERROR(FLOOR(AB162/I162,100),0),0))</f>
        <v/>
      </c>
      <c r="AD162" s="28" t="str">
        <f aca="false">IF($A162="","",IF(N162&gt;INDEX(账户总表!$O:$O,MATCH($A162,账户总表!$A:$A,0)),"超限","合规"))</f>
        <v/>
      </c>
      <c r="AE162" s="1" t="str">
        <f aca="false">IF($A162="","",IFERROR((I162-P162)/I162,0))</f>
        <v/>
      </c>
      <c r="AF162" s="1" t="str">
        <f aca="false">IF($A162="","",IFERROR(MAX(0,(I162-P162)*G162),0))</f>
        <v/>
      </c>
      <c r="AG162" s="1" t="str">
        <f aca="false">IF($A162="","",IF(COUNTIFS(候选池!$C$2:$C$201,C162,候选池!$K$2:$K$201,"核心池")&gt;0,"核心池","否"))</f>
        <v/>
      </c>
      <c r="AH162" s="1" t="str">
        <f aca="false">IF(A162="","",IF(OR(J162="",K162="",K162=0),"",IF((J162-K162)/K162&lt;0.05,"不可加仓(无浮盈护垫)",IF(N162&gt;0.6,"不可加仓(超三买上限)",IF(N162&gt;0.5,"可加仓(三买区,上限60%)",IF(N162&gt;0.35,"可加仓(二买区,上限50%)","可加仓(一买区,上限35%)"))))))</f>
        <v/>
      </c>
    </row>
    <row r="163" customFormat="false" ht="15" hidden="false" customHeight="true" outlineLevel="0" collapsed="false">
      <c r="A163" s="30"/>
      <c r="B163" s="30"/>
      <c r="C163" s="30"/>
      <c r="D163" s="30"/>
      <c r="E163" s="44"/>
      <c r="F163" s="30"/>
      <c r="G163" s="45"/>
      <c r="H163" s="44"/>
      <c r="I163" s="44"/>
      <c r="J163" s="35"/>
      <c r="K163" s="35"/>
      <c r="L163" s="35"/>
      <c r="M163" s="36"/>
      <c r="N163" s="36"/>
      <c r="O163" s="44"/>
      <c r="P163" s="35"/>
      <c r="Q163" s="39"/>
      <c r="R163" s="46"/>
      <c r="S163" s="30"/>
      <c r="T163" s="31"/>
      <c r="U163" s="31"/>
      <c r="V163" s="39"/>
      <c r="W163" s="39"/>
      <c r="X163" s="39"/>
      <c r="Y163" s="39"/>
      <c r="Z163" s="39"/>
      <c r="AA163" s="39" t="str">
        <f aca="false">IF($A163="","",IFERROR(INDEX(账户总表!$B:$B,MATCH($A163,账户总表!$A:$A,0))*INDEX(账户总表!$O:$O,MATCH($A163,账户总表!$A:$A,0)),0))</f>
        <v/>
      </c>
      <c r="AB163" s="57" t="str">
        <f aca="false">IF($A163="","",IFERROR(MAX(0,AA163-J163),0))</f>
        <v/>
      </c>
      <c r="AC163" s="39" t="str">
        <f aca="false">IF($A163="","",IF(I163&gt;0,IFERROR(FLOOR(AB163/I163,100),0),0))</f>
        <v/>
      </c>
      <c r="AD163" s="30" t="str">
        <f aca="false">IF($A163="","",IF(N163&gt;INDEX(账户总表!$O:$O,MATCH($A163,账户总表!$A:$A,0)),"超限","合规"))</f>
        <v/>
      </c>
      <c r="AE163" s="1" t="str">
        <f aca="false">IF($A163="","",IFERROR((I163-P163)/I163,0))</f>
        <v/>
      </c>
      <c r="AF163" s="1" t="str">
        <f aca="false">IF($A163="","",IFERROR(MAX(0,(I163-P163)*G163),0))</f>
        <v/>
      </c>
      <c r="AG163" s="1" t="str">
        <f aca="false">IF($A163="","",IF(COUNTIFS(候选池!$C$2:$C$201,C163,候选池!$K$2:$K$201,"核心池")&gt;0,"核心池","否"))</f>
        <v/>
      </c>
      <c r="AH163" s="1" t="str">
        <f aca="false">IF(A163="","",IF(OR(J163="",K163="",K163=0),"",IF((J163-K163)/K163&lt;0.05,"不可加仓(无浮盈护垫)",IF(N163&gt;0.6,"不可加仓(超三买上限)",IF(N163&gt;0.5,"可加仓(三买区,上限60%)",IF(N163&gt;0.35,"可加仓(二买区,上限50%)","可加仓(一买区,上限35%)"))))))</f>
        <v/>
      </c>
    </row>
    <row r="164" customFormat="false" ht="15" hidden="false" customHeight="true" outlineLevel="0" collapsed="false">
      <c r="A164" s="28"/>
      <c r="B164" s="28"/>
      <c r="C164" s="28"/>
      <c r="D164" s="28"/>
      <c r="E164" s="34"/>
      <c r="F164" s="28"/>
      <c r="G164" s="37"/>
      <c r="H164" s="34"/>
      <c r="I164" s="34"/>
      <c r="J164" s="35"/>
      <c r="K164" s="35"/>
      <c r="L164" s="35"/>
      <c r="M164" s="36"/>
      <c r="N164" s="36"/>
      <c r="O164" s="34"/>
      <c r="P164" s="35"/>
      <c r="Q164" s="39"/>
      <c r="R164" s="40"/>
      <c r="S164" s="28"/>
      <c r="T164" s="29"/>
      <c r="U164" s="29"/>
      <c r="V164" s="39"/>
      <c r="W164" s="39"/>
      <c r="X164" s="39"/>
      <c r="Y164" s="39"/>
      <c r="Z164" s="39"/>
      <c r="AA164" s="39" t="str">
        <f aca="false">IF($A164="","",IFERROR(INDEX(账户总表!$B:$B,MATCH($A164,账户总表!$A:$A,0))*INDEX(账户总表!$O:$O,MATCH($A164,账户总表!$A:$A,0)),0))</f>
        <v/>
      </c>
      <c r="AB164" s="57" t="str">
        <f aca="false">IF($A164="","",IFERROR(MAX(0,AA164-J164),0))</f>
        <v/>
      </c>
      <c r="AC164" s="39" t="str">
        <f aca="false">IF($A164="","",IF(I164&gt;0,IFERROR(FLOOR(AB164/I164,100),0),0))</f>
        <v/>
      </c>
      <c r="AD164" s="28" t="str">
        <f aca="false">IF($A164="","",IF(N164&gt;INDEX(账户总表!$O:$O,MATCH($A164,账户总表!$A:$A,0)),"超限","合规"))</f>
        <v/>
      </c>
      <c r="AE164" s="1" t="str">
        <f aca="false">IF($A164="","",IFERROR((I164-P164)/I164,0))</f>
        <v/>
      </c>
      <c r="AF164" s="1" t="str">
        <f aca="false">IF($A164="","",IFERROR(MAX(0,(I164-P164)*G164),0))</f>
        <v/>
      </c>
      <c r="AG164" s="1" t="str">
        <f aca="false">IF($A164="","",IF(COUNTIFS(候选池!$C$2:$C$201,C164,候选池!$K$2:$K$201,"核心池")&gt;0,"核心池","否"))</f>
        <v/>
      </c>
      <c r="AH164" s="1" t="str">
        <f aca="false">IF(A164="","",IF(OR(J164="",K164="",K164=0),"",IF((J164-K164)/K164&lt;0.05,"不可加仓(无浮盈护垫)",IF(N164&gt;0.6,"不可加仓(超三买上限)",IF(N164&gt;0.5,"可加仓(三买区,上限60%)",IF(N164&gt;0.35,"可加仓(二买区,上限50%)","可加仓(一买区,上限35%)"))))))</f>
        <v/>
      </c>
    </row>
    <row r="165" customFormat="false" ht="15" hidden="false" customHeight="true" outlineLevel="0" collapsed="false">
      <c r="A165" s="30"/>
      <c r="B165" s="30"/>
      <c r="C165" s="30"/>
      <c r="D165" s="30"/>
      <c r="E165" s="44"/>
      <c r="F165" s="30"/>
      <c r="G165" s="45"/>
      <c r="H165" s="44"/>
      <c r="I165" s="44"/>
      <c r="J165" s="35"/>
      <c r="K165" s="35"/>
      <c r="L165" s="35"/>
      <c r="M165" s="36"/>
      <c r="N165" s="36"/>
      <c r="O165" s="44"/>
      <c r="P165" s="35"/>
      <c r="Q165" s="39"/>
      <c r="R165" s="46"/>
      <c r="S165" s="30"/>
      <c r="T165" s="31"/>
      <c r="U165" s="31"/>
      <c r="V165" s="39"/>
      <c r="W165" s="39"/>
      <c r="X165" s="39"/>
      <c r="Y165" s="39"/>
      <c r="Z165" s="39"/>
      <c r="AA165" s="39" t="str">
        <f aca="false">IF($A165="","",IFERROR(INDEX(账户总表!$B:$B,MATCH($A165,账户总表!$A:$A,0))*INDEX(账户总表!$O:$O,MATCH($A165,账户总表!$A:$A,0)),0))</f>
        <v/>
      </c>
      <c r="AB165" s="57" t="str">
        <f aca="false">IF($A165="","",IFERROR(MAX(0,AA165-J165),0))</f>
        <v/>
      </c>
      <c r="AC165" s="39" t="str">
        <f aca="false">IF($A165="","",IF(I165&gt;0,IFERROR(FLOOR(AB165/I165,100),0),0))</f>
        <v/>
      </c>
      <c r="AD165" s="30" t="str">
        <f aca="false">IF($A165="","",IF(N165&gt;INDEX(账户总表!$O:$O,MATCH($A165,账户总表!$A:$A,0)),"超限","合规"))</f>
        <v/>
      </c>
      <c r="AE165" s="1" t="str">
        <f aca="false">IF($A165="","",IFERROR((I165-P165)/I165,0))</f>
        <v/>
      </c>
      <c r="AF165" s="1" t="str">
        <f aca="false">IF($A165="","",IFERROR(MAX(0,(I165-P165)*G165),0))</f>
        <v/>
      </c>
      <c r="AG165" s="1" t="str">
        <f aca="false">IF($A165="","",IF(COUNTIFS(候选池!$C$2:$C$201,C165,候选池!$K$2:$K$201,"核心池")&gt;0,"核心池","否"))</f>
        <v/>
      </c>
      <c r="AH165" s="1" t="str">
        <f aca="false">IF(A165="","",IF(OR(J165="",K165="",K165=0),"",IF((J165-K165)/K165&lt;0.05,"不可加仓(无浮盈护垫)",IF(N165&gt;0.6,"不可加仓(超三买上限)",IF(N165&gt;0.5,"可加仓(三买区,上限60%)",IF(N165&gt;0.35,"可加仓(二买区,上限50%)","可加仓(一买区,上限35%)"))))))</f>
        <v/>
      </c>
    </row>
    <row r="166" customFormat="false" ht="15" hidden="false" customHeight="true" outlineLevel="0" collapsed="false">
      <c r="A166" s="28"/>
      <c r="B166" s="28"/>
      <c r="C166" s="28"/>
      <c r="D166" s="28"/>
      <c r="E166" s="34"/>
      <c r="F166" s="28"/>
      <c r="G166" s="37"/>
      <c r="H166" s="34"/>
      <c r="I166" s="34"/>
      <c r="J166" s="35"/>
      <c r="K166" s="35"/>
      <c r="L166" s="35"/>
      <c r="M166" s="36"/>
      <c r="N166" s="36"/>
      <c r="O166" s="34"/>
      <c r="P166" s="35"/>
      <c r="Q166" s="39"/>
      <c r="R166" s="40"/>
      <c r="S166" s="28"/>
      <c r="T166" s="29"/>
      <c r="U166" s="29"/>
      <c r="V166" s="39"/>
      <c r="W166" s="39"/>
      <c r="X166" s="39"/>
      <c r="Y166" s="39"/>
      <c r="Z166" s="39"/>
      <c r="AA166" s="39" t="str">
        <f aca="false">IF($A166="","",IFERROR(INDEX(账户总表!$B:$B,MATCH($A166,账户总表!$A:$A,0))*INDEX(账户总表!$O:$O,MATCH($A166,账户总表!$A:$A,0)),0))</f>
        <v/>
      </c>
      <c r="AB166" s="57" t="str">
        <f aca="false">IF($A166="","",IFERROR(MAX(0,AA166-J166),0))</f>
        <v/>
      </c>
      <c r="AC166" s="39" t="str">
        <f aca="false">IF($A166="","",IF(I166&gt;0,IFERROR(FLOOR(AB166/I166,100),0),0))</f>
        <v/>
      </c>
      <c r="AD166" s="28" t="str">
        <f aca="false">IF($A166="","",IF(N166&gt;INDEX(账户总表!$O:$O,MATCH($A166,账户总表!$A:$A,0)),"超限","合规"))</f>
        <v/>
      </c>
      <c r="AE166" s="1" t="str">
        <f aca="false">IF($A166="","",IFERROR((I166-P166)/I166,0))</f>
        <v/>
      </c>
      <c r="AF166" s="1" t="str">
        <f aca="false">IF($A166="","",IFERROR(MAX(0,(I166-P166)*G166),0))</f>
        <v/>
      </c>
      <c r="AG166" s="1" t="str">
        <f aca="false">IF($A166="","",IF(COUNTIFS(候选池!$C$2:$C$201,C166,候选池!$K$2:$K$201,"核心池")&gt;0,"核心池","否"))</f>
        <v/>
      </c>
      <c r="AH166" s="1" t="str">
        <f aca="false">IF(A166="","",IF(OR(J166="",K166="",K166=0),"",IF((J166-K166)/K166&lt;0.05,"不可加仓(无浮盈护垫)",IF(N166&gt;0.6,"不可加仓(超三买上限)",IF(N166&gt;0.5,"可加仓(三买区,上限60%)",IF(N166&gt;0.35,"可加仓(二买区,上限50%)","可加仓(一买区,上限35%)"))))))</f>
        <v/>
      </c>
    </row>
    <row r="167" customFormat="false" ht="15" hidden="false" customHeight="true" outlineLevel="0" collapsed="false">
      <c r="A167" s="30"/>
      <c r="B167" s="30"/>
      <c r="C167" s="30"/>
      <c r="D167" s="30"/>
      <c r="E167" s="44"/>
      <c r="F167" s="30"/>
      <c r="G167" s="45"/>
      <c r="H167" s="44"/>
      <c r="I167" s="44"/>
      <c r="J167" s="35"/>
      <c r="K167" s="35"/>
      <c r="L167" s="35"/>
      <c r="M167" s="36"/>
      <c r="N167" s="36"/>
      <c r="O167" s="44"/>
      <c r="P167" s="35"/>
      <c r="Q167" s="39"/>
      <c r="R167" s="46"/>
      <c r="S167" s="30"/>
      <c r="T167" s="31"/>
      <c r="U167" s="31"/>
      <c r="V167" s="39"/>
      <c r="W167" s="39"/>
      <c r="X167" s="39"/>
      <c r="Y167" s="39"/>
      <c r="Z167" s="39"/>
      <c r="AA167" s="39" t="str">
        <f aca="false">IF($A167="","",IFERROR(INDEX(账户总表!$B:$B,MATCH($A167,账户总表!$A:$A,0))*INDEX(账户总表!$O:$O,MATCH($A167,账户总表!$A:$A,0)),0))</f>
        <v/>
      </c>
      <c r="AB167" s="57" t="str">
        <f aca="false">IF($A167="","",IFERROR(MAX(0,AA167-J167),0))</f>
        <v/>
      </c>
      <c r="AC167" s="39" t="str">
        <f aca="false">IF($A167="","",IF(I167&gt;0,IFERROR(FLOOR(AB167/I167,100),0),0))</f>
        <v/>
      </c>
      <c r="AD167" s="30" t="str">
        <f aca="false">IF($A167="","",IF(N167&gt;INDEX(账户总表!$O:$O,MATCH($A167,账户总表!$A:$A,0)),"超限","合规"))</f>
        <v/>
      </c>
      <c r="AE167" s="1" t="str">
        <f aca="false">IF($A167="","",IFERROR((I167-P167)/I167,0))</f>
        <v/>
      </c>
      <c r="AF167" s="1" t="str">
        <f aca="false">IF($A167="","",IFERROR(MAX(0,(I167-P167)*G167),0))</f>
        <v/>
      </c>
      <c r="AG167" s="1" t="str">
        <f aca="false">IF($A167="","",IF(COUNTIFS(候选池!$C$2:$C$201,C167,候选池!$K$2:$K$201,"核心池")&gt;0,"核心池","否"))</f>
        <v/>
      </c>
      <c r="AH167" s="1" t="str">
        <f aca="false">IF(A167="","",IF(OR(J167="",K167="",K167=0),"",IF((J167-K167)/K167&lt;0.05,"不可加仓(无浮盈护垫)",IF(N167&gt;0.6,"不可加仓(超三买上限)",IF(N167&gt;0.5,"可加仓(三买区,上限60%)",IF(N167&gt;0.35,"可加仓(二买区,上限50%)","可加仓(一买区,上限35%)"))))))</f>
        <v/>
      </c>
    </row>
    <row r="168" customFormat="false" ht="15" hidden="false" customHeight="true" outlineLevel="0" collapsed="false">
      <c r="A168" s="28"/>
      <c r="B168" s="28"/>
      <c r="C168" s="28"/>
      <c r="D168" s="28"/>
      <c r="E168" s="34"/>
      <c r="F168" s="28"/>
      <c r="G168" s="37"/>
      <c r="H168" s="34"/>
      <c r="I168" s="34"/>
      <c r="J168" s="35"/>
      <c r="K168" s="35"/>
      <c r="L168" s="35"/>
      <c r="M168" s="36"/>
      <c r="N168" s="36"/>
      <c r="O168" s="34"/>
      <c r="P168" s="35"/>
      <c r="Q168" s="39"/>
      <c r="R168" s="40"/>
      <c r="S168" s="28"/>
      <c r="T168" s="29"/>
      <c r="U168" s="29"/>
      <c r="V168" s="39"/>
      <c r="W168" s="39"/>
      <c r="X168" s="39"/>
      <c r="Y168" s="39"/>
      <c r="Z168" s="39"/>
      <c r="AA168" s="39" t="str">
        <f aca="false">IF($A168="","",IFERROR(INDEX(账户总表!$B:$B,MATCH($A168,账户总表!$A:$A,0))*INDEX(账户总表!$O:$O,MATCH($A168,账户总表!$A:$A,0)),0))</f>
        <v/>
      </c>
      <c r="AB168" s="57" t="str">
        <f aca="false">IF($A168="","",IFERROR(MAX(0,AA168-J168),0))</f>
        <v/>
      </c>
      <c r="AC168" s="39" t="str">
        <f aca="false">IF($A168="","",IF(I168&gt;0,IFERROR(FLOOR(AB168/I168,100),0),0))</f>
        <v/>
      </c>
      <c r="AD168" s="28" t="str">
        <f aca="false">IF($A168="","",IF(N168&gt;INDEX(账户总表!$O:$O,MATCH($A168,账户总表!$A:$A,0)),"超限","合规"))</f>
        <v/>
      </c>
      <c r="AE168" s="1" t="str">
        <f aca="false">IF($A168="","",IFERROR((I168-P168)/I168,0))</f>
        <v/>
      </c>
      <c r="AF168" s="1" t="str">
        <f aca="false">IF($A168="","",IFERROR(MAX(0,(I168-P168)*G168),0))</f>
        <v/>
      </c>
      <c r="AG168" s="1" t="str">
        <f aca="false">IF($A168="","",IF(COUNTIFS(候选池!$C$2:$C$201,C168,候选池!$K$2:$K$201,"核心池")&gt;0,"核心池","否"))</f>
        <v/>
      </c>
      <c r="AH168" s="1" t="str">
        <f aca="false">IF(A168="","",IF(OR(J168="",K168="",K168=0),"",IF((J168-K168)/K168&lt;0.05,"不可加仓(无浮盈护垫)",IF(N168&gt;0.6,"不可加仓(超三买上限)",IF(N168&gt;0.5,"可加仓(三买区,上限60%)",IF(N168&gt;0.35,"可加仓(二买区,上限50%)","可加仓(一买区,上限35%)"))))))</f>
        <v/>
      </c>
    </row>
    <row r="169" customFormat="false" ht="15" hidden="false" customHeight="true" outlineLevel="0" collapsed="false">
      <c r="A169" s="30"/>
      <c r="B169" s="30"/>
      <c r="C169" s="30"/>
      <c r="D169" s="30"/>
      <c r="E169" s="44"/>
      <c r="F169" s="30"/>
      <c r="G169" s="45"/>
      <c r="H169" s="44"/>
      <c r="I169" s="44"/>
      <c r="J169" s="35"/>
      <c r="K169" s="35"/>
      <c r="L169" s="35"/>
      <c r="M169" s="36"/>
      <c r="N169" s="36"/>
      <c r="O169" s="44"/>
      <c r="P169" s="35"/>
      <c r="Q169" s="39"/>
      <c r="R169" s="46"/>
      <c r="S169" s="30"/>
      <c r="T169" s="31"/>
      <c r="U169" s="31"/>
      <c r="V169" s="39"/>
      <c r="W169" s="39"/>
      <c r="X169" s="39"/>
      <c r="Y169" s="39"/>
      <c r="Z169" s="39"/>
      <c r="AA169" s="39" t="str">
        <f aca="false">IF($A169="","",IFERROR(INDEX(账户总表!$B:$B,MATCH($A169,账户总表!$A:$A,0))*INDEX(账户总表!$O:$O,MATCH($A169,账户总表!$A:$A,0)),0))</f>
        <v/>
      </c>
      <c r="AB169" s="57" t="str">
        <f aca="false">IF($A169="","",IFERROR(MAX(0,AA169-J169),0))</f>
        <v/>
      </c>
      <c r="AC169" s="39" t="str">
        <f aca="false">IF($A169="","",IF(I169&gt;0,IFERROR(FLOOR(AB169/I169,100),0),0))</f>
        <v/>
      </c>
      <c r="AD169" s="30" t="str">
        <f aca="false">IF($A169="","",IF(N169&gt;INDEX(账户总表!$O:$O,MATCH($A169,账户总表!$A:$A,0)),"超限","合规"))</f>
        <v/>
      </c>
      <c r="AE169" s="1" t="str">
        <f aca="false">IF($A169="","",IFERROR((I169-P169)/I169,0))</f>
        <v/>
      </c>
      <c r="AF169" s="1" t="str">
        <f aca="false">IF($A169="","",IFERROR(MAX(0,(I169-P169)*G169),0))</f>
        <v/>
      </c>
      <c r="AG169" s="1" t="str">
        <f aca="false">IF($A169="","",IF(COUNTIFS(候选池!$C$2:$C$201,C169,候选池!$K$2:$K$201,"核心池")&gt;0,"核心池","否"))</f>
        <v/>
      </c>
      <c r="AH169" s="1" t="str">
        <f aca="false">IF(A169="","",IF(OR(J169="",K169="",K169=0),"",IF((J169-K169)/K169&lt;0.05,"不可加仓(无浮盈护垫)",IF(N169&gt;0.6,"不可加仓(超三买上限)",IF(N169&gt;0.5,"可加仓(三买区,上限60%)",IF(N169&gt;0.35,"可加仓(二买区,上限50%)","可加仓(一买区,上限35%)"))))))</f>
        <v/>
      </c>
    </row>
    <row r="170" customFormat="false" ht="15" hidden="false" customHeight="true" outlineLevel="0" collapsed="false">
      <c r="A170" s="28"/>
      <c r="B170" s="28"/>
      <c r="C170" s="28"/>
      <c r="D170" s="28"/>
      <c r="E170" s="34"/>
      <c r="F170" s="28"/>
      <c r="G170" s="37"/>
      <c r="H170" s="34"/>
      <c r="I170" s="34"/>
      <c r="J170" s="35"/>
      <c r="K170" s="35"/>
      <c r="L170" s="35"/>
      <c r="M170" s="36"/>
      <c r="N170" s="36"/>
      <c r="O170" s="34"/>
      <c r="P170" s="35"/>
      <c r="Q170" s="39"/>
      <c r="R170" s="40"/>
      <c r="S170" s="28"/>
      <c r="T170" s="29"/>
      <c r="U170" s="29"/>
      <c r="V170" s="39"/>
      <c r="W170" s="39"/>
      <c r="X170" s="39"/>
      <c r="Y170" s="39"/>
      <c r="Z170" s="39"/>
      <c r="AA170" s="39" t="str">
        <f aca="false">IF($A170="","",IFERROR(INDEX(账户总表!$B:$B,MATCH($A170,账户总表!$A:$A,0))*INDEX(账户总表!$O:$O,MATCH($A170,账户总表!$A:$A,0)),0))</f>
        <v/>
      </c>
      <c r="AB170" s="57" t="str">
        <f aca="false">IF($A170="","",IFERROR(MAX(0,AA170-J170),0))</f>
        <v/>
      </c>
      <c r="AC170" s="39" t="str">
        <f aca="false">IF($A170="","",IF(I170&gt;0,IFERROR(FLOOR(AB170/I170,100),0),0))</f>
        <v/>
      </c>
      <c r="AD170" s="28" t="str">
        <f aca="false">IF($A170="","",IF(N170&gt;INDEX(账户总表!$O:$O,MATCH($A170,账户总表!$A:$A,0)),"超限","合规"))</f>
        <v/>
      </c>
      <c r="AE170" s="1" t="str">
        <f aca="false">IF($A170="","",IFERROR((I170-P170)/I170,0))</f>
        <v/>
      </c>
      <c r="AF170" s="1" t="str">
        <f aca="false">IF($A170="","",IFERROR(MAX(0,(I170-P170)*G170),0))</f>
        <v/>
      </c>
      <c r="AG170" s="1" t="str">
        <f aca="false">IF($A170="","",IF(COUNTIFS(候选池!$C$2:$C$201,C170,候选池!$K$2:$K$201,"核心池")&gt;0,"核心池","否"))</f>
        <v/>
      </c>
      <c r="AH170" s="1" t="str">
        <f aca="false">IF(A170="","",IF(OR(J170="",K170="",K170=0),"",IF((J170-K170)/K170&lt;0.05,"不可加仓(无浮盈护垫)",IF(N170&gt;0.6,"不可加仓(超三买上限)",IF(N170&gt;0.5,"可加仓(三买区,上限60%)",IF(N170&gt;0.35,"可加仓(二买区,上限50%)","可加仓(一买区,上限35%)"))))))</f>
        <v/>
      </c>
    </row>
    <row r="171" customFormat="false" ht="15" hidden="false" customHeight="true" outlineLevel="0" collapsed="false">
      <c r="A171" s="30"/>
      <c r="B171" s="30"/>
      <c r="C171" s="30"/>
      <c r="D171" s="30"/>
      <c r="E171" s="44"/>
      <c r="F171" s="30"/>
      <c r="G171" s="45"/>
      <c r="H171" s="44"/>
      <c r="I171" s="44"/>
      <c r="J171" s="35"/>
      <c r="K171" s="35"/>
      <c r="L171" s="35"/>
      <c r="M171" s="36"/>
      <c r="N171" s="36"/>
      <c r="O171" s="44"/>
      <c r="P171" s="35"/>
      <c r="Q171" s="39"/>
      <c r="R171" s="46"/>
      <c r="S171" s="30"/>
      <c r="T171" s="31"/>
      <c r="U171" s="31"/>
      <c r="V171" s="39"/>
      <c r="W171" s="39"/>
      <c r="X171" s="39"/>
      <c r="Y171" s="39"/>
      <c r="Z171" s="39"/>
      <c r="AA171" s="39" t="str">
        <f aca="false">IF($A171="","",IFERROR(INDEX(账户总表!$B:$B,MATCH($A171,账户总表!$A:$A,0))*INDEX(账户总表!$O:$O,MATCH($A171,账户总表!$A:$A,0)),0))</f>
        <v/>
      </c>
      <c r="AB171" s="57" t="str">
        <f aca="false">IF($A171="","",IFERROR(MAX(0,AA171-J171),0))</f>
        <v/>
      </c>
      <c r="AC171" s="39" t="str">
        <f aca="false">IF($A171="","",IF(I171&gt;0,IFERROR(FLOOR(AB171/I171,100),0),0))</f>
        <v/>
      </c>
      <c r="AD171" s="30" t="str">
        <f aca="false">IF($A171="","",IF(N171&gt;INDEX(账户总表!$O:$O,MATCH($A171,账户总表!$A:$A,0)),"超限","合规"))</f>
        <v/>
      </c>
      <c r="AE171" s="1" t="str">
        <f aca="false">IF($A171="","",IFERROR((I171-P171)/I171,0))</f>
        <v/>
      </c>
      <c r="AF171" s="1" t="str">
        <f aca="false">IF($A171="","",IFERROR(MAX(0,(I171-P171)*G171),0))</f>
        <v/>
      </c>
      <c r="AG171" s="1" t="str">
        <f aca="false">IF($A171="","",IF(COUNTIFS(候选池!$C$2:$C$201,C171,候选池!$K$2:$K$201,"核心池")&gt;0,"核心池","否"))</f>
        <v/>
      </c>
      <c r="AH171" s="1" t="str">
        <f aca="false">IF(A171="","",IF(OR(J171="",K171="",K171=0),"",IF((J171-K171)/K171&lt;0.05,"不可加仓(无浮盈护垫)",IF(N171&gt;0.6,"不可加仓(超三买上限)",IF(N171&gt;0.5,"可加仓(三买区,上限60%)",IF(N171&gt;0.35,"可加仓(二买区,上限50%)","可加仓(一买区,上限35%)"))))))</f>
        <v/>
      </c>
    </row>
    <row r="172" customFormat="false" ht="15" hidden="false" customHeight="true" outlineLevel="0" collapsed="false">
      <c r="A172" s="28"/>
      <c r="B172" s="28"/>
      <c r="C172" s="28"/>
      <c r="D172" s="28"/>
      <c r="E172" s="34"/>
      <c r="F172" s="28"/>
      <c r="G172" s="37"/>
      <c r="H172" s="34"/>
      <c r="I172" s="34"/>
      <c r="J172" s="35"/>
      <c r="K172" s="35"/>
      <c r="L172" s="35"/>
      <c r="M172" s="36"/>
      <c r="N172" s="36"/>
      <c r="O172" s="34"/>
      <c r="P172" s="35"/>
      <c r="Q172" s="39"/>
      <c r="R172" s="40"/>
      <c r="S172" s="28"/>
      <c r="T172" s="29"/>
      <c r="U172" s="29"/>
      <c r="V172" s="39"/>
      <c r="W172" s="39"/>
      <c r="X172" s="39"/>
      <c r="Y172" s="39"/>
      <c r="Z172" s="39"/>
      <c r="AA172" s="39" t="str">
        <f aca="false">IF($A172="","",IFERROR(INDEX(账户总表!$B:$B,MATCH($A172,账户总表!$A:$A,0))*INDEX(账户总表!$O:$O,MATCH($A172,账户总表!$A:$A,0)),0))</f>
        <v/>
      </c>
      <c r="AB172" s="57" t="str">
        <f aca="false">IF($A172="","",IFERROR(MAX(0,AA172-J172),0))</f>
        <v/>
      </c>
      <c r="AC172" s="39" t="str">
        <f aca="false">IF($A172="","",IF(I172&gt;0,IFERROR(FLOOR(AB172/I172,100),0),0))</f>
        <v/>
      </c>
      <c r="AD172" s="28" t="str">
        <f aca="false">IF($A172="","",IF(N172&gt;INDEX(账户总表!$O:$O,MATCH($A172,账户总表!$A:$A,0)),"超限","合规"))</f>
        <v/>
      </c>
      <c r="AE172" s="1" t="str">
        <f aca="false">IF($A172="","",IFERROR((I172-P172)/I172,0))</f>
        <v/>
      </c>
      <c r="AF172" s="1" t="str">
        <f aca="false">IF($A172="","",IFERROR(MAX(0,(I172-P172)*G172),0))</f>
        <v/>
      </c>
      <c r="AG172" s="1" t="str">
        <f aca="false">IF($A172="","",IF(COUNTIFS(候选池!$C$2:$C$201,C172,候选池!$K$2:$K$201,"核心池")&gt;0,"核心池","否"))</f>
        <v/>
      </c>
      <c r="AH172" s="1" t="str">
        <f aca="false">IF(A172="","",IF(OR(J172="",K172="",K172=0),"",IF((J172-K172)/K172&lt;0.05,"不可加仓(无浮盈护垫)",IF(N172&gt;0.6,"不可加仓(超三买上限)",IF(N172&gt;0.5,"可加仓(三买区,上限60%)",IF(N172&gt;0.35,"可加仓(二买区,上限50%)","可加仓(一买区,上限35%)"))))))</f>
        <v/>
      </c>
    </row>
    <row r="173" customFormat="false" ht="15" hidden="false" customHeight="true" outlineLevel="0" collapsed="false">
      <c r="A173" s="30"/>
      <c r="B173" s="30"/>
      <c r="C173" s="30"/>
      <c r="D173" s="30"/>
      <c r="E173" s="44"/>
      <c r="F173" s="30"/>
      <c r="G173" s="45"/>
      <c r="H173" s="44"/>
      <c r="I173" s="44"/>
      <c r="J173" s="35"/>
      <c r="K173" s="35"/>
      <c r="L173" s="35"/>
      <c r="M173" s="36"/>
      <c r="N173" s="36"/>
      <c r="O173" s="44"/>
      <c r="P173" s="35"/>
      <c r="Q173" s="39"/>
      <c r="R173" s="46"/>
      <c r="S173" s="30"/>
      <c r="T173" s="31"/>
      <c r="U173" s="31"/>
      <c r="V173" s="39"/>
      <c r="W173" s="39"/>
      <c r="X173" s="39"/>
      <c r="Y173" s="39"/>
      <c r="Z173" s="39"/>
      <c r="AA173" s="39" t="str">
        <f aca="false">IF($A173="","",IFERROR(INDEX(账户总表!$B:$B,MATCH($A173,账户总表!$A:$A,0))*INDEX(账户总表!$O:$O,MATCH($A173,账户总表!$A:$A,0)),0))</f>
        <v/>
      </c>
      <c r="AB173" s="57" t="str">
        <f aca="false">IF($A173="","",IFERROR(MAX(0,AA173-J173),0))</f>
        <v/>
      </c>
      <c r="AC173" s="39" t="str">
        <f aca="false">IF($A173="","",IF(I173&gt;0,IFERROR(FLOOR(AB173/I173,100),0),0))</f>
        <v/>
      </c>
      <c r="AD173" s="30" t="str">
        <f aca="false">IF($A173="","",IF(N173&gt;INDEX(账户总表!$O:$O,MATCH($A173,账户总表!$A:$A,0)),"超限","合规"))</f>
        <v/>
      </c>
      <c r="AE173" s="1" t="str">
        <f aca="false">IF($A173="","",IFERROR((I173-P173)/I173,0))</f>
        <v/>
      </c>
      <c r="AF173" s="1" t="str">
        <f aca="false">IF($A173="","",IFERROR(MAX(0,(I173-P173)*G173),0))</f>
        <v/>
      </c>
      <c r="AG173" s="1" t="str">
        <f aca="false">IF($A173="","",IF(COUNTIFS(候选池!$C$2:$C$201,C173,候选池!$K$2:$K$201,"核心池")&gt;0,"核心池","否"))</f>
        <v/>
      </c>
      <c r="AH173" s="1" t="str">
        <f aca="false">IF(A173="","",IF(OR(J173="",K173="",K173=0),"",IF((J173-K173)/K173&lt;0.05,"不可加仓(无浮盈护垫)",IF(N173&gt;0.6,"不可加仓(超三买上限)",IF(N173&gt;0.5,"可加仓(三买区,上限60%)",IF(N173&gt;0.35,"可加仓(二买区,上限50%)","可加仓(一买区,上限35%)"))))))</f>
        <v/>
      </c>
    </row>
    <row r="174" customFormat="false" ht="15" hidden="false" customHeight="true" outlineLevel="0" collapsed="false">
      <c r="A174" s="28"/>
      <c r="B174" s="28"/>
      <c r="C174" s="28"/>
      <c r="D174" s="28"/>
      <c r="E174" s="34"/>
      <c r="F174" s="28"/>
      <c r="G174" s="37"/>
      <c r="H174" s="34"/>
      <c r="I174" s="34"/>
      <c r="J174" s="35"/>
      <c r="K174" s="35"/>
      <c r="L174" s="35"/>
      <c r="M174" s="36"/>
      <c r="N174" s="36"/>
      <c r="O174" s="34"/>
      <c r="P174" s="35"/>
      <c r="Q174" s="39"/>
      <c r="R174" s="40"/>
      <c r="S174" s="28"/>
      <c r="T174" s="29"/>
      <c r="U174" s="29"/>
      <c r="V174" s="39"/>
      <c r="W174" s="39"/>
      <c r="X174" s="39"/>
      <c r="Y174" s="39"/>
      <c r="Z174" s="39"/>
      <c r="AA174" s="39" t="str">
        <f aca="false">IF($A174="","",IFERROR(INDEX(账户总表!$B:$B,MATCH($A174,账户总表!$A:$A,0))*INDEX(账户总表!$O:$O,MATCH($A174,账户总表!$A:$A,0)),0))</f>
        <v/>
      </c>
      <c r="AB174" s="57" t="str">
        <f aca="false">IF($A174="","",IFERROR(MAX(0,AA174-J174),0))</f>
        <v/>
      </c>
      <c r="AC174" s="39" t="str">
        <f aca="false">IF($A174="","",IF(I174&gt;0,IFERROR(FLOOR(AB174/I174,100),0),0))</f>
        <v/>
      </c>
      <c r="AD174" s="28" t="str">
        <f aca="false">IF($A174="","",IF(N174&gt;INDEX(账户总表!$O:$O,MATCH($A174,账户总表!$A:$A,0)),"超限","合规"))</f>
        <v/>
      </c>
      <c r="AE174" s="1" t="str">
        <f aca="false">IF($A174="","",IFERROR((I174-P174)/I174,0))</f>
        <v/>
      </c>
      <c r="AF174" s="1" t="str">
        <f aca="false">IF($A174="","",IFERROR(MAX(0,(I174-P174)*G174),0))</f>
        <v/>
      </c>
      <c r="AG174" s="1" t="str">
        <f aca="false">IF($A174="","",IF(COUNTIFS(候选池!$C$2:$C$201,C174,候选池!$K$2:$K$201,"核心池")&gt;0,"核心池","否"))</f>
        <v/>
      </c>
      <c r="AH174" s="1" t="str">
        <f aca="false">IF(A174="","",IF(OR(J174="",K174="",K174=0),"",IF((J174-K174)/K174&lt;0.05,"不可加仓(无浮盈护垫)",IF(N174&gt;0.6,"不可加仓(超三买上限)",IF(N174&gt;0.5,"可加仓(三买区,上限60%)",IF(N174&gt;0.35,"可加仓(二买区,上限50%)","可加仓(一买区,上限35%)"))))))</f>
        <v/>
      </c>
    </row>
    <row r="175" customFormat="false" ht="15" hidden="false" customHeight="true" outlineLevel="0" collapsed="false">
      <c r="A175" s="30"/>
      <c r="B175" s="30"/>
      <c r="C175" s="30"/>
      <c r="D175" s="30"/>
      <c r="E175" s="44"/>
      <c r="F175" s="30"/>
      <c r="G175" s="45"/>
      <c r="H175" s="44"/>
      <c r="I175" s="44"/>
      <c r="J175" s="35"/>
      <c r="K175" s="35"/>
      <c r="L175" s="35"/>
      <c r="M175" s="36"/>
      <c r="N175" s="36"/>
      <c r="O175" s="44"/>
      <c r="P175" s="35"/>
      <c r="Q175" s="39"/>
      <c r="R175" s="46"/>
      <c r="S175" s="30"/>
      <c r="T175" s="31"/>
      <c r="U175" s="31"/>
      <c r="V175" s="39"/>
      <c r="W175" s="39"/>
      <c r="X175" s="39"/>
      <c r="Y175" s="39"/>
      <c r="Z175" s="39"/>
      <c r="AA175" s="39" t="str">
        <f aca="false">IF($A175="","",IFERROR(INDEX(账户总表!$B:$B,MATCH($A175,账户总表!$A:$A,0))*INDEX(账户总表!$O:$O,MATCH($A175,账户总表!$A:$A,0)),0))</f>
        <v/>
      </c>
      <c r="AB175" s="57" t="str">
        <f aca="false">IF($A175="","",IFERROR(MAX(0,AA175-J175),0))</f>
        <v/>
      </c>
      <c r="AC175" s="39" t="str">
        <f aca="false">IF($A175="","",IF(I175&gt;0,IFERROR(FLOOR(AB175/I175,100),0),0))</f>
        <v/>
      </c>
      <c r="AD175" s="30" t="str">
        <f aca="false">IF($A175="","",IF(N175&gt;INDEX(账户总表!$O:$O,MATCH($A175,账户总表!$A:$A,0)),"超限","合规"))</f>
        <v/>
      </c>
      <c r="AE175" s="1" t="str">
        <f aca="false">IF($A175="","",IFERROR((I175-P175)/I175,0))</f>
        <v/>
      </c>
      <c r="AF175" s="1" t="str">
        <f aca="false">IF($A175="","",IFERROR(MAX(0,(I175-P175)*G175),0))</f>
        <v/>
      </c>
      <c r="AG175" s="1" t="str">
        <f aca="false">IF($A175="","",IF(COUNTIFS(候选池!$C$2:$C$201,C175,候选池!$K$2:$K$201,"核心池")&gt;0,"核心池","否"))</f>
        <v/>
      </c>
      <c r="AH175" s="1" t="str">
        <f aca="false">IF(A175="","",IF(OR(J175="",K175="",K175=0),"",IF((J175-K175)/K175&lt;0.05,"不可加仓(无浮盈护垫)",IF(N175&gt;0.6,"不可加仓(超三买上限)",IF(N175&gt;0.5,"可加仓(三买区,上限60%)",IF(N175&gt;0.35,"可加仓(二买区,上限50%)","可加仓(一买区,上限35%)"))))))</f>
        <v/>
      </c>
    </row>
    <row r="176" customFormat="false" ht="15" hidden="false" customHeight="true" outlineLevel="0" collapsed="false">
      <c r="A176" s="28"/>
      <c r="B176" s="28"/>
      <c r="C176" s="28"/>
      <c r="D176" s="28"/>
      <c r="E176" s="34"/>
      <c r="F176" s="28"/>
      <c r="G176" s="37"/>
      <c r="H176" s="34"/>
      <c r="I176" s="34"/>
      <c r="J176" s="35"/>
      <c r="K176" s="35"/>
      <c r="L176" s="35"/>
      <c r="M176" s="36"/>
      <c r="N176" s="36"/>
      <c r="O176" s="34"/>
      <c r="P176" s="35"/>
      <c r="Q176" s="39"/>
      <c r="R176" s="40"/>
      <c r="S176" s="28"/>
      <c r="T176" s="29"/>
      <c r="U176" s="29"/>
      <c r="V176" s="39"/>
      <c r="W176" s="39"/>
      <c r="X176" s="39"/>
      <c r="Y176" s="39"/>
      <c r="Z176" s="39"/>
      <c r="AA176" s="39" t="str">
        <f aca="false">IF($A176="","",IFERROR(INDEX(账户总表!$B:$B,MATCH($A176,账户总表!$A:$A,0))*INDEX(账户总表!$O:$O,MATCH($A176,账户总表!$A:$A,0)),0))</f>
        <v/>
      </c>
      <c r="AB176" s="57" t="str">
        <f aca="false">IF($A176="","",IFERROR(MAX(0,AA176-J176),0))</f>
        <v/>
      </c>
      <c r="AC176" s="39" t="str">
        <f aca="false">IF($A176="","",IF(I176&gt;0,IFERROR(FLOOR(AB176/I176,100),0),0))</f>
        <v/>
      </c>
      <c r="AD176" s="28" t="str">
        <f aca="false">IF($A176="","",IF(N176&gt;INDEX(账户总表!$O:$O,MATCH($A176,账户总表!$A:$A,0)),"超限","合规"))</f>
        <v/>
      </c>
      <c r="AE176" s="1" t="str">
        <f aca="false">IF($A176="","",IFERROR((I176-P176)/I176,0))</f>
        <v/>
      </c>
      <c r="AF176" s="1" t="str">
        <f aca="false">IF($A176="","",IFERROR(MAX(0,(I176-P176)*G176),0))</f>
        <v/>
      </c>
      <c r="AG176" s="1" t="str">
        <f aca="false">IF($A176="","",IF(COUNTIFS(候选池!$C$2:$C$201,C176,候选池!$K$2:$K$201,"核心池")&gt;0,"核心池","否"))</f>
        <v/>
      </c>
      <c r="AH176" s="1" t="str">
        <f aca="false">IF(A176="","",IF(OR(J176="",K176="",K176=0),"",IF((J176-K176)/K176&lt;0.05,"不可加仓(无浮盈护垫)",IF(N176&gt;0.6,"不可加仓(超三买上限)",IF(N176&gt;0.5,"可加仓(三买区,上限60%)",IF(N176&gt;0.35,"可加仓(二买区,上限50%)","可加仓(一买区,上限35%)"))))))</f>
        <v/>
      </c>
    </row>
    <row r="177" customFormat="false" ht="15" hidden="false" customHeight="true" outlineLevel="0" collapsed="false">
      <c r="A177" s="30"/>
      <c r="B177" s="30"/>
      <c r="C177" s="30"/>
      <c r="D177" s="30"/>
      <c r="E177" s="44"/>
      <c r="F177" s="30"/>
      <c r="G177" s="45"/>
      <c r="H177" s="44"/>
      <c r="I177" s="44"/>
      <c r="J177" s="35"/>
      <c r="K177" s="35"/>
      <c r="L177" s="35"/>
      <c r="M177" s="36"/>
      <c r="N177" s="36"/>
      <c r="O177" s="44"/>
      <c r="P177" s="35"/>
      <c r="Q177" s="39"/>
      <c r="R177" s="46"/>
      <c r="S177" s="30"/>
      <c r="T177" s="31"/>
      <c r="U177" s="31"/>
      <c r="V177" s="39"/>
      <c r="W177" s="39"/>
      <c r="X177" s="39"/>
      <c r="Y177" s="39"/>
      <c r="Z177" s="39"/>
      <c r="AA177" s="39" t="str">
        <f aca="false">IF($A177="","",IFERROR(INDEX(账户总表!$B:$B,MATCH($A177,账户总表!$A:$A,0))*INDEX(账户总表!$O:$O,MATCH($A177,账户总表!$A:$A,0)),0))</f>
        <v/>
      </c>
      <c r="AB177" s="57" t="str">
        <f aca="false">IF($A177="","",IFERROR(MAX(0,AA177-J177),0))</f>
        <v/>
      </c>
      <c r="AC177" s="39" t="str">
        <f aca="false">IF($A177="","",IF(I177&gt;0,IFERROR(FLOOR(AB177/I177,100),0),0))</f>
        <v/>
      </c>
      <c r="AD177" s="30" t="str">
        <f aca="false">IF($A177="","",IF(N177&gt;INDEX(账户总表!$O:$O,MATCH($A177,账户总表!$A:$A,0)),"超限","合规"))</f>
        <v/>
      </c>
      <c r="AE177" s="1" t="str">
        <f aca="false">IF($A177="","",IFERROR((I177-P177)/I177,0))</f>
        <v/>
      </c>
      <c r="AF177" s="1" t="str">
        <f aca="false">IF($A177="","",IFERROR(MAX(0,(I177-P177)*G177),0))</f>
        <v/>
      </c>
      <c r="AG177" s="1" t="str">
        <f aca="false">IF($A177="","",IF(COUNTIFS(候选池!$C$2:$C$201,C177,候选池!$K$2:$K$201,"核心池")&gt;0,"核心池","否"))</f>
        <v/>
      </c>
      <c r="AH177" s="1" t="str">
        <f aca="false">IF(A177="","",IF(OR(J177="",K177="",K177=0),"",IF((J177-K177)/K177&lt;0.05,"不可加仓(无浮盈护垫)",IF(N177&gt;0.6,"不可加仓(超三买上限)",IF(N177&gt;0.5,"可加仓(三买区,上限60%)",IF(N177&gt;0.35,"可加仓(二买区,上限50%)","可加仓(一买区,上限35%)"))))))</f>
        <v/>
      </c>
    </row>
    <row r="178" customFormat="false" ht="15" hidden="false" customHeight="true" outlineLevel="0" collapsed="false">
      <c r="A178" s="28"/>
      <c r="B178" s="28"/>
      <c r="C178" s="28"/>
      <c r="D178" s="28"/>
      <c r="E178" s="34"/>
      <c r="F178" s="28"/>
      <c r="G178" s="37"/>
      <c r="H178" s="34"/>
      <c r="I178" s="34"/>
      <c r="J178" s="35"/>
      <c r="K178" s="35"/>
      <c r="L178" s="35"/>
      <c r="M178" s="36"/>
      <c r="N178" s="36"/>
      <c r="O178" s="34"/>
      <c r="P178" s="35"/>
      <c r="Q178" s="39"/>
      <c r="R178" s="40"/>
      <c r="S178" s="28"/>
      <c r="T178" s="29"/>
      <c r="U178" s="29"/>
      <c r="V178" s="39"/>
      <c r="W178" s="39"/>
      <c r="X178" s="39"/>
      <c r="Y178" s="39"/>
      <c r="Z178" s="39"/>
      <c r="AA178" s="39" t="str">
        <f aca="false">IF($A178="","",IFERROR(INDEX(账户总表!$B:$B,MATCH($A178,账户总表!$A:$A,0))*INDEX(账户总表!$O:$O,MATCH($A178,账户总表!$A:$A,0)),0))</f>
        <v/>
      </c>
      <c r="AB178" s="57" t="str">
        <f aca="false">IF($A178="","",IFERROR(MAX(0,AA178-J178),0))</f>
        <v/>
      </c>
      <c r="AC178" s="39" t="str">
        <f aca="false">IF($A178="","",IF(I178&gt;0,IFERROR(FLOOR(AB178/I178,100),0),0))</f>
        <v/>
      </c>
      <c r="AD178" s="28" t="str">
        <f aca="false">IF($A178="","",IF(N178&gt;INDEX(账户总表!$O:$O,MATCH($A178,账户总表!$A:$A,0)),"超限","合规"))</f>
        <v/>
      </c>
      <c r="AE178" s="1" t="str">
        <f aca="false">IF($A178="","",IFERROR((I178-P178)/I178,0))</f>
        <v/>
      </c>
      <c r="AF178" s="1" t="str">
        <f aca="false">IF($A178="","",IFERROR(MAX(0,(I178-P178)*G178),0))</f>
        <v/>
      </c>
      <c r="AG178" s="1" t="str">
        <f aca="false">IF($A178="","",IF(COUNTIFS(候选池!$C$2:$C$201,C178,候选池!$K$2:$K$201,"核心池")&gt;0,"核心池","否"))</f>
        <v/>
      </c>
      <c r="AH178" s="1" t="str">
        <f aca="false">IF(A178="","",IF(OR(J178="",K178="",K178=0),"",IF((J178-K178)/K178&lt;0.05,"不可加仓(无浮盈护垫)",IF(N178&gt;0.6,"不可加仓(超三买上限)",IF(N178&gt;0.5,"可加仓(三买区,上限60%)",IF(N178&gt;0.35,"可加仓(二买区,上限50%)","可加仓(一买区,上限35%)"))))))</f>
        <v/>
      </c>
    </row>
    <row r="179" customFormat="false" ht="15" hidden="false" customHeight="true" outlineLevel="0" collapsed="false">
      <c r="A179" s="30"/>
      <c r="B179" s="30"/>
      <c r="C179" s="30"/>
      <c r="D179" s="30"/>
      <c r="E179" s="44"/>
      <c r="F179" s="30"/>
      <c r="G179" s="45"/>
      <c r="H179" s="44"/>
      <c r="I179" s="44"/>
      <c r="J179" s="35"/>
      <c r="K179" s="35"/>
      <c r="L179" s="35"/>
      <c r="M179" s="36"/>
      <c r="N179" s="36"/>
      <c r="O179" s="44"/>
      <c r="P179" s="35"/>
      <c r="Q179" s="39"/>
      <c r="R179" s="46"/>
      <c r="S179" s="30"/>
      <c r="T179" s="31"/>
      <c r="U179" s="31"/>
      <c r="V179" s="39"/>
      <c r="W179" s="39"/>
      <c r="X179" s="39"/>
      <c r="Y179" s="39"/>
      <c r="Z179" s="39"/>
      <c r="AA179" s="39" t="str">
        <f aca="false">IF($A179="","",IFERROR(INDEX(账户总表!$B:$B,MATCH($A179,账户总表!$A:$A,0))*INDEX(账户总表!$O:$O,MATCH($A179,账户总表!$A:$A,0)),0))</f>
        <v/>
      </c>
      <c r="AB179" s="57" t="str">
        <f aca="false">IF($A179="","",IFERROR(MAX(0,AA179-J179),0))</f>
        <v/>
      </c>
      <c r="AC179" s="39" t="str">
        <f aca="false">IF($A179="","",IF(I179&gt;0,IFERROR(FLOOR(AB179/I179,100),0),0))</f>
        <v/>
      </c>
      <c r="AD179" s="30" t="str">
        <f aca="false">IF($A179="","",IF(N179&gt;INDEX(账户总表!$O:$O,MATCH($A179,账户总表!$A:$A,0)),"超限","合规"))</f>
        <v/>
      </c>
      <c r="AE179" s="1" t="str">
        <f aca="false">IF($A179="","",IFERROR((I179-P179)/I179,0))</f>
        <v/>
      </c>
      <c r="AF179" s="1" t="str">
        <f aca="false">IF($A179="","",IFERROR(MAX(0,(I179-P179)*G179),0))</f>
        <v/>
      </c>
      <c r="AG179" s="1" t="str">
        <f aca="false">IF($A179="","",IF(COUNTIFS(候选池!$C$2:$C$201,C179,候选池!$K$2:$K$201,"核心池")&gt;0,"核心池","否"))</f>
        <v/>
      </c>
      <c r="AH179" s="1" t="str">
        <f aca="false">IF(A179="","",IF(OR(J179="",K179="",K179=0),"",IF((J179-K179)/K179&lt;0.05,"不可加仓(无浮盈护垫)",IF(N179&gt;0.6,"不可加仓(超三买上限)",IF(N179&gt;0.5,"可加仓(三买区,上限60%)",IF(N179&gt;0.35,"可加仓(二买区,上限50%)","可加仓(一买区,上限35%)"))))))</f>
        <v/>
      </c>
    </row>
    <row r="180" customFormat="false" ht="15" hidden="false" customHeight="true" outlineLevel="0" collapsed="false">
      <c r="A180" s="28"/>
      <c r="B180" s="28"/>
      <c r="C180" s="28"/>
      <c r="D180" s="28"/>
      <c r="E180" s="34"/>
      <c r="F180" s="28"/>
      <c r="G180" s="37"/>
      <c r="H180" s="34"/>
      <c r="I180" s="34"/>
      <c r="J180" s="35"/>
      <c r="K180" s="35"/>
      <c r="L180" s="35"/>
      <c r="M180" s="36"/>
      <c r="N180" s="36"/>
      <c r="O180" s="34"/>
      <c r="P180" s="35"/>
      <c r="Q180" s="39"/>
      <c r="R180" s="40"/>
      <c r="S180" s="28"/>
      <c r="T180" s="29"/>
      <c r="U180" s="29"/>
      <c r="V180" s="39"/>
      <c r="W180" s="39"/>
      <c r="X180" s="39"/>
      <c r="Y180" s="39"/>
      <c r="Z180" s="39"/>
      <c r="AA180" s="39" t="str">
        <f aca="false">IF($A180="","",IFERROR(INDEX(账户总表!$B:$B,MATCH($A180,账户总表!$A:$A,0))*INDEX(账户总表!$O:$O,MATCH($A180,账户总表!$A:$A,0)),0))</f>
        <v/>
      </c>
      <c r="AB180" s="57" t="str">
        <f aca="false">IF($A180="","",IFERROR(MAX(0,AA180-J180),0))</f>
        <v/>
      </c>
      <c r="AC180" s="39" t="str">
        <f aca="false">IF($A180="","",IF(I180&gt;0,IFERROR(FLOOR(AB180/I180,100),0),0))</f>
        <v/>
      </c>
      <c r="AD180" s="28" t="str">
        <f aca="false">IF($A180="","",IF(N180&gt;INDEX(账户总表!$O:$O,MATCH($A180,账户总表!$A:$A,0)),"超限","合规"))</f>
        <v/>
      </c>
      <c r="AE180" s="1" t="str">
        <f aca="false">IF($A180="","",IFERROR((I180-P180)/I180,0))</f>
        <v/>
      </c>
      <c r="AF180" s="1" t="str">
        <f aca="false">IF($A180="","",IFERROR(MAX(0,(I180-P180)*G180),0))</f>
        <v/>
      </c>
      <c r="AG180" s="1" t="str">
        <f aca="false">IF($A180="","",IF(COUNTIFS(候选池!$C$2:$C$201,C180,候选池!$K$2:$K$201,"核心池")&gt;0,"核心池","否"))</f>
        <v/>
      </c>
      <c r="AH180" s="1" t="str">
        <f aca="false">IF(A180="","",IF(OR(J180="",K180="",K180=0),"",IF((J180-K180)/K180&lt;0.05,"不可加仓(无浮盈护垫)",IF(N180&gt;0.6,"不可加仓(超三买上限)",IF(N180&gt;0.5,"可加仓(三买区,上限60%)",IF(N180&gt;0.35,"可加仓(二买区,上限50%)","可加仓(一买区,上限35%)"))))))</f>
        <v/>
      </c>
    </row>
    <row r="181" customFormat="false" ht="15" hidden="false" customHeight="true" outlineLevel="0" collapsed="false">
      <c r="A181" s="30"/>
      <c r="B181" s="30"/>
      <c r="C181" s="30"/>
      <c r="D181" s="30"/>
      <c r="E181" s="44"/>
      <c r="F181" s="30"/>
      <c r="G181" s="45"/>
      <c r="H181" s="44"/>
      <c r="I181" s="44"/>
      <c r="J181" s="35"/>
      <c r="K181" s="35"/>
      <c r="L181" s="35"/>
      <c r="M181" s="36"/>
      <c r="N181" s="36"/>
      <c r="O181" s="44"/>
      <c r="P181" s="35"/>
      <c r="Q181" s="39"/>
      <c r="R181" s="46"/>
      <c r="S181" s="30"/>
      <c r="T181" s="31"/>
      <c r="U181" s="31"/>
      <c r="V181" s="39"/>
      <c r="W181" s="39"/>
      <c r="X181" s="39"/>
      <c r="Y181" s="39"/>
      <c r="Z181" s="39"/>
      <c r="AA181" s="39" t="str">
        <f aca="false">IF($A181="","",IFERROR(INDEX(账户总表!$B:$B,MATCH($A181,账户总表!$A:$A,0))*INDEX(账户总表!$O:$O,MATCH($A181,账户总表!$A:$A,0)),0))</f>
        <v/>
      </c>
      <c r="AB181" s="57" t="str">
        <f aca="false">IF($A181="","",IFERROR(MAX(0,AA181-J181),0))</f>
        <v/>
      </c>
      <c r="AC181" s="39" t="str">
        <f aca="false">IF($A181="","",IF(I181&gt;0,IFERROR(FLOOR(AB181/I181,100),0),0))</f>
        <v/>
      </c>
      <c r="AD181" s="30" t="str">
        <f aca="false">IF($A181="","",IF(N181&gt;INDEX(账户总表!$O:$O,MATCH($A181,账户总表!$A:$A,0)),"超限","合规"))</f>
        <v/>
      </c>
      <c r="AE181" s="1" t="str">
        <f aca="false">IF($A181="","",IFERROR((I181-P181)/I181,0))</f>
        <v/>
      </c>
      <c r="AF181" s="1" t="str">
        <f aca="false">IF($A181="","",IFERROR(MAX(0,(I181-P181)*G181),0))</f>
        <v/>
      </c>
      <c r="AG181" s="1" t="str">
        <f aca="false">IF($A181="","",IF(COUNTIFS(候选池!$C$2:$C$201,C181,候选池!$K$2:$K$201,"核心池")&gt;0,"核心池","否"))</f>
        <v/>
      </c>
      <c r="AH181" s="1" t="str">
        <f aca="false">IF(A181="","",IF(OR(J181="",K181="",K181=0),"",IF((J181-K181)/K181&lt;0.05,"不可加仓(无浮盈护垫)",IF(N181&gt;0.6,"不可加仓(超三买上限)",IF(N181&gt;0.5,"可加仓(三买区,上限60%)",IF(N181&gt;0.35,"可加仓(二买区,上限50%)","可加仓(一买区,上限35%)"))))))</f>
        <v/>
      </c>
    </row>
    <row r="182" customFormat="false" ht="15" hidden="false" customHeight="true" outlineLevel="0" collapsed="false">
      <c r="A182" s="28"/>
      <c r="B182" s="28"/>
      <c r="C182" s="28"/>
      <c r="D182" s="28"/>
      <c r="E182" s="34"/>
      <c r="F182" s="28"/>
      <c r="G182" s="37"/>
      <c r="H182" s="34"/>
      <c r="I182" s="34"/>
      <c r="J182" s="35"/>
      <c r="K182" s="35"/>
      <c r="L182" s="35"/>
      <c r="M182" s="36"/>
      <c r="N182" s="36"/>
      <c r="O182" s="34"/>
      <c r="P182" s="35"/>
      <c r="Q182" s="39"/>
      <c r="R182" s="40"/>
      <c r="S182" s="28"/>
      <c r="T182" s="29"/>
      <c r="U182" s="29"/>
      <c r="V182" s="39"/>
      <c r="W182" s="39"/>
      <c r="X182" s="39"/>
      <c r="Y182" s="39"/>
      <c r="Z182" s="39"/>
      <c r="AA182" s="39" t="str">
        <f aca="false">IF($A182="","",IFERROR(INDEX(账户总表!$B:$B,MATCH($A182,账户总表!$A:$A,0))*INDEX(账户总表!$O:$O,MATCH($A182,账户总表!$A:$A,0)),0))</f>
        <v/>
      </c>
      <c r="AB182" s="57" t="str">
        <f aca="false">IF($A182="","",IFERROR(MAX(0,AA182-J182),0))</f>
        <v/>
      </c>
      <c r="AC182" s="39" t="str">
        <f aca="false">IF($A182="","",IF(I182&gt;0,IFERROR(FLOOR(AB182/I182,100),0),0))</f>
        <v/>
      </c>
      <c r="AD182" s="28" t="str">
        <f aca="false">IF($A182="","",IF(N182&gt;INDEX(账户总表!$O:$O,MATCH($A182,账户总表!$A:$A,0)),"超限","合规"))</f>
        <v/>
      </c>
      <c r="AE182" s="1" t="str">
        <f aca="false">IF($A182="","",IFERROR((I182-P182)/I182,0))</f>
        <v/>
      </c>
      <c r="AF182" s="1" t="str">
        <f aca="false">IF($A182="","",IFERROR(MAX(0,(I182-P182)*G182),0))</f>
        <v/>
      </c>
      <c r="AG182" s="1" t="str">
        <f aca="false">IF($A182="","",IF(COUNTIFS(候选池!$C$2:$C$201,C182,候选池!$K$2:$K$201,"核心池")&gt;0,"核心池","否"))</f>
        <v/>
      </c>
      <c r="AH182" s="1" t="str">
        <f aca="false">IF(A182="","",IF(OR(J182="",K182="",K182=0),"",IF((J182-K182)/K182&lt;0.05,"不可加仓(无浮盈护垫)",IF(N182&gt;0.6,"不可加仓(超三买上限)",IF(N182&gt;0.5,"可加仓(三买区,上限60%)",IF(N182&gt;0.35,"可加仓(二买区,上限50%)","可加仓(一买区,上限35%)"))))))</f>
        <v/>
      </c>
    </row>
    <row r="183" customFormat="false" ht="15" hidden="false" customHeight="true" outlineLevel="0" collapsed="false">
      <c r="A183" s="30"/>
      <c r="B183" s="30"/>
      <c r="C183" s="30"/>
      <c r="D183" s="30"/>
      <c r="E183" s="44"/>
      <c r="F183" s="30"/>
      <c r="G183" s="45"/>
      <c r="H183" s="44"/>
      <c r="I183" s="44"/>
      <c r="J183" s="35"/>
      <c r="K183" s="35"/>
      <c r="L183" s="35"/>
      <c r="M183" s="36"/>
      <c r="N183" s="36"/>
      <c r="O183" s="44"/>
      <c r="P183" s="35"/>
      <c r="Q183" s="39"/>
      <c r="R183" s="46"/>
      <c r="S183" s="30"/>
      <c r="T183" s="31"/>
      <c r="U183" s="31"/>
      <c r="V183" s="39"/>
      <c r="W183" s="39"/>
      <c r="X183" s="39"/>
      <c r="Y183" s="39"/>
      <c r="Z183" s="39"/>
      <c r="AA183" s="39" t="str">
        <f aca="false">IF($A183="","",IFERROR(INDEX(账户总表!$B:$B,MATCH($A183,账户总表!$A:$A,0))*INDEX(账户总表!$O:$O,MATCH($A183,账户总表!$A:$A,0)),0))</f>
        <v/>
      </c>
      <c r="AB183" s="57" t="str">
        <f aca="false">IF($A183="","",IFERROR(MAX(0,AA183-J183),0))</f>
        <v/>
      </c>
      <c r="AC183" s="39" t="str">
        <f aca="false">IF($A183="","",IF(I183&gt;0,IFERROR(FLOOR(AB183/I183,100),0),0))</f>
        <v/>
      </c>
      <c r="AD183" s="30" t="str">
        <f aca="false">IF($A183="","",IF(N183&gt;INDEX(账户总表!$O:$O,MATCH($A183,账户总表!$A:$A,0)),"超限","合规"))</f>
        <v/>
      </c>
      <c r="AE183" s="1" t="str">
        <f aca="false">IF($A183="","",IFERROR((I183-P183)/I183,0))</f>
        <v/>
      </c>
      <c r="AF183" s="1" t="str">
        <f aca="false">IF($A183="","",IFERROR(MAX(0,(I183-P183)*G183),0))</f>
        <v/>
      </c>
      <c r="AG183" s="1" t="str">
        <f aca="false">IF($A183="","",IF(COUNTIFS(候选池!$C$2:$C$201,C183,候选池!$K$2:$K$201,"核心池")&gt;0,"核心池","否"))</f>
        <v/>
      </c>
      <c r="AH183" s="1" t="str">
        <f aca="false">IF(A183="","",IF(OR(J183="",K183="",K183=0),"",IF((J183-K183)/K183&lt;0.05,"不可加仓(无浮盈护垫)",IF(N183&gt;0.6,"不可加仓(超三买上限)",IF(N183&gt;0.5,"可加仓(三买区,上限60%)",IF(N183&gt;0.35,"可加仓(二买区,上限50%)","可加仓(一买区,上限35%)"))))))</f>
        <v/>
      </c>
    </row>
    <row r="184" customFormat="false" ht="15" hidden="false" customHeight="true" outlineLevel="0" collapsed="false">
      <c r="A184" s="28"/>
      <c r="B184" s="28"/>
      <c r="C184" s="28"/>
      <c r="D184" s="28"/>
      <c r="E184" s="34"/>
      <c r="F184" s="28"/>
      <c r="G184" s="37"/>
      <c r="H184" s="34"/>
      <c r="I184" s="34"/>
      <c r="J184" s="35"/>
      <c r="K184" s="35"/>
      <c r="L184" s="35"/>
      <c r="M184" s="36"/>
      <c r="N184" s="36"/>
      <c r="O184" s="34"/>
      <c r="P184" s="35"/>
      <c r="Q184" s="39"/>
      <c r="R184" s="40"/>
      <c r="S184" s="28"/>
      <c r="T184" s="29"/>
      <c r="U184" s="29"/>
      <c r="V184" s="39"/>
      <c r="W184" s="39"/>
      <c r="X184" s="39"/>
      <c r="Y184" s="39"/>
      <c r="Z184" s="39"/>
      <c r="AA184" s="39" t="str">
        <f aca="false">IF($A184="","",IFERROR(INDEX(账户总表!$B:$B,MATCH($A184,账户总表!$A:$A,0))*INDEX(账户总表!$O:$O,MATCH($A184,账户总表!$A:$A,0)),0))</f>
        <v/>
      </c>
      <c r="AB184" s="57" t="str">
        <f aca="false">IF($A184="","",IFERROR(MAX(0,AA184-J184),0))</f>
        <v/>
      </c>
      <c r="AC184" s="39" t="str">
        <f aca="false">IF($A184="","",IF(I184&gt;0,IFERROR(FLOOR(AB184/I184,100),0),0))</f>
        <v/>
      </c>
      <c r="AD184" s="28" t="str">
        <f aca="false">IF($A184="","",IF(N184&gt;INDEX(账户总表!$O:$O,MATCH($A184,账户总表!$A:$A,0)),"超限","合规"))</f>
        <v/>
      </c>
      <c r="AE184" s="1" t="str">
        <f aca="false">IF($A184="","",IFERROR((I184-P184)/I184,0))</f>
        <v/>
      </c>
      <c r="AF184" s="1" t="str">
        <f aca="false">IF($A184="","",IFERROR(MAX(0,(I184-P184)*G184),0))</f>
        <v/>
      </c>
      <c r="AG184" s="1" t="str">
        <f aca="false">IF($A184="","",IF(COUNTIFS(候选池!$C$2:$C$201,C184,候选池!$K$2:$K$201,"核心池")&gt;0,"核心池","否"))</f>
        <v/>
      </c>
      <c r="AH184" s="1" t="str">
        <f aca="false">IF(A184="","",IF(OR(J184="",K184="",K184=0),"",IF((J184-K184)/K184&lt;0.05,"不可加仓(无浮盈护垫)",IF(N184&gt;0.6,"不可加仓(超三买上限)",IF(N184&gt;0.5,"可加仓(三买区,上限60%)",IF(N184&gt;0.35,"可加仓(二买区,上限50%)","可加仓(一买区,上限35%)"))))))</f>
        <v/>
      </c>
    </row>
    <row r="185" customFormat="false" ht="15" hidden="false" customHeight="true" outlineLevel="0" collapsed="false">
      <c r="A185" s="30"/>
      <c r="B185" s="30"/>
      <c r="C185" s="30"/>
      <c r="D185" s="30"/>
      <c r="E185" s="44"/>
      <c r="F185" s="30"/>
      <c r="G185" s="45"/>
      <c r="H185" s="44"/>
      <c r="I185" s="44"/>
      <c r="J185" s="35"/>
      <c r="K185" s="35"/>
      <c r="L185" s="35"/>
      <c r="M185" s="36"/>
      <c r="N185" s="36"/>
      <c r="O185" s="44"/>
      <c r="P185" s="35"/>
      <c r="Q185" s="39"/>
      <c r="R185" s="46"/>
      <c r="S185" s="30"/>
      <c r="T185" s="31"/>
      <c r="U185" s="31"/>
      <c r="V185" s="39"/>
      <c r="W185" s="39"/>
      <c r="X185" s="39"/>
      <c r="Y185" s="39"/>
      <c r="Z185" s="39"/>
      <c r="AA185" s="39" t="str">
        <f aca="false">IF($A185="","",IFERROR(INDEX(账户总表!$B:$B,MATCH($A185,账户总表!$A:$A,0))*INDEX(账户总表!$O:$O,MATCH($A185,账户总表!$A:$A,0)),0))</f>
        <v/>
      </c>
      <c r="AB185" s="57" t="str">
        <f aca="false">IF($A185="","",IFERROR(MAX(0,AA185-J185),0))</f>
        <v/>
      </c>
      <c r="AC185" s="39" t="str">
        <f aca="false">IF($A185="","",IF(I185&gt;0,IFERROR(FLOOR(AB185/I185,100),0),0))</f>
        <v/>
      </c>
      <c r="AD185" s="30" t="str">
        <f aca="false">IF($A185="","",IF(N185&gt;INDEX(账户总表!$O:$O,MATCH($A185,账户总表!$A:$A,0)),"超限","合规"))</f>
        <v/>
      </c>
      <c r="AE185" s="1" t="str">
        <f aca="false">IF($A185="","",IFERROR((I185-P185)/I185,0))</f>
        <v/>
      </c>
      <c r="AF185" s="1" t="str">
        <f aca="false">IF($A185="","",IFERROR(MAX(0,(I185-P185)*G185),0))</f>
        <v/>
      </c>
      <c r="AG185" s="1" t="str">
        <f aca="false">IF($A185="","",IF(COUNTIFS(候选池!$C$2:$C$201,C185,候选池!$K$2:$K$201,"核心池")&gt;0,"核心池","否"))</f>
        <v/>
      </c>
      <c r="AH185" s="1" t="str">
        <f aca="false">IF(A185="","",IF(OR(J185="",K185="",K185=0),"",IF((J185-K185)/K185&lt;0.05,"不可加仓(无浮盈护垫)",IF(N185&gt;0.6,"不可加仓(超三买上限)",IF(N185&gt;0.5,"可加仓(三买区,上限60%)",IF(N185&gt;0.35,"可加仓(二买区,上限50%)","可加仓(一买区,上限35%)"))))))</f>
        <v/>
      </c>
    </row>
    <row r="186" customFormat="false" ht="15" hidden="false" customHeight="true" outlineLevel="0" collapsed="false">
      <c r="A186" s="28"/>
      <c r="B186" s="28"/>
      <c r="C186" s="28"/>
      <c r="D186" s="28"/>
      <c r="E186" s="34"/>
      <c r="F186" s="28"/>
      <c r="G186" s="37"/>
      <c r="H186" s="34"/>
      <c r="I186" s="34"/>
      <c r="J186" s="35"/>
      <c r="K186" s="35"/>
      <c r="L186" s="35"/>
      <c r="M186" s="36"/>
      <c r="N186" s="36"/>
      <c r="O186" s="34"/>
      <c r="P186" s="35"/>
      <c r="Q186" s="39"/>
      <c r="R186" s="40"/>
      <c r="S186" s="28"/>
      <c r="T186" s="29"/>
      <c r="U186" s="29"/>
      <c r="V186" s="39"/>
      <c r="W186" s="39"/>
      <c r="X186" s="39"/>
      <c r="Y186" s="39"/>
      <c r="Z186" s="39"/>
      <c r="AA186" s="39" t="str">
        <f aca="false">IF($A186="","",IFERROR(INDEX(账户总表!$B:$B,MATCH($A186,账户总表!$A:$A,0))*INDEX(账户总表!$O:$O,MATCH($A186,账户总表!$A:$A,0)),0))</f>
        <v/>
      </c>
      <c r="AB186" s="57" t="str">
        <f aca="false">IF($A186="","",IFERROR(MAX(0,AA186-J186),0))</f>
        <v/>
      </c>
      <c r="AC186" s="39" t="str">
        <f aca="false">IF($A186="","",IF(I186&gt;0,IFERROR(FLOOR(AB186/I186,100),0),0))</f>
        <v/>
      </c>
      <c r="AD186" s="28" t="str">
        <f aca="false">IF($A186="","",IF(N186&gt;INDEX(账户总表!$O:$O,MATCH($A186,账户总表!$A:$A,0)),"超限","合规"))</f>
        <v/>
      </c>
      <c r="AE186" s="1" t="str">
        <f aca="false">IF($A186="","",IFERROR((I186-P186)/I186,0))</f>
        <v/>
      </c>
      <c r="AF186" s="1" t="str">
        <f aca="false">IF($A186="","",IFERROR(MAX(0,(I186-P186)*G186),0))</f>
        <v/>
      </c>
      <c r="AG186" s="1" t="str">
        <f aca="false">IF($A186="","",IF(COUNTIFS(候选池!$C$2:$C$201,C186,候选池!$K$2:$K$201,"核心池")&gt;0,"核心池","否"))</f>
        <v/>
      </c>
      <c r="AH186" s="1" t="str">
        <f aca="false">IF(A186="","",IF(OR(J186="",K186="",K186=0),"",IF((J186-K186)/K186&lt;0.05,"不可加仓(无浮盈护垫)",IF(N186&gt;0.6,"不可加仓(超三买上限)",IF(N186&gt;0.5,"可加仓(三买区,上限60%)",IF(N186&gt;0.35,"可加仓(二买区,上限50%)","可加仓(一买区,上限35%)"))))))</f>
        <v/>
      </c>
    </row>
    <row r="187" customFormat="false" ht="15" hidden="false" customHeight="true" outlineLevel="0" collapsed="false">
      <c r="A187" s="30"/>
      <c r="B187" s="30"/>
      <c r="C187" s="30"/>
      <c r="D187" s="30"/>
      <c r="E187" s="44"/>
      <c r="F187" s="30"/>
      <c r="G187" s="45"/>
      <c r="H187" s="44"/>
      <c r="I187" s="44"/>
      <c r="J187" s="35"/>
      <c r="K187" s="35"/>
      <c r="L187" s="35"/>
      <c r="M187" s="36"/>
      <c r="N187" s="36"/>
      <c r="O187" s="44"/>
      <c r="P187" s="35"/>
      <c r="Q187" s="39"/>
      <c r="R187" s="46"/>
      <c r="S187" s="30"/>
      <c r="T187" s="31"/>
      <c r="U187" s="31"/>
      <c r="V187" s="39"/>
      <c r="W187" s="39"/>
      <c r="X187" s="39"/>
      <c r="Y187" s="39"/>
      <c r="Z187" s="39"/>
      <c r="AA187" s="39" t="str">
        <f aca="false">IF($A187="","",IFERROR(INDEX(账户总表!$B:$B,MATCH($A187,账户总表!$A:$A,0))*INDEX(账户总表!$O:$O,MATCH($A187,账户总表!$A:$A,0)),0))</f>
        <v/>
      </c>
      <c r="AB187" s="57" t="str">
        <f aca="false">IF($A187="","",IFERROR(MAX(0,AA187-J187),0))</f>
        <v/>
      </c>
      <c r="AC187" s="39" t="str">
        <f aca="false">IF($A187="","",IF(I187&gt;0,IFERROR(FLOOR(AB187/I187,100),0),0))</f>
        <v/>
      </c>
      <c r="AD187" s="30" t="str">
        <f aca="false">IF($A187="","",IF(N187&gt;INDEX(账户总表!$O:$O,MATCH($A187,账户总表!$A:$A,0)),"超限","合规"))</f>
        <v/>
      </c>
      <c r="AE187" s="1" t="str">
        <f aca="false">IF($A187="","",IFERROR((I187-P187)/I187,0))</f>
        <v/>
      </c>
      <c r="AF187" s="1" t="str">
        <f aca="false">IF($A187="","",IFERROR(MAX(0,(I187-P187)*G187),0))</f>
        <v/>
      </c>
      <c r="AG187" s="1" t="str">
        <f aca="false">IF($A187="","",IF(COUNTIFS(候选池!$C$2:$C$201,C187,候选池!$K$2:$K$201,"核心池")&gt;0,"核心池","否"))</f>
        <v/>
      </c>
      <c r="AH187" s="1" t="str">
        <f aca="false">IF(A187="","",IF(OR(J187="",K187="",K187=0),"",IF((J187-K187)/K187&lt;0.05,"不可加仓(无浮盈护垫)",IF(N187&gt;0.6,"不可加仓(超三买上限)",IF(N187&gt;0.5,"可加仓(三买区,上限60%)",IF(N187&gt;0.35,"可加仓(二买区,上限50%)","可加仓(一买区,上限35%)"))))))</f>
        <v/>
      </c>
    </row>
    <row r="188" customFormat="false" ht="15" hidden="false" customHeight="true" outlineLevel="0" collapsed="false">
      <c r="A188" s="28"/>
      <c r="B188" s="28"/>
      <c r="C188" s="28"/>
      <c r="D188" s="28"/>
      <c r="E188" s="34"/>
      <c r="F188" s="28"/>
      <c r="G188" s="37"/>
      <c r="H188" s="34"/>
      <c r="I188" s="34"/>
      <c r="J188" s="35"/>
      <c r="K188" s="35"/>
      <c r="L188" s="35"/>
      <c r="M188" s="36"/>
      <c r="N188" s="36"/>
      <c r="O188" s="34"/>
      <c r="P188" s="35"/>
      <c r="Q188" s="39"/>
      <c r="R188" s="40"/>
      <c r="S188" s="28"/>
      <c r="T188" s="29"/>
      <c r="U188" s="29"/>
      <c r="V188" s="39"/>
      <c r="W188" s="39"/>
      <c r="X188" s="39"/>
      <c r="Y188" s="39"/>
      <c r="Z188" s="39"/>
      <c r="AA188" s="39" t="str">
        <f aca="false">IF($A188="","",IFERROR(INDEX(账户总表!$B:$B,MATCH($A188,账户总表!$A:$A,0))*INDEX(账户总表!$O:$O,MATCH($A188,账户总表!$A:$A,0)),0))</f>
        <v/>
      </c>
      <c r="AB188" s="57" t="str">
        <f aca="false">IF($A188="","",IFERROR(MAX(0,AA188-J188),0))</f>
        <v/>
      </c>
      <c r="AC188" s="39" t="str">
        <f aca="false">IF($A188="","",IF(I188&gt;0,IFERROR(FLOOR(AB188/I188,100),0),0))</f>
        <v/>
      </c>
      <c r="AD188" s="28" t="str">
        <f aca="false">IF($A188="","",IF(N188&gt;INDEX(账户总表!$O:$O,MATCH($A188,账户总表!$A:$A,0)),"超限","合规"))</f>
        <v/>
      </c>
      <c r="AE188" s="1" t="str">
        <f aca="false">IF($A188="","",IFERROR((I188-P188)/I188,0))</f>
        <v/>
      </c>
      <c r="AF188" s="1" t="str">
        <f aca="false">IF($A188="","",IFERROR(MAX(0,(I188-P188)*G188),0))</f>
        <v/>
      </c>
      <c r="AG188" s="1" t="str">
        <f aca="false">IF($A188="","",IF(COUNTIFS(候选池!$C$2:$C$201,C188,候选池!$K$2:$K$201,"核心池")&gt;0,"核心池","否"))</f>
        <v/>
      </c>
      <c r="AH188" s="1" t="str">
        <f aca="false">IF(A188="","",IF(OR(J188="",K188="",K188=0),"",IF((J188-K188)/K188&lt;0.05,"不可加仓(无浮盈护垫)",IF(N188&gt;0.6,"不可加仓(超三买上限)",IF(N188&gt;0.5,"可加仓(三买区,上限60%)",IF(N188&gt;0.35,"可加仓(二买区,上限50%)","可加仓(一买区,上限35%)"))))))</f>
        <v/>
      </c>
    </row>
    <row r="189" customFormat="false" ht="15" hidden="false" customHeight="true" outlineLevel="0" collapsed="false">
      <c r="A189" s="30"/>
      <c r="B189" s="30"/>
      <c r="C189" s="30"/>
      <c r="D189" s="30"/>
      <c r="E189" s="44"/>
      <c r="F189" s="30"/>
      <c r="G189" s="45"/>
      <c r="H189" s="44"/>
      <c r="I189" s="44"/>
      <c r="J189" s="35"/>
      <c r="K189" s="35"/>
      <c r="L189" s="35"/>
      <c r="M189" s="36"/>
      <c r="N189" s="36"/>
      <c r="O189" s="44"/>
      <c r="P189" s="35"/>
      <c r="Q189" s="39"/>
      <c r="R189" s="46"/>
      <c r="S189" s="30"/>
      <c r="T189" s="31"/>
      <c r="U189" s="31"/>
      <c r="V189" s="39"/>
      <c r="W189" s="39"/>
      <c r="X189" s="39"/>
      <c r="Y189" s="39"/>
      <c r="Z189" s="39"/>
      <c r="AA189" s="39" t="str">
        <f aca="false">IF($A189="","",IFERROR(INDEX(账户总表!$B:$B,MATCH($A189,账户总表!$A:$A,0))*INDEX(账户总表!$O:$O,MATCH($A189,账户总表!$A:$A,0)),0))</f>
        <v/>
      </c>
      <c r="AB189" s="57" t="str">
        <f aca="false">IF($A189="","",IFERROR(MAX(0,AA189-J189),0))</f>
        <v/>
      </c>
      <c r="AC189" s="39" t="str">
        <f aca="false">IF($A189="","",IF(I189&gt;0,IFERROR(FLOOR(AB189/I189,100),0),0))</f>
        <v/>
      </c>
      <c r="AD189" s="30" t="str">
        <f aca="false">IF($A189="","",IF(N189&gt;INDEX(账户总表!$O:$O,MATCH($A189,账户总表!$A:$A,0)),"超限","合规"))</f>
        <v/>
      </c>
      <c r="AE189" s="1" t="str">
        <f aca="false">IF($A189="","",IFERROR((I189-P189)/I189,0))</f>
        <v/>
      </c>
      <c r="AF189" s="1" t="str">
        <f aca="false">IF($A189="","",IFERROR(MAX(0,(I189-P189)*G189),0))</f>
        <v/>
      </c>
      <c r="AG189" s="1" t="str">
        <f aca="false">IF($A189="","",IF(COUNTIFS(候选池!$C$2:$C$201,C189,候选池!$K$2:$K$201,"核心池")&gt;0,"核心池","否"))</f>
        <v/>
      </c>
      <c r="AH189" s="1" t="str">
        <f aca="false">IF(A189="","",IF(OR(J189="",K189="",K189=0),"",IF((J189-K189)/K189&lt;0.05,"不可加仓(无浮盈护垫)",IF(N189&gt;0.6,"不可加仓(超三买上限)",IF(N189&gt;0.5,"可加仓(三买区,上限60%)",IF(N189&gt;0.35,"可加仓(二买区,上限50%)","可加仓(一买区,上限35%)"))))))</f>
        <v/>
      </c>
    </row>
    <row r="190" customFormat="false" ht="15" hidden="false" customHeight="true" outlineLevel="0" collapsed="false">
      <c r="A190" s="28"/>
      <c r="B190" s="28"/>
      <c r="C190" s="28"/>
      <c r="D190" s="28"/>
      <c r="E190" s="34"/>
      <c r="F190" s="28"/>
      <c r="G190" s="37"/>
      <c r="H190" s="34"/>
      <c r="I190" s="34"/>
      <c r="J190" s="35"/>
      <c r="K190" s="35"/>
      <c r="L190" s="35"/>
      <c r="M190" s="36"/>
      <c r="N190" s="36"/>
      <c r="O190" s="34"/>
      <c r="P190" s="35"/>
      <c r="Q190" s="39"/>
      <c r="R190" s="40"/>
      <c r="S190" s="28"/>
      <c r="T190" s="29"/>
      <c r="U190" s="29"/>
      <c r="V190" s="39"/>
      <c r="W190" s="39"/>
      <c r="X190" s="39"/>
      <c r="Y190" s="39"/>
      <c r="Z190" s="39"/>
      <c r="AA190" s="39" t="str">
        <f aca="false">IF($A190="","",IFERROR(INDEX(账户总表!$B:$B,MATCH($A190,账户总表!$A:$A,0))*INDEX(账户总表!$O:$O,MATCH($A190,账户总表!$A:$A,0)),0))</f>
        <v/>
      </c>
      <c r="AB190" s="57" t="str">
        <f aca="false">IF($A190="","",IFERROR(MAX(0,AA190-J190),0))</f>
        <v/>
      </c>
      <c r="AC190" s="39" t="str">
        <f aca="false">IF($A190="","",IF(I190&gt;0,IFERROR(FLOOR(AB190/I190,100),0),0))</f>
        <v/>
      </c>
      <c r="AD190" s="28" t="str">
        <f aca="false">IF($A190="","",IF(N190&gt;INDEX(账户总表!$O:$O,MATCH($A190,账户总表!$A:$A,0)),"超限","合规"))</f>
        <v/>
      </c>
      <c r="AE190" s="1" t="str">
        <f aca="false">IF($A190="","",IFERROR((I190-P190)/I190,0))</f>
        <v/>
      </c>
      <c r="AF190" s="1" t="str">
        <f aca="false">IF($A190="","",IFERROR(MAX(0,(I190-P190)*G190),0))</f>
        <v/>
      </c>
      <c r="AG190" s="1" t="str">
        <f aca="false">IF($A190="","",IF(COUNTIFS(候选池!$C$2:$C$201,C190,候选池!$K$2:$K$201,"核心池")&gt;0,"核心池","否"))</f>
        <v/>
      </c>
      <c r="AH190" s="1" t="str">
        <f aca="false">IF(A190="","",IF(OR(J190="",K190="",K190=0),"",IF((J190-K190)/K190&lt;0.05,"不可加仓(无浮盈护垫)",IF(N190&gt;0.6,"不可加仓(超三买上限)",IF(N190&gt;0.5,"可加仓(三买区,上限60%)",IF(N190&gt;0.35,"可加仓(二买区,上限50%)","可加仓(一买区,上限35%)"))))))</f>
        <v/>
      </c>
    </row>
    <row r="191" customFormat="false" ht="15" hidden="false" customHeight="true" outlineLevel="0" collapsed="false">
      <c r="A191" s="30"/>
      <c r="B191" s="30"/>
      <c r="C191" s="30"/>
      <c r="D191" s="30"/>
      <c r="E191" s="44"/>
      <c r="F191" s="30"/>
      <c r="G191" s="45"/>
      <c r="H191" s="44"/>
      <c r="I191" s="44"/>
      <c r="J191" s="35"/>
      <c r="K191" s="35"/>
      <c r="L191" s="35"/>
      <c r="M191" s="36"/>
      <c r="N191" s="36"/>
      <c r="O191" s="44"/>
      <c r="P191" s="35"/>
      <c r="Q191" s="39"/>
      <c r="R191" s="46"/>
      <c r="S191" s="30"/>
      <c r="T191" s="31"/>
      <c r="U191" s="31"/>
      <c r="V191" s="39"/>
      <c r="W191" s="39"/>
      <c r="X191" s="39"/>
      <c r="Y191" s="39"/>
      <c r="Z191" s="39"/>
      <c r="AA191" s="39" t="str">
        <f aca="false">IF($A191="","",IFERROR(INDEX(账户总表!$B:$B,MATCH($A191,账户总表!$A:$A,0))*INDEX(账户总表!$O:$O,MATCH($A191,账户总表!$A:$A,0)),0))</f>
        <v/>
      </c>
      <c r="AB191" s="57" t="str">
        <f aca="false">IF($A191="","",IFERROR(MAX(0,AA191-J191),0))</f>
        <v/>
      </c>
      <c r="AC191" s="39" t="str">
        <f aca="false">IF($A191="","",IF(I191&gt;0,IFERROR(FLOOR(AB191/I191,100),0),0))</f>
        <v/>
      </c>
      <c r="AD191" s="30" t="str">
        <f aca="false">IF($A191="","",IF(N191&gt;INDEX(账户总表!$O:$O,MATCH($A191,账户总表!$A:$A,0)),"超限","合规"))</f>
        <v/>
      </c>
      <c r="AE191" s="1" t="str">
        <f aca="false">IF($A191="","",IFERROR((I191-P191)/I191,0))</f>
        <v/>
      </c>
      <c r="AF191" s="1" t="str">
        <f aca="false">IF($A191="","",IFERROR(MAX(0,(I191-P191)*G191),0))</f>
        <v/>
      </c>
      <c r="AG191" s="1" t="str">
        <f aca="false">IF($A191="","",IF(COUNTIFS(候选池!$C$2:$C$201,C191,候选池!$K$2:$K$201,"核心池")&gt;0,"核心池","否"))</f>
        <v/>
      </c>
      <c r="AH191" s="1" t="str">
        <f aca="false">IF(A191="","",IF(OR(J191="",K191="",K191=0),"",IF((J191-K191)/K191&lt;0.05,"不可加仓(无浮盈护垫)",IF(N191&gt;0.6,"不可加仓(超三买上限)",IF(N191&gt;0.5,"可加仓(三买区,上限60%)",IF(N191&gt;0.35,"可加仓(二买区,上限50%)","可加仓(一买区,上限35%)"))))))</f>
        <v/>
      </c>
    </row>
    <row r="192" customFormat="false" ht="15" hidden="false" customHeight="true" outlineLevel="0" collapsed="false">
      <c r="A192" s="28"/>
      <c r="B192" s="28"/>
      <c r="C192" s="28"/>
      <c r="D192" s="28"/>
      <c r="E192" s="34"/>
      <c r="F192" s="28"/>
      <c r="G192" s="37"/>
      <c r="H192" s="34"/>
      <c r="I192" s="34"/>
      <c r="J192" s="35"/>
      <c r="K192" s="35"/>
      <c r="L192" s="35"/>
      <c r="M192" s="36"/>
      <c r="N192" s="36"/>
      <c r="O192" s="34"/>
      <c r="P192" s="35"/>
      <c r="Q192" s="39"/>
      <c r="R192" s="40"/>
      <c r="S192" s="28"/>
      <c r="T192" s="29"/>
      <c r="U192" s="29"/>
      <c r="V192" s="39"/>
      <c r="W192" s="39"/>
      <c r="X192" s="39"/>
      <c r="Y192" s="39"/>
      <c r="Z192" s="39"/>
      <c r="AA192" s="39" t="str">
        <f aca="false">IF($A192="","",IFERROR(INDEX(账户总表!$B:$B,MATCH($A192,账户总表!$A:$A,0))*INDEX(账户总表!$O:$O,MATCH($A192,账户总表!$A:$A,0)),0))</f>
        <v/>
      </c>
      <c r="AB192" s="57" t="str">
        <f aca="false">IF($A192="","",IFERROR(MAX(0,AA192-J192),0))</f>
        <v/>
      </c>
      <c r="AC192" s="39" t="str">
        <f aca="false">IF($A192="","",IF(I192&gt;0,IFERROR(FLOOR(AB192/I192,100),0),0))</f>
        <v/>
      </c>
      <c r="AD192" s="28" t="str">
        <f aca="false">IF($A192="","",IF(N192&gt;INDEX(账户总表!$O:$O,MATCH($A192,账户总表!$A:$A,0)),"超限","合规"))</f>
        <v/>
      </c>
      <c r="AE192" s="1" t="str">
        <f aca="false">IF($A192="","",IFERROR((I192-P192)/I192,0))</f>
        <v/>
      </c>
      <c r="AF192" s="1" t="str">
        <f aca="false">IF($A192="","",IFERROR(MAX(0,(I192-P192)*G192),0))</f>
        <v/>
      </c>
      <c r="AG192" s="1" t="str">
        <f aca="false">IF($A192="","",IF(COUNTIFS(候选池!$C$2:$C$201,C192,候选池!$K$2:$K$201,"核心池")&gt;0,"核心池","否"))</f>
        <v/>
      </c>
      <c r="AH192" s="1" t="str">
        <f aca="false">IF(A192="","",IF(OR(J192="",K192="",K192=0),"",IF((J192-K192)/K192&lt;0.05,"不可加仓(无浮盈护垫)",IF(N192&gt;0.6,"不可加仓(超三买上限)",IF(N192&gt;0.5,"可加仓(三买区,上限60%)",IF(N192&gt;0.35,"可加仓(二买区,上限50%)","可加仓(一买区,上限35%)"))))))</f>
        <v/>
      </c>
    </row>
    <row r="193" customFormat="false" ht="15" hidden="false" customHeight="true" outlineLevel="0" collapsed="false">
      <c r="A193" s="30"/>
      <c r="B193" s="30"/>
      <c r="C193" s="30"/>
      <c r="D193" s="30"/>
      <c r="E193" s="44"/>
      <c r="F193" s="30"/>
      <c r="G193" s="45"/>
      <c r="H193" s="44"/>
      <c r="I193" s="44"/>
      <c r="J193" s="35"/>
      <c r="K193" s="35"/>
      <c r="L193" s="35"/>
      <c r="M193" s="36"/>
      <c r="N193" s="36"/>
      <c r="O193" s="44"/>
      <c r="P193" s="35"/>
      <c r="Q193" s="39"/>
      <c r="R193" s="46"/>
      <c r="S193" s="30"/>
      <c r="T193" s="31"/>
      <c r="U193" s="31"/>
      <c r="V193" s="39"/>
      <c r="W193" s="39"/>
      <c r="X193" s="39"/>
      <c r="Y193" s="39"/>
      <c r="Z193" s="39"/>
      <c r="AA193" s="39" t="str">
        <f aca="false">IF($A193="","",IFERROR(INDEX(账户总表!$B:$B,MATCH($A193,账户总表!$A:$A,0))*INDEX(账户总表!$O:$O,MATCH($A193,账户总表!$A:$A,0)),0))</f>
        <v/>
      </c>
      <c r="AB193" s="57" t="str">
        <f aca="false">IF($A193="","",IFERROR(MAX(0,AA193-J193),0))</f>
        <v/>
      </c>
      <c r="AC193" s="39" t="str">
        <f aca="false">IF($A193="","",IF(I193&gt;0,IFERROR(FLOOR(AB193/I193,100),0),0))</f>
        <v/>
      </c>
      <c r="AD193" s="30" t="str">
        <f aca="false">IF($A193="","",IF(N193&gt;INDEX(账户总表!$O:$O,MATCH($A193,账户总表!$A:$A,0)),"超限","合规"))</f>
        <v/>
      </c>
      <c r="AE193" s="1" t="str">
        <f aca="false">IF($A193="","",IFERROR((I193-P193)/I193,0))</f>
        <v/>
      </c>
      <c r="AF193" s="1" t="str">
        <f aca="false">IF($A193="","",IFERROR(MAX(0,(I193-P193)*G193),0))</f>
        <v/>
      </c>
      <c r="AG193" s="1" t="str">
        <f aca="false">IF($A193="","",IF(COUNTIFS(候选池!$C$2:$C$201,C193,候选池!$K$2:$K$201,"核心池")&gt;0,"核心池","否"))</f>
        <v/>
      </c>
      <c r="AH193" s="1" t="str">
        <f aca="false">IF(A193="","",IF(OR(J193="",K193="",K193=0),"",IF((J193-K193)/K193&lt;0.05,"不可加仓(无浮盈护垫)",IF(N193&gt;0.6,"不可加仓(超三买上限)",IF(N193&gt;0.5,"可加仓(三买区,上限60%)",IF(N193&gt;0.35,"可加仓(二买区,上限50%)","可加仓(一买区,上限35%)"))))))</f>
        <v/>
      </c>
    </row>
    <row r="194" customFormat="false" ht="15" hidden="false" customHeight="true" outlineLevel="0" collapsed="false">
      <c r="A194" s="28"/>
      <c r="B194" s="28"/>
      <c r="C194" s="28"/>
      <c r="D194" s="28"/>
      <c r="E194" s="34"/>
      <c r="F194" s="28"/>
      <c r="G194" s="37"/>
      <c r="H194" s="34"/>
      <c r="I194" s="34"/>
      <c r="J194" s="35"/>
      <c r="K194" s="35"/>
      <c r="L194" s="35"/>
      <c r="M194" s="36"/>
      <c r="N194" s="36"/>
      <c r="O194" s="34"/>
      <c r="P194" s="35"/>
      <c r="Q194" s="39"/>
      <c r="R194" s="40"/>
      <c r="S194" s="28"/>
      <c r="T194" s="29"/>
      <c r="U194" s="29"/>
      <c r="V194" s="39"/>
      <c r="W194" s="39"/>
      <c r="X194" s="39"/>
      <c r="Y194" s="39"/>
      <c r="Z194" s="39"/>
      <c r="AA194" s="39" t="str">
        <f aca="false">IF($A194="","",IFERROR(INDEX(账户总表!$B:$B,MATCH($A194,账户总表!$A:$A,0))*INDEX(账户总表!$O:$O,MATCH($A194,账户总表!$A:$A,0)),0))</f>
        <v/>
      </c>
      <c r="AB194" s="57" t="str">
        <f aca="false">IF($A194="","",IFERROR(MAX(0,AA194-J194),0))</f>
        <v/>
      </c>
      <c r="AC194" s="39" t="str">
        <f aca="false">IF($A194="","",IF(I194&gt;0,IFERROR(FLOOR(AB194/I194,100),0),0))</f>
        <v/>
      </c>
      <c r="AD194" s="28" t="str">
        <f aca="false">IF($A194="","",IF(N194&gt;INDEX(账户总表!$O:$O,MATCH($A194,账户总表!$A:$A,0)),"超限","合规"))</f>
        <v/>
      </c>
      <c r="AE194" s="1" t="str">
        <f aca="false">IF($A194="","",IFERROR((I194-P194)/I194,0))</f>
        <v/>
      </c>
      <c r="AF194" s="1" t="str">
        <f aca="false">IF($A194="","",IFERROR(MAX(0,(I194-P194)*G194),0))</f>
        <v/>
      </c>
      <c r="AG194" s="1" t="str">
        <f aca="false">IF($A194="","",IF(COUNTIFS(候选池!$C$2:$C$201,C194,候选池!$K$2:$K$201,"核心池")&gt;0,"核心池","否"))</f>
        <v/>
      </c>
      <c r="AH194" s="1" t="str">
        <f aca="false">IF(A194="","",IF(OR(J194="",K194="",K194=0),"",IF((J194-K194)/K194&lt;0.05,"不可加仓(无浮盈护垫)",IF(N194&gt;0.6,"不可加仓(超三买上限)",IF(N194&gt;0.5,"可加仓(三买区,上限60%)",IF(N194&gt;0.35,"可加仓(二买区,上限50%)","可加仓(一买区,上限35%)"))))))</f>
        <v/>
      </c>
    </row>
    <row r="195" customFormat="false" ht="15" hidden="false" customHeight="true" outlineLevel="0" collapsed="false">
      <c r="A195" s="30"/>
      <c r="B195" s="30"/>
      <c r="C195" s="30"/>
      <c r="D195" s="30"/>
      <c r="E195" s="44"/>
      <c r="F195" s="30"/>
      <c r="G195" s="45"/>
      <c r="H195" s="44"/>
      <c r="I195" s="44"/>
      <c r="J195" s="35"/>
      <c r="K195" s="35"/>
      <c r="L195" s="35"/>
      <c r="M195" s="36"/>
      <c r="N195" s="36"/>
      <c r="O195" s="44"/>
      <c r="P195" s="35"/>
      <c r="Q195" s="39"/>
      <c r="R195" s="46"/>
      <c r="S195" s="30"/>
      <c r="T195" s="31"/>
      <c r="U195" s="31"/>
      <c r="V195" s="39"/>
      <c r="W195" s="39"/>
      <c r="X195" s="39"/>
      <c r="Y195" s="39"/>
      <c r="Z195" s="39"/>
      <c r="AA195" s="39" t="str">
        <f aca="false">IF($A195="","",IFERROR(INDEX(账户总表!$B:$B,MATCH($A195,账户总表!$A:$A,0))*INDEX(账户总表!$O:$O,MATCH($A195,账户总表!$A:$A,0)),0))</f>
        <v/>
      </c>
      <c r="AB195" s="57" t="str">
        <f aca="false">IF($A195="","",IFERROR(MAX(0,AA195-J195),0))</f>
        <v/>
      </c>
      <c r="AC195" s="39" t="str">
        <f aca="false">IF($A195="","",IF(I195&gt;0,IFERROR(FLOOR(AB195/I195,100),0),0))</f>
        <v/>
      </c>
      <c r="AD195" s="30" t="str">
        <f aca="false">IF($A195="","",IF(N195&gt;INDEX(账户总表!$O:$O,MATCH($A195,账户总表!$A:$A,0)),"超限","合规"))</f>
        <v/>
      </c>
      <c r="AE195" s="1" t="str">
        <f aca="false">IF($A195="","",IFERROR((I195-P195)/I195,0))</f>
        <v/>
      </c>
      <c r="AF195" s="1" t="str">
        <f aca="false">IF($A195="","",IFERROR(MAX(0,(I195-P195)*G195),0))</f>
        <v/>
      </c>
      <c r="AG195" s="1" t="str">
        <f aca="false">IF($A195="","",IF(COUNTIFS(候选池!$C$2:$C$201,C195,候选池!$K$2:$K$201,"核心池")&gt;0,"核心池","否"))</f>
        <v/>
      </c>
      <c r="AH195" s="1" t="str">
        <f aca="false">IF(A195="","",IF(OR(J195="",K195="",K195=0),"",IF((J195-K195)/K195&lt;0.05,"不可加仓(无浮盈护垫)",IF(N195&gt;0.6,"不可加仓(超三买上限)",IF(N195&gt;0.5,"可加仓(三买区,上限60%)",IF(N195&gt;0.35,"可加仓(二买区,上限50%)","可加仓(一买区,上限35%)"))))))</f>
        <v/>
      </c>
    </row>
    <row r="196" customFormat="false" ht="15" hidden="false" customHeight="true" outlineLevel="0" collapsed="false">
      <c r="A196" s="28"/>
      <c r="B196" s="28"/>
      <c r="C196" s="28"/>
      <c r="D196" s="28"/>
      <c r="E196" s="34"/>
      <c r="F196" s="28"/>
      <c r="G196" s="37"/>
      <c r="H196" s="34"/>
      <c r="I196" s="34"/>
      <c r="J196" s="35"/>
      <c r="K196" s="35"/>
      <c r="L196" s="35"/>
      <c r="M196" s="36"/>
      <c r="N196" s="36"/>
      <c r="O196" s="34"/>
      <c r="P196" s="35"/>
      <c r="Q196" s="39"/>
      <c r="R196" s="40"/>
      <c r="S196" s="28"/>
      <c r="T196" s="29"/>
      <c r="U196" s="29"/>
      <c r="V196" s="39"/>
      <c r="W196" s="39"/>
      <c r="X196" s="39"/>
      <c r="Y196" s="39"/>
      <c r="Z196" s="39"/>
      <c r="AA196" s="39" t="str">
        <f aca="false">IF($A196="","",IFERROR(INDEX(账户总表!$B:$B,MATCH($A196,账户总表!$A:$A,0))*INDEX(账户总表!$O:$O,MATCH($A196,账户总表!$A:$A,0)),0))</f>
        <v/>
      </c>
      <c r="AB196" s="57" t="str">
        <f aca="false">IF($A196="","",IFERROR(MAX(0,AA196-J196),0))</f>
        <v/>
      </c>
      <c r="AC196" s="39" t="str">
        <f aca="false">IF($A196="","",IF(I196&gt;0,IFERROR(FLOOR(AB196/I196,100),0),0))</f>
        <v/>
      </c>
      <c r="AD196" s="28" t="str">
        <f aca="false">IF($A196="","",IF(N196&gt;INDEX(账户总表!$O:$O,MATCH($A196,账户总表!$A:$A,0)),"超限","合规"))</f>
        <v/>
      </c>
      <c r="AE196" s="1" t="str">
        <f aca="false">IF($A196="","",IFERROR((I196-P196)/I196,0))</f>
        <v/>
      </c>
      <c r="AF196" s="1" t="str">
        <f aca="false">IF($A196="","",IFERROR(MAX(0,(I196-P196)*G196),0))</f>
        <v/>
      </c>
      <c r="AG196" s="1" t="str">
        <f aca="false">IF($A196="","",IF(COUNTIFS(候选池!$C$2:$C$201,C196,候选池!$K$2:$K$201,"核心池")&gt;0,"核心池","否"))</f>
        <v/>
      </c>
      <c r="AH196" s="1" t="str">
        <f aca="false">IF(A196="","",IF(OR(J196="",K196="",K196=0),"",IF((J196-K196)/K196&lt;0.05,"不可加仓(无浮盈护垫)",IF(N196&gt;0.6,"不可加仓(超三买上限)",IF(N196&gt;0.5,"可加仓(三买区,上限60%)",IF(N196&gt;0.35,"可加仓(二买区,上限50%)","可加仓(一买区,上限35%)"))))))</f>
        <v/>
      </c>
    </row>
    <row r="197" customFormat="false" ht="15" hidden="false" customHeight="true" outlineLevel="0" collapsed="false">
      <c r="A197" s="30"/>
      <c r="B197" s="30"/>
      <c r="C197" s="30"/>
      <c r="D197" s="30"/>
      <c r="E197" s="44"/>
      <c r="F197" s="30"/>
      <c r="G197" s="45"/>
      <c r="H197" s="44"/>
      <c r="I197" s="44"/>
      <c r="J197" s="35"/>
      <c r="K197" s="35"/>
      <c r="L197" s="35"/>
      <c r="M197" s="36"/>
      <c r="N197" s="36"/>
      <c r="O197" s="44"/>
      <c r="P197" s="35"/>
      <c r="Q197" s="39"/>
      <c r="R197" s="46"/>
      <c r="S197" s="30"/>
      <c r="T197" s="31"/>
      <c r="U197" s="31"/>
      <c r="V197" s="39"/>
      <c r="W197" s="39"/>
      <c r="X197" s="39"/>
      <c r="Y197" s="39"/>
      <c r="Z197" s="39"/>
      <c r="AA197" s="39" t="str">
        <f aca="false">IF($A197="","",IFERROR(INDEX(账户总表!$B:$B,MATCH($A197,账户总表!$A:$A,0))*INDEX(账户总表!$O:$O,MATCH($A197,账户总表!$A:$A,0)),0))</f>
        <v/>
      </c>
      <c r="AB197" s="57" t="str">
        <f aca="false">IF($A197="","",IFERROR(MAX(0,AA197-J197),0))</f>
        <v/>
      </c>
      <c r="AC197" s="39" t="str">
        <f aca="false">IF($A197="","",IF(I197&gt;0,IFERROR(FLOOR(AB197/I197,100),0),0))</f>
        <v/>
      </c>
      <c r="AD197" s="30" t="str">
        <f aca="false">IF($A197="","",IF(N197&gt;INDEX(账户总表!$O:$O,MATCH($A197,账户总表!$A:$A,0)),"超限","合规"))</f>
        <v/>
      </c>
      <c r="AE197" s="1" t="str">
        <f aca="false">IF($A197="","",IFERROR((I197-P197)/I197,0))</f>
        <v/>
      </c>
      <c r="AF197" s="1" t="str">
        <f aca="false">IF($A197="","",IFERROR(MAX(0,(I197-P197)*G197),0))</f>
        <v/>
      </c>
      <c r="AG197" s="1" t="str">
        <f aca="false">IF($A197="","",IF(COUNTIFS(候选池!$C$2:$C$201,C197,候选池!$K$2:$K$201,"核心池")&gt;0,"核心池","否"))</f>
        <v/>
      </c>
      <c r="AH197" s="1" t="str">
        <f aca="false">IF(A197="","",IF(OR(J197="",K197="",K197=0),"",IF((J197-K197)/K197&lt;0.05,"不可加仓(无浮盈护垫)",IF(N197&gt;0.6,"不可加仓(超三买上限)",IF(N197&gt;0.5,"可加仓(三买区,上限60%)",IF(N197&gt;0.35,"可加仓(二买区,上限50%)","可加仓(一买区,上限35%)"))))))</f>
        <v/>
      </c>
    </row>
    <row r="198" customFormat="false" ht="15" hidden="false" customHeight="true" outlineLevel="0" collapsed="false">
      <c r="A198" s="28"/>
      <c r="B198" s="28"/>
      <c r="C198" s="28"/>
      <c r="D198" s="28"/>
      <c r="E198" s="34"/>
      <c r="F198" s="28"/>
      <c r="G198" s="37"/>
      <c r="H198" s="34"/>
      <c r="I198" s="34"/>
      <c r="J198" s="35"/>
      <c r="K198" s="35"/>
      <c r="L198" s="35"/>
      <c r="M198" s="36"/>
      <c r="N198" s="36"/>
      <c r="O198" s="34"/>
      <c r="P198" s="35"/>
      <c r="Q198" s="39"/>
      <c r="R198" s="40"/>
      <c r="S198" s="28"/>
      <c r="T198" s="29"/>
      <c r="U198" s="29"/>
      <c r="V198" s="39"/>
      <c r="W198" s="39"/>
      <c r="X198" s="39"/>
      <c r="Y198" s="39"/>
      <c r="Z198" s="39"/>
      <c r="AA198" s="39" t="str">
        <f aca="false">IF($A198="","",IFERROR(INDEX(账户总表!$B:$B,MATCH($A198,账户总表!$A:$A,0))*INDEX(账户总表!$O:$O,MATCH($A198,账户总表!$A:$A,0)),0))</f>
        <v/>
      </c>
      <c r="AB198" s="57" t="str">
        <f aca="false">IF($A198="","",IFERROR(MAX(0,AA198-J198),0))</f>
        <v/>
      </c>
      <c r="AC198" s="39" t="str">
        <f aca="false">IF($A198="","",IF(I198&gt;0,IFERROR(FLOOR(AB198/I198,100),0),0))</f>
        <v/>
      </c>
      <c r="AD198" s="28" t="str">
        <f aca="false">IF($A198="","",IF(N198&gt;INDEX(账户总表!$O:$O,MATCH($A198,账户总表!$A:$A,0)),"超限","合规"))</f>
        <v/>
      </c>
      <c r="AE198" s="1" t="str">
        <f aca="false">IF($A198="","",IFERROR((I198-P198)/I198,0))</f>
        <v/>
      </c>
      <c r="AF198" s="1" t="str">
        <f aca="false">IF($A198="","",IFERROR(MAX(0,(I198-P198)*G198),0))</f>
        <v/>
      </c>
      <c r="AG198" s="1" t="str">
        <f aca="false">IF($A198="","",IF(COUNTIFS(候选池!$C$2:$C$201,C198,候选池!$K$2:$K$201,"核心池")&gt;0,"核心池","否"))</f>
        <v/>
      </c>
      <c r="AH198" s="1" t="str">
        <f aca="false">IF(A198="","",IF(OR(J198="",K198="",K198=0),"",IF((J198-K198)/K198&lt;0.05,"不可加仓(无浮盈护垫)",IF(N198&gt;0.6,"不可加仓(超三买上限)",IF(N198&gt;0.5,"可加仓(三买区,上限60%)",IF(N198&gt;0.35,"可加仓(二买区,上限50%)","可加仓(一买区,上限35%)"))))))</f>
        <v/>
      </c>
    </row>
    <row r="199" customFormat="false" ht="15" hidden="false" customHeight="true" outlineLevel="0" collapsed="false">
      <c r="A199" s="30"/>
      <c r="B199" s="30"/>
      <c r="C199" s="30"/>
      <c r="D199" s="30"/>
      <c r="E199" s="44"/>
      <c r="F199" s="30"/>
      <c r="G199" s="45"/>
      <c r="H199" s="44"/>
      <c r="I199" s="44"/>
      <c r="J199" s="35"/>
      <c r="K199" s="35"/>
      <c r="L199" s="35"/>
      <c r="M199" s="36"/>
      <c r="N199" s="36"/>
      <c r="O199" s="44"/>
      <c r="P199" s="35"/>
      <c r="Q199" s="39"/>
      <c r="R199" s="46"/>
      <c r="S199" s="30"/>
      <c r="T199" s="31"/>
      <c r="U199" s="31"/>
      <c r="V199" s="39"/>
      <c r="W199" s="39"/>
      <c r="X199" s="39"/>
      <c r="Y199" s="39"/>
      <c r="Z199" s="39"/>
      <c r="AA199" s="39" t="str">
        <f aca="false">IF($A199="","",IFERROR(INDEX(账户总表!$B:$B,MATCH($A199,账户总表!$A:$A,0))*INDEX(账户总表!$O:$O,MATCH($A199,账户总表!$A:$A,0)),0))</f>
        <v/>
      </c>
      <c r="AB199" s="57" t="str">
        <f aca="false">IF($A199="","",IFERROR(MAX(0,AA199-J199),0))</f>
        <v/>
      </c>
      <c r="AC199" s="39" t="str">
        <f aca="false">IF($A199="","",IF(I199&gt;0,IFERROR(FLOOR(AB199/I199,100),0),0))</f>
        <v/>
      </c>
      <c r="AD199" s="30" t="str">
        <f aca="false">IF($A199="","",IF(N199&gt;INDEX(账户总表!$O:$O,MATCH($A199,账户总表!$A:$A,0)),"超限","合规"))</f>
        <v/>
      </c>
      <c r="AE199" s="1" t="str">
        <f aca="false">IF($A199="","",IFERROR((I199-P199)/I199,0))</f>
        <v/>
      </c>
      <c r="AF199" s="1" t="str">
        <f aca="false">IF($A199="","",IFERROR(MAX(0,(I199-P199)*G199),0))</f>
        <v/>
      </c>
      <c r="AG199" s="1" t="str">
        <f aca="false">IF($A199="","",IF(COUNTIFS(候选池!$C$2:$C$201,C199,候选池!$K$2:$K$201,"核心池")&gt;0,"核心池","否"))</f>
        <v/>
      </c>
      <c r="AH199" s="1" t="str">
        <f aca="false">IF(A199="","",IF(OR(J199="",K199="",K199=0),"",IF((J199-K199)/K199&lt;0.05,"不可加仓(无浮盈护垫)",IF(N199&gt;0.6,"不可加仓(超三买上限)",IF(N199&gt;0.5,"可加仓(三买区,上限60%)",IF(N199&gt;0.35,"可加仓(二买区,上限50%)","可加仓(一买区,上限35%)"))))))</f>
        <v/>
      </c>
    </row>
    <row r="200" customFormat="false" ht="15" hidden="false" customHeight="true" outlineLevel="0" collapsed="false">
      <c r="A200" s="28"/>
      <c r="B200" s="28"/>
      <c r="C200" s="28"/>
      <c r="D200" s="28"/>
      <c r="E200" s="34"/>
      <c r="F200" s="28"/>
      <c r="G200" s="37"/>
      <c r="H200" s="34"/>
      <c r="I200" s="34"/>
      <c r="J200" s="35"/>
      <c r="K200" s="35"/>
      <c r="L200" s="35"/>
      <c r="M200" s="36"/>
      <c r="N200" s="36"/>
      <c r="O200" s="34"/>
      <c r="P200" s="35"/>
      <c r="Q200" s="39"/>
      <c r="R200" s="40"/>
      <c r="S200" s="28"/>
      <c r="T200" s="29"/>
      <c r="U200" s="29"/>
      <c r="V200" s="39"/>
      <c r="W200" s="39"/>
      <c r="X200" s="39"/>
      <c r="Y200" s="39"/>
      <c r="Z200" s="39"/>
      <c r="AA200" s="39" t="str">
        <f aca="false">IF($A200="","",IFERROR(INDEX(账户总表!$B:$B,MATCH($A200,账户总表!$A:$A,0))*INDEX(账户总表!$O:$O,MATCH($A200,账户总表!$A:$A,0)),0))</f>
        <v/>
      </c>
      <c r="AB200" s="57" t="str">
        <f aca="false">IF($A200="","",IFERROR(MAX(0,AA200-J200),0))</f>
        <v/>
      </c>
      <c r="AC200" s="39" t="str">
        <f aca="false">IF($A200="","",IF(I200&gt;0,IFERROR(FLOOR(AB200/I200,100),0),0))</f>
        <v/>
      </c>
      <c r="AD200" s="28" t="str">
        <f aca="false">IF($A200="","",IF(N200&gt;INDEX(账户总表!$O:$O,MATCH($A200,账户总表!$A:$A,0)),"超限","合规"))</f>
        <v/>
      </c>
      <c r="AE200" s="1" t="str">
        <f aca="false">IF($A200="","",IFERROR((I200-P200)/I200,0))</f>
        <v/>
      </c>
      <c r="AF200" s="1" t="str">
        <f aca="false">IF($A200="","",IFERROR(MAX(0,(I200-P200)*G200),0))</f>
        <v/>
      </c>
      <c r="AG200" s="1" t="str">
        <f aca="false">IF($A200="","",IF(COUNTIFS(候选池!$C$2:$C$201,C200,候选池!$K$2:$K$201,"核心池")&gt;0,"核心池","否"))</f>
        <v/>
      </c>
      <c r="AH200" s="1" t="str">
        <f aca="false">IF(A200="","",IF(OR(J200="",K200="",K200=0),"",IF((J200-K200)/K200&lt;0.05,"不可加仓(无浮盈护垫)",IF(N200&gt;0.6,"不可加仓(超三买上限)",IF(N200&gt;0.5,"可加仓(三买区,上限60%)",IF(N200&gt;0.35,"可加仓(二买区,上限50%)","可加仓(一买区,上限35%)"))))))</f>
        <v/>
      </c>
    </row>
    <row r="201" customFormat="false" ht="15" hidden="false" customHeight="true" outlineLevel="0" collapsed="false">
      <c r="A201" s="30"/>
      <c r="B201" s="30"/>
      <c r="C201" s="30"/>
      <c r="D201" s="30"/>
      <c r="E201" s="44"/>
      <c r="F201" s="30"/>
      <c r="G201" s="45"/>
      <c r="H201" s="44"/>
      <c r="I201" s="44"/>
      <c r="J201" s="35"/>
      <c r="K201" s="35"/>
      <c r="L201" s="35"/>
      <c r="M201" s="36"/>
      <c r="N201" s="36"/>
      <c r="O201" s="44"/>
      <c r="P201" s="35"/>
      <c r="Q201" s="39"/>
      <c r="R201" s="46"/>
      <c r="S201" s="30"/>
      <c r="T201" s="31"/>
      <c r="U201" s="31"/>
      <c r="V201" s="39"/>
      <c r="W201" s="39"/>
      <c r="X201" s="39"/>
      <c r="Y201" s="39"/>
      <c r="Z201" s="39"/>
      <c r="AA201" s="39"/>
      <c r="AB201" s="57"/>
      <c r="AC201" s="39"/>
      <c r="AD201" s="30"/>
    </row>
    <row r="202" customFormat="false" ht="15" hidden="false" customHeight="true" outlineLevel="0" collapsed="false">
      <c r="A202" s="61" t="n">
        <v>46232</v>
      </c>
      <c r="B202" s="32" t="s">
        <v>390</v>
      </c>
      <c r="C202" s="1" t="s">
        <v>391</v>
      </c>
      <c r="D202" s="32" t="s">
        <v>324</v>
      </c>
      <c r="E202" s="1" t="n">
        <v>3.788</v>
      </c>
      <c r="F202" s="1" t="n">
        <v>4.87</v>
      </c>
      <c r="G202" s="1" t="n">
        <v>100</v>
      </c>
      <c r="H202" s="1" t="n">
        <v>4.595</v>
      </c>
      <c r="I202" s="1" t="n">
        <v>4.86</v>
      </c>
      <c r="J202" s="1" t="n">
        <v>1944</v>
      </c>
      <c r="K202" s="1" t="n">
        <v>1838</v>
      </c>
      <c r="L202" s="1" t="n">
        <v>106</v>
      </c>
      <c r="M202" s="1" t="n">
        <v>0.057671</v>
      </c>
      <c r="N202" s="1" t="n">
        <v>0.091219</v>
      </c>
      <c r="AI202" s="32" t="s">
        <v>402</v>
      </c>
    </row>
    <row r="203" customFormat="false" ht="15" hidden="false" customHeight="true" outlineLevel="0" collapsed="false">
      <c r="A203" s="61" t="n">
        <v>46232</v>
      </c>
      <c r="B203" s="32" t="s">
        <v>395</v>
      </c>
      <c r="C203" s="1" t="s">
        <v>396</v>
      </c>
      <c r="D203" s="32" t="s">
        <v>324</v>
      </c>
      <c r="F203" s="1" t="s">
        <v>394</v>
      </c>
      <c r="G203" s="1" t="n">
        <v>0</v>
      </c>
      <c r="H203" s="1" t="n">
        <v>3.287</v>
      </c>
      <c r="I203" s="1" t="n">
        <v>3.45</v>
      </c>
      <c r="J203" s="1" t="n">
        <v>1035</v>
      </c>
      <c r="K203" s="1" t="n">
        <v>986.1</v>
      </c>
      <c r="L203" s="1" t="n">
        <v>48.9</v>
      </c>
      <c r="M203" s="1" t="n">
        <v>0.049589</v>
      </c>
      <c r="N203" s="1" t="n">
        <v>0.048566</v>
      </c>
      <c r="T203" s="32" t="s">
        <v>397</v>
      </c>
      <c r="AI203" s="32" t="s">
        <v>402</v>
      </c>
    </row>
    <row r="204" customFormat="false" ht="15" hidden="false" customHeight="true" outlineLevel="0" collapsed="false">
      <c r="A204" s="61" t="n">
        <v>46232</v>
      </c>
      <c r="B204" s="32" t="s">
        <v>400</v>
      </c>
      <c r="C204" s="1" t="s">
        <v>401</v>
      </c>
      <c r="D204" s="32" t="s">
        <v>324</v>
      </c>
      <c r="E204" s="1" t="n">
        <v>9.193</v>
      </c>
      <c r="F204" s="1" t="n">
        <v>9.3</v>
      </c>
      <c r="G204" s="1" t="n">
        <v>300</v>
      </c>
      <c r="H204" s="1" t="n">
        <v>9.321</v>
      </c>
      <c r="I204" s="1" t="n">
        <v>9.34</v>
      </c>
      <c r="J204" s="1" t="n">
        <v>1868</v>
      </c>
      <c r="K204" s="1" t="n">
        <v>1864.2</v>
      </c>
      <c r="L204" s="1" t="n">
        <v>3.8</v>
      </c>
      <c r="M204" s="1" t="n">
        <v>0.002038</v>
      </c>
      <c r="N204" s="1" t="n">
        <v>0.087653</v>
      </c>
      <c r="AI204" s="32" t="s">
        <v>402</v>
      </c>
    </row>
    <row r="205" customFormat="false" ht="15" hidden="false" customHeight="true" outlineLevel="0" collapsed="false">
      <c r="A205" s="61" t="n">
        <v>46232</v>
      </c>
      <c r="B205" s="32" t="s">
        <v>398</v>
      </c>
      <c r="C205" s="1" t="s">
        <v>399</v>
      </c>
      <c r="D205" s="32" t="s">
        <v>324</v>
      </c>
      <c r="F205" s="1" t="s">
        <v>394</v>
      </c>
      <c r="G205" s="1" t="n">
        <v>0</v>
      </c>
      <c r="H205" s="1" t="n">
        <v>15.33</v>
      </c>
      <c r="I205" s="1" t="n">
        <v>15.94</v>
      </c>
      <c r="J205" s="1" t="n">
        <v>3188</v>
      </c>
      <c r="K205" s="1" t="n">
        <v>3066</v>
      </c>
      <c r="L205" s="1" t="n">
        <v>122</v>
      </c>
      <c r="M205" s="1" t="n">
        <v>0.039791</v>
      </c>
      <c r="N205" s="1" t="n">
        <v>0.149592</v>
      </c>
      <c r="T205" s="32" t="s">
        <v>397</v>
      </c>
      <c r="AI205" s="32" t="s">
        <v>402</v>
      </c>
    </row>
    <row r="206" customFormat="false" ht="15" hidden="false" customHeight="true" outlineLevel="0" collapsed="false">
      <c r="A206" s="61" t="n">
        <v>46232</v>
      </c>
      <c r="B206" s="32" t="s">
        <v>403</v>
      </c>
      <c r="C206" s="1" t="s">
        <v>404</v>
      </c>
      <c r="D206" s="32" t="s">
        <v>324</v>
      </c>
      <c r="E206" s="1" t="n">
        <v>5.975</v>
      </c>
      <c r="F206" s="1" t="n">
        <v>6.05</v>
      </c>
      <c r="G206" s="1" t="n">
        <v>400</v>
      </c>
      <c r="H206" s="1" t="n">
        <v>6.006</v>
      </c>
      <c r="I206" s="1" t="n">
        <v>6.04</v>
      </c>
      <c r="J206" s="1" t="n">
        <v>1208</v>
      </c>
      <c r="K206" s="1" t="n">
        <v>1201.2</v>
      </c>
      <c r="L206" s="1" t="n">
        <v>6.8</v>
      </c>
      <c r="M206" s="1" t="n">
        <v>0.005661</v>
      </c>
      <c r="N206" s="1" t="n">
        <v>0.056683</v>
      </c>
      <c r="AI206" s="32" t="s">
        <v>402</v>
      </c>
    </row>
    <row r="207" customFormat="false" ht="15" hidden="false" customHeight="true" outlineLevel="0" collapsed="false">
      <c r="A207" s="61" t="n">
        <v>46232</v>
      </c>
      <c r="B207" s="32" t="s">
        <v>405</v>
      </c>
      <c r="C207" s="1" t="s">
        <v>406</v>
      </c>
      <c r="D207" s="32" t="s">
        <v>324</v>
      </c>
      <c r="E207" s="1" t="n">
        <v>4.195</v>
      </c>
      <c r="F207" s="1" t="n">
        <v>4.28</v>
      </c>
      <c r="G207" s="1" t="n">
        <v>200</v>
      </c>
      <c r="H207" s="1" t="n">
        <v>4.196</v>
      </c>
      <c r="I207" s="1" t="n">
        <v>4.26</v>
      </c>
      <c r="J207" s="1" t="n">
        <v>852</v>
      </c>
      <c r="K207" s="1" t="n">
        <v>839.2</v>
      </c>
      <c r="L207" s="1" t="n">
        <v>12.8</v>
      </c>
      <c r="M207" s="1" t="n">
        <v>0.015253</v>
      </c>
      <c r="N207" s="1" t="n">
        <v>0.039979</v>
      </c>
      <c r="AI207" s="32" t="s">
        <v>402</v>
      </c>
    </row>
    <row r="208" customFormat="false" ht="15" hidden="false" customHeight="true" outlineLevel="0" collapsed="false">
      <c r="A208" s="61" t="n">
        <v>46232</v>
      </c>
      <c r="B208" s="32" t="s">
        <v>375</v>
      </c>
      <c r="C208" s="1" t="s">
        <v>376</v>
      </c>
      <c r="D208" s="32" t="s">
        <v>206</v>
      </c>
      <c r="E208" s="1" t="n">
        <v>8.711</v>
      </c>
      <c r="F208" s="1" t="n">
        <v>5.67</v>
      </c>
      <c r="G208" s="1" t="n">
        <v>100</v>
      </c>
      <c r="H208" s="1" t="n">
        <v>8.711</v>
      </c>
      <c r="I208" s="1" t="n">
        <v>5.65</v>
      </c>
      <c r="J208" s="1" t="n">
        <v>565</v>
      </c>
      <c r="K208" s="1" t="n">
        <v>871.1</v>
      </c>
      <c r="L208" s="1" t="n">
        <v>-306.1</v>
      </c>
      <c r="M208" s="1" t="n">
        <v>-0.351395</v>
      </c>
      <c r="N208" s="1" t="n">
        <v>0.026512</v>
      </c>
      <c r="AI208" s="32" t="s">
        <v>402</v>
      </c>
    </row>
    <row r="209" customFormat="false" ht="15" hidden="false" customHeight="true" outlineLevel="0" collapsed="false">
      <c r="A209" s="61" t="n">
        <v>46232</v>
      </c>
      <c r="B209" s="32" t="s">
        <v>407</v>
      </c>
      <c r="C209" s="1" t="s">
        <v>408</v>
      </c>
      <c r="D209" s="32" t="s">
        <v>324</v>
      </c>
      <c r="E209" s="1" t="n">
        <v>8.31</v>
      </c>
      <c r="F209" s="1" t="n">
        <v>8.62</v>
      </c>
      <c r="G209" s="1" t="n">
        <v>100</v>
      </c>
      <c r="H209" s="1" t="n">
        <v>8.311</v>
      </c>
      <c r="I209" s="1" t="n">
        <v>8.54</v>
      </c>
      <c r="J209" s="1" t="n">
        <v>854</v>
      </c>
      <c r="K209" s="1" t="n">
        <v>831.1</v>
      </c>
      <c r="L209" s="1" t="n">
        <v>22.9</v>
      </c>
      <c r="M209" s="1" t="n">
        <v>0.027554</v>
      </c>
      <c r="N209" s="1" t="n">
        <v>0.040073</v>
      </c>
      <c r="AI209" s="32" t="s">
        <v>402</v>
      </c>
    </row>
    <row r="210" customFormat="false" ht="15" hidden="false" customHeight="true" outlineLevel="0" collapsed="false">
      <c r="A210" s="61" t="n">
        <v>46232</v>
      </c>
      <c r="B210" s="32" t="s">
        <v>392</v>
      </c>
      <c r="C210" s="1" t="s">
        <v>393</v>
      </c>
      <c r="D210" s="32" t="s">
        <v>324</v>
      </c>
      <c r="F210" s="1" t="n">
        <v>46230</v>
      </c>
      <c r="G210" s="1" t="n">
        <v>0</v>
      </c>
      <c r="H210" s="1" t="n">
        <v>4.625</v>
      </c>
      <c r="I210" s="1" t="n">
        <v>4.79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AI210" s="32" t="s">
        <v>402</v>
      </c>
    </row>
    <row r="211" customFormat="false" ht="15" hidden="false" customHeight="true" outlineLevel="0" collapsed="false">
      <c r="A211" s="55" t="n">
        <v>46233.4854166667</v>
      </c>
      <c r="B211" s="32" t="s">
        <v>390</v>
      </c>
      <c r="C211" s="1" t="s">
        <v>391</v>
      </c>
      <c r="D211" s="32" t="s">
        <v>324</v>
      </c>
      <c r="E211" s="1" t="n">
        <v>3.788</v>
      </c>
      <c r="F211" s="1" t="n">
        <v>4.87</v>
      </c>
      <c r="G211" s="1" t="n">
        <v>100</v>
      </c>
      <c r="H211" s="1" t="n">
        <v>3.788</v>
      </c>
      <c r="I211" s="1" t="n">
        <v>4.87</v>
      </c>
      <c r="AI211" s="32" t="s">
        <v>402</v>
      </c>
    </row>
    <row r="212" customFormat="false" ht="15" hidden="false" customHeight="true" outlineLevel="0" collapsed="false">
      <c r="A212" s="55" t="n">
        <v>46233.4854166667</v>
      </c>
      <c r="B212" s="32" t="s">
        <v>395</v>
      </c>
      <c r="C212" s="1" t="s">
        <v>396</v>
      </c>
      <c r="D212" s="32" t="s">
        <v>324</v>
      </c>
      <c r="F212" s="1" t="s">
        <v>379</v>
      </c>
      <c r="G212" s="1" t="n">
        <v>0</v>
      </c>
      <c r="H212" s="1" t="n">
        <v>2.995</v>
      </c>
      <c r="I212" s="1" t="n">
        <v>3.46</v>
      </c>
      <c r="T212" s="32" t="s">
        <v>397</v>
      </c>
      <c r="AI212" s="32" t="s">
        <v>402</v>
      </c>
    </row>
    <row r="213" customFormat="false" ht="15" hidden="false" customHeight="true" outlineLevel="0" collapsed="false">
      <c r="A213" s="55" t="n">
        <v>46233.4854166667</v>
      </c>
      <c r="B213" s="32" t="s">
        <v>398</v>
      </c>
      <c r="C213" s="1" t="s">
        <v>399</v>
      </c>
      <c r="D213" s="32" t="s">
        <v>324</v>
      </c>
      <c r="F213" s="1" t="s">
        <v>394</v>
      </c>
      <c r="G213" s="1" t="n">
        <v>0</v>
      </c>
      <c r="H213" s="1" t="n">
        <v>14.78</v>
      </c>
      <c r="I213" s="1" t="n">
        <v>15.94</v>
      </c>
      <c r="T213" s="32" t="s">
        <v>397</v>
      </c>
      <c r="AI213" s="32" t="s">
        <v>402</v>
      </c>
    </row>
    <row r="214" customFormat="false" ht="15" hidden="false" customHeight="true" outlineLevel="0" collapsed="false">
      <c r="A214" s="55" t="n">
        <v>46233.4854166667</v>
      </c>
      <c r="B214" s="32" t="s">
        <v>407</v>
      </c>
      <c r="C214" s="1" t="s">
        <v>408</v>
      </c>
      <c r="D214" s="32" t="s">
        <v>324</v>
      </c>
      <c r="E214" s="1" t="n">
        <v>8.31</v>
      </c>
      <c r="F214" s="1" t="n">
        <v>8.62</v>
      </c>
      <c r="G214" s="1" t="n">
        <v>100</v>
      </c>
      <c r="H214" s="1" t="n">
        <v>8.31</v>
      </c>
      <c r="I214" s="1" t="n">
        <v>8.64</v>
      </c>
      <c r="AI214" s="32" t="s">
        <v>402</v>
      </c>
    </row>
    <row r="215" customFormat="false" ht="15" hidden="false" customHeight="true" outlineLevel="0" collapsed="false">
      <c r="A215" s="55" t="n">
        <v>46233.4854166667</v>
      </c>
      <c r="B215" s="32" t="s">
        <v>405</v>
      </c>
      <c r="C215" s="1" t="s">
        <v>406</v>
      </c>
      <c r="D215" s="32" t="s">
        <v>324</v>
      </c>
      <c r="E215" s="1" t="n">
        <v>4.195</v>
      </c>
      <c r="F215" s="1" t="n">
        <v>4.28</v>
      </c>
      <c r="G215" s="1" t="n">
        <v>200</v>
      </c>
      <c r="H215" s="1" t="n">
        <v>4.195</v>
      </c>
      <c r="I215" s="1" t="n">
        <v>4.26</v>
      </c>
      <c r="AI215" s="32" t="s">
        <v>402</v>
      </c>
    </row>
    <row r="216" customFormat="false" ht="15" hidden="false" customHeight="true" outlineLevel="0" collapsed="false">
      <c r="A216" s="55" t="n">
        <v>46233.4854166667</v>
      </c>
      <c r="B216" s="32" t="s">
        <v>403</v>
      </c>
      <c r="C216" s="1" t="s">
        <v>404</v>
      </c>
      <c r="D216" s="32" t="s">
        <v>324</v>
      </c>
      <c r="E216" s="1" t="n">
        <v>5.975</v>
      </c>
      <c r="F216" s="1" t="n">
        <v>6.05</v>
      </c>
      <c r="G216" s="1" t="n">
        <v>400</v>
      </c>
      <c r="H216" s="1" t="n">
        <v>6.005</v>
      </c>
      <c r="I216" s="1" t="n">
        <v>5.98</v>
      </c>
      <c r="AI216" s="32" t="s">
        <v>402</v>
      </c>
    </row>
    <row r="217" customFormat="false" ht="15" hidden="false" customHeight="true" outlineLevel="0" collapsed="false">
      <c r="A217" s="55" t="n">
        <v>46233.4854166667</v>
      </c>
      <c r="B217" s="32" t="s">
        <v>400</v>
      </c>
      <c r="C217" s="1" t="s">
        <v>401</v>
      </c>
      <c r="D217" s="32" t="s">
        <v>324</v>
      </c>
      <c r="E217" s="1" t="n">
        <v>9.193</v>
      </c>
      <c r="F217" s="1" t="n">
        <v>9.3</v>
      </c>
      <c r="G217" s="1" t="n">
        <v>300</v>
      </c>
      <c r="H217" s="1" t="n">
        <v>9.32</v>
      </c>
      <c r="I217" s="1" t="n">
        <v>9.08</v>
      </c>
      <c r="AI217" s="32" t="s">
        <v>402</v>
      </c>
    </row>
    <row r="218" customFormat="false" ht="15" hidden="false" customHeight="true" outlineLevel="0" collapsed="false">
      <c r="A218" s="55" t="n">
        <v>46233.4854166667</v>
      </c>
      <c r="B218" s="32" t="s">
        <v>375</v>
      </c>
      <c r="C218" s="1" t="s">
        <v>376</v>
      </c>
      <c r="D218" s="32" t="s">
        <v>206</v>
      </c>
      <c r="E218" s="1" t="n">
        <v>8.711</v>
      </c>
      <c r="F218" s="1" t="n">
        <v>5.67</v>
      </c>
      <c r="G218" s="1" t="n">
        <v>100</v>
      </c>
      <c r="H218" s="1" t="n">
        <v>8.711</v>
      </c>
      <c r="I218" s="1" t="n">
        <v>5.74</v>
      </c>
      <c r="AI218" s="32" t="s">
        <v>402</v>
      </c>
    </row>
    <row r="219" customFormat="false" ht="15" hidden="false" customHeight="true" outlineLevel="0" collapsed="false">
      <c r="A219" s="55" t="n">
        <v>46233.5951388889</v>
      </c>
      <c r="B219" s="32" t="s">
        <v>390</v>
      </c>
      <c r="C219" s="1" t="s">
        <v>391</v>
      </c>
      <c r="D219" s="32" t="s">
        <v>324</v>
      </c>
      <c r="E219" s="1" t="n">
        <v>3.788</v>
      </c>
      <c r="F219" s="1" t="n">
        <v>4.87</v>
      </c>
      <c r="G219" s="1" t="n">
        <v>100</v>
      </c>
      <c r="H219" s="1" t="n">
        <v>3.788</v>
      </c>
      <c r="I219" s="1" t="n">
        <v>4.87</v>
      </c>
      <c r="J219" s="1" t="n">
        <f aca="false">IF(A219="","",G219*I219)</f>
        <v>487</v>
      </c>
      <c r="K219" s="1" t="n">
        <f aca="false">IF(A219="","",G219*H219)</f>
        <v>378.8</v>
      </c>
      <c r="L219" s="1" t="n">
        <f aca="false">IF(OR(A219="",J219="",K219=""),"",J219-K219)</f>
        <v>108.2</v>
      </c>
      <c r="M219" s="1" t="n">
        <f aca="false">IFERROR((I219-H219)/H219,0)</f>
        <v>0.285638859556494</v>
      </c>
      <c r="N219" s="1" t="n">
        <f aca="false">IFERROR(J219/INDEX(账户总表!$B:$B,MATCH($A219,账户总表!$A:$A,0)),0)</f>
        <v>0</v>
      </c>
      <c r="Q219" s="1" t="str">
        <f aca="false">IF($A219="","",IF(AND(I219&gt;0,P219&gt;0,I219&lt;=P219),"是","否"))</f>
        <v>否</v>
      </c>
      <c r="V219" s="1" t="str">
        <f aca="false">IF($A219="","",IF(OR(AND(O219&gt;0,I219&lt;O219),AND(T219="False",S219&lt;0.8)),"是","否"))</f>
        <v>否</v>
      </c>
      <c r="X219" s="1" t="str">
        <f aca="false">IF($A219="","",IF(AND(R219&lt;60%,S219&gt;0.8,T219="True",U219="一卖"),"是","否"))</f>
        <v>否</v>
      </c>
      <c r="Y219" s="1" t="str">
        <f aca="false">IF($A219="","",IF(D219="是","否",IF(N219&gt;LOOKUP(2,1/(账户总表!$A:$A&lt;&gt;""),账户总表!$O:$O),"是","否")))</f>
        <v>否</v>
      </c>
      <c r="Z219" s="1" t="str">
        <f aca="false">IF($A219="","",IF(M219&gt;=0,"盈利","亏损"))</f>
        <v>盈利</v>
      </c>
      <c r="AA219" s="1" t="n">
        <f aca="false">IF($A219="","",IFERROR(INDEX(账户总表!$B:$B,MATCH($A219,账户总表!$A:$A,0))*INDEX(账户总表!$O:$O,MATCH($A219,账户总表!$A:$A,0)),0))</f>
        <v>0</v>
      </c>
      <c r="AB219" s="1" t="n">
        <f aca="false">IF($A219="","",IFERROR(MAX(0,AA219-J219),0))</f>
        <v>0</v>
      </c>
      <c r="AC219" s="1" t="n">
        <f aca="false">IF($A219="","",IF(I219&gt;0,IFERROR(FLOOR(AB219/I219,100),0),0))</f>
        <v>0</v>
      </c>
      <c r="AD219" s="1" t="str">
        <f aca="false">IF($A219="","",IF(N219&gt;LOOKUP(2,1/(INT(账户总表!$A$2:$A$100)=INT($A219)),账户总表!$O$2:$O$100),"超限","合规"))</f>
        <v>合规</v>
      </c>
      <c r="AE219" s="1" t="n">
        <f aca="false">IF($A219="","",IFERROR((I219-P219)/I219,0))</f>
        <v>1</v>
      </c>
      <c r="AF219" s="1" t="n">
        <f aca="false">IF($A219="","",IFERROR(MAX(0,(I219-P219)*G219),0))</f>
        <v>487</v>
      </c>
      <c r="AG219" s="1" t="str">
        <f aca="false">IF($A219="","",IF(COUNTIFS(候选池!$C$2:$C$201,C219,候选池!$K$2:$K$201,"核心池")&gt;0,"核心池","否"))</f>
        <v>否</v>
      </c>
      <c r="AH219" s="1" t="str">
        <f aca="false">IF(A219="","",IF(OR(J219="",K219="",K219=0),"",IF((J219-K219)/K219&lt;0.05,"不可加仓(无浮盈护垫)",IF(N219&gt;0.6,"不可加仓(超三买上限)",IF(N219&gt;0.5,"可加仓(三买区,上限60%)",IF(N219&gt;0.35,"可加仓(二买区,上限50%)","可加仓(一买区,上限35%)"))))))</f>
        <v>可加仓(一买区,上限35%)</v>
      </c>
      <c r="AI219" s="32" t="s">
        <v>402</v>
      </c>
    </row>
    <row r="220" customFormat="false" ht="15" hidden="false" customHeight="true" outlineLevel="0" collapsed="false">
      <c r="A220" s="55" t="n">
        <v>46233.5951388889</v>
      </c>
      <c r="B220" s="32" t="s">
        <v>395</v>
      </c>
      <c r="C220" s="1" t="s">
        <v>396</v>
      </c>
      <c r="D220" s="32" t="s">
        <v>324</v>
      </c>
      <c r="F220" s="1" t="s">
        <v>379</v>
      </c>
      <c r="G220" s="1" t="n">
        <v>0</v>
      </c>
      <c r="H220" s="1" t="n">
        <v>2.995</v>
      </c>
      <c r="I220" s="1" t="n">
        <v>3.42</v>
      </c>
      <c r="J220" s="1" t="n">
        <f aca="false">IF(A220="","",G220*I220)</f>
        <v>0</v>
      </c>
      <c r="K220" s="1" t="n">
        <f aca="false">IF(A220="","",G220*H220)</f>
        <v>0</v>
      </c>
      <c r="L220" s="1" t="n">
        <f aca="false">IF(OR(A220="",J220="",K220=""),"",J220-K220)</f>
        <v>0</v>
      </c>
      <c r="M220" s="1" t="n">
        <f aca="false">IFERROR((I220-H220)/H220,0)</f>
        <v>0.141903171953255</v>
      </c>
      <c r="N220" s="1" t="n">
        <f aca="false">IFERROR(J220/INDEX(账户总表!$B:$B,MATCH($A220,账户总表!$A:$A,0)),0)</f>
        <v>0</v>
      </c>
      <c r="Q220" s="1" t="str">
        <f aca="false">IF($A220="","",IF(AND(I220&gt;0,P220&gt;0,I220&lt;=P220),"是","否"))</f>
        <v>否</v>
      </c>
      <c r="T220" s="32" t="s">
        <v>397</v>
      </c>
      <c r="V220" s="1" t="str">
        <f aca="false">IF($A220="","",IF(OR(AND(O220&gt;0,I220&lt;O220),AND(T220="False",S220&lt;0.8)),"是","否"))</f>
        <v>否</v>
      </c>
      <c r="X220" s="1" t="str">
        <f aca="false">IF($A220="","",IF(AND(R220&lt;60%,S220&gt;0.8,T220="True",U220="一卖"),"是","否"))</f>
        <v>否</v>
      </c>
      <c r="Y220" s="1" t="str">
        <f aca="false">IF($A220="","",IF(D220="是","否",IF(N220&gt;LOOKUP(2,1/(账户总表!$A:$A&lt;&gt;""),账户总表!$O:$O),"是","否")))</f>
        <v>否</v>
      </c>
      <c r="Z220" s="1" t="str">
        <f aca="false">IF($A220="","",IF(M220&gt;=0,"盈利","亏损"))</f>
        <v>盈利</v>
      </c>
      <c r="AA220" s="1" t="n">
        <f aca="false">IF($A220="","",IFERROR(INDEX(账户总表!$B:$B,MATCH($A220,账户总表!$A:$A,0))*INDEX(账户总表!$O:$O,MATCH($A220,账户总表!$A:$A,0)),0))</f>
        <v>0</v>
      </c>
      <c r="AB220" s="1" t="n">
        <f aca="false">IF($A220="","",IFERROR(MAX(0,AA220-J220),0))</f>
        <v>0</v>
      </c>
      <c r="AC220" s="1" t="n">
        <f aca="false">IF($A220="","",IF(I220&gt;0,IFERROR(FLOOR(AB220/I220,100),0),0))</f>
        <v>0</v>
      </c>
      <c r="AD220" s="1" t="str">
        <f aca="false">IF($A220="","",IF(N220&gt;LOOKUP(2,1/(INT(账户总表!$A$2:$A$100)=INT($A220)),账户总表!$O$2:$O$100),"超限","合规"))</f>
        <v>合规</v>
      </c>
      <c r="AE220" s="1" t="n">
        <f aca="false">IF($A220="","",IFERROR((I220-P220)/I220,0))</f>
        <v>1</v>
      </c>
      <c r="AF220" s="1" t="n">
        <f aca="false">IF($A220="","",IFERROR(MAX(0,(I220-P220)*G220),0))</f>
        <v>0</v>
      </c>
      <c r="AG220" s="1" t="str">
        <f aca="false">IF($A220="","",IF(COUNTIFS(候选池!$C$2:$C$201,C220,候选池!$K$2:$K$201,"核心池")&gt;0,"核心池","否"))</f>
        <v>否</v>
      </c>
      <c r="AH220" s="1" t="str">
        <f aca="false">IF(A220="","",IF(OR(J220="",K220="",K220=0),"",IF((J220-K220)/K220&lt;0.05,"不可加仓(无浮盈护垫)",IF(N220&gt;0.6,"不可加仓(超三买上限)",IF(N220&gt;0.5,"可加仓(三买区,上限60%)",IF(N220&gt;0.35,"可加仓(二买区,上限50%)","可加仓(一买区,上限35%)"))))))</f>
        <v/>
      </c>
      <c r="AI220" s="32" t="s">
        <v>402</v>
      </c>
    </row>
    <row r="221" customFormat="false" ht="15" hidden="false" customHeight="true" outlineLevel="0" collapsed="false">
      <c r="A221" s="55" t="n">
        <v>46233.5951388889</v>
      </c>
      <c r="B221" s="32" t="s">
        <v>398</v>
      </c>
      <c r="C221" s="1" t="s">
        <v>399</v>
      </c>
      <c r="D221" s="32" t="s">
        <v>324</v>
      </c>
      <c r="F221" s="1" t="s">
        <v>394</v>
      </c>
      <c r="G221" s="1" t="n">
        <v>0</v>
      </c>
      <c r="H221" s="1" t="n">
        <v>14.78</v>
      </c>
      <c r="I221" s="1" t="n">
        <v>15.94</v>
      </c>
      <c r="J221" s="1" t="n">
        <f aca="false">IF(A221="","",G221*I221)</f>
        <v>0</v>
      </c>
      <c r="K221" s="1" t="n">
        <f aca="false">IF(A221="","",G221*H221)</f>
        <v>0</v>
      </c>
      <c r="L221" s="1" t="n">
        <f aca="false">IF(OR(A221="",J221="",K221=""),"",J221-K221)</f>
        <v>0</v>
      </c>
      <c r="M221" s="1" t="n">
        <f aca="false">IFERROR((I221-H221)/H221,0)</f>
        <v>0.0784844384303113</v>
      </c>
      <c r="N221" s="1" t="n">
        <f aca="false">IFERROR(J221/INDEX(账户总表!$B:$B,MATCH($A221,账户总表!$A:$A,0)),0)</f>
        <v>0</v>
      </c>
      <c r="Q221" s="1" t="str">
        <f aca="false">IF($A221="","",IF(AND(I221&gt;0,P221&gt;0,I221&lt;=P221),"是","否"))</f>
        <v>否</v>
      </c>
      <c r="T221" s="32" t="s">
        <v>397</v>
      </c>
      <c r="V221" s="1" t="str">
        <f aca="false">IF($A221="","",IF(OR(AND(O221&gt;0,I221&lt;O221),AND(T221="False",S221&lt;0.8)),"是","否"))</f>
        <v>否</v>
      </c>
      <c r="X221" s="1" t="str">
        <f aca="false">IF($A221="","",IF(AND(R221&lt;60%,S221&gt;0.8,T221="True",U221="一卖"),"是","否"))</f>
        <v>否</v>
      </c>
      <c r="Y221" s="1" t="str">
        <f aca="false">IF($A221="","",IF(D221="是","否",IF(N221&gt;LOOKUP(2,1/(账户总表!$A:$A&lt;&gt;""),账户总表!$O:$O),"是","否")))</f>
        <v>否</v>
      </c>
      <c r="Z221" s="1" t="str">
        <f aca="false">IF($A221="","",IF(M221&gt;=0,"盈利","亏损"))</f>
        <v>盈利</v>
      </c>
      <c r="AA221" s="1" t="n">
        <f aca="false">IF($A221="","",IFERROR(INDEX(账户总表!$B:$B,MATCH($A221,账户总表!$A:$A,0))*INDEX(账户总表!$O:$O,MATCH($A221,账户总表!$A:$A,0)),0))</f>
        <v>0</v>
      </c>
      <c r="AB221" s="1" t="n">
        <f aca="false">IF($A221="","",IFERROR(MAX(0,AA221-J221),0))</f>
        <v>0</v>
      </c>
      <c r="AC221" s="1" t="n">
        <f aca="false">IF($A221="","",IF(I221&gt;0,IFERROR(FLOOR(AB221/I221,100),0),0))</f>
        <v>0</v>
      </c>
      <c r="AD221" s="1" t="str">
        <f aca="false">IF($A221="","",IF(N221&gt;LOOKUP(2,1/(INT(账户总表!$A$2:$A$100)=INT($A221)),账户总表!$O$2:$O$100),"超限","合规"))</f>
        <v>合规</v>
      </c>
      <c r="AE221" s="1" t="n">
        <f aca="false">IF($A221="","",IFERROR((I221-P221)/I221,0))</f>
        <v>1</v>
      </c>
      <c r="AF221" s="1" t="n">
        <f aca="false">IF($A221="","",IFERROR(MAX(0,(I221-P221)*G221),0))</f>
        <v>0</v>
      </c>
      <c r="AG221" s="1" t="str">
        <f aca="false">IF($A221="","",IF(COUNTIFS(候选池!$C$2:$C$201,C221,候选池!$K$2:$K$201,"核心池")&gt;0,"核心池","否"))</f>
        <v>否</v>
      </c>
      <c r="AH221" s="1" t="str">
        <f aca="false">IF(A221="","",IF(OR(J221="",K221="",K221=0),"",IF((J221-K221)/K221&lt;0.05,"不可加仓(无浮盈护垫)",IF(N221&gt;0.6,"不可加仓(超三买上限)",IF(N221&gt;0.5,"可加仓(三买区,上限60%)",IF(N221&gt;0.35,"可加仓(二买区,上限50%)","可加仓(一买区,上限35%)"))))))</f>
        <v/>
      </c>
      <c r="AI221" s="32" t="s">
        <v>402</v>
      </c>
    </row>
    <row r="222" customFormat="false" ht="15" hidden="false" customHeight="true" outlineLevel="0" collapsed="false">
      <c r="A222" s="55" t="n">
        <v>46233.5951388889</v>
      </c>
      <c r="B222" s="32" t="s">
        <v>407</v>
      </c>
      <c r="C222" s="1" t="s">
        <v>408</v>
      </c>
      <c r="D222" s="32" t="s">
        <v>324</v>
      </c>
      <c r="E222" s="1" t="n">
        <v>8.31</v>
      </c>
      <c r="F222" s="1" t="n">
        <v>8.62</v>
      </c>
      <c r="G222" s="1" t="n">
        <v>100</v>
      </c>
      <c r="H222" s="1" t="n">
        <v>8.31</v>
      </c>
      <c r="I222" s="1" t="n">
        <v>8.63</v>
      </c>
      <c r="J222" s="1" t="n">
        <f aca="false">IF(A222="","",G222*I222)</f>
        <v>863</v>
      </c>
      <c r="K222" s="1" t="n">
        <f aca="false">IF(A222="","",G222*H222)</f>
        <v>831</v>
      </c>
      <c r="L222" s="1" t="n">
        <f aca="false">IF(OR(A222="",J222="",K222=""),"",J222-K222)</f>
        <v>32.0000000000001</v>
      </c>
      <c r="M222" s="1" t="n">
        <f aca="false">IFERROR((I222-H222)/H222,0)</f>
        <v>0.0385078219013237</v>
      </c>
      <c r="N222" s="1" t="n">
        <f aca="false">IFERROR(J222/INDEX(账户总表!$B:$B,MATCH($A222,账户总表!$A:$A,0)),0)</f>
        <v>0</v>
      </c>
      <c r="Q222" s="1" t="str">
        <f aca="false">IF($A222="","",IF(AND(I222&gt;0,P222&gt;0,I222&lt;=P222),"是","否"))</f>
        <v>否</v>
      </c>
      <c r="V222" s="1" t="str">
        <f aca="false">IF($A222="","",IF(OR(AND(O222&gt;0,I222&lt;O222),AND(T222="False",S222&lt;0.8)),"是","否"))</f>
        <v>否</v>
      </c>
      <c r="X222" s="1" t="str">
        <f aca="false">IF($A222="","",IF(AND(R222&lt;60%,S222&gt;0.8,T222="True",U222="一卖"),"是","否"))</f>
        <v>否</v>
      </c>
      <c r="Y222" s="1" t="str">
        <f aca="false">IF($A222="","",IF(D222="是","否",IF(N222&gt;LOOKUP(2,1/(账户总表!$A:$A&lt;&gt;""),账户总表!$O:$O),"是","否")))</f>
        <v>否</v>
      </c>
      <c r="Z222" s="1" t="str">
        <f aca="false">IF($A222="","",IF(M222&gt;=0,"盈利","亏损"))</f>
        <v>盈利</v>
      </c>
      <c r="AA222" s="1" t="n">
        <f aca="false">IF($A222="","",IFERROR(INDEX(账户总表!$B:$B,MATCH($A222,账户总表!$A:$A,0))*INDEX(账户总表!$O:$O,MATCH($A222,账户总表!$A:$A,0)),0))</f>
        <v>0</v>
      </c>
      <c r="AB222" s="1" t="n">
        <f aca="false">IF($A222="","",IFERROR(MAX(0,AA222-J222),0))</f>
        <v>0</v>
      </c>
      <c r="AC222" s="1" t="n">
        <f aca="false">IF($A222="","",IF(I222&gt;0,IFERROR(FLOOR(AB222/I222,100),0),0))</f>
        <v>0</v>
      </c>
      <c r="AD222" s="1" t="str">
        <f aca="false">IF($A222="","",IF(N222&gt;LOOKUP(2,1/(INT(账户总表!$A$2:$A$100)=INT($A222)),账户总表!$O$2:$O$100),"超限","合规"))</f>
        <v>合规</v>
      </c>
      <c r="AE222" s="1" t="n">
        <f aca="false">IF($A222="","",IFERROR((I222-P222)/I222,0))</f>
        <v>1</v>
      </c>
      <c r="AF222" s="1" t="n">
        <f aca="false">IF($A222="","",IFERROR(MAX(0,(I222-P222)*G222),0))</f>
        <v>863</v>
      </c>
      <c r="AG222" s="1" t="str">
        <f aca="false">IF($A222="","",IF(COUNTIFS(候选池!$C$2:$C$201,C222,候选池!$K$2:$K$201,"核心池")&gt;0,"核心池","否"))</f>
        <v>否</v>
      </c>
      <c r="AH222" s="1" t="str">
        <f aca="false">IF(A222="","",IF(OR(J222="",K222="",K222=0),"",IF((J222-K222)/K222&lt;0.05,"不可加仓(无浮盈护垫)",IF(N222&gt;0.6,"不可加仓(超三买上限)",IF(N222&gt;0.5,"可加仓(三买区,上限60%)",IF(N222&gt;0.35,"可加仓(二买区,上限50%)","可加仓(一买区,上限35%)"))))))</f>
        <v>不可加仓(无浮盈护垫)</v>
      </c>
      <c r="AI222" s="32" t="s">
        <v>402</v>
      </c>
    </row>
    <row r="223" customFormat="false" ht="15" hidden="false" customHeight="true" outlineLevel="0" collapsed="false">
      <c r="A223" s="55" t="n">
        <v>46233.5951388889</v>
      </c>
      <c r="B223" s="32" t="s">
        <v>405</v>
      </c>
      <c r="C223" s="1" t="s">
        <v>406</v>
      </c>
      <c r="D223" s="32" t="s">
        <v>324</v>
      </c>
      <c r="E223" s="1" t="n">
        <v>4.195</v>
      </c>
      <c r="F223" s="1" t="n">
        <v>4.28</v>
      </c>
      <c r="G223" s="1" t="n">
        <v>200</v>
      </c>
      <c r="H223" s="1" t="n">
        <v>4.195</v>
      </c>
      <c r="I223" s="1" t="n">
        <v>4.25</v>
      </c>
      <c r="J223" s="1" t="n">
        <f aca="false">IF(A223="","",G223*I223)</f>
        <v>850</v>
      </c>
      <c r="K223" s="1" t="n">
        <f aca="false">IF(A223="","",G223*H223)</f>
        <v>839</v>
      </c>
      <c r="L223" s="1" t="n">
        <f aca="false">IF(OR(A223="",J223="",K223=""),"",J223-K223)</f>
        <v>11</v>
      </c>
      <c r="M223" s="1" t="n">
        <f aca="false">IFERROR((I223-H223)/H223,0)</f>
        <v>0.0131108462455303</v>
      </c>
      <c r="N223" s="1" t="n">
        <f aca="false">IFERROR(J223/INDEX(账户总表!$B:$B,MATCH($A223,账户总表!$A:$A,0)),0)</f>
        <v>0</v>
      </c>
      <c r="Q223" s="1" t="str">
        <f aca="false">IF($A223="","",IF(AND(I223&gt;0,P223&gt;0,I223&lt;=P223),"是","否"))</f>
        <v>否</v>
      </c>
      <c r="V223" s="1" t="str">
        <f aca="false">IF($A223="","",IF(OR(AND(O223&gt;0,I223&lt;O223),AND(T223="False",S223&lt;0.8)),"是","否"))</f>
        <v>否</v>
      </c>
      <c r="X223" s="1" t="str">
        <f aca="false">IF($A223="","",IF(AND(R223&lt;60%,S223&gt;0.8,T223="True",U223="一卖"),"是","否"))</f>
        <v>否</v>
      </c>
      <c r="Y223" s="1" t="str">
        <f aca="false">IF($A223="","",IF(D223="是","否",IF(N223&gt;LOOKUP(2,1/(账户总表!$A:$A&lt;&gt;""),账户总表!$O:$O),"是","否")))</f>
        <v>否</v>
      </c>
      <c r="Z223" s="1" t="str">
        <f aca="false">IF($A223="","",IF(M223&gt;=0,"盈利","亏损"))</f>
        <v>盈利</v>
      </c>
      <c r="AA223" s="1" t="n">
        <f aca="false">IF($A223="","",IFERROR(INDEX(账户总表!$B:$B,MATCH($A223,账户总表!$A:$A,0))*INDEX(账户总表!$O:$O,MATCH($A223,账户总表!$A:$A,0)),0))</f>
        <v>0</v>
      </c>
      <c r="AB223" s="1" t="n">
        <f aca="false">IF($A223="","",IFERROR(MAX(0,AA223-J223),0))</f>
        <v>0</v>
      </c>
      <c r="AC223" s="1" t="n">
        <f aca="false">IF($A223="","",IF(I223&gt;0,IFERROR(FLOOR(AB223/I223,100),0),0))</f>
        <v>0</v>
      </c>
      <c r="AD223" s="1" t="str">
        <f aca="false">IF($A223="","",IF(N223&gt;LOOKUP(2,1/(INT(账户总表!$A$2:$A$100)=INT($A223)),账户总表!$O$2:$O$100),"超限","合规"))</f>
        <v>合规</v>
      </c>
      <c r="AE223" s="1" t="n">
        <f aca="false">IF($A223="","",IFERROR((I223-P223)/I223,0))</f>
        <v>1</v>
      </c>
      <c r="AF223" s="1" t="n">
        <f aca="false">IF($A223="","",IFERROR(MAX(0,(I223-P223)*G223),0))</f>
        <v>850</v>
      </c>
      <c r="AG223" s="1" t="str">
        <f aca="false">IF($A223="","",IF(COUNTIFS(候选池!$C$2:$C$201,C223,候选池!$K$2:$K$201,"核心池")&gt;0,"核心池","否"))</f>
        <v>否</v>
      </c>
      <c r="AH223" s="1" t="str">
        <f aca="false">IF(A223="","",IF(OR(J223="",K223="",K223=0),"",IF((J223-K223)/K223&lt;0.05,"不可加仓(无浮盈护垫)",IF(N223&gt;0.6,"不可加仓(超三买上限)",IF(N223&gt;0.5,"可加仓(三买区,上限60%)",IF(N223&gt;0.35,"可加仓(二买区,上限50%)","可加仓(一买区,上限35%)"))))))</f>
        <v>不可加仓(无浮盈护垫)</v>
      </c>
      <c r="AI223" s="32" t="s">
        <v>402</v>
      </c>
    </row>
    <row r="224" customFormat="false" ht="15" hidden="false" customHeight="true" outlineLevel="0" collapsed="false">
      <c r="A224" s="55" t="n">
        <v>46233.5951388889</v>
      </c>
      <c r="B224" s="32" t="s">
        <v>403</v>
      </c>
      <c r="C224" s="1" t="s">
        <v>404</v>
      </c>
      <c r="D224" s="32" t="s">
        <v>324</v>
      </c>
      <c r="E224" s="1" t="n">
        <v>5.975</v>
      </c>
      <c r="F224" s="1" t="n">
        <v>6.05</v>
      </c>
      <c r="G224" s="1" t="n">
        <v>400</v>
      </c>
      <c r="H224" s="1" t="n">
        <v>6.005</v>
      </c>
      <c r="I224" s="1" t="n">
        <v>5.95</v>
      </c>
      <c r="J224" s="1" t="n">
        <f aca="false">IF(A224="","",G224*I224)</f>
        <v>2380</v>
      </c>
      <c r="K224" s="1" t="n">
        <f aca="false">IF(A224="","",G224*H224)</f>
        <v>2402</v>
      </c>
      <c r="L224" s="1" t="n">
        <f aca="false">IF(OR(A224="",J224="",K224=""),"",J224-K224)</f>
        <v>-22</v>
      </c>
      <c r="M224" s="1" t="n">
        <f aca="false">IFERROR((I224-H224)/H224,0)</f>
        <v>-0.0091590341382181</v>
      </c>
      <c r="N224" s="1" t="n">
        <f aca="false">IFERROR(J224/INDEX(账户总表!$B:$B,MATCH($A224,账户总表!$A:$A,0)),0)</f>
        <v>0</v>
      </c>
      <c r="Q224" s="1" t="str">
        <f aca="false">IF($A224="","",IF(AND(I224&gt;0,P224&gt;0,I224&lt;=P224),"是","否"))</f>
        <v>否</v>
      </c>
      <c r="V224" s="1" t="str">
        <f aca="false">IF($A224="","",IF(OR(AND(O224&gt;0,I224&lt;O224),AND(T224="False",S224&lt;0.8)),"是","否"))</f>
        <v>否</v>
      </c>
      <c r="X224" s="1" t="str">
        <f aca="false">IF($A224="","",IF(AND(R224&lt;60%,S224&gt;0.8,T224="True",U224="一卖"),"是","否"))</f>
        <v>否</v>
      </c>
      <c r="Y224" s="1" t="str">
        <f aca="false">IF($A224="","",IF(D224="是","否",IF(N224&gt;LOOKUP(2,1/(账户总表!$A:$A&lt;&gt;""),账户总表!$O:$O),"是","否")))</f>
        <v>否</v>
      </c>
      <c r="Z224" s="1" t="str">
        <f aca="false">IF($A224="","",IF(M224&gt;=0,"盈利","亏损"))</f>
        <v>亏损</v>
      </c>
      <c r="AA224" s="1" t="n">
        <f aca="false">IF($A224="","",IFERROR(INDEX(账户总表!$B:$B,MATCH($A224,账户总表!$A:$A,0))*INDEX(账户总表!$O:$O,MATCH($A224,账户总表!$A:$A,0)),0))</f>
        <v>0</v>
      </c>
      <c r="AB224" s="1" t="n">
        <f aca="false">IF($A224="","",IFERROR(MAX(0,AA224-J224),0))</f>
        <v>0</v>
      </c>
      <c r="AC224" s="1" t="n">
        <f aca="false">IF($A224="","",IF(I224&gt;0,IFERROR(FLOOR(AB224/I224,100),0),0))</f>
        <v>0</v>
      </c>
      <c r="AD224" s="1" t="str">
        <f aca="false">IF($A224="","",IF(N224&gt;LOOKUP(2,1/(INT(账户总表!$A$2:$A$100)=INT($A224)),账户总表!$O$2:$O$100),"超限","合规"))</f>
        <v>合规</v>
      </c>
      <c r="AE224" s="1" t="n">
        <f aca="false">IF($A224="","",IFERROR((I224-P224)/I224,0))</f>
        <v>1</v>
      </c>
      <c r="AF224" s="1" t="n">
        <f aca="false">IF($A224="","",IFERROR(MAX(0,(I224-P224)*G224),0))</f>
        <v>2380</v>
      </c>
      <c r="AG224" s="1" t="str">
        <f aca="false">IF($A224="","",IF(COUNTIFS(候选池!$C$2:$C$201,C224,候选池!$K$2:$K$201,"核心池")&gt;0,"核心池","否"))</f>
        <v>否</v>
      </c>
      <c r="AH224" s="1" t="str">
        <f aca="false">IF(A224="","",IF(OR(J224="",K224="",K224=0),"",IF((J224-K224)/K224&lt;0.05,"不可加仓(无浮盈护垫)",IF(N224&gt;0.6,"不可加仓(超三买上限)",IF(N224&gt;0.5,"可加仓(三买区,上限60%)",IF(N224&gt;0.35,"可加仓(二买区,上限50%)","可加仓(一买区,上限35%)"))))))</f>
        <v>不可加仓(无浮盈护垫)</v>
      </c>
      <c r="AI224" s="1" t="s">
        <v>409</v>
      </c>
    </row>
    <row r="225" customFormat="false" ht="15" hidden="false" customHeight="true" outlineLevel="0" collapsed="false">
      <c r="A225" s="55" t="n">
        <v>46233.5951388889</v>
      </c>
      <c r="B225" s="32" t="s">
        <v>400</v>
      </c>
      <c r="C225" s="1" t="s">
        <v>401</v>
      </c>
      <c r="D225" s="32" t="s">
        <v>324</v>
      </c>
      <c r="E225" s="1" t="n">
        <v>9.193</v>
      </c>
      <c r="F225" s="1" t="n">
        <v>9.3</v>
      </c>
      <c r="G225" s="1" t="n">
        <v>300</v>
      </c>
      <c r="H225" s="1" t="n">
        <v>9.32</v>
      </c>
      <c r="I225" s="1" t="n">
        <v>8.97</v>
      </c>
      <c r="J225" s="1" t="n">
        <f aca="false">IF(A225="","",G225*I225)</f>
        <v>2691</v>
      </c>
      <c r="K225" s="1" t="n">
        <f aca="false">IF(A225="","",G225*H225)</f>
        <v>2796</v>
      </c>
      <c r="L225" s="1" t="n">
        <f aca="false">IF(OR(A225="",J225="",K225=""),"",J225-K225)</f>
        <v>-105</v>
      </c>
      <c r="M225" s="1" t="n">
        <f aca="false">IFERROR((I225-H225)/H225,0)</f>
        <v>-0.0375536480686695</v>
      </c>
      <c r="N225" s="1" t="n">
        <f aca="false">IFERROR(J225/INDEX(账户总表!$B:$B,MATCH($A225,账户总表!$A:$A,0)),0)</f>
        <v>0</v>
      </c>
      <c r="Q225" s="1" t="str">
        <f aca="false">IF($A225="","",IF(AND(I225&gt;0,P225&gt;0,I225&lt;=P225),"是","否"))</f>
        <v>否</v>
      </c>
      <c r="V225" s="1" t="str">
        <f aca="false">IF($A225="","",IF(OR(AND(O225&gt;0,I225&lt;O225),AND(T225="False",S225&lt;0.8)),"是","否"))</f>
        <v>否</v>
      </c>
      <c r="X225" s="1" t="str">
        <f aca="false">IF($A225="","",IF(AND(R225&lt;60%,S225&gt;0.8,T225="True",U225="一卖"),"是","否"))</f>
        <v>否</v>
      </c>
      <c r="Y225" s="1" t="str">
        <f aca="false">IF($A225="","",IF(D225="是","否",IF(N225&gt;LOOKUP(2,1/(账户总表!$A:$A&lt;&gt;""),账户总表!$O:$O),"是","否")))</f>
        <v>否</v>
      </c>
      <c r="Z225" s="1" t="str">
        <f aca="false">IF($A225="","",IF(M225&gt;=0,"盈利","亏损"))</f>
        <v>亏损</v>
      </c>
      <c r="AA225" s="1" t="n">
        <f aca="false">IF($A225="","",IFERROR(INDEX(账户总表!$B:$B,MATCH($A225,账户总表!$A:$A,0))*INDEX(账户总表!$O:$O,MATCH($A225,账户总表!$A:$A,0)),0))</f>
        <v>0</v>
      </c>
      <c r="AB225" s="1" t="n">
        <f aca="false">IF($A225="","",IFERROR(MAX(0,AA225-J225),0))</f>
        <v>0</v>
      </c>
      <c r="AC225" s="1" t="n">
        <f aca="false">IF($A225="","",IF(I225&gt;0,IFERROR(FLOOR(AB225/I225,100),0),0))</f>
        <v>0</v>
      </c>
      <c r="AD225" s="1" t="str">
        <f aca="false">IF($A225="","",IF(N225&gt;LOOKUP(2,1/(INT(账户总表!$A$2:$A$100)=INT($A225)),账户总表!$O$2:$O$100),"超限","合规"))</f>
        <v>合规</v>
      </c>
      <c r="AE225" s="1" t="n">
        <f aca="false">IF($A225="","",IFERROR((I225-P225)/I225,0))</f>
        <v>1</v>
      </c>
      <c r="AF225" s="1" t="n">
        <f aca="false">IF($A225="","",IFERROR(MAX(0,(I225-P225)*G225),0))</f>
        <v>2691</v>
      </c>
      <c r="AG225" s="1" t="str">
        <f aca="false">IF($A225="","",IF(COUNTIFS(候选池!$C$2:$C$201,C225,候选池!$K$2:$K$201,"核心池")&gt;0,"核心池","否"))</f>
        <v>否</v>
      </c>
      <c r="AH225" s="1" t="str">
        <f aca="false">IF(A225="","",IF(OR(J225="",K225="",K225=0),"",IF((J225-K225)/K225&lt;0.05,"不可加仓(无浮盈护垫)",IF(N225&gt;0.6,"不可加仓(超三买上限)",IF(N225&gt;0.5,"可加仓(三买区,上限60%)",IF(N225&gt;0.35,"可加仓(二买区,上限50%)","可加仓(一买区,上限35%)"))))))</f>
        <v>不可加仓(无浮盈护垫)</v>
      </c>
      <c r="AI225" s="32" t="s">
        <v>402</v>
      </c>
    </row>
    <row r="226" customFormat="false" ht="15" hidden="false" customHeight="true" outlineLevel="0" collapsed="false">
      <c r="A226" s="55" t="n">
        <v>46233.5951388889</v>
      </c>
      <c r="B226" s="32" t="s">
        <v>375</v>
      </c>
      <c r="C226" s="1" t="s">
        <v>376</v>
      </c>
      <c r="D226" s="32" t="s">
        <v>206</v>
      </c>
      <c r="E226" s="1" t="n">
        <v>8.711</v>
      </c>
      <c r="F226" s="1" t="n">
        <v>5.67</v>
      </c>
      <c r="G226" s="1" t="n">
        <v>100</v>
      </c>
      <c r="H226" s="1" t="n">
        <v>8.711</v>
      </c>
      <c r="I226" s="1" t="n">
        <v>5.74</v>
      </c>
      <c r="J226" s="1" t="n">
        <f aca="false">IF(A226="","",G226*I226)</f>
        <v>574</v>
      </c>
      <c r="K226" s="1" t="n">
        <f aca="false">IF(A226="","",G226*H226)</f>
        <v>871.1</v>
      </c>
      <c r="L226" s="1" t="n">
        <f aca="false">IF(OR(A226="",J226="",K226=""),"",J226-K226)</f>
        <v>-297.1</v>
      </c>
      <c r="M226" s="1" t="n">
        <f aca="false">IFERROR((I226-H226)/H226,0)</f>
        <v>-0.341063023763058</v>
      </c>
      <c r="N226" s="1" t="n">
        <f aca="false">IFERROR(J226/INDEX(账户总表!$B:$B,MATCH($A226,账户总表!$A:$A,0)),0)</f>
        <v>0</v>
      </c>
      <c r="Q226" s="1" t="str">
        <f aca="false">IF($A226="","",IF(AND(I226&gt;0,P226&gt;0,I226&lt;=P226),"是","否"))</f>
        <v>否</v>
      </c>
      <c r="V226" s="1" t="str">
        <f aca="false">IF($A226="","",IF(OR(AND(O226&gt;0,I226&lt;O226),AND(T226="False",S226&lt;0.8)),"是","否"))</f>
        <v>否</v>
      </c>
      <c r="X226" s="1" t="str">
        <f aca="false">IF($A226="","",IF(AND(R226&lt;60%,S226&gt;0.8,T226="True",U226="一卖"),"是","否"))</f>
        <v>否</v>
      </c>
      <c r="Y226" s="1" t="str">
        <f aca="false">IF($A226="","",IF(D226="是","否",IF(N226&gt;LOOKUP(2,1/(账户总表!$A:$A&lt;&gt;""),账户总表!$O:$O),"是","否")))</f>
        <v>否</v>
      </c>
      <c r="Z226" s="1" t="str">
        <f aca="false">IF($A226="","",IF(M226&gt;=0,"盈利","亏损"))</f>
        <v>亏损</v>
      </c>
      <c r="AA226" s="1" t="n">
        <f aca="false">IF($A226="","",IFERROR(INDEX(账户总表!$B:$B,MATCH($A226,账户总表!$A:$A,0))*INDEX(账户总表!$O:$O,MATCH($A226,账户总表!$A:$A,0)),0))</f>
        <v>0</v>
      </c>
      <c r="AB226" s="1" t="n">
        <f aca="false">IF($A226="","",IFERROR(MAX(0,AA226-J226),0))</f>
        <v>0</v>
      </c>
      <c r="AC226" s="1" t="n">
        <f aca="false">IF($A226="","",IF(I226&gt;0,IFERROR(FLOOR(AB226/I226,100),0),0))</f>
        <v>0</v>
      </c>
      <c r="AD226" s="1" t="str">
        <f aca="false">IF($A226="","",IF(N226&gt;LOOKUP(2,1/(INT(账户总表!$A$2:$A$100)=INT($A226)),账户总表!$O$2:$O$100),"超限","合规"))</f>
        <v>合规</v>
      </c>
      <c r="AE226" s="1" t="n">
        <f aca="false">IF($A226="","",IFERROR((I226-P226)/I226,0))</f>
        <v>1</v>
      </c>
      <c r="AF226" s="1" t="n">
        <f aca="false">IF($A226="","",IFERROR(MAX(0,(I226-P226)*G226),0))</f>
        <v>574</v>
      </c>
      <c r="AG226" s="1" t="str">
        <f aca="false">IF($A226="","",IF(COUNTIFS(候选池!$C$2:$C$201,C226,候选池!$K$2:$K$201,"核心池")&gt;0,"核心池","否"))</f>
        <v>否</v>
      </c>
      <c r="AH226" s="1" t="str">
        <f aca="false">IF(A226="","",IF(OR(J226="",K226="",K226=0),"",IF((J226-K226)/K226&lt;0.05,"不可加仓(无浮盈护垫)",IF(N226&gt;0.6,"不可加仓(超三买上限)",IF(N226&gt;0.5,"可加仓(三买区,上限60%)",IF(N226&gt;0.35,"可加仓(二买区,上限50%)","可加仓(一买区,上限35%)"))))))</f>
        <v>不可加仓(无浮盈护垫)</v>
      </c>
      <c r="AI226" s="32" t="s">
        <v>402</v>
      </c>
    </row>
    <row r="227" customFormat="false" ht="15" hidden="false" customHeight="true" outlineLevel="0" collapsed="false">
      <c r="A227" s="55" t="n">
        <v>46236</v>
      </c>
      <c r="B227" s="32" t="s">
        <v>390</v>
      </c>
      <c r="C227" s="1" t="s">
        <v>391</v>
      </c>
      <c r="D227" s="32" t="s">
        <v>324</v>
      </c>
      <c r="E227" s="1" t="n">
        <v>3.788</v>
      </c>
      <c r="F227" s="1" t="n">
        <v>4.87</v>
      </c>
      <c r="G227" s="1" t="n">
        <v>100</v>
      </c>
      <c r="H227" s="1" t="n">
        <v>3.788</v>
      </c>
      <c r="I227" s="1" t="n">
        <v>4.87</v>
      </c>
      <c r="J227" s="1" t="n">
        <f aca="false">IF(A227="","",G227*I227)</f>
        <v>487</v>
      </c>
      <c r="K227" s="1" t="n">
        <f aca="false">IF(A227="","",G227*H227)</f>
        <v>378.8</v>
      </c>
      <c r="L227" s="1" t="n">
        <f aca="false">IF(OR(A227="",J227="",K227=""),"",J227-K227)</f>
        <v>108.2</v>
      </c>
      <c r="M227" s="1" t="n">
        <f aca="false">IFERROR((I227-H227)/H227,0)</f>
        <v>0.285638859556494</v>
      </c>
      <c r="N227" s="1" t="n">
        <f aca="false">IFERROR(J227/INDEX(账户总表!$B:$B,MATCH($A227,账户总表!$A:$A,0)),0)</f>
        <v>0</v>
      </c>
      <c r="Q227" s="1" t="str">
        <f aca="false">IF($A227="","",IF(AND(I227&gt;0,P227&gt;0,I227&lt;=P227),"是","否"))</f>
        <v>否</v>
      </c>
      <c r="V227" s="1" t="str">
        <f aca="false">IF($A227="","",IF(OR(AND(O227&gt;0,I227&lt;O227),AND(T227="False",S227&lt;0.8)),"是","否"))</f>
        <v>否</v>
      </c>
      <c r="X227" s="1" t="str">
        <f aca="false">IF($A227="","",IF(AND(R227&lt;60%,S227&gt;0.8,T227="True",U227="一卖"),"是","否"))</f>
        <v>否</v>
      </c>
      <c r="Y227" s="1" t="str">
        <f aca="false">IF($A227="","",IF(D227="是","否",IF(N227&gt;LOOKUP(2,1/(账户总表!$A:$A&lt;&gt;""),账户总表!$O:$O),"是","否")))</f>
        <v>否</v>
      </c>
      <c r="Z227" s="1" t="str">
        <f aca="false">IF($A227="","",IF(M227&gt;=0,"盈利","亏损"))</f>
        <v>盈利</v>
      </c>
      <c r="AA227" s="1" t="n">
        <f aca="false">IF($A227="","",IFERROR(INDEX(账户总表!$B:$B,MATCH($A227,账户总表!$A:$A,0))*INDEX(账户总表!$O:$O,MATCH($A227,账户总表!$A:$A,0)),0))</f>
        <v>0</v>
      </c>
      <c r="AB227" s="1" t="n">
        <f aca="false">IF($A227="","",IFERROR(MAX(0,AA227-J227),0))</f>
        <v>0</v>
      </c>
      <c r="AC227" s="1" t="n">
        <f aca="false">IF($A227="","",IF(I227&gt;0,IFERROR(FLOOR(AB227/I227,100),0),0))</f>
        <v>0</v>
      </c>
      <c r="AD227" s="1" t="str">
        <f aca="false">IF($A227="","",IF(N227&gt;LOOKUP(2,1/(账户总表!$A:$A&lt;&gt;""),账户总表!$O:$O),"超限","合规"))</f>
        <v>合规</v>
      </c>
      <c r="AE227" s="1" t="n">
        <f aca="false">IF($A227="","",IFERROR((I227-P227)/I227,0))</f>
        <v>1</v>
      </c>
      <c r="AF227" s="1" t="n">
        <f aca="false">IF($A227="","",IFERROR(MAX(0,(I227-P227)*G227),0))</f>
        <v>487</v>
      </c>
      <c r="AG227" s="1" t="str">
        <f aca="false">IF($A227="","",IF(COUNTIFS(候选池!$C$2:$C$201,C227,候选池!$K$2:$K$201,"核心池")&gt;0,"核心池","否"))</f>
        <v>否</v>
      </c>
      <c r="AH227" s="1" t="str">
        <f aca="false">IF(A227="","",IF(OR(J227="",K227="",K227=0),"",IF((J227-K227)/K227&lt;0.05,"不可加仓(无浮盈护垫)",IF(N227&gt;0.6,"不可加仓(超三买上限)",IF(N227&gt;0.5,"可加仓(三买区,上限60%)",IF(N227&gt;0.35,"可加仓(二买区,上限50%)","可加仓(一买区,上限35%)"))))))</f>
        <v>可加仓(一买区,上限35%)</v>
      </c>
      <c r="AI227" s="32" t="s">
        <v>402</v>
      </c>
    </row>
    <row r="228" customFormat="false" ht="15" hidden="false" customHeight="true" outlineLevel="0" collapsed="false">
      <c r="A228" s="55" t="n">
        <v>46236</v>
      </c>
      <c r="B228" s="32" t="s">
        <v>407</v>
      </c>
      <c r="C228" s="1" t="s">
        <v>408</v>
      </c>
      <c r="D228" s="32" t="s">
        <v>324</v>
      </c>
      <c r="E228" s="1" t="n">
        <v>8.31</v>
      </c>
      <c r="F228" s="1" t="n">
        <v>8.62</v>
      </c>
      <c r="G228" s="1" t="n">
        <v>100</v>
      </c>
      <c r="H228" s="1" t="n">
        <v>8.31</v>
      </c>
      <c r="I228" s="1" t="n">
        <v>8.61</v>
      </c>
      <c r="J228" s="1" t="n">
        <f aca="false">IF(A228="","",G228*I228)</f>
        <v>861</v>
      </c>
      <c r="K228" s="1" t="n">
        <f aca="false">IF(A228="","",G228*H228)</f>
        <v>831</v>
      </c>
      <c r="L228" s="1" t="n">
        <f aca="false">IF(OR(A228="",J228="",K228=""),"",J228-K228)</f>
        <v>30</v>
      </c>
      <c r="M228" s="1" t="n">
        <f aca="false">IFERROR((I228-H228)/H228,0)</f>
        <v>0.0361010830324908</v>
      </c>
      <c r="N228" s="1" t="n">
        <f aca="false">IFERROR(J228/INDEX(账户总表!$B:$B,MATCH($A228,账户总表!$A:$A,0)),0)</f>
        <v>0</v>
      </c>
      <c r="Q228" s="1" t="str">
        <f aca="false">IF($A228="","",IF(AND(I228&gt;0,P228&gt;0,I228&lt;=P228),"是","否"))</f>
        <v>否</v>
      </c>
      <c r="V228" s="1" t="str">
        <f aca="false">IF($A228="","",IF(OR(AND(O228&gt;0,I228&lt;O228),AND(T228="False",S228&lt;0.8)),"是","否"))</f>
        <v>否</v>
      </c>
      <c r="X228" s="1" t="str">
        <f aca="false">IF($A228="","",IF(AND(R228&lt;60%,S228&gt;0.8,T228="True",U228="一卖"),"是","否"))</f>
        <v>否</v>
      </c>
      <c r="Y228" s="1" t="str">
        <f aca="false">IF($A228="","",IF(D228="是","否",IF(N228&gt;LOOKUP(2,1/(账户总表!$A:$A&lt;&gt;""),账户总表!$O:$O),"是","否")))</f>
        <v>否</v>
      </c>
      <c r="Z228" s="1" t="str">
        <f aca="false">IF($A228="","",IF(M228&gt;=0,"盈利","亏损"))</f>
        <v>盈利</v>
      </c>
      <c r="AA228" s="1" t="n">
        <f aca="false">IF($A228="","",IFERROR(INDEX(账户总表!$B:$B,MATCH($A228,账户总表!$A:$A,0))*INDEX(账户总表!$O:$O,MATCH($A228,账户总表!$A:$A,0)),0))</f>
        <v>0</v>
      </c>
      <c r="AB228" s="1" t="n">
        <f aca="false">IF($A228="","",IFERROR(MAX(0,AA228-J228),0))</f>
        <v>0</v>
      </c>
      <c r="AC228" s="1" t="n">
        <f aca="false">IF($A228="","",IF(I228&gt;0,IFERROR(FLOOR(AB228/I228,100),0),0))</f>
        <v>0</v>
      </c>
      <c r="AD228" s="1" t="str">
        <f aca="false">IF($A228="","",IF(N228&gt;LOOKUP(2,1/(账户总表!$A:$A&lt;&gt;""),账户总表!$O:$O),"超限","合规"))</f>
        <v>合规</v>
      </c>
      <c r="AE228" s="1" t="n">
        <f aca="false">IF($A228="","",IFERROR((I228-P228)/I228,0))</f>
        <v>1</v>
      </c>
      <c r="AF228" s="1" t="n">
        <f aca="false">IF($A228="","",IFERROR(MAX(0,(I228-P228)*G228),0))</f>
        <v>861</v>
      </c>
      <c r="AG228" s="1" t="str">
        <f aca="false">IF($A228="","",IF(COUNTIFS(候选池!$C$2:$C$201,C228,候选池!$K$2:$K$201,"核心池")&gt;0,"核心池","否"))</f>
        <v>否</v>
      </c>
      <c r="AH228" s="1" t="str">
        <f aca="false">IF(A228="","",IF(OR(J228="",K228="",K228=0),"",IF((J228-K228)/K228&lt;0.05,"不可加仓(无浮盈护垫)",IF(N228&gt;0.6,"不可加仓(超三买上限)",IF(N228&gt;0.5,"可加仓(三买区,上限60%)",IF(N228&gt;0.35,"可加仓(二买区,上限50%)","可加仓(一买区,上限35%)"))))))</f>
        <v>不可加仓(无浮盈护垫)</v>
      </c>
      <c r="AI228" s="32" t="s">
        <v>402</v>
      </c>
    </row>
    <row r="229" customFormat="false" ht="15" hidden="false" customHeight="true" outlineLevel="0" collapsed="false">
      <c r="A229" s="55" t="n">
        <v>46236</v>
      </c>
      <c r="B229" s="32" t="s">
        <v>405</v>
      </c>
      <c r="C229" s="1" t="s">
        <v>406</v>
      </c>
      <c r="D229" s="32" t="s">
        <v>324</v>
      </c>
      <c r="E229" s="1" t="n">
        <v>4.195</v>
      </c>
      <c r="F229" s="1" t="n">
        <v>4.28</v>
      </c>
      <c r="G229" s="1" t="n">
        <v>200</v>
      </c>
      <c r="H229" s="1" t="n">
        <v>4.195</v>
      </c>
      <c r="I229" s="1" t="n">
        <v>4.27</v>
      </c>
      <c r="J229" s="1" t="n">
        <f aca="false">IF(A229="","",G229*I229)</f>
        <v>854</v>
      </c>
      <c r="K229" s="1" t="n">
        <f aca="false">IF(A229="","",G229*H229)</f>
        <v>839</v>
      </c>
      <c r="L229" s="1" t="n">
        <f aca="false">IF(OR(A229="",J229="",K229=""),"",J229-K229)</f>
        <v>14.9999999999999</v>
      </c>
      <c r="M229" s="1" t="n">
        <f aca="false">IFERROR((I229-H229)/H229,0)</f>
        <v>0.0178784266984504</v>
      </c>
      <c r="N229" s="1" t="n">
        <f aca="false">IFERROR(J229/INDEX(账户总表!$B:$B,MATCH($A229,账户总表!$A:$A,0)),0)</f>
        <v>0</v>
      </c>
      <c r="Q229" s="1" t="str">
        <f aca="false">IF($A229="","",IF(AND(I229&gt;0,P229&gt;0,I229&lt;=P229),"是","否"))</f>
        <v>否</v>
      </c>
      <c r="V229" s="1" t="str">
        <f aca="false">IF($A229="","",IF(OR(AND(O229&gt;0,I229&lt;O229),AND(T229="False",S229&lt;0.8)),"是","否"))</f>
        <v>否</v>
      </c>
      <c r="X229" s="1" t="str">
        <f aca="false">IF($A229="","",IF(AND(R229&lt;60%,S229&gt;0.8,T229="True",U229="一卖"),"是","否"))</f>
        <v>否</v>
      </c>
      <c r="Y229" s="1" t="str">
        <f aca="false">IF($A229="","",IF(D229="是","否",IF(N229&gt;LOOKUP(2,1/(账户总表!$A:$A&lt;&gt;""),账户总表!$O:$O),"是","否")))</f>
        <v>否</v>
      </c>
      <c r="Z229" s="1" t="str">
        <f aca="false">IF($A229="","",IF(M229&gt;=0,"盈利","亏损"))</f>
        <v>盈利</v>
      </c>
      <c r="AA229" s="1" t="n">
        <f aca="false">IF($A229="","",IFERROR(INDEX(账户总表!$B:$B,MATCH($A229,账户总表!$A:$A,0))*INDEX(账户总表!$O:$O,MATCH($A229,账户总表!$A:$A,0)),0))</f>
        <v>0</v>
      </c>
      <c r="AB229" s="1" t="n">
        <f aca="false">IF($A229="","",IFERROR(MAX(0,AA229-J229),0))</f>
        <v>0</v>
      </c>
      <c r="AC229" s="1" t="n">
        <f aca="false">IF($A229="","",IF(I229&gt;0,IFERROR(FLOOR(AB229/I229,100),0),0))</f>
        <v>0</v>
      </c>
      <c r="AD229" s="1" t="str">
        <f aca="false">IF($A229="","",IF(N229&gt;LOOKUP(2,1/(账户总表!$A:$A&lt;&gt;""),账户总表!$O:$O),"超限","合规"))</f>
        <v>合规</v>
      </c>
      <c r="AE229" s="1" t="n">
        <f aca="false">IF($A229="","",IFERROR((I229-P229)/I229,0))</f>
        <v>1</v>
      </c>
      <c r="AF229" s="1" t="n">
        <f aca="false">IF($A229="","",IFERROR(MAX(0,(I229-P229)*G229),0))</f>
        <v>854</v>
      </c>
      <c r="AG229" s="1" t="str">
        <f aca="false">IF($A229="","",IF(COUNTIFS(候选池!$C$2:$C$201,C229,候选池!$K$2:$K$201,"核心池")&gt;0,"核心池","否"))</f>
        <v>否</v>
      </c>
      <c r="AH229" s="1" t="str">
        <f aca="false">IF(A229="","",IF(OR(J229="",K229="",K229=0),"",IF((J229-K229)/K229&lt;0.05,"不可加仓(无浮盈护垫)",IF(N229&gt;0.6,"不可加仓(超三买上限)",IF(N229&gt;0.5,"可加仓(三买区,上限60%)",IF(N229&gt;0.35,"可加仓(二买区,上限50%)","可加仓(一买区,上限35%)"))))))</f>
        <v>不可加仓(无浮盈护垫)</v>
      </c>
      <c r="AI229" s="32" t="s">
        <v>402</v>
      </c>
    </row>
    <row r="230" customFormat="false" ht="15" hidden="false" customHeight="true" outlineLevel="0" collapsed="false">
      <c r="A230" s="55" t="n">
        <v>46236</v>
      </c>
      <c r="B230" s="32" t="s">
        <v>403</v>
      </c>
      <c r="C230" s="1" t="s">
        <v>404</v>
      </c>
      <c r="D230" s="32" t="s">
        <v>324</v>
      </c>
      <c r="E230" s="1" t="n">
        <v>5.975</v>
      </c>
      <c r="F230" s="1" t="n">
        <v>6.05</v>
      </c>
      <c r="G230" s="1" t="n">
        <v>400</v>
      </c>
      <c r="H230" s="1" t="n">
        <v>5.975</v>
      </c>
      <c r="I230" s="1" t="n">
        <v>6.05</v>
      </c>
      <c r="J230" s="1" t="n">
        <f aca="false">IF(A230="","",G230*I230)</f>
        <v>2420</v>
      </c>
      <c r="K230" s="1" t="n">
        <f aca="false">IF(A230="","",G230*H230)</f>
        <v>2390</v>
      </c>
      <c r="L230" s="1" t="n">
        <f aca="false">IF(OR(A230="",J230="",K230=""),"",J230-K230)</f>
        <v>30</v>
      </c>
      <c r="M230" s="1" t="n">
        <f aca="false">IFERROR((I230-H230)/H230,0)</f>
        <v>0.0125523012552302</v>
      </c>
      <c r="N230" s="1" t="n">
        <f aca="false">IFERROR(J230/INDEX(账户总表!$B:$B,MATCH($A230,账户总表!$A:$A,0)),0)</f>
        <v>0</v>
      </c>
      <c r="Q230" s="1" t="str">
        <f aca="false">IF($A230="","",IF(AND(I230&gt;0,P230&gt;0,I230&lt;=P230),"是","否"))</f>
        <v>否</v>
      </c>
      <c r="V230" s="1" t="str">
        <f aca="false">IF($A230="","",IF(OR(AND(O230&gt;0,I230&lt;O230),AND(T230="False",S230&lt;0.8)),"是","否"))</f>
        <v>否</v>
      </c>
      <c r="X230" s="1" t="str">
        <f aca="false">IF($A230="","",IF(AND(R230&lt;60%,S230&gt;0.8,T230="True",U230="一卖"),"是","否"))</f>
        <v>否</v>
      </c>
      <c r="Y230" s="1" t="str">
        <f aca="false">IF($A230="","",IF(D230="是","否",IF(N230&gt;LOOKUP(2,1/(账户总表!$A:$A&lt;&gt;""),账户总表!$O:$O),"是","否")))</f>
        <v>否</v>
      </c>
      <c r="Z230" s="1" t="str">
        <f aca="false">IF($A230="","",IF(M230&gt;=0,"盈利","亏损"))</f>
        <v>盈利</v>
      </c>
      <c r="AA230" s="1" t="n">
        <f aca="false">IF($A230="","",IFERROR(INDEX(账户总表!$B:$B,MATCH($A230,账户总表!$A:$A,0))*INDEX(账户总表!$O:$O,MATCH($A230,账户总表!$A:$A,0)),0))</f>
        <v>0</v>
      </c>
      <c r="AB230" s="1" t="n">
        <f aca="false">IF($A230="","",IFERROR(MAX(0,AA230-J230),0))</f>
        <v>0</v>
      </c>
      <c r="AC230" s="1" t="n">
        <f aca="false">IF($A230="","",IF(I230&gt;0,IFERROR(FLOOR(AB230/I230,100),0),0))</f>
        <v>0</v>
      </c>
      <c r="AD230" s="1" t="str">
        <f aca="false">IF($A230="","",IF(N230&gt;LOOKUP(2,1/(账户总表!$A:$A&lt;&gt;""),账户总表!$O:$O),"超限","合规"))</f>
        <v>合规</v>
      </c>
      <c r="AE230" s="1" t="n">
        <f aca="false">IF($A230="","",IFERROR((I230-P230)/I230,0))</f>
        <v>1</v>
      </c>
      <c r="AF230" s="1" t="n">
        <f aca="false">IF($A230="","",IFERROR(MAX(0,(I230-P230)*G230),0))</f>
        <v>2420</v>
      </c>
      <c r="AG230" s="1" t="str">
        <f aca="false">IF($A230="","",IF(COUNTIFS(候选池!$C$2:$C$201,C230,候选池!$K$2:$K$201,"核心池")&gt;0,"核心池","否"))</f>
        <v>否</v>
      </c>
      <c r="AH230" s="1" t="str">
        <f aca="false">IF(A230="","",IF(OR(J230="",K230="",K230=0),"",IF((J230-K230)/K230&lt;0.05,"不可加仓(无浮盈护垫)",IF(N230&gt;0.6,"不可加仓(超三买上限)",IF(N230&gt;0.5,"可加仓(三买区,上限60%)",IF(N230&gt;0.35,"可加仓(二买区,上限50%)","可加仓(一买区,上限35%)"))))))</f>
        <v>不可加仓(无浮盈护垫)</v>
      </c>
      <c r="AI230" s="32" t="s">
        <v>402</v>
      </c>
    </row>
    <row r="231" customFormat="false" ht="15" hidden="false" customHeight="true" outlineLevel="0" collapsed="false">
      <c r="A231" s="55" t="n">
        <v>46236</v>
      </c>
      <c r="B231" s="32" t="s">
        <v>400</v>
      </c>
      <c r="C231" s="1" t="s">
        <v>401</v>
      </c>
      <c r="D231" s="32" t="s">
        <v>324</v>
      </c>
      <c r="E231" s="1" t="n">
        <v>9.193</v>
      </c>
      <c r="F231" s="1" t="n">
        <v>9.3</v>
      </c>
      <c r="G231" s="1" t="n">
        <v>300</v>
      </c>
      <c r="H231" s="1" t="n">
        <v>9.193</v>
      </c>
      <c r="I231" s="1" t="n">
        <v>9.34</v>
      </c>
      <c r="J231" s="1" t="n">
        <f aca="false">IF(A231="","",G231*I231)</f>
        <v>2802</v>
      </c>
      <c r="K231" s="1" t="n">
        <f aca="false">IF(A231="","",G231*H231)</f>
        <v>2757.9</v>
      </c>
      <c r="L231" s="1" t="n">
        <f aca="false">IF(OR(A231="",J231="",K231=""),"",J231-K231)</f>
        <v>44.0999999999999</v>
      </c>
      <c r="M231" s="1" t="n">
        <f aca="false">IFERROR((I231-H231)/H231,0)</f>
        <v>0.0159904274991842</v>
      </c>
      <c r="N231" s="1" t="n">
        <f aca="false">IFERROR(J231/INDEX(账户总表!$B:$B,MATCH($A231,账户总表!$A:$A,0)),0)</f>
        <v>0</v>
      </c>
      <c r="Q231" s="1" t="str">
        <f aca="false">IF($A231="","",IF(AND(I231&gt;0,P231&gt;0,I231&lt;=P231),"是","否"))</f>
        <v>否</v>
      </c>
      <c r="V231" s="1" t="str">
        <f aca="false">IF($A231="","",IF(OR(AND(O231&gt;0,I231&lt;O231),AND(T231="False",S231&lt;0.8)),"是","否"))</f>
        <v>否</v>
      </c>
      <c r="X231" s="1" t="str">
        <f aca="false">IF($A231="","",IF(AND(R231&lt;60%,S231&gt;0.8,T231="True",U231="一卖"),"是","否"))</f>
        <v>否</v>
      </c>
      <c r="Y231" s="1" t="str">
        <f aca="false">IF($A231="","",IF(D231="是","否",IF(N231&gt;LOOKUP(2,1/(账户总表!$A:$A&lt;&gt;""),账户总表!$O:$O),"是","否")))</f>
        <v>否</v>
      </c>
      <c r="Z231" s="1" t="str">
        <f aca="false">IF($A231="","",IF(M231&gt;=0,"盈利","亏损"))</f>
        <v>盈利</v>
      </c>
      <c r="AA231" s="1" t="n">
        <f aca="false">IF($A231="","",IFERROR(INDEX(账户总表!$B:$B,MATCH($A231,账户总表!$A:$A,0))*INDEX(账户总表!$O:$O,MATCH($A231,账户总表!$A:$A,0)),0))</f>
        <v>0</v>
      </c>
      <c r="AB231" s="1" t="n">
        <f aca="false">IF($A231="","",IFERROR(MAX(0,AA231-J231),0))</f>
        <v>0</v>
      </c>
      <c r="AC231" s="1" t="n">
        <f aca="false">IF($A231="","",IF(I231&gt;0,IFERROR(FLOOR(AB231/I231,100),0),0))</f>
        <v>0</v>
      </c>
      <c r="AD231" s="1" t="str">
        <f aca="false">IF($A231="","",IF(N231&gt;LOOKUP(2,1/(账户总表!$A:$A&lt;&gt;""),账户总表!$O:$O),"超限","合规"))</f>
        <v>合规</v>
      </c>
      <c r="AE231" s="1" t="n">
        <f aca="false">IF($A231="","",IFERROR((I231-P231)/I231,0))</f>
        <v>1</v>
      </c>
      <c r="AF231" s="1" t="n">
        <f aca="false">IF($A231="","",IFERROR(MAX(0,(I231-P231)*G231),0))</f>
        <v>2802</v>
      </c>
      <c r="AG231" s="1" t="str">
        <f aca="false">IF($A231="","",IF(COUNTIFS(候选池!$C$2:$C$201,C231,候选池!$K$2:$K$201,"核心池")&gt;0,"核心池","否"))</f>
        <v>否</v>
      </c>
      <c r="AH231" s="1" t="str">
        <f aca="false">IF(A231="","",IF(OR(J231="",K231="",K231=0),"",IF((J231-K231)/K231&lt;0.05,"不可加仓(无浮盈护垫)",IF(N231&gt;0.6,"不可加仓(超三买上限)",IF(N231&gt;0.5,"可加仓(三买区,上限60%)",IF(N231&gt;0.35,"可加仓(二买区,上限50%)","可加仓(一买区,上限35%)"))))))</f>
        <v>不可加仓(无浮盈护垫)</v>
      </c>
      <c r="AI231" s="32" t="s">
        <v>402</v>
      </c>
    </row>
    <row r="232" customFormat="false" ht="15" hidden="false" customHeight="true" outlineLevel="0" collapsed="false">
      <c r="A232" s="55" t="n">
        <v>46234</v>
      </c>
      <c r="B232" s="32" t="s">
        <v>375</v>
      </c>
      <c r="C232" s="1" t="s">
        <v>376</v>
      </c>
      <c r="D232" s="32" t="s">
        <v>206</v>
      </c>
      <c r="E232" s="1" t="n">
        <v>8.711</v>
      </c>
      <c r="F232" s="1" t="n">
        <v>5.67</v>
      </c>
      <c r="G232" s="1" t="n">
        <v>100</v>
      </c>
      <c r="H232" s="1" t="n">
        <v>8.711</v>
      </c>
      <c r="I232" s="1" t="n">
        <v>5.7</v>
      </c>
      <c r="J232" s="1" t="n">
        <f aca="false">IF(A232="","",G232*I232)</f>
        <v>570</v>
      </c>
      <c r="K232" s="1" t="n">
        <f aca="false">IF(A232="","",G232*H232)</f>
        <v>871.1</v>
      </c>
      <c r="L232" s="1" t="n">
        <f aca="false">IF(OR(A232="",J232="",K232=""),"",J232-K232)</f>
        <v>-301.1</v>
      </c>
      <c r="M232" s="1" t="n">
        <f aca="false">IFERROR((I232-H232)/H232,0)</f>
        <v>-0.345654919067845</v>
      </c>
      <c r="N232" s="1" t="n">
        <f aca="false">IFERROR(J232/INDEX(账户总表!$B:$B,MATCH($A232,账户总表!$A:$A,0)),0)</f>
        <v>0</v>
      </c>
      <c r="Q232" s="1" t="str">
        <f aca="false">IF($A232="","",IF(AND(I232&gt;0,P232&gt;0,I232&lt;=P232),"是","否"))</f>
        <v>否</v>
      </c>
      <c r="V232" s="1" t="str">
        <f aca="false">IF($A232="","",IF(OR(AND(O232&gt;0,I232&lt;O232),AND(T232="False",S232&lt;0.8)),"是","否"))</f>
        <v>否</v>
      </c>
      <c r="X232" s="1" t="str">
        <f aca="false">IF($A232="","",IF(AND(R232&lt;60%,S232&gt;0.8,T232="True",U232="一卖"),"是","否"))</f>
        <v>否</v>
      </c>
      <c r="Y232" s="1" t="str">
        <f aca="false">IF($A232="","",IF(D232="是","否",IF(N232&gt;LOOKUP(2,1/(账户总表!$A:$A&lt;&gt;""),账户总表!$O:$O),"是","否")))</f>
        <v>否</v>
      </c>
      <c r="Z232" s="1" t="str">
        <f aca="false">IF($A232="","",IF(M232&gt;=0,"盈利","亏损"))</f>
        <v>亏损</v>
      </c>
      <c r="AA232" s="1" t="n">
        <f aca="false">IF($A232="","",IFERROR(INDEX(账户总表!$B:$B,MATCH($A232,账户总表!$A:$A,0))*INDEX(账户总表!$O:$O,MATCH($A232,账户总表!$A:$A,0)),0))</f>
        <v>0</v>
      </c>
      <c r="AB232" s="1" t="n">
        <f aca="false">IF($A232="","",IFERROR(MAX(0,AA232-J232),0))</f>
        <v>0</v>
      </c>
      <c r="AC232" s="1" t="n">
        <f aca="false">IF($A232="","",IF(I232&gt;0,IFERROR(FLOOR(AB232/I232,100),0),0))</f>
        <v>0</v>
      </c>
      <c r="AD232" s="1" t="str">
        <f aca="false">IF($A232="","",IF(N232&gt;LOOKUP(2,1/(账户总表!$A:$A&lt;&gt;""),账户总表!$O:$O),"超限","合规"))</f>
        <v>合规</v>
      </c>
      <c r="AE232" s="1" t="n">
        <f aca="false">IF($A232="","",IFERROR((I232-P232)/I232,0))</f>
        <v>1</v>
      </c>
      <c r="AF232" s="1" t="n">
        <f aca="false">IF($A232="","",IFERROR(MAX(0,(I232-P232)*G232),0))</f>
        <v>570</v>
      </c>
      <c r="AG232" s="1" t="str">
        <f aca="false">IF($A232="","",IF(COUNTIFS(候选池!$C$2:$C$201,C232,候选池!$K$2:$K$201,"核心池")&gt;0,"核心池","否"))</f>
        <v>否</v>
      </c>
      <c r="AH232" s="1" t="str">
        <f aca="false">IF(A232="","",IF(OR(J232="",K232="",K232=0),"",IF((J232-K232)/K232&lt;0.05,"不可加仓(无浮盈护垫)",IF(N232&gt;0.6,"不可加仓(超三买上限)",IF(N232&gt;0.5,"可加仓(三买区,上限60%)",IF(N232&gt;0.35,"可加仓(二买区,上限50%)","可加仓(一买区,上限35%)"))))))</f>
        <v>不可加仓(无浮盈护垫)</v>
      </c>
      <c r="AI232" s="32" t="s">
        <v>402</v>
      </c>
    </row>
    <row r="233" customFormat="false" ht="15" hidden="false" customHeight="true" outlineLevel="0" collapsed="false">
      <c r="A233" s="61" t="n">
        <v>46236</v>
      </c>
      <c r="B233" s="32" t="s">
        <v>375</v>
      </c>
      <c r="C233" s="1" t="s">
        <v>410</v>
      </c>
      <c r="D233" s="32" t="s">
        <v>324</v>
      </c>
      <c r="G233" s="1" t="n">
        <v>100</v>
      </c>
      <c r="H233" s="1" t="n">
        <v>8.711</v>
      </c>
      <c r="I233" s="1" t="n">
        <v>5.7</v>
      </c>
    </row>
  </sheetData>
  <sheetProtection sheet="true" password="c42e"/>
  <autoFilter ref="A1:AD201"/>
  <conditionalFormatting sqref="Q2:Q201">
    <cfRule type="expression" priority="2" aboveAverage="0" equalAverage="0" bottom="0" percent="0" rank="0" text="" dxfId="10">
      <formula>Q2="是"</formula>
    </cfRule>
  </conditionalFormatting>
  <conditionalFormatting sqref="V2:V201">
    <cfRule type="expression" priority="3" aboveAverage="0" equalAverage="0" bottom="0" percent="0" rank="0" text="" dxfId="10">
      <formula>V2="是"</formula>
    </cfRule>
  </conditionalFormatting>
  <conditionalFormatting sqref="X2:X201">
    <cfRule type="expression" priority="4" aboveAverage="0" equalAverage="0" bottom="0" percent="0" rank="0" text="" dxfId="10">
      <formula>X2="是"</formula>
    </cfRule>
  </conditionalFormatting>
  <conditionalFormatting sqref="Y2:Y201">
    <cfRule type="expression" priority="5" aboveAverage="0" equalAverage="0" bottom="0" percent="0" rank="0" text="" dxfId="10">
      <formula>Y2="是"</formula>
    </cfRule>
  </conditionalFormatting>
  <conditionalFormatting sqref="W2:W201">
    <cfRule type="expression" priority="6" aboveAverage="0" equalAverage="0" bottom="0" percent="0" rank="0" text="" dxfId="10">
      <formula>W2="是"</formula>
    </cfRule>
  </conditionalFormatting>
  <conditionalFormatting sqref="AB2:AB201">
    <cfRule type="expression" priority="7" aboveAverage="0" equalAverage="0" bottom="0" percent="0" rank="0" text="" dxfId="9">
      <formula>AB2="正常"</formula>
    </cfRule>
    <cfRule type="expression" priority="8" aboveAverage="0" equalAverage="0" bottom="0" percent="0" rank="0" text="" dxfId="18">
      <formula>AB2="警戒"</formula>
    </cfRule>
    <cfRule type="expression" priority="9" aboveAverage="0" equalAverage="0" bottom="0" percent="0" rank="0" text="" dxfId="10">
      <formula>AB2="防守"</formula>
    </cfRule>
    <cfRule type="expression" priority="10" aboveAverage="0" equalAverage="0" bottom="0" percent="0" rank="0" text="" dxfId="10">
      <formula>AB2="立即卖出"</formula>
    </cfRule>
    <cfRule type="expression" priority="11" aboveAverage="0" equalAverage="0" bottom="0" percent="0" rank="0" text="" dxfId="10">
      <formula>AB2="次日卖出"</formula>
    </cfRule>
    <cfRule type="expression" priority="12" aboveAverage="0" equalAverage="0" bottom="0" percent="0" rank="0" text="" dxfId="18">
      <formula>AB2="观察"</formula>
    </cfRule>
  </conditionalFormatting>
  <conditionalFormatting sqref="M2:M201">
    <cfRule type="cellIs" priority="13" operator="lessThan" aboveAverage="0" equalAverage="0" bottom="0" percent="0" rank="0" text="" dxfId="10">
      <formula>0</formula>
    </cfRule>
  </conditionalFormatting>
  <dataValidations count="3">
    <dataValidation allowBlank="true" errorStyle="stop" operator="between" showDropDown="false" showErrorMessage="false" showInputMessage="false" sqref="D2:D201" type="list">
      <formula1>"是,否"</formula1>
      <formula2>0</formula2>
    </dataValidation>
    <dataValidation allowBlank="true" errorStyle="stop" operator="between" showDropDown="false" showErrorMessage="false" showInputMessage="false" sqref="T2:T201" type="list">
      <formula1>"True,False"</formula1>
      <formula2>0</formula2>
    </dataValidation>
    <dataValidation allowBlank="true" errorStyle="stop" operator="between" showDropDown="false" showErrorMessage="false" showInputMessage="false" sqref="U2:U201" type="list">
      <formula1>"一买,一卖,无"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2" min="8" style="1" width="12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9" min="16" style="1" width="12"/>
    <col collapsed="false" customWidth="true" hidden="false" outlineLevel="0" max="20" min="20" style="1" width="14"/>
    <col collapsed="false" customWidth="true" hidden="false" outlineLevel="0" max="23" min="21" style="1" width="13"/>
    <col collapsed="false" customWidth="true" hidden="false" outlineLevel="0" max="24" min="24" style="1" width="14"/>
    <col collapsed="false" customWidth="true" hidden="false" outlineLevel="0" max="25" min="25" style="1" width="26"/>
    <col collapsed="false" customWidth="true" hidden="false" outlineLevel="0" max="26" min="26" style="1" width="12"/>
    <col collapsed="false" customWidth="true" hidden="false" outlineLevel="0" max="28" min="27" style="1" width="14"/>
    <col collapsed="false" customWidth="true" hidden="false" outlineLevel="0" max="29" min="29" style="1" width="12"/>
    <col collapsed="false" customWidth="true" hidden="false" outlineLevel="0" max="31" min="30" style="1" width="26"/>
    <col collapsed="false" customWidth="true" hidden="false" outlineLevel="0" max="47" min="32" style="1" width="14"/>
  </cols>
  <sheetData>
    <row r="1" customFormat="false" ht="15" hidden="false" customHeight="true" outlineLevel="0" collapsed="false">
      <c r="A1" s="2" t="s">
        <v>271</v>
      </c>
      <c r="B1" s="2" t="s">
        <v>345</v>
      </c>
      <c r="C1" s="2" t="s">
        <v>346</v>
      </c>
      <c r="D1" s="2" t="s">
        <v>411</v>
      </c>
      <c r="E1" s="2" t="s">
        <v>412</v>
      </c>
      <c r="F1" s="2" t="s">
        <v>357</v>
      </c>
      <c r="G1" s="27" t="s">
        <v>360</v>
      </c>
      <c r="H1" s="27" t="s">
        <v>361</v>
      </c>
      <c r="I1" s="27" t="s">
        <v>362</v>
      </c>
      <c r="J1" s="27" t="s">
        <v>363</v>
      </c>
      <c r="K1" s="62" t="s">
        <v>413</v>
      </c>
      <c r="L1" s="2" t="s">
        <v>414</v>
      </c>
      <c r="M1" s="2" t="s">
        <v>415</v>
      </c>
      <c r="N1" s="2" t="s">
        <v>283</v>
      </c>
      <c r="O1" s="2" t="s">
        <v>416</v>
      </c>
      <c r="P1" s="2" t="s">
        <v>417</v>
      </c>
      <c r="Q1" s="2" t="s">
        <v>418</v>
      </c>
      <c r="R1" s="2" t="s">
        <v>419</v>
      </c>
      <c r="S1" s="2" t="s">
        <v>420</v>
      </c>
      <c r="T1" s="2" t="s">
        <v>421</v>
      </c>
      <c r="U1" s="2" t="s">
        <v>422</v>
      </c>
      <c r="V1" s="2" t="s">
        <v>423</v>
      </c>
      <c r="W1" s="2" t="s">
        <v>424</v>
      </c>
      <c r="X1" s="2" t="s">
        <v>358</v>
      </c>
      <c r="Y1" s="2" t="s">
        <v>425</v>
      </c>
      <c r="Z1" s="2" t="s">
        <v>426</v>
      </c>
      <c r="AA1" s="2" t="s">
        <v>427</v>
      </c>
      <c r="AB1" s="2" t="s">
        <v>428</v>
      </c>
      <c r="AC1" s="2" t="s">
        <v>429</v>
      </c>
      <c r="AD1" s="2" t="s">
        <v>430</v>
      </c>
      <c r="AE1" s="2" t="s">
        <v>6</v>
      </c>
      <c r="AF1" s="63" t="s">
        <v>431</v>
      </c>
      <c r="AG1" s="63" t="s">
        <v>432</v>
      </c>
      <c r="AH1" s="33" t="s">
        <v>314</v>
      </c>
      <c r="AI1" s="63" t="s">
        <v>433</v>
      </c>
      <c r="AJ1" s="33" t="s">
        <v>434</v>
      </c>
      <c r="AK1" s="33" t="s">
        <v>435</v>
      </c>
      <c r="AL1" s="33" t="s">
        <v>436</v>
      </c>
      <c r="AM1" s="33" t="s">
        <v>437</v>
      </c>
      <c r="AN1" s="33" t="s">
        <v>438</v>
      </c>
      <c r="AO1" s="33" t="s">
        <v>439</v>
      </c>
      <c r="AP1" s="33" t="s">
        <v>440</v>
      </c>
      <c r="AQ1" s="33" t="s">
        <v>441</v>
      </c>
      <c r="AR1" s="33" t="s">
        <v>442</v>
      </c>
      <c r="AS1" s="33" t="s">
        <v>443</v>
      </c>
      <c r="AT1" s="33" t="s">
        <v>444</v>
      </c>
      <c r="AU1" s="33" t="s">
        <v>445</v>
      </c>
    </row>
    <row r="2" customFormat="false" ht="15" hidden="false" customHeight="true" outlineLevel="0" collapsed="false">
      <c r="A2" s="64" t="n">
        <v>46308</v>
      </c>
      <c r="B2" s="65" t="s">
        <v>446</v>
      </c>
      <c r="C2" s="66" t="s">
        <v>447</v>
      </c>
      <c r="D2" s="66" t="n">
        <v>6.39</v>
      </c>
      <c r="E2" s="66" t="n">
        <v>6.39</v>
      </c>
      <c r="F2" s="66" t="n">
        <v>6.07</v>
      </c>
      <c r="G2" s="66" t="n">
        <v>0.176899938901763</v>
      </c>
      <c r="H2" s="66" t="n">
        <v>0.976092372908092</v>
      </c>
      <c r="I2" s="66" t="s">
        <v>178</v>
      </c>
      <c r="J2" s="65" t="s">
        <v>448</v>
      </c>
      <c r="K2" s="67"/>
      <c r="L2" s="68"/>
      <c r="M2" s="68"/>
      <c r="N2" s="66"/>
      <c r="O2" s="66"/>
      <c r="P2" s="66"/>
      <c r="Q2" s="66"/>
      <c r="R2" s="66"/>
      <c r="S2" s="66"/>
      <c r="T2" s="66"/>
      <c r="U2" s="66"/>
      <c r="V2" s="66"/>
      <c r="W2" s="68"/>
      <c r="X2" s="66"/>
      <c r="Y2" s="66"/>
      <c r="Z2" s="68"/>
      <c r="AA2" s="66"/>
      <c r="AB2" s="66"/>
      <c r="AC2" s="68"/>
      <c r="AD2" s="66"/>
      <c r="AE2" s="66"/>
    </row>
    <row r="3" customFormat="false" ht="15" hidden="false" customHeight="true" outlineLevel="0" collapsed="false">
      <c r="A3" s="64" t="n">
        <v>46308</v>
      </c>
      <c r="B3" s="66" t="s">
        <v>449</v>
      </c>
      <c r="C3" s="66" t="s">
        <v>450</v>
      </c>
      <c r="D3" s="66" t="n">
        <v>37.44</v>
      </c>
      <c r="E3" s="66" t="n">
        <v>37.44</v>
      </c>
      <c r="F3" s="66" t="n">
        <v>35.57</v>
      </c>
      <c r="G3" s="66" t="n">
        <v>0.123409416515908</v>
      </c>
      <c r="H3" s="66" t="n">
        <v>0.951789470461149</v>
      </c>
      <c r="I3" s="66" t="s">
        <v>178</v>
      </c>
      <c r="J3" s="65" t="s">
        <v>448</v>
      </c>
      <c r="K3" s="67"/>
      <c r="L3" s="68"/>
      <c r="M3" s="68"/>
      <c r="N3" s="66"/>
      <c r="O3" s="66"/>
      <c r="P3" s="66"/>
      <c r="Q3" s="66"/>
      <c r="R3" s="66"/>
      <c r="S3" s="66"/>
      <c r="T3" s="66"/>
      <c r="U3" s="66"/>
      <c r="V3" s="66"/>
      <c r="W3" s="68"/>
      <c r="X3" s="66"/>
      <c r="Y3" s="66"/>
      <c r="Z3" s="68"/>
      <c r="AA3" s="66"/>
      <c r="AB3" s="66"/>
      <c r="AC3" s="68"/>
      <c r="AD3" s="66"/>
      <c r="AE3" s="66"/>
    </row>
    <row r="4" customFormat="false" ht="15" hidden="false" customHeight="true" outlineLevel="0" collapsed="false">
      <c r="A4" s="64" t="n">
        <v>46308</v>
      </c>
      <c r="B4" s="65" t="s">
        <v>451</v>
      </c>
      <c r="C4" s="66" t="s">
        <v>452</v>
      </c>
      <c r="D4" s="66" t="n">
        <v>61.5</v>
      </c>
      <c r="E4" s="66" t="n">
        <v>61.5</v>
      </c>
      <c r="F4" s="66" t="n">
        <v>58.42</v>
      </c>
      <c r="G4" s="66" t="n">
        <v>0.198776855837566</v>
      </c>
      <c r="H4" s="66" t="n">
        <v>0.949823104376035</v>
      </c>
      <c r="I4" s="66" t="s">
        <v>178</v>
      </c>
      <c r="J4" s="65" t="s">
        <v>448</v>
      </c>
      <c r="K4" s="67"/>
      <c r="L4" s="68"/>
      <c r="M4" s="68"/>
      <c r="N4" s="66"/>
      <c r="O4" s="66"/>
      <c r="P4" s="66"/>
      <c r="Q4" s="66"/>
      <c r="R4" s="66"/>
      <c r="S4" s="66"/>
      <c r="T4" s="66"/>
      <c r="U4" s="66"/>
      <c r="V4" s="66"/>
      <c r="W4" s="68"/>
      <c r="X4" s="66"/>
      <c r="Y4" s="66"/>
      <c r="Z4" s="68"/>
      <c r="AA4" s="66"/>
      <c r="AB4" s="66"/>
      <c r="AC4" s="68"/>
      <c r="AD4" s="66"/>
      <c r="AE4" s="66"/>
    </row>
    <row r="5" customFormat="false" ht="15" hidden="false" customHeight="true" outlineLevel="0" collapsed="false">
      <c r="A5" s="64" t="n">
        <v>46308</v>
      </c>
      <c r="B5" s="65" t="s">
        <v>453</v>
      </c>
      <c r="C5" s="66" t="s">
        <v>454</v>
      </c>
      <c r="D5" s="66" t="n">
        <v>22.51</v>
      </c>
      <c r="E5" s="66" t="n">
        <v>22.51</v>
      </c>
      <c r="F5" s="66" t="n">
        <v>21.38</v>
      </c>
      <c r="G5" s="66" t="n">
        <v>0.149016846993735</v>
      </c>
      <c r="H5" s="66" t="n">
        <v>0.941203087386209</v>
      </c>
      <c r="I5" s="66" t="s">
        <v>178</v>
      </c>
      <c r="J5" s="65" t="s">
        <v>448</v>
      </c>
      <c r="K5" s="67"/>
      <c r="L5" s="68"/>
      <c r="M5" s="68"/>
      <c r="N5" s="66"/>
      <c r="O5" s="66"/>
      <c r="P5" s="66"/>
      <c r="Q5" s="66"/>
      <c r="R5" s="66"/>
      <c r="S5" s="66"/>
      <c r="T5" s="66"/>
      <c r="U5" s="66"/>
      <c r="V5" s="66"/>
      <c r="W5" s="68"/>
      <c r="X5" s="66"/>
      <c r="Y5" s="66"/>
      <c r="Z5" s="68"/>
      <c r="AA5" s="66"/>
      <c r="AB5" s="66"/>
      <c r="AC5" s="68"/>
      <c r="AD5" s="66"/>
      <c r="AE5" s="66"/>
    </row>
    <row r="6" customFormat="false" ht="15" hidden="false" customHeight="true" outlineLevel="0" collapsed="false">
      <c r="A6" s="64" t="n">
        <v>46308</v>
      </c>
      <c r="B6" s="65" t="s">
        <v>455</v>
      </c>
      <c r="C6" s="66" t="s">
        <v>456</v>
      </c>
      <c r="D6" s="66" t="n">
        <v>7.52</v>
      </c>
      <c r="E6" s="66" t="n">
        <v>7.52</v>
      </c>
      <c r="F6" s="66" t="n">
        <v>7.14</v>
      </c>
      <c r="G6" s="66" t="n">
        <v>0.192085236365016</v>
      </c>
      <c r="H6" s="66" t="n">
        <v>0.937724325872516</v>
      </c>
      <c r="I6" s="66" t="s">
        <v>178</v>
      </c>
      <c r="J6" s="65" t="s">
        <v>448</v>
      </c>
      <c r="K6" s="67"/>
      <c r="L6" s="68"/>
      <c r="M6" s="68"/>
      <c r="N6" s="66"/>
      <c r="O6" s="66"/>
      <c r="P6" s="66"/>
      <c r="Q6" s="66"/>
      <c r="R6" s="66"/>
      <c r="S6" s="66"/>
      <c r="T6" s="66"/>
      <c r="U6" s="66"/>
      <c r="V6" s="66"/>
      <c r="W6" s="68"/>
      <c r="X6" s="66"/>
      <c r="Y6" s="66"/>
      <c r="Z6" s="68"/>
      <c r="AA6" s="66"/>
      <c r="AB6" s="66"/>
      <c r="AC6" s="68"/>
      <c r="AD6" s="66"/>
      <c r="AE6" s="66"/>
    </row>
    <row r="7" customFormat="false" ht="15" hidden="false" customHeight="true" outlineLevel="0" collapsed="false">
      <c r="A7" s="64" t="n">
        <v>46308</v>
      </c>
      <c r="B7" s="65" t="s">
        <v>457</v>
      </c>
      <c r="C7" s="66" t="s">
        <v>410</v>
      </c>
      <c r="D7" s="66" t="n">
        <v>3.1</v>
      </c>
      <c r="E7" s="66" t="n">
        <v>3.1</v>
      </c>
      <c r="F7" s="66" t="n">
        <v>2.94</v>
      </c>
      <c r="G7" s="66" t="n">
        <v>0.151956435596118</v>
      </c>
      <c r="H7" s="66" t="n">
        <v>0.932076105629709</v>
      </c>
      <c r="I7" s="66" t="s">
        <v>178</v>
      </c>
      <c r="J7" s="65" t="s">
        <v>448</v>
      </c>
      <c r="K7" s="67"/>
      <c r="L7" s="68"/>
      <c r="M7" s="68"/>
      <c r="N7" s="66"/>
      <c r="O7" s="66"/>
      <c r="P7" s="66"/>
      <c r="Q7" s="66"/>
      <c r="R7" s="66"/>
      <c r="S7" s="66"/>
      <c r="T7" s="66"/>
      <c r="U7" s="66"/>
      <c r="V7" s="66"/>
      <c r="W7" s="68"/>
      <c r="X7" s="66"/>
      <c r="Y7" s="66"/>
      <c r="Z7" s="68"/>
      <c r="AA7" s="66"/>
      <c r="AB7" s="66"/>
      <c r="AC7" s="68"/>
      <c r="AD7" s="66"/>
      <c r="AE7" s="66"/>
    </row>
    <row r="8" customFormat="false" ht="15" hidden="false" customHeight="true" outlineLevel="0" collapsed="false">
      <c r="A8" s="64" t="n">
        <v>46308</v>
      </c>
      <c r="B8" s="65" t="s">
        <v>458</v>
      </c>
      <c r="C8" s="66" t="s">
        <v>459</v>
      </c>
      <c r="D8" s="66" t="n">
        <v>29.31</v>
      </c>
      <c r="E8" s="66" t="n">
        <v>29.31</v>
      </c>
      <c r="F8" s="66" t="n">
        <v>27.84</v>
      </c>
      <c r="G8" s="66" t="n">
        <v>0.192214578244804</v>
      </c>
      <c r="H8" s="66" t="n">
        <v>0.930150608877001</v>
      </c>
      <c r="I8" s="66" t="s">
        <v>178</v>
      </c>
      <c r="J8" s="65" t="s">
        <v>448</v>
      </c>
      <c r="K8" s="67"/>
      <c r="L8" s="68"/>
      <c r="M8" s="68"/>
      <c r="N8" s="66"/>
      <c r="O8" s="66"/>
      <c r="P8" s="66"/>
      <c r="Q8" s="66"/>
      <c r="R8" s="66"/>
      <c r="S8" s="66"/>
      <c r="T8" s="66"/>
      <c r="U8" s="66"/>
      <c r="V8" s="66"/>
      <c r="W8" s="68"/>
      <c r="X8" s="66"/>
      <c r="Y8" s="66"/>
      <c r="Z8" s="68"/>
      <c r="AA8" s="66"/>
      <c r="AB8" s="66"/>
      <c r="AC8" s="68"/>
      <c r="AD8" s="66"/>
      <c r="AE8" s="66"/>
    </row>
    <row r="9" customFormat="false" ht="15" hidden="false" customHeight="true" outlineLevel="0" collapsed="false">
      <c r="A9" s="64" t="n">
        <v>46308</v>
      </c>
      <c r="B9" s="65" t="s">
        <v>460</v>
      </c>
      <c r="C9" s="66" t="s">
        <v>461</v>
      </c>
      <c r="D9" s="66" t="n">
        <v>111.42</v>
      </c>
      <c r="E9" s="66" t="n">
        <v>111.42</v>
      </c>
      <c r="F9" s="66" t="n">
        <v>105.85</v>
      </c>
      <c r="G9" s="66" t="n">
        <v>0.12580879013934</v>
      </c>
      <c r="H9" s="66" t="n">
        <v>0.916163746283435</v>
      </c>
      <c r="I9" s="66" t="s">
        <v>178</v>
      </c>
      <c r="J9" s="65" t="s">
        <v>448</v>
      </c>
      <c r="K9" s="67"/>
      <c r="L9" s="68"/>
      <c r="M9" s="68"/>
      <c r="N9" s="66"/>
      <c r="O9" s="66"/>
      <c r="P9" s="66"/>
      <c r="Q9" s="66"/>
      <c r="R9" s="66"/>
      <c r="S9" s="66"/>
      <c r="T9" s="66"/>
      <c r="U9" s="66"/>
      <c r="V9" s="66"/>
      <c r="W9" s="68"/>
      <c r="X9" s="66"/>
      <c r="Y9" s="66"/>
      <c r="Z9" s="68"/>
      <c r="AA9" s="66"/>
      <c r="AB9" s="66"/>
      <c r="AC9" s="68"/>
      <c r="AD9" s="66"/>
      <c r="AE9" s="66"/>
    </row>
    <row r="10" customFormat="false" ht="15" hidden="false" customHeight="true" outlineLevel="0" collapsed="false">
      <c r="A10" s="64" t="n">
        <v>46308</v>
      </c>
      <c r="B10" s="65" t="s">
        <v>462</v>
      </c>
      <c r="C10" s="66" t="s">
        <v>463</v>
      </c>
      <c r="D10" s="66" t="n">
        <v>22.5</v>
      </c>
      <c r="E10" s="66" t="n">
        <v>22.5</v>
      </c>
      <c r="F10" s="66" t="n">
        <v>21.38</v>
      </c>
      <c r="G10" s="66" t="n">
        <v>0.152081787809871</v>
      </c>
      <c r="H10" s="66" t="n">
        <v>0.907984052391401</v>
      </c>
      <c r="I10" s="66" t="s">
        <v>178</v>
      </c>
      <c r="J10" s="65" t="s">
        <v>448</v>
      </c>
      <c r="K10" s="67"/>
      <c r="L10" s="68"/>
      <c r="M10" s="68"/>
      <c r="N10" s="66"/>
      <c r="O10" s="66"/>
      <c r="P10" s="66"/>
      <c r="Q10" s="66"/>
      <c r="R10" s="66"/>
      <c r="S10" s="66"/>
      <c r="T10" s="66"/>
      <c r="U10" s="66"/>
      <c r="V10" s="66"/>
      <c r="W10" s="68"/>
      <c r="X10" s="66"/>
      <c r="Y10" s="66"/>
      <c r="Z10" s="68"/>
      <c r="AA10" s="66"/>
      <c r="AB10" s="66"/>
      <c r="AC10" s="68"/>
      <c r="AD10" s="66"/>
      <c r="AE10" s="66"/>
    </row>
    <row r="11" customFormat="false" ht="15" hidden="false" customHeight="true" outlineLevel="0" collapsed="false">
      <c r="A11" s="64" t="n">
        <v>46308</v>
      </c>
      <c r="B11" s="65" t="s">
        <v>464</v>
      </c>
      <c r="C11" s="66" t="s">
        <v>465</v>
      </c>
      <c r="D11" s="66" t="n">
        <v>45.38</v>
      </c>
      <c r="E11" s="66" t="n">
        <v>45.38</v>
      </c>
      <c r="F11" s="66" t="n">
        <v>43.11</v>
      </c>
      <c r="G11" s="66" t="n">
        <v>0.129842283537166</v>
      </c>
      <c r="H11" s="66" t="n">
        <v>0.907317448281238</v>
      </c>
      <c r="I11" s="66" t="s">
        <v>178</v>
      </c>
      <c r="J11" s="65" t="s">
        <v>448</v>
      </c>
      <c r="K11" s="67"/>
      <c r="L11" s="68"/>
      <c r="M11" s="68"/>
      <c r="N11" s="66"/>
      <c r="O11" s="66"/>
      <c r="P11" s="66"/>
      <c r="Q11" s="66"/>
      <c r="R11" s="66"/>
      <c r="S11" s="66"/>
      <c r="T11" s="66"/>
      <c r="U11" s="66"/>
      <c r="V11" s="66"/>
      <c r="W11" s="68"/>
      <c r="X11" s="66"/>
      <c r="Y11" s="66"/>
      <c r="Z11" s="68"/>
      <c r="AA11" s="66"/>
      <c r="AB11" s="66"/>
      <c r="AC11" s="68"/>
      <c r="AD11" s="66"/>
      <c r="AE11" s="66"/>
    </row>
    <row r="12" customFormat="false" ht="15" hidden="false" customHeight="true" outlineLevel="0" collapsed="false">
      <c r="A12" s="64" t="n">
        <v>46308</v>
      </c>
      <c r="B12" s="65" t="s">
        <v>466</v>
      </c>
      <c r="C12" s="66" t="s">
        <v>467</v>
      </c>
      <c r="D12" s="66" t="n">
        <v>14.22</v>
      </c>
      <c r="E12" s="66" t="n">
        <v>14.22</v>
      </c>
      <c r="F12" s="66" t="n">
        <v>13.51</v>
      </c>
      <c r="G12" s="66" t="n">
        <v>0.187657678421643</v>
      </c>
      <c r="H12" s="66" t="n">
        <v>0.905307727531643</v>
      </c>
      <c r="I12" s="66" t="s">
        <v>178</v>
      </c>
      <c r="J12" s="65" t="s">
        <v>448</v>
      </c>
      <c r="K12" s="67"/>
      <c r="L12" s="68"/>
      <c r="M12" s="68"/>
      <c r="N12" s="66"/>
      <c r="O12" s="66"/>
      <c r="P12" s="66"/>
      <c r="Q12" s="66"/>
      <c r="R12" s="66"/>
      <c r="S12" s="66"/>
      <c r="T12" s="66"/>
      <c r="U12" s="66"/>
      <c r="V12" s="66"/>
      <c r="W12" s="68"/>
      <c r="X12" s="66"/>
      <c r="Y12" s="66"/>
      <c r="Z12" s="68"/>
      <c r="AA12" s="66"/>
      <c r="AB12" s="66"/>
      <c r="AC12" s="68"/>
      <c r="AD12" s="66"/>
      <c r="AE12" s="66"/>
    </row>
    <row r="13" customFormat="false" ht="15" hidden="false" customHeight="true" outlineLevel="0" collapsed="false">
      <c r="A13" s="64" t="n">
        <v>46308</v>
      </c>
      <c r="B13" s="65" t="s">
        <v>468</v>
      </c>
      <c r="C13" s="66" t="s">
        <v>469</v>
      </c>
      <c r="D13" s="66" t="n">
        <v>20.87</v>
      </c>
      <c r="E13" s="66" t="n">
        <v>20.87</v>
      </c>
      <c r="F13" s="66" t="n">
        <v>19.83</v>
      </c>
      <c r="G13" s="66" t="n">
        <v>0.117981618720819</v>
      </c>
      <c r="H13" s="66" t="n">
        <v>0.902969038832679</v>
      </c>
      <c r="I13" s="66" t="s">
        <v>178</v>
      </c>
      <c r="J13" s="65" t="s">
        <v>448</v>
      </c>
      <c r="K13" s="67"/>
      <c r="L13" s="68"/>
      <c r="M13" s="68"/>
      <c r="N13" s="66"/>
      <c r="O13" s="66"/>
      <c r="P13" s="66"/>
      <c r="Q13" s="66"/>
      <c r="R13" s="66"/>
      <c r="S13" s="66"/>
      <c r="T13" s="66"/>
      <c r="U13" s="66"/>
      <c r="V13" s="66"/>
      <c r="W13" s="68"/>
      <c r="X13" s="66"/>
      <c r="Y13" s="66"/>
      <c r="Z13" s="68"/>
      <c r="AA13" s="66"/>
      <c r="AB13" s="66"/>
      <c r="AC13" s="68"/>
      <c r="AD13" s="66"/>
      <c r="AE13" s="66"/>
    </row>
    <row r="14" customFormat="false" ht="15" hidden="false" customHeight="true" outlineLevel="0" collapsed="false">
      <c r="A14" s="64" t="n">
        <v>46308</v>
      </c>
      <c r="B14" s="65" t="s">
        <v>470</v>
      </c>
      <c r="C14" s="66" t="s">
        <v>471</v>
      </c>
      <c r="D14" s="66" t="n">
        <v>24</v>
      </c>
      <c r="E14" s="66" t="n">
        <v>24</v>
      </c>
      <c r="F14" s="66" t="n">
        <v>22.8</v>
      </c>
      <c r="G14" s="66" t="n">
        <v>0.107546226073133</v>
      </c>
      <c r="H14" s="66" t="n">
        <v>0.976176741687959</v>
      </c>
      <c r="I14" s="66" t="s">
        <v>178</v>
      </c>
      <c r="J14" s="65" t="s">
        <v>448</v>
      </c>
      <c r="K14" s="67"/>
      <c r="L14" s="68"/>
      <c r="M14" s="68"/>
      <c r="N14" s="66"/>
      <c r="O14" s="66"/>
      <c r="P14" s="66"/>
      <c r="Q14" s="66"/>
      <c r="R14" s="66"/>
      <c r="S14" s="66"/>
      <c r="T14" s="66"/>
      <c r="U14" s="66"/>
      <c r="V14" s="66"/>
      <c r="W14" s="68"/>
      <c r="X14" s="66"/>
      <c r="Y14" s="66"/>
      <c r="Z14" s="68"/>
      <c r="AA14" s="66"/>
      <c r="AB14" s="66"/>
      <c r="AC14" s="68"/>
      <c r="AD14" s="66"/>
      <c r="AE14" s="66"/>
    </row>
    <row r="15" customFormat="false" ht="15" hidden="false" customHeight="true" outlineLevel="0" collapsed="false">
      <c r="A15" s="64" t="n">
        <v>46308</v>
      </c>
      <c r="B15" s="65" t="s">
        <v>472</v>
      </c>
      <c r="C15" s="66" t="s">
        <v>473</v>
      </c>
      <c r="D15" s="66" t="n">
        <v>7.88</v>
      </c>
      <c r="E15" s="66" t="n">
        <v>7.88</v>
      </c>
      <c r="F15" s="66" t="n">
        <v>7.49</v>
      </c>
      <c r="G15" s="66" t="n">
        <v>0.186651558903149</v>
      </c>
      <c r="H15" s="66" t="n">
        <v>0.968733514002121</v>
      </c>
      <c r="I15" s="66" t="s">
        <v>178</v>
      </c>
      <c r="J15" s="65" t="s">
        <v>448</v>
      </c>
      <c r="K15" s="67"/>
      <c r="L15" s="68"/>
      <c r="M15" s="68"/>
      <c r="N15" s="66"/>
      <c r="O15" s="66"/>
      <c r="P15" s="66"/>
      <c r="Q15" s="66"/>
      <c r="R15" s="66"/>
      <c r="S15" s="66"/>
      <c r="T15" s="66"/>
      <c r="U15" s="66"/>
      <c r="V15" s="66"/>
      <c r="W15" s="68"/>
      <c r="X15" s="66"/>
      <c r="Y15" s="66"/>
      <c r="Z15" s="68"/>
      <c r="AA15" s="66"/>
      <c r="AB15" s="66"/>
      <c r="AC15" s="68"/>
      <c r="AD15" s="66"/>
      <c r="AE15" s="66"/>
    </row>
    <row r="16" customFormat="false" ht="15" hidden="false" customHeight="true" outlineLevel="0" collapsed="false">
      <c r="A16" s="64" t="n">
        <v>46308</v>
      </c>
      <c r="B16" s="65" t="s">
        <v>474</v>
      </c>
      <c r="C16" s="66" t="s">
        <v>475</v>
      </c>
      <c r="D16" s="66" t="n">
        <v>94.66</v>
      </c>
      <c r="E16" s="66" t="n">
        <v>94.66</v>
      </c>
      <c r="F16" s="66" t="n">
        <v>89.93</v>
      </c>
      <c r="G16" s="66" t="n">
        <v>0.1</v>
      </c>
      <c r="H16" s="66" t="n">
        <v>0.954364086180085</v>
      </c>
      <c r="I16" s="66" t="s">
        <v>178</v>
      </c>
      <c r="J16" s="65" t="s">
        <v>448</v>
      </c>
      <c r="K16" s="67"/>
      <c r="L16" s="68"/>
      <c r="M16" s="68"/>
      <c r="N16" s="66"/>
      <c r="O16" s="66"/>
      <c r="P16" s="66"/>
      <c r="Q16" s="66"/>
      <c r="R16" s="66"/>
      <c r="S16" s="66"/>
      <c r="T16" s="66"/>
      <c r="U16" s="66"/>
      <c r="V16" s="66"/>
      <c r="W16" s="68"/>
      <c r="X16" s="66"/>
      <c r="Y16" s="66"/>
      <c r="Z16" s="68"/>
      <c r="AA16" s="66"/>
      <c r="AB16" s="66"/>
      <c r="AC16" s="68"/>
      <c r="AD16" s="66"/>
      <c r="AE16" s="66"/>
    </row>
    <row r="17" customFormat="false" ht="15" hidden="false" customHeight="true" outlineLevel="0" collapsed="false">
      <c r="A17" s="64" t="n">
        <v>46308</v>
      </c>
      <c r="B17" s="65" t="s">
        <v>476</v>
      </c>
      <c r="C17" s="66" t="s">
        <v>477</v>
      </c>
      <c r="D17" s="66" t="n">
        <v>2.09</v>
      </c>
      <c r="E17" s="66" t="n">
        <v>2.09</v>
      </c>
      <c r="F17" s="66" t="n">
        <v>1.99</v>
      </c>
      <c r="G17" s="66" t="n">
        <v>0.184424777421363</v>
      </c>
      <c r="H17" s="66" t="n">
        <v>0.947676797582541</v>
      </c>
      <c r="I17" s="66" t="s">
        <v>178</v>
      </c>
      <c r="J17" s="65" t="s">
        <v>448</v>
      </c>
      <c r="K17" s="67"/>
      <c r="L17" s="68"/>
      <c r="M17" s="68"/>
      <c r="N17" s="66"/>
      <c r="O17" s="66"/>
      <c r="P17" s="66"/>
      <c r="Q17" s="66"/>
      <c r="R17" s="66"/>
      <c r="S17" s="66"/>
      <c r="T17" s="66"/>
      <c r="U17" s="66"/>
      <c r="V17" s="66"/>
      <c r="W17" s="68"/>
      <c r="X17" s="66"/>
      <c r="Y17" s="66"/>
      <c r="Z17" s="68"/>
      <c r="AA17" s="66"/>
      <c r="AB17" s="66"/>
      <c r="AC17" s="68"/>
      <c r="AD17" s="66"/>
      <c r="AE17" s="66"/>
    </row>
    <row r="18" customFormat="false" ht="15" hidden="false" customHeight="true" outlineLevel="0" collapsed="false">
      <c r="A18" s="64" t="n">
        <v>46308</v>
      </c>
      <c r="B18" s="65" t="s">
        <v>478</v>
      </c>
      <c r="C18" s="66" t="s">
        <v>479</v>
      </c>
      <c r="D18" s="66" t="n">
        <v>7.63</v>
      </c>
      <c r="E18" s="66" t="n">
        <v>7.63</v>
      </c>
      <c r="F18" s="66" t="n">
        <v>7.25</v>
      </c>
      <c r="G18" s="66" t="n">
        <v>0.199904351866297</v>
      </c>
      <c r="H18" s="66" t="n">
        <v>0.947269882305508</v>
      </c>
      <c r="I18" s="66" t="s">
        <v>178</v>
      </c>
      <c r="J18" s="65" t="s">
        <v>448</v>
      </c>
      <c r="K18" s="67"/>
      <c r="L18" s="68"/>
      <c r="M18" s="68"/>
      <c r="N18" s="66"/>
      <c r="O18" s="66"/>
      <c r="P18" s="66"/>
      <c r="Q18" s="66"/>
      <c r="R18" s="66"/>
      <c r="S18" s="66"/>
      <c r="T18" s="66"/>
      <c r="U18" s="66"/>
      <c r="V18" s="66"/>
      <c r="W18" s="68"/>
      <c r="X18" s="66"/>
      <c r="Y18" s="66"/>
      <c r="Z18" s="68"/>
      <c r="AA18" s="66"/>
      <c r="AB18" s="66"/>
      <c r="AC18" s="68"/>
      <c r="AD18" s="66"/>
      <c r="AE18" s="66"/>
    </row>
    <row r="19" customFormat="false" ht="15" hidden="false" customHeight="true" outlineLevel="0" collapsed="false">
      <c r="A19" s="64" t="n">
        <v>46308</v>
      </c>
      <c r="B19" s="65" t="s">
        <v>480</v>
      </c>
      <c r="C19" s="66" t="s">
        <v>481</v>
      </c>
      <c r="D19" s="66" t="n">
        <v>11.54</v>
      </c>
      <c r="E19" s="66" t="n">
        <v>11.54</v>
      </c>
      <c r="F19" s="66" t="n">
        <v>10.96</v>
      </c>
      <c r="G19" s="66" t="n">
        <v>0.179477070989333</v>
      </c>
      <c r="H19" s="66" t="n">
        <v>0.944810396070085</v>
      </c>
      <c r="I19" s="66" t="s">
        <v>178</v>
      </c>
      <c r="J19" s="65" t="s">
        <v>448</v>
      </c>
      <c r="K19" s="67"/>
      <c r="L19" s="68"/>
      <c r="M19" s="68"/>
      <c r="N19" s="66"/>
      <c r="O19" s="66"/>
      <c r="P19" s="66"/>
      <c r="Q19" s="66"/>
      <c r="R19" s="66"/>
      <c r="S19" s="66"/>
      <c r="T19" s="66"/>
      <c r="U19" s="66"/>
      <c r="V19" s="66"/>
      <c r="W19" s="68"/>
      <c r="X19" s="66"/>
      <c r="Y19" s="66"/>
      <c r="Z19" s="68"/>
      <c r="AA19" s="66"/>
      <c r="AB19" s="66"/>
      <c r="AC19" s="68"/>
      <c r="AD19" s="66"/>
      <c r="AE19" s="66"/>
    </row>
    <row r="20" customFormat="false" ht="15" hidden="false" customHeight="true" outlineLevel="0" collapsed="false">
      <c r="A20" s="64" t="n">
        <v>46308</v>
      </c>
      <c r="B20" s="65" t="s">
        <v>482</v>
      </c>
      <c r="C20" s="66" t="s">
        <v>483</v>
      </c>
      <c r="D20" s="66" t="n">
        <v>6.81</v>
      </c>
      <c r="E20" s="66" t="n">
        <v>6.81</v>
      </c>
      <c r="F20" s="66" t="n">
        <v>6.47</v>
      </c>
      <c r="G20" s="66" t="n">
        <v>0.1</v>
      </c>
      <c r="H20" s="66" t="n">
        <v>0.937408392304231</v>
      </c>
      <c r="I20" s="66" t="s">
        <v>178</v>
      </c>
      <c r="J20" s="65" t="s">
        <v>448</v>
      </c>
      <c r="K20" s="67"/>
      <c r="L20" s="68"/>
      <c r="M20" s="68"/>
      <c r="N20" s="66"/>
      <c r="O20" s="66"/>
      <c r="P20" s="66"/>
      <c r="Q20" s="66"/>
      <c r="R20" s="66"/>
      <c r="S20" s="66"/>
      <c r="T20" s="66"/>
      <c r="U20" s="66"/>
      <c r="V20" s="66"/>
      <c r="W20" s="68"/>
      <c r="X20" s="66"/>
      <c r="Y20" s="66"/>
      <c r="Z20" s="68"/>
      <c r="AA20" s="66"/>
      <c r="AB20" s="66"/>
      <c r="AC20" s="68"/>
      <c r="AD20" s="66"/>
      <c r="AE20" s="66"/>
    </row>
    <row r="21" customFormat="false" ht="15" hidden="false" customHeight="true" outlineLevel="0" collapsed="false">
      <c r="A21" s="64" t="n">
        <v>46308</v>
      </c>
      <c r="B21" s="65" t="s">
        <v>484</v>
      </c>
      <c r="C21" s="66" t="s">
        <v>485</v>
      </c>
      <c r="D21" s="66" t="n">
        <v>31.1</v>
      </c>
      <c r="E21" s="66" t="n">
        <v>31.1</v>
      </c>
      <c r="F21" s="66" t="n">
        <v>29.55</v>
      </c>
      <c r="G21" s="66" t="n">
        <v>0.137525298205299</v>
      </c>
      <c r="H21" s="66" t="n">
        <v>0.936475297925922</v>
      </c>
      <c r="I21" s="66" t="s">
        <v>178</v>
      </c>
      <c r="J21" s="65" t="s">
        <v>448</v>
      </c>
      <c r="K21" s="67"/>
      <c r="L21" s="68"/>
      <c r="M21" s="68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66"/>
      <c r="Y21" s="66"/>
      <c r="Z21" s="68"/>
      <c r="AA21" s="66"/>
      <c r="AB21" s="66"/>
      <c r="AC21" s="68"/>
      <c r="AD21" s="66"/>
      <c r="AE21" s="66"/>
    </row>
    <row r="22" customFormat="false" ht="15" hidden="false" customHeight="true" outlineLevel="0" collapsed="false">
      <c r="A22" s="64" t="n">
        <v>46308</v>
      </c>
      <c r="B22" s="65" t="s">
        <v>486</v>
      </c>
      <c r="C22" s="66" t="s">
        <v>487</v>
      </c>
      <c r="D22" s="66" t="n">
        <v>51.3</v>
      </c>
      <c r="E22" s="66" t="n">
        <v>51.3</v>
      </c>
      <c r="F22" s="66" t="n">
        <v>48.73</v>
      </c>
      <c r="G22" s="66" t="n">
        <v>0.172902081104207</v>
      </c>
      <c r="H22" s="66" t="n">
        <v>0.936147263031217</v>
      </c>
      <c r="I22" s="66" t="s">
        <v>178</v>
      </c>
      <c r="J22" s="65" t="s">
        <v>448</v>
      </c>
      <c r="K22" s="67"/>
      <c r="L22" s="68"/>
      <c r="M22" s="68"/>
      <c r="N22" s="66"/>
      <c r="O22" s="66"/>
      <c r="P22" s="66"/>
      <c r="Q22" s="66"/>
      <c r="R22" s="66"/>
      <c r="S22" s="66"/>
      <c r="T22" s="66"/>
      <c r="U22" s="66"/>
      <c r="V22" s="66"/>
      <c r="W22" s="68"/>
      <c r="X22" s="66"/>
      <c r="Y22" s="66"/>
      <c r="Z22" s="68"/>
      <c r="AA22" s="66"/>
      <c r="AB22" s="66"/>
      <c r="AC22" s="68"/>
      <c r="AD22" s="66"/>
      <c r="AE22" s="66"/>
    </row>
    <row r="23" customFormat="false" ht="15" hidden="false" customHeight="true" outlineLevel="0" collapsed="false">
      <c r="A23" s="64" t="n">
        <v>46308</v>
      </c>
      <c r="B23" s="65" t="s">
        <v>488</v>
      </c>
      <c r="C23" s="66" t="s">
        <v>489</v>
      </c>
      <c r="D23" s="66" t="n">
        <v>19.2</v>
      </c>
      <c r="E23" s="66" t="n">
        <v>19.2</v>
      </c>
      <c r="F23" s="66" t="n">
        <v>18.24</v>
      </c>
      <c r="G23" s="66" t="n">
        <v>0.16900209311231</v>
      </c>
      <c r="H23" s="66" t="n">
        <v>0.930734307138009</v>
      </c>
      <c r="I23" s="66" t="s">
        <v>178</v>
      </c>
      <c r="J23" s="65" t="s">
        <v>448</v>
      </c>
      <c r="K23" s="67"/>
      <c r="L23" s="68"/>
      <c r="M23" s="68"/>
      <c r="N23" s="66"/>
      <c r="O23" s="66"/>
      <c r="P23" s="66"/>
      <c r="Q23" s="66"/>
      <c r="R23" s="66"/>
      <c r="S23" s="66"/>
      <c r="T23" s="66"/>
      <c r="U23" s="66"/>
      <c r="V23" s="66"/>
      <c r="W23" s="68"/>
      <c r="X23" s="66"/>
      <c r="Y23" s="66"/>
      <c r="Z23" s="68"/>
      <c r="AA23" s="66"/>
      <c r="AB23" s="66"/>
      <c r="AC23" s="68"/>
      <c r="AD23" s="66"/>
      <c r="AE23" s="66"/>
    </row>
    <row r="24" customFormat="false" ht="15" hidden="false" customHeight="true" outlineLevel="0" collapsed="false">
      <c r="A24" s="64" t="n">
        <v>46308</v>
      </c>
      <c r="B24" s="65" t="s">
        <v>490</v>
      </c>
      <c r="C24" s="66" t="s">
        <v>491</v>
      </c>
      <c r="D24" s="66" t="n">
        <v>5.09</v>
      </c>
      <c r="E24" s="66" t="n">
        <v>5.09</v>
      </c>
      <c r="F24" s="66" t="n">
        <v>4.84</v>
      </c>
      <c r="G24" s="66" t="n">
        <v>0.149968245357071</v>
      </c>
      <c r="H24" s="66" t="n">
        <v>0.930037964293688</v>
      </c>
      <c r="I24" s="66" t="s">
        <v>178</v>
      </c>
      <c r="J24" s="65" t="s">
        <v>448</v>
      </c>
      <c r="K24" s="67"/>
      <c r="L24" s="68"/>
      <c r="M24" s="68"/>
      <c r="N24" s="66"/>
      <c r="O24" s="66"/>
      <c r="P24" s="66"/>
      <c r="Q24" s="66"/>
      <c r="R24" s="66"/>
      <c r="S24" s="66"/>
      <c r="T24" s="66"/>
      <c r="U24" s="66"/>
      <c r="V24" s="66"/>
      <c r="W24" s="68"/>
      <c r="X24" s="66"/>
      <c r="Y24" s="66"/>
      <c r="Z24" s="68"/>
      <c r="AA24" s="66"/>
      <c r="AB24" s="66"/>
      <c r="AC24" s="68"/>
      <c r="AD24" s="66"/>
      <c r="AE24" s="66"/>
    </row>
    <row r="25" customFormat="false" ht="15" hidden="false" customHeight="true" outlineLevel="0" collapsed="false">
      <c r="A25" s="64" t="n">
        <v>46308</v>
      </c>
      <c r="B25" s="65" t="s">
        <v>492</v>
      </c>
      <c r="C25" s="66" t="s">
        <v>493</v>
      </c>
      <c r="D25" s="66" t="n">
        <v>13.06</v>
      </c>
      <c r="E25" s="66" t="n">
        <v>13.06</v>
      </c>
      <c r="F25" s="66" t="n">
        <v>12.41</v>
      </c>
      <c r="G25" s="66" t="n">
        <v>0.163984534576938</v>
      </c>
      <c r="H25" s="66" t="n">
        <v>0.923209557254261</v>
      </c>
      <c r="I25" s="66" t="s">
        <v>178</v>
      </c>
      <c r="J25" s="65" t="s">
        <v>448</v>
      </c>
      <c r="K25" s="67"/>
      <c r="L25" s="68"/>
      <c r="M25" s="68"/>
      <c r="N25" s="66"/>
      <c r="O25" s="66"/>
      <c r="P25" s="66"/>
      <c r="Q25" s="66"/>
      <c r="R25" s="66"/>
      <c r="S25" s="66"/>
      <c r="T25" s="66"/>
      <c r="U25" s="66"/>
      <c r="V25" s="66"/>
      <c r="W25" s="68"/>
      <c r="X25" s="66"/>
      <c r="Y25" s="66"/>
      <c r="Z25" s="68"/>
      <c r="AA25" s="66"/>
      <c r="AB25" s="66"/>
      <c r="AC25" s="68"/>
      <c r="AD25" s="66"/>
      <c r="AE25" s="66"/>
    </row>
    <row r="26" customFormat="false" ht="15" hidden="false" customHeight="true" outlineLevel="0" collapsed="false">
      <c r="A26" s="64" t="n">
        <v>46308</v>
      </c>
      <c r="B26" s="65" t="s">
        <v>494</v>
      </c>
      <c r="C26" s="66" t="s">
        <v>495</v>
      </c>
      <c r="D26" s="66" t="n">
        <v>30.71</v>
      </c>
      <c r="E26" s="66" t="n">
        <v>30.71</v>
      </c>
      <c r="F26" s="66" t="n">
        <v>29.17</v>
      </c>
      <c r="G26" s="66" t="n">
        <v>0.124741092059665</v>
      </c>
      <c r="H26" s="66" t="n">
        <v>0.909893053660362</v>
      </c>
      <c r="I26" s="66" t="s">
        <v>178</v>
      </c>
      <c r="J26" s="65" t="s">
        <v>448</v>
      </c>
      <c r="K26" s="67"/>
      <c r="L26" s="68"/>
      <c r="M26" s="68"/>
      <c r="N26" s="66"/>
      <c r="O26" s="66"/>
      <c r="P26" s="66"/>
      <c r="Q26" s="66"/>
      <c r="R26" s="66"/>
      <c r="S26" s="66"/>
      <c r="T26" s="66"/>
      <c r="U26" s="66"/>
      <c r="V26" s="66"/>
      <c r="W26" s="68"/>
      <c r="X26" s="66"/>
      <c r="Y26" s="66"/>
      <c r="Z26" s="68"/>
      <c r="AA26" s="66"/>
      <c r="AB26" s="66"/>
      <c r="AC26" s="68"/>
      <c r="AD26" s="66"/>
      <c r="AE26" s="66"/>
    </row>
    <row r="27" customFormat="false" ht="15" hidden="false" customHeight="true" outlineLevel="0" collapsed="false">
      <c r="A27" s="64" t="n">
        <v>46308</v>
      </c>
      <c r="B27" s="65" t="s">
        <v>496</v>
      </c>
      <c r="C27" s="66" t="s">
        <v>497</v>
      </c>
      <c r="D27" s="66" t="n">
        <v>25.6</v>
      </c>
      <c r="E27" s="66" t="n">
        <v>25.6</v>
      </c>
      <c r="F27" s="66" t="n">
        <v>24.32</v>
      </c>
      <c r="G27" s="66" t="n">
        <v>0.186978133610163</v>
      </c>
      <c r="H27" s="66" t="n">
        <v>0.906120932517139</v>
      </c>
      <c r="I27" s="66" t="s">
        <v>178</v>
      </c>
      <c r="J27" s="65" t="s">
        <v>448</v>
      </c>
      <c r="K27" s="67"/>
      <c r="L27" s="68"/>
      <c r="M27" s="68"/>
      <c r="N27" s="66"/>
      <c r="O27" s="66"/>
      <c r="P27" s="66"/>
      <c r="Q27" s="66"/>
      <c r="R27" s="66"/>
      <c r="S27" s="66"/>
      <c r="T27" s="66"/>
      <c r="U27" s="66"/>
      <c r="V27" s="66"/>
      <c r="W27" s="68"/>
      <c r="X27" s="66"/>
      <c r="Y27" s="66"/>
      <c r="Z27" s="68"/>
      <c r="AA27" s="66"/>
      <c r="AB27" s="66"/>
      <c r="AC27" s="68"/>
      <c r="AD27" s="66"/>
      <c r="AE27" s="66"/>
    </row>
    <row r="28" customFormat="false" ht="15" hidden="false" customHeight="true" outlineLevel="0" collapsed="false">
      <c r="A28" s="69" t="n">
        <v>46308</v>
      </c>
      <c r="B28" s="70" t="s">
        <v>498</v>
      </c>
      <c r="C28" s="71" t="s">
        <v>499</v>
      </c>
      <c r="D28" s="71" t="n">
        <v>22.28</v>
      </c>
      <c r="E28" s="71" t="n">
        <v>22.28</v>
      </c>
      <c r="F28" s="71" t="n">
        <v>21.17</v>
      </c>
      <c r="G28" s="71" t="n">
        <v>0.252300970681124</v>
      </c>
      <c r="H28" s="71" t="n">
        <v>0.972941505285873</v>
      </c>
      <c r="I28" s="71" t="s">
        <v>178</v>
      </c>
      <c r="J28" s="70" t="s">
        <v>448</v>
      </c>
      <c r="K28" s="72"/>
      <c r="L28" s="73"/>
      <c r="M28" s="73"/>
      <c r="N28" s="71"/>
      <c r="O28" s="71"/>
      <c r="P28" s="71"/>
      <c r="Q28" s="71"/>
      <c r="R28" s="71"/>
      <c r="S28" s="71"/>
      <c r="T28" s="71"/>
      <c r="U28" s="71"/>
      <c r="V28" s="71"/>
      <c r="W28" s="73"/>
      <c r="X28" s="71"/>
      <c r="Y28" s="71"/>
      <c r="Z28" s="73"/>
      <c r="AA28" s="71"/>
      <c r="AB28" s="71"/>
      <c r="AC28" s="73"/>
      <c r="AD28" s="71"/>
      <c r="AE28" s="71"/>
    </row>
    <row r="29" customFormat="false" ht="15" hidden="false" customHeight="true" outlineLevel="0" collapsed="false">
      <c r="A29" s="69" t="n">
        <v>46308</v>
      </c>
      <c r="B29" s="70" t="s">
        <v>500</v>
      </c>
      <c r="C29" s="71" t="s">
        <v>501</v>
      </c>
      <c r="D29" s="71" t="n">
        <v>12.73</v>
      </c>
      <c r="E29" s="71" t="n">
        <v>12.73</v>
      </c>
      <c r="F29" s="71" t="n">
        <v>12.09</v>
      </c>
      <c r="G29" s="71" t="n">
        <v>0.281987051755278</v>
      </c>
      <c r="H29" s="71" t="n">
        <v>0.972080523018254</v>
      </c>
      <c r="I29" s="71" t="s">
        <v>178</v>
      </c>
      <c r="J29" s="70" t="s">
        <v>448</v>
      </c>
      <c r="K29" s="72"/>
      <c r="L29" s="73"/>
      <c r="M29" s="73"/>
      <c r="N29" s="71"/>
      <c r="O29" s="71"/>
      <c r="P29" s="71"/>
      <c r="Q29" s="71"/>
      <c r="R29" s="71"/>
      <c r="S29" s="71"/>
      <c r="T29" s="71"/>
      <c r="U29" s="71"/>
      <c r="V29" s="71"/>
      <c r="W29" s="73"/>
      <c r="X29" s="71"/>
      <c r="Y29" s="71"/>
      <c r="Z29" s="73"/>
      <c r="AA29" s="71"/>
      <c r="AB29" s="71"/>
      <c r="AC29" s="73"/>
      <c r="AD29" s="71"/>
      <c r="AE29" s="71"/>
    </row>
    <row r="30" customFormat="false" ht="15" hidden="false" customHeight="true" outlineLevel="0" collapsed="false">
      <c r="A30" s="69" t="n">
        <v>46308</v>
      </c>
      <c r="B30" s="70" t="s">
        <v>502</v>
      </c>
      <c r="C30" s="71" t="s">
        <v>503</v>
      </c>
      <c r="D30" s="71" t="n">
        <v>8.09</v>
      </c>
      <c r="E30" s="71" t="n">
        <v>8.09</v>
      </c>
      <c r="F30" s="71" t="n">
        <v>7.69</v>
      </c>
      <c r="G30" s="71" t="n">
        <v>0.276351670423237</v>
      </c>
      <c r="H30" s="71" t="n">
        <v>0.963217307236146</v>
      </c>
      <c r="I30" s="71" t="s">
        <v>178</v>
      </c>
      <c r="J30" s="70" t="s">
        <v>448</v>
      </c>
      <c r="K30" s="72"/>
      <c r="L30" s="73"/>
      <c r="M30" s="73"/>
      <c r="N30" s="71"/>
      <c r="O30" s="71"/>
      <c r="P30" s="71"/>
      <c r="Q30" s="71"/>
      <c r="R30" s="71"/>
      <c r="S30" s="71"/>
      <c r="T30" s="71"/>
      <c r="U30" s="71"/>
      <c r="V30" s="71"/>
      <c r="W30" s="73"/>
      <c r="X30" s="71"/>
      <c r="Y30" s="71"/>
      <c r="Z30" s="73"/>
      <c r="AA30" s="71"/>
      <c r="AB30" s="71"/>
      <c r="AC30" s="73"/>
      <c r="AD30" s="71"/>
      <c r="AE30" s="71"/>
    </row>
    <row r="31" customFormat="false" ht="15" hidden="false" customHeight="true" outlineLevel="0" collapsed="false">
      <c r="A31" s="69" t="n">
        <v>46308</v>
      </c>
      <c r="B31" s="70" t="s">
        <v>504</v>
      </c>
      <c r="C31" s="71" t="s">
        <v>505</v>
      </c>
      <c r="D31" s="71" t="n">
        <v>12.06</v>
      </c>
      <c r="E31" s="71" t="n">
        <v>12.06</v>
      </c>
      <c r="F31" s="71" t="n">
        <v>11.46</v>
      </c>
      <c r="G31" s="71" t="n">
        <v>0.292078536376444</v>
      </c>
      <c r="H31" s="71" t="n">
        <v>0.945947275774243</v>
      </c>
      <c r="I31" s="71" t="s">
        <v>178</v>
      </c>
      <c r="J31" s="70" t="s">
        <v>448</v>
      </c>
      <c r="K31" s="72"/>
      <c r="L31" s="73"/>
      <c r="M31" s="73"/>
      <c r="N31" s="71"/>
      <c r="O31" s="71"/>
      <c r="P31" s="71"/>
      <c r="Q31" s="71"/>
      <c r="R31" s="71"/>
      <c r="S31" s="71"/>
      <c r="T31" s="71"/>
      <c r="U31" s="71"/>
      <c r="V31" s="71"/>
      <c r="W31" s="73"/>
      <c r="X31" s="71"/>
      <c r="Y31" s="71"/>
      <c r="Z31" s="73"/>
      <c r="AA31" s="71"/>
      <c r="AB31" s="71"/>
      <c r="AC31" s="73"/>
      <c r="AD31" s="71"/>
      <c r="AE31" s="71"/>
    </row>
    <row r="32" customFormat="false" ht="15" hidden="false" customHeight="true" outlineLevel="0" collapsed="false">
      <c r="A32" s="69" t="n">
        <v>46308</v>
      </c>
      <c r="B32" s="70" t="s">
        <v>506</v>
      </c>
      <c r="C32" s="71" t="s">
        <v>507</v>
      </c>
      <c r="D32" s="71" t="n">
        <v>6.86</v>
      </c>
      <c r="E32" s="71" t="n">
        <v>6.86</v>
      </c>
      <c r="F32" s="71" t="n">
        <v>6.52</v>
      </c>
      <c r="G32" s="71" t="n">
        <v>0.273348985730097</v>
      </c>
      <c r="H32" s="71" t="n">
        <v>0.934731219559574</v>
      </c>
      <c r="I32" s="71" t="s">
        <v>178</v>
      </c>
      <c r="J32" s="70" t="s">
        <v>448</v>
      </c>
      <c r="K32" s="72"/>
      <c r="L32" s="73"/>
      <c r="M32" s="73"/>
      <c r="N32" s="71"/>
      <c r="O32" s="71"/>
      <c r="P32" s="71"/>
      <c r="Q32" s="71"/>
      <c r="R32" s="71"/>
      <c r="S32" s="71"/>
      <c r="T32" s="71"/>
      <c r="U32" s="71"/>
      <c r="V32" s="71"/>
      <c r="W32" s="73"/>
      <c r="X32" s="71"/>
      <c r="Y32" s="71"/>
      <c r="Z32" s="73"/>
      <c r="AA32" s="71"/>
      <c r="AB32" s="71"/>
      <c r="AC32" s="73"/>
      <c r="AD32" s="71"/>
      <c r="AE32" s="71"/>
    </row>
    <row r="33" customFormat="false" ht="15" hidden="false" customHeight="true" outlineLevel="0" collapsed="false">
      <c r="A33" s="69" t="n">
        <v>46308</v>
      </c>
      <c r="B33" s="70" t="s">
        <v>508</v>
      </c>
      <c r="C33" s="71" t="s">
        <v>509</v>
      </c>
      <c r="D33" s="71" t="n">
        <v>3.34</v>
      </c>
      <c r="E33" s="71" t="n">
        <v>3.34</v>
      </c>
      <c r="F33" s="71" t="n">
        <v>3.17</v>
      </c>
      <c r="G33" s="71" t="n">
        <v>0.240675240350299</v>
      </c>
      <c r="H33" s="71" t="n">
        <v>0.920051836834228</v>
      </c>
      <c r="I33" s="71" t="s">
        <v>178</v>
      </c>
      <c r="J33" s="70" t="s">
        <v>448</v>
      </c>
      <c r="K33" s="72"/>
      <c r="L33" s="73"/>
      <c r="M33" s="73"/>
      <c r="N33" s="71"/>
      <c r="O33" s="71"/>
      <c r="P33" s="71"/>
      <c r="Q33" s="71"/>
      <c r="R33" s="71"/>
      <c r="S33" s="71"/>
      <c r="T33" s="71"/>
      <c r="U33" s="71"/>
      <c r="V33" s="71"/>
      <c r="W33" s="73"/>
      <c r="X33" s="71"/>
      <c r="Y33" s="71"/>
      <c r="Z33" s="73"/>
      <c r="AA33" s="71"/>
      <c r="AB33" s="71"/>
      <c r="AC33" s="73"/>
      <c r="AD33" s="71"/>
      <c r="AE33" s="71"/>
    </row>
    <row r="34" customFormat="false" ht="15" hidden="false" customHeight="true" outlineLevel="0" collapsed="false">
      <c r="A34" s="69" t="n">
        <v>46308</v>
      </c>
      <c r="B34" s="70" t="s">
        <v>510</v>
      </c>
      <c r="C34" s="71" t="s">
        <v>511</v>
      </c>
      <c r="D34" s="71" t="n">
        <v>30.61</v>
      </c>
      <c r="E34" s="71" t="n">
        <v>30.61</v>
      </c>
      <c r="F34" s="71" t="n">
        <v>29.08</v>
      </c>
      <c r="G34" s="71" t="n">
        <v>0.23106885899532</v>
      </c>
      <c r="H34" s="71" t="n">
        <v>0.917026897714807</v>
      </c>
      <c r="I34" s="71" t="s">
        <v>178</v>
      </c>
      <c r="J34" s="70" t="s">
        <v>448</v>
      </c>
      <c r="K34" s="72"/>
      <c r="L34" s="73"/>
      <c r="M34" s="73"/>
      <c r="N34" s="71"/>
      <c r="O34" s="71"/>
      <c r="P34" s="71"/>
      <c r="Q34" s="71"/>
      <c r="R34" s="71"/>
      <c r="S34" s="71"/>
      <c r="T34" s="71"/>
      <c r="U34" s="71"/>
      <c r="V34" s="71"/>
      <c r="W34" s="73"/>
      <c r="X34" s="71"/>
      <c r="Y34" s="71"/>
      <c r="Z34" s="73"/>
      <c r="AA34" s="71"/>
      <c r="AB34" s="71"/>
      <c r="AC34" s="73"/>
      <c r="AD34" s="71"/>
      <c r="AE34" s="71"/>
    </row>
    <row r="35" customFormat="false" ht="15" hidden="false" customHeight="true" outlineLevel="0" collapsed="false">
      <c r="A35" s="69" t="n">
        <v>46308</v>
      </c>
      <c r="B35" s="70" t="s">
        <v>512</v>
      </c>
      <c r="C35" s="71" t="s">
        <v>513</v>
      </c>
      <c r="D35" s="71" t="n">
        <v>19.34</v>
      </c>
      <c r="E35" s="71" t="n">
        <v>19.34</v>
      </c>
      <c r="F35" s="71" t="n">
        <v>18.37</v>
      </c>
      <c r="G35" s="71" t="n">
        <v>0.202202713472463</v>
      </c>
      <c r="H35" s="71" t="n">
        <v>0.912534781990625</v>
      </c>
      <c r="I35" s="71" t="s">
        <v>178</v>
      </c>
      <c r="J35" s="70" t="s">
        <v>448</v>
      </c>
      <c r="K35" s="72"/>
      <c r="L35" s="73"/>
      <c r="M35" s="73"/>
      <c r="N35" s="71"/>
      <c r="O35" s="71"/>
      <c r="P35" s="71"/>
      <c r="Q35" s="71"/>
      <c r="R35" s="71"/>
      <c r="S35" s="71"/>
      <c r="T35" s="71"/>
      <c r="U35" s="71"/>
      <c r="V35" s="71"/>
      <c r="W35" s="73"/>
      <c r="X35" s="71"/>
      <c r="Y35" s="71"/>
      <c r="Z35" s="73"/>
      <c r="AA35" s="71"/>
      <c r="AB35" s="71"/>
      <c r="AC35" s="73"/>
      <c r="AD35" s="71"/>
      <c r="AE35" s="71"/>
    </row>
    <row r="36" customFormat="false" ht="15" hidden="false" customHeight="true" outlineLevel="0" collapsed="false">
      <c r="A36" s="69" t="n">
        <v>46308</v>
      </c>
      <c r="B36" s="70" t="s">
        <v>514</v>
      </c>
      <c r="C36" s="71" t="s">
        <v>515</v>
      </c>
      <c r="D36" s="71" t="n">
        <v>8.17</v>
      </c>
      <c r="E36" s="71" t="n">
        <v>8.17</v>
      </c>
      <c r="F36" s="71" t="n">
        <v>7.76</v>
      </c>
      <c r="G36" s="71" t="n">
        <v>0.295470655996896</v>
      </c>
      <c r="H36" s="71" t="n">
        <v>0.912368533265903</v>
      </c>
      <c r="I36" s="71" t="s">
        <v>178</v>
      </c>
      <c r="J36" s="70" t="s">
        <v>448</v>
      </c>
      <c r="K36" s="72"/>
      <c r="L36" s="73"/>
      <c r="M36" s="73"/>
      <c r="N36" s="71"/>
      <c r="O36" s="71"/>
      <c r="P36" s="71"/>
      <c r="Q36" s="71"/>
      <c r="R36" s="71"/>
      <c r="S36" s="71"/>
      <c r="T36" s="71"/>
      <c r="U36" s="71"/>
      <c r="V36" s="71"/>
      <c r="W36" s="73"/>
      <c r="X36" s="71"/>
      <c r="Y36" s="71"/>
      <c r="Z36" s="73"/>
      <c r="AA36" s="71"/>
      <c r="AB36" s="71"/>
      <c r="AC36" s="73"/>
      <c r="AD36" s="71"/>
      <c r="AE36" s="71"/>
    </row>
    <row r="37" customFormat="false" ht="15" hidden="false" customHeight="true" outlineLevel="0" collapsed="false">
      <c r="A37" s="69" t="n">
        <v>46308</v>
      </c>
      <c r="B37" s="70" t="s">
        <v>516</v>
      </c>
      <c r="C37" s="71" t="s">
        <v>517</v>
      </c>
      <c r="D37" s="71" t="n">
        <v>5.91</v>
      </c>
      <c r="E37" s="71" t="n">
        <v>5.91</v>
      </c>
      <c r="F37" s="71" t="n">
        <v>5.61</v>
      </c>
      <c r="G37" s="71" t="n">
        <v>0.218649205989676</v>
      </c>
      <c r="H37" s="71" t="n">
        <v>0.908812820771144</v>
      </c>
      <c r="I37" s="71" t="s">
        <v>178</v>
      </c>
      <c r="J37" s="70" t="s">
        <v>448</v>
      </c>
      <c r="K37" s="72"/>
      <c r="L37" s="73"/>
      <c r="M37" s="73"/>
      <c r="N37" s="71"/>
      <c r="O37" s="71"/>
      <c r="P37" s="71"/>
      <c r="Q37" s="71"/>
      <c r="R37" s="71"/>
      <c r="S37" s="71"/>
      <c r="T37" s="71"/>
      <c r="U37" s="71"/>
      <c r="V37" s="71"/>
      <c r="W37" s="73"/>
      <c r="X37" s="71"/>
      <c r="Y37" s="71"/>
      <c r="Z37" s="73"/>
      <c r="AA37" s="71"/>
      <c r="AB37" s="71"/>
      <c r="AC37" s="73"/>
      <c r="AD37" s="71"/>
      <c r="AE37" s="71"/>
    </row>
    <row r="38" customFormat="false" ht="15" hidden="false" customHeight="true" outlineLevel="0" collapsed="false">
      <c r="A38" s="69" t="n">
        <v>46308</v>
      </c>
      <c r="B38" s="70" t="s">
        <v>518</v>
      </c>
      <c r="C38" s="71" t="s">
        <v>519</v>
      </c>
      <c r="D38" s="71" t="n">
        <v>41.41</v>
      </c>
      <c r="E38" s="71" t="n">
        <v>41.41</v>
      </c>
      <c r="F38" s="71" t="n">
        <v>39.34</v>
      </c>
      <c r="G38" s="71" t="n">
        <v>0.155258823429398</v>
      </c>
      <c r="H38" s="71" t="n">
        <v>0.89944866598528</v>
      </c>
      <c r="I38" s="71" t="s">
        <v>178</v>
      </c>
      <c r="J38" s="70" t="s">
        <v>448</v>
      </c>
      <c r="K38" s="72"/>
      <c r="L38" s="73"/>
      <c r="M38" s="73"/>
      <c r="N38" s="71"/>
      <c r="O38" s="71"/>
      <c r="P38" s="71"/>
      <c r="Q38" s="71"/>
      <c r="R38" s="71"/>
      <c r="S38" s="71"/>
      <c r="T38" s="71"/>
      <c r="U38" s="71"/>
      <c r="V38" s="71"/>
      <c r="W38" s="73"/>
      <c r="X38" s="71"/>
      <c r="Y38" s="71"/>
      <c r="Z38" s="73"/>
      <c r="AA38" s="71"/>
      <c r="AB38" s="71"/>
      <c r="AC38" s="73"/>
      <c r="AD38" s="71"/>
      <c r="AE38" s="71"/>
    </row>
    <row r="39" customFormat="false" ht="15" hidden="false" customHeight="true" outlineLevel="0" collapsed="false">
      <c r="A39" s="69" t="n">
        <v>46308</v>
      </c>
      <c r="B39" s="70" t="s">
        <v>520</v>
      </c>
      <c r="C39" s="71" t="s">
        <v>521</v>
      </c>
      <c r="D39" s="71" t="n">
        <v>11.55</v>
      </c>
      <c r="E39" s="71" t="n">
        <v>11.55</v>
      </c>
      <c r="F39" s="71" t="n">
        <v>10.97</v>
      </c>
      <c r="G39" s="71" t="n">
        <v>0.1</v>
      </c>
      <c r="H39" s="71" t="n">
        <v>0.8990556525522</v>
      </c>
      <c r="I39" s="71" t="s">
        <v>178</v>
      </c>
      <c r="J39" s="70" t="s">
        <v>448</v>
      </c>
      <c r="K39" s="72"/>
      <c r="L39" s="73"/>
      <c r="M39" s="73"/>
      <c r="N39" s="71"/>
      <c r="O39" s="71"/>
      <c r="P39" s="71"/>
      <c r="Q39" s="71"/>
      <c r="R39" s="71"/>
      <c r="S39" s="71"/>
      <c r="T39" s="71"/>
      <c r="U39" s="71"/>
      <c r="V39" s="71"/>
      <c r="W39" s="73"/>
      <c r="X39" s="71"/>
      <c r="Y39" s="71"/>
      <c r="Z39" s="73"/>
      <c r="AA39" s="71"/>
      <c r="AB39" s="71"/>
      <c r="AC39" s="73"/>
      <c r="AD39" s="71"/>
      <c r="AE39" s="71"/>
    </row>
    <row r="40" customFormat="false" ht="15" hidden="false" customHeight="true" outlineLevel="0" collapsed="false">
      <c r="A40" s="69" t="n">
        <v>46308</v>
      </c>
      <c r="B40" s="70" t="s">
        <v>522</v>
      </c>
      <c r="C40" s="71" t="s">
        <v>523</v>
      </c>
      <c r="D40" s="71" t="n">
        <v>33.71</v>
      </c>
      <c r="E40" s="71" t="n">
        <v>33.71</v>
      </c>
      <c r="F40" s="71" t="n">
        <v>32.02</v>
      </c>
      <c r="G40" s="71" t="n">
        <v>0.18505984475454</v>
      </c>
      <c r="H40" s="71" t="n">
        <v>0.895270418473245</v>
      </c>
      <c r="I40" s="71" t="s">
        <v>178</v>
      </c>
      <c r="J40" s="70" t="s">
        <v>448</v>
      </c>
      <c r="K40" s="72"/>
      <c r="L40" s="73"/>
      <c r="M40" s="73"/>
      <c r="N40" s="71"/>
      <c r="O40" s="71"/>
      <c r="P40" s="71"/>
      <c r="Q40" s="71"/>
      <c r="R40" s="71"/>
      <c r="S40" s="71"/>
      <c r="T40" s="71"/>
      <c r="U40" s="71"/>
      <c r="V40" s="71"/>
      <c r="W40" s="73"/>
      <c r="X40" s="71"/>
      <c r="Y40" s="71"/>
      <c r="Z40" s="73"/>
      <c r="AA40" s="71"/>
      <c r="AB40" s="71"/>
      <c r="AC40" s="73"/>
      <c r="AD40" s="71"/>
      <c r="AE40" s="71"/>
    </row>
    <row r="41" customFormat="false" ht="15" hidden="false" customHeight="true" outlineLevel="0" collapsed="false">
      <c r="A41" s="69" t="n">
        <v>46308</v>
      </c>
      <c r="B41" s="70" t="s">
        <v>524</v>
      </c>
      <c r="C41" s="71" t="s">
        <v>525</v>
      </c>
      <c r="D41" s="71" t="n">
        <v>16.12</v>
      </c>
      <c r="E41" s="71" t="n">
        <v>16.12</v>
      </c>
      <c r="F41" s="71" t="n">
        <v>15.31</v>
      </c>
      <c r="G41" s="71" t="n">
        <v>0.1</v>
      </c>
      <c r="H41" s="71" t="n">
        <v>0.89165264046604</v>
      </c>
      <c r="I41" s="71" t="s">
        <v>178</v>
      </c>
      <c r="J41" s="70" t="s">
        <v>448</v>
      </c>
      <c r="K41" s="72"/>
      <c r="L41" s="73"/>
      <c r="M41" s="73"/>
      <c r="N41" s="71"/>
      <c r="O41" s="71"/>
      <c r="P41" s="71"/>
      <c r="Q41" s="71"/>
      <c r="R41" s="71"/>
      <c r="S41" s="71"/>
      <c r="T41" s="71"/>
      <c r="U41" s="71"/>
      <c r="V41" s="71"/>
      <c r="W41" s="73"/>
      <c r="X41" s="71"/>
      <c r="Y41" s="71"/>
      <c r="Z41" s="73"/>
      <c r="AA41" s="71"/>
      <c r="AB41" s="71"/>
      <c r="AC41" s="73"/>
      <c r="AD41" s="71"/>
      <c r="AE41" s="71"/>
    </row>
    <row r="42" customFormat="false" ht="15" hidden="false" customHeight="true" outlineLevel="0" collapsed="false">
      <c r="A42" s="69" t="n">
        <v>46308</v>
      </c>
      <c r="B42" s="70" t="s">
        <v>526</v>
      </c>
      <c r="C42" s="71" t="s">
        <v>527</v>
      </c>
      <c r="D42" s="71" t="n">
        <v>58.16</v>
      </c>
      <c r="E42" s="71" t="n">
        <v>58.16</v>
      </c>
      <c r="F42" s="71" t="n">
        <v>55.25</v>
      </c>
      <c r="G42" s="71" t="n">
        <v>0.158810819957499</v>
      </c>
      <c r="H42" s="71" t="n">
        <v>0.889304410519811</v>
      </c>
      <c r="I42" s="71" t="s">
        <v>178</v>
      </c>
      <c r="J42" s="70" t="s">
        <v>448</v>
      </c>
      <c r="K42" s="72"/>
      <c r="L42" s="73"/>
      <c r="M42" s="73"/>
      <c r="N42" s="71"/>
      <c r="O42" s="71"/>
      <c r="P42" s="71"/>
      <c r="Q42" s="71"/>
      <c r="R42" s="71"/>
      <c r="S42" s="71"/>
      <c r="T42" s="71"/>
      <c r="U42" s="71"/>
      <c r="V42" s="71"/>
      <c r="W42" s="73"/>
      <c r="X42" s="71"/>
      <c r="Y42" s="71"/>
      <c r="Z42" s="73"/>
      <c r="AA42" s="71"/>
      <c r="AB42" s="71"/>
      <c r="AC42" s="73"/>
      <c r="AD42" s="71"/>
      <c r="AE42" s="71"/>
    </row>
    <row r="43" customFormat="false" ht="15" hidden="false" customHeight="true" outlineLevel="0" collapsed="false">
      <c r="A43" s="69" t="n">
        <v>46308</v>
      </c>
      <c r="B43" s="70" t="s">
        <v>528</v>
      </c>
      <c r="C43" s="71" t="s">
        <v>529</v>
      </c>
      <c r="D43" s="71" t="n">
        <v>18</v>
      </c>
      <c r="E43" s="71" t="n">
        <v>18</v>
      </c>
      <c r="F43" s="71" t="n">
        <v>17.1</v>
      </c>
      <c r="G43" s="71" t="n">
        <v>0.1</v>
      </c>
      <c r="H43" s="71" t="n">
        <v>0.881675588307608</v>
      </c>
      <c r="I43" s="71" t="s">
        <v>178</v>
      </c>
      <c r="J43" s="70" t="s">
        <v>448</v>
      </c>
      <c r="K43" s="72"/>
      <c r="L43" s="73"/>
      <c r="M43" s="73"/>
      <c r="N43" s="71"/>
      <c r="O43" s="71"/>
      <c r="P43" s="71"/>
      <c r="Q43" s="71"/>
      <c r="R43" s="71"/>
      <c r="S43" s="71"/>
      <c r="T43" s="71"/>
      <c r="U43" s="71"/>
      <c r="V43" s="71"/>
      <c r="W43" s="73"/>
      <c r="X43" s="71"/>
      <c r="Y43" s="71"/>
      <c r="Z43" s="73"/>
      <c r="AA43" s="71"/>
      <c r="AB43" s="71"/>
      <c r="AC43" s="73"/>
      <c r="AD43" s="71"/>
      <c r="AE43" s="71"/>
    </row>
    <row r="44" customFormat="false" ht="15" hidden="false" customHeight="true" outlineLevel="0" collapsed="false">
      <c r="A44" s="69" t="n">
        <v>46308</v>
      </c>
      <c r="B44" s="70" t="s">
        <v>530</v>
      </c>
      <c r="C44" s="71" t="s">
        <v>531</v>
      </c>
      <c r="D44" s="71" t="n">
        <v>12.65</v>
      </c>
      <c r="E44" s="71" t="n">
        <v>12.65</v>
      </c>
      <c r="F44" s="71" t="n">
        <v>12.02</v>
      </c>
      <c r="G44" s="71" t="n">
        <v>0.179973981765128</v>
      </c>
      <c r="H44" s="71" t="n">
        <v>0.87693966508852</v>
      </c>
      <c r="I44" s="71" t="s">
        <v>178</v>
      </c>
      <c r="J44" s="70" t="s">
        <v>448</v>
      </c>
      <c r="K44" s="72"/>
      <c r="L44" s="73"/>
      <c r="M44" s="73"/>
      <c r="N44" s="71"/>
      <c r="O44" s="71"/>
      <c r="P44" s="71"/>
      <c r="Q44" s="71"/>
      <c r="R44" s="71"/>
      <c r="S44" s="71"/>
      <c r="T44" s="71"/>
      <c r="U44" s="71"/>
      <c r="V44" s="71"/>
      <c r="W44" s="73"/>
      <c r="X44" s="71"/>
      <c r="Y44" s="71"/>
      <c r="Z44" s="73"/>
      <c r="AA44" s="71"/>
      <c r="AB44" s="71"/>
      <c r="AC44" s="73"/>
      <c r="AD44" s="71"/>
      <c r="AE44" s="71"/>
    </row>
    <row r="45" customFormat="false" ht="15" hidden="false" customHeight="true" outlineLevel="0" collapsed="false">
      <c r="A45" s="69" t="n">
        <v>46308</v>
      </c>
      <c r="B45" s="70" t="s">
        <v>532</v>
      </c>
      <c r="C45" s="71" t="s">
        <v>533</v>
      </c>
      <c r="D45" s="71" t="n">
        <v>26.75</v>
      </c>
      <c r="E45" s="71" t="n">
        <v>26.75</v>
      </c>
      <c r="F45" s="71" t="n">
        <v>25.41</v>
      </c>
      <c r="G45" s="71" t="n">
        <v>0.1</v>
      </c>
      <c r="H45" s="71" t="n">
        <v>0.872244487811848</v>
      </c>
      <c r="I45" s="71" t="s">
        <v>178</v>
      </c>
      <c r="J45" s="70" t="s">
        <v>448</v>
      </c>
      <c r="K45" s="72"/>
      <c r="L45" s="73"/>
      <c r="M45" s="73"/>
      <c r="N45" s="71"/>
      <c r="O45" s="71"/>
      <c r="P45" s="71"/>
      <c r="Q45" s="71"/>
      <c r="R45" s="71"/>
      <c r="S45" s="71"/>
      <c r="T45" s="71"/>
      <c r="U45" s="71"/>
      <c r="V45" s="71"/>
      <c r="W45" s="73"/>
      <c r="X45" s="71"/>
      <c r="Y45" s="71"/>
      <c r="Z45" s="73"/>
      <c r="AA45" s="71"/>
      <c r="AB45" s="71"/>
      <c r="AC45" s="73"/>
      <c r="AD45" s="71"/>
      <c r="AE45" s="71"/>
    </row>
    <row r="46" customFormat="false" ht="15" hidden="false" customHeight="true" outlineLevel="0" collapsed="false">
      <c r="A46" s="69" t="n">
        <v>46308</v>
      </c>
      <c r="B46" s="70" t="s">
        <v>534</v>
      </c>
      <c r="C46" s="71" t="s">
        <v>535</v>
      </c>
      <c r="D46" s="71" t="n">
        <v>24.86</v>
      </c>
      <c r="E46" s="71" t="n">
        <v>24.86</v>
      </c>
      <c r="F46" s="71" t="n">
        <v>23.62</v>
      </c>
      <c r="G46" s="71" t="n">
        <v>0.1</v>
      </c>
      <c r="H46" s="71" t="n">
        <v>0.871402074730689</v>
      </c>
      <c r="I46" s="71" t="s">
        <v>178</v>
      </c>
      <c r="J46" s="70" t="s">
        <v>448</v>
      </c>
      <c r="K46" s="72"/>
      <c r="L46" s="73"/>
      <c r="M46" s="73"/>
      <c r="N46" s="71"/>
      <c r="O46" s="71"/>
      <c r="P46" s="71"/>
      <c r="Q46" s="71"/>
      <c r="R46" s="71"/>
      <c r="S46" s="71"/>
      <c r="T46" s="71"/>
      <c r="U46" s="71"/>
      <c r="V46" s="71"/>
      <c r="W46" s="73"/>
      <c r="X46" s="71"/>
      <c r="Y46" s="71"/>
      <c r="Z46" s="73"/>
      <c r="AA46" s="71"/>
      <c r="AB46" s="71"/>
      <c r="AC46" s="73"/>
      <c r="AD46" s="71"/>
      <c r="AE46" s="71"/>
    </row>
    <row r="47" customFormat="false" ht="15" hidden="false" customHeight="true" outlineLevel="0" collapsed="false">
      <c r="A47" s="69" t="n">
        <v>46308</v>
      </c>
      <c r="B47" s="70" t="s">
        <v>536</v>
      </c>
      <c r="C47" s="71" t="s">
        <v>537</v>
      </c>
      <c r="D47" s="71" t="n">
        <v>34.71</v>
      </c>
      <c r="E47" s="71" t="n">
        <v>34.71</v>
      </c>
      <c r="F47" s="71" t="n">
        <v>32.97</v>
      </c>
      <c r="G47" s="71" t="n">
        <v>0.153938451837953</v>
      </c>
      <c r="H47" s="71" t="n">
        <v>0.869286609243402</v>
      </c>
      <c r="I47" s="71" t="s">
        <v>178</v>
      </c>
      <c r="J47" s="70" t="s">
        <v>448</v>
      </c>
      <c r="K47" s="72"/>
      <c r="L47" s="73"/>
      <c r="M47" s="73"/>
      <c r="N47" s="71"/>
      <c r="O47" s="71"/>
      <c r="P47" s="71"/>
      <c r="Q47" s="71"/>
      <c r="R47" s="71"/>
      <c r="S47" s="71"/>
      <c r="T47" s="71"/>
      <c r="U47" s="71"/>
      <c r="V47" s="71"/>
      <c r="W47" s="73"/>
      <c r="X47" s="71"/>
      <c r="Y47" s="71"/>
      <c r="Z47" s="73"/>
      <c r="AA47" s="71"/>
      <c r="AB47" s="71"/>
      <c r="AC47" s="73"/>
      <c r="AD47" s="71"/>
      <c r="AE47" s="71"/>
    </row>
    <row r="48" customFormat="false" ht="15" hidden="false" customHeight="true" outlineLevel="0" collapsed="false">
      <c r="A48" s="69" t="n">
        <v>46308</v>
      </c>
      <c r="B48" s="70" t="s">
        <v>538</v>
      </c>
      <c r="C48" s="71" t="s">
        <v>539</v>
      </c>
      <c r="D48" s="71" t="n">
        <v>41.85</v>
      </c>
      <c r="E48" s="71" t="n">
        <v>41.85</v>
      </c>
      <c r="F48" s="71" t="n">
        <v>39.76</v>
      </c>
      <c r="G48" s="71" t="n">
        <v>0.183934663534692</v>
      </c>
      <c r="H48" s="71" t="n">
        <v>0.862390618910049</v>
      </c>
      <c r="I48" s="71" t="s">
        <v>178</v>
      </c>
      <c r="J48" s="70" t="s">
        <v>448</v>
      </c>
      <c r="K48" s="72"/>
      <c r="L48" s="73"/>
      <c r="M48" s="73"/>
      <c r="N48" s="71"/>
      <c r="O48" s="71"/>
      <c r="P48" s="71"/>
      <c r="Q48" s="71"/>
      <c r="R48" s="71"/>
      <c r="S48" s="71"/>
      <c r="T48" s="71"/>
      <c r="U48" s="71"/>
      <c r="V48" s="71"/>
      <c r="W48" s="73"/>
      <c r="X48" s="71"/>
      <c r="Y48" s="71"/>
      <c r="Z48" s="73"/>
      <c r="AA48" s="71"/>
      <c r="AB48" s="71"/>
      <c r="AC48" s="73"/>
      <c r="AD48" s="71"/>
      <c r="AE48" s="71"/>
    </row>
    <row r="49" customFormat="false" ht="15" hidden="false" customHeight="true" outlineLevel="0" collapsed="false">
      <c r="A49" s="69" t="n">
        <v>46308</v>
      </c>
      <c r="B49" s="70" t="s">
        <v>540</v>
      </c>
      <c r="C49" s="71" t="s">
        <v>541</v>
      </c>
      <c r="D49" s="71" t="n">
        <v>16.65</v>
      </c>
      <c r="E49" s="71" t="n">
        <v>16.65</v>
      </c>
      <c r="F49" s="71" t="n">
        <v>15.82</v>
      </c>
      <c r="G49" s="71" t="n">
        <v>0.1</v>
      </c>
      <c r="H49" s="71" t="n">
        <v>0.86087052404508</v>
      </c>
      <c r="I49" s="71" t="s">
        <v>178</v>
      </c>
      <c r="J49" s="70" t="s">
        <v>448</v>
      </c>
      <c r="K49" s="72"/>
      <c r="L49" s="73"/>
      <c r="M49" s="73"/>
      <c r="N49" s="71"/>
      <c r="O49" s="71"/>
      <c r="P49" s="71"/>
      <c r="Q49" s="71"/>
      <c r="R49" s="71"/>
      <c r="S49" s="71"/>
      <c r="T49" s="71"/>
      <c r="U49" s="71"/>
      <c r="V49" s="71"/>
      <c r="W49" s="73"/>
      <c r="X49" s="71"/>
      <c r="Y49" s="71"/>
      <c r="Z49" s="73"/>
      <c r="AA49" s="71"/>
      <c r="AB49" s="71"/>
      <c r="AC49" s="73"/>
      <c r="AD49" s="71"/>
      <c r="AE49" s="71"/>
    </row>
    <row r="50" customFormat="false" ht="15" hidden="false" customHeight="true" outlineLevel="0" collapsed="false">
      <c r="A50" s="69" t="n">
        <v>46308</v>
      </c>
      <c r="B50" s="70" t="s">
        <v>542</v>
      </c>
      <c r="C50" s="71" t="s">
        <v>543</v>
      </c>
      <c r="D50" s="71" t="n">
        <v>62.58</v>
      </c>
      <c r="E50" s="71" t="n">
        <v>62.58</v>
      </c>
      <c r="F50" s="71" t="n">
        <v>59.45</v>
      </c>
      <c r="G50" s="71" t="n">
        <v>0.1</v>
      </c>
      <c r="H50" s="71" t="n">
        <v>0.859687789124144</v>
      </c>
      <c r="I50" s="71" t="s">
        <v>178</v>
      </c>
      <c r="J50" s="70" t="s">
        <v>448</v>
      </c>
      <c r="K50" s="72"/>
      <c r="L50" s="73"/>
      <c r="M50" s="73"/>
      <c r="N50" s="71"/>
      <c r="O50" s="71"/>
      <c r="P50" s="71"/>
      <c r="Q50" s="71"/>
      <c r="R50" s="71"/>
      <c r="S50" s="71"/>
      <c r="T50" s="71"/>
      <c r="U50" s="71"/>
      <c r="V50" s="71"/>
      <c r="W50" s="73"/>
      <c r="X50" s="71"/>
      <c r="Y50" s="71"/>
      <c r="Z50" s="73"/>
      <c r="AA50" s="71"/>
      <c r="AB50" s="71"/>
      <c r="AC50" s="73"/>
      <c r="AD50" s="71"/>
      <c r="AE50" s="71"/>
    </row>
    <row r="51" customFormat="false" ht="15" hidden="false" customHeight="true" outlineLevel="0" collapsed="false">
      <c r="A51" s="69" t="n">
        <v>46308</v>
      </c>
      <c r="B51" s="70" t="s">
        <v>544</v>
      </c>
      <c r="C51" s="71" t="s">
        <v>545</v>
      </c>
      <c r="D51" s="71" t="n">
        <v>17.05</v>
      </c>
      <c r="E51" s="71" t="n">
        <v>17.05</v>
      </c>
      <c r="F51" s="71" t="n">
        <v>16.2</v>
      </c>
      <c r="G51" s="71" t="n">
        <v>0.204379844500396</v>
      </c>
      <c r="H51" s="71" t="n">
        <v>0.854920792988027</v>
      </c>
      <c r="I51" s="71" t="s">
        <v>178</v>
      </c>
      <c r="J51" s="70" t="s">
        <v>448</v>
      </c>
      <c r="K51" s="72"/>
      <c r="L51" s="73"/>
      <c r="M51" s="73"/>
      <c r="N51" s="71"/>
      <c r="O51" s="71"/>
      <c r="P51" s="71"/>
      <c r="Q51" s="71"/>
      <c r="R51" s="71"/>
      <c r="S51" s="71"/>
      <c r="T51" s="71"/>
      <c r="U51" s="71"/>
      <c r="V51" s="71"/>
      <c r="W51" s="73"/>
      <c r="X51" s="71"/>
      <c r="Y51" s="71"/>
      <c r="Z51" s="73"/>
      <c r="AA51" s="71"/>
      <c r="AB51" s="71"/>
      <c r="AC51" s="73"/>
      <c r="AD51" s="71"/>
      <c r="AE51" s="71"/>
    </row>
    <row r="52" customFormat="false" ht="15" hidden="false" customHeight="true" outlineLevel="0" collapsed="false">
      <c r="A52" s="69" t="n">
        <v>46308</v>
      </c>
      <c r="B52" s="70" t="s">
        <v>546</v>
      </c>
      <c r="C52" s="71" t="s">
        <v>547</v>
      </c>
      <c r="D52" s="71" t="n">
        <v>70.7</v>
      </c>
      <c r="E52" s="71" t="n">
        <v>70.7</v>
      </c>
      <c r="F52" s="71" t="n">
        <v>67.17</v>
      </c>
      <c r="G52" s="71" t="n">
        <v>0.188675865544519</v>
      </c>
      <c r="H52" s="71" t="n">
        <v>0.851261552146115</v>
      </c>
      <c r="I52" s="71" t="s">
        <v>178</v>
      </c>
      <c r="J52" s="70" t="s">
        <v>448</v>
      </c>
      <c r="K52" s="72"/>
      <c r="L52" s="73"/>
      <c r="M52" s="73"/>
      <c r="N52" s="71"/>
      <c r="O52" s="71"/>
      <c r="P52" s="71"/>
      <c r="Q52" s="71"/>
      <c r="R52" s="71"/>
      <c r="S52" s="71"/>
      <c r="T52" s="71"/>
      <c r="U52" s="71"/>
      <c r="V52" s="71"/>
      <c r="W52" s="73"/>
      <c r="X52" s="71"/>
      <c r="Y52" s="71"/>
      <c r="Z52" s="73"/>
      <c r="AA52" s="71"/>
      <c r="AB52" s="71"/>
      <c r="AC52" s="73"/>
      <c r="AD52" s="71"/>
      <c r="AE52" s="71"/>
    </row>
    <row r="53" customFormat="false" ht="15" hidden="false" customHeight="true" outlineLevel="0" collapsed="false">
      <c r="A53" s="69" t="n">
        <v>46308</v>
      </c>
      <c r="B53" s="70" t="s">
        <v>548</v>
      </c>
      <c r="C53" s="71" t="s">
        <v>549</v>
      </c>
      <c r="D53" s="71" t="n">
        <v>3.54</v>
      </c>
      <c r="E53" s="71" t="n">
        <v>3.54</v>
      </c>
      <c r="F53" s="71" t="n">
        <v>3.36</v>
      </c>
      <c r="G53" s="71" t="n">
        <v>0.278709458191473</v>
      </c>
      <c r="H53" s="71" t="n">
        <v>0.970429519133263</v>
      </c>
      <c r="I53" s="71" t="s">
        <v>178</v>
      </c>
      <c r="J53" s="70" t="s">
        <v>448</v>
      </c>
      <c r="K53" s="72"/>
      <c r="L53" s="73"/>
      <c r="M53" s="73"/>
      <c r="N53" s="71"/>
      <c r="O53" s="71"/>
      <c r="P53" s="71"/>
      <c r="Q53" s="71"/>
      <c r="R53" s="71"/>
      <c r="S53" s="71"/>
      <c r="T53" s="71"/>
      <c r="U53" s="71"/>
      <c r="V53" s="71"/>
      <c r="W53" s="73"/>
      <c r="X53" s="71"/>
      <c r="Y53" s="71"/>
      <c r="Z53" s="73"/>
      <c r="AA53" s="71"/>
      <c r="AB53" s="71"/>
      <c r="AC53" s="73"/>
      <c r="AD53" s="71"/>
      <c r="AE53" s="71"/>
    </row>
    <row r="54" customFormat="false" ht="15" hidden="false" customHeight="true" outlineLevel="0" collapsed="false">
      <c r="A54" s="69" t="n">
        <v>46308</v>
      </c>
      <c r="B54" s="70" t="s">
        <v>550</v>
      </c>
      <c r="C54" s="71" t="s">
        <v>551</v>
      </c>
      <c r="D54" s="71" t="n">
        <v>7.38</v>
      </c>
      <c r="E54" s="71" t="n">
        <v>7.38</v>
      </c>
      <c r="F54" s="71" t="n">
        <v>7.01</v>
      </c>
      <c r="G54" s="71" t="n">
        <v>0.23544095882801</v>
      </c>
      <c r="H54" s="71" t="n">
        <v>0.96580138445187</v>
      </c>
      <c r="I54" s="71" t="s">
        <v>178</v>
      </c>
      <c r="J54" s="70" t="s">
        <v>448</v>
      </c>
      <c r="K54" s="72"/>
      <c r="L54" s="73"/>
      <c r="M54" s="73"/>
      <c r="N54" s="71"/>
      <c r="O54" s="71"/>
      <c r="P54" s="71"/>
      <c r="Q54" s="71"/>
      <c r="R54" s="71"/>
      <c r="S54" s="71"/>
      <c r="T54" s="71"/>
      <c r="U54" s="71"/>
      <c r="V54" s="71"/>
      <c r="W54" s="73"/>
      <c r="X54" s="71"/>
      <c r="Y54" s="71"/>
      <c r="Z54" s="73"/>
      <c r="AA54" s="71"/>
      <c r="AB54" s="71"/>
      <c r="AC54" s="73"/>
      <c r="AD54" s="71"/>
      <c r="AE54" s="71"/>
    </row>
    <row r="55" customFormat="false" ht="15" hidden="false" customHeight="true" outlineLevel="0" collapsed="false">
      <c r="A55" s="69" t="n">
        <v>46308</v>
      </c>
      <c r="B55" s="70" t="s">
        <v>552</v>
      </c>
      <c r="C55" s="71" t="s">
        <v>553</v>
      </c>
      <c r="D55" s="71" t="n">
        <v>15.62</v>
      </c>
      <c r="E55" s="71" t="n">
        <v>15.62</v>
      </c>
      <c r="F55" s="71" t="n">
        <v>14.84</v>
      </c>
      <c r="G55" s="71" t="n">
        <v>0.294084239742307</v>
      </c>
      <c r="H55" s="71" t="n">
        <v>0.960383712140727</v>
      </c>
      <c r="I55" s="71" t="s">
        <v>178</v>
      </c>
      <c r="J55" s="70" t="s">
        <v>448</v>
      </c>
      <c r="K55" s="72"/>
      <c r="L55" s="73"/>
      <c r="M55" s="73"/>
      <c r="N55" s="71"/>
      <c r="O55" s="71"/>
      <c r="P55" s="71"/>
      <c r="Q55" s="71"/>
      <c r="R55" s="71"/>
      <c r="S55" s="71"/>
      <c r="T55" s="71"/>
      <c r="U55" s="71"/>
      <c r="V55" s="71"/>
      <c r="W55" s="73"/>
      <c r="X55" s="71"/>
      <c r="Y55" s="71"/>
      <c r="Z55" s="73"/>
      <c r="AA55" s="71"/>
      <c r="AB55" s="71"/>
      <c r="AC55" s="73"/>
      <c r="AD55" s="71"/>
      <c r="AE55" s="71"/>
    </row>
    <row r="56" customFormat="false" ht="15" hidden="false" customHeight="true" outlineLevel="0" collapsed="false">
      <c r="A56" s="69" t="n">
        <v>46308</v>
      </c>
      <c r="B56" s="70" t="s">
        <v>554</v>
      </c>
      <c r="C56" s="71" t="s">
        <v>555</v>
      </c>
      <c r="D56" s="71" t="n">
        <v>7.52</v>
      </c>
      <c r="E56" s="71" t="n">
        <v>7.52</v>
      </c>
      <c r="F56" s="71" t="n">
        <v>7.14</v>
      </c>
      <c r="G56" s="71" t="n">
        <v>0.291017475267032</v>
      </c>
      <c r="H56" s="71" t="n">
        <v>0.959675098192874</v>
      </c>
      <c r="I56" s="71" t="s">
        <v>178</v>
      </c>
      <c r="J56" s="70" t="s">
        <v>448</v>
      </c>
      <c r="K56" s="72"/>
      <c r="L56" s="73"/>
      <c r="M56" s="73"/>
      <c r="N56" s="71"/>
      <c r="O56" s="71"/>
      <c r="P56" s="71"/>
      <c r="Q56" s="71"/>
      <c r="R56" s="71"/>
      <c r="S56" s="71"/>
      <c r="T56" s="71"/>
      <c r="U56" s="71"/>
      <c r="V56" s="71"/>
      <c r="W56" s="73"/>
      <c r="X56" s="71"/>
      <c r="Y56" s="71"/>
      <c r="Z56" s="73"/>
      <c r="AA56" s="71"/>
      <c r="AB56" s="71"/>
      <c r="AC56" s="73"/>
      <c r="AD56" s="71"/>
      <c r="AE56" s="71"/>
    </row>
    <row r="57" customFormat="false" ht="15" hidden="false" customHeight="true" outlineLevel="0" collapsed="false">
      <c r="A57" s="69" t="n">
        <v>46308</v>
      </c>
      <c r="B57" s="70" t="s">
        <v>556</v>
      </c>
      <c r="C57" s="71" t="s">
        <v>557</v>
      </c>
      <c r="D57" s="71" t="n">
        <v>3.47</v>
      </c>
      <c r="E57" s="71" t="n">
        <v>3.47</v>
      </c>
      <c r="F57" s="71" t="n">
        <v>3.3</v>
      </c>
      <c r="G57" s="71" t="n">
        <v>0.208944566953115</v>
      </c>
      <c r="H57" s="71" t="n">
        <v>0.959029297170814</v>
      </c>
      <c r="I57" s="71" t="s">
        <v>178</v>
      </c>
      <c r="J57" s="70" t="s">
        <v>448</v>
      </c>
      <c r="K57" s="72"/>
      <c r="L57" s="73"/>
      <c r="M57" s="73"/>
      <c r="N57" s="71"/>
      <c r="O57" s="71"/>
      <c r="P57" s="71"/>
      <c r="Q57" s="71"/>
      <c r="R57" s="71"/>
      <c r="S57" s="71"/>
      <c r="T57" s="71"/>
      <c r="U57" s="71"/>
      <c r="V57" s="71"/>
      <c r="W57" s="73"/>
      <c r="X57" s="71"/>
      <c r="Y57" s="71"/>
      <c r="Z57" s="73"/>
      <c r="AA57" s="71"/>
      <c r="AB57" s="71"/>
      <c r="AC57" s="73"/>
      <c r="AD57" s="71"/>
      <c r="AE57" s="71"/>
    </row>
    <row r="58" customFormat="false" ht="15" hidden="false" customHeight="true" outlineLevel="0" collapsed="false">
      <c r="A58" s="69" t="n">
        <v>46308</v>
      </c>
      <c r="B58" s="70" t="s">
        <v>558</v>
      </c>
      <c r="C58" s="71" t="s">
        <v>559</v>
      </c>
      <c r="D58" s="71" t="n">
        <v>13.58</v>
      </c>
      <c r="E58" s="71" t="n">
        <v>13.58</v>
      </c>
      <c r="F58" s="71" t="n">
        <v>12.9</v>
      </c>
      <c r="G58" s="71" t="n">
        <v>0.289801254034208</v>
      </c>
      <c r="H58" s="71" t="n">
        <v>0.952398526668919</v>
      </c>
      <c r="I58" s="71" t="s">
        <v>178</v>
      </c>
      <c r="J58" s="70" t="s">
        <v>448</v>
      </c>
      <c r="K58" s="72"/>
      <c r="L58" s="73"/>
      <c r="M58" s="73"/>
      <c r="N58" s="71"/>
      <c r="O58" s="71"/>
      <c r="P58" s="71"/>
      <c r="Q58" s="71"/>
      <c r="R58" s="71"/>
      <c r="S58" s="71"/>
      <c r="T58" s="71"/>
      <c r="U58" s="71"/>
      <c r="V58" s="71"/>
      <c r="W58" s="73"/>
      <c r="X58" s="71"/>
      <c r="Y58" s="71"/>
      <c r="Z58" s="73"/>
      <c r="AA58" s="71"/>
      <c r="AB58" s="71"/>
      <c r="AC58" s="73"/>
      <c r="AD58" s="71"/>
      <c r="AE58" s="71"/>
    </row>
    <row r="59" customFormat="false" ht="15" hidden="false" customHeight="true" outlineLevel="0" collapsed="false">
      <c r="A59" s="69" t="n">
        <v>46308</v>
      </c>
      <c r="B59" s="70" t="s">
        <v>560</v>
      </c>
      <c r="C59" s="71" t="s">
        <v>561</v>
      </c>
      <c r="D59" s="71" t="n">
        <v>5.46</v>
      </c>
      <c r="E59" s="71" t="n">
        <v>5.46</v>
      </c>
      <c r="F59" s="71" t="n">
        <v>5.19</v>
      </c>
      <c r="G59" s="71" t="n">
        <v>0.212303280230793</v>
      </c>
      <c r="H59" s="71" t="n">
        <v>0.947557513116453</v>
      </c>
      <c r="I59" s="71" t="s">
        <v>178</v>
      </c>
      <c r="J59" s="70" t="s">
        <v>448</v>
      </c>
      <c r="K59" s="72"/>
      <c r="L59" s="73"/>
      <c r="M59" s="73"/>
      <c r="N59" s="71"/>
      <c r="O59" s="71"/>
      <c r="P59" s="71"/>
      <c r="Q59" s="71"/>
      <c r="R59" s="71"/>
      <c r="S59" s="71"/>
      <c r="T59" s="71"/>
      <c r="U59" s="71"/>
      <c r="V59" s="71"/>
      <c r="W59" s="73"/>
      <c r="X59" s="71"/>
      <c r="Y59" s="71"/>
      <c r="Z59" s="73"/>
      <c r="AA59" s="71"/>
      <c r="AB59" s="71"/>
      <c r="AC59" s="73"/>
      <c r="AD59" s="71"/>
      <c r="AE59" s="71"/>
    </row>
    <row r="60" customFormat="false" ht="15" hidden="false" customHeight="true" outlineLevel="0" collapsed="false">
      <c r="A60" s="69" t="n">
        <v>46308</v>
      </c>
      <c r="B60" s="70" t="s">
        <v>562</v>
      </c>
      <c r="C60" s="71" t="s">
        <v>563</v>
      </c>
      <c r="D60" s="71" t="n">
        <v>6.33</v>
      </c>
      <c r="E60" s="71" t="n">
        <v>6.33</v>
      </c>
      <c r="F60" s="71" t="n">
        <v>6.01</v>
      </c>
      <c r="G60" s="71" t="n">
        <v>0.251120494379933</v>
      </c>
      <c r="H60" s="71" t="n">
        <v>0.943817069117881</v>
      </c>
      <c r="I60" s="71" t="s">
        <v>178</v>
      </c>
      <c r="J60" s="70" t="s">
        <v>448</v>
      </c>
      <c r="K60" s="72"/>
      <c r="L60" s="73"/>
      <c r="M60" s="73"/>
      <c r="N60" s="71"/>
      <c r="O60" s="71"/>
      <c r="P60" s="71"/>
      <c r="Q60" s="71"/>
      <c r="R60" s="71"/>
      <c r="S60" s="71"/>
      <c r="T60" s="71"/>
      <c r="U60" s="71"/>
      <c r="V60" s="71"/>
      <c r="W60" s="73"/>
      <c r="X60" s="71"/>
      <c r="Y60" s="71"/>
      <c r="Z60" s="73"/>
      <c r="AA60" s="71"/>
      <c r="AB60" s="71"/>
      <c r="AC60" s="73"/>
      <c r="AD60" s="71"/>
      <c r="AE60" s="71"/>
    </row>
    <row r="61" customFormat="false" ht="15" hidden="false" customHeight="true" outlineLevel="0" collapsed="false">
      <c r="A61" s="69" t="n">
        <v>46308</v>
      </c>
      <c r="B61" s="70" t="s">
        <v>564</v>
      </c>
      <c r="C61" s="71" t="s">
        <v>565</v>
      </c>
      <c r="D61" s="71" t="n">
        <v>27.42</v>
      </c>
      <c r="E61" s="71" t="n">
        <v>27.42</v>
      </c>
      <c r="F61" s="71" t="n">
        <v>26.05</v>
      </c>
      <c r="G61" s="71" t="n">
        <v>0.279833666574689</v>
      </c>
      <c r="H61" s="71" t="n">
        <v>0.940863983461921</v>
      </c>
      <c r="I61" s="71" t="s">
        <v>178</v>
      </c>
      <c r="J61" s="70" t="s">
        <v>448</v>
      </c>
      <c r="K61" s="72"/>
      <c r="L61" s="73"/>
      <c r="M61" s="73"/>
      <c r="N61" s="71"/>
      <c r="O61" s="71"/>
      <c r="P61" s="71"/>
      <c r="Q61" s="71"/>
      <c r="R61" s="71"/>
      <c r="S61" s="71"/>
      <c r="T61" s="71"/>
      <c r="U61" s="71"/>
      <c r="V61" s="71"/>
      <c r="W61" s="73"/>
      <c r="X61" s="71"/>
      <c r="Y61" s="71"/>
      <c r="Z61" s="73"/>
      <c r="AA61" s="71"/>
      <c r="AB61" s="71"/>
      <c r="AC61" s="73"/>
      <c r="AD61" s="71"/>
      <c r="AE61" s="71"/>
    </row>
    <row r="62" customFormat="false" ht="15" hidden="false" customHeight="true" outlineLevel="0" collapsed="false">
      <c r="A62" s="69" t="n">
        <v>46308</v>
      </c>
      <c r="B62" s="70" t="s">
        <v>566</v>
      </c>
      <c r="C62" s="71" t="s">
        <v>567</v>
      </c>
      <c r="D62" s="71" t="n">
        <v>10.28</v>
      </c>
      <c r="E62" s="71" t="n">
        <v>10.28</v>
      </c>
      <c r="F62" s="71" t="n">
        <v>9.77</v>
      </c>
      <c r="G62" s="71" t="n">
        <v>0.297660812199639</v>
      </c>
      <c r="H62" s="71" t="n">
        <v>0.940369981451323</v>
      </c>
      <c r="I62" s="71" t="s">
        <v>178</v>
      </c>
      <c r="J62" s="70" t="s">
        <v>448</v>
      </c>
      <c r="K62" s="72"/>
      <c r="L62" s="73"/>
      <c r="M62" s="73"/>
      <c r="N62" s="71"/>
      <c r="O62" s="71"/>
      <c r="P62" s="71"/>
      <c r="Q62" s="71"/>
      <c r="R62" s="71"/>
      <c r="S62" s="71"/>
      <c r="T62" s="71"/>
      <c r="U62" s="71"/>
      <c r="V62" s="71"/>
      <c r="W62" s="73"/>
      <c r="X62" s="71"/>
      <c r="Y62" s="71"/>
      <c r="Z62" s="73"/>
      <c r="AA62" s="71"/>
      <c r="AB62" s="71"/>
      <c r="AC62" s="73"/>
      <c r="AD62" s="71"/>
      <c r="AE62" s="71"/>
    </row>
    <row r="63" customFormat="false" ht="15" hidden="false" customHeight="true" outlineLevel="0" collapsed="false">
      <c r="A63" s="69" t="n">
        <v>46308</v>
      </c>
      <c r="B63" s="70" t="s">
        <v>568</v>
      </c>
      <c r="C63" s="71" t="s">
        <v>569</v>
      </c>
      <c r="D63" s="71" t="n">
        <v>9.27</v>
      </c>
      <c r="E63" s="71" t="n">
        <v>9.27</v>
      </c>
      <c r="F63" s="71" t="n">
        <v>8.81</v>
      </c>
      <c r="G63" s="71" t="n">
        <v>0.229953628685383</v>
      </c>
      <c r="H63" s="71" t="n">
        <v>0.940104771911303</v>
      </c>
      <c r="I63" s="71" t="s">
        <v>178</v>
      </c>
      <c r="J63" s="70" t="s">
        <v>448</v>
      </c>
      <c r="K63" s="72"/>
      <c r="L63" s="73"/>
      <c r="M63" s="73"/>
      <c r="N63" s="71"/>
      <c r="O63" s="71"/>
      <c r="P63" s="71"/>
      <c r="Q63" s="71"/>
      <c r="R63" s="71"/>
      <c r="S63" s="71"/>
      <c r="T63" s="71"/>
      <c r="U63" s="71"/>
      <c r="V63" s="71"/>
      <c r="W63" s="73"/>
      <c r="X63" s="71"/>
      <c r="Y63" s="71"/>
      <c r="Z63" s="73"/>
      <c r="AA63" s="71"/>
      <c r="AB63" s="71"/>
      <c r="AC63" s="73"/>
      <c r="AD63" s="71"/>
      <c r="AE63" s="71"/>
    </row>
    <row r="64" customFormat="false" ht="15" hidden="false" customHeight="true" outlineLevel="0" collapsed="false">
      <c r="A64" s="69" t="n">
        <v>46308</v>
      </c>
      <c r="B64" s="70" t="s">
        <v>570</v>
      </c>
      <c r="C64" s="71" t="s">
        <v>571</v>
      </c>
      <c r="D64" s="71" t="n">
        <v>17.84</v>
      </c>
      <c r="E64" s="71" t="n">
        <v>17.84</v>
      </c>
      <c r="F64" s="71" t="n">
        <v>16.95</v>
      </c>
      <c r="G64" s="71" t="n">
        <v>0.240635139761599</v>
      </c>
      <c r="H64" s="71" t="n">
        <v>0.939080436420532</v>
      </c>
      <c r="I64" s="71" t="s">
        <v>178</v>
      </c>
      <c r="J64" s="70" t="s">
        <v>448</v>
      </c>
      <c r="K64" s="72"/>
      <c r="L64" s="73"/>
      <c r="M64" s="73"/>
      <c r="N64" s="71"/>
      <c r="O64" s="71"/>
      <c r="P64" s="71"/>
      <c r="Q64" s="71"/>
      <c r="R64" s="71"/>
      <c r="S64" s="71"/>
      <c r="T64" s="71"/>
      <c r="U64" s="71"/>
      <c r="V64" s="71"/>
      <c r="W64" s="73"/>
      <c r="X64" s="71"/>
      <c r="Y64" s="71"/>
      <c r="Z64" s="73"/>
      <c r="AA64" s="71"/>
      <c r="AB64" s="71"/>
      <c r="AC64" s="73"/>
      <c r="AD64" s="71"/>
      <c r="AE64" s="71"/>
    </row>
    <row r="65" customFormat="false" ht="15" hidden="false" customHeight="true" outlineLevel="0" collapsed="false">
      <c r="A65" s="69" t="n">
        <v>46308</v>
      </c>
      <c r="B65" s="70" t="s">
        <v>572</v>
      </c>
      <c r="C65" s="71" t="s">
        <v>573</v>
      </c>
      <c r="D65" s="71" t="n">
        <v>16.3</v>
      </c>
      <c r="E65" s="71" t="n">
        <v>16.3</v>
      </c>
      <c r="F65" s="71" t="n">
        <v>15.48</v>
      </c>
      <c r="G65" s="71" t="n">
        <v>0.242997227820964</v>
      </c>
      <c r="H65" s="71" t="n">
        <v>0.935341670265219</v>
      </c>
      <c r="I65" s="71" t="s">
        <v>178</v>
      </c>
      <c r="J65" s="70" t="s">
        <v>448</v>
      </c>
      <c r="K65" s="72"/>
      <c r="L65" s="73"/>
      <c r="M65" s="73"/>
      <c r="N65" s="71"/>
      <c r="O65" s="71"/>
      <c r="P65" s="71"/>
      <c r="Q65" s="71"/>
      <c r="R65" s="71"/>
      <c r="S65" s="71"/>
      <c r="T65" s="71"/>
      <c r="U65" s="71"/>
      <c r="V65" s="71"/>
      <c r="W65" s="73"/>
      <c r="X65" s="71"/>
      <c r="Y65" s="71"/>
      <c r="Z65" s="73"/>
      <c r="AA65" s="71"/>
      <c r="AB65" s="71"/>
      <c r="AC65" s="73"/>
      <c r="AD65" s="71"/>
      <c r="AE65" s="71"/>
    </row>
    <row r="66" customFormat="false" ht="15" hidden="false" customHeight="true" outlineLevel="0" collapsed="false">
      <c r="A66" s="69" t="n">
        <v>46308</v>
      </c>
      <c r="B66" s="70" t="s">
        <v>574</v>
      </c>
      <c r="C66" s="71" t="s">
        <v>575</v>
      </c>
      <c r="D66" s="71" t="n">
        <v>2.91</v>
      </c>
      <c r="E66" s="71" t="n">
        <v>2.91</v>
      </c>
      <c r="F66" s="71" t="n">
        <v>2.76</v>
      </c>
      <c r="G66" s="71" t="n">
        <v>0.299148895981398</v>
      </c>
      <c r="H66" s="71" t="n">
        <v>0.930072138815633</v>
      </c>
      <c r="I66" s="71" t="s">
        <v>178</v>
      </c>
      <c r="J66" s="70" t="s">
        <v>448</v>
      </c>
      <c r="K66" s="72"/>
      <c r="L66" s="73"/>
      <c r="M66" s="73"/>
      <c r="N66" s="71"/>
      <c r="O66" s="71"/>
      <c r="P66" s="71"/>
      <c r="Q66" s="71"/>
      <c r="R66" s="71"/>
      <c r="S66" s="71"/>
      <c r="T66" s="71"/>
      <c r="U66" s="71"/>
      <c r="V66" s="71"/>
      <c r="W66" s="73"/>
      <c r="X66" s="71"/>
      <c r="Y66" s="71"/>
      <c r="Z66" s="73"/>
      <c r="AA66" s="71"/>
      <c r="AB66" s="71"/>
      <c r="AC66" s="73"/>
      <c r="AD66" s="71"/>
      <c r="AE66" s="71"/>
    </row>
    <row r="67" customFormat="false" ht="15" hidden="false" customHeight="true" outlineLevel="0" collapsed="false">
      <c r="A67" s="69" t="n">
        <v>46308</v>
      </c>
      <c r="B67" s="70" t="s">
        <v>576</v>
      </c>
      <c r="C67" s="71" t="s">
        <v>577</v>
      </c>
      <c r="D67" s="71" t="n">
        <v>3.57</v>
      </c>
      <c r="E67" s="71" t="n">
        <v>3.57</v>
      </c>
      <c r="F67" s="71" t="n">
        <v>3.39</v>
      </c>
      <c r="G67" s="71" t="n">
        <v>0.21650563402997</v>
      </c>
      <c r="H67" s="71" t="n">
        <v>0.928826081224529</v>
      </c>
      <c r="I67" s="71" t="s">
        <v>178</v>
      </c>
      <c r="J67" s="70" t="s">
        <v>448</v>
      </c>
      <c r="K67" s="72"/>
      <c r="L67" s="73"/>
      <c r="M67" s="73"/>
      <c r="N67" s="71"/>
      <c r="O67" s="71"/>
      <c r="P67" s="71"/>
      <c r="Q67" s="71"/>
      <c r="R67" s="71"/>
      <c r="S67" s="71"/>
      <c r="T67" s="71"/>
      <c r="U67" s="71"/>
      <c r="V67" s="71"/>
      <c r="W67" s="73"/>
      <c r="X67" s="71"/>
      <c r="Y67" s="71"/>
      <c r="Z67" s="73"/>
      <c r="AA67" s="71"/>
      <c r="AB67" s="71"/>
      <c r="AC67" s="73"/>
      <c r="AD67" s="71"/>
      <c r="AE67" s="71"/>
    </row>
    <row r="68" customFormat="false" ht="15" hidden="false" customHeight="true" outlineLevel="0" collapsed="false">
      <c r="A68" s="69" t="n">
        <v>46308</v>
      </c>
      <c r="B68" s="70" t="s">
        <v>578</v>
      </c>
      <c r="C68" s="71" t="s">
        <v>579</v>
      </c>
      <c r="D68" s="71" t="n">
        <v>3.39</v>
      </c>
      <c r="E68" s="71" t="n">
        <v>3.39</v>
      </c>
      <c r="F68" s="71" t="n">
        <v>3.22</v>
      </c>
      <c r="G68" s="71" t="n">
        <v>0.264120452382403</v>
      </c>
      <c r="H68" s="71" t="n">
        <v>0.928107906898436</v>
      </c>
      <c r="I68" s="71" t="s">
        <v>178</v>
      </c>
      <c r="J68" s="70" t="s">
        <v>448</v>
      </c>
      <c r="K68" s="72"/>
      <c r="L68" s="73"/>
      <c r="M68" s="73"/>
      <c r="N68" s="71"/>
      <c r="O68" s="71"/>
      <c r="P68" s="71"/>
      <c r="Q68" s="71"/>
      <c r="R68" s="71"/>
      <c r="S68" s="71"/>
      <c r="T68" s="71"/>
      <c r="U68" s="71"/>
      <c r="V68" s="71"/>
      <c r="W68" s="73"/>
      <c r="X68" s="71"/>
      <c r="Y68" s="71"/>
      <c r="Z68" s="73"/>
      <c r="AA68" s="71"/>
      <c r="AB68" s="71"/>
      <c r="AC68" s="73"/>
      <c r="AD68" s="71"/>
      <c r="AE68" s="71"/>
    </row>
    <row r="69" customFormat="false" ht="15" hidden="false" customHeight="true" outlineLevel="0" collapsed="false">
      <c r="A69" s="69" t="n">
        <v>46308</v>
      </c>
      <c r="B69" s="70" t="s">
        <v>580</v>
      </c>
      <c r="C69" s="71" t="s">
        <v>581</v>
      </c>
      <c r="D69" s="71" t="n">
        <v>12.44</v>
      </c>
      <c r="E69" s="71" t="n">
        <v>12.44</v>
      </c>
      <c r="F69" s="71" t="n">
        <v>11.82</v>
      </c>
      <c r="G69" s="71" t="n">
        <v>0.228618610405899</v>
      </c>
      <c r="H69" s="71" t="n">
        <v>0.925847030401384</v>
      </c>
      <c r="I69" s="71" t="s">
        <v>178</v>
      </c>
      <c r="J69" s="70" t="s">
        <v>448</v>
      </c>
      <c r="K69" s="72"/>
      <c r="L69" s="73"/>
      <c r="M69" s="73"/>
      <c r="N69" s="71"/>
      <c r="O69" s="71"/>
      <c r="P69" s="71"/>
      <c r="Q69" s="71"/>
      <c r="R69" s="71"/>
      <c r="S69" s="71"/>
      <c r="T69" s="71"/>
      <c r="U69" s="71"/>
      <c r="V69" s="71"/>
      <c r="W69" s="73"/>
      <c r="X69" s="71"/>
      <c r="Y69" s="71"/>
      <c r="Z69" s="73"/>
      <c r="AA69" s="71"/>
      <c r="AB69" s="71"/>
      <c r="AC69" s="73"/>
      <c r="AD69" s="71"/>
      <c r="AE69" s="71"/>
    </row>
    <row r="70" customFormat="false" ht="15" hidden="false" customHeight="true" outlineLevel="0" collapsed="false">
      <c r="A70" s="69" t="n">
        <v>46308</v>
      </c>
      <c r="B70" s="70" t="s">
        <v>582</v>
      </c>
      <c r="C70" s="71" t="s">
        <v>583</v>
      </c>
      <c r="D70" s="71" t="n">
        <v>14.92</v>
      </c>
      <c r="E70" s="71" t="n">
        <v>14.92</v>
      </c>
      <c r="F70" s="71" t="n">
        <v>14.17</v>
      </c>
      <c r="G70" s="71" t="n">
        <v>0.209620813697512</v>
      </c>
      <c r="H70" s="71" t="n">
        <v>0.922266020518082</v>
      </c>
      <c r="I70" s="71" t="s">
        <v>178</v>
      </c>
      <c r="J70" s="70" t="s">
        <v>448</v>
      </c>
      <c r="K70" s="72"/>
      <c r="L70" s="73"/>
      <c r="M70" s="73"/>
      <c r="N70" s="71"/>
      <c r="O70" s="71"/>
      <c r="P70" s="71"/>
      <c r="Q70" s="71"/>
      <c r="R70" s="71"/>
      <c r="S70" s="71"/>
      <c r="T70" s="71"/>
      <c r="U70" s="71"/>
      <c r="V70" s="71"/>
      <c r="W70" s="73"/>
      <c r="X70" s="71"/>
      <c r="Y70" s="71"/>
      <c r="Z70" s="73"/>
      <c r="AA70" s="71"/>
      <c r="AB70" s="71"/>
      <c r="AC70" s="73"/>
      <c r="AD70" s="71"/>
      <c r="AE70" s="71"/>
    </row>
    <row r="71" customFormat="false" ht="15" hidden="false" customHeight="true" outlineLevel="0" collapsed="false">
      <c r="A71" s="69" t="n">
        <v>46308</v>
      </c>
      <c r="B71" s="70" t="s">
        <v>584</v>
      </c>
      <c r="C71" s="71" t="s">
        <v>585</v>
      </c>
      <c r="D71" s="71" t="n">
        <v>2.4</v>
      </c>
      <c r="E71" s="71" t="n">
        <v>2.4</v>
      </c>
      <c r="F71" s="71" t="n">
        <v>2.28</v>
      </c>
      <c r="G71" s="71" t="n">
        <v>0.238564070582321</v>
      </c>
      <c r="H71" s="71" t="n">
        <v>0.920736291796594</v>
      </c>
      <c r="I71" s="71" t="s">
        <v>178</v>
      </c>
      <c r="J71" s="70" t="s">
        <v>448</v>
      </c>
      <c r="K71" s="72"/>
      <c r="L71" s="73"/>
      <c r="M71" s="73"/>
      <c r="N71" s="71"/>
      <c r="O71" s="71"/>
      <c r="P71" s="71"/>
      <c r="Q71" s="71"/>
      <c r="R71" s="71"/>
      <c r="S71" s="71"/>
      <c r="T71" s="71"/>
      <c r="U71" s="71"/>
      <c r="V71" s="71"/>
      <c r="W71" s="73"/>
      <c r="X71" s="71"/>
      <c r="Y71" s="71"/>
      <c r="Z71" s="73"/>
      <c r="AA71" s="71"/>
      <c r="AB71" s="71"/>
      <c r="AC71" s="73"/>
      <c r="AD71" s="71"/>
      <c r="AE71" s="71"/>
    </row>
    <row r="72" customFormat="false" ht="15" hidden="false" customHeight="true" outlineLevel="0" collapsed="false">
      <c r="A72" s="69" t="n">
        <v>46308</v>
      </c>
      <c r="B72" s="70" t="s">
        <v>586</v>
      </c>
      <c r="C72" s="71" t="s">
        <v>587</v>
      </c>
      <c r="D72" s="71" t="n">
        <v>37.4</v>
      </c>
      <c r="E72" s="71" t="n">
        <v>37.4</v>
      </c>
      <c r="F72" s="71" t="n">
        <v>35.53</v>
      </c>
      <c r="G72" s="71" t="n">
        <v>0.201867329128259</v>
      </c>
      <c r="H72" s="71" t="n">
        <v>0.92057759325125</v>
      </c>
      <c r="I72" s="71" t="s">
        <v>178</v>
      </c>
      <c r="J72" s="70" t="s">
        <v>448</v>
      </c>
      <c r="K72" s="72"/>
      <c r="L72" s="73"/>
      <c r="M72" s="73"/>
      <c r="N72" s="71"/>
      <c r="O72" s="71"/>
      <c r="P72" s="71"/>
      <c r="Q72" s="71"/>
      <c r="R72" s="71"/>
      <c r="S72" s="71"/>
      <c r="T72" s="71"/>
      <c r="U72" s="71"/>
      <c r="V72" s="71"/>
      <c r="W72" s="73"/>
      <c r="X72" s="71"/>
      <c r="Y72" s="71"/>
      <c r="Z72" s="73"/>
      <c r="AA72" s="71"/>
      <c r="AB72" s="71"/>
      <c r="AC72" s="73"/>
      <c r="AD72" s="71"/>
      <c r="AE72" s="71"/>
    </row>
    <row r="73" customFormat="false" ht="15" hidden="false" customHeight="true" outlineLevel="0" collapsed="false">
      <c r="A73" s="69" t="n">
        <v>46308</v>
      </c>
      <c r="B73" s="70" t="s">
        <v>588</v>
      </c>
      <c r="C73" s="71" t="s">
        <v>589</v>
      </c>
      <c r="D73" s="71" t="n">
        <v>3.36</v>
      </c>
      <c r="E73" s="71" t="n">
        <v>3.36</v>
      </c>
      <c r="F73" s="71" t="n">
        <v>3.19</v>
      </c>
      <c r="G73" s="71" t="n">
        <v>0.253507659648654</v>
      </c>
      <c r="H73" s="71" t="n">
        <v>0.917701747085188</v>
      </c>
      <c r="I73" s="71" t="s">
        <v>178</v>
      </c>
      <c r="J73" s="70" t="s">
        <v>448</v>
      </c>
      <c r="K73" s="72"/>
      <c r="L73" s="73"/>
      <c r="M73" s="73"/>
      <c r="N73" s="71"/>
      <c r="O73" s="71"/>
      <c r="P73" s="71"/>
      <c r="Q73" s="71"/>
      <c r="R73" s="71"/>
      <c r="S73" s="71"/>
      <c r="T73" s="71"/>
      <c r="U73" s="71"/>
      <c r="V73" s="71"/>
      <c r="W73" s="73"/>
      <c r="X73" s="71"/>
      <c r="Y73" s="71"/>
      <c r="Z73" s="73"/>
      <c r="AA73" s="71"/>
      <c r="AB73" s="71"/>
      <c r="AC73" s="73"/>
      <c r="AD73" s="71"/>
      <c r="AE73" s="71"/>
    </row>
    <row r="74" customFormat="false" ht="15" hidden="false" customHeight="true" outlineLevel="0" collapsed="false">
      <c r="A74" s="69" t="n">
        <v>46308</v>
      </c>
      <c r="B74" s="70" t="s">
        <v>590</v>
      </c>
      <c r="C74" s="71" t="s">
        <v>591</v>
      </c>
      <c r="D74" s="71" t="n">
        <v>25.8</v>
      </c>
      <c r="E74" s="71" t="n">
        <v>25.8</v>
      </c>
      <c r="F74" s="71" t="n">
        <v>24.51</v>
      </c>
      <c r="G74" s="71" t="n">
        <v>0.261608142378789</v>
      </c>
      <c r="H74" s="71" t="n">
        <v>0.914848510609541</v>
      </c>
      <c r="I74" s="71" t="s">
        <v>178</v>
      </c>
      <c r="J74" s="70" t="s">
        <v>448</v>
      </c>
      <c r="K74" s="72"/>
      <c r="L74" s="73"/>
      <c r="M74" s="73"/>
      <c r="N74" s="71"/>
      <c r="O74" s="71"/>
      <c r="P74" s="71"/>
      <c r="Q74" s="71"/>
      <c r="R74" s="71"/>
      <c r="S74" s="71"/>
      <c r="T74" s="71"/>
      <c r="U74" s="71"/>
      <c r="V74" s="71"/>
      <c r="W74" s="73"/>
      <c r="X74" s="71"/>
      <c r="Y74" s="71"/>
      <c r="Z74" s="73"/>
      <c r="AA74" s="71"/>
      <c r="AB74" s="71"/>
      <c r="AC74" s="73"/>
      <c r="AD74" s="71"/>
      <c r="AE74" s="71"/>
    </row>
    <row r="75" customFormat="false" ht="15" hidden="false" customHeight="true" outlineLevel="0" collapsed="false">
      <c r="A75" s="69" t="n">
        <v>46308</v>
      </c>
      <c r="B75" s="70" t="s">
        <v>592</v>
      </c>
      <c r="C75" s="71" t="s">
        <v>593</v>
      </c>
      <c r="D75" s="71" t="n">
        <v>15.47</v>
      </c>
      <c r="E75" s="71" t="n">
        <v>15.47</v>
      </c>
      <c r="F75" s="71" t="n">
        <v>14.7</v>
      </c>
      <c r="G75" s="71" t="n">
        <v>0.28479738127654</v>
      </c>
      <c r="H75" s="71" t="n">
        <v>0.914308514813928</v>
      </c>
      <c r="I75" s="71" t="s">
        <v>178</v>
      </c>
      <c r="J75" s="70" t="s">
        <v>448</v>
      </c>
      <c r="K75" s="72"/>
      <c r="L75" s="73"/>
      <c r="M75" s="73"/>
      <c r="N75" s="71"/>
      <c r="O75" s="71"/>
      <c r="P75" s="71"/>
      <c r="Q75" s="71"/>
      <c r="R75" s="71"/>
      <c r="S75" s="71"/>
      <c r="T75" s="71"/>
      <c r="U75" s="71"/>
      <c r="V75" s="71"/>
      <c r="W75" s="73"/>
      <c r="X75" s="71"/>
      <c r="Y75" s="71"/>
      <c r="Z75" s="73"/>
      <c r="AA75" s="71"/>
      <c r="AB75" s="71"/>
      <c r="AC75" s="73"/>
      <c r="AD75" s="71"/>
      <c r="AE75" s="71"/>
    </row>
    <row r="76" customFormat="false" ht="15" hidden="false" customHeight="true" outlineLevel="0" collapsed="false">
      <c r="A76" s="69" t="n">
        <v>46308</v>
      </c>
      <c r="B76" s="70" t="s">
        <v>594</v>
      </c>
      <c r="C76" s="71" t="s">
        <v>595</v>
      </c>
      <c r="D76" s="71" t="n">
        <v>7.47</v>
      </c>
      <c r="E76" s="71" t="n">
        <v>7.47</v>
      </c>
      <c r="F76" s="71" t="n">
        <v>7.1</v>
      </c>
      <c r="G76" s="71" t="n">
        <v>0.217926402505665</v>
      </c>
      <c r="H76" s="71" t="n">
        <v>0.913799320608353</v>
      </c>
      <c r="I76" s="71" t="s">
        <v>178</v>
      </c>
      <c r="J76" s="70" t="s">
        <v>448</v>
      </c>
      <c r="K76" s="72"/>
      <c r="L76" s="73"/>
      <c r="M76" s="73"/>
      <c r="N76" s="71"/>
      <c r="O76" s="71"/>
      <c r="P76" s="71"/>
      <c r="Q76" s="71"/>
      <c r="R76" s="71"/>
      <c r="S76" s="71"/>
      <c r="T76" s="71"/>
      <c r="U76" s="71"/>
      <c r="V76" s="71"/>
      <c r="W76" s="73"/>
      <c r="X76" s="71"/>
      <c r="Y76" s="71"/>
      <c r="Z76" s="73"/>
      <c r="AA76" s="71"/>
      <c r="AB76" s="71"/>
      <c r="AC76" s="73"/>
      <c r="AD76" s="71"/>
      <c r="AE76" s="71"/>
    </row>
    <row r="77" customFormat="false" ht="15" hidden="false" customHeight="true" outlineLevel="0" collapsed="false">
      <c r="A77" s="69" t="n">
        <v>46308</v>
      </c>
      <c r="B77" s="70" t="s">
        <v>596</v>
      </c>
      <c r="C77" s="71" t="s">
        <v>597</v>
      </c>
      <c r="D77" s="71" t="n">
        <v>15.96</v>
      </c>
      <c r="E77" s="71" t="n">
        <v>15.96</v>
      </c>
      <c r="F77" s="71" t="n">
        <v>15.16</v>
      </c>
      <c r="G77" s="71" t="n">
        <v>0.235329757639779</v>
      </c>
      <c r="H77" s="71" t="n">
        <v>0.904947691900216</v>
      </c>
      <c r="I77" s="71" t="s">
        <v>178</v>
      </c>
      <c r="J77" s="70" t="s">
        <v>448</v>
      </c>
      <c r="K77" s="72"/>
      <c r="L77" s="73"/>
      <c r="M77" s="73"/>
      <c r="N77" s="71"/>
      <c r="O77" s="71"/>
      <c r="P77" s="71"/>
      <c r="Q77" s="71"/>
      <c r="R77" s="71"/>
      <c r="S77" s="71"/>
      <c r="T77" s="71"/>
      <c r="U77" s="71"/>
      <c r="V77" s="71"/>
      <c r="W77" s="73"/>
      <c r="X77" s="71"/>
      <c r="Y77" s="71"/>
      <c r="Z77" s="73"/>
      <c r="AA77" s="71"/>
      <c r="AB77" s="71"/>
      <c r="AC77" s="73"/>
      <c r="AD77" s="71"/>
      <c r="AE77" s="71"/>
    </row>
    <row r="78" customFormat="false" ht="15" hidden="false" customHeight="true" outlineLevel="0" collapsed="false">
      <c r="A78" s="69" t="n">
        <v>46308</v>
      </c>
      <c r="B78" s="70" t="s">
        <v>598</v>
      </c>
      <c r="C78" s="71" t="s">
        <v>599</v>
      </c>
      <c r="D78" s="71" t="n">
        <v>3.11</v>
      </c>
      <c r="E78" s="71" t="n">
        <v>3.11</v>
      </c>
      <c r="F78" s="71" t="n">
        <v>2.95</v>
      </c>
      <c r="G78" s="71" t="n">
        <v>0.227476539329857</v>
      </c>
      <c r="H78" s="71" t="n">
        <v>0.902227375054383</v>
      </c>
      <c r="I78" s="71" t="s">
        <v>178</v>
      </c>
      <c r="J78" s="70" t="s">
        <v>448</v>
      </c>
      <c r="K78" s="72"/>
      <c r="L78" s="73"/>
      <c r="M78" s="73"/>
      <c r="N78" s="71"/>
      <c r="O78" s="71"/>
      <c r="P78" s="71"/>
      <c r="Q78" s="71"/>
      <c r="R78" s="71"/>
      <c r="S78" s="71"/>
      <c r="T78" s="71"/>
      <c r="U78" s="71"/>
      <c r="V78" s="71"/>
      <c r="W78" s="73"/>
      <c r="X78" s="71"/>
      <c r="Y78" s="71"/>
      <c r="Z78" s="73"/>
      <c r="AA78" s="71"/>
      <c r="AB78" s="71"/>
      <c r="AC78" s="73"/>
      <c r="AD78" s="71"/>
      <c r="AE78" s="71"/>
    </row>
    <row r="79" customFormat="false" ht="15" hidden="false" customHeight="true" outlineLevel="0" collapsed="false">
      <c r="A79" s="69" t="n">
        <v>46308</v>
      </c>
      <c r="B79" s="70" t="s">
        <v>600</v>
      </c>
      <c r="C79" s="71" t="s">
        <v>601</v>
      </c>
      <c r="D79" s="71" t="n">
        <v>15.6</v>
      </c>
      <c r="E79" s="71" t="n">
        <v>15.6</v>
      </c>
      <c r="F79" s="71" t="n">
        <v>14.82</v>
      </c>
      <c r="G79" s="71" t="n">
        <v>0.282773921675217</v>
      </c>
      <c r="H79" s="71" t="n">
        <v>0.894677879152818</v>
      </c>
      <c r="I79" s="71" t="s">
        <v>178</v>
      </c>
      <c r="J79" s="70" t="s">
        <v>448</v>
      </c>
      <c r="K79" s="72"/>
      <c r="L79" s="73"/>
      <c r="M79" s="73"/>
      <c r="N79" s="71"/>
      <c r="O79" s="71"/>
      <c r="P79" s="71"/>
      <c r="Q79" s="71"/>
      <c r="R79" s="71"/>
      <c r="S79" s="71"/>
      <c r="T79" s="71"/>
      <c r="U79" s="71"/>
      <c r="V79" s="71"/>
      <c r="W79" s="73"/>
      <c r="X79" s="71"/>
      <c r="Y79" s="71"/>
      <c r="Z79" s="73"/>
      <c r="AA79" s="71"/>
      <c r="AB79" s="71"/>
      <c r="AC79" s="73"/>
      <c r="AD79" s="71"/>
      <c r="AE79" s="71"/>
    </row>
    <row r="80" customFormat="false" ht="15" hidden="false" customHeight="true" outlineLevel="0" collapsed="false">
      <c r="A80" s="69" t="n">
        <v>46308</v>
      </c>
      <c r="B80" s="70" t="s">
        <v>602</v>
      </c>
      <c r="C80" s="71" t="s">
        <v>603</v>
      </c>
      <c r="D80" s="71" t="n">
        <v>26.46</v>
      </c>
      <c r="E80" s="71" t="n">
        <v>26.46</v>
      </c>
      <c r="F80" s="71" t="n">
        <v>25.14</v>
      </c>
      <c r="G80" s="71" t="n">
        <v>0.206303589003469</v>
      </c>
      <c r="H80" s="71" t="n">
        <v>0.893658839070552</v>
      </c>
      <c r="I80" s="71" t="s">
        <v>178</v>
      </c>
      <c r="J80" s="70" t="s">
        <v>448</v>
      </c>
      <c r="K80" s="72"/>
      <c r="L80" s="73"/>
      <c r="M80" s="73"/>
      <c r="N80" s="71"/>
      <c r="O80" s="71"/>
      <c r="P80" s="71"/>
      <c r="Q80" s="71"/>
      <c r="R80" s="71"/>
      <c r="S80" s="71"/>
      <c r="T80" s="71"/>
      <c r="U80" s="71"/>
      <c r="V80" s="71"/>
      <c r="W80" s="73"/>
      <c r="X80" s="71"/>
      <c r="Y80" s="71"/>
      <c r="Z80" s="73"/>
      <c r="AA80" s="71"/>
      <c r="AB80" s="71"/>
      <c r="AC80" s="73"/>
      <c r="AD80" s="71"/>
      <c r="AE80" s="71"/>
    </row>
    <row r="81" customFormat="false" ht="15" hidden="false" customHeight="true" outlineLevel="0" collapsed="false">
      <c r="A81" s="69" t="n">
        <v>46308</v>
      </c>
      <c r="B81" s="71" t="s">
        <v>604</v>
      </c>
      <c r="C81" s="71" t="s">
        <v>605</v>
      </c>
      <c r="D81" s="71" t="n">
        <v>9.32</v>
      </c>
      <c r="E81" s="71" t="n">
        <v>9.32</v>
      </c>
      <c r="F81" s="71" t="n">
        <v>8.85</v>
      </c>
      <c r="G81" s="71" t="n">
        <v>0.256318444274973</v>
      </c>
      <c r="H81" s="71" t="n">
        <v>0.892855565448948</v>
      </c>
      <c r="I81" s="71" t="s">
        <v>178</v>
      </c>
      <c r="J81" s="70" t="s">
        <v>448</v>
      </c>
      <c r="K81" s="72"/>
      <c r="L81" s="73"/>
      <c r="M81" s="73"/>
      <c r="N81" s="71"/>
      <c r="O81" s="71"/>
      <c r="P81" s="71"/>
      <c r="Q81" s="71"/>
      <c r="R81" s="71"/>
      <c r="S81" s="71"/>
      <c r="T81" s="71"/>
      <c r="U81" s="71"/>
      <c r="V81" s="71"/>
      <c r="W81" s="73"/>
      <c r="X81" s="71"/>
      <c r="Y81" s="71"/>
      <c r="Z81" s="73"/>
      <c r="AA81" s="71"/>
      <c r="AB81" s="71"/>
      <c r="AC81" s="73"/>
      <c r="AD81" s="71"/>
      <c r="AE81" s="71"/>
    </row>
    <row r="82" customFormat="false" ht="15" hidden="false" customHeight="true" outlineLevel="0" collapsed="false">
      <c r="A82" s="69" t="n">
        <v>46308</v>
      </c>
      <c r="B82" s="70" t="s">
        <v>606</v>
      </c>
      <c r="C82" s="71" t="s">
        <v>607</v>
      </c>
      <c r="D82" s="71" t="n">
        <v>13.4</v>
      </c>
      <c r="E82" s="71" t="n">
        <v>13.4</v>
      </c>
      <c r="F82" s="71" t="n">
        <v>12.73</v>
      </c>
      <c r="G82" s="71" t="n">
        <v>0.174179060066165</v>
      </c>
      <c r="H82" s="71" t="n">
        <v>0.892282982657241</v>
      </c>
      <c r="I82" s="71" t="s">
        <v>178</v>
      </c>
      <c r="J82" s="70" t="s">
        <v>448</v>
      </c>
      <c r="K82" s="72"/>
      <c r="L82" s="73"/>
      <c r="M82" s="73"/>
      <c r="N82" s="71"/>
      <c r="O82" s="71"/>
      <c r="P82" s="71"/>
      <c r="Q82" s="71"/>
      <c r="R82" s="71"/>
      <c r="S82" s="71"/>
      <c r="T82" s="71"/>
      <c r="U82" s="71"/>
      <c r="V82" s="71"/>
      <c r="W82" s="73"/>
      <c r="X82" s="71"/>
      <c r="Y82" s="71"/>
      <c r="Z82" s="73"/>
      <c r="AA82" s="71"/>
      <c r="AB82" s="71"/>
      <c r="AC82" s="73"/>
      <c r="AD82" s="71"/>
      <c r="AE82" s="71"/>
    </row>
    <row r="83" customFormat="false" ht="15" hidden="false" customHeight="true" outlineLevel="0" collapsed="false">
      <c r="A83" s="69" t="n">
        <v>46308</v>
      </c>
      <c r="B83" s="70" t="s">
        <v>608</v>
      </c>
      <c r="C83" s="71" t="s">
        <v>609</v>
      </c>
      <c r="D83" s="71" t="n">
        <v>48.95</v>
      </c>
      <c r="E83" s="71" t="n">
        <v>48.95</v>
      </c>
      <c r="F83" s="71" t="n">
        <v>46.5</v>
      </c>
      <c r="G83" s="71" t="n">
        <v>0.20999190772802</v>
      </c>
      <c r="H83" s="71" t="n">
        <v>0.892147068297091</v>
      </c>
      <c r="I83" s="71" t="s">
        <v>178</v>
      </c>
      <c r="J83" s="70" t="s">
        <v>448</v>
      </c>
      <c r="K83" s="72"/>
      <c r="L83" s="73"/>
      <c r="M83" s="73"/>
      <c r="N83" s="71"/>
      <c r="O83" s="71"/>
      <c r="P83" s="71"/>
      <c r="Q83" s="71"/>
      <c r="R83" s="71"/>
      <c r="S83" s="71"/>
      <c r="T83" s="71"/>
      <c r="U83" s="71"/>
      <c r="V83" s="71"/>
      <c r="W83" s="73"/>
      <c r="X83" s="71"/>
      <c r="Y83" s="71"/>
      <c r="Z83" s="73"/>
      <c r="AA83" s="71"/>
      <c r="AB83" s="71"/>
      <c r="AC83" s="73"/>
      <c r="AD83" s="71"/>
      <c r="AE83" s="71"/>
    </row>
    <row r="84" customFormat="false" ht="15" hidden="false" customHeight="true" outlineLevel="0" collapsed="false">
      <c r="A84" s="69" t="n">
        <v>46308</v>
      </c>
      <c r="B84" s="70" t="s">
        <v>610</v>
      </c>
      <c r="C84" s="71" t="s">
        <v>611</v>
      </c>
      <c r="D84" s="71" t="n">
        <v>14.82</v>
      </c>
      <c r="E84" s="71" t="n">
        <v>14.82</v>
      </c>
      <c r="F84" s="71" t="n">
        <v>14.08</v>
      </c>
      <c r="G84" s="71" t="n">
        <v>0.1</v>
      </c>
      <c r="H84" s="71" t="n">
        <v>0.892006365165506</v>
      </c>
      <c r="I84" s="71" t="s">
        <v>178</v>
      </c>
      <c r="J84" s="70" t="s">
        <v>448</v>
      </c>
      <c r="K84" s="72"/>
      <c r="L84" s="73"/>
      <c r="M84" s="73"/>
      <c r="N84" s="71"/>
      <c r="O84" s="71"/>
      <c r="P84" s="71"/>
      <c r="Q84" s="71"/>
      <c r="R84" s="71"/>
      <c r="S84" s="71"/>
      <c r="T84" s="71"/>
      <c r="U84" s="71"/>
      <c r="V84" s="71"/>
      <c r="W84" s="73"/>
      <c r="X84" s="71"/>
      <c r="Y84" s="71"/>
      <c r="Z84" s="73"/>
      <c r="AA84" s="71"/>
      <c r="AB84" s="71"/>
      <c r="AC84" s="73"/>
      <c r="AD84" s="71"/>
      <c r="AE84" s="71"/>
    </row>
    <row r="85" customFormat="false" ht="15" hidden="false" customHeight="true" outlineLevel="0" collapsed="false">
      <c r="A85" s="69" t="n">
        <v>46308</v>
      </c>
      <c r="B85" s="70" t="s">
        <v>612</v>
      </c>
      <c r="C85" s="71" t="s">
        <v>613</v>
      </c>
      <c r="D85" s="71" t="n">
        <v>21.8</v>
      </c>
      <c r="E85" s="71" t="n">
        <v>21.8</v>
      </c>
      <c r="F85" s="71" t="n">
        <v>20.71</v>
      </c>
      <c r="G85" s="71" t="n">
        <v>0.1</v>
      </c>
      <c r="H85" s="71" t="n">
        <v>0.888320250614117</v>
      </c>
      <c r="I85" s="71" t="s">
        <v>178</v>
      </c>
      <c r="J85" s="70" t="s">
        <v>448</v>
      </c>
      <c r="K85" s="72"/>
      <c r="L85" s="73"/>
      <c r="M85" s="73"/>
      <c r="N85" s="71"/>
      <c r="O85" s="71"/>
      <c r="P85" s="71"/>
      <c r="Q85" s="71"/>
      <c r="R85" s="71"/>
      <c r="S85" s="71"/>
      <c r="T85" s="71"/>
      <c r="U85" s="71"/>
      <c r="V85" s="71"/>
      <c r="W85" s="73"/>
      <c r="X85" s="71"/>
      <c r="Y85" s="71"/>
      <c r="Z85" s="73"/>
      <c r="AA85" s="71"/>
      <c r="AB85" s="71"/>
      <c r="AC85" s="73"/>
      <c r="AD85" s="71"/>
      <c r="AE85" s="71"/>
    </row>
    <row r="86" customFormat="false" ht="15" hidden="false" customHeight="true" outlineLevel="0" collapsed="false">
      <c r="A86" s="69" t="n">
        <v>46308</v>
      </c>
      <c r="B86" s="70" t="s">
        <v>614</v>
      </c>
      <c r="C86" s="71" t="s">
        <v>615</v>
      </c>
      <c r="D86" s="71" t="n">
        <v>43.05</v>
      </c>
      <c r="E86" s="71" t="n">
        <v>43.05</v>
      </c>
      <c r="F86" s="71" t="n">
        <v>40.9</v>
      </c>
      <c r="G86" s="71" t="n">
        <v>0.123737292320019</v>
      </c>
      <c r="H86" s="71" t="n">
        <v>0.887749894976181</v>
      </c>
      <c r="I86" s="71" t="s">
        <v>178</v>
      </c>
      <c r="J86" s="70" t="s">
        <v>448</v>
      </c>
      <c r="K86" s="72"/>
      <c r="L86" s="73"/>
      <c r="M86" s="73"/>
      <c r="N86" s="71"/>
      <c r="O86" s="71"/>
      <c r="P86" s="71"/>
      <c r="Q86" s="71"/>
      <c r="R86" s="71"/>
      <c r="S86" s="71"/>
      <c r="T86" s="71"/>
      <c r="U86" s="71"/>
      <c r="V86" s="71"/>
      <c r="W86" s="73"/>
      <c r="X86" s="71"/>
      <c r="Y86" s="71"/>
      <c r="Z86" s="73"/>
      <c r="AA86" s="71"/>
      <c r="AB86" s="71"/>
      <c r="AC86" s="73"/>
      <c r="AD86" s="71"/>
      <c r="AE86" s="71"/>
    </row>
    <row r="87" customFormat="false" ht="15" hidden="false" customHeight="true" outlineLevel="0" collapsed="false">
      <c r="A87" s="69" t="n">
        <v>46308</v>
      </c>
      <c r="B87" s="70" t="s">
        <v>616</v>
      </c>
      <c r="C87" s="71" t="s">
        <v>617</v>
      </c>
      <c r="D87" s="71" t="n">
        <v>39.52</v>
      </c>
      <c r="E87" s="71" t="n">
        <v>39.52</v>
      </c>
      <c r="F87" s="71" t="n">
        <v>37.54</v>
      </c>
      <c r="G87" s="71" t="n">
        <v>0.2464656684604</v>
      </c>
      <c r="H87" s="71" t="n">
        <v>0.887094141224633</v>
      </c>
      <c r="I87" s="71" t="s">
        <v>178</v>
      </c>
      <c r="J87" s="70" t="s">
        <v>448</v>
      </c>
      <c r="K87" s="72"/>
      <c r="L87" s="73"/>
      <c r="M87" s="73"/>
      <c r="N87" s="71"/>
      <c r="O87" s="71"/>
      <c r="P87" s="71"/>
      <c r="Q87" s="71"/>
      <c r="R87" s="71"/>
      <c r="S87" s="71"/>
      <c r="T87" s="71"/>
      <c r="U87" s="71"/>
      <c r="V87" s="71"/>
      <c r="W87" s="73"/>
      <c r="X87" s="71"/>
      <c r="Y87" s="71"/>
      <c r="Z87" s="73"/>
      <c r="AA87" s="71"/>
      <c r="AB87" s="71"/>
      <c r="AC87" s="73"/>
      <c r="AD87" s="71"/>
      <c r="AE87" s="71"/>
    </row>
    <row r="88" customFormat="false" ht="15" hidden="false" customHeight="true" outlineLevel="0" collapsed="false">
      <c r="A88" s="69" t="n">
        <v>46308</v>
      </c>
      <c r="B88" s="70" t="s">
        <v>618</v>
      </c>
      <c r="C88" s="71" t="s">
        <v>619</v>
      </c>
      <c r="D88" s="71" t="n">
        <v>115.9</v>
      </c>
      <c r="E88" s="71" t="n">
        <v>115.9</v>
      </c>
      <c r="F88" s="71" t="n">
        <v>110.11</v>
      </c>
      <c r="G88" s="71" t="n">
        <v>0.1</v>
      </c>
      <c r="H88" s="71" t="n">
        <v>0.886190374060326</v>
      </c>
      <c r="I88" s="71" t="s">
        <v>178</v>
      </c>
      <c r="J88" s="70" t="s">
        <v>448</v>
      </c>
      <c r="K88" s="72"/>
      <c r="L88" s="73"/>
      <c r="M88" s="73"/>
      <c r="N88" s="71"/>
      <c r="O88" s="71"/>
      <c r="P88" s="71"/>
      <c r="Q88" s="71"/>
      <c r="R88" s="71"/>
      <c r="S88" s="71"/>
      <c r="T88" s="71"/>
      <c r="U88" s="71"/>
      <c r="V88" s="71"/>
      <c r="W88" s="73"/>
      <c r="X88" s="71"/>
      <c r="Y88" s="71"/>
      <c r="Z88" s="73"/>
      <c r="AA88" s="71"/>
      <c r="AB88" s="71"/>
      <c r="AC88" s="73"/>
      <c r="AD88" s="71"/>
      <c r="AE88" s="71"/>
    </row>
    <row r="89" customFormat="false" ht="15" hidden="false" customHeight="true" outlineLevel="0" collapsed="false">
      <c r="A89" s="69" t="n">
        <v>46308</v>
      </c>
      <c r="B89" s="70" t="s">
        <v>620</v>
      </c>
      <c r="C89" s="71" t="s">
        <v>621</v>
      </c>
      <c r="D89" s="71" t="n">
        <v>31.54</v>
      </c>
      <c r="E89" s="71" t="n">
        <v>31.54</v>
      </c>
      <c r="F89" s="71" t="n">
        <v>29.96</v>
      </c>
      <c r="G89" s="71" t="n">
        <v>0.268429720323689</v>
      </c>
      <c r="H89" s="71" t="n">
        <v>0.88468224353739</v>
      </c>
      <c r="I89" s="71" t="s">
        <v>178</v>
      </c>
      <c r="J89" s="70" t="s">
        <v>448</v>
      </c>
      <c r="K89" s="72"/>
      <c r="L89" s="73"/>
      <c r="M89" s="73"/>
      <c r="N89" s="71"/>
      <c r="O89" s="71"/>
      <c r="P89" s="71"/>
      <c r="Q89" s="71"/>
      <c r="R89" s="71"/>
      <c r="S89" s="71"/>
      <c r="T89" s="71"/>
      <c r="U89" s="71"/>
      <c r="V89" s="71"/>
      <c r="W89" s="73"/>
      <c r="X89" s="71"/>
      <c r="Y89" s="71"/>
      <c r="Z89" s="73"/>
      <c r="AA89" s="71"/>
      <c r="AB89" s="71"/>
      <c r="AC89" s="73"/>
      <c r="AD89" s="71"/>
      <c r="AE89" s="71"/>
    </row>
    <row r="90" customFormat="false" ht="15" hidden="false" customHeight="true" outlineLevel="0" collapsed="false">
      <c r="A90" s="69" t="n">
        <v>46308</v>
      </c>
      <c r="B90" s="70" t="s">
        <v>622</v>
      </c>
      <c r="C90" s="71" t="s">
        <v>623</v>
      </c>
      <c r="D90" s="71" t="n">
        <v>9.48</v>
      </c>
      <c r="E90" s="71" t="n">
        <v>9.48</v>
      </c>
      <c r="F90" s="71" t="n">
        <v>9.01</v>
      </c>
      <c r="G90" s="71" t="n">
        <v>0.16882681186287</v>
      </c>
      <c r="H90" s="71" t="n">
        <v>0.88386034962569</v>
      </c>
      <c r="I90" s="71" t="s">
        <v>178</v>
      </c>
      <c r="J90" s="70" t="s">
        <v>448</v>
      </c>
      <c r="K90" s="72"/>
      <c r="L90" s="73"/>
      <c r="M90" s="73"/>
      <c r="N90" s="71"/>
      <c r="O90" s="71"/>
      <c r="P90" s="71"/>
      <c r="Q90" s="71"/>
      <c r="R90" s="71"/>
      <c r="S90" s="71"/>
      <c r="T90" s="71"/>
      <c r="U90" s="71"/>
      <c r="V90" s="71"/>
      <c r="W90" s="73"/>
      <c r="X90" s="71"/>
      <c r="Y90" s="71"/>
      <c r="Z90" s="73"/>
      <c r="AA90" s="71"/>
      <c r="AB90" s="71"/>
      <c r="AC90" s="73"/>
      <c r="AD90" s="71"/>
      <c r="AE90" s="71"/>
    </row>
    <row r="91" customFormat="false" ht="15" hidden="false" customHeight="true" outlineLevel="0" collapsed="false">
      <c r="A91" s="69" t="n">
        <v>46308</v>
      </c>
      <c r="B91" s="70" t="s">
        <v>624</v>
      </c>
      <c r="C91" s="71" t="s">
        <v>625</v>
      </c>
      <c r="D91" s="71" t="n">
        <v>9.11</v>
      </c>
      <c r="E91" s="71" t="n">
        <v>9.11</v>
      </c>
      <c r="F91" s="71" t="n">
        <v>8.65</v>
      </c>
      <c r="G91" s="71" t="n">
        <v>0.246734649573478</v>
      </c>
      <c r="H91" s="71" t="n">
        <v>0.879876481357681</v>
      </c>
      <c r="I91" s="71" t="s">
        <v>178</v>
      </c>
      <c r="J91" s="70" t="s">
        <v>448</v>
      </c>
      <c r="K91" s="72"/>
      <c r="L91" s="73"/>
      <c r="M91" s="73"/>
      <c r="N91" s="71"/>
      <c r="O91" s="71"/>
      <c r="P91" s="71"/>
      <c r="Q91" s="71"/>
      <c r="R91" s="71"/>
      <c r="S91" s="71"/>
      <c r="T91" s="71"/>
      <c r="U91" s="71"/>
      <c r="V91" s="71"/>
      <c r="W91" s="73"/>
      <c r="X91" s="71"/>
      <c r="Y91" s="71"/>
      <c r="Z91" s="73"/>
      <c r="AA91" s="71"/>
      <c r="AB91" s="71"/>
      <c r="AC91" s="73"/>
      <c r="AD91" s="71"/>
      <c r="AE91" s="71"/>
    </row>
    <row r="92" customFormat="false" ht="15" hidden="false" customHeight="true" outlineLevel="0" collapsed="false">
      <c r="A92" s="69" t="n">
        <v>46308</v>
      </c>
      <c r="B92" s="70" t="s">
        <v>626</v>
      </c>
      <c r="C92" s="71" t="s">
        <v>627</v>
      </c>
      <c r="D92" s="71" t="n">
        <v>6.95</v>
      </c>
      <c r="E92" s="71" t="n">
        <v>6.95</v>
      </c>
      <c r="F92" s="71" t="n">
        <v>6.6</v>
      </c>
      <c r="G92" s="71" t="n">
        <v>0.123676380089015</v>
      </c>
      <c r="H92" s="71" t="n">
        <v>0.879279280300617</v>
      </c>
      <c r="I92" s="71" t="s">
        <v>178</v>
      </c>
      <c r="J92" s="70" t="s">
        <v>448</v>
      </c>
      <c r="K92" s="72"/>
      <c r="L92" s="73"/>
      <c r="M92" s="73"/>
      <c r="N92" s="71"/>
      <c r="O92" s="71"/>
      <c r="P92" s="71"/>
      <c r="Q92" s="71"/>
      <c r="R92" s="71"/>
      <c r="S92" s="71"/>
      <c r="T92" s="71"/>
      <c r="U92" s="71"/>
      <c r="V92" s="71"/>
      <c r="W92" s="73"/>
      <c r="X92" s="71"/>
      <c r="Y92" s="71"/>
      <c r="Z92" s="73"/>
      <c r="AA92" s="71"/>
      <c r="AB92" s="71"/>
      <c r="AC92" s="73"/>
      <c r="AD92" s="71"/>
      <c r="AE92" s="71"/>
    </row>
    <row r="93" customFormat="false" ht="15" hidden="false" customHeight="true" outlineLevel="0" collapsed="false">
      <c r="A93" s="69" t="n">
        <v>46308</v>
      </c>
      <c r="B93" s="70" t="s">
        <v>628</v>
      </c>
      <c r="C93" s="71" t="s">
        <v>629</v>
      </c>
      <c r="D93" s="71" t="n">
        <v>27.38</v>
      </c>
      <c r="E93" s="71" t="n">
        <v>27.38</v>
      </c>
      <c r="F93" s="71" t="n">
        <v>26.01</v>
      </c>
      <c r="G93" s="71" t="n">
        <v>0.187020593056312</v>
      </c>
      <c r="H93" s="71" t="n">
        <v>0.877743182205459</v>
      </c>
      <c r="I93" s="71" t="s">
        <v>178</v>
      </c>
      <c r="J93" s="70" t="s">
        <v>448</v>
      </c>
      <c r="K93" s="72"/>
      <c r="L93" s="73"/>
      <c r="M93" s="73"/>
      <c r="N93" s="71"/>
      <c r="O93" s="71"/>
      <c r="P93" s="71"/>
      <c r="Q93" s="71"/>
      <c r="R93" s="71"/>
      <c r="S93" s="71"/>
      <c r="T93" s="71"/>
      <c r="U93" s="71"/>
      <c r="V93" s="71"/>
      <c r="W93" s="73"/>
      <c r="X93" s="71"/>
      <c r="Y93" s="71"/>
      <c r="Z93" s="73"/>
      <c r="AA93" s="71"/>
      <c r="AB93" s="71"/>
      <c r="AC93" s="73"/>
      <c r="AD93" s="71"/>
      <c r="AE93" s="71"/>
    </row>
    <row r="94" customFormat="false" ht="15" hidden="false" customHeight="true" outlineLevel="0" collapsed="false">
      <c r="A94" s="69" t="n">
        <v>46308</v>
      </c>
      <c r="B94" s="70" t="s">
        <v>630</v>
      </c>
      <c r="C94" s="71" t="s">
        <v>631</v>
      </c>
      <c r="D94" s="71" t="n">
        <v>58.15</v>
      </c>
      <c r="E94" s="71" t="n">
        <v>58.15</v>
      </c>
      <c r="F94" s="71" t="n">
        <v>55.24</v>
      </c>
      <c r="G94" s="71" t="n">
        <v>0.1</v>
      </c>
      <c r="H94" s="71" t="n">
        <v>0.875367850732258</v>
      </c>
      <c r="I94" s="71" t="s">
        <v>178</v>
      </c>
      <c r="J94" s="70" t="s">
        <v>448</v>
      </c>
      <c r="K94" s="72"/>
      <c r="L94" s="73"/>
      <c r="M94" s="73"/>
      <c r="N94" s="71"/>
      <c r="O94" s="71"/>
      <c r="P94" s="71"/>
      <c r="Q94" s="71"/>
      <c r="R94" s="71"/>
      <c r="S94" s="71"/>
      <c r="T94" s="71"/>
      <c r="U94" s="71"/>
      <c r="V94" s="71"/>
      <c r="W94" s="73"/>
      <c r="X94" s="71"/>
      <c r="Y94" s="71"/>
      <c r="Z94" s="73"/>
      <c r="AA94" s="71"/>
      <c r="AB94" s="71"/>
      <c r="AC94" s="73"/>
      <c r="AD94" s="71"/>
      <c r="AE94" s="71"/>
    </row>
    <row r="95" customFormat="false" ht="15" hidden="false" customHeight="true" outlineLevel="0" collapsed="false">
      <c r="A95" s="69" t="n">
        <v>46308</v>
      </c>
      <c r="B95" s="70" t="s">
        <v>632</v>
      </c>
      <c r="C95" s="71" t="s">
        <v>633</v>
      </c>
      <c r="D95" s="71" t="n">
        <v>7.15</v>
      </c>
      <c r="E95" s="71" t="n">
        <v>7.15</v>
      </c>
      <c r="F95" s="71" t="n">
        <v>6.79</v>
      </c>
      <c r="G95" s="71" t="n">
        <v>0.1</v>
      </c>
      <c r="H95" s="71" t="n">
        <v>0.869598188196731</v>
      </c>
      <c r="I95" s="71" t="s">
        <v>178</v>
      </c>
      <c r="J95" s="70" t="s">
        <v>448</v>
      </c>
      <c r="K95" s="72"/>
      <c r="L95" s="73"/>
      <c r="M95" s="73"/>
      <c r="N95" s="71"/>
      <c r="O95" s="71"/>
      <c r="P95" s="71"/>
      <c r="Q95" s="71"/>
      <c r="R95" s="71"/>
      <c r="S95" s="71"/>
      <c r="T95" s="71"/>
      <c r="U95" s="71"/>
      <c r="V95" s="71"/>
      <c r="W95" s="73"/>
      <c r="X95" s="71"/>
      <c r="Y95" s="71"/>
      <c r="Z95" s="73"/>
      <c r="AA95" s="71"/>
      <c r="AB95" s="71"/>
      <c r="AC95" s="73"/>
      <c r="AD95" s="71"/>
      <c r="AE95" s="71"/>
    </row>
    <row r="96" customFormat="false" ht="15" hidden="false" customHeight="true" outlineLevel="0" collapsed="false">
      <c r="A96" s="69" t="n">
        <v>46308</v>
      </c>
      <c r="B96" s="70" t="s">
        <v>634</v>
      </c>
      <c r="C96" s="71" t="s">
        <v>635</v>
      </c>
      <c r="D96" s="71" t="n">
        <v>9.22</v>
      </c>
      <c r="E96" s="71" t="n">
        <v>9.22</v>
      </c>
      <c r="F96" s="71" t="n">
        <v>8.76</v>
      </c>
      <c r="G96" s="71" t="n">
        <v>0.24368176845909</v>
      </c>
      <c r="H96" s="71" t="n">
        <v>0.867603327681568</v>
      </c>
      <c r="I96" s="71" t="s">
        <v>178</v>
      </c>
      <c r="J96" s="70" t="s">
        <v>448</v>
      </c>
      <c r="K96" s="72"/>
      <c r="L96" s="73"/>
      <c r="M96" s="73"/>
      <c r="N96" s="71"/>
      <c r="O96" s="71"/>
      <c r="P96" s="71"/>
      <c r="Q96" s="71"/>
      <c r="R96" s="71"/>
      <c r="S96" s="71"/>
      <c r="T96" s="71"/>
      <c r="U96" s="71"/>
      <c r="V96" s="71"/>
      <c r="W96" s="73"/>
      <c r="X96" s="71"/>
      <c r="Y96" s="71"/>
      <c r="Z96" s="73"/>
      <c r="AA96" s="71"/>
      <c r="AB96" s="71"/>
      <c r="AC96" s="73"/>
      <c r="AD96" s="71"/>
      <c r="AE96" s="71"/>
    </row>
    <row r="97" customFormat="false" ht="15" hidden="false" customHeight="true" outlineLevel="0" collapsed="false">
      <c r="A97" s="69" t="n">
        <v>46308</v>
      </c>
      <c r="B97" s="70" t="s">
        <v>636</v>
      </c>
      <c r="C97" s="71" t="s">
        <v>637</v>
      </c>
      <c r="D97" s="71" t="n">
        <v>6.52</v>
      </c>
      <c r="E97" s="71" t="n">
        <v>6.52</v>
      </c>
      <c r="F97" s="71" t="n">
        <v>6.19</v>
      </c>
      <c r="G97" s="71" t="n">
        <v>0.239122231061775</v>
      </c>
      <c r="H97" s="71" t="n">
        <v>0.864222418661408</v>
      </c>
      <c r="I97" s="71" t="s">
        <v>178</v>
      </c>
      <c r="J97" s="70" t="s">
        <v>448</v>
      </c>
      <c r="K97" s="72"/>
      <c r="L97" s="73"/>
      <c r="M97" s="73"/>
      <c r="N97" s="71"/>
      <c r="O97" s="71"/>
      <c r="P97" s="71"/>
      <c r="Q97" s="71"/>
      <c r="R97" s="71"/>
      <c r="S97" s="71"/>
      <c r="T97" s="71"/>
      <c r="U97" s="71"/>
      <c r="V97" s="71"/>
      <c r="W97" s="73"/>
      <c r="X97" s="71"/>
      <c r="Y97" s="71"/>
      <c r="Z97" s="73"/>
      <c r="AA97" s="71"/>
      <c r="AB97" s="71"/>
      <c r="AC97" s="73"/>
      <c r="AD97" s="71"/>
      <c r="AE97" s="71"/>
    </row>
    <row r="98" customFormat="false" ht="15" hidden="false" customHeight="true" outlineLevel="0" collapsed="false">
      <c r="A98" s="69" t="n">
        <v>46308</v>
      </c>
      <c r="B98" s="70" t="s">
        <v>638</v>
      </c>
      <c r="C98" s="71" t="s">
        <v>639</v>
      </c>
      <c r="D98" s="71" t="n">
        <v>10.14</v>
      </c>
      <c r="E98" s="71" t="n">
        <v>10.14</v>
      </c>
      <c r="F98" s="71" t="n">
        <v>9.63</v>
      </c>
      <c r="G98" s="71" t="n">
        <v>0.265094830771914</v>
      </c>
      <c r="H98" s="71" t="n">
        <v>0.86107158860149</v>
      </c>
      <c r="I98" s="71" t="s">
        <v>178</v>
      </c>
      <c r="J98" s="70" t="s">
        <v>448</v>
      </c>
      <c r="K98" s="72"/>
      <c r="L98" s="73"/>
      <c r="M98" s="73"/>
      <c r="N98" s="71"/>
      <c r="O98" s="71"/>
      <c r="P98" s="71"/>
      <c r="Q98" s="71"/>
      <c r="R98" s="71"/>
      <c r="S98" s="71"/>
      <c r="T98" s="71"/>
      <c r="U98" s="71"/>
      <c r="V98" s="71"/>
      <c r="W98" s="73"/>
      <c r="X98" s="71"/>
      <c r="Y98" s="71"/>
      <c r="Z98" s="73"/>
      <c r="AA98" s="71"/>
      <c r="AB98" s="71"/>
      <c r="AC98" s="73"/>
      <c r="AD98" s="71"/>
      <c r="AE98" s="71"/>
    </row>
    <row r="99" customFormat="false" ht="15" hidden="false" customHeight="true" outlineLevel="0" collapsed="false">
      <c r="A99" s="69" t="n">
        <v>46308</v>
      </c>
      <c r="B99" s="70" t="s">
        <v>640</v>
      </c>
      <c r="C99" s="71" t="s">
        <v>641</v>
      </c>
      <c r="D99" s="71" t="n">
        <v>30.36</v>
      </c>
      <c r="E99" s="71" t="n">
        <v>30.36</v>
      </c>
      <c r="F99" s="71" t="n">
        <v>28.84</v>
      </c>
      <c r="G99" s="71" t="n">
        <v>0.244525631814177</v>
      </c>
      <c r="H99" s="71" t="n">
        <v>0.857439894610334</v>
      </c>
      <c r="I99" s="71" t="s">
        <v>178</v>
      </c>
      <c r="J99" s="70" t="s">
        <v>448</v>
      </c>
      <c r="K99" s="72"/>
      <c r="L99" s="73"/>
      <c r="M99" s="73"/>
      <c r="N99" s="71"/>
      <c r="O99" s="71"/>
      <c r="P99" s="71"/>
      <c r="Q99" s="71"/>
      <c r="R99" s="71"/>
      <c r="S99" s="71"/>
      <c r="T99" s="71"/>
      <c r="U99" s="71"/>
      <c r="V99" s="71"/>
      <c r="W99" s="73"/>
      <c r="X99" s="71"/>
      <c r="Y99" s="71"/>
      <c r="Z99" s="73"/>
      <c r="AA99" s="71"/>
      <c r="AB99" s="71"/>
      <c r="AC99" s="73"/>
      <c r="AD99" s="71"/>
      <c r="AE99" s="71"/>
    </row>
    <row r="100" customFormat="false" ht="15" hidden="false" customHeight="true" outlineLevel="0" collapsed="false">
      <c r="A100" s="69" t="n">
        <v>46308</v>
      </c>
      <c r="B100" s="70" t="s">
        <v>642</v>
      </c>
      <c r="C100" s="71" t="s">
        <v>643</v>
      </c>
      <c r="D100" s="71" t="n">
        <v>13.28</v>
      </c>
      <c r="E100" s="71" t="n">
        <v>13.28</v>
      </c>
      <c r="F100" s="71" t="n">
        <v>12.62</v>
      </c>
      <c r="G100" s="71" t="n">
        <v>0.209083373071369</v>
      </c>
      <c r="H100" s="71" t="n">
        <v>0.85711218721753</v>
      </c>
      <c r="I100" s="71" t="s">
        <v>178</v>
      </c>
      <c r="J100" s="70" t="s">
        <v>448</v>
      </c>
      <c r="K100" s="72"/>
      <c r="L100" s="73"/>
      <c r="M100" s="73"/>
      <c r="N100" s="71"/>
      <c r="O100" s="71"/>
      <c r="P100" s="71"/>
      <c r="Q100" s="71"/>
      <c r="R100" s="71"/>
      <c r="S100" s="71"/>
      <c r="T100" s="71"/>
      <c r="U100" s="71"/>
      <c r="V100" s="71"/>
      <c r="W100" s="73"/>
      <c r="X100" s="71"/>
      <c r="Y100" s="71"/>
      <c r="Z100" s="73"/>
      <c r="AA100" s="71"/>
      <c r="AB100" s="71"/>
      <c r="AC100" s="73"/>
      <c r="AD100" s="71"/>
      <c r="AE100" s="71"/>
    </row>
    <row r="101" customFormat="false" ht="15" hidden="false" customHeight="true" outlineLevel="0" collapsed="false">
      <c r="A101" s="69" t="n">
        <v>46308</v>
      </c>
      <c r="B101" s="70" t="s">
        <v>644</v>
      </c>
      <c r="C101" s="71" t="s">
        <v>645</v>
      </c>
      <c r="D101" s="71" t="n">
        <v>2.94</v>
      </c>
      <c r="E101" s="71" t="n">
        <v>2.94</v>
      </c>
      <c r="F101" s="71" t="n">
        <v>2.79</v>
      </c>
      <c r="G101" s="71" t="n">
        <v>0.1</v>
      </c>
      <c r="H101" s="71" t="n">
        <v>0.856539289024266</v>
      </c>
      <c r="I101" s="71" t="s">
        <v>178</v>
      </c>
      <c r="J101" s="70" t="s">
        <v>448</v>
      </c>
      <c r="K101" s="72"/>
      <c r="L101" s="73"/>
      <c r="M101" s="73"/>
      <c r="N101" s="71"/>
      <c r="O101" s="71"/>
      <c r="P101" s="71"/>
      <c r="Q101" s="71"/>
      <c r="R101" s="71"/>
      <c r="S101" s="71"/>
      <c r="T101" s="71"/>
      <c r="U101" s="71"/>
      <c r="V101" s="71"/>
      <c r="W101" s="73"/>
      <c r="X101" s="71"/>
      <c r="Y101" s="71"/>
      <c r="Z101" s="73"/>
      <c r="AA101" s="71"/>
      <c r="AB101" s="71"/>
      <c r="AC101" s="73"/>
      <c r="AD101" s="71"/>
      <c r="AE101" s="71"/>
    </row>
    <row r="102" customFormat="false" ht="15" hidden="false" customHeight="true" outlineLevel="0" collapsed="false">
      <c r="A102" s="74" t="n">
        <v>46308</v>
      </c>
      <c r="B102" s="75" t="s">
        <v>646</v>
      </c>
      <c r="C102" s="76" t="s">
        <v>647</v>
      </c>
      <c r="D102" s="76" t="n">
        <v>19.75</v>
      </c>
      <c r="E102" s="76" t="n">
        <v>19.75</v>
      </c>
      <c r="F102" s="76" t="n">
        <v>18.76</v>
      </c>
      <c r="G102" s="76" t="n">
        <v>0.1</v>
      </c>
      <c r="H102" s="76" t="n">
        <v>0.847319200430563</v>
      </c>
      <c r="I102" s="76" t="s">
        <v>178</v>
      </c>
      <c r="J102" s="75" t="s">
        <v>448</v>
      </c>
      <c r="K102" s="77"/>
      <c r="L102" s="78"/>
      <c r="M102" s="78"/>
      <c r="N102" s="76"/>
      <c r="O102" s="76"/>
      <c r="P102" s="76"/>
      <c r="Q102" s="76"/>
      <c r="R102" s="76"/>
      <c r="S102" s="76"/>
      <c r="T102" s="76"/>
      <c r="U102" s="76"/>
      <c r="V102" s="76"/>
      <c r="W102" s="78"/>
      <c r="X102" s="76"/>
      <c r="Y102" s="76"/>
      <c r="Z102" s="78"/>
      <c r="AA102" s="76"/>
      <c r="AB102" s="76"/>
      <c r="AC102" s="78"/>
      <c r="AD102" s="76"/>
      <c r="AE102" s="76"/>
    </row>
    <row r="103" customFormat="false" ht="15" hidden="false" customHeight="true" outlineLevel="0" collapsed="false">
      <c r="A103" s="74" t="n">
        <v>46308</v>
      </c>
      <c r="B103" s="75" t="s">
        <v>648</v>
      </c>
      <c r="C103" s="76" t="s">
        <v>649</v>
      </c>
      <c r="D103" s="76" t="n">
        <v>17.32</v>
      </c>
      <c r="E103" s="76" t="n">
        <v>17.32</v>
      </c>
      <c r="F103" s="76" t="n">
        <v>16.45</v>
      </c>
      <c r="G103" s="76" t="n">
        <v>0.131411050755399</v>
      </c>
      <c r="H103" s="76" t="n">
        <v>0.846115991451495</v>
      </c>
      <c r="I103" s="76" t="s">
        <v>178</v>
      </c>
      <c r="J103" s="75" t="s">
        <v>448</v>
      </c>
      <c r="K103" s="77"/>
      <c r="L103" s="78"/>
      <c r="M103" s="78"/>
      <c r="N103" s="76"/>
      <c r="O103" s="76"/>
      <c r="P103" s="76"/>
      <c r="Q103" s="76"/>
      <c r="R103" s="76"/>
      <c r="S103" s="76"/>
      <c r="T103" s="76"/>
      <c r="U103" s="76"/>
      <c r="V103" s="76"/>
      <c r="W103" s="78"/>
      <c r="X103" s="76"/>
      <c r="Y103" s="76"/>
      <c r="Z103" s="78"/>
      <c r="AA103" s="76"/>
      <c r="AB103" s="76"/>
      <c r="AC103" s="78"/>
      <c r="AD103" s="76"/>
      <c r="AE103" s="76"/>
    </row>
    <row r="104" customFormat="false" ht="15" hidden="false" customHeight="true" outlineLevel="0" collapsed="false">
      <c r="A104" s="74" t="n">
        <v>46308</v>
      </c>
      <c r="B104" s="75" t="s">
        <v>650</v>
      </c>
      <c r="C104" s="76" t="s">
        <v>651</v>
      </c>
      <c r="D104" s="76" t="n">
        <v>100.25</v>
      </c>
      <c r="E104" s="76" t="n">
        <v>100.25</v>
      </c>
      <c r="F104" s="76" t="n">
        <v>95.24</v>
      </c>
      <c r="G104" s="76" t="n">
        <v>0.1</v>
      </c>
      <c r="H104" s="76" t="n">
        <v>0.841788138176623</v>
      </c>
      <c r="I104" s="76" t="s">
        <v>178</v>
      </c>
      <c r="J104" s="75" t="s">
        <v>448</v>
      </c>
      <c r="K104" s="77"/>
      <c r="L104" s="78"/>
      <c r="M104" s="78"/>
      <c r="N104" s="76"/>
      <c r="O104" s="76"/>
      <c r="P104" s="76"/>
      <c r="Q104" s="76"/>
      <c r="R104" s="76"/>
      <c r="S104" s="76"/>
      <c r="T104" s="76"/>
      <c r="U104" s="76"/>
      <c r="V104" s="76"/>
      <c r="W104" s="78"/>
      <c r="X104" s="76"/>
      <c r="Y104" s="76"/>
      <c r="Z104" s="78"/>
      <c r="AA104" s="76"/>
      <c r="AB104" s="76"/>
      <c r="AC104" s="78"/>
      <c r="AD104" s="76"/>
      <c r="AE104" s="76"/>
    </row>
    <row r="105" customFormat="false" ht="15" hidden="false" customHeight="true" outlineLevel="0" collapsed="false">
      <c r="A105" s="74" t="n">
        <v>46308</v>
      </c>
      <c r="B105" s="75" t="s">
        <v>652</v>
      </c>
      <c r="C105" s="76" t="s">
        <v>653</v>
      </c>
      <c r="D105" s="76" t="n">
        <v>25.74</v>
      </c>
      <c r="E105" s="76" t="n">
        <v>25.74</v>
      </c>
      <c r="F105" s="76" t="n">
        <v>24.45</v>
      </c>
      <c r="G105" s="76" t="n">
        <v>0.436847346288206</v>
      </c>
      <c r="H105" s="76" t="n">
        <v>0.841507920675141</v>
      </c>
      <c r="I105" s="76" t="s">
        <v>178</v>
      </c>
      <c r="J105" s="75" t="s">
        <v>448</v>
      </c>
      <c r="K105" s="77"/>
      <c r="L105" s="78"/>
      <c r="M105" s="78"/>
      <c r="N105" s="76"/>
      <c r="O105" s="76"/>
      <c r="P105" s="76"/>
      <c r="Q105" s="76"/>
      <c r="R105" s="76"/>
      <c r="S105" s="76"/>
      <c r="T105" s="76"/>
      <c r="U105" s="76"/>
      <c r="V105" s="76"/>
      <c r="W105" s="78"/>
      <c r="X105" s="76"/>
      <c r="Y105" s="76"/>
      <c r="Z105" s="78"/>
      <c r="AA105" s="76"/>
      <c r="AB105" s="76"/>
      <c r="AC105" s="78"/>
      <c r="AD105" s="76"/>
      <c r="AE105" s="76"/>
    </row>
    <row r="106" customFormat="false" ht="15" hidden="false" customHeight="true" outlineLevel="0" collapsed="false">
      <c r="A106" s="74" t="n">
        <v>46308</v>
      </c>
      <c r="B106" s="75" t="s">
        <v>654</v>
      </c>
      <c r="C106" s="76" t="s">
        <v>655</v>
      </c>
      <c r="D106" s="76" t="n">
        <v>21.15</v>
      </c>
      <c r="E106" s="76" t="n">
        <v>21.15</v>
      </c>
      <c r="F106" s="76" t="n">
        <v>20.09</v>
      </c>
      <c r="G106" s="76" t="n">
        <v>0.1</v>
      </c>
      <c r="H106" s="76" t="n">
        <v>0.840545209558249</v>
      </c>
      <c r="I106" s="76" t="s">
        <v>178</v>
      </c>
      <c r="J106" s="75" t="s">
        <v>448</v>
      </c>
      <c r="K106" s="77"/>
      <c r="L106" s="78"/>
      <c r="M106" s="78"/>
      <c r="N106" s="76"/>
      <c r="O106" s="76"/>
      <c r="P106" s="76"/>
      <c r="Q106" s="76"/>
      <c r="R106" s="76"/>
      <c r="S106" s="76"/>
      <c r="T106" s="76"/>
      <c r="U106" s="76"/>
      <c r="V106" s="76"/>
      <c r="W106" s="78"/>
      <c r="X106" s="76"/>
      <c r="Y106" s="76"/>
      <c r="Z106" s="78"/>
      <c r="AA106" s="76"/>
      <c r="AB106" s="76"/>
      <c r="AC106" s="78"/>
      <c r="AD106" s="76"/>
      <c r="AE106" s="76"/>
    </row>
    <row r="107" customFormat="false" ht="15" hidden="false" customHeight="true" outlineLevel="0" collapsed="false">
      <c r="A107" s="74" t="n">
        <v>46308</v>
      </c>
      <c r="B107" s="75" t="s">
        <v>656</v>
      </c>
      <c r="C107" s="76" t="s">
        <v>657</v>
      </c>
      <c r="D107" s="76" t="n">
        <v>13.08</v>
      </c>
      <c r="E107" s="76" t="n">
        <v>13.08</v>
      </c>
      <c r="F107" s="76" t="n">
        <v>12.43</v>
      </c>
      <c r="G107" s="76" t="n">
        <v>0.182449580412143</v>
      </c>
      <c r="H107" s="76" t="n">
        <v>0.838258431229434</v>
      </c>
      <c r="I107" s="76" t="s">
        <v>178</v>
      </c>
      <c r="J107" s="75" t="s">
        <v>448</v>
      </c>
      <c r="K107" s="77"/>
      <c r="L107" s="78"/>
      <c r="M107" s="78"/>
      <c r="N107" s="76"/>
      <c r="O107" s="76"/>
      <c r="P107" s="76"/>
      <c r="Q107" s="76"/>
      <c r="R107" s="76"/>
      <c r="S107" s="76"/>
      <c r="T107" s="76"/>
      <c r="U107" s="76"/>
      <c r="V107" s="76"/>
      <c r="W107" s="78"/>
      <c r="X107" s="76"/>
      <c r="Y107" s="76"/>
      <c r="Z107" s="78"/>
      <c r="AA107" s="76"/>
      <c r="AB107" s="76"/>
      <c r="AC107" s="78"/>
      <c r="AD107" s="76"/>
      <c r="AE107" s="76"/>
    </row>
    <row r="108" customFormat="false" ht="15" hidden="false" customHeight="true" outlineLevel="0" collapsed="false">
      <c r="A108" s="74" t="n">
        <v>46308</v>
      </c>
      <c r="B108" s="75" t="s">
        <v>658</v>
      </c>
      <c r="C108" s="76" t="s">
        <v>659</v>
      </c>
      <c r="D108" s="76" t="n">
        <v>16.06</v>
      </c>
      <c r="E108" s="76" t="n">
        <v>16.06</v>
      </c>
      <c r="F108" s="76" t="n">
        <v>15.26</v>
      </c>
      <c r="G108" s="76" t="n">
        <v>0.25402007667002</v>
      </c>
      <c r="H108" s="76" t="n">
        <v>0.835929260806277</v>
      </c>
      <c r="I108" s="76" t="s">
        <v>178</v>
      </c>
      <c r="J108" s="75" t="s">
        <v>448</v>
      </c>
      <c r="K108" s="77"/>
      <c r="L108" s="78"/>
      <c r="M108" s="78"/>
      <c r="N108" s="76"/>
      <c r="O108" s="76"/>
      <c r="P108" s="76"/>
      <c r="Q108" s="76"/>
      <c r="R108" s="76"/>
      <c r="S108" s="76"/>
      <c r="T108" s="76"/>
      <c r="U108" s="76"/>
      <c r="V108" s="76"/>
      <c r="W108" s="78"/>
      <c r="X108" s="76"/>
      <c r="Y108" s="76"/>
      <c r="Z108" s="78"/>
      <c r="AA108" s="76"/>
      <c r="AB108" s="76"/>
      <c r="AC108" s="78"/>
      <c r="AD108" s="76"/>
      <c r="AE108" s="76"/>
    </row>
    <row r="109" customFormat="false" ht="15" hidden="false" customHeight="true" outlineLevel="0" collapsed="false">
      <c r="A109" s="74" t="n">
        <v>46308</v>
      </c>
      <c r="B109" s="75" t="s">
        <v>660</v>
      </c>
      <c r="C109" s="76" t="s">
        <v>661</v>
      </c>
      <c r="D109" s="76" t="n">
        <v>15.86</v>
      </c>
      <c r="E109" s="76" t="n">
        <v>15.86</v>
      </c>
      <c r="F109" s="76" t="n">
        <v>15.07</v>
      </c>
      <c r="G109" s="76" t="n">
        <v>0.215314490953887</v>
      </c>
      <c r="H109" s="76" t="n">
        <v>0.832924019618906</v>
      </c>
      <c r="I109" s="76" t="s">
        <v>178</v>
      </c>
      <c r="J109" s="75" t="s">
        <v>448</v>
      </c>
      <c r="K109" s="77"/>
      <c r="L109" s="78"/>
      <c r="M109" s="78"/>
      <c r="N109" s="76"/>
      <c r="O109" s="76"/>
      <c r="P109" s="76"/>
      <c r="Q109" s="76"/>
      <c r="R109" s="76"/>
      <c r="S109" s="76"/>
      <c r="T109" s="76"/>
      <c r="U109" s="76"/>
      <c r="V109" s="76"/>
      <c r="W109" s="78"/>
      <c r="X109" s="76"/>
      <c r="Y109" s="76"/>
      <c r="Z109" s="78"/>
      <c r="AA109" s="76"/>
      <c r="AB109" s="76"/>
      <c r="AC109" s="78"/>
      <c r="AD109" s="76"/>
      <c r="AE109" s="76"/>
    </row>
    <row r="110" customFormat="false" ht="15" hidden="false" customHeight="true" outlineLevel="0" collapsed="false">
      <c r="A110" s="74" t="n">
        <v>46308</v>
      </c>
      <c r="B110" s="75" t="s">
        <v>662</v>
      </c>
      <c r="C110" s="76" t="s">
        <v>663</v>
      </c>
      <c r="D110" s="76" t="n">
        <v>22.89</v>
      </c>
      <c r="E110" s="76" t="n">
        <v>22.89</v>
      </c>
      <c r="F110" s="76" t="n">
        <v>21.75</v>
      </c>
      <c r="G110" s="76" t="n">
        <v>0.335279119037476</v>
      </c>
      <c r="H110" s="76" t="n">
        <v>0.830813361431305</v>
      </c>
      <c r="I110" s="76" t="s">
        <v>178</v>
      </c>
      <c r="J110" s="75" t="s">
        <v>448</v>
      </c>
      <c r="K110" s="77"/>
      <c r="L110" s="78"/>
      <c r="M110" s="78"/>
      <c r="N110" s="76"/>
      <c r="O110" s="76"/>
      <c r="P110" s="76"/>
      <c r="Q110" s="76"/>
      <c r="R110" s="76"/>
      <c r="S110" s="76"/>
      <c r="T110" s="76"/>
      <c r="U110" s="76"/>
      <c r="V110" s="76"/>
      <c r="W110" s="78"/>
      <c r="X110" s="76"/>
      <c r="Y110" s="76"/>
      <c r="Z110" s="78"/>
      <c r="AA110" s="76"/>
      <c r="AB110" s="76"/>
      <c r="AC110" s="78"/>
      <c r="AD110" s="76"/>
      <c r="AE110" s="76"/>
    </row>
    <row r="111" customFormat="false" ht="15" hidden="false" customHeight="true" outlineLevel="0" collapsed="false">
      <c r="A111" s="74" t="n">
        <v>46308</v>
      </c>
      <c r="B111" s="75" t="s">
        <v>664</v>
      </c>
      <c r="C111" s="76" t="s">
        <v>665</v>
      </c>
      <c r="D111" s="76" t="n">
        <v>37.25</v>
      </c>
      <c r="E111" s="76" t="n">
        <v>37.25</v>
      </c>
      <c r="F111" s="76" t="n">
        <v>35.39</v>
      </c>
      <c r="G111" s="76" t="n">
        <v>0.397368386704065</v>
      </c>
      <c r="H111" s="76" t="n">
        <v>0.829854650312715</v>
      </c>
      <c r="I111" s="76" t="s">
        <v>178</v>
      </c>
      <c r="J111" s="75" t="s">
        <v>448</v>
      </c>
      <c r="K111" s="77"/>
      <c r="L111" s="78"/>
      <c r="M111" s="78"/>
      <c r="N111" s="76"/>
      <c r="O111" s="76"/>
      <c r="P111" s="76"/>
      <c r="Q111" s="76"/>
      <c r="R111" s="76"/>
      <c r="S111" s="76"/>
      <c r="T111" s="76"/>
      <c r="U111" s="76"/>
      <c r="V111" s="76"/>
      <c r="W111" s="78"/>
      <c r="X111" s="76"/>
      <c r="Y111" s="76"/>
      <c r="Z111" s="78"/>
      <c r="AA111" s="76"/>
      <c r="AB111" s="76"/>
      <c r="AC111" s="78"/>
      <c r="AD111" s="76"/>
      <c r="AE111" s="76"/>
    </row>
    <row r="112" customFormat="false" ht="15" hidden="false" customHeight="true" outlineLevel="0" collapsed="false">
      <c r="A112" s="74" t="n">
        <v>46308</v>
      </c>
      <c r="B112" s="75" t="s">
        <v>666</v>
      </c>
      <c r="C112" s="76" t="s">
        <v>667</v>
      </c>
      <c r="D112" s="76" t="n">
        <v>111.98</v>
      </c>
      <c r="E112" s="76" t="n">
        <v>111.98</v>
      </c>
      <c r="F112" s="76" t="n">
        <v>106.38</v>
      </c>
      <c r="G112" s="76" t="n">
        <v>0.357378540710579</v>
      </c>
      <c r="H112" s="76" t="n">
        <v>0.82855936992005</v>
      </c>
      <c r="I112" s="76" t="s">
        <v>178</v>
      </c>
      <c r="J112" s="75" t="s">
        <v>448</v>
      </c>
      <c r="K112" s="77"/>
      <c r="L112" s="78"/>
      <c r="M112" s="78"/>
      <c r="N112" s="76"/>
      <c r="O112" s="76"/>
      <c r="P112" s="76"/>
      <c r="Q112" s="76"/>
      <c r="R112" s="76"/>
      <c r="S112" s="76"/>
      <c r="T112" s="76"/>
      <c r="U112" s="76"/>
      <c r="V112" s="76"/>
      <c r="W112" s="78"/>
      <c r="X112" s="76"/>
      <c r="Y112" s="76"/>
      <c r="Z112" s="78"/>
      <c r="AA112" s="76"/>
      <c r="AB112" s="76"/>
      <c r="AC112" s="78"/>
      <c r="AD112" s="76"/>
      <c r="AE112" s="76"/>
    </row>
    <row r="113" customFormat="false" ht="15" hidden="false" customHeight="true" outlineLevel="0" collapsed="false">
      <c r="A113" s="74" t="n">
        <v>46308</v>
      </c>
      <c r="B113" s="75" t="s">
        <v>668</v>
      </c>
      <c r="C113" s="76" t="s">
        <v>669</v>
      </c>
      <c r="D113" s="76" t="n">
        <v>23.32</v>
      </c>
      <c r="E113" s="76" t="n">
        <v>23.32</v>
      </c>
      <c r="F113" s="76" t="n">
        <v>22.15</v>
      </c>
      <c r="G113" s="76" t="n">
        <v>0.326465988228839</v>
      </c>
      <c r="H113" s="76" t="n">
        <v>0.826607829594271</v>
      </c>
      <c r="I113" s="76" t="s">
        <v>178</v>
      </c>
      <c r="J113" s="75" t="s">
        <v>448</v>
      </c>
      <c r="K113" s="77"/>
      <c r="L113" s="78"/>
      <c r="M113" s="78"/>
      <c r="N113" s="76"/>
      <c r="O113" s="76"/>
      <c r="P113" s="76"/>
      <c r="Q113" s="76"/>
      <c r="R113" s="76"/>
      <c r="S113" s="76"/>
      <c r="T113" s="76"/>
      <c r="U113" s="76"/>
      <c r="V113" s="76"/>
      <c r="W113" s="78"/>
      <c r="X113" s="76"/>
      <c r="Y113" s="76"/>
      <c r="Z113" s="78"/>
      <c r="AA113" s="76"/>
      <c r="AB113" s="76"/>
      <c r="AC113" s="78"/>
      <c r="AD113" s="76"/>
      <c r="AE113" s="76"/>
    </row>
    <row r="114" customFormat="false" ht="15" hidden="false" customHeight="true" outlineLevel="0" collapsed="false">
      <c r="A114" s="74" t="n">
        <v>46308</v>
      </c>
      <c r="B114" s="75" t="s">
        <v>670</v>
      </c>
      <c r="C114" s="76" t="s">
        <v>671</v>
      </c>
      <c r="D114" s="76" t="n">
        <v>30.82</v>
      </c>
      <c r="E114" s="76" t="n">
        <v>30.82</v>
      </c>
      <c r="F114" s="76" t="n">
        <v>29.28</v>
      </c>
      <c r="G114" s="76" t="n">
        <v>0.343305488084719</v>
      </c>
      <c r="H114" s="76" t="n">
        <v>0.825407637502452</v>
      </c>
      <c r="I114" s="76" t="s">
        <v>178</v>
      </c>
      <c r="J114" s="75" t="s">
        <v>448</v>
      </c>
      <c r="K114" s="77"/>
      <c r="L114" s="78"/>
      <c r="M114" s="78"/>
      <c r="N114" s="76"/>
      <c r="O114" s="76"/>
      <c r="P114" s="76"/>
      <c r="Q114" s="76"/>
      <c r="R114" s="76"/>
      <c r="S114" s="76"/>
      <c r="T114" s="76"/>
      <c r="U114" s="76"/>
      <c r="V114" s="76"/>
      <c r="W114" s="78"/>
      <c r="X114" s="76"/>
      <c r="Y114" s="76"/>
      <c r="Z114" s="78"/>
      <c r="AA114" s="76"/>
      <c r="AB114" s="76"/>
      <c r="AC114" s="78"/>
      <c r="AD114" s="76"/>
      <c r="AE114" s="76"/>
    </row>
    <row r="115" customFormat="false" ht="15" hidden="false" customHeight="true" outlineLevel="0" collapsed="false">
      <c r="A115" s="74" t="n">
        <v>46308</v>
      </c>
      <c r="B115" s="75" t="s">
        <v>672</v>
      </c>
      <c r="C115" s="76" t="s">
        <v>673</v>
      </c>
      <c r="D115" s="76" t="n">
        <v>20.48</v>
      </c>
      <c r="E115" s="76" t="n">
        <v>20.48</v>
      </c>
      <c r="F115" s="76" t="n">
        <v>19.46</v>
      </c>
      <c r="G115" s="76" t="n">
        <v>0.140967003478332</v>
      </c>
      <c r="H115" s="76" t="n">
        <v>0.823306627987128</v>
      </c>
      <c r="I115" s="76" t="s">
        <v>178</v>
      </c>
      <c r="J115" s="75" t="s">
        <v>448</v>
      </c>
      <c r="K115" s="77"/>
      <c r="L115" s="78"/>
      <c r="M115" s="78"/>
      <c r="N115" s="76"/>
      <c r="O115" s="76"/>
      <c r="P115" s="76"/>
      <c r="Q115" s="76"/>
      <c r="R115" s="76"/>
      <c r="S115" s="76"/>
      <c r="T115" s="76"/>
      <c r="U115" s="76"/>
      <c r="V115" s="76"/>
      <c r="W115" s="78"/>
      <c r="X115" s="76"/>
      <c r="Y115" s="76"/>
      <c r="Z115" s="78"/>
      <c r="AA115" s="76"/>
      <c r="AB115" s="76"/>
      <c r="AC115" s="78"/>
      <c r="AD115" s="76"/>
      <c r="AE115" s="76"/>
    </row>
    <row r="116" customFormat="false" ht="15" hidden="false" customHeight="true" outlineLevel="0" collapsed="false">
      <c r="A116" s="74" t="n">
        <v>46308</v>
      </c>
      <c r="B116" s="75" t="s">
        <v>674</v>
      </c>
      <c r="C116" s="76" t="s">
        <v>675</v>
      </c>
      <c r="D116" s="76" t="n">
        <v>26.48</v>
      </c>
      <c r="E116" s="76" t="n">
        <v>26.48</v>
      </c>
      <c r="F116" s="76" t="n">
        <v>25.16</v>
      </c>
      <c r="G116" s="76" t="n">
        <v>0.44323648054312</v>
      </c>
      <c r="H116" s="76" t="n">
        <v>0.823054289600124</v>
      </c>
      <c r="I116" s="76" t="s">
        <v>178</v>
      </c>
      <c r="J116" s="75" t="s">
        <v>448</v>
      </c>
      <c r="K116" s="77"/>
      <c r="L116" s="78"/>
      <c r="M116" s="78"/>
      <c r="N116" s="76"/>
      <c r="O116" s="76"/>
      <c r="P116" s="76"/>
      <c r="Q116" s="76"/>
      <c r="R116" s="76"/>
      <c r="S116" s="76"/>
      <c r="T116" s="76"/>
      <c r="U116" s="76"/>
      <c r="V116" s="76"/>
      <c r="W116" s="78"/>
      <c r="X116" s="76"/>
      <c r="Y116" s="76"/>
      <c r="Z116" s="78"/>
      <c r="AA116" s="76"/>
      <c r="AB116" s="76"/>
      <c r="AC116" s="78"/>
      <c r="AD116" s="76"/>
      <c r="AE116" s="76"/>
    </row>
    <row r="117" customFormat="false" ht="15" hidden="false" customHeight="true" outlineLevel="0" collapsed="false">
      <c r="A117" s="74" t="n">
        <v>46308</v>
      </c>
      <c r="B117" s="75" t="s">
        <v>676</v>
      </c>
      <c r="C117" s="76" t="s">
        <v>677</v>
      </c>
      <c r="D117" s="76" t="n">
        <v>29.18</v>
      </c>
      <c r="E117" s="76" t="n">
        <v>29.18</v>
      </c>
      <c r="F117" s="76" t="n">
        <v>27.72</v>
      </c>
      <c r="G117" s="76" t="n">
        <v>0.14883046991527</v>
      </c>
      <c r="H117" s="76" t="n">
        <v>0.823024473807946</v>
      </c>
      <c r="I117" s="76" t="s">
        <v>178</v>
      </c>
      <c r="J117" s="75" t="s">
        <v>448</v>
      </c>
      <c r="K117" s="77"/>
      <c r="L117" s="78"/>
      <c r="M117" s="78"/>
      <c r="N117" s="76"/>
      <c r="O117" s="76"/>
      <c r="P117" s="76"/>
      <c r="Q117" s="76"/>
      <c r="R117" s="76"/>
      <c r="S117" s="76"/>
      <c r="T117" s="76"/>
      <c r="U117" s="76"/>
      <c r="V117" s="76"/>
      <c r="W117" s="78"/>
      <c r="X117" s="76"/>
      <c r="Y117" s="76"/>
      <c r="Z117" s="78"/>
      <c r="AA117" s="76"/>
      <c r="AB117" s="76"/>
      <c r="AC117" s="78"/>
      <c r="AD117" s="76"/>
      <c r="AE117" s="76"/>
    </row>
    <row r="118" customFormat="false" ht="15" hidden="false" customHeight="true" outlineLevel="0" collapsed="false">
      <c r="A118" s="74" t="n">
        <v>46308</v>
      </c>
      <c r="B118" s="75" t="s">
        <v>678</v>
      </c>
      <c r="C118" s="76" t="s">
        <v>679</v>
      </c>
      <c r="D118" s="76" t="n">
        <v>22.04</v>
      </c>
      <c r="E118" s="76" t="n">
        <v>22.04</v>
      </c>
      <c r="F118" s="76" t="n">
        <v>20.94</v>
      </c>
      <c r="G118" s="76" t="n">
        <v>0.325051141403413</v>
      </c>
      <c r="H118" s="76" t="n">
        <v>0.821534812651419</v>
      </c>
      <c r="I118" s="76" t="s">
        <v>178</v>
      </c>
      <c r="J118" s="75" t="s">
        <v>448</v>
      </c>
      <c r="K118" s="77"/>
      <c r="L118" s="78"/>
      <c r="M118" s="78"/>
      <c r="N118" s="76"/>
      <c r="O118" s="76"/>
      <c r="P118" s="76"/>
      <c r="Q118" s="76"/>
      <c r="R118" s="76"/>
      <c r="S118" s="76"/>
      <c r="T118" s="76"/>
      <c r="U118" s="76"/>
      <c r="V118" s="76"/>
      <c r="W118" s="78"/>
      <c r="X118" s="76"/>
      <c r="Y118" s="76"/>
      <c r="Z118" s="78"/>
      <c r="AA118" s="76"/>
      <c r="AB118" s="76"/>
      <c r="AC118" s="78"/>
      <c r="AD118" s="76"/>
      <c r="AE118" s="76"/>
    </row>
    <row r="119" customFormat="false" ht="15" hidden="false" customHeight="true" outlineLevel="0" collapsed="false">
      <c r="A119" s="74" t="n">
        <v>46308</v>
      </c>
      <c r="B119" s="75" t="s">
        <v>680</v>
      </c>
      <c r="C119" s="76" t="s">
        <v>681</v>
      </c>
      <c r="D119" s="76" t="n">
        <v>61.98</v>
      </c>
      <c r="E119" s="76" t="n">
        <v>61.98</v>
      </c>
      <c r="F119" s="76" t="n">
        <v>58.88</v>
      </c>
      <c r="G119" s="76" t="n">
        <v>0.357168217181622</v>
      </c>
      <c r="H119" s="76" t="n">
        <v>0.821175316296104</v>
      </c>
      <c r="I119" s="76" t="s">
        <v>178</v>
      </c>
      <c r="J119" s="75" t="s">
        <v>448</v>
      </c>
      <c r="K119" s="77"/>
      <c r="L119" s="78"/>
      <c r="M119" s="78"/>
      <c r="N119" s="76"/>
      <c r="O119" s="76"/>
      <c r="P119" s="76"/>
      <c r="Q119" s="76"/>
      <c r="R119" s="76"/>
      <c r="S119" s="76"/>
      <c r="T119" s="76"/>
      <c r="U119" s="76"/>
      <c r="V119" s="76"/>
      <c r="W119" s="78"/>
      <c r="X119" s="76"/>
      <c r="Y119" s="76"/>
      <c r="Z119" s="78"/>
      <c r="AA119" s="76"/>
      <c r="AB119" s="76"/>
      <c r="AC119" s="78"/>
      <c r="AD119" s="76"/>
      <c r="AE119" s="76"/>
    </row>
    <row r="120" customFormat="false" ht="15" hidden="false" customHeight="true" outlineLevel="0" collapsed="false">
      <c r="A120" s="74" t="n">
        <v>46308</v>
      </c>
      <c r="B120" s="75" t="s">
        <v>682</v>
      </c>
      <c r="C120" s="76" t="s">
        <v>683</v>
      </c>
      <c r="D120" s="76" t="n">
        <v>3.18</v>
      </c>
      <c r="E120" s="76" t="n">
        <v>3.18</v>
      </c>
      <c r="F120" s="76" t="n">
        <v>3.02</v>
      </c>
      <c r="G120" s="76" t="n">
        <v>0.397579331618511</v>
      </c>
      <c r="H120" s="76" t="n">
        <v>0.820985322596407</v>
      </c>
      <c r="I120" s="76" t="s">
        <v>178</v>
      </c>
      <c r="J120" s="75" t="s">
        <v>448</v>
      </c>
      <c r="K120" s="77"/>
      <c r="L120" s="78"/>
      <c r="M120" s="78"/>
      <c r="N120" s="76"/>
      <c r="O120" s="76"/>
      <c r="P120" s="76"/>
      <c r="Q120" s="76"/>
      <c r="R120" s="76"/>
      <c r="S120" s="76"/>
      <c r="T120" s="76"/>
      <c r="U120" s="76"/>
      <c r="V120" s="76"/>
      <c r="W120" s="78"/>
      <c r="X120" s="76"/>
      <c r="Y120" s="76"/>
      <c r="Z120" s="78"/>
      <c r="AA120" s="76"/>
      <c r="AB120" s="76"/>
      <c r="AC120" s="78"/>
      <c r="AD120" s="76"/>
      <c r="AE120" s="76"/>
    </row>
    <row r="121" customFormat="false" ht="15" hidden="false" customHeight="true" outlineLevel="0" collapsed="false">
      <c r="A121" s="74" t="n">
        <v>46308</v>
      </c>
      <c r="B121" s="75" t="s">
        <v>684</v>
      </c>
      <c r="C121" s="76" t="s">
        <v>685</v>
      </c>
      <c r="D121" s="76" t="n">
        <v>339</v>
      </c>
      <c r="E121" s="76" t="n">
        <v>339</v>
      </c>
      <c r="F121" s="76" t="n">
        <v>322.05</v>
      </c>
      <c r="G121" s="76" t="n">
        <v>0.383181747306152</v>
      </c>
      <c r="H121" s="76" t="n">
        <v>0.820555682587408</v>
      </c>
      <c r="I121" s="76" t="s">
        <v>178</v>
      </c>
      <c r="J121" s="75" t="s">
        <v>448</v>
      </c>
      <c r="K121" s="77"/>
      <c r="L121" s="78"/>
      <c r="M121" s="78"/>
      <c r="N121" s="76"/>
      <c r="O121" s="76"/>
      <c r="P121" s="76"/>
      <c r="Q121" s="76"/>
      <c r="R121" s="76"/>
      <c r="S121" s="76"/>
      <c r="T121" s="76"/>
      <c r="U121" s="76"/>
      <c r="V121" s="76"/>
      <c r="W121" s="78"/>
      <c r="X121" s="76"/>
      <c r="Y121" s="76"/>
      <c r="Z121" s="78"/>
      <c r="AA121" s="76"/>
      <c r="AB121" s="76"/>
      <c r="AC121" s="78"/>
      <c r="AD121" s="76"/>
      <c r="AE121" s="75" t="s">
        <v>686</v>
      </c>
    </row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</sheetData>
  <sheetProtection sheet="true" password="c42e"/>
  <autoFilter ref="A1:AE201"/>
  <conditionalFormatting sqref="L2:L201">
    <cfRule type="expression" priority="2" aboveAverage="0" equalAverage="0" bottom="0" percent="0" rank="0" text="" dxfId="9">
      <formula>L2="是"</formula>
    </cfRule>
    <cfRule type="expression" priority="3" aboveAverage="0" equalAverage="0" bottom="0" percent="0" rank="0" text="" dxfId="10">
      <formula>L2="否"</formula>
    </cfRule>
  </conditionalFormatting>
  <conditionalFormatting sqref="M2:M201">
    <cfRule type="expression" priority="4" aboveAverage="0" equalAverage="0" bottom="0" percent="0" rank="0" text="" dxfId="9">
      <formula>M2="是"</formula>
    </cfRule>
    <cfRule type="expression" priority="5" aboveAverage="0" equalAverage="0" bottom="0" percent="0" rank="0" text="" dxfId="10">
      <formula>M2="否"</formula>
    </cfRule>
  </conditionalFormatting>
  <conditionalFormatting sqref="W2:W201">
    <cfRule type="expression" priority="6" aboveAverage="0" equalAverage="0" bottom="0" percent="0" rank="0" text="" dxfId="9">
      <formula>W2="是"</formula>
    </cfRule>
    <cfRule type="expression" priority="7" aboveAverage="0" equalAverage="0" bottom="0" percent="0" rank="0" text="" dxfId="10">
      <formula>W2="否"</formula>
    </cfRule>
  </conditionalFormatting>
  <conditionalFormatting sqref="AC2:AC201">
    <cfRule type="expression" priority="8" aboveAverage="0" equalAverage="0" bottom="0" percent="0" rank="0" text="" dxfId="9">
      <formula>AC2="是"</formula>
    </cfRule>
    <cfRule type="expression" priority="9" aboveAverage="0" equalAverage="0" bottom="0" percent="0" rank="0" text="" dxfId="10">
      <formula>AC2="否"</formula>
    </cfRule>
  </conditionalFormatting>
  <conditionalFormatting sqref="Z2:Z201">
    <cfRule type="expression" priority="10" aboveAverage="0" equalAverage="0" bottom="0" percent="0" rank="0" text="" dxfId="10">
      <formula>Z2="是"</formula>
    </cfRule>
  </conditionalFormatting>
  <dataValidations count="2">
    <dataValidation allowBlank="true" errorStyle="stop" operator="between" showDropDown="false" showErrorMessage="false" showInputMessage="false" sqref="I2:I201" type="list">
      <formula1>"True,False"</formula1>
      <formula2>0</formula2>
    </dataValidation>
    <dataValidation allowBlank="true" errorStyle="stop" operator="between" showDropDown="false" showErrorMessage="false" showInputMessage="false" sqref="J2:J201" type="list">
      <formula1>"一买,一卖,无"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26"/>
    <col collapsed="false" customWidth="true" hidden="false" outlineLevel="0" max="14" min="14" style="1" width="12"/>
    <col collapsed="false" customWidth="true" hidden="false" outlineLevel="0" max="15" min="15" style="1" width="26"/>
    <col collapsed="false" customWidth="true" hidden="false" outlineLevel="0" max="16" min="16" style="1" width="12"/>
    <col collapsed="false" customWidth="true" hidden="false" outlineLevel="0" max="18" min="17" style="1" width="13"/>
    <col collapsed="false" customWidth="true" hidden="false" outlineLevel="0" max="20" min="19" style="1" width="12"/>
    <col collapsed="false" customWidth="true" hidden="false" outlineLevel="0" max="21" min="21" style="1" width="26"/>
    <col collapsed="false" customWidth="true" hidden="false" outlineLevel="0" max="22" min="22" style="1" width="10"/>
    <col collapsed="false" customWidth="true" hidden="false" outlineLevel="0" max="23" min="23" style="1" width="13"/>
    <col collapsed="false" customWidth="true" hidden="false" outlineLevel="0" max="26" min="24" style="1" width="10"/>
    <col collapsed="false" customWidth="true" hidden="false" outlineLevel="0" max="27" min="27" style="1" width="13"/>
  </cols>
  <sheetData>
    <row r="1" customFormat="false" ht="15" hidden="false" customHeight="true" outlineLevel="0" collapsed="false">
      <c r="A1" s="2" t="s">
        <v>687</v>
      </c>
      <c r="B1" s="2" t="s">
        <v>345</v>
      </c>
      <c r="C1" s="2" t="s">
        <v>346</v>
      </c>
      <c r="D1" s="2" t="s">
        <v>688</v>
      </c>
      <c r="E1" s="2" t="s">
        <v>689</v>
      </c>
      <c r="F1" s="2" t="s">
        <v>690</v>
      </c>
      <c r="G1" s="2" t="s">
        <v>691</v>
      </c>
      <c r="H1" s="2" t="s">
        <v>692</v>
      </c>
      <c r="I1" s="2" t="s">
        <v>693</v>
      </c>
      <c r="J1" s="2" t="s">
        <v>694</v>
      </c>
      <c r="K1" s="2" t="s">
        <v>695</v>
      </c>
      <c r="L1" s="2" t="s">
        <v>696</v>
      </c>
      <c r="M1" s="2" t="s">
        <v>697</v>
      </c>
      <c r="N1" s="2" t="s">
        <v>698</v>
      </c>
      <c r="O1" s="2" t="s">
        <v>699</v>
      </c>
      <c r="P1" s="2" t="s">
        <v>700</v>
      </c>
      <c r="Q1" s="2" t="s">
        <v>701</v>
      </c>
      <c r="R1" s="2" t="s">
        <v>702</v>
      </c>
      <c r="S1" s="2" t="s">
        <v>703</v>
      </c>
      <c r="T1" s="2" t="s">
        <v>704</v>
      </c>
      <c r="U1" s="2" t="s">
        <v>6</v>
      </c>
      <c r="V1" s="79" t="s">
        <v>705</v>
      </c>
      <c r="W1" s="79" t="s">
        <v>706</v>
      </c>
      <c r="X1" s="80" t="s">
        <v>707</v>
      </c>
      <c r="Y1" s="79" t="s">
        <v>708</v>
      </c>
      <c r="Z1" s="79" t="s">
        <v>709</v>
      </c>
      <c r="AA1" s="79" t="s">
        <v>710</v>
      </c>
    </row>
    <row r="2" customFormat="false" ht="15" hidden="false" customHeight="true" outlineLevel="0" collapsed="false">
      <c r="A2" s="29" t="s">
        <v>711</v>
      </c>
      <c r="B2" s="28" t="s">
        <v>660</v>
      </c>
      <c r="C2" s="29" t="s">
        <v>661</v>
      </c>
      <c r="D2" s="28" t="s">
        <v>712</v>
      </c>
      <c r="E2" s="28" t="s">
        <v>448</v>
      </c>
      <c r="F2" s="34" t="n">
        <v>26.66</v>
      </c>
      <c r="G2" s="37" t="n">
        <v>100</v>
      </c>
      <c r="H2" s="35" t="n">
        <v>2666</v>
      </c>
      <c r="I2" s="34"/>
      <c r="J2" s="37"/>
      <c r="K2" s="36"/>
      <c r="L2" s="34"/>
      <c r="M2" s="28"/>
      <c r="N2" s="29"/>
      <c r="O2" s="28" t="s">
        <v>713</v>
      </c>
      <c r="P2" s="29"/>
      <c r="Q2" s="28"/>
      <c r="R2" s="40"/>
      <c r="S2" s="29"/>
      <c r="T2" s="29"/>
      <c r="U2" s="28"/>
      <c r="V2" s="1" t="str">
        <f aca="false">IF($A2="","",IF(OR(D2="卖出",D2="分红"),IFERROR(INDEX($F$2:$F1,MATCH(2,1/($C$2:$C1=$C2))),""),""))</f>
        <v/>
      </c>
      <c r="W2" s="81" t="n">
        <f aca="false">IF($A2="","",IF(D2="买入",IF(AND(ISNUMBER(L2),L2&gt;0),(F2-L2)*G2,0),0))</f>
        <v>0</v>
      </c>
      <c r="X2" s="82" t="n">
        <v>0</v>
      </c>
      <c r="Y2" s="82" t="n">
        <v>0</v>
      </c>
      <c r="Z2" s="1" t="str">
        <f aca="false">IF($A2="","",IF(X2&gt;0,"胜1",IF(X2&lt;0,"亏1","平")))</f>
        <v>平</v>
      </c>
      <c r="AA2" s="83" t="n">
        <f aca="false">IF($A2="","",0)</f>
        <v>0</v>
      </c>
    </row>
    <row r="3" customFormat="false" ht="15" hidden="false" customHeight="true" outlineLevel="0" collapsed="false">
      <c r="A3" s="31" t="s">
        <v>714</v>
      </c>
      <c r="B3" s="30" t="s">
        <v>715</v>
      </c>
      <c r="C3" s="31" t="s">
        <v>716</v>
      </c>
      <c r="D3" s="30" t="s">
        <v>712</v>
      </c>
      <c r="E3" s="30" t="s">
        <v>448</v>
      </c>
      <c r="F3" s="44" t="n">
        <v>6.19</v>
      </c>
      <c r="G3" s="45" t="n">
        <v>800</v>
      </c>
      <c r="H3" s="35" t="n">
        <v>4952</v>
      </c>
      <c r="I3" s="44"/>
      <c r="J3" s="45"/>
      <c r="K3" s="36"/>
      <c r="L3" s="44"/>
      <c r="M3" s="30"/>
      <c r="N3" s="31"/>
      <c r="O3" s="30" t="s">
        <v>713</v>
      </c>
      <c r="P3" s="31"/>
      <c r="Q3" s="30"/>
      <c r="R3" s="46"/>
      <c r="S3" s="31"/>
      <c r="T3" s="31"/>
      <c r="U3" s="30"/>
      <c r="V3" s="1" t="str">
        <f aca="false">IF($A3="","",IF(OR(D3="卖出",D3="分红"),IFERROR(INDEX($F$2:$F2,MATCH(2,1/($C$2:$C2=$C3))),""),""))</f>
        <v/>
      </c>
      <c r="W3" s="81" t="n">
        <f aca="false">IF($A3="","",IF(D3="买入",IF(AND(ISNUMBER(L3),L3&gt;0),(F3-L3)*G3,0),0))</f>
        <v>0</v>
      </c>
      <c r="X3" s="82" t="n">
        <v>0</v>
      </c>
      <c r="Y3" s="82" t="n">
        <v>0</v>
      </c>
      <c r="Z3" s="1" t="str">
        <f aca="false">IF($A3="","",IF(X3&gt;0,IF(LEFT(Z2,1)="胜","胜"&amp;VALUE(RIGHT(Z2,LEN(Z2)-1))+1,"胜1"),IF(X3&lt;0,IF(LEFT(Z2,1)="亏","亏"&amp;VALUE(RIGHT(Z2,LEN(Z2)-1))+1,"亏1"),"平")))</f>
        <v>平</v>
      </c>
      <c r="AA3" s="83" t="n">
        <f aca="false">IF($A3="","",MAX(0,(MAX($Y$2:Y3)-Y3)/MAX(1,MAX($Y$2:Y3))))</f>
        <v>0</v>
      </c>
    </row>
    <row r="4" customFormat="false" ht="15" hidden="false" customHeight="true" outlineLevel="0" collapsed="false">
      <c r="A4" s="29" t="s">
        <v>717</v>
      </c>
      <c r="B4" s="28" t="s">
        <v>660</v>
      </c>
      <c r="C4" s="29" t="s">
        <v>661</v>
      </c>
      <c r="D4" s="28" t="s">
        <v>718</v>
      </c>
      <c r="E4" s="28" t="s">
        <v>719</v>
      </c>
      <c r="F4" s="34" t="n">
        <v>26.193</v>
      </c>
      <c r="G4" s="37" t="n">
        <v>100</v>
      </c>
      <c r="H4" s="35" t="n">
        <v>2619.3</v>
      </c>
      <c r="I4" s="34"/>
      <c r="J4" s="37"/>
      <c r="K4" s="36"/>
      <c r="L4" s="34"/>
      <c r="M4" s="28"/>
      <c r="N4" s="29"/>
      <c r="O4" s="28" t="s">
        <v>720</v>
      </c>
      <c r="P4" s="29"/>
      <c r="Q4" s="28"/>
      <c r="R4" s="40"/>
      <c r="S4" s="29"/>
      <c r="T4" s="29"/>
      <c r="U4" s="28"/>
      <c r="V4" s="43" t="n">
        <f aca="false">IF($A4="","",IF(OR(D4="卖出",D4="分红"),IFERROR(INDEX($F$2:$F3,MATCH(2,1/($C$2:$C3=$C4))),""),""))</f>
        <v>26.66</v>
      </c>
      <c r="W4" s="81" t="n">
        <f aca="false">IF($A4="","",IF(D4="买入",IF(AND(ISNUMBER(L4),L4&gt;0),(F4-L4)*G4,0),0))</f>
        <v>0</v>
      </c>
      <c r="X4" s="82" t="n">
        <v>-0.350338</v>
      </c>
      <c r="Y4" s="82" t="n">
        <v>-0.350338</v>
      </c>
      <c r="Z4" s="1" t="str">
        <f aca="false">IF($A4="","",IF(X4&gt;0,IF(LEFT(Z3,1)="胜","胜"&amp;VALUE(RIGHT(Z3,LEN(Z3)-1))+1,"胜1"),IF(X4&lt;0,IF(LEFT(Z3,1)="亏","亏"&amp;VALUE(RIGHT(Z3,LEN(Z3)-1))+1,"亏1"),"平")))</f>
        <v>亏1</v>
      </c>
      <c r="AA4" s="83" t="n">
        <f aca="false">IF($A4="","",MAX(0,(MAX($Y$2:Y4)-Y4)/MAX(1,MAX($Y$2:Y4))))</f>
        <v>0.350338</v>
      </c>
    </row>
    <row r="5" customFormat="false" ht="15" hidden="false" customHeight="true" outlineLevel="0" collapsed="false">
      <c r="A5" s="31" t="s">
        <v>721</v>
      </c>
      <c r="B5" s="30" t="s">
        <v>715</v>
      </c>
      <c r="C5" s="31" t="s">
        <v>716</v>
      </c>
      <c r="D5" s="30" t="s">
        <v>718</v>
      </c>
      <c r="E5" s="30" t="s">
        <v>719</v>
      </c>
      <c r="F5" s="44" t="n">
        <v>9.001</v>
      </c>
      <c r="G5" s="45" t="n">
        <v>800</v>
      </c>
      <c r="H5" s="35" t="n">
        <v>7200.8</v>
      </c>
      <c r="I5" s="44"/>
      <c r="J5" s="45"/>
      <c r="K5" s="36"/>
      <c r="L5" s="44"/>
      <c r="M5" s="30"/>
      <c r="N5" s="31"/>
      <c r="O5" s="30" t="s">
        <v>722</v>
      </c>
      <c r="P5" s="31"/>
      <c r="Q5" s="30"/>
      <c r="R5" s="46"/>
      <c r="S5" s="31"/>
      <c r="T5" s="31"/>
      <c r="U5" s="30"/>
      <c r="V5" s="43" t="n">
        <f aca="false">IF($A5="","",IF(OR(D5="卖出",D5="分红"),IFERROR(INDEX($F$2:$F4,MATCH(2,1/($C$2:$C4=$C5))),""),""))</f>
        <v>6.19</v>
      </c>
      <c r="W5" s="81" t="n">
        <f aca="false">IF($A5="","",IF(D5="买入",IF(AND(ISNUMBER(L5),L5&gt;0),(F5-L5)*G5,0),0))</f>
        <v>0</v>
      </c>
      <c r="X5" s="82" t="n">
        <v>9.082391</v>
      </c>
      <c r="Y5" s="82" t="n">
        <v>8.732053</v>
      </c>
      <c r="Z5" s="1" t="str">
        <f aca="false">IF($A5="","",IF(X5&gt;0,IF(LEFT(Z4,1)="胜","胜"&amp;VALUE(RIGHT(Z4,LEN(Z4)-1))+1,"胜1"),IF(X5&lt;0,IF(LEFT(Z4,1)="亏","亏"&amp;VALUE(RIGHT(Z4,LEN(Z4)-1))+1,"亏1"),"平")))</f>
        <v>胜1</v>
      </c>
      <c r="AA5" s="83" t="n">
        <f aca="false">IF($A5="","",MAX(0,(MAX($Y$2:Y5)-Y5)/MAX(1,MAX($Y$2:Y5))))</f>
        <v>0</v>
      </c>
    </row>
    <row r="6" customFormat="false" ht="15" hidden="false" customHeight="true" outlineLevel="0" collapsed="false">
      <c r="A6" s="29" t="s">
        <v>723</v>
      </c>
      <c r="B6" s="28" t="s">
        <v>618</v>
      </c>
      <c r="C6" s="29" t="s">
        <v>619</v>
      </c>
      <c r="D6" s="28" t="s">
        <v>712</v>
      </c>
      <c r="E6" s="28" t="s">
        <v>448</v>
      </c>
      <c r="F6" s="34" t="n">
        <v>78.81</v>
      </c>
      <c r="G6" s="37" t="n">
        <v>300</v>
      </c>
      <c r="H6" s="35" t="n">
        <v>23643</v>
      </c>
      <c r="I6" s="34"/>
      <c r="J6" s="37"/>
      <c r="K6" s="36"/>
      <c r="L6" s="34"/>
      <c r="M6" s="28"/>
      <c r="N6" s="29"/>
      <c r="O6" s="28" t="s">
        <v>724</v>
      </c>
      <c r="P6" s="29"/>
      <c r="Q6" s="28"/>
      <c r="R6" s="40"/>
      <c r="S6" s="29"/>
      <c r="T6" s="29"/>
      <c r="U6" s="28"/>
      <c r="V6" s="1" t="str">
        <f aca="false">IF($A6="","",IF(OR(D6="卖出",D6="分红"),IFERROR(INDEX($F$2:$F5,MATCH(2,1/($C$2:$C5=$C6))),""),""))</f>
        <v/>
      </c>
      <c r="W6" s="81" t="n">
        <f aca="false">IF($A6="","",IF(D6="买入",IF(AND(ISNUMBER(L6),L6&gt;0),(F6-L6)*G6,0),0))</f>
        <v>0</v>
      </c>
      <c r="X6" s="82" t="n">
        <v>0</v>
      </c>
      <c r="Y6" s="82" t="n">
        <v>8.732053</v>
      </c>
      <c r="Z6" s="1" t="str">
        <f aca="false">IF($A6="","",IF(X6&gt;0,IF(LEFT(Z5,1)="胜","胜"&amp;VALUE(RIGHT(Z5,LEN(Z5)-1))+1,"胜1"),IF(X6&lt;0,IF(LEFT(Z5,1)="亏","亏"&amp;VALUE(RIGHT(Z5,LEN(Z5)-1))+1,"亏1"),"平")))</f>
        <v>平</v>
      </c>
      <c r="AA6" s="83" t="n">
        <f aca="false">IF($A6="","",MAX(0,(MAX($Y$2:Y6)-Y6)/MAX(1,MAX($Y$2:Y6))))</f>
        <v>0</v>
      </c>
    </row>
    <row r="7" customFormat="false" ht="15" hidden="false" customHeight="true" outlineLevel="0" collapsed="false">
      <c r="A7" s="31" t="s">
        <v>725</v>
      </c>
      <c r="B7" s="30" t="s">
        <v>618</v>
      </c>
      <c r="C7" s="31" t="s">
        <v>619</v>
      </c>
      <c r="D7" s="30" t="s">
        <v>718</v>
      </c>
      <c r="E7" s="30" t="s">
        <v>726</v>
      </c>
      <c r="F7" s="44" t="n">
        <v>85</v>
      </c>
      <c r="G7" s="45" t="n">
        <v>300</v>
      </c>
      <c r="H7" s="35" t="n">
        <v>25500</v>
      </c>
      <c r="I7" s="44"/>
      <c r="J7" s="45"/>
      <c r="K7" s="36"/>
      <c r="L7" s="44"/>
      <c r="M7" s="30"/>
      <c r="N7" s="31"/>
      <c r="O7" s="31" t="s">
        <v>727</v>
      </c>
      <c r="P7" s="31"/>
      <c r="Q7" s="30"/>
      <c r="R7" s="46"/>
      <c r="S7" s="31"/>
      <c r="T7" s="31"/>
      <c r="U7" s="30"/>
      <c r="V7" s="43" t="str">
        <f aca="false">IF($A7="","",IF(OR(D7="卖出",D7="分红"),IFERROR(INDEX($F$2:$F6,MATCH(2,1/($C$2:$C6=$C7))),""),""))</f>
        <v/>
      </c>
      <c r="W7" s="81" t="n">
        <f aca="false">IF($A7="","",IF(D7="买入",IF(AND(ISNUMBER(L7),L7&gt;0),(F7-L7)*G7,0),0))</f>
        <v>0</v>
      </c>
      <c r="X7" s="82" t="n">
        <v>1.570867</v>
      </c>
      <c r="Y7" s="82" t="n">
        <v>10.30292</v>
      </c>
      <c r="Z7" s="1" t="str">
        <f aca="false">IF($A7="","",IF(X7&gt;0,IF(LEFT(Z6,1)="胜","胜"&amp;VALUE(RIGHT(Z6,LEN(Z6)-1))+1,"胜1"),IF(X7&lt;0,IF(LEFT(Z6,1)="亏","亏"&amp;VALUE(RIGHT(Z6,LEN(Z6)-1))+1,"亏1"),"平")))</f>
        <v>胜1</v>
      </c>
      <c r="AA7" s="83" t="n">
        <f aca="false">IF($A7="","",MAX(0,(MAX($Y$2:Y7)-Y7)/MAX(1,MAX($Y$2:Y7))))</f>
        <v>0</v>
      </c>
    </row>
    <row r="8" customFormat="false" ht="15" hidden="false" customHeight="true" outlineLevel="0" collapsed="false">
      <c r="A8" s="29" t="s">
        <v>725</v>
      </c>
      <c r="B8" s="28" t="s">
        <v>618</v>
      </c>
      <c r="C8" s="29" t="s">
        <v>619</v>
      </c>
      <c r="D8" s="28" t="s">
        <v>712</v>
      </c>
      <c r="E8" s="28" t="s">
        <v>726</v>
      </c>
      <c r="F8" s="34" t="n">
        <v>83</v>
      </c>
      <c r="G8" s="37" t="n">
        <v>300</v>
      </c>
      <c r="H8" s="35" t="n">
        <v>24900</v>
      </c>
      <c r="I8" s="34"/>
      <c r="J8" s="37"/>
      <c r="K8" s="36"/>
      <c r="L8" s="34"/>
      <c r="M8" s="28"/>
      <c r="N8" s="29"/>
      <c r="O8" s="29" t="s">
        <v>728</v>
      </c>
      <c r="P8" s="29"/>
      <c r="Q8" s="28"/>
      <c r="R8" s="40"/>
      <c r="S8" s="29"/>
      <c r="T8" s="29"/>
      <c r="U8" s="28"/>
      <c r="V8" s="1" t="str">
        <f aca="false">IF($A8="","",IF(OR(D8="卖出",D8="分红"),IFERROR(INDEX($F$2:$F7,MATCH(2,1/($C$2:$C7=$C8))),""),""))</f>
        <v/>
      </c>
      <c r="W8" s="81" t="n">
        <f aca="false">IF($A8="","",IF(D8="买入",IF(AND(ISNUMBER(L8),L8&gt;0),(F8-L8)*G8,0),0))</f>
        <v>0</v>
      </c>
      <c r="X8" s="82" t="n">
        <v>0</v>
      </c>
      <c r="Y8" s="82" t="n">
        <v>10.30292</v>
      </c>
      <c r="Z8" s="1" t="str">
        <f aca="false">IF($A8="","",IF(X8&gt;0,IF(LEFT(Z7,1)="胜","胜"&amp;VALUE(RIGHT(Z7,LEN(Z7)-1))+1,"胜1"),IF(X8&lt;0,IF(LEFT(Z7,1)="亏","亏"&amp;VALUE(RIGHT(Z7,LEN(Z7)-1))+1,"亏1"),"平")))</f>
        <v>平</v>
      </c>
      <c r="AA8" s="83" t="n">
        <f aca="false">IF($A8="","",MAX(0,(MAX($Y$2:Y8)-Y8)/MAX(1,MAX($Y$2:Y8))))</f>
        <v>0</v>
      </c>
    </row>
    <row r="9" customFormat="false" ht="15" hidden="false" customHeight="true" outlineLevel="0" collapsed="false">
      <c r="A9" s="31" t="s">
        <v>729</v>
      </c>
      <c r="B9" s="30" t="s">
        <v>618</v>
      </c>
      <c r="C9" s="31" t="s">
        <v>619</v>
      </c>
      <c r="D9" s="30" t="s">
        <v>718</v>
      </c>
      <c r="E9" s="30" t="s">
        <v>726</v>
      </c>
      <c r="F9" s="44" t="n">
        <v>95</v>
      </c>
      <c r="G9" s="45" t="n">
        <v>300</v>
      </c>
      <c r="H9" s="35" t="n">
        <v>28500</v>
      </c>
      <c r="I9" s="44"/>
      <c r="J9" s="45"/>
      <c r="K9" s="36"/>
      <c r="L9" s="44"/>
      <c r="M9" s="30"/>
      <c r="N9" s="31"/>
      <c r="O9" s="31" t="s">
        <v>727</v>
      </c>
      <c r="P9" s="31"/>
      <c r="Q9" s="30"/>
      <c r="R9" s="46"/>
      <c r="S9" s="31"/>
      <c r="T9" s="31"/>
      <c r="U9" s="30"/>
      <c r="V9" s="43" t="str">
        <f aca="false">IF($A9="","",IF(OR(D9="卖出",D9="分红"),IFERROR(INDEX($F$2:$F8,MATCH(2,1/($C$2:$C8=$C9))),""),""))</f>
        <v/>
      </c>
      <c r="W9" s="81" t="n">
        <f aca="false">IF($A9="","",IF(D9="买入",IF(AND(ISNUMBER(L9),L9&gt;0),(F9-L9)*G9,0),0))</f>
        <v>0</v>
      </c>
      <c r="X9" s="82" t="n">
        <v>2.891566</v>
      </c>
      <c r="Y9" s="82" t="n">
        <v>13.194486</v>
      </c>
      <c r="Z9" s="1" t="str">
        <f aca="false">IF($A9="","",IF(X9&gt;0,IF(LEFT(Z8,1)="胜","胜"&amp;VALUE(RIGHT(Z8,LEN(Z8)-1))+1,"胜1"),IF(X9&lt;0,IF(LEFT(Z8,1)="亏","亏"&amp;VALUE(RIGHT(Z8,LEN(Z8)-1))+1,"亏1"),"平")))</f>
        <v>胜1</v>
      </c>
      <c r="AA9" s="83" t="n">
        <f aca="false">IF($A9="","",MAX(0,(MAX($Y$2:Y9)-Y9)/MAX(1,MAX($Y$2:Y9))))</f>
        <v>0</v>
      </c>
    </row>
    <row r="10" customFormat="false" ht="15" hidden="false" customHeight="true" outlineLevel="0" collapsed="false">
      <c r="A10" s="29" t="s">
        <v>729</v>
      </c>
      <c r="B10" s="28" t="s">
        <v>618</v>
      </c>
      <c r="C10" s="29" t="s">
        <v>619</v>
      </c>
      <c r="D10" s="28" t="s">
        <v>712</v>
      </c>
      <c r="E10" s="28" t="s">
        <v>726</v>
      </c>
      <c r="F10" s="34" t="n">
        <v>93</v>
      </c>
      <c r="G10" s="37" t="n">
        <v>300</v>
      </c>
      <c r="H10" s="35" t="n">
        <v>27900</v>
      </c>
      <c r="I10" s="34"/>
      <c r="J10" s="37"/>
      <c r="K10" s="36"/>
      <c r="L10" s="34"/>
      <c r="M10" s="28"/>
      <c r="N10" s="29"/>
      <c r="O10" s="29" t="s">
        <v>728</v>
      </c>
      <c r="P10" s="29"/>
      <c r="Q10" s="28"/>
      <c r="R10" s="40"/>
      <c r="S10" s="29"/>
      <c r="T10" s="29"/>
      <c r="U10" s="28"/>
      <c r="V10" s="1" t="str">
        <f aca="false">IF($A10="","",IF(OR(D10="卖出",D10="分红"),IFERROR(INDEX($F$2:$F9,MATCH(2,1/($C$2:$C9=$C10))),""),""))</f>
        <v/>
      </c>
      <c r="W10" s="81" t="n">
        <f aca="false">IF($A10="","",IF(D10="买入",IF(AND(ISNUMBER(L10),L10&gt;0),(F10-L10)*G10,0),0))</f>
        <v>0</v>
      </c>
      <c r="X10" s="82" t="n">
        <v>0</v>
      </c>
      <c r="Y10" s="82" t="n">
        <v>13.194486</v>
      </c>
      <c r="Z10" s="1" t="str">
        <f aca="false">IF($A10="","",IF(X10&gt;0,IF(LEFT(Z9,1)="胜","胜"&amp;VALUE(RIGHT(Z9,LEN(Z9)-1))+1,"胜1"),IF(X10&lt;0,IF(LEFT(Z9,1)="亏","亏"&amp;VALUE(RIGHT(Z9,LEN(Z9)-1))+1,"亏1"),"平")))</f>
        <v>平</v>
      </c>
      <c r="AA10" s="83" t="n">
        <f aca="false">IF($A10="","",MAX(0,(MAX($Y$2:Y10)-Y10)/MAX(1,MAX($Y$2:Y10))))</f>
        <v>0</v>
      </c>
    </row>
    <row r="11" customFormat="false" ht="15" hidden="false" customHeight="true" outlineLevel="0" collapsed="false">
      <c r="A11" s="31" t="s">
        <v>730</v>
      </c>
      <c r="B11" s="30" t="s">
        <v>618</v>
      </c>
      <c r="C11" s="31" t="s">
        <v>619</v>
      </c>
      <c r="D11" s="30" t="s">
        <v>718</v>
      </c>
      <c r="E11" s="30" t="s">
        <v>719</v>
      </c>
      <c r="F11" s="44" t="n">
        <v>101.947</v>
      </c>
      <c r="G11" s="45" t="n">
        <v>300</v>
      </c>
      <c r="H11" s="35" t="n">
        <v>30584.1</v>
      </c>
      <c r="I11" s="44"/>
      <c r="J11" s="45"/>
      <c r="K11" s="36"/>
      <c r="L11" s="44"/>
      <c r="M11" s="30"/>
      <c r="N11" s="31"/>
      <c r="O11" s="30" t="s">
        <v>731</v>
      </c>
      <c r="P11" s="31"/>
      <c r="Q11" s="30"/>
      <c r="R11" s="46"/>
      <c r="S11" s="31"/>
      <c r="T11" s="31"/>
      <c r="U11" s="30"/>
      <c r="V11" s="43" t="n">
        <f aca="false">IF($A11="","",IF(OR(D11="卖出",D11="分红"),IFERROR(INDEX($F$2:$F10,MATCH(2,1/($C$2:$C10=$C11))),""),""))</f>
        <v>93</v>
      </c>
      <c r="W11" s="81" t="n">
        <f aca="false">IF($A11="","",IF(D11="买入",IF(AND(ISNUMBER(L11),L11&gt;0),(F11-L11)*G11,0),0))</f>
        <v>0</v>
      </c>
      <c r="X11" s="82" t="n">
        <v>1.924086</v>
      </c>
      <c r="Y11" s="82" t="n">
        <v>15.118572</v>
      </c>
      <c r="Z11" s="1" t="str">
        <f aca="false">IF($A11="","",IF(X11&gt;0,IF(LEFT(Z10,1)="胜","胜"&amp;VALUE(RIGHT(Z10,LEN(Z10)-1))+1,"胜1"),IF(X11&lt;0,IF(LEFT(Z10,1)="亏","亏"&amp;VALUE(RIGHT(Z10,LEN(Z10)-1))+1,"亏1"),"平")))</f>
        <v>胜1</v>
      </c>
      <c r="AA11" s="83" t="n">
        <f aca="false">IF($A11="","",MAX(0,(MAX($Y$2:Y11)-Y11)/MAX(1,MAX($Y$2:Y11))))</f>
        <v>0</v>
      </c>
    </row>
    <row r="12" customFormat="false" ht="15" hidden="false" customHeight="true" outlineLevel="0" collapsed="false">
      <c r="A12" s="29" t="s">
        <v>732</v>
      </c>
      <c r="B12" s="28" t="s">
        <v>733</v>
      </c>
      <c r="C12" s="29" t="s">
        <v>734</v>
      </c>
      <c r="D12" s="28" t="s">
        <v>712</v>
      </c>
      <c r="E12" s="28" t="s">
        <v>448</v>
      </c>
      <c r="F12" s="34" t="n">
        <v>27.983</v>
      </c>
      <c r="G12" s="37" t="n">
        <v>300</v>
      </c>
      <c r="H12" s="35" t="n">
        <v>8394.9</v>
      </c>
      <c r="I12" s="34"/>
      <c r="J12" s="37"/>
      <c r="K12" s="36"/>
      <c r="L12" s="34"/>
      <c r="M12" s="28"/>
      <c r="N12" s="29"/>
      <c r="O12" s="28" t="s">
        <v>735</v>
      </c>
      <c r="P12" s="29"/>
      <c r="Q12" s="28"/>
      <c r="R12" s="40"/>
      <c r="S12" s="29"/>
      <c r="T12" s="29"/>
      <c r="U12" s="28"/>
      <c r="V12" s="1" t="str">
        <f aca="false">IF($A12="","",IF(OR(D12="卖出",D12="分红"),IFERROR(INDEX($F$2:$F11,MATCH(2,1/($C$2:$C11=$C12))),""),""))</f>
        <v/>
      </c>
      <c r="W12" s="81" t="n">
        <f aca="false">IF($A12="","",IF(D12="买入",IF(AND(ISNUMBER(L12),L12&gt;0),(F12-L12)*G12,0),0))</f>
        <v>0</v>
      </c>
      <c r="X12" s="82" t="n">
        <v>0</v>
      </c>
      <c r="Y12" s="82" t="n">
        <v>15.118572</v>
      </c>
      <c r="Z12" s="1" t="str">
        <f aca="false">IF($A12="","",IF(X12&gt;0,IF(LEFT(Z11,1)="胜","胜"&amp;VALUE(RIGHT(Z11,LEN(Z11)-1))+1,"胜1"),IF(X12&lt;0,IF(LEFT(Z11,1)="亏","亏"&amp;VALUE(RIGHT(Z11,LEN(Z11)-1))+1,"亏1"),"平")))</f>
        <v>平</v>
      </c>
      <c r="AA12" s="83" t="n">
        <f aca="false">IF($A12="","",MAX(0,(MAX($Y$2:Y12)-Y12)/MAX(1,MAX($Y$2:Y12))))</f>
        <v>0</v>
      </c>
    </row>
    <row r="13" customFormat="false" ht="15" hidden="false" customHeight="true" outlineLevel="0" collapsed="false">
      <c r="A13" s="31" t="s">
        <v>736</v>
      </c>
      <c r="B13" s="30" t="s">
        <v>375</v>
      </c>
      <c r="C13" s="31" t="s">
        <v>376</v>
      </c>
      <c r="D13" s="30" t="s">
        <v>712</v>
      </c>
      <c r="E13" s="30" t="s">
        <v>448</v>
      </c>
      <c r="F13" s="44" t="n">
        <v>5.327</v>
      </c>
      <c r="G13" s="45" t="n">
        <v>600</v>
      </c>
      <c r="H13" s="35" t="n">
        <v>3196.2</v>
      </c>
      <c r="I13" s="44"/>
      <c r="J13" s="45"/>
      <c r="K13" s="36"/>
      <c r="L13" s="44"/>
      <c r="M13" s="30"/>
      <c r="N13" s="31"/>
      <c r="O13" s="30" t="s">
        <v>737</v>
      </c>
      <c r="P13" s="31"/>
      <c r="Q13" s="30"/>
      <c r="R13" s="46"/>
      <c r="S13" s="31"/>
      <c r="T13" s="31"/>
      <c r="U13" s="30"/>
      <c r="V13" s="1" t="str">
        <f aca="false">IF($A13="","",IF(OR(D13="卖出",D13="分红"),IFERROR(INDEX($F$2:$F12,MATCH(2,1/($C$2:$C12=$C13))),""),""))</f>
        <v/>
      </c>
      <c r="W13" s="81" t="n">
        <f aca="false">IF($A13="","",IF(D13="买入",IF(AND(ISNUMBER(L13),L13&gt;0),(F13-L13)*G13,0),0))</f>
        <v>0</v>
      </c>
      <c r="X13" s="82" t="n">
        <v>0</v>
      </c>
      <c r="Y13" s="82" t="n">
        <v>15.118572</v>
      </c>
      <c r="Z13" s="1" t="str">
        <f aca="false">IF($A13="","",IF(X13&gt;0,IF(LEFT(Z12,1)="胜","胜"&amp;VALUE(RIGHT(Z12,LEN(Z12)-1))+1,"胜1"),IF(X13&lt;0,IF(LEFT(Z12,1)="亏","亏"&amp;VALUE(RIGHT(Z12,LEN(Z12)-1))+1,"亏1"),"平")))</f>
        <v>平</v>
      </c>
      <c r="AA13" s="83" t="n">
        <f aca="false">IF($A13="","",MAX(0,(MAX($Y$2:Y13)-Y13)/MAX(1,MAX($Y$2:Y13))))</f>
        <v>0</v>
      </c>
    </row>
    <row r="14" customFormat="false" ht="15" hidden="false" customHeight="true" outlineLevel="0" collapsed="false">
      <c r="A14" s="29" t="s">
        <v>738</v>
      </c>
      <c r="B14" s="28" t="s">
        <v>375</v>
      </c>
      <c r="C14" s="29" t="s">
        <v>376</v>
      </c>
      <c r="D14" s="28" t="s">
        <v>718</v>
      </c>
      <c r="E14" s="28" t="s">
        <v>719</v>
      </c>
      <c r="F14" s="34" t="n">
        <v>5.22</v>
      </c>
      <c r="G14" s="37" t="n">
        <v>600</v>
      </c>
      <c r="H14" s="35" t="n">
        <v>3132</v>
      </c>
      <c r="I14" s="34"/>
      <c r="J14" s="37"/>
      <c r="K14" s="36"/>
      <c r="L14" s="34"/>
      <c r="M14" s="28"/>
      <c r="N14" s="29"/>
      <c r="O14" s="28" t="s">
        <v>739</v>
      </c>
      <c r="P14" s="29"/>
      <c r="Q14" s="28"/>
      <c r="R14" s="40"/>
      <c r="S14" s="29"/>
      <c r="T14" s="29"/>
      <c r="U14" s="28"/>
      <c r="V14" s="43" t="str">
        <f aca="false">IF($A14="","",IF(OR(D14="卖出",D14="分红"),IFERROR(INDEX($F$2:$F13,MATCH(2,1/($C$2:$C13=$C14))),""),""))</f>
        <v/>
      </c>
      <c r="W14" s="81" t="n">
        <f aca="false">IF($A14="","",IF(D14="买入",IF(AND(ISNUMBER(L14),L14&gt;0),(F14-L14)*G14,0),0))</f>
        <v>0</v>
      </c>
      <c r="X14" s="82" t="n">
        <v>-0.401727</v>
      </c>
      <c r="Y14" s="82" t="n">
        <v>14.716845</v>
      </c>
      <c r="Z14" s="1" t="str">
        <f aca="false">IF($A14="","",IF(X14&gt;0,IF(LEFT(Z13,1)="胜","胜"&amp;VALUE(RIGHT(Z13,LEN(Z13)-1))+1,"胜1"),IF(X14&lt;0,IF(LEFT(Z13,1)="亏","亏"&amp;VALUE(RIGHT(Z13,LEN(Z13)-1))+1,"亏1"),"平")))</f>
        <v>亏1</v>
      </c>
      <c r="AA14" s="83" t="n">
        <f aca="false">IF($A14="","",MAX(0,(MAX($Y$2:Y14)-Y14)/MAX(1,MAX($Y$2:Y14))))</f>
        <v>0.0265717555864404</v>
      </c>
    </row>
    <row r="15" customFormat="false" ht="15" hidden="false" customHeight="true" outlineLevel="0" collapsed="false">
      <c r="A15" s="31" t="s">
        <v>740</v>
      </c>
      <c r="B15" s="30" t="s">
        <v>733</v>
      </c>
      <c r="C15" s="31" t="s">
        <v>734</v>
      </c>
      <c r="D15" s="30" t="s">
        <v>718</v>
      </c>
      <c r="E15" s="30" t="s">
        <v>719</v>
      </c>
      <c r="F15" s="44" t="n">
        <v>28.383</v>
      </c>
      <c r="G15" s="45" t="n">
        <v>300</v>
      </c>
      <c r="H15" s="35" t="n">
        <v>8514.9</v>
      </c>
      <c r="I15" s="44"/>
      <c r="J15" s="45"/>
      <c r="K15" s="36"/>
      <c r="L15" s="44"/>
      <c r="M15" s="30"/>
      <c r="N15" s="31"/>
      <c r="O15" s="30" t="s">
        <v>741</v>
      </c>
      <c r="P15" s="31"/>
      <c r="Q15" s="30"/>
      <c r="R15" s="46"/>
      <c r="S15" s="31"/>
      <c r="T15" s="31"/>
      <c r="U15" s="30"/>
      <c r="V15" s="43" t="str">
        <f aca="false">IF($A15="","",IF(OR(D15="卖出",D15="分红"),IFERROR(INDEX($F$2:$F14,MATCH(2,1/($C$2:$C14=$C15))),""),""))</f>
        <v/>
      </c>
      <c r="W15" s="81" t="n">
        <f aca="false">IF($A15="","",IF(D15="买入",IF(AND(ISNUMBER(L15),L15&gt;0),(F15-L15)*G15,0),0))</f>
        <v>0</v>
      </c>
      <c r="X15" s="82" t="n">
        <v>0.285888</v>
      </c>
      <c r="Y15" s="82" t="n">
        <v>15.002733</v>
      </c>
      <c r="Z15" s="1" t="str">
        <f aca="false">IF($A15="","",IF(X15&gt;0,IF(LEFT(Z14,1)="胜","胜"&amp;VALUE(RIGHT(Z14,LEN(Z14)-1))+1,"胜1"),IF(X15&lt;0,IF(LEFT(Z14,1)="亏","亏"&amp;VALUE(RIGHT(Z14,LEN(Z14)-1))+1,"亏1"),"平")))</f>
        <v>胜1</v>
      </c>
      <c r="AA15" s="83" t="n">
        <f aca="false">IF($A15="","",MAX(0,(MAX($Y$2:Y15)-Y15)/MAX(1,MAX($Y$2:Y15))))</f>
        <v>0.00766203316027474</v>
      </c>
    </row>
    <row r="16" customFormat="false" ht="15" hidden="false" customHeight="true" outlineLevel="0" collapsed="false">
      <c r="A16" s="29" t="s">
        <v>742</v>
      </c>
      <c r="B16" s="28" t="s">
        <v>743</v>
      </c>
      <c r="C16" s="29" t="s">
        <v>744</v>
      </c>
      <c r="D16" s="28" t="s">
        <v>712</v>
      </c>
      <c r="E16" s="28" t="s">
        <v>448</v>
      </c>
      <c r="F16" s="34" t="n">
        <v>69.29</v>
      </c>
      <c r="G16" s="37" t="n">
        <v>200</v>
      </c>
      <c r="H16" s="35" t="n">
        <v>13858</v>
      </c>
      <c r="I16" s="34"/>
      <c r="J16" s="37"/>
      <c r="K16" s="36"/>
      <c r="L16" s="34"/>
      <c r="M16" s="28"/>
      <c r="N16" s="29"/>
      <c r="O16" s="28" t="s">
        <v>713</v>
      </c>
      <c r="P16" s="29"/>
      <c r="Q16" s="28"/>
      <c r="R16" s="40"/>
      <c r="S16" s="29"/>
      <c r="T16" s="29"/>
      <c r="U16" s="28"/>
      <c r="V16" s="1" t="str">
        <f aca="false">IF($A16="","",IF(OR(D16="卖出",D16="分红"),IFERROR(INDEX($F$2:$F15,MATCH(2,1/($C$2:$C15=$C16))),""),""))</f>
        <v/>
      </c>
      <c r="W16" s="81" t="n">
        <f aca="false">IF($A16="","",IF(D16="买入",IF(AND(ISNUMBER(L16),L16&gt;0),(F16-L16)*G16,0),0))</f>
        <v>0</v>
      </c>
      <c r="X16" s="82" t="n">
        <v>0</v>
      </c>
      <c r="Y16" s="82" t="n">
        <v>15.002733</v>
      </c>
      <c r="Z16" s="1" t="str">
        <f aca="false">IF($A16="","",IF(X16&gt;0,IF(LEFT(Z15,1)="胜","胜"&amp;VALUE(RIGHT(Z15,LEN(Z15)-1))+1,"胜1"),IF(X16&lt;0,IF(LEFT(Z15,1)="亏","亏"&amp;VALUE(RIGHT(Z15,LEN(Z15)-1))+1,"亏1"),"平")))</f>
        <v>平</v>
      </c>
      <c r="AA16" s="83" t="n">
        <f aca="false">IF($A16="","",MAX(0,(MAX($Y$2:Y16)-Y16)/MAX(1,MAX($Y$2:Y16))))</f>
        <v>0.00766203316027474</v>
      </c>
    </row>
    <row r="17" customFormat="false" ht="15" hidden="false" customHeight="true" outlineLevel="0" collapsed="false">
      <c r="A17" s="31" t="s">
        <v>745</v>
      </c>
      <c r="B17" s="30" t="s">
        <v>743</v>
      </c>
      <c r="C17" s="31" t="s">
        <v>744</v>
      </c>
      <c r="D17" s="30" t="s">
        <v>712</v>
      </c>
      <c r="E17" s="30" t="s">
        <v>746</v>
      </c>
      <c r="F17" s="44" t="n">
        <v>71.09</v>
      </c>
      <c r="G17" s="45" t="n">
        <v>100</v>
      </c>
      <c r="H17" s="35" t="n">
        <v>7109</v>
      </c>
      <c r="I17" s="44"/>
      <c r="J17" s="45"/>
      <c r="K17" s="36"/>
      <c r="L17" s="44"/>
      <c r="M17" s="30"/>
      <c r="N17" s="31"/>
      <c r="O17" s="31" t="s">
        <v>747</v>
      </c>
      <c r="P17" s="31"/>
      <c r="Q17" s="30"/>
      <c r="R17" s="46"/>
      <c r="S17" s="31"/>
      <c r="T17" s="31"/>
      <c r="U17" s="30"/>
      <c r="V17" s="1" t="str">
        <f aca="false">IF($A17="","",IF(OR(D17="卖出",D17="分红"),IFERROR(INDEX($F$2:$F16,MATCH(2,1/($C$2:$C16=$C17))),""),""))</f>
        <v/>
      </c>
      <c r="W17" s="81" t="n">
        <f aca="false">IF($A17="","",IF(D17="买入",IF(AND(ISNUMBER(L17),L17&gt;0),(F17-L17)*G17,0),0))</f>
        <v>0</v>
      </c>
      <c r="X17" s="82" t="n">
        <v>0</v>
      </c>
      <c r="Y17" s="82" t="n">
        <v>15.002733</v>
      </c>
      <c r="Z17" s="1" t="str">
        <f aca="false">IF($A17="","",IF(X17&gt;0,IF(LEFT(Z16,1)="胜","胜"&amp;VALUE(RIGHT(Z16,LEN(Z16)-1))+1,"胜1"),IF(X17&lt;0,IF(LEFT(Z16,1)="亏","亏"&amp;VALUE(RIGHT(Z16,LEN(Z16)-1))+1,"亏1"),"平")))</f>
        <v>平</v>
      </c>
      <c r="AA17" s="83" t="n">
        <f aca="false">IF($A17="","",MAX(0,(MAX($Y$2:Y17)-Y17)/MAX(1,MAX($Y$2:Y17))))</f>
        <v>0.00766203316027474</v>
      </c>
    </row>
    <row r="18" customFormat="false" ht="15" hidden="false" customHeight="true" outlineLevel="0" collapsed="false">
      <c r="A18" s="29" t="s">
        <v>748</v>
      </c>
      <c r="B18" s="28" t="s">
        <v>377</v>
      </c>
      <c r="C18" s="29" t="s">
        <v>378</v>
      </c>
      <c r="D18" s="28" t="s">
        <v>712</v>
      </c>
      <c r="E18" s="28" t="s">
        <v>448</v>
      </c>
      <c r="F18" s="34" t="n">
        <v>11.843</v>
      </c>
      <c r="G18" s="37" t="n">
        <v>400</v>
      </c>
      <c r="H18" s="35" t="n">
        <v>4737.2</v>
      </c>
      <c r="I18" s="34"/>
      <c r="J18" s="37"/>
      <c r="K18" s="36"/>
      <c r="L18" s="34" t="n">
        <v>11.4</v>
      </c>
      <c r="M18" s="28"/>
      <c r="N18" s="29"/>
      <c r="O18" s="28" t="s">
        <v>749</v>
      </c>
      <c r="P18" s="29"/>
      <c r="Q18" s="28"/>
      <c r="R18" s="40"/>
      <c r="S18" s="29"/>
      <c r="T18" s="29"/>
      <c r="U18" s="28"/>
      <c r="V18" s="1" t="str">
        <f aca="false">IF($A18="","",IF(OR(D18="卖出",D18="分红"),IFERROR(INDEX($F$2:$F17,MATCH(2,1/($C$2:$C17=$C18))),""),""))</f>
        <v/>
      </c>
      <c r="W18" s="81" t="n">
        <f aca="false">IF($A18="","",IF(D18="买入",IF(AND(ISNUMBER(L18),L18&gt;0),(F18-L18)*G18,0),0))</f>
        <v>177.2</v>
      </c>
      <c r="X18" s="82" t="n">
        <v>0</v>
      </c>
      <c r="Y18" s="82" t="n">
        <v>15.002733</v>
      </c>
      <c r="Z18" s="1" t="str">
        <f aca="false">IF($A18="","",IF(X18&gt;0,IF(LEFT(Z17,1)="胜","胜"&amp;VALUE(RIGHT(Z17,LEN(Z17)-1))+1,"胜1"),IF(X18&lt;0,IF(LEFT(Z17,1)="亏","亏"&amp;VALUE(RIGHT(Z17,LEN(Z17)-1))+1,"亏1"),"平")))</f>
        <v>平</v>
      </c>
      <c r="AA18" s="83" t="n">
        <f aca="false">IF($A18="","",MAX(0,(MAX($Y$2:Y18)-Y18)/MAX(1,MAX($Y$2:Y18))))</f>
        <v>0.00766203316027474</v>
      </c>
    </row>
    <row r="19" customFormat="false" ht="15" hidden="false" customHeight="true" outlineLevel="0" collapsed="false">
      <c r="A19" s="31" t="s">
        <v>750</v>
      </c>
      <c r="B19" s="30" t="s">
        <v>618</v>
      </c>
      <c r="C19" s="31" t="s">
        <v>619</v>
      </c>
      <c r="D19" s="30" t="s">
        <v>751</v>
      </c>
      <c r="E19" s="30"/>
      <c r="F19" s="44"/>
      <c r="G19" s="45"/>
      <c r="H19" s="35" t="n">
        <v>50</v>
      </c>
      <c r="I19" s="44"/>
      <c r="J19" s="45"/>
      <c r="K19" s="36"/>
      <c r="L19" s="44"/>
      <c r="M19" s="30"/>
      <c r="N19" s="31"/>
      <c r="O19" s="30" t="s">
        <v>752</v>
      </c>
      <c r="P19" s="31"/>
      <c r="Q19" s="30"/>
      <c r="R19" s="46"/>
      <c r="S19" s="31"/>
      <c r="T19" s="31"/>
      <c r="U19" s="30"/>
      <c r="V19" s="43" t="n">
        <f aca="false">IF($A19="","",IF(OR(D19="卖出",D19="分红"),IFERROR(INDEX($F$2:$F18,MATCH(2,1/($C$2:$C18=$C19))),""),""))</f>
        <v>101.947</v>
      </c>
      <c r="W19" s="81" t="n">
        <f aca="false">IF($A19="","",IF(D19="买入",IF(AND(ISNUMBER(L19),L19&gt;0),(F19-L19)*G19,0),0))</f>
        <v>0</v>
      </c>
      <c r="X19" s="82" t="n">
        <v>0</v>
      </c>
      <c r="Y19" s="82" t="n">
        <v>15.002733</v>
      </c>
      <c r="Z19" s="1" t="str">
        <f aca="false">IF($A19="","",IF(X19&gt;0,IF(LEFT(Z18,1)="胜","胜"&amp;VALUE(RIGHT(Z18,LEN(Z18)-1))+1,"胜1"),IF(X19&lt;0,IF(LEFT(Z18,1)="亏","亏"&amp;VALUE(RIGHT(Z18,LEN(Z18)-1))+1,"亏1"),"平")))</f>
        <v>平</v>
      </c>
      <c r="AA19" s="83" t="n">
        <f aca="false">IF($A19="","",MAX(0,(MAX($Y$2:Y19)-Y19)/MAX(1,MAX($Y$2:Y19))))</f>
        <v>0.00766203316027474</v>
      </c>
    </row>
    <row r="20" customFormat="false" ht="15" hidden="false" customHeight="true" outlineLevel="0" collapsed="false">
      <c r="A20" s="28"/>
      <c r="B20" s="28"/>
      <c r="C20" s="28"/>
      <c r="D20" s="28"/>
      <c r="E20" s="28"/>
      <c r="F20" s="34"/>
      <c r="G20" s="37"/>
      <c r="H20" s="35"/>
      <c r="I20" s="34"/>
      <c r="J20" s="37"/>
      <c r="K20" s="36"/>
      <c r="L20" s="34"/>
      <c r="M20" s="28"/>
      <c r="N20" s="29"/>
      <c r="O20" s="28"/>
      <c r="P20" s="29"/>
      <c r="Q20" s="28"/>
      <c r="R20" s="40"/>
      <c r="S20" s="29"/>
      <c r="T20" s="29"/>
      <c r="U20" s="28"/>
      <c r="V20" s="1" t="str">
        <f aca="false">IF($A20="","",IF(OR(D20="卖出",D20="分红"),IFERROR(INDEX($F$2:$F19,MATCH(2,1/($C$2:$C19=$C20))),""),""))</f>
        <v/>
      </c>
      <c r="W20" s="81" t="str">
        <f aca="false">IF($A20="","",IF(D20="买入",IF(AND(ISNUMBER(L20),L20&gt;0),(F20-L20)*G20,F20*0.08*G20),IF(AND(ISNUMBER(V20),V20&gt;0),IF(AND(ISNUMBER(L20),L20&gt;0),(V20-L20)*G20,V20*0.08*G20),0)))</f>
        <v/>
      </c>
      <c r="X20" s="82" t="str">
        <f aca="false">IF($A20="","",IF(D20="买入",0,IFERROR(IF(W20&lt;&gt;0,(H20-IFERROR(INDEX($H$2:$H19,MATCH(2,1/($C$2:$C19=$C20))),0))/W20,0),0)))</f>
        <v/>
      </c>
      <c r="Y20" s="82" t="str">
        <f aca="false">IF($A20="","",Y19+X20)</f>
        <v/>
      </c>
      <c r="Z20" s="1" t="str">
        <f aca="false">IF($A20="","",IF(X20&gt;0,IF(LEFT(Z19,1)="胜","胜"&amp;VALUE(RIGHT(Z19,LEN(Z19)-1))+1,"胜1"),IF(X20&lt;0,IF(LEFT(Z19,1)="亏","亏"&amp;VALUE(RIGHT(Z19,LEN(Z19)-1))+1,"亏1"),"平")))</f>
        <v/>
      </c>
      <c r="AA20" s="83" t="str">
        <f aca="false">IF($A20="","",MAX(0,(MAX($Y$2:Y20)-Y20)/MAX(1,MAX($Y$2:Y20))))</f>
        <v/>
      </c>
    </row>
    <row r="21" customFormat="false" ht="15" hidden="false" customHeight="true" outlineLevel="0" collapsed="false">
      <c r="A21" s="30"/>
      <c r="B21" s="30"/>
      <c r="C21" s="30"/>
      <c r="D21" s="30"/>
      <c r="E21" s="30"/>
      <c r="F21" s="44"/>
      <c r="G21" s="45"/>
      <c r="H21" s="35"/>
      <c r="I21" s="44"/>
      <c r="J21" s="45"/>
      <c r="K21" s="36"/>
      <c r="L21" s="44"/>
      <c r="M21" s="30"/>
      <c r="N21" s="31"/>
      <c r="O21" s="30"/>
      <c r="P21" s="31"/>
      <c r="Q21" s="30"/>
      <c r="R21" s="46"/>
      <c r="S21" s="31"/>
      <c r="T21" s="31"/>
      <c r="U21" s="30"/>
      <c r="V21" s="1" t="str">
        <f aca="false">IF($A21="","",IF(OR(D21="卖出",D21="分红"),IFERROR(INDEX($F$2:$F20,MATCH(2,1/($C$2:$C20=$C21))),""),""))</f>
        <v/>
      </c>
      <c r="W21" s="81" t="str">
        <f aca="false">IF($A21="","",IF(D21="买入",IF(AND(ISNUMBER(L21),L21&gt;0),(F21-L21)*G21,F21*0.08*G21),IF(AND(ISNUMBER(V21),V21&gt;0),IF(AND(ISNUMBER(L21),L21&gt;0),(V21-L21)*G21,V21*0.08*G21),0)))</f>
        <v/>
      </c>
      <c r="X21" s="82" t="str">
        <f aca="false">IF($A21="","",IF(D21="买入",0,IFERROR(IF(W21&lt;&gt;0,(H21-IFERROR(INDEX($H$2:$H20,MATCH(2,1/($C$2:$C20=$C21))),0))/W21,0),0)))</f>
        <v/>
      </c>
      <c r="Y21" s="82" t="str">
        <f aca="false">IF($A21="","",Y20+X21)</f>
        <v/>
      </c>
      <c r="Z21" s="1" t="str">
        <f aca="false">IF($A21="","",IF(X21&gt;0,IF(LEFT(Z20,1)="胜","胜"&amp;VALUE(RIGHT(Z20,LEN(Z20)-1))+1,"胜1"),IF(X21&lt;0,IF(LEFT(Z20,1)="亏","亏"&amp;VALUE(RIGHT(Z20,LEN(Z20)-1))+1,"亏1"),"平")))</f>
        <v/>
      </c>
      <c r="AA21" s="83" t="str">
        <f aca="false">IF($A21="","",MAX(0,(MAX($Y$2:Y21)-Y21)/MAX(1,MAX($Y$2:Y21))))</f>
        <v/>
      </c>
    </row>
    <row r="22" customFormat="false" ht="15" hidden="false" customHeight="true" outlineLevel="0" collapsed="false">
      <c r="A22" s="28"/>
      <c r="B22" s="28"/>
      <c r="C22" s="28"/>
      <c r="D22" s="28"/>
      <c r="E22" s="28"/>
      <c r="F22" s="34"/>
      <c r="G22" s="37"/>
      <c r="H22" s="35"/>
      <c r="I22" s="34"/>
      <c r="J22" s="37"/>
      <c r="K22" s="36"/>
      <c r="L22" s="34"/>
      <c r="M22" s="28"/>
      <c r="N22" s="29"/>
      <c r="O22" s="28"/>
      <c r="P22" s="29"/>
      <c r="Q22" s="28"/>
      <c r="R22" s="40"/>
      <c r="S22" s="29"/>
      <c r="T22" s="29"/>
      <c r="U22" s="28"/>
      <c r="V22" s="1" t="str">
        <f aca="false">IF($A22="","",IF(OR(D22="卖出",D22="分红"),IFERROR(INDEX($F$2:$F21,MATCH(2,1/($C$2:$C21=$C22))),""),""))</f>
        <v/>
      </c>
      <c r="W22" s="81" t="str">
        <f aca="false">IF($A22="","",IF(D22="买入",IF(AND(ISNUMBER(L22),L22&gt;0),(F22-L22)*G22,F22*0.08*G22),IF(AND(ISNUMBER(V22),V22&gt;0),IF(AND(ISNUMBER(L22),L22&gt;0),(V22-L22)*G22,V22*0.08*G22),0)))</f>
        <v/>
      </c>
      <c r="X22" s="82" t="str">
        <f aca="false">IF($A22="","",IF(D22="买入",0,IFERROR(IF(W22&lt;&gt;0,(H22-IFERROR(INDEX($H$2:$H21,MATCH(2,1/($C$2:$C21=$C22))),0))/W22,0),0)))</f>
        <v/>
      </c>
      <c r="Y22" s="82" t="str">
        <f aca="false">IF($A22="","",Y21+X22)</f>
        <v/>
      </c>
      <c r="Z22" s="1" t="str">
        <f aca="false">IF($A22="","",IF(X22&gt;0,IF(LEFT(Z21,1)="胜","胜"&amp;VALUE(RIGHT(Z21,LEN(Z21)-1))+1,"胜1"),IF(X22&lt;0,IF(LEFT(Z21,1)="亏","亏"&amp;VALUE(RIGHT(Z21,LEN(Z21)-1))+1,"亏1"),"平")))</f>
        <v/>
      </c>
      <c r="AA22" s="83" t="str">
        <f aca="false">IF($A22="","",MAX(0,(MAX($Y$2:Y22)-Y22)/MAX(1,MAX($Y$2:Y22))))</f>
        <v/>
      </c>
    </row>
    <row r="23" customFormat="false" ht="15" hidden="false" customHeight="true" outlineLevel="0" collapsed="false">
      <c r="A23" s="30"/>
      <c r="B23" s="30"/>
      <c r="C23" s="30"/>
      <c r="D23" s="30"/>
      <c r="E23" s="30"/>
      <c r="F23" s="44"/>
      <c r="G23" s="45"/>
      <c r="H23" s="35"/>
      <c r="I23" s="44"/>
      <c r="J23" s="45"/>
      <c r="K23" s="36"/>
      <c r="L23" s="44"/>
      <c r="M23" s="30"/>
      <c r="N23" s="31"/>
      <c r="O23" s="30"/>
      <c r="P23" s="31"/>
      <c r="Q23" s="30"/>
      <c r="R23" s="46"/>
      <c r="S23" s="31"/>
      <c r="T23" s="31"/>
      <c r="U23" s="30"/>
      <c r="V23" s="1" t="str">
        <f aca="false">IF($A23="","",IF(OR(D23="卖出",D23="分红"),IFERROR(INDEX($F$2:$F22,MATCH(2,1/($C$2:$C22=$C23))),""),""))</f>
        <v/>
      </c>
      <c r="W23" s="81" t="str">
        <f aca="false">IF($A23="","",IF(D23="买入",IF(AND(ISNUMBER(L23),L23&gt;0),(F23-L23)*G23,F23*0.08*G23),IF(AND(ISNUMBER(V23),V23&gt;0),IF(AND(ISNUMBER(L23),L23&gt;0),(V23-L23)*G23,V23*0.08*G23),0)))</f>
        <v/>
      </c>
      <c r="X23" s="82" t="str">
        <f aca="false">IF($A23="","",IF(D23="买入",0,IFERROR(IF(W23&lt;&gt;0,(H23-IFERROR(INDEX($H$2:$H22,MATCH(2,1/($C$2:$C22=$C23))),0))/W23,0),0)))</f>
        <v/>
      </c>
      <c r="Y23" s="82" t="str">
        <f aca="false">IF($A23="","",Y22+X23)</f>
        <v/>
      </c>
      <c r="Z23" s="1" t="str">
        <f aca="false">IF($A23="","",IF(X23&gt;0,IF(LEFT(Z22,1)="胜","胜"&amp;VALUE(RIGHT(Z22,LEN(Z22)-1))+1,"胜1"),IF(X23&lt;0,IF(LEFT(Z22,1)="亏","亏"&amp;VALUE(RIGHT(Z22,LEN(Z22)-1))+1,"亏1"),"平")))</f>
        <v/>
      </c>
      <c r="AA23" s="83" t="str">
        <f aca="false">IF($A23="","",MAX(0,(MAX($Y$2:Y23)-Y23)/MAX(1,MAX($Y$2:Y23))))</f>
        <v/>
      </c>
    </row>
    <row r="24" customFormat="false" ht="15" hidden="false" customHeight="true" outlineLevel="0" collapsed="false">
      <c r="A24" s="28"/>
      <c r="B24" s="28"/>
      <c r="C24" s="28"/>
      <c r="D24" s="28"/>
      <c r="E24" s="28"/>
      <c r="F24" s="34"/>
      <c r="G24" s="37"/>
      <c r="H24" s="35"/>
      <c r="I24" s="34"/>
      <c r="J24" s="37"/>
      <c r="K24" s="36"/>
      <c r="L24" s="34"/>
      <c r="M24" s="28"/>
      <c r="N24" s="29"/>
      <c r="O24" s="28"/>
      <c r="P24" s="29"/>
      <c r="Q24" s="28"/>
      <c r="R24" s="40"/>
      <c r="S24" s="29"/>
      <c r="T24" s="29"/>
      <c r="U24" s="28"/>
      <c r="V24" s="1" t="str">
        <f aca="false">IF($A24="","",IF(OR(D24="卖出",D24="分红"),IFERROR(INDEX($F$2:$F23,MATCH(2,1/($C$2:$C23=$C24))),""),""))</f>
        <v/>
      </c>
      <c r="W24" s="81" t="str">
        <f aca="false">IF($A24="","",IF(D24="买入",IF(AND(ISNUMBER(L24),L24&gt;0),(F24-L24)*G24,F24*0.08*G24),IF(AND(ISNUMBER(V24),V24&gt;0),IF(AND(ISNUMBER(L24),L24&gt;0),(V24-L24)*G24,V24*0.08*G24),0)))</f>
        <v/>
      </c>
      <c r="X24" s="82" t="str">
        <f aca="false">IF($A24="","",IF(D24="买入",0,IFERROR(IF(W24&lt;&gt;0,(H24-IFERROR(INDEX($H$2:$H23,MATCH(2,1/($C$2:$C23=$C24))),0))/W24,0),0)))</f>
        <v/>
      </c>
      <c r="Y24" s="82" t="str">
        <f aca="false">IF($A24="","",Y23+X24)</f>
        <v/>
      </c>
      <c r="Z24" s="1" t="str">
        <f aca="false">IF($A24="","",IF(X24&gt;0,IF(LEFT(Z23,1)="胜","胜"&amp;VALUE(RIGHT(Z23,LEN(Z23)-1))+1,"胜1"),IF(X24&lt;0,IF(LEFT(Z23,1)="亏","亏"&amp;VALUE(RIGHT(Z23,LEN(Z23)-1))+1,"亏1"),"平")))</f>
        <v/>
      </c>
      <c r="AA24" s="83" t="str">
        <f aca="false">IF($A24="","",MAX(0,(MAX($Y$2:Y24)-Y24)/MAX(1,MAX($Y$2:Y24))))</f>
        <v/>
      </c>
    </row>
    <row r="25" customFormat="false" ht="15" hidden="false" customHeight="true" outlineLevel="0" collapsed="false">
      <c r="A25" s="30"/>
      <c r="B25" s="30"/>
      <c r="C25" s="30"/>
      <c r="D25" s="30"/>
      <c r="E25" s="30"/>
      <c r="F25" s="44"/>
      <c r="G25" s="45"/>
      <c r="H25" s="35"/>
      <c r="I25" s="44"/>
      <c r="J25" s="45"/>
      <c r="K25" s="36"/>
      <c r="L25" s="44"/>
      <c r="M25" s="30"/>
      <c r="N25" s="31"/>
      <c r="O25" s="30"/>
      <c r="P25" s="31"/>
      <c r="Q25" s="30"/>
      <c r="R25" s="46"/>
      <c r="S25" s="31"/>
      <c r="T25" s="31"/>
      <c r="U25" s="30"/>
      <c r="V25" s="1" t="str">
        <f aca="false">IF($A25="","",IF(OR(D25="卖出",D25="分红"),IFERROR(INDEX($F$2:$F24,MATCH(2,1/($C$2:$C24=$C25))),""),""))</f>
        <v/>
      </c>
      <c r="W25" s="81" t="str">
        <f aca="false">IF($A25="","",IF(D25="买入",IF(AND(ISNUMBER(L25),L25&gt;0),(F25-L25)*G25,F25*0.08*G25),IF(AND(ISNUMBER(V25),V25&gt;0),IF(AND(ISNUMBER(L25),L25&gt;0),(V25-L25)*G25,V25*0.08*G25),0)))</f>
        <v/>
      </c>
      <c r="X25" s="82" t="str">
        <f aca="false">IF($A25="","",IF(D25="买入",0,IFERROR(IF(W25&lt;&gt;0,(H25-IFERROR(INDEX($H$2:$H24,MATCH(2,1/($C$2:$C24=$C25))),0))/W25,0),0)))</f>
        <v/>
      </c>
      <c r="Y25" s="82" t="str">
        <f aca="false">IF($A25="","",Y24+X25)</f>
        <v/>
      </c>
      <c r="Z25" s="1" t="str">
        <f aca="false">IF($A25="","",IF(X25&gt;0,IF(LEFT(Z24,1)="胜","胜"&amp;VALUE(RIGHT(Z24,LEN(Z24)-1))+1,"胜1"),IF(X25&lt;0,IF(LEFT(Z24,1)="亏","亏"&amp;VALUE(RIGHT(Z24,LEN(Z24)-1))+1,"亏1"),"平")))</f>
        <v/>
      </c>
      <c r="AA25" s="83" t="str">
        <f aca="false">IF($A25="","",MAX(0,(MAX($Y$2:Y25)-Y25)/MAX(1,MAX($Y$2:Y25))))</f>
        <v/>
      </c>
    </row>
    <row r="26" customFormat="false" ht="15" hidden="false" customHeight="true" outlineLevel="0" collapsed="false">
      <c r="A26" s="28"/>
      <c r="B26" s="28"/>
      <c r="C26" s="28"/>
      <c r="D26" s="28"/>
      <c r="E26" s="28"/>
      <c r="F26" s="34"/>
      <c r="G26" s="37"/>
      <c r="H26" s="35"/>
      <c r="I26" s="34"/>
      <c r="J26" s="37"/>
      <c r="K26" s="36"/>
      <c r="L26" s="34"/>
      <c r="M26" s="28"/>
      <c r="N26" s="29"/>
      <c r="O26" s="28"/>
      <c r="P26" s="29"/>
      <c r="Q26" s="28"/>
      <c r="R26" s="40"/>
      <c r="S26" s="29"/>
      <c r="T26" s="29"/>
      <c r="U26" s="28"/>
      <c r="V26" s="1" t="str">
        <f aca="false">IF($A26="","",IF(OR(D26="卖出",D26="分红"),IFERROR(INDEX($F$2:$F25,MATCH(2,1/($C$2:$C25=$C26))),""),""))</f>
        <v/>
      </c>
      <c r="W26" s="81" t="str">
        <f aca="false">IF($A26="","",IF(D26="买入",IF(AND(ISNUMBER(L26),L26&gt;0),(F26-L26)*G26,F26*0.08*G26),IF(AND(ISNUMBER(V26),V26&gt;0),IF(AND(ISNUMBER(L26),L26&gt;0),(V26-L26)*G26,V26*0.08*G26),0)))</f>
        <v/>
      </c>
      <c r="X26" s="82" t="str">
        <f aca="false">IF($A26="","",IF(D26="买入",0,IFERROR(IF(W26&lt;&gt;0,(H26-IFERROR(INDEX($H$2:$H25,MATCH(2,1/($C$2:$C25=$C26))),0))/W26,0),0)))</f>
        <v/>
      </c>
      <c r="Y26" s="82" t="str">
        <f aca="false">IF($A26="","",Y25+X26)</f>
        <v/>
      </c>
      <c r="Z26" s="1" t="str">
        <f aca="false">IF($A26="","",IF(X26&gt;0,IF(LEFT(Z25,1)="胜","胜"&amp;VALUE(RIGHT(Z25,LEN(Z25)-1))+1,"胜1"),IF(X26&lt;0,IF(LEFT(Z25,1)="亏","亏"&amp;VALUE(RIGHT(Z25,LEN(Z25)-1))+1,"亏1"),"平")))</f>
        <v/>
      </c>
      <c r="AA26" s="83" t="str">
        <f aca="false">IF($A26="","",MAX(0,(MAX($Y$2:Y26)-Y26)/MAX(1,MAX($Y$2:Y26))))</f>
        <v/>
      </c>
    </row>
    <row r="27" customFormat="false" ht="15" hidden="false" customHeight="true" outlineLevel="0" collapsed="false">
      <c r="A27" s="30"/>
      <c r="B27" s="30"/>
      <c r="C27" s="30"/>
      <c r="D27" s="30"/>
      <c r="E27" s="30"/>
      <c r="F27" s="44"/>
      <c r="G27" s="45"/>
      <c r="H27" s="35"/>
      <c r="I27" s="44"/>
      <c r="J27" s="45"/>
      <c r="K27" s="36"/>
      <c r="L27" s="44"/>
      <c r="M27" s="30"/>
      <c r="N27" s="31"/>
      <c r="O27" s="30"/>
      <c r="P27" s="31"/>
      <c r="Q27" s="30"/>
      <c r="R27" s="46"/>
      <c r="S27" s="31"/>
      <c r="T27" s="31"/>
      <c r="U27" s="30"/>
      <c r="V27" s="1" t="str">
        <f aca="false">IF($A27="","",IF(OR(D27="卖出",D27="分红"),IFERROR(INDEX($F$2:$F26,MATCH(2,1/($C$2:$C26=$C27))),""),""))</f>
        <v/>
      </c>
      <c r="W27" s="81" t="str">
        <f aca="false">IF($A27="","",IF(D27="买入",IF(AND(ISNUMBER(L27),L27&gt;0),(F27-L27)*G27,F27*0.08*G27),IF(AND(ISNUMBER(V27),V27&gt;0),IF(AND(ISNUMBER(L27),L27&gt;0),(V27-L27)*G27,V27*0.08*G27),0)))</f>
        <v/>
      </c>
      <c r="X27" s="82" t="str">
        <f aca="false">IF($A27="","",IF(D27="买入",0,IFERROR(IF(W27&lt;&gt;0,(H27-IFERROR(INDEX($H$2:$H26,MATCH(2,1/($C$2:$C26=$C27))),0))/W27,0),0)))</f>
        <v/>
      </c>
      <c r="Y27" s="82" t="str">
        <f aca="false">IF($A27="","",Y26+X27)</f>
        <v/>
      </c>
      <c r="Z27" s="1" t="str">
        <f aca="false">IF($A27="","",IF(X27&gt;0,IF(LEFT(Z26,1)="胜","胜"&amp;VALUE(RIGHT(Z26,LEN(Z26)-1))+1,"胜1"),IF(X27&lt;0,IF(LEFT(Z26,1)="亏","亏"&amp;VALUE(RIGHT(Z26,LEN(Z26)-1))+1,"亏1"),"平")))</f>
        <v/>
      </c>
      <c r="AA27" s="83" t="str">
        <f aca="false">IF($A27="","",MAX(0,(MAX($Y$2:Y27)-Y27)/MAX(1,MAX($Y$2:Y27))))</f>
        <v/>
      </c>
    </row>
    <row r="28" customFormat="false" ht="15" hidden="false" customHeight="true" outlineLevel="0" collapsed="false">
      <c r="A28" s="28"/>
      <c r="B28" s="28"/>
      <c r="C28" s="28"/>
      <c r="D28" s="28"/>
      <c r="E28" s="28"/>
      <c r="F28" s="34"/>
      <c r="G28" s="37"/>
      <c r="H28" s="35"/>
      <c r="I28" s="34"/>
      <c r="J28" s="37"/>
      <c r="K28" s="36"/>
      <c r="L28" s="34"/>
      <c r="M28" s="28"/>
      <c r="N28" s="29"/>
      <c r="O28" s="28"/>
      <c r="P28" s="29"/>
      <c r="Q28" s="28"/>
      <c r="R28" s="40"/>
      <c r="S28" s="29"/>
      <c r="T28" s="29"/>
      <c r="U28" s="28"/>
      <c r="V28" s="1" t="str">
        <f aca="false">IF($A28="","",IF(OR(D28="卖出",D28="分红"),IFERROR(INDEX($F$2:$F27,MATCH(2,1/($C$2:$C27=$C28))),""),""))</f>
        <v/>
      </c>
      <c r="W28" s="81" t="str">
        <f aca="false">IF($A28="","",IF(D28="买入",IF(AND(ISNUMBER(L28),L28&gt;0),(F28-L28)*G28,F28*0.08*G28),IF(AND(ISNUMBER(V28),V28&gt;0),IF(AND(ISNUMBER(L28),L28&gt;0),(V28-L28)*G28,V28*0.08*G28),0)))</f>
        <v/>
      </c>
      <c r="X28" s="82" t="str">
        <f aca="false">IF($A28="","",IF(D28="买入",0,IFERROR(IF(W28&lt;&gt;0,(H28-IFERROR(INDEX($H$2:$H27,MATCH(2,1/($C$2:$C27=$C28))),0))/W28,0),0)))</f>
        <v/>
      </c>
      <c r="Y28" s="82" t="str">
        <f aca="false">IF($A28="","",Y27+X28)</f>
        <v/>
      </c>
      <c r="Z28" s="1" t="str">
        <f aca="false">IF($A28="","",IF(X28&gt;0,IF(LEFT(Z27,1)="胜","胜"&amp;VALUE(RIGHT(Z27,LEN(Z27)-1))+1,"胜1"),IF(X28&lt;0,IF(LEFT(Z27,1)="亏","亏"&amp;VALUE(RIGHT(Z27,LEN(Z27)-1))+1,"亏1"),"平")))</f>
        <v/>
      </c>
      <c r="AA28" s="83" t="str">
        <f aca="false">IF($A28="","",MAX(0,(MAX($Y$2:Y28)-Y28)/MAX(1,MAX($Y$2:Y28))))</f>
        <v/>
      </c>
    </row>
    <row r="29" customFormat="false" ht="15" hidden="false" customHeight="true" outlineLevel="0" collapsed="false">
      <c r="A29" s="30"/>
      <c r="B29" s="30"/>
      <c r="C29" s="30"/>
      <c r="D29" s="30"/>
      <c r="E29" s="30"/>
      <c r="F29" s="44"/>
      <c r="G29" s="45"/>
      <c r="H29" s="35"/>
      <c r="I29" s="44"/>
      <c r="J29" s="45"/>
      <c r="K29" s="36"/>
      <c r="L29" s="44"/>
      <c r="M29" s="30"/>
      <c r="N29" s="31"/>
      <c r="O29" s="30"/>
      <c r="P29" s="31"/>
      <c r="Q29" s="30"/>
      <c r="R29" s="46"/>
      <c r="S29" s="31"/>
      <c r="T29" s="31"/>
      <c r="U29" s="30"/>
      <c r="V29" s="1" t="str">
        <f aca="false">IF($A29="","",IF(OR(D29="卖出",D29="分红"),IFERROR(INDEX($F$2:$F28,MATCH(2,1/($C$2:$C28=$C29))),""),""))</f>
        <v/>
      </c>
      <c r="W29" s="81" t="str">
        <f aca="false">IF($A29="","",IF(D29="买入",IF(AND(ISNUMBER(L29),L29&gt;0),(F29-L29)*G29,F29*0.08*G29),IF(AND(ISNUMBER(V29),V29&gt;0),IF(AND(ISNUMBER(L29),L29&gt;0),(V29-L29)*G29,V29*0.08*G29),0)))</f>
        <v/>
      </c>
      <c r="X29" s="82" t="str">
        <f aca="false">IF($A29="","",IF(D29="买入",0,IFERROR(IF(W29&lt;&gt;0,(H29-IFERROR(INDEX($H$2:$H28,MATCH(2,1/($C$2:$C28=$C29))),0))/W29,0),0)))</f>
        <v/>
      </c>
      <c r="Y29" s="82" t="str">
        <f aca="false">IF($A29="","",Y28+X29)</f>
        <v/>
      </c>
      <c r="Z29" s="1" t="str">
        <f aca="false">IF($A29="","",IF(X29&gt;0,IF(LEFT(Z28,1)="胜","胜"&amp;VALUE(RIGHT(Z28,LEN(Z28)-1))+1,"胜1"),IF(X29&lt;0,IF(LEFT(Z28,1)="亏","亏"&amp;VALUE(RIGHT(Z28,LEN(Z28)-1))+1,"亏1"),"平")))</f>
        <v/>
      </c>
      <c r="AA29" s="83" t="str">
        <f aca="false">IF($A29="","",MAX(0,(MAX($Y$2:Y29)-Y29)/MAX(1,MAX($Y$2:Y29))))</f>
        <v/>
      </c>
    </row>
    <row r="30" customFormat="false" ht="15" hidden="false" customHeight="true" outlineLevel="0" collapsed="false">
      <c r="A30" s="28"/>
      <c r="B30" s="28"/>
      <c r="C30" s="28"/>
      <c r="D30" s="28"/>
      <c r="E30" s="28"/>
      <c r="F30" s="34"/>
      <c r="G30" s="37"/>
      <c r="H30" s="35"/>
      <c r="I30" s="34"/>
      <c r="J30" s="37"/>
      <c r="K30" s="36"/>
      <c r="L30" s="34"/>
      <c r="M30" s="28"/>
      <c r="N30" s="29"/>
      <c r="O30" s="28"/>
      <c r="P30" s="29"/>
      <c r="Q30" s="28"/>
      <c r="R30" s="40"/>
      <c r="S30" s="29"/>
      <c r="T30" s="29"/>
      <c r="U30" s="28"/>
      <c r="V30" s="1" t="str">
        <f aca="false">IF($A30="","",IF(OR(D30="卖出",D30="分红"),IFERROR(INDEX($F$2:$F29,MATCH(2,1/($C$2:$C29=$C30))),""),""))</f>
        <v/>
      </c>
      <c r="W30" s="81" t="str">
        <f aca="false">IF($A30="","",IF(D30="买入",IF(AND(ISNUMBER(L30),L30&gt;0),(F30-L30)*G30,F30*0.08*G30),IF(AND(ISNUMBER(V30),V30&gt;0),IF(AND(ISNUMBER(L30),L30&gt;0),(V30-L30)*G30,V30*0.08*G30),0)))</f>
        <v/>
      </c>
      <c r="X30" s="82" t="str">
        <f aca="false">IF($A30="","",IF(D30="买入",0,IFERROR(IF(W30&lt;&gt;0,(H30-IFERROR(INDEX($H$2:$H29,MATCH(2,1/($C$2:$C29=$C30))),0))/W30,0),0)))</f>
        <v/>
      </c>
      <c r="Y30" s="82" t="str">
        <f aca="false">IF($A30="","",Y29+X30)</f>
        <v/>
      </c>
      <c r="Z30" s="1" t="str">
        <f aca="false">IF($A30="","",IF(X30&gt;0,IF(LEFT(Z29,1)="胜","胜"&amp;VALUE(RIGHT(Z29,LEN(Z29)-1))+1,"胜1"),IF(X30&lt;0,IF(LEFT(Z29,1)="亏","亏"&amp;VALUE(RIGHT(Z29,LEN(Z29)-1))+1,"亏1"),"平")))</f>
        <v/>
      </c>
      <c r="AA30" s="83" t="str">
        <f aca="false">IF($A30="","",MAX(0,(MAX($Y$2:Y30)-Y30)/MAX(1,MAX($Y$2:Y30))))</f>
        <v/>
      </c>
    </row>
    <row r="31" customFormat="false" ht="15" hidden="false" customHeight="true" outlineLevel="0" collapsed="false">
      <c r="A31" s="30"/>
      <c r="B31" s="30"/>
      <c r="C31" s="30"/>
      <c r="D31" s="30"/>
      <c r="E31" s="30"/>
      <c r="F31" s="44"/>
      <c r="G31" s="45"/>
      <c r="H31" s="35"/>
      <c r="I31" s="44"/>
      <c r="J31" s="45"/>
      <c r="K31" s="36"/>
      <c r="L31" s="44"/>
      <c r="M31" s="30"/>
      <c r="N31" s="31"/>
      <c r="O31" s="30"/>
      <c r="P31" s="31"/>
      <c r="Q31" s="30"/>
      <c r="R31" s="46"/>
      <c r="S31" s="31"/>
      <c r="T31" s="31"/>
      <c r="U31" s="30"/>
      <c r="V31" s="1" t="str">
        <f aca="false">IF($A31="","",IF(OR(D31="卖出",D31="分红"),IFERROR(INDEX($F$2:$F30,MATCH(2,1/($C$2:$C30=$C31))),""),""))</f>
        <v/>
      </c>
      <c r="W31" s="81" t="str">
        <f aca="false">IF($A31="","",IF(D31="买入",IF(AND(ISNUMBER(L31),L31&gt;0),(F31-L31)*G31,F31*0.08*G31),IF(AND(ISNUMBER(V31),V31&gt;0),IF(AND(ISNUMBER(L31),L31&gt;0),(V31-L31)*G31,V31*0.08*G31),0)))</f>
        <v/>
      </c>
      <c r="X31" s="82" t="str">
        <f aca="false">IF($A31="","",IF(D31="买入",0,IFERROR(IF(W31&lt;&gt;0,(H31-IFERROR(INDEX($H$2:$H30,MATCH(2,1/($C$2:$C30=$C31))),0))/W31,0),0)))</f>
        <v/>
      </c>
      <c r="Y31" s="82" t="str">
        <f aca="false">IF($A31="","",Y30+X31)</f>
        <v/>
      </c>
      <c r="Z31" s="1" t="str">
        <f aca="false">IF($A31="","",IF(X31&gt;0,IF(LEFT(Z30,1)="胜","胜"&amp;VALUE(RIGHT(Z30,LEN(Z30)-1))+1,"胜1"),IF(X31&lt;0,IF(LEFT(Z30,1)="亏","亏"&amp;VALUE(RIGHT(Z30,LEN(Z30)-1))+1,"亏1"),"平")))</f>
        <v/>
      </c>
      <c r="AA31" s="83" t="str">
        <f aca="false">IF($A31="","",MAX(0,(MAX($Y$2:Y31)-Y31)/MAX(1,MAX($Y$2:Y31))))</f>
        <v/>
      </c>
    </row>
    <row r="32" customFormat="false" ht="15" hidden="false" customHeight="true" outlineLevel="0" collapsed="false">
      <c r="A32" s="28"/>
      <c r="B32" s="28"/>
      <c r="C32" s="28"/>
      <c r="D32" s="28"/>
      <c r="E32" s="28"/>
      <c r="F32" s="34"/>
      <c r="G32" s="37"/>
      <c r="H32" s="35"/>
      <c r="I32" s="34"/>
      <c r="J32" s="37"/>
      <c r="K32" s="36"/>
      <c r="L32" s="34"/>
      <c r="M32" s="28"/>
      <c r="N32" s="29"/>
      <c r="O32" s="28"/>
      <c r="P32" s="29"/>
      <c r="Q32" s="28"/>
      <c r="R32" s="40"/>
      <c r="S32" s="29"/>
      <c r="T32" s="29"/>
      <c r="U32" s="28"/>
      <c r="V32" s="1" t="str">
        <f aca="false">IF($A32="","",IF(OR(D32="卖出",D32="分红"),IFERROR(INDEX($F$2:$F31,MATCH(2,1/($C$2:$C31=$C32))),""),""))</f>
        <v/>
      </c>
      <c r="W32" s="81" t="str">
        <f aca="false">IF($A32="","",IF(D32="买入",IF(AND(ISNUMBER(L32),L32&gt;0),(F32-L32)*G32,F32*0.08*G32),IF(AND(ISNUMBER(V32),V32&gt;0),IF(AND(ISNUMBER(L32),L32&gt;0),(V32-L32)*G32,V32*0.08*G32),0)))</f>
        <v/>
      </c>
      <c r="X32" s="82" t="str">
        <f aca="false">IF($A32="","",IF(D32="买入",0,IFERROR(IF(W32&lt;&gt;0,(H32-IFERROR(INDEX($H$2:$H31,MATCH(2,1/($C$2:$C31=$C32))),0))/W32,0),0)))</f>
        <v/>
      </c>
      <c r="Y32" s="82" t="str">
        <f aca="false">IF($A32="","",Y31+X32)</f>
        <v/>
      </c>
      <c r="Z32" s="1" t="str">
        <f aca="false">IF($A32="","",IF(X32&gt;0,IF(LEFT(Z31,1)="胜","胜"&amp;VALUE(RIGHT(Z31,LEN(Z31)-1))+1,"胜1"),IF(X32&lt;0,IF(LEFT(Z31,1)="亏","亏"&amp;VALUE(RIGHT(Z31,LEN(Z31)-1))+1,"亏1"),"平")))</f>
        <v/>
      </c>
      <c r="AA32" s="83" t="str">
        <f aca="false">IF($A32="","",MAX(0,(MAX($Y$2:Y32)-Y32)/MAX(1,MAX($Y$2:Y32))))</f>
        <v/>
      </c>
    </row>
    <row r="33" customFormat="false" ht="15" hidden="false" customHeight="true" outlineLevel="0" collapsed="false">
      <c r="A33" s="30"/>
      <c r="B33" s="30"/>
      <c r="C33" s="30"/>
      <c r="D33" s="30"/>
      <c r="E33" s="30"/>
      <c r="F33" s="44"/>
      <c r="G33" s="45"/>
      <c r="H33" s="35"/>
      <c r="I33" s="44"/>
      <c r="J33" s="45"/>
      <c r="K33" s="36"/>
      <c r="L33" s="44"/>
      <c r="M33" s="30"/>
      <c r="N33" s="31"/>
      <c r="O33" s="30"/>
      <c r="P33" s="31"/>
      <c r="Q33" s="30"/>
      <c r="R33" s="46"/>
      <c r="S33" s="31"/>
      <c r="T33" s="31"/>
      <c r="U33" s="30"/>
      <c r="V33" s="1" t="str">
        <f aca="false">IF($A33="","",IF(OR(D33="卖出",D33="分红"),IFERROR(INDEX($F$2:$F32,MATCH(2,1/($C$2:$C32=$C33))),""),""))</f>
        <v/>
      </c>
      <c r="W33" s="81" t="str">
        <f aca="false">IF($A33="","",IF(D33="买入",IF(AND(ISNUMBER(L33),L33&gt;0),(F33-L33)*G33,F33*0.08*G33),IF(AND(ISNUMBER(V33),V33&gt;0),IF(AND(ISNUMBER(L33),L33&gt;0),(V33-L33)*G33,V33*0.08*G33),0)))</f>
        <v/>
      </c>
      <c r="X33" s="82" t="str">
        <f aca="false">IF($A33="","",IF(D33="买入",0,IFERROR(IF(W33&lt;&gt;0,(H33-IFERROR(INDEX($H$2:$H32,MATCH(2,1/($C$2:$C32=$C33))),0))/W33,0),0)))</f>
        <v/>
      </c>
      <c r="Y33" s="82" t="str">
        <f aca="false">IF($A33="","",Y32+X33)</f>
        <v/>
      </c>
      <c r="Z33" s="1" t="str">
        <f aca="false">IF($A33="","",IF(X33&gt;0,IF(LEFT(Z32,1)="胜","胜"&amp;VALUE(RIGHT(Z32,LEN(Z32)-1))+1,"胜1"),IF(X33&lt;0,IF(LEFT(Z32,1)="亏","亏"&amp;VALUE(RIGHT(Z32,LEN(Z32)-1))+1,"亏1"),"平")))</f>
        <v/>
      </c>
      <c r="AA33" s="83" t="str">
        <f aca="false">IF($A33="","",MAX(0,(MAX($Y$2:Y33)-Y33)/MAX(1,MAX($Y$2:Y33))))</f>
        <v/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34"/>
      <c r="G34" s="37"/>
      <c r="H34" s="35"/>
      <c r="I34" s="34"/>
      <c r="J34" s="37"/>
      <c r="K34" s="36"/>
      <c r="L34" s="34"/>
      <c r="M34" s="28"/>
      <c r="N34" s="29"/>
      <c r="O34" s="28"/>
      <c r="P34" s="29"/>
      <c r="Q34" s="28"/>
      <c r="R34" s="40"/>
      <c r="S34" s="29"/>
      <c r="T34" s="29"/>
      <c r="U34" s="28"/>
      <c r="V34" s="1" t="str">
        <f aca="false">IF($A34="","",IF(OR(D34="卖出",D34="分红"),IFERROR(INDEX($F$2:$F33,MATCH(2,1/($C$2:$C33=$C34))),""),""))</f>
        <v/>
      </c>
      <c r="W34" s="81" t="str">
        <f aca="false">IF($A34="","",IF(D34="买入",IF(AND(ISNUMBER(L34),L34&gt;0),(F34-L34)*G34,F34*0.08*G34),IF(AND(ISNUMBER(V34),V34&gt;0),IF(AND(ISNUMBER(L34),L34&gt;0),(V34-L34)*G34,V34*0.08*G34),0)))</f>
        <v/>
      </c>
      <c r="X34" s="82" t="str">
        <f aca="false">IF($A34="","",IF(D34="买入",0,IFERROR(IF(W34&lt;&gt;0,(H34-IFERROR(INDEX($H$2:$H33,MATCH(2,1/($C$2:$C33=$C34))),0))/W34,0),0)))</f>
        <v/>
      </c>
      <c r="Y34" s="82" t="str">
        <f aca="false">IF($A34="","",Y33+X34)</f>
        <v/>
      </c>
      <c r="Z34" s="1" t="str">
        <f aca="false">IF($A34="","",IF(X34&gt;0,IF(LEFT(Z33,1)="胜","胜"&amp;VALUE(RIGHT(Z33,LEN(Z33)-1))+1,"胜1"),IF(X34&lt;0,IF(LEFT(Z33,1)="亏","亏"&amp;VALUE(RIGHT(Z33,LEN(Z33)-1))+1,"亏1"),"平")))</f>
        <v/>
      </c>
      <c r="AA34" s="83" t="str">
        <f aca="false">IF($A34="","",MAX(0,(MAX($Y$2:Y34)-Y34)/MAX(1,MAX($Y$2:Y34))))</f>
        <v/>
      </c>
    </row>
    <row r="35" customFormat="false" ht="15" hidden="false" customHeight="true" outlineLevel="0" collapsed="false">
      <c r="A35" s="30"/>
      <c r="B35" s="30"/>
      <c r="C35" s="30"/>
      <c r="D35" s="30"/>
      <c r="E35" s="30"/>
      <c r="F35" s="44"/>
      <c r="G35" s="45"/>
      <c r="H35" s="35"/>
      <c r="I35" s="44"/>
      <c r="J35" s="45"/>
      <c r="K35" s="36"/>
      <c r="L35" s="44"/>
      <c r="M35" s="30"/>
      <c r="N35" s="31"/>
      <c r="O35" s="30"/>
      <c r="P35" s="31"/>
      <c r="Q35" s="30"/>
      <c r="R35" s="46"/>
      <c r="S35" s="31"/>
      <c r="T35" s="31"/>
      <c r="U35" s="30"/>
      <c r="V35" s="1" t="str">
        <f aca="false">IF($A35="","",IF(OR(D35="卖出",D35="分红"),IFERROR(INDEX($F$2:$F34,MATCH(2,1/($C$2:$C34=$C35))),""),""))</f>
        <v/>
      </c>
      <c r="W35" s="81" t="str">
        <f aca="false">IF($A35="","",IF(D35="买入",IF(AND(ISNUMBER(L35),L35&gt;0),(F35-L35)*G35,F35*0.08*G35),IF(AND(ISNUMBER(V35),V35&gt;0),IF(AND(ISNUMBER(L35),L35&gt;0),(V35-L35)*G35,V35*0.08*G35),0)))</f>
        <v/>
      </c>
      <c r="X35" s="82" t="str">
        <f aca="false">IF($A35="","",IF(D35="买入",0,IFERROR(IF(W35&lt;&gt;0,(H35-IFERROR(INDEX($H$2:$H34,MATCH(2,1/($C$2:$C34=$C35))),0))/W35,0),0)))</f>
        <v/>
      </c>
      <c r="Y35" s="82" t="str">
        <f aca="false">IF($A35="","",Y34+X35)</f>
        <v/>
      </c>
      <c r="Z35" s="1" t="str">
        <f aca="false">IF($A35="","",IF(X35&gt;0,IF(LEFT(Z34,1)="胜","胜"&amp;VALUE(RIGHT(Z34,LEN(Z34)-1))+1,"胜1"),IF(X35&lt;0,IF(LEFT(Z34,1)="亏","亏"&amp;VALUE(RIGHT(Z34,LEN(Z34)-1))+1,"亏1"),"平")))</f>
        <v/>
      </c>
      <c r="AA35" s="83" t="str">
        <f aca="false">IF($A35="","",MAX(0,(MAX($Y$2:Y35)-Y35)/MAX(1,MAX($Y$2:Y35))))</f>
        <v/>
      </c>
    </row>
    <row r="36" customFormat="false" ht="15" hidden="false" customHeight="true" outlineLevel="0" collapsed="false">
      <c r="A36" s="28"/>
      <c r="B36" s="28"/>
      <c r="C36" s="28"/>
      <c r="D36" s="28"/>
      <c r="E36" s="28"/>
      <c r="F36" s="34"/>
      <c r="G36" s="37"/>
      <c r="H36" s="35"/>
      <c r="I36" s="34"/>
      <c r="J36" s="37"/>
      <c r="K36" s="36"/>
      <c r="L36" s="34"/>
      <c r="M36" s="28"/>
      <c r="N36" s="29"/>
      <c r="O36" s="28"/>
      <c r="P36" s="29"/>
      <c r="Q36" s="28"/>
      <c r="R36" s="40"/>
      <c r="S36" s="29"/>
      <c r="T36" s="29"/>
      <c r="U36" s="28"/>
      <c r="V36" s="1" t="str">
        <f aca="false">IF($A36="","",IF(OR(D36="卖出",D36="分红"),IFERROR(INDEX($F$2:$F35,MATCH(2,1/($C$2:$C35=$C36))),""),""))</f>
        <v/>
      </c>
      <c r="W36" s="81" t="str">
        <f aca="false">IF($A36="","",IF(D36="买入",IF(AND(ISNUMBER(L36),L36&gt;0),(F36-L36)*G36,F36*0.08*G36),IF(AND(ISNUMBER(V36),V36&gt;0),IF(AND(ISNUMBER(L36),L36&gt;0),(V36-L36)*G36,V36*0.08*G36),0)))</f>
        <v/>
      </c>
      <c r="X36" s="82" t="str">
        <f aca="false">IF($A36="","",IF(D36="买入",0,IFERROR(IF(W36&lt;&gt;0,(H36-IFERROR(INDEX($H$2:$H35,MATCH(2,1/($C$2:$C35=$C36))),0))/W36,0),0)))</f>
        <v/>
      </c>
      <c r="Y36" s="82" t="str">
        <f aca="false">IF($A36="","",Y35+X36)</f>
        <v/>
      </c>
      <c r="Z36" s="1" t="str">
        <f aca="false">IF($A36="","",IF(X36&gt;0,IF(LEFT(Z35,1)="胜","胜"&amp;VALUE(RIGHT(Z35,LEN(Z35)-1))+1,"胜1"),IF(X36&lt;0,IF(LEFT(Z35,1)="亏","亏"&amp;VALUE(RIGHT(Z35,LEN(Z35)-1))+1,"亏1"),"平")))</f>
        <v/>
      </c>
      <c r="AA36" s="83" t="str">
        <f aca="false">IF($A36="","",MAX(0,(MAX($Y$2:Y36)-Y36)/MAX(1,MAX($Y$2:Y36))))</f>
        <v/>
      </c>
    </row>
    <row r="37" customFormat="false" ht="15" hidden="false" customHeight="true" outlineLevel="0" collapsed="false">
      <c r="A37" s="30"/>
      <c r="B37" s="30"/>
      <c r="C37" s="30"/>
      <c r="D37" s="30"/>
      <c r="E37" s="30"/>
      <c r="F37" s="44"/>
      <c r="G37" s="45"/>
      <c r="H37" s="35"/>
      <c r="I37" s="44"/>
      <c r="J37" s="45"/>
      <c r="K37" s="36"/>
      <c r="L37" s="44"/>
      <c r="M37" s="30"/>
      <c r="N37" s="31"/>
      <c r="O37" s="30"/>
      <c r="P37" s="31"/>
      <c r="Q37" s="30"/>
      <c r="R37" s="46"/>
      <c r="S37" s="31"/>
      <c r="T37" s="31"/>
      <c r="U37" s="30"/>
      <c r="V37" s="1" t="str">
        <f aca="false">IF($A37="","",IF(OR(D37="卖出",D37="分红"),IFERROR(INDEX($F$2:$F36,MATCH(2,1/($C$2:$C36=$C37))),""),""))</f>
        <v/>
      </c>
      <c r="W37" s="81" t="str">
        <f aca="false">IF($A37="","",IF(D37="买入",IF(AND(ISNUMBER(L37),L37&gt;0),(F37-L37)*G37,F37*0.08*G37),IF(AND(ISNUMBER(V37),V37&gt;0),IF(AND(ISNUMBER(L37),L37&gt;0),(V37-L37)*G37,V37*0.08*G37),0)))</f>
        <v/>
      </c>
      <c r="X37" s="82" t="str">
        <f aca="false">IF($A37="","",IF(D37="买入",0,IFERROR(IF(W37&lt;&gt;0,(H37-IFERROR(INDEX($H$2:$H36,MATCH(2,1/($C$2:$C36=$C37))),0))/W37,0),0)))</f>
        <v/>
      </c>
      <c r="Y37" s="82" t="str">
        <f aca="false">IF($A37="","",Y36+X37)</f>
        <v/>
      </c>
      <c r="Z37" s="1" t="str">
        <f aca="false">IF($A37="","",IF(X37&gt;0,IF(LEFT(Z36,1)="胜","胜"&amp;VALUE(RIGHT(Z36,LEN(Z36)-1))+1,"胜1"),IF(X37&lt;0,IF(LEFT(Z36,1)="亏","亏"&amp;VALUE(RIGHT(Z36,LEN(Z36)-1))+1,"亏1"),"平")))</f>
        <v/>
      </c>
      <c r="AA37" s="83" t="str">
        <f aca="false">IF($A37="","",MAX(0,(MAX($Y$2:Y37)-Y37)/MAX(1,MAX($Y$2:Y37))))</f>
        <v/>
      </c>
    </row>
    <row r="38" customFormat="false" ht="15" hidden="false" customHeight="true" outlineLevel="0" collapsed="false">
      <c r="A38" s="28"/>
      <c r="B38" s="28"/>
      <c r="C38" s="28"/>
      <c r="D38" s="28"/>
      <c r="E38" s="28"/>
      <c r="F38" s="34"/>
      <c r="G38" s="37"/>
      <c r="H38" s="35"/>
      <c r="I38" s="34"/>
      <c r="J38" s="37"/>
      <c r="K38" s="36"/>
      <c r="L38" s="34"/>
      <c r="M38" s="28"/>
      <c r="N38" s="29"/>
      <c r="O38" s="28"/>
      <c r="P38" s="29"/>
      <c r="Q38" s="28"/>
      <c r="R38" s="40"/>
      <c r="S38" s="29"/>
      <c r="T38" s="29"/>
      <c r="U38" s="28"/>
      <c r="V38" s="1" t="str">
        <f aca="false">IF($A38="","",IF(OR(D38="卖出",D38="分红"),IFERROR(INDEX($F$2:$F37,MATCH(2,1/($C$2:$C37=$C38))),""),""))</f>
        <v/>
      </c>
      <c r="W38" s="81" t="str">
        <f aca="false">IF($A38="","",IF(D38="买入",IF(AND(ISNUMBER(L38),L38&gt;0),(F38-L38)*G38,F38*0.08*G38),IF(AND(ISNUMBER(V38),V38&gt;0),IF(AND(ISNUMBER(L38),L38&gt;0),(V38-L38)*G38,V38*0.08*G38),0)))</f>
        <v/>
      </c>
      <c r="X38" s="82" t="str">
        <f aca="false">IF($A38="","",IF(D38="买入",0,IFERROR(IF(W38&lt;&gt;0,(H38-IFERROR(INDEX($H$2:$H37,MATCH(2,1/($C$2:$C37=$C38))),0))/W38,0),0)))</f>
        <v/>
      </c>
      <c r="Y38" s="82" t="str">
        <f aca="false">IF($A38="","",Y37+X38)</f>
        <v/>
      </c>
      <c r="Z38" s="1" t="str">
        <f aca="false">IF($A38="","",IF(X38&gt;0,IF(LEFT(Z37,1)="胜","胜"&amp;VALUE(RIGHT(Z37,LEN(Z37)-1))+1,"胜1"),IF(X38&lt;0,IF(LEFT(Z37,1)="亏","亏"&amp;VALUE(RIGHT(Z37,LEN(Z37)-1))+1,"亏1"),"平")))</f>
        <v/>
      </c>
      <c r="AA38" s="83" t="str">
        <f aca="false">IF($A38="","",MAX(0,(MAX($Y$2:Y38)-Y38)/MAX(1,MAX($Y$2:Y38))))</f>
        <v/>
      </c>
    </row>
    <row r="39" customFormat="false" ht="15" hidden="false" customHeight="true" outlineLevel="0" collapsed="false">
      <c r="A39" s="30"/>
      <c r="B39" s="30"/>
      <c r="C39" s="30"/>
      <c r="D39" s="30"/>
      <c r="E39" s="30"/>
      <c r="F39" s="44"/>
      <c r="G39" s="45"/>
      <c r="H39" s="35"/>
      <c r="I39" s="44"/>
      <c r="J39" s="45"/>
      <c r="K39" s="36"/>
      <c r="L39" s="44"/>
      <c r="M39" s="30"/>
      <c r="N39" s="31"/>
      <c r="O39" s="30"/>
      <c r="P39" s="31"/>
      <c r="Q39" s="30"/>
      <c r="R39" s="46"/>
      <c r="S39" s="31"/>
      <c r="T39" s="31"/>
      <c r="U39" s="30"/>
      <c r="V39" s="1" t="str">
        <f aca="false">IF($A39="","",IF(OR(D39="卖出",D39="分红"),IFERROR(INDEX($F$2:$F38,MATCH(2,1/($C$2:$C38=$C39))),""),""))</f>
        <v/>
      </c>
      <c r="W39" s="81" t="str">
        <f aca="false">IF($A39="","",IF(D39="买入",IF(AND(ISNUMBER(L39),L39&gt;0),(F39-L39)*G39,F39*0.08*G39),IF(AND(ISNUMBER(V39),V39&gt;0),IF(AND(ISNUMBER(L39),L39&gt;0),(V39-L39)*G39,V39*0.08*G39),0)))</f>
        <v/>
      </c>
      <c r="X39" s="82" t="str">
        <f aca="false">IF($A39="","",IF(D39="买入",0,IFERROR(IF(W39&lt;&gt;0,(H39-IFERROR(INDEX($H$2:$H38,MATCH(2,1/($C$2:$C38=$C39))),0))/W39,0),0)))</f>
        <v/>
      </c>
      <c r="Y39" s="82" t="str">
        <f aca="false">IF($A39="","",Y38+X39)</f>
        <v/>
      </c>
      <c r="Z39" s="1" t="str">
        <f aca="false">IF($A39="","",IF(X39&gt;0,IF(LEFT(Z38,1)="胜","胜"&amp;VALUE(RIGHT(Z38,LEN(Z38)-1))+1,"胜1"),IF(X39&lt;0,IF(LEFT(Z38,1)="亏","亏"&amp;VALUE(RIGHT(Z38,LEN(Z38)-1))+1,"亏1"),"平")))</f>
        <v/>
      </c>
      <c r="AA39" s="83" t="str">
        <f aca="false">IF($A39="","",MAX(0,(MAX($Y$2:Y39)-Y39)/MAX(1,MAX($Y$2:Y39))))</f>
        <v/>
      </c>
    </row>
    <row r="40" customFormat="false" ht="15" hidden="false" customHeight="true" outlineLevel="0" collapsed="false">
      <c r="A40" s="28"/>
      <c r="B40" s="28"/>
      <c r="C40" s="28"/>
      <c r="D40" s="28"/>
      <c r="E40" s="28"/>
      <c r="F40" s="34"/>
      <c r="G40" s="37"/>
      <c r="H40" s="35"/>
      <c r="I40" s="34"/>
      <c r="J40" s="37"/>
      <c r="K40" s="36"/>
      <c r="L40" s="34"/>
      <c r="M40" s="28"/>
      <c r="N40" s="29"/>
      <c r="O40" s="28"/>
      <c r="P40" s="29"/>
      <c r="Q40" s="28"/>
      <c r="R40" s="40"/>
      <c r="S40" s="29"/>
      <c r="T40" s="29"/>
      <c r="U40" s="28"/>
      <c r="V40" s="1" t="str">
        <f aca="false">IF($A40="","",IF(OR(D40="卖出",D40="分红"),IFERROR(INDEX($F$2:$F39,MATCH(2,1/($C$2:$C39=$C40))),""),""))</f>
        <v/>
      </c>
      <c r="W40" s="81" t="str">
        <f aca="false">IF($A40="","",IF(D40="买入",IF(AND(ISNUMBER(L40),L40&gt;0),(F40-L40)*G40,F40*0.08*G40),IF(AND(ISNUMBER(V40),V40&gt;0),IF(AND(ISNUMBER(L40),L40&gt;0),(V40-L40)*G40,V40*0.08*G40),0)))</f>
        <v/>
      </c>
      <c r="X40" s="82" t="str">
        <f aca="false">IF($A40="","",IF(D40="买入",0,IFERROR(IF(W40&lt;&gt;0,(H40-IFERROR(INDEX($H$2:$H39,MATCH(2,1/($C$2:$C39=$C40))),0))/W40,0),0)))</f>
        <v/>
      </c>
      <c r="Y40" s="82" t="str">
        <f aca="false">IF($A40="","",Y39+X40)</f>
        <v/>
      </c>
      <c r="Z40" s="1" t="str">
        <f aca="false">IF($A40="","",IF(X40&gt;0,IF(LEFT(Z39,1)="胜","胜"&amp;VALUE(RIGHT(Z39,LEN(Z39)-1))+1,"胜1"),IF(X40&lt;0,IF(LEFT(Z39,1)="亏","亏"&amp;VALUE(RIGHT(Z39,LEN(Z39)-1))+1,"亏1"),"平")))</f>
        <v/>
      </c>
      <c r="AA40" s="83" t="str">
        <f aca="false">IF($A40="","",MAX(0,(MAX($Y$2:Y40)-Y40)/MAX(1,MAX($Y$2:Y40))))</f>
        <v/>
      </c>
    </row>
    <row r="41" customFormat="false" ht="15" hidden="false" customHeight="true" outlineLevel="0" collapsed="false">
      <c r="A41" s="30"/>
      <c r="B41" s="30"/>
      <c r="C41" s="30"/>
      <c r="D41" s="30"/>
      <c r="E41" s="30"/>
      <c r="F41" s="44"/>
      <c r="G41" s="45"/>
      <c r="H41" s="35"/>
      <c r="I41" s="44"/>
      <c r="J41" s="45"/>
      <c r="K41" s="36"/>
      <c r="L41" s="44"/>
      <c r="M41" s="30"/>
      <c r="N41" s="31"/>
      <c r="O41" s="30"/>
      <c r="P41" s="31"/>
      <c r="Q41" s="30"/>
      <c r="R41" s="46"/>
      <c r="S41" s="31"/>
      <c r="T41" s="31"/>
      <c r="U41" s="30"/>
      <c r="V41" s="1" t="str">
        <f aca="false">IF($A41="","",IF(OR(D41="卖出",D41="分红"),IFERROR(INDEX($F$2:$F40,MATCH(2,1/($C$2:$C40=$C41))),""),""))</f>
        <v/>
      </c>
      <c r="W41" s="81" t="str">
        <f aca="false">IF($A41="","",IF(D41="买入",IF(AND(ISNUMBER(L41),L41&gt;0),(F41-L41)*G41,F41*0.08*G41),IF(AND(ISNUMBER(V41),V41&gt;0),IF(AND(ISNUMBER(L41),L41&gt;0),(V41-L41)*G41,V41*0.08*G41),0)))</f>
        <v/>
      </c>
      <c r="X41" s="82" t="str">
        <f aca="false">IF($A41="","",IF(D41="买入",0,IFERROR(IF(W41&lt;&gt;0,(H41-IFERROR(INDEX($H$2:$H40,MATCH(2,1/($C$2:$C40=$C41))),0))/W41,0),0)))</f>
        <v/>
      </c>
      <c r="Y41" s="82" t="str">
        <f aca="false">IF($A41="","",Y40+X41)</f>
        <v/>
      </c>
      <c r="Z41" s="1" t="str">
        <f aca="false">IF($A41="","",IF(X41&gt;0,IF(LEFT(Z40,1)="胜","胜"&amp;VALUE(RIGHT(Z40,LEN(Z40)-1))+1,"胜1"),IF(X41&lt;0,IF(LEFT(Z40,1)="亏","亏"&amp;VALUE(RIGHT(Z40,LEN(Z40)-1))+1,"亏1"),"平")))</f>
        <v/>
      </c>
      <c r="AA41" s="83" t="str">
        <f aca="false">IF($A41="","",MAX(0,(MAX($Y$2:Y41)-Y41)/MAX(1,MAX($Y$2:Y41))))</f>
        <v/>
      </c>
    </row>
    <row r="42" customFormat="false" ht="15" hidden="false" customHeight="true" outlineLevel="0" collapsed="false">
      <c r="A42" s="28"/>
      <c r="B42" s="28"/>
      <c r="C42" s="28"/>
      <c r="D42" s="28"/>
      <c r="E42" s="28"/>
      <c r="F42" s="34"/>
      <c r="G42" s="37"/>
      <c r="H42" s="35"/>
      <c r="I42" s="34"/>
      <c r="J42" s="37"/>
      <c r="K42" s="36"/>
      <c r="L42" s="34"/>
      <c r="M42" s="28"/>
      <c r="N42" s="29"/>
      <c r="O42" s="28"/>
      <c r="P42" s="29"/>
      <c r="Q42" s="28"/>
      <c r="R42" s="40"/>
      <c r="S42" s="29"/>
      <c r="T42" s="29"/>
      <c r="U42" s="28"/>
      <c r="V42" s="1" t="str">
        <f aca="false">IF($A42="","",IF(OR(D42="卖出",D42="分红"),IFERROR(INDEX($F$2:$F41,MATCH(2,1/($C$2:$C41=$C42))),""),""))</f>
        <v/>
      </c>
      <c r="W42" s="81" t="str">
        <f aca="false">IF($A42="","",IF(D42="买入",IF(AND(ISNUMBER(L42),L42&gt;0),(F42-L42)*G42,F42*0.08*G42),IF(AND(ISNUMBER(V42),V42&gt;0),IF(AND(ISNUMBER(L42),L42&gt;0),(V42-L42)*G42,V42*0.08*G42),0)))</f>
        <v/>
      </c>
      <c r="X42" s="82" t="str">
        <f aca="false">IF($A42="","",IF(D42="买入",0,IFERROR(IF(W42&lt;&gt;0,(H42-IFERROR(INDEX($H$2:$H41,MATCH(2,1/($C$2:$C41=$C42))),0))/W42,0),0)))</f>
        <v/>
      </c>
      <c r="Y42" s="82" t="str">
        <f aca="false">IF($A42="","",Y41+X42)</f>
        <v/>
      </c>
      <c r="Z42" s="1" t="str">
        <f aca="false">IF($A42="","",IF(X42&gt;0,IF(LEFT(Z41,1)="胜","胜"&amp;VALUE(RIGHT(Z41,LEN(Z41)-1))+1,"胜1"),IF(X42&lt;0,IF(LEFT(Z41,1)="亏","亏"&amp;VALUE(RIGHT(Z41,LEN(Z41)-1))+1,"亏1"),"平")))</f>
        <v/>
      </c>
      <c r="AA42" s="83" t="str">
        <f aca="false">IF($A42="","",MAX(0,(MAX($Y$2:Y42)-Y42)/MAX(1,MAX($Y$2:Y42))))</f>
        <v/>
      </c>
    </row>
    <row r="43" customFormat="false" ht="15" hidden="false" customHeight="true" outlineLevel="0" collapsed="false">
      <c r="A43" s="30"/>
      <c r="B43" s="30"/>
      <c r="C43" s="30"/>
      <c r="D43" s="30"/>
      <c r="E43" s="30"/>
      <c r="F43" s="44"/>
      <c r="G43" s="45"/>
      <c r="H43" s="35"/>
      <c r="I43" s="44"/>
      <c r="J43" s="45"/>
      <c r="K43" s="36"/>
      <c r="L43" s="44"/>
      <c r="M43" s="30"/>
      <c r="N43" s="31"/>
      <c r="O43" s="30"/>
      <c r="P43" s="31"/>
      <c r="Q43" s="30"/>
      <c r="R43" s="46"/>
      <c r="S43" s="31"/>
      <c r="T43" s="31"/>
      <c r="U43" s="30"/>
      <c r="V43" s="1" t="str">
        <f aca="false">IF($A43="","",IF(OR(D43="卖出",D43="分红"),IFERROR(INDEX($F$2:$F42,MATCH(2,1/($C$2:$C42=$C43))),""),""))</f>
        <v/>
      </c>
      <c r="W43" s="81" t="str">
        <f aca="false">IF($A43="","",IF(D43="买入",IF(AND(ISNUMBER(L43),L43&gt;0),(F43-L43)*G43,F43*0.08*G43),IF(AND(ISNUMBER(V43),V43&gt;0),IF(AND(ISNUMBER(L43),L43&gt;0),(V43-L43)*G43,V43*0.08*G43),0)))</f>
        <v/>
      </c>
      <c r="X43" s="82" t="str">
        <f aca="false">IF($A43="","",IF(D43="买入",0,IFERROR(IF(W43&lt;&gt;0,(H43-IFERROR(INDEX($H$2:$H42,MATCH(2,1/($C$2:$C42=$C43))),0))/W43,0),0)))</f>
        <v/>
      </c>
      <c r="Y43" s="82" t="str">
        <f aca="false">IF($A43="","",Y42+X43)</f>
        <v/>
      </c>
      <c r="Z43" s="1" t="str">
        <f aca="false">IF($A43="","",IF(X43&gt;0,IF(LEFT(Z42,1)="胜","胜"&amp;VALUE(RIGHT(Z42,LEN(Z42)-1))+1,"胜1"),IF(X43&lt;0,IF(LEFT(Z42,1)="亏","亏"&amp;VALUE(RIGHT(Z42,LEN(Z42)-1))+1,"亏1"),"平")))</f>
        <v/>
      </c>
      <c r="AA43" s="83" t="str">
        <f aca="false">IF($A43="","",MAX(0,(MAX($Y$2:Y43)-Y43)/MAX(1,MAX($Y$2:Y43))))</f>
        <v/>
      </c>
    </row>
    <row r="44" customFormat="false" ht="15" hidden="false" customHeight="true" outlineLevel="0" collapsed="false">
      <c r="A44" s="28"/>
      <c r="B44" s="28"/>
      <c r="C44" s="28"/>
      <c r="D44" s="28"/>
      <c r="E44" s="28"/>
      <c r="F44" s="34"/>
      <c r="G44" s="37"/>
      <c r="H44" s="35"/>
      <c r="I44" s="34"/>
      <c r="J44" s="37"/>
      <c r="K44" s="36"/>
      <c r="L44" s="34"/>
      <c r="M44" s="28"/>
      <c r="N44" s="29"/>
      <c r="O44" s="28"/>
      <c r="P44" s="29"/>
      <c r="Q44" s="28"/>
      <c r="R44" s="40"/>
      <c r="S44" s="29"/>
      <c r="T44" s="29"/>
      <c r="U44" s="28"/>
      <c r="V44" s="1" t="str">
        <f aca="false">IF($A44="","",IF(OR(D44="卖出",D44="分红"),IFERROR(INDEX($F$2:$F43,MATCH(2,1/($C$2:$C43=$C44))),""),""))</f>
        <v/>
      </c>
      <c r="W44" s="81" t="str">
        <f aca="false">IF($A44="","",IF(D44="买入",IF(AND(ISNUMBER(L44),L44&gt;0),(F44-L44)*G44,F44*0.08*G44),IF(AND(ISNUMBER(V44),V44&gt;0),IF(AND(ISNUMBER(L44),L44&gt;0),(V44-L44)*G44,V44*0.08*G44),0)))</f>
        <v/>
      </c>
      <c r="X44" s="82" t="str">
        <f aca="false">IF($A44="","",IF(D44="买入",0,IFERROR(IF(W44&lt;&gt;0,(H44-IFERROR(INDEX($H$2:$H43,MATCH(2,1/($C$2:$C43=$C44))),0))/W44,0),0)))</f>
        <v/>
      </c>
      <c r="Y44" s="82" t="str">
        <f aca="false">IF($A44="","",Y43+X44)</f>
        <v/>
      </c>
      <c r="Z44" s="1" t="str">
        <f aca="false">IF($A44="","",IF(X44&gt;0,IF(LEFT(Z43,1)="胜","胜"&amp;VALUE(RIGHT(Z43,LEN(Z43)-1))+1,"胜1"),IF(X44&lt;0,IF(LEFT(Z43,1)="亏","亏"&amp;VALUE(RIGHT(Z43,LEN(Z43)-1))+1,"亏1"),"平")))</f>
        <v/>
      </c>
      <c r="AA44" s="83" t="str">
        <f aca="false">IF($A44="","",MAX(0,(MAX($Y$2:Y44)-Y44)/MAX(1,MAX($Y$2:Y44))))</f>
        <v/>
      </c>
    </row>
    <row r="45" customFormat="false" ht="15" hidden="false" customHeight="true" outlineLevel="0" collapsed="false">
      <c r="A45" s="30"/>
      <c r="B45" s="30"/>
      <c r="C45" s="30"/>
      <c r="D45" s="30"/>
      <c r="E45" s="30"/>
      <c r="F45" s="44"/>
      <c r="G45" s="45"/>
      <c r="H45" s="35"/>
      <c r="I45" s="44"/>
      <c r="J45" s="45"/>
      <c r="K45" s="36"/>
      <c r="L45" s="44"/>
      <c r="M45" s="30"/>
      <c r="N45" s="31"/>
      <c r="O45" s="30"/>
      <c r="P45" s="31"/>
      <c r="Q45" s="30"/>
      <c r="R45" s="46"/>
      <c r="S45" s="31"/>
      <c r="T45" s="31"/>
      <c r="U45" s="30"/>
      <c r="V45" s="1" t="str">
        <f aca="false">IF($A45="","",IF(OR(D45="卖出",D45="分红"),IFERROR(INDEX($F$2:$F44,MATCH(2,1/($C$2:$C44=$C45))),""),""))</f>
        <v/>
      </c>
      <c r="W45" s="81" t="str">
        <f aca="false">IF($A45="","",IF(D45="买入",IF(AND(ISNUMBER(L45),L45&gt;0),(F45-L45)*G45,F45*0.08*G45),IF(AND(ISNUMBER(V45),V45&gt;0),IF(AND(ISNUMBER(L45),L45&gt;0),(V45-L45)*G45,V45*0.08*G45),0)))</f>
        <v/>
      </c>
      <c r="X45" s="82" t="str">
        <f aca="false">IF($A45="","",IF(D45="买入",0,IFERROR(IF(W45&lt;&gt;0,(H45-IFERROR(INDEX($H$2:$H44,MATCH(2,1/($C$2:$C44=$C45))),0))/W45,0),0)))</f>
        <v/>
      </c>
      <c r="Y45" s="82" t="str">
        <f aca="false">IF($A45="","",Y44+X45)</f>
        <v/>
      </c>
      <c r="Z45" s="1" t="str">
        <f aca="false">IF($A45="","",IF(X45&gt;0,IF(LEFT(Z44,1)="胜","胜"&amp;VALUE(RIGHT(Z44,LEN(Z44)-1))+1,"胜1"),IF(X45&lt;0,IF(LEFT(Z44,1)="亏","亏"&amp;VALUE(RIGHT(Z44,LEN(Z44)-1))+1,"亏1"),"平")))</f>
        <v/>
      </c>
      <c r="AA45" s="83" t="str">
        <f aca="false">IF($A45="","",MAX(0,(MAX($Y$2:Y45)-Y45)/MAX(1,MAX($Y$2:Y45))))</f>
        <v/>
      </c>
    </row>
    <row r="46" customFormat="false" ht="15" hidden="false" customHeight="true" outlineLevel="0" collapsed="false">
      <c r="A46" s="28"/>
      <c r="B46" s="28"/>
      <c r="C46" s="28"/>
      <c r="D46" s="28"/>
      <c r="E46" s="28"/>
      <c r="F46" s="34"/>
      <c r="G46" s="37"/>
      <c r="H46" s="35"/>
      <c r="I46" s="34"/>
      <c r="J46" s="37"/>
      <c r="K46" s="36"/>
      <c r="L46" s="34"/>
      <c r="M46" s="28"/>
      <c r="N46" s="29"/>
      <c r="O46" s="28"/>
      <c r="P46" s="29"/>
      <c r="Q46" s="28"/>
      <c r="R46" s="40"/>
      <c r="S46" s="29"/>
      <c r="T46" s="29"/>
      <c r="U46" s="28"/>
      <c r="V46" s="1" t="str">
        <f aca="false">IF($A46="","",IF(OR(D46="卖出",D46="分红"),IFERROR(INDEX($F$2:$F45,MATCH(2,1/($C$2:$C45=$C46))),""),""))</f>
        <v/>
      </c>
      <c r="W46" s="81" t="str">
        <f aca="false">IF($A46="","",IF(D46="买入",IF(AND(ISNUMBER(L46),L46&gt;0),(F46-L46)*G46,F46*0.08*G46),IF(AND(ISNUMBER(V46),V46&gt;0),IF(AND(ISNUMBER(L46),L46&gt;0),(V46-L46)*G46,V46*0.08*G46),0)))</f>
        <v/>
      </c>
      <c r="X46" s="82" t="str">
        <f aca="false">IF($A46="","",IF(D46="买入",0,IFERROR(IF(W46&lt;&gt;0,(H46-IFERROR(INDEX($H$2:$H45,MATCH(2,1/($C$2:$C45=$C46))),0))/W46,0),0)))</f>
        <v/>
      </c>
      <c r="Y46" s="82" t="str">
        <f aca="false">IF($A46="","",Y45+X46)</f>
        <v/>
      </c>
      <c r="Z46" s="1" t="str">
        <f aca="false">IF($A46="","",IF(X46&gt;0,IF(LEFT(Z45,1)="胜","胜"&amp;VALUE(RIGHT(Z45,LEN(Z45)-1))+1,"胜1"),IF(X46&lt;0,IF(LEFT(Z45,1)="亏","亏"&amp;VALUE(RIGHT(Z45,LEN(Z45)-1))+1,"亏1"),"平")))</f>
        <v/>
      </c>
      <c r="AA46" s="83" t="str">
        <f aca="false">IF($A46="","",MAX(0,(MAX($Y$2:Y46)-Y46)/MAX(1,MAX($Y$2:Y46))))</f>
        <v/>
      </c>
    </row>
    <row r="47" customFormat="false" ht="15" hidden="false" customHeight="true" outlineLevel="0" collapsed="false">
      <c r="A47" s="30"/>
      <c r="B47" s="30"/>
      <c r="C47" s="30"/>
      <c r="D47" s="30"/>
      <c r="E47" s="30"/>
      <c r="F47" s="44"/>
      <c r="G47" s="45"/>
      <c r="H47" s="35"/>
      <c r="I47" s="44"/>
      <c r="J47" s="45"/>
      <c r="K47" s="36"/>
      <c r="L47" s="44"/>
      <c r="M47" s="30"/>
      <c r="N47" s="31"/>
      <c r="O47" s="30"/>
      <c r="P47" s="31"/>
      <c r="Q47" s="30"/>
      <c r="R47" s="46"/>
      <c r="S47" s="31"/>
      <c r="T47" s="31"/>
      <c r="U47" s="30"/>
      <c r="V47" s="1" t="str">
        <f aca="false">IF($A47="","",IF(OR(D47="卖出",D47="分红"),IFERROR(INDEX($F$2:$F46,MATCH(2,1/($C$2:$C46=$C47))),""),""))</f>
        <v/>
      </c>
      <c r="W47" s="81" t="str">
        <f aca="false">IF($A47="","",IF(D47="买入",IF(AND(ISNUMBER(L47),L47&gt;0),(F47-L47)*G47,F47*0.08*G47),IF(AND(ISNUMBER(V47),V47&gt;0),IF(AND(ISNUMBER(L47),L47&gt;0),(V47-L47)*G47,V47*0.08*G47),0)))</f>
        <v/>
      </c>
      <c r="X47" s="82" t="str">
        <f aca="false">IF($A47="","",IF(D47="买入",0,IFERROR(IF(W47&lt;&gt;0,(H47-IFERROR(INDEX($H$2:$H46,MATCH(2,1/($C$2:$C46=$C47))),0))/W47,0),0)))</f>
        <v/>
      </c>
      <c r="Y47" s="82" t="str">
        <f aca="false">IF($A47="","",Y46+X47)</f>
        <v/>
      </c>
      <c r="Z47" s="1" t="str">
        <f aca="false">IF($A47="","",IF(X47&gt;0,IF(LEFT(Z46,1)="胜","胜"&amp;VALUE(RIGHT(Z46,LEN(Z46)-1))+1,"胜1"),IF(X47&lt;0,IF(LEFT(Z46,1)="亏","亏"&amp;VALUE(RIGHT(Z46,LEN(Z46)-1))+1,"亏1"),"平")))</f>
        <v/>
      </c>
      <c r="AA47" s="83" t="str">
        <f aca="false">IF($A47="","",MAX(0,(MAX($Y$2:Y47)-Y47)/MAX(1,MAX($Y$2:Y47))))</f>
        <v/>
      </c>
    </row>
    <row r="48" customFormat="false" ht="15" hidden="false" customHeight="true" outlineLevel="0" collapsed="false">
      <c r="A48" s="28"/>
      <c r="B48" s="28"/>
      <c r="C48" s="28"/>
      <c r="D48" s="28"/>
      <c r="E48" s="28"/>
      <c r="F48" s="34"/>
      <c r="G48" s="37"/>
      <c r="H48" s="35"/>
      <c r="I48" s="34"/>
      <c r="J48" s="37"/>
      <c r="K48" s="36"/>
      <c r="L48" s="34"/>
      <c r="M48" s="28"/>
      <c r="N48" s="29"/>
      <c r="O48" s="28"/>
      <c r="P48" s="29"/>
      <c r="Q48" s="28"/>
      <c r="R48" s="40"/>
      <c r="S48" s="29"/>
      <c r="T48" s="29"/>
      <c r="U48" s="28"/>
      <c r="V48" s="1" t="str">
        <f aca="false">IF($A48="","",IF(OR(D48="卖出",D48="分红"),IFERROR(INDEX($F$2:$F47,MATCH(2,1/($C$2:$C47=$C48))),""),""))</f>
        <v/>
      </c>
      <c r="W48" s="81" t="str">
        <f aca="false">IF($A48="","",IF(D48="买入",IF(AND(ISNUMBER(L48),L48&gt;0),(F48-L48)*G48,F48*0.08*G48),IF(AND(ISNUMBER(V48),V48&gt;0),IF(AND(ISNUMBER(L48),L48&gt;0),(V48-L48)*G48,V48*0.08*G48),0)))</f>
        <v/>
      </c>
      <c r="X48" s="82" t="str">
        <f aca="false">IF($A48="","",IF(D48="买入",0,IFERROR(IF(W48&lt;&gt;0,(H48-IFERROR(INDEX($H$2:$H47,MATCH(2,1/($C$2:$C47=$C48))),0))/W48,0),0)))</f>
        <v/>
      </c>
      <c r="Y48" s="82" t="str">
        <f aca="false">IF($A48="","",Y47+X48)</f>
        <v/>
      </c>
      <c r="Z48" s="1" t="str">
        <f aca="false">IF($A48="","",IF(X48&gt;0,IF(LEFT(Z47,1)="胜","胜"&amp;VALUE(RIGHT(Z47,LEN(Z47)-1))+1,"胜1"),IF(X48&lt;0,IF(LEFT(Z47,1)="亏","亏"&amp;VALUE(RIGHT(Z47,LEN(Z47)-1))+1,"亏1"),"平")))</f>
        <v/>
      </c>
      <c r="AA48" s="83" t="str">
        <f aca="false">IF($A48="","",MAX(0,(MAX($Y$2:Y48)-Y48)/MAX(1,MAX($Y$2:Y48))))</f>
        <v/>
      </c>
    </row>
    <row r="49" customFormat="false" ht="15" hidden="false" customHeight="true" outlineLevel="0" collapsed="false">
      <c r="A49" s="30"/>
      <c r="B49" s="30"/>
      <c r="C49" s="30"/>
      <c r="D49" s="30"/>
      <c r="E49" s="30"/>
      <c r="F49" s="44"/>
      <c r="G49" s="45"/>
      <c r="H49" s="35"/>
      <c r="I49" s="44"/>
      <c r="J49" s="45"/>
      <c r="K49" s="36"/>
      <c r="L49" s="44"/>
      <c r="M49" s="30"/>
      <c r="N49" s="31"/>
      <c r="O49" s="30"/>
      <c r="P49" s="31"/>
      <c r="Q49" s="30"/>
      <c r="R49" s="46"/>
      <c r="S49" s="31"/>
      <c r="T49" s="31"/>
      <c r="U49" s="30"/>
      <c r="V49" s="1" t="str">
        <f aca="false">IF($A49="","",IF(OR(D49="卖出",D49="分红"),IFERROR(INDEX($F$2:$F48,MATCH(2,1/($C$2:$C48=$C49))),""),""))</f>
        <v/>
      </c>
      <c r="W49" s="81" t="str">
        <f aca="false">IF($A49="","",IF(D49="买入",IF(AND(ISNUMBER(L49),L49&gt;0),(F49-L49)*G49,F49*0.08*G49),IF(AND(ISNUMBER(V49),V49&gt;0),IF(AND(ISNUMBER(L49),L49&gt;0),(V49-L49)*G49,V49*0.08*G49),0)))</f>
        <v/>
      </c>
      <c r="X49" s="82" t="str">
        <f aca="false">IF($A49="","",IF(D49="买入",0,IFERROR(IF(W49&lt;&gt;0,(H49-IFERROR(INDEX($H$2:$H48,MATCH(2,1/($C$2:$C48=$C49))),0))/W49,0),0)))</f>
        <v/>
      </c>
      <c r="Y49" s="82" t="str">
        <f aca="false">IF($A49="","",Y48+X49)</f>
        <v/>
      </c>
      <c r="Z49" s="1" t="str">
        <f aca="false">IF($A49="","",IF(X49&gt;0,IF(LEFT(Z48,1)="胜","胜"&amp;VALUE(RIGHT(Z48,LEN(Z48)-1))+1,"胜1"),IF(X49&lt;0,IF(LEFT(Z48,1)="亏","亏"&amp;VALUE(RIGHT(Z48,LEN(Z48)-1))+1,"亏1"),"平")))</f>
        <v/>
      </c>
      <c r="AA49" s="83" t="str">
        <f aca="false">IF($A49="","",MAX(0,(MAX($Y$2:Y49)-Y49)/MAX(1,MAX($Y$2:Y49))))</f>
        <v/>
      </c>
    </row>
    <row r="50" customFormat="false" ht="15" hidden="false" customHeight="true" outlineLevel="0" collapsed="false">
      <c r="A50" s="28"/>
      <c r="B50" s="28"/>
      <c r="C50" s="28"/>
      <c r="D50" s="28"/>
      <c r="E50" s="28"/>
      <c r="F50" s="34"/>
      <c r="G50" s="37"/>
      <c r="H50" s="35"/>
      <c r="I50" s="34"/>
      <c r="J50" s="37"/>
      <c r="K50" s="36"/>
      <c r="L50" s="34"/>
      <c r="M50" s="28"/>
      <c r="N50" s="29"/>
      <c r="O50" s="28"/>
      <c r="P50" s="29"/>
      <c r="Q50" s="28"/>
      <c r="R50" s="40"/>
      <c r="S50" s="29"/>
      <c r="T50" s="29"/>
      <c r="U50" s="28"/>
      <c r="V50" s="1" t="str">
        <f aca="false">IF($A50="","",IF(OR(D50="卖出",D50="分红"),IFERROR(INDEX($F$2:$F49,MATCH(2,1/($C$2:$C49=$C50))),""),""))</f>
        <v/>
      </c>
      <c r="W50" s="81" t="str">
        <f aca="false">IF($A50="","",IF(D50="买入",IF(AND(ISNUMBER(L50),L50&gt;0),(F50-L50)*G50,F50*0.08*G50),IF(AND(ISNUMBER(V50),V50&gt;0),IF(AND(ISNUMBER(L50),L50&gt;0),(V50-L50)*G50,V50*0.08*G50),0)))</f>
        <v/>
      </c>
      <c r="X50" s="82" t="str">
        <f aca="false">IF($A50="","",IF(D50="买入",0,IFERROR(IF(W50&lt;&gt;0,(H50-IFERROR(INDEX($H$2:$H49,MATCH(2,1/($C$2:$C49=$C50))),0))/W50,0),0)))</f>
        <v/>
      </c>
      <c r="Y50" s="82" t="str">
        <f aca="false">IF($A50="","",Y49+X50)</f>
        <v/>
      </c>
      <c r="Z50" s="1" t="str">
        <f aca="false">IF($A50="","",IF(X50&gt;0,IF(LEFT(Z49,1)="胜","胜"&amp;VALUE(RIGHT(Z49,LEN(Z49)-1))+1,"胜1"),IF(X50&lt;0,IF(LEFT(Z49,1)="亏","亏"&amp;VALUE(RIGHT(Z49,LEN(Z49)-1))+1,"亏1"),"平")))</f>
        <v/>
      </c>
      <c r="AA50" s="83" t="str">
        <f aca="false">IF($A50="","",MAX(0,(MAX($Y$2:Y50)-Y50)/MAX(1,MAX($Y$2:Y50))))</f>
        <v/>
      </c>
    </row>
    <row r="51" customFormat="false" ht="15" hidden="false" customHeight="true" outlineLevel="0" collapsed="false">
      <c r="A51" s="30"/>
      <c r="B51" s="30"/>
      <c r="C51" s="30"/>
      <c r="D51" s="30"/>
      <c r="E51" s="30"/>
      <c r="F51" s="44"/>
      <c r="G51" s="45"/>
      <c r="H51" s="35"/>
      <c r="I51" s="44"/>
      <c r="J51" s="45"/>
      <c r="K51" s="36"/>
      <c r="L51" s="44"/>
      <c r="M51" s="30"/>
      <c r="N51" s="31"/>
      <c r="O51" s="30"/>
      <c r="P51" s="31"/>
      <c r="Q51" s="30"/>
      <c r="R51" s="46"/>
      <c r="S51" s="31"/>
      <c r="T51" s="31"/>
      <c r="U51" s="30"/>
      <c r="V51" s="1" t="str">
        <f aca="false">IF($A51="","",IF(OR(D51="卖出",D51="分红"),IFERROR(INDEX($F$2:$F50,MATCH(2,1/($C$2:$C50=$C51))),""),""))</f>
        <v/>
      </c>
      <c r="W51" s="81" t="str">
        <f aca="false">IF($A51="","",IF(D51="买入",IF(AND(ISNUMBER(L51),L51&gt;0),(F51-L51)*G51,F51*0.08*G51),IF(AND(ISNUMBER(V51),V51&gt;0),IF(AND(ISNUMBER(L51),L51&gt;0),(V51-L51)*G51,V51*0.08*G51),0)))</f>
        <v/>
      </c>
      <c r="X51" s="82" t="str">
        <f aca="false">IF($A51="","",IF(D51="买入",0,IFERROR(IF(W51&lt;&gt;0,(H51-IFERROR(INDEX($H$2:$H50,MATCH(2,1/($C$2:$C50=$C51))),0))/W51,0),0)))</f>
        <v/>
      </c>
      <c r="Y51" s="82" t="str">
        <f aca="false">IF($A51="","",Y50+X51)</f>
        <v/>
      </c>
      <c r="Z51" s="1" t="str">
        <f aca="false">IF($A51="","",IF(X51&gt;0,IF(LEFT(Z50,1)="胜","胜"&amp;VALUE(RIGHT(Z50,LEN(Z50)-1))+1,"胜1"),IF(X51&lt;0,IF(LEFT(Z50,1)="亏","亏"&amp;VALUE(RIGHT(Z50,LEN(Z50)-1))+1,"亏1"),"平")))</f>
        <v/>
      </c>
      <c r="AA51" s="83" t="str">
        <f aca="false">IF($A51="","",MAX(0,(MAX($Y$2:Y51)-Y51)/MAX(1,MAX($Y$2:Y51))))</f>
        <v/>
      </c>
    </row>
    <row r="52" customFormat="false" ht="15" hidden="false" customHeight="true" outlineLevel="0" collapsed="false">
      <c r="A52" s="28"/>
      <c r="B52" s="28"/>
      <c r="C52" s="28"/>
      <c r="D52" s="28"/>
      <c r="E52" s="28"/>
      <c r="F52" s="34"/>
      <c r="G52" s="37"/>
      <c r="H52" s="35"/>
      <c r="I52" s="34"/>
      <c r="J52" s="37"/>
      <c r="K52" s="36"/>
      <c r="L52" s="34"/>
      <c r="M52" s="28"/>
      <c r="N52" s="29"/>
      <c r="O52" s="28"/>
      <c r="P52" s="29"/>
      <c r="Q52" s="28"/>
      <c r="R52" s="40"/>
      <c r="S52" s="29"/>
      <c r="T52" s="29"/>
      <c r="U52" s="28"/>
      <c r="V52" s="1" t="str">
        <f aca="false">IF($A52="","",IF(OR(D52="卖出",D52="分红"),IFERROR(INDEX($F$2:$F51,MATCH(2,1/($C$2:$C51=$C52))),""),""))</f>
        <v/>
      </c>
      <c r="W52" s="81" t="str">
        <f aca="false">IF($A52="","",IF(D52="买入",IF(AND(ISNUMBER(L52),L52&gt;0),(F52-L52)*G52,F52*0.08*G52),IF(AND(ISNUMBER(V52),V52&gt;0),IF(AND(ISNUMBER(L52),L52&gt;0),(V52-L52)*G52,V52*0.08*G52),0)))</f>
        <v/>
      </c>
      <c r="X52" s="82" t="str">
        <f aca="false">IF($A52="","",IF(D52="买入",0,IFERROR(IF(W52&lt;&gt;0,(H52-IFERROR(INDEX($H$2:$H51,MATCH(2,1/($C$2:$C51=$C52))),0))/W52,0),0)))</f>
        <v/>
      </c>
      <c r="Y52" s="82" t="str">
        <f aca="false">IF($A52="","",Y51+X52)</f>
        <v/>
      </c>
      <c r="Z52" s="1" t="str">
        <f aca="false">IF($A52="","",IF(X52&gt;0,IF(LEFT(Z51,1)="胜","胜"&amp;VALUE(RIGHT(Z51,LEN(Z51)-1))+1,"胜1"),IF(X52&lt;0,IF(LEFT(Z51,1)="亏","亏"&amp;VALUE(RIGHT(Z51,LEN(Z51)-1))+1,"亏1"),"平")))</f>
        <v/>
      </c>
      <c r="AA52" s="83" t="str">
        <f aca="false">IF($A52="","",MAX(0,(MAX($Y$2:Y52)-Y52)/MAX(1,MAX($Y$2:Y52))))</f>
        <v/>
      </c>
    </row>
    <row r="53" customFormat="false" ht="15" hidden="false" customHeight="true" outlineLevel="0" collapsed="false">
      <c r="A53" s="30"/>
      <c r="B53" s="30"/>
      <c r="C53" s="30"/>
      <c r="D53" s="30"/>
      <c r="E53" s="30"/>
      <c r="F53" s="44"/>
      <c r="G53" s="45"/>
      <c r="H53" s="35"/>
      <c r="I53" s="44"/>
      <c r="J53" s="45"/>
      <c r="K53" s="36"/>
      <c r="L53" s="44"/>
      <c r="M53" s="30"/>
      <c r="N53" s="31"/>
      <c r="O53" s="30"/>
      <c r="P53" s="31"/>
      <c r="Q53" s="30"/>
      <c r="R53" s="46"/>
      <c r="S53" s="31"/>
      <c r="T53" s="31"/>
      <c r="U53" s="30"/>
      <c r="V53" s="1" t="str">
        <f aca="false">IF($A53="","",IF(OR(D53="卖出",D53="分红"),IFERROR(INDEX($F$2:$F52,MATCH(2,1/($C$2:$C52=$C53))),""),""))</f>
        <v/>
      </c>
      <c r="W53" s="81" t="str">
        <f aca="false">IF($A53="","",IF(D53="买入",IF(AND(ISNUMBER(L53),L53&gt;0),(F53-L53)*G53,F53*0.08*G53),IF(AND(ISNUMBER(V53),V53&gt;0),IF(AND(ISNUMBER(L53),L53&gt;0),(V53-L53)*G53,V53*0.08*G53),0)))</f>
        <v/>
      </c>
      <c r="X53" s="82" t="str">
        <f aca="false">IF($A53="","",IF(D53="买入",0,IFERROR(IF(W53&lt;&gt;0,(H53-IFERROR(INDEX($H$2:$H52,MATCH(2,1/($C$2:$C52=$C53))),0))/W53,0),0)))</f>
        <v/>
      </c>
      <c r="Y53" s="82" t="str">
        <f aca="false">IF($A53="","",Y52+X53)</f>
        <v/>
      </c>
      <c r="Z53" s="1" t="str">
        <f aca="false">IF($A53="","",IF(X53&gt;0,IF(LEFT(Z52,1)="胜","胜"&amp;VALUE(RIGHT(Z52,LEN(Z52)-1))+1,"胜1"),IF(X53&lt;0,IF(LEFT(Z52,1)="亏","亏"&amp;VALUE(RIGHT(Z52,LEN(Z52)-1))+1,"亏1"),"平")))</f>
        <v/>
      </c>
      <c r="AA53" s="83" t="str">
        <f aca="false">IF($A53="","",MAX(0,(MAX($Y$2:Y53)-Y53)/MAX(1,MAX($Y$2:Y53))))</f>
        <v/>
      </c>
    </row>
    <row r="54" customFormat="false" ht="15" hidden="false" customHeight="true" outlineLevel="0" collapsed="false">
      <c r="A54" s="28"/>
      <c r="B54" s="28"/>
      <c r="C54" s="28"/>
      <c r="D54" s="28"/>
      <c r="E54" s="28"/>
      <c r="F54" s="34"/>
      <c r="G54" s="37"/>
      <c r="H54" s="35"/>
      <c r="I54" s="34"/>
      <c r="J54" s="37"/>
      <c r="K54" s="36"/>
      <c r="L54" s="34"/>
      <c r="M54" s="28"/>
      <c r="N54" s="29"/>
      <c r="O54" s="28"/>
      <c r="P54" s="29"/>
      <c r="Q54" s="28"/>
      <c r="R54" s="40"/>
      <c r="S54" s="29"/>
      <c r="T54" s="29"/>
      <c r="U54" s="28"/>
      <c r="V54" s="1" t="str">
        <f aca="false">IF($A54="","",IF(OR(D54="卖出",D54="分红"),IFERROR(INDEX($F$2:$F53,MATCH(2,1/($C$2:$C53=$C54))),""),""))</f>
        <v/>
      </c>
      <c r="W54" s="81" t="str">
        <f aca="false">IF($A54="","",IF(D54="买入",IF(AND(ISNUMBER(L54),L54&gt;0),(F54-L54)*G54,F54*0.08*G54),IF(AND(ISNUMBER(V54),V54&gt;0),IF(AND(ISNUMBER(L54),L54&gt;0),(V54-L54)*G54,V54*0.08*G54),0)))</f>
        <v/>
      </c>
      <c r="X54" s="82" t="str">
        <f aca="false">IF($A54="","",IF(D54="买入",0,IFERROR(IF(W54&lt;&gt;0,(H54-IFERROR(INDEX($H$2:$H53,MATCH(2,1/($C$2:$C53=$C54))),0))/W54,0),0)))</f>
        <v/>
      </c>
      <c r="Y54" s="82" t="str">
        <f aca="false">IF($A54="","",Y53+X54)</f>
        <v/>
      </c>
      <c r="Z54" s="1" t="str">
        <f aca="false">IF($A54="","",IF(X54&gt;0,IF(LEFT(Z53,1)="胜","胜"&amp;VALUE(RIGHT(Z53,LEN(Z53)-1))+1,"胜1"),IF(X54&lt;0,IF(LEFT(Z53,1)="亏","亏"&amp;VALUE(RIGHT(Z53,LEN(Z53)-1))+1,"亏1"),"平")))</f>
        <v/>
      </c>
      <c r="AA54" s="83" t="str">
        <f aca="false">IF($A54="","",MAX(0,(MAX($Y$2:Y54)-Y54)/MAX(1,MAX($Y$2:Y54))))</f>
        <v/>
      </c>
    </row>
    <row r="55" customFormat="false" ht="15" hidden="false" customHeight="true" outlineLevel="0" collapsed="false">
      <c r="A55" s="30"/>
      <c r="B55" s="30"/>
      <c r="C55" s="30"/>
      <c r="D55" s="30"/>
      <c r="E55" s="30"/>
      <c r="F55" s="44"/>
      <c r="G55" s="45"/>
      <c r="H55" s="35"/>
      <c r="I55" s="44"/>
      <c r="J55" s="45"/>
      <c r="K55" s="36"/>
      <c r="L55" s="44"/>
      <c r="M55" s="30"/>
      <c r="N55" s="31"/>
      <c r="O55" s="30"/>
      <c r="P55" s="31"/>
      <c r="Q55" s="30"/>
      <c r="R55" s="46"/>
      <c r="S55" s="31"/>
      <c r="T55" s="31"/>
      <c r="U55" s="30"/>
      <c r="V55" s="1" t="str">
        <f aca="false">IF($A55="","",IF(OR(D55="卖出",D55="分红"),IFERROR(INDEX($F$2:$F54,MATCH(2,1/($C$2:$C54=$C55))),""),""))</f>
        <v/>
      </c>
      <c r="W55" s="81" t="str">
        <f aca="false">IF($A55="","",IF(D55="买入",IF(AND(ISNUMBER(L55),L55&gt;0),(F55-L55)*G55,F55*0.08*G55),IF(AND(ISNUMBER(V55),V55&gt;0),IF(AND(ISNUMBER(L55),L55&gt;0),(V55-L55)*G55,V55*0.08*G55),0)))</f>
        <v/>
      </c>
      <c r="X55" s="82" t="str">
        <f aca="false">IF($A55="","",IF(D55="买入",0,IFERROR(IF(W55&lt;&gt;0,(H55-IFERROR(INDEX($H$2:$H54,MATCH(2,1/($C$2:$C54=$C55))),0))/W55,0),0)))</f>
        <v/>
      </c>
      <c r="Y55" s="82" t="str">
        <f aca="false">IF($A55="","",Y54+X55)</f>
        <v/>
      </c>
      <c r="Z55" s="1" t="str">
        <f aca="false">IF($A55="","",IF(X55&gt;0,IF(LEFT(Z54,1)="胜","胜"&amp;VALUE(RIGHT(Z54,LEN(Z54)-1))+1,"胜1"),IF(X55&lt;0,IF(LEFT(Z54,1)="亏","亏"&amp;VALUE(RIGHT(Z54,LEN(Z54)-1))+1,"亏1"),"平")))</f>
        <v/>
      </c>
      <c r="AA55" s="83" t="str">
        <f aca="false">IF($A55="","",MAX(0,(MAX($Y$2:Y55)-Y55)/MAX(1,MAX($Y$2:Y55))))</f>
        <v/>
      </c>
    </row>
    <row r="56" customFormat="false" ht="15" hidden="false" customHeight="true" outlineLevel="0" collapsed="false">
      <c r="A56" s="28"/>
      <c r="B56" s="28"/>
      <c r="C56" s="28"/>
      <c r="D56" s="28"/>
      <c r="E56" s="28"/>
      <c r="F56" s="34"/>
      <c r="G56" s="37"/>
      <c r="H56" s="35"/>
      <c r="I56" s="34"/>
      <c r="J56" s="37"/>
      <c r="K56" s="36"/>
      <c r="L56" s="34"/>
      <c r="M56" s="28"/>
      <c r="N56" s="29"/>
      <c r="O56" s="28"/>
      <c r="P56" s="29"/>
      <c r="Q56" s="28"/>
      <c r="R56" s="40"/>
      <c r="S56" s="29"/>
      <c r="T56" s="29"/>
      <c r="U56" s="28"/>
      <c r="V56" s="1" t="str">
        <f aca="false">IF($A56="","",IF(OR(D56="卖出",D56="分红"),IFERROR(INDEX($F$2:$F55,MATCH(2,1/($C$2:$C55=$C56))),""),""))</f>
        <v/>
      </c>
      <c r="W56" s="81" t="str">
        <f aca="false">IF($A56="","",IF(D56="买入",IF(AND(ISNUMBER(L56),L56&gt;0),(F56-L56)*G56,F56*0.08*G56),IF(AND(ISNUMBER(V56),V56&gt;0),IF(AND(ISNUMBER(L56),L56&gt;0),(V56-L56)*G56,V56*0.08*G56),0)))</f>
        <v/>
      </c>
      <c r="X56" s="82" t="str">
        <f aca="false">IF($A56="","",IF(D56="买入",0,IFERROR(IF(W56&lt;&gt;0,(H56-IFERROR(INDEX($H$2:$H55,MATCH(2,1/($C$2:$C55=$C56))),0))/W56,0),0)))</f>
        <v/>
      </c>
      <c r="Y56" s="82" t="str">
        <f aca="false">IF($A56="","",Y55+X56)</f>
        <v/>
      </c>
      <c r="Z56" s="1" t="str">
        <f aca="false">IF($A56="","",IF(X56&gt;0,IF(LEFT(Z55,1)="胜","胜"&amp;VALUE(RIGHT(Z55,LEN(Z55)-1))+1,"胜1"),IF(X56&lt;0,IF(LEFT(Z55,1)="亏","亏"&amp;VALUE(RIGHT(Z55,LEN(Z55)-1))+1,"亏1"),"平")))</f>
        <v/>
      </c>
      <c r="AA56" s="83" t="str">
        <f aca="false">IF($A56="","",MAX(0,(MAX($Y$2:Y56)-Y56)/MAX(1,MAX($Y$2:Y56))))</f>
        <v/>
      </c>
    </row>
    <row r="57" customFormat="false" ht="15" hidden="false" customHeight="true" outlineLevel="0" collapsed="false">
      <c r="A57" s="30"/>
      <c r="B57" s="30"/>
      <c r="C57" s="30"/>
      <c r="D57" s="30"/>
      <c r="E57" s="30"/>
      <c r="F57" s="44"/>
      <c r="G57" s="45"/>
      <c r="H57" s="35"/>
      <c r="I57" s="44"/>
      <c r="J57" s="45"/>
      <c r="K57" s="36"/>
      <c r="L57" s="44"/>
      <c r="M57" s="30"/>
      <c r="N57" s="31"/>
      <c r="O57" s="30"/>
      <c r="P57" s="31"/>
      <c r="Q57" s="30"/>
      <c r="R57" s="46"/>
      <c r="S57" s="31"/>
      <c r="T57" s="31"/>
      <c r="U57" s="30"/>
      <c r="V57" s="1" t="str">
        <f aca="false">IF($A57="","",IF(OR(D57="卖出",D57="分红"),IFERROR(INDEX($F$2:$F56,MATCH(2,1/($C$2:$C56=$C57))),""),""))</f>
        <v/>
      </c>
      <c r="W57" s="81" t="str">
        <f aca="false">IF($A57="","",IF(D57="买入",IF(AND(ISNUMBER(L57),L57&gt;0),(F57-L57)*G57,F57*0.08*G57),IF(AND(ISNUMBER(V57),V57&gt;0),IF(AND(ISNUMBER(L57),L57&gt;0),(V57-L57)*G57,V57*0.08*G57),0)))</f>
        <v/>
      </c>
      <c r="X57" s="82" t="str">
        <f aca="false">IF($A57="","",IF(D57="买入",0,IFERROR(IF(W57&lt;&gt;0,(H57-IFERROR(INDEX($H$2:$H56,MATCH(2,1/($C$2:$C56=$C57))),0))/W57,0),0)))</f>
        <v/>
      </c>
      <c r="Y57" s="82" t="str">
        <f aca="false">IF($A57="","",Y56+X57)</f>
        <v/>
      </c>
      <c r="Z57" s="1" t="str">
        <f aca="false">IF($A57="","",IF(X57&gt;0,IF(LEFT(Z56,1)="胜","胜"&amp;VALUE(RIGHT(Z56,LEN(Z56)-1))+1,"胜1"),IF(X57&lt;0,IF(LEFT(Z56,1)="亏","亏"&amp;VALUE(RIGHT(Z56,LEN(Z56)-1))+1,"亏1"),"平")))</f>
        <v/>
      </c>
      <c r="AA57" s="83" t="str">
        <f aca="false">IF($A57="","",MAX(0,(MAX($Y$2:Y57)-Y57)/MAX(1,MAX($Y$2:Y57))))</f>
        <v/>
      </c>
    </row>
    <row r="58" customFormat="false" ht="15" hidden="false" customHeight="true" outlineLevel="0" collapsed="false">
      <c r="A58" s="28"/>
      <c r="B58" s="28"/>
      <c r="C58" s="28"/>
      <c r="D58" s="28"/>
      <c r="E58" s="28"/>
      <c r="F58" s="34"/>
      <c r="G58" s="37"/>
      <c r="H58" s="35"/>
      <c r="I58" s="34"/>
      <c r="J58" s="37"/>
      <c r="K58" s="36"/>
      <c r="L58" s="34"/>
      <c r="M58" s="28"/>
      <c r="N58" s="29"/>
      <c r="O58" s="28"/>
      <c r="P58" s="29"/>
      <c r="Q58" s="28"/>
      <c r="R58" s="40"/>
      <c r="S58" s="29"/>
      <c r="T58" s="29"/>
      <c r="U58" s="28"/>
      <c r="V58" s="1" t="str">
        <f aca="false">IF($A58="","",IF(OR(D58="卖出",D58="分红"),IFERROR(INDEX($F$2:$F57,MATCH(2,1/($C$2:$C57=$C58))),""),""))</f>
        <v/>
      </c>
      <c r="W58" s="81" t="str">
        <f aca="false">IF($A58="","",IF(D58="买入",IF(AND(ISNUMBER(L58),L58&gt;0),(F58-L58)*G58,F58*0.08*G58),IF(AND(ISNUMBER(V58),V58&gt;0),IF(AND(ISNUMBER(L58),L58&gt;0),(V58-L58)*G58,V58*0.08*G58),0)))</f>
        <v/>
      </c>
      <c r="X58" s="82" t="str">
        <f aca="false">IF($A58="","",IF(D58="买入",0,IFERROR(IF(W58&lt;&gt;0,(H58-IFERROR(INDEX($H$2:$H57,MATCH(2,1/($C$2:$C57=$C58))),0))/W58,0),0)))</f>
        <v/>
      </c>
      <c r="Y58" s="82" t="str">
        <f aca="false">IF($A58="","",Y57+X58)</f>
        <v/>
      </c>
      <c r="Z58" s="1" t="str">
        <f aca="false">IF($A58="","",IF(X58&gt;0,IF(LEFT(Z57,1)="胜","胜"&amp;VALUE(RIGHT(Z57,LEN(Z57)-1))+1,"胜1"),IF(X58&lt;0,IF(LEFT(Z57,1)="亏","亏"&amp;VALUE(RIGHT(Z57,LEN(Z57)-1))+1,"亏1"),"平")))</f>
        <v/>
      </c>
      <c r="AA58" s="83" t="str">
        <f aca="false">IF($A58="","",MAX(0,(MAX($Y$2:Y58)-Y58)/MAX(1,MAX($Y$2:Y58))))</f>
        <v/>
      </c>
    </row>
    <row r="59" customFormat="false" ht="15" hidden="false" customHeight="true" outlineLevel="0" collapsed="false">
      <c r="A59" s="30"/>
      <c r="B59" s="30"/>
      <c r="C59" s="30"/>
      <c r="D59" s="30"/>
      <c r="E59" s="30"/>
      <c r="F59" s="44"/>
      <c r="G59" s="45"/>
      <c r="H59" s="35"/>
      <c r="I59" s="44"/>
      <c r="J59" s="45"/>
      <c r="K59" s="36"/>
      <c r="L59" s="44"/>
      <c r="M59" s="30"/>
      <c r="N59" s="31"/>
      <c r="O59" s="30"/>
      <c r="P59" s="31"/>
      <c r="Q59" s="30"/>
      <c r="R59" s="46"/>
      <c r="S59" s="31"/>
      <c r="T59" s="31"/>
      <c r="U59" s="30"/>
      <c r="V59" s="1" t="str">
        <f aca="false">IF($A59="","",IF(OR(D59="卖出",D59="分红"),IFERROR(INDEX($F$2:$F58,MATCH(2,1/($C$2:$C58=$C59))),""),""))</f>
        <v/>
      </c>
      <c r="W59" s="81" t="str">
        <f aca="false">IF($A59="","",IF(D59="买入",IF(AND(ISNUMBER(L59),L59&gt;0),(F59-L59)*G59,F59*0.08*G59),IF(AND(ISNUMBER(V59),V59&gt;0),IF(AND(ISNUMBER(L59),L59&gt;0),(V59-L59)*G59,V59*0.08*G59),0)))</f>
        <v/>
      </c>
      <c r="X59" s="82" t="str">
        <f aca="false">IF($A59="","",IF(D59="买入",0,IFERROR(IF(W59&lt;&gt;0,(H59-IFERROR(INDEX($H$2:$H58,MATCH(2,1/($C$2:$C58=$C59))),0))/W59,0),0)))</f>
        <v/>
      </c>
      <c r="Y59" s="82" t="str">
        <f aca="false">IF($A59="","",Y58+X59)</f>
        <v/>
      </c>
      <c r="Z59" s="1" t="str">
        <f aca="false">IF($A59="","",IF(X59&gt;0,IF(LEFT(Z58,1)="胜","胜"&amp;VALUE(RIGHT(Z58,LEN(Z58)-1))+1,"胜1"),IF(X59&lt;0,IF(LEFT(Z58,1)="亏","亏"&amp;VALUE(RIGHT(Z58,LEN(Z58)-1))+1,"亏1"),"平")))</f>
        <v/>
      </c>
      <c r="AA59" s="83" t="str">
        <f aca="false">IF($A59="","",MAX(0,(MAX($Y$2:Y59)-Y59)/MAX(1,MAX($Y$2:Y59))))</f>
        <v/>
      </c>
    </row>
    <row r="60" customFormat="false" ht="15" hidden="false" customHeight="true" outlineLevel="0" collapsed="false">
      <c r="A60" s="28"/>
      <c r="B60" s="28"/>
      <c r="C60" s="28"/>
      <c r="D60" s="28"/>
      <c r="E60" s="28"/>
      <c r="F60" s="34"/>
      <c r="G60" s="37"/>
      <c r="H60" s="35"/>
      <c r="I60" s="34"/>
      <c r="J60" s="37"/>
      <c r="K60" s="36"/>
      <c r="L60" s="34"/>
      <c r="M60" s="28"/>
      <c r="N60" s="29"/>
      <c r="O60" s="28"/>
      <c r="P60" s="29"/>
      <c r="Q60" s="28"/>
      <c r="R60" s="40"/>
      <c r="S60" s="29"/>
      <c r="T60" s="29"/>
      <c r="U60" s="28"/>
      <c r="V60" s="1" t="str">
        <f aca="false">IF($A60="","",IF(OR(D60="卖出",D60="分红"),IFERROR(INDEX($F$2:$F59,MATCH(2,1/($C$2:$C59=$C60))),""),""))</f>
        <v/>
      </c>
      <c r="W60" s="81" t="str">
        <f aca="false">IF($A60="","",IF(D60="买入",IF(AND(ISNUMBER(L60),L60&gt;0),(F60-L60)*G60,F60*0.08*G60),IF(AND(ISNUMBER(V60),V60&gt;0),IF(AND(ISNUMBER(L60),L60&gt;0),(V60-L60)*G60,V60*0.08*G60),0)))</f>
        <v/>
      </c>
      <c r="X60" s="82" t="str">
        <f aca="false">IF($A60="","",IF(D60="买入",0,IFERROR(IF(W60&lt;&gt;0,(H60-IFERROR(INDEX($H$2:$H59,MATCH(2,1/($C$2:$C59=$C60))),0))/W60,0),0)))</f>
        <v/>
      </c>
      <c r="Y60" s="82" t="str">
        <f aca="false">IF($A60="","",Y59+X60)</f>
        <v/>
      </c>
      <c r="Z60" s="1" t="str">
        <f aca="false">IF($A60="","",IF(X60&gt;0,IF(LEFT(Z59,1)="胜","胜"&amp;VALUE(RIGHT(Z59,LEN(Z59)-1))+1,"胜1"),IF(X60&lt;0,IF(LEFT(Z59,1)="亏","亏"&amp;VALUE(RIGHT(Z59,LEN(Z59)-1))+1,"亏1"),"平")))</f>
        <v/>
      </c>
      <c r="AA60" s="83" t="str">
        <f aca="false">IF($A60="","",MAX(0,(MAX($Y$2:Y60)-Y60)/MAX(1,MAX($Y$2:Y60))))</f>
        <v/>
      </c>
    </row>
    <row r="61" customFormat="false" ht="15" hidden="false" customHeight="true" outlineLevel="0" collapsed="false">
      <c r="A61" s="30"/>
      <c r="B61" s="30"/>
      <c r="C61" s="30"/>
      <c r="D61" s="30"/>
      <c r="E61" s="30"/>
      <c r="F61" s="44"/>
      <c r="G61" s="45"/>
      <c r="H61" s="35"/>
      <c r="I61" s="44"/>
      <c r="J61" s="45"/>
      <c r="K61" s="36"/>
      <c r="L61" s="44"/>
      <c r="M61" s="30"/>
      <c r="N61" s="31"/>
      <c r="O61" s="30"/>
      <c r="P61" s="31"/>
      <c r="Q61" s="30"/>
      <c r="R61" s="46"/>
      <c r="S61" s="31"/>
      <c r="T61" s="31"/>
      <c r="U61" s="30"/>
      <c r="V61" s="1" t="str">
        <f aca="false">IF($A61="","",IF(OR(D61="卖出",D61="分红"),IFERROR(INDEX($F$2:$F60,MATCH(2,1/($C$2:$C60=$C61))),""),""))</f>
        <v/>
      </c>
      <c r="W61" s="81" t="str">
        <f aca="false">IF($A61="","",IF(D61="买入",IF(AND(ISNUMBER(L61),L61&gt;0),(F61-L61)*G61,F61*0.08*G61),IF(AND(ISNUMBER(V61),V61&gt;0),IF(AND(ISNUMBER(L61),L61&gt;0),(V61-L61)*G61,V61*0.08*G61),0)))</f>
        <v/>
      </c>
      <c r="X61" s="82" t="str">
        <f aca="false">IF($A61="","",IF(D61="买入",0,IFERROR(IF(W61&lt;&gt;0,(H61-IFERROR(INDEX($H$2:$H60,MATCH(2,1/($C$2:$C60=$C61))),0))/W61,0),0)))</f>
        <v/>
      </c>
      <c r="Y61" s="82" t="str">
        <f aca="false">IF($A61="","",Y60+X61)</f>
        <v/>
      </c>
      <c r="Z61" s="1" t="str">
        <f aca="false">IF($A61="","",IF(X61&gt;0,IF(LEFT(Z60,1)="胜","胜"&amp;VALUE(RIGHT(Z60,LEN(Z60)-1))+1,"胜1"),IF(X61&lt;0,IF(LEFT(Z60,1)="亏","亏"&amp;VALUE(RIGHT(Z60,LEN(Z60)-1))+1,"亏1"),"平")))</f>
        <v/>
      </c>
      <c r="AA61" s="83" t="str">
        <f aca="false">IF($A61="","",MAX(0,(MAX($Y$2:Y61)-Y61)/MAX(1,MAX($Y$2:Y61))))</f>
        <v/>
      </c>
    </row>
    <row r="62" customFormat="false" ht="15" hidden="false" customHeight="true" outlineLevel="0" collapsed="false">
      <c r="A62" s="28"/>
      <c r="B62" s="28"/>
      <c r="C62" s="28"/>
      <c r="D62" s="28"/>
      <c r="E62" s="28"/>
      <c r="F62" s="34"/>
      <c r="G62" s="37"/>
      <c r="H62" s="35"/>
      <c r="I62" s="34"/>
      <c r="J62" s="37"/>
      <c r="K62" s="36"/>
      <c r="L62" s="34"/>
      <c r="M62" s="28"/>
      <c r="N62" s="29"/>
      <c r="O62" s="28"/>
      <c r="P62" s="29"/>
      <c r="Q62" s="28"/>
      <c r="R62" s="40"/>
      <c r="S62" s="29"/>
      <c r="T62" s="29"/>
      <c r="U62" s="28"/>
      <c r="V62" s="1" t="str">
        <f aca="false">IF($A62="","",IF(OR(D62="卖出",D62="分红"),IFERROR(INDEX($F$2:$F61,MATCH(2,1/($C$2:$C61=$C62))),""),""))</f>
        <v/>
      </c>
      <c r="W62" s="81" t="str">
        <f aca="false">IF($A62="","",IF(D62="买入",IF(AND(ISNUMBER(L62),L62&gt;0),(F62-L62)*G62,F62*0.08*G62),IF(AND(ISNUMBER(V62),V62&gt;0),IF(AND(ISNUMBER(L62),L62&gt;0),(V62-L62)*G62,V62*0.08*G62),0)))</f>
        <v/>
      </c>
      <c r="X62" s="82" t="str">
        <f aca="false">IF($A62="","",IF(D62="买入",0,IFERROR(IF(W62&lt;&gt;0,(H62-IFERROR(INDEX($H$2:$H61,MATCH(2,1/($C$2:$C61=$C62))),0))/W62,0),0)))</f>
        <v/>
      </c>
      <c r="Y62" s="82" t="str">
        <f aca="false">IF($A62="","",Y61+X62)</f>
        <v/>
      </c>
      <c r="Z62" s="1" t="str">
        <f aca="false">IF($A62="","",IF(X62&gt;0,IF(LEFT(Z61,1)="胜","胜"&amp;VALUE(RIGHT(Z61,LEN(Z61)-1))+1,"胜1"),IF(X62&lt;0,IF(LEFT(Z61,1)="亏","亏"&amp;VALUE(RIGHT(Z61,LEN(Z61)-1))+1,"亏1"),"平")))</f>
        <v/>
      </c>
      <c r="AA62" s="83" t="str">
        <f aca="false">IF($A62="","",MAX(0,(MAX($Y$2:Y62)-Y62)/MAX(1,MAX($Y$2:Y62))))</f>
        <v/>
      </c>
    </row>
    <row r="63" customFormat="false" ht="15" hidden="false" customHeight="true" outlineLevel="0" collapsed="false">
      <c r="A63" s="30"/>
      <c r="B63" s="30"/>
      <c r="C63" s="30"/>
      <c r="D63" s="30"/>
      <c r="E63" s="30"/>
      <c r="F63" s="44"/>
      <c r="G63" s="45"/>
      <c r="H63" s="35"/>
      <c r="I63" s="44"/>
      <c r="J63" s="45"/>
      <c r="K63" s="36"/>
      <c r="L63" s="44"/>
      <c r="M63" s="30"/>
      <c r="N63" s="31"/>
      <c r="O63" s="30"/>
      <c r="P63" s="31"/>
      <c r="Q63" s="30"/>
      <c r="R63" s="46"/>
      <c r="S63" s="31"/>
      <c r="T63" s="31"/>
      <c r="U63" s="30"/>
      <c r="V63" s="1" t="str">
        <f aca="false">IF($A63="","",IF(OR(D63="卖出",D63="分红"),IFERROR(INDEX($F$2:$F62,MATCH(2,1/($C$2:$C62=$C63))),""),""))</f>
        <v/>
      </c>
      <c r="W63" s="81" t="str">
        <f aca="false">IF($A63="","",IF(D63="买入",IF(AND(ISNUMBER(L63),L63&gt;0),(F63-L63)*G63,F63*0.08*G63),IF(AND(ISNUMBER(V63),V63&gt;0),IF(AND(ISNUMBER(L63),L63&gt;0),(V63-L63)*G63,V63*0.08*G63),0)))</f>
        <v/>
      </c>
      <c r="X63" s="82" t="str">
        <f aca="false">IF($A63="","",IF(D63="买入",0,IFERROR(IF(W63&lt;&gt;0,(H63-IFERROR(INDEX($H$2:$H62,MATCH(2,1/($C$2:$C62=$C63))),0))/W63,0),0)))</f>
        <v/>
      </c>
      <c r="Y63" s="82" t="str">
        <f aca="false">IF($A63="","",Y62+X63)</f>
        <v/>
      </c>
      <c r="Z63" s="1" t="str">
        <f aca="false">IF($A63="","",IF(X63&gt;0,IF(LEFT(Z62,1)="胜","胜"&amp;VALUE(RIGHT(Z62,LEN(Z62)-1))+1,"胜1"),IF(X63&lt;0,IF(LEFT(Z62,1)="亏","亏"&amp;VALUE(RIGHT(Z62,LEN(Z62)-1))+1,"亏1"),"平")))</f>
        <v/>
      </c>
      <c r="AA63" s="83" t="str">
        <f aca="false">IF($A63="","",MAX(0,(MAX($Y$2:Y63)-Y63)/MAX(1,MAX($Y$2:Y63))))</f>
        <v/>
      </c>
    </row>
    <row r="64" customFormat="false" ht="15" hidden="false" customHeight="true" outlineLevel="0" collapsed="false">
      <c r="A64" s="28"/>
      <c r="B64" s="28"/>
      <c r="C64" s="28"/>
      <c r="D64" s="28"/>
      <c r="E64" s="28"/>
      <c r="F64" s="34"/>
      <c r="G64" s="37"/>
      <c r="H64" s="35"/>
      <c r="I64" s="34"/>
      <c r="J64" s="37"/>
      <c r="K64" s="36"/>
      <c r="L64" s="34"/>
      <c r="M64" s="28"/>
      <c r="N64" s="29"/>
      <c r="O64" s="28"/>
      <c r="P64" s="29"/>
      <c r="Q64" s="28"/>
      <c r="R64" s="40"/>
      <c r="S64" s="29"/>
      <c r="T64" s="29"/>
      <c r="U64" s="28"/>
      <c r="V64" s="1" t="str">
        <f aca="false">IF($A64="","",IF(OR(D64="卖出",D64="分红"),IFERROR(INDEX($F$2:$F63,MATCH(2,1/($C$2:$C63=$C64))),""),""))</f>
        <v/>
      </c>
      <c r="W64" s="81" t="str">
        <f aca="false">IF($A64="","",IF(D64="买入",IF(AND(ISNUMBER(L64),L64&gt;0),(F64-L64)*G64,F64*0.08*G64),IF(AND(ISNUMBER(V64),V64&gt;0),IF(AND(ISNUMBER(L64),L64&gt;0),(V64-L64)*G64,V64*0.08*G64),0)))</f>
        <v/>
      </c>
      <c r="X64" s="82" t="str">
        <f aca="false">IF($A64="","",IF(D64="买入",0,IFERROR(IF(W64&lt;&gt;0,(H64-IFERROR(INDEX($H$2:$H63,MATCH(2,1/($C$2:$C63=$C64))),0))/W64,0),0)))</f>
        <v/>
      </c>
      <c r="Y64" s="82" t="str">
        <f aca="false">IF($A64="","",Y63+X64)</f>
        <v/>
      </c>
      <c r="Z64" s="1" t="str">
        <f aca="false">IF($A64="","",IF(X64&gt;0,IF(LEFT(Z63,1)="胜","胜"&amp;VALUE(RIGHT(Z63,LEN(Z63)-1))+1,"胜1"),IF(X64&lt;0,IF(LEFT(Z63,1)="亏","亏"&amp;VALUE(RIGHT(Z63,LEN(Z63)-1))+1,"亏1"),"平")))</f>
        <v/>
      </c>
      <c r="AA64" s="83" t="str">
        <f aca="false">IF($A64="","",MAX(0,(MAX($Y$2:Y64)-Y64)/MAX(1,MAX($Y$2:Y64))))</f>
        <v/>
      </c>
    </row>
    <row r="65" customFormat="false" ht="15" hidden="false" customHeight="true" outlineLevel="0" collapsed="false">
      <c r="A65" s="30"/>
      <c r="B65" s="30"/>
      <c r="C65" s="30"/>
      <c r="D65" s="30"/>
      <c r="E65" s="30"/>
      <c r="F65" s="44"/>
      <c r="G65" s="45"/>
      <c r="H65" s="35"/>
      <c r="I65" s="44"/>
      <c r="J65" s="45"/>
      <c r="K65" s="36"/>
      <c r="L65" s="44"/>
      <c r="M65" s="30"/>
      <c r="N65" s="31"/>
      <c r="O65" s="30"/>
      <c r="P65" s="31"/>
      <c r="Q65" s="30"/>
      <c r="R65" s="46"/>
      <c r="S65" s="31"/>
      <c r="T65" s="31"/>
      <c r="U65" s="30"/>
      <c r="V65" s="1" t="str">
        <f aca="false">IF($A65="","",IF(OR(D65="卖出",D65="分红"),IFERROR(INDEX($F$2:$F64,MATCH(2,1/($C$2:$C64=$C65))),""),""))</f>
        <v/>
      </c>
      <c r="W65" s="81" t="str">
        <f aca="false">IF($A65="","",IF(D65="买入",IF(AND(ISNUMBER(L65),L65&gt;0),(F65-L65)*G65,F65*0.08*G65),IF(AND(ISNUMBER(V65),V65&gt;0),IF(AND(ISNUMBER(L65),L65&gt;0),(V65-L65)*G65,V65*0.08*G65),0)))</f>
        <v/>
      </c>
      <c r="X65" s="82" t="str">
        <f aca="false">IF($A65="","",IF(D65="买入",0,IFERROR(IF(W65&lt;&gt;0,(H65-IFERROR(INDEX($H$2:$H64,MATCH(2,1/($C$2:$C64=$C65))),0))/W65,0),0)))</f>
        <v/>
      </c>
      <c r="Y65" s="82" t="str">
        <f aca="false">IF($A65="","",Y64+X65)</f>
        <v/>
      </c>
      <c r="Z65" s="1" t="str">
        <f aca="false">IF($A65="","",IF(X65&gt;0,IF(LEFT(Z64,1)="胜","胜"&amp;VALUE(RIGHT(Z64,LEN(Z64)-1))+1,"胜1"),IF(X65&lt;0,IF(LEFT(Z64,1)="亏","亏"&amp;VALUE(RIGHT(Z64,LEN(Z64)-1))+1,"亏1"),"平")))</f>
        <v/>
      </c>
      <c r="AA65" s="83" t="str">
        <f aca="false">IF($A65="","",MAX(0,(MAX($Y$2:Y65)-Y65)/MAX(1,MAX($Y$2:Y65))))</f>
        <v/>
      </c>
    </row>
    <row r="66" customFormat="false" ht="15" hidden="false" customHeight="true" outlineLevel="0" collapsed="false">
      <c r="A66" s="28"/>
      <c r="B66" s="28"/>
      <c r="C66" s="28"/>
      <c r="D66" s="28"/>
      <c r="E66" s="28"/>
      <c r="F66" s="34"/>
      <c r="G66" s="37"/>
      <c r="H66" s="35"/>
      <c r="I66" s="34"/>
      <c r="J66" s="37"/>
      <c r="K66" s="36"/>
      <c r="L66" s="34"/>
      <c r="M66" s="28"/>
      <c r="N66" s="29"/>
      <c r="O66" s="28"/>
      <c r="P66" s="29"/>
      <c r="Q66" s="28"/>
      <c r="R66" s="40"/>
      <c r="S66" s="29"/>
      <c r="T66" s="29"/>
      <c r="U66" s="28"/>
      <c r="V66" s="1" t="str">
        <f aca="false">IF($A66="","",IF(OR(D66="卖出",D66="分红"),IFERROR(INDEX($F$2:$F65,MATCH(2,1/($C$2:$C65=$C66))),""),""))</f>
        <v/>
      </c>
      <c r="W66" s="81" t="str">
        <f aca="false">IF($A66="","",IF(D66="买入",IF(AND(ISNUMBER(L66),L66&gt;0),(F66-L66)*G66,F66*0.08*G66),IF(AND(ISNUMBER(V66),V66&gt;0),IF(AND(ISNUMBER(L66),L66&gt;0),(V66-L66)*G66,V66*0.08*G66),0)))</f>
        <v/>
      </c>
      <c r="X66" s="82" t="str">
        <f aca="false">IF($A66="","",IF(D66="买入",0,IFERROR(IF(W66&lt;&gt;0,(H66-IFERROR(INDEX($H$2:$H65,MATCH(2,1/($C$2:$C65=$C66))),0))/W66,0),0)))</f>
        <v/>
      </c>
      <c r="Y66" s="82" t="str">
        <f aca="false">IF($A66="","",Y65+X66)</f>
        <v/>
      </c>
      <c r="Z66" s="1" t="str">
        <f aca="false">IF($A66="","",IF(X66&gt;0,IF(LEFT(Z65,1)="胜","胜"&amp;VALUE(RIGHT(Z65,LEN(Z65)-1))+1,"胜1"),IF(X66&lt;0,IF(LEFT(Z65,1)="亏","亏"&amp;VALUE(RIGHT(Z65,LEN(Z65)-1))+1,"亏1"),"平")))</f>
        <v/>
      </c>
      <c r="AA66" s="83" t="str">
        <f aca="false">IF($A66="","",MAX(0,(MAX($Y$2:Y66)-Y66)/MAX(1,MAX($Y$2:Y66))))</f>
        <v/>
      </c>
    </row>
    <row r="67" customFormat="false" ht="15" hidden="false" customHeight="true" outlineLevel="0" collapsed="false">
      <c r="A67" s="30"/>
      <c r="B67" s="30"/>
      <c r="C67" s="30"/>
      <c r="D67" s="30"/>
      <c r="E67" s="30"/>
      <c r="F67" s="44"/>
      <c r="G67" s="45"/>
      <c r="H67" s="35"/>
      <c r="I67" s="44"/>
      <c r="J67" s="45"/>
      <c r="K67" s="36"/>
      <c r="L67" s="44"/>
      <c r="M67" s="30"/>
      <c r="N67" s="31"/>
      <c r="O67" s="30"/>
      <c r="P67" s="31"/>
      <c r="Q67" s="30"/>
      <c r="R67" s="46"/>
      <c r="S67" s="31"/>
      <c r="T67" s="31"/>
      <c r="U67" s="30"/>
      <c r="V67" s="1" t="str">
        <f aca="false">IF($A67="","",IF(OR(D67="卖出",D67="分红"),IFERROR(INDEX($F$2:$F66,MATCH(2,1/($C$2:$C66=$C67))),""),""))</f>
        <v/>
      </c>
      <c r="W67" s="81" t="str">
        <f aca="false">IF($A67="","",IF(D67="买入",IF(AND(ISNUMBER(L67),L67&gt;0),(F67-L67)*G67,F67*0.08*G67),IF(AND(ISNUMBER(V67),V67&gt;0),IF(AND(ISNUMBER(L67),L67&gt;0),(V67-L67)*G67,V67*0.08*G67),0)))</f>
        <v/>
      </c>
      <c r="X67" s="82" t="str">
        <f aca="false">IF($A67="","",IF(D67="买入",0,IFERROR(IF(W67&lt;&gt;0,(H67-IFERROR(INDEX($H$2:$H66,MATCH(2,1/($C$2:$C66=$C67))),0))/W67,0),0)))</f>
        <v/>
      </c>
      <c r="Y67" s="82" t="str">
        <f aca="false">IF($A67="","",Y66+X67)</f>
        <v/>
      </c>
      <c r="Z67" s="1" t="str">
        <f aca="false">IF($A67="","",IF(X67&gt;0,IF(LEFT(Z66,1)="胜","胜"&amp;VALUE(RIGHT(Z66,LEN(Z66)-1))+1,"胜1"),IF(X67&lt;0,IF(LEFT(Z66,1)="亏","亏"&amp;VALUE(RIGHT(Z66,LEN(Z66)-1))+1,"亏1"),"平")))</f>
        <v/>
      </c>
      <c r="AA67" s="83" t="str">
        <f aca="false">IF($A67="","",MAX(0,(MAX($Y$2:Y67)-Y67)/MAX(1,MAX($Y$2:Y67))))</f>
        <v/>
      </c>
    </row>
    <row r="68" customFormat="false" ht="15" hidden="false" customHeight="true" outlineLevel="0" collapsed="false">
      <c r="A68" s="28"/>
      <c r="B68" s="28"/>
      <c r="C68" s="28"/>
      <c r="D68" s="28"/>
      <c r="E68" s="28"/>
      <c r="F68" s="34"/>
      <c r="G68" s="37"/>
      <c r="H68" s="35"/>
      <c r="I68" s="34"/>
      <c r="J68" s="37"/>
      <c r="K68" s="36"/>
      <c r="L68" s="34"/>
      <c r="M68" s="28"/>
      <c r="N68" s="29"/>
      <c r="O68" s="28"/>
      <c r="P68" s="29"/>
      <c r="Q68" s="28"/>
      <c r="R68" s="40"/>
      <c r="S68" s="29"/>
      <c r="T68" s="29"/>
      <c r="U68" s="28"/>
      <c r="V68" s="1" t="str">
        <f aca="false">IF($A68="","",IF(OR(D68="卖出",D68="分红"),IFERROR(INDEX($F$2:$F67,MATCH(2,1/($C$2:$C67=$C68))),""),""))</f>
        <v/>
      </c>
      <c r="W68" s="81" t="str">
        <f aca="false">IF($A68="","",IF(D68="买入",IF(AND(ISNUMBER(L68),L68&gt;0),(F68-L68)*G68,F68*0.08*G68),IF(AND(ISNUMBER(V68),V68&gt;0),IF(AND(ISNUMBER(L68),L68&gt;0),(V68-L68)*G68,V68*0.08*G68),0)))</f>
        <v/>
      </c>
      <c r="X68" s="82" t="str">
        <f aca="false">IF($A68="","",IF(D68="买入",0,IFERROR(IF(W68&lt;&gt;0,(H68-IFERROR(INDEX($H$2:$H67,MATCH(2,1/($C$2:$C67=$C68))),0))/W68,0),0)))</f>
        <v/>
      </c>
      <c r="Y68" s="82" t="str">
        <f aca="false">IF($A68="","",Y67+X68)</f>
        <v/>
      </c>
      <c r="Z68" s="1" t="str">
        <f aca="false">IF($A68="","",IF(X68&gt;0,IF(LEFT(Z67,1)="胜","胜"&amp;VALUE(RIGHT(Z67,LEN(Z67)-1))+1,"胜1"),IF(X68&lt;0,IF(LEFT(Z67,1)="亏","亏"&amp;VALUE(RIGHT(Z67,LEN(Z67)-1))+1,"亏1"),"平")))</f>
        <v/>
      </c>
      <c r="AA68" s="83" t="str">
        <f aca="false">IF($A68="","",MAX(0,(MAX($Y$2:Y68)-Y68)/MAX(1,MAX($Y$2:Y68))))</f>
        <v/>
      </c>
    </row>
    <row r="69" customFormat="false" ht="15" hidden="false" customHeight="true" outlineLevel="0" collapsed="false">
      <c r="A69" s="30"/>
      <c r="B69" s="30"/>
      <c r="C69" s="30"/>
      <c r="D69" s="30"/>
      <c r="E69" s="30"/>
      <c r="F69" s="44"/>
      <c r="G69" s="45"/>
      <c r="H69" s="35"/>
      <c r="I69" s="44"/>
      <c r="J69" s="45"/>
      <c r="K69" s="36"/>
      <c r="L69" s="44"/>
      <c r="M69" s="30"/>
      <c r="N69" s="31"/>
      <c r="O69" s="30"/>
      <c r="P69" s="31"/>
      <c r="Q69" s="30"/>
      <c r="R69" s="46"/>
      <c r="S69" s="31"/>
      <c r="T69" s="31"/>
      <c r="U69" s="30"/>
      <c r="V69" s="1" t="str">
        <f aca="false">IF($A69="","",IF(OR(D69="卖出",D69="分红"),IFERROR(INDEX($F$2:$F68,MATCH(2,1/($C$2:$C68=$C69))),""),""))</f>
        <v/>
      </c>
      <c r="W69" s="81" t="str">
        <f aca="false">IF($A69="","",IF(D69="买入",IF(AND(ISNUMBER(L69),L69&gt;0),(F69-L69)*G69,F69*0.08*G69),IF(AND(ISNUMBER(V69),V69&gt;0),IF(AND(ISNUMBER(L69),L69&gt;0),(V69-L69)*G69,V69*0.08*G69),0)))</f>
        <v/>
      </c>
      <c r="X69" s="82" t="str">
        <f aca="false">IF($A69="","",IF(D69="买入",0,IFERROR(IF(W69&lt;&gt;0,(H69-IFERROR(INDEX($H$2:$H68,MATCH(2,1/($C$2:$C68=$C69))),0))/W69,0),0)))</f>
        <v/>
      </c>
      <c r="Y69" s="82" t="str">
        <f aca="false">IF($A69="","",Y68+X69)</f>
        <v/>
      </c>
      <c r="Z69" s="1" t="str">
        <f aca="false">IF($A69="","",IF(X69&gt;0,IF(LEFT(Z68,1)="胜","胜"&amp;VALUE(RIGHT(Z68,LEN(Z68)-1))+1,"胜1"),IF(X69&lt;0,IF(LEFT(Z68,1)="亏","亏"&amp;VALUE(RIGHT(Z68,LEN(Z68)-1))+1,"亏1"),"平")))</f>
        <v/>
      </c>
      <c r="AA69" s="83" t="str">
        <f aca="false">IF($A69="","",MAX(0,(MAX($Y$2:Y69)-Y69)/MAX(1,MAX($Y$2:Y69))))</f>
        <v/>
      </c>
    </row>
    <row r="70" customFormat="false" ht="15" hidden="false" customHeight="true" outlineLevel="0" collapsed="false">
      <c r="A70" s="28"/>
      <c r="B70" s="28"/>
      <c r="C70" s="28"/>
      <c r="D70" s="28"/>
      <c r="E70" s="28"/>
      <c r="F70" s="34"/>
      <c r="G70" s="37"/>
      <c r="H70" s="35"/>
      <c r="I70" s="34"/>
      <c r="J70" s="37"/>
      <c r="K70" s="36"/>
      <c r="L70" s="34"/>
      <c r="M70" s="28"/>
      <c r="N70" s="29"/>
      <c r="O70" s="28"/>
      <c r="P70" s="29"/>
      <c r="Q70" s="28"/>
      <c r="R70" s="40"/>
      <c r="S70" s="29"/>
      <c r="T70" s="29"/>
      <c r="U70" s="28"/>
      <c r="V70" s="1" t="str">
        <f aca="false">IF($A70="","",IF(OR(D70="卖出",D70="分红"),IFERROR(INDEX($F$2:$F69,MATCH(2,1/($C$2:$C69=$C70))),""),""))</f>
        <v/>
      </c>
      <c r="W70" s="81" t="str">
        <f aca="false">IF($A70="","",IF(D70="买入",IF(AND(ISNUMBER(L70),L70&gt;0),(F70-L70)*G70,F70*0.08*G70),IF(AND(ISNUMBER(V70),V70&gt;0),IF(AND(ISNUMBER(L70),L70&gt;0),(V70-L70)*G70,V70*0.08*G70),0)))</f>
        <v/>
      </c>
      <c r="X70" s="82" t="str">
        <f aca="false">IF($A70="","",IF(D70="买入",0,IFERROR(IF(W70&lt;&gt;0,(H70-IFERROR(INDEX($H$2:$H69,MATCH(2,1/($C$2:$C69=$C70))),0))/W70,0),0)))</f>
        <v/>
      </c>
      <c r="Y70" s="82" t="str">
        <f aca="false">IF($A70="","",Y69+X70)</f>
        <v/>
      </c>
      <c r="Z70" s="1" t="str">
        <f aca="false">IF($A70="","",IF(X70&gt;0,IF(LEFT(Z69,1)="胜","胜"&amp;VALUE(RIGHT(Z69,LEN(Z69)-1))+1,"胜1"),IF(X70&lt;0,IF(LEFT(Z69,1)="亏","亏"&amp;VALUE(RIGHT(Z69,LEN(Z69)-1))+1,"亏1"),"平")))</f>
        <v/>
      </c>
      <c r="AA70" s="83" t="str">
        <f aca="false">IF($A70="","",MAX(0,(MAX($Y$2:Y70)-Y70)/MAX(1,MAX($Y$2:Y70))))</f>
        <v/>
      </c>
    </row>
    <row r="71" customFormat="false" ht="15" hidden="false" customHeight="true" outlineLevel="0" collapsed="false">
      <c r="A71" s="30"/>
      <c r="B71" s="30"/>
      <c r="C71" s="30"/>
      <c r="D71" s="30"/>
      <c r="E71" s="30"/>
      <c r="F71" s="44"/>
      <c r="G71" s="45"/>
      <c r="H71" s="35"/>
      <c r="I71" s="44"/>
      <c r="J71" s="45"/>
      <c r="K71" s="36"/>
      <c r="L71" s="44"/>
      <c r="M71" s="30"/>
      <c r="N71" s="31"/>
      <c r="O71" s="30"/>
      <c r="P71" s="31"/>
      <c r="Q71" s="30"/>
      <c r="R71" s="46"/>
      <c r="S71" s="31"/>
      <c r="T71" s="31"/>
      <c r="U71" s="30"/>
      <c r="V71" s="1" t="str">
        <f aca="false">IF($A71="","",IF(OR(D71="卖出",D71="分红"),IFERROR(INDEX($F$2:$F70,MATCH(2,1/($C$2:$C70=$C71))),""),""))</f>
        <v/>
      </c>
      <c r="W71" s="81" t="str">
        <f aca="false">IF($A71="","",IF(D71="买入",IF(AND(ISNUMBER(L71),L71&gt;0),(F71-L71)*G71,F71*0.08*G71),IF(AND(ISNUMBER(V71),V71&gt;0),IF(AND(ISNUMBER(L71),L71&gt;0),(V71-L71)*G71,V71*0.08*G71),0)))</f>
        <v/>
      </c>
      <c r="X71" s="82" t="str">
        <f aca="false">IF($A71="","",IF(D71="买入",0,IFERROR(IF(W71&lt;&gt;0,(H71-IFERROR(INDEX($H$2:$H70,MATCH(2,1/($C$2:$C70=$C71))),0))/W71,0),0)))</f>
        <v/>
      </c>
      <c r="Y71" s="82" t="str">
        <f aca="false">IF($A71="","",Y70+X71)</f>
        <v/>
      </c>
      <c r="Z71" s="1" t="str">
        <f aca="false">IF($A71="","",IF(X71&gt;0,IF(LEFT(Z70,1)="胜","胜"&amp;VALUE(RIGHT(Z70,LEN(Z70)-1))+1,"胜1"),IF(X71&lt;0,IF(LEFT(Z70,1)="亏","亏"&amp;VALUE(RIGHT(Z70,LEN(Z70)-1))+1,"亏1"),"平")))</f>
        <v/>
      </c>
      <c r="AA71" s="83" t="str">
        <f aca="false">IF($A71="","",MAX(0,(MAX($Y$2:Y71)-Y71)/MAX(1,MAX($Y$2:Y71))))</f>
        <v/>
      </c>
    </row>
    <row r="72" customFormat="false" ht="15" hidden="false" customHeight="true" outlineLevel="0" collapsed="false">
      <c r="A72" s="28"/>
      <c r="B72" s="28"/>
      <c r="C72" s="28"/>
      <c r="D72" s="28"/>
      <c r="E72" s="28"/>
      <c r="F72" s="34"/>
      <c r="G72" s="37"/>
      <c r="H72" s="35"/>
      <c r="I72" s="34"/>
      <c r="J72" s="37"/>
      <c r="K72" s="36"/>
      <c r="L72" s="34"/>
      <c r="M72" s="28"/>
      <c r="N72" s="29"/>
      <c r="O72" s="28"/>
      <c r="P72" s="29"/>
      <c r="Q72" s="28"/>
      <c r="R72" s="40"/>
      <c r="S72" s="29"/>
      <c r="T72" s="29"/>
      <c r="U72" s="28"/>
      <c r="V72" s="1" t="str">
        <f aca="false">IF($A72="","",IF(OR(D72="卖出",D72="分红"),IFERROR(INDEX($F$2:$F71,MATCH(2,1/($C$2:$C71=$C72))),""),""))</f>
        <v/>
      </c>
      <c r="W72" s="81" t="str">
        <f aca="false">IF($A72="","",IF(D72="买入",IF(AND(ISNUMBER(L72),L72&gt;0),(F72-L72)*G72,F72*0.08*G72),IF(AND(ISNUMBER(V72),V72&gt;0),IF(AND(ISNUMBER(L72),L72&gt;0),(V72-L72)*G72,V72*0.08*G72),0)))</f>
        <v/>
      </c>
      <c r="X72" s="82" t="str">
        <f aca="false">IF($A72="","",IF(D72="买入",0,IFERROR(IF(W72&lt;&gt;0,(H72-IFERROR(INDEX($H$2:$H71,MATCH(2,1/($C$2:$C71=$C72))),0))/W72,0),0)))</f>
        <v/>
      </c>
      <c r="Y72" s="82" t="str">
        <f aca="false">IF($A72="","",Y71+X72)</f>
        <v/>
      </c>
      <c r="Z72" s="1" t="str">
        <f aca="false">IF($A72="","",IF(X72&gt;0,IF(LEFT(Z71,1)="胜","胜"&amp;VALUE(RIGHT(Z71,LEN(Z71)-1))+1,"胜1"),IF(X72&lt;0,IF(LEFT(Z71,1)="亏","亏"&amp;VALUE(RIGHT(Z71,LEN(Z71)-1))+1,"亏1"),"平")))</f>
        <v/>
      </c>
      <c r="AA72" s="83" t="str">
        <f aca="false">IF($A72="","",MAX(0,(MAX($Y$2:Y72)-Y72)/MAX(1,MAX($Y$2:Y72))))</f>
        <v/>
      </c>
    </row>
    <row r="73" customFormat="false" ht="15" hidden="false" customHeight="true" outlineLevel="0" collapsed="false">
      <c r="A73" s="30"/>
      <c r="B73" s="30"/>
      <c r="C73" s="30"/>
      <c r="D73" s="30"/>
      <c r="E73" s="30"/>
      <c r="F73" s="44"/>
      <c r="G73" s="45"/>
      <c r="H73" s="35"/>
      <c r="I73" s="44"/>
      <c r="J73" s="45"/>
      <c r="K73" s="36"/>
      <c r="L73" s="44"/>
      <c r="M73" s="30"/>
      <c r="N73" s="31"/>
      <c r="O73" s="30"/>
      <c r="P73" s="31"/>
      <c r="Q73" s="30"/>
      <c r="R73" s="46"/>
      <c r="S73" s="31"/>
      <c r="T73" s="31"/>
      <c r="U73" s="30"/>
      <c r="V73" s="1" t="str">
        <f aca="false">IF($A73="","",IF(OR(D73="卖出",D73="分红"),IFERROR(INDEX($F$2:$F72,MATCH(2,1/($C$2:$C72=$C73))),""),""))</f>
        <v/>
      </c>
      <c r="W73" s="81" t="str">
        <f aca="false">IF($A73="","",IF(D73="买入",IF(AND(ISNUMBER(L73),L73&gt;0),(F73-L73)*G73,F73*0.08*G73),IF(AND(ISNUMBER(V73),V73&gt;0),IF(AND(ISNUMBER(L73),L73&gt;0),(V73-L73)*G73,V73*0.08*G73),0)))</f>
        <v/>
      </c>
      <c r="X73" s="82" t="str">
        <f aca="false">IF($A73="","",IF(D73="买入",0,IFERROR(IF(W73&lt;&gt;0,(H73-IFERROR(INDEX($H$2:$H72,MATCH(2,1/($C$2:$C72=$C73))),0))/W73,0),0)))</f>
        <v/>
      </c>
      <c r="Y73" s="82" t="str">
        <f aca="false">IF($A73="","",Y72+X73)</f>
        <v/>
      </c>
      <c r="Z73" s="1" t="str">
        <f aca="false">IF($A73="","",IF(X73&gt;0,IF(LEFT(Z72,1)="胜","胜"&amp;VALUE(RIGHT(Z72,LEN(Z72)-1))+1,"胜1"),IF(X73&lt;0,IF(LEFT(Z72,1)="亏","亏"&amp;VALUE(RIGHT(Z72,LEN(Z72)-1))+1,"亏1"),"平")))</f>
        <v/>
      </c>
      <c r="AA73" s="83" t="str">
        <f aca="false">IF($A73="","",MAX(0,(MAX($Y$2:Y73)-Y73)/MAX(1,MAX($Y$2:Y73))))</f>
        <v/>
      </c>
    </row>
    <row r="74" customFormat="false" ht="15" hidden="false" customHeight="true" outlineLevel="0" collapsed="false">
      <c r="A74" s="28"/>
      <c r="B74" s="28"/>
      <c r="C74" s="28"/>
      <c r="D74" s="28"/>
      <c r="E74" s="28"/>
      <c r="F74" s="34"/>
      <c r="G74" s="37"/>
      <c r="H74" s="35"/>
      <c r="I74" s="34"/>
      <c r="J74" s="37"/>
      <c r="K74" s="36"/>
      <c r="L74" s="34"/>
      <c r="M74" s="28"/>
      <c r="N74" s="29"/>
      <c r="O74" s="28"/>
      <c r="P74" s="29"/>
      <c r="Q74" s="28"/>
      <c r="R74" s="40"/>
      <c r="S74" s="29"/>
      <c r="T74" s="29"/>
      <c r="U74" s="28"/>
      <c r="V74" s="1" t="str">
        <f aca="false">IF($A74="","",IF(OR(D74="卖出",D74="分红"),IFERROR(INDEX($F$2:$F73,MATCH(2,1/($C$2:$C73=$C74))),""),""))</f>
        <v/>
      </c>
      <c r="W74" s="81" t="str">
        <f aca="false">IF($A74="","",IF(D74="买入",IF(AND(ISNUMBER(L74),L74&gt;0),(F74-L74)*G74,F74*0.08*G74),IF(AND(ISNUMBER(V74),V74&gt;0),IF(AND(ISNUMBER(L74),L74&gt;0),(V74-L74)*G74,V74*0.08*G74),0)))</f>
        <v/>
      </c>
      <c r="X74" s="82" t="str">
        <f aca="false">IF($A74="","",IF(D74="买入",0,IFERROR(IF(W74&lt;&gt;0,(H74-IFERROR(INDEX($H$2:$H73,MATCH(2,1/($C$2:$C73=$C74))),0))/W74,0),0)))</f>
        <v/>
      </c>
      <c r="Y74" s="82" t="str">
        <f aca="false">IF($A74="","",Y73+X74)</f>
        <v/>
      </c>
      <c r="Z74" s="1" t="str">
        <f aca="false">IF($A74="","",IF(X74&gt;0,IF(LEFT(Z73,1)="胜","胜"&amp;VALUE(RIGHT(Z73,LEN(Z73)-1))+1,"胜1"),IF(X74&lt;0,IF(LEFT(Z73,1)="亏","亏"&amp;VALUE(RIGHT(Z73,LEN(Z73)-1))+1,"亏1"),"平")))</f>
        <v/>
      </c>
      <c r="AA74" s="83" t="str">
        <f aca="false">IF($A74="","",MAX(0,(MAX($Y$2:Y74)-Y74)/MAX(1,MAX($Y$2:Y74))))</f>
        <v/>
      </c>
    </row>
    <row r="75" customFormat="false" ht="15" hidden="false" customHeight="true" outlineLevel="0" collapsed="false">
      <c r="A75" s="30"/>
      <c r="B75" s="30"/>
      <c r="C75" s="30"/>
      <c r="D75" s="30"/>
      <c r="E75" s="30"/>
      <c r="F75" s="44"/>
      <c r="G75" s="45"/>
      <c r="H75" s="35"/>
      <c r="I75" s="44"/>
      <c r="J75" s="45"/>
      <c r="K75" s="36"/>
      <c r="L75" s="44"/>
      <c r="M75" s="30"/>
      <c r="N75" s="31"/>
      <c r="O75" s="30"/>
      <c r="P75" s="31"/>
      <c r="Q75" s="30"/>
      <c r="R75" s="46"/>
      <c r="S75" s="31"/>
      <c r="T75" s="31"/>
      <c r="U75" s="30"/>
      <c r="V75" s="1" t="str">
        <f aca="false">IF($A75="","",IF(OR(D75="卖出",D75="分红"),IFERROR(INDEX($F$2:$F74,MATCH(2,1/($C$2:$C74=$C75))),""),""))</f>
        <v/>
      </c>
      <c r="W75" s="81" t="str">
        <f aca="false">IF($A75="","",IF(D75="买入",IF(AND(ISNUMBER(L75),L75&gt;0),(F75-L75)*G75,F75*0.08*G75),IF(AND(ISNUMBER(V75),V75&gt;0),IF(AND(ISNUMBER(L75),L75&gt;0),(V75-L75)*G75,V75*0.08*G75),0)))</f>
        <v/>
      </c>
      <c r="X75" s="82" t="str">
        <f aca="false">IF($A75="","",IF(D75="买入",0,IFERROR(IF(W75&lt;&gt;0,(H75-IFERROR(INDEX($H$2:$H74,MATCH(2,1/($C$2:$C74=$C75))),0))/W75,0),0)))</f>
        <v/>
      </c>
      <c r="Y75" s="82" t="str">
        <f aca="false">IF($A75="","",Y74+X75)</f>
        <v/>
      </c>
      <c r="Z75" s="1" t="str">
        <f aca="false">IF($A75="","",IF(X75&gt;0,IF(LEFT(Z74,1)="胜","胜"&amp;VALUE(RIGHT(Z74,LEN(Z74)-1))+1,"胜1"),IF(X75&lt;0,IF(LEFT(Z74,1)="亏","亏"&amp;VALUE(RIGHT(Z74,LEN(Z74)-1))+1,"亏1"),"平")))</f>
        <v/>
      </c>
      <c r="AA75" s="83" t="str">
        <f aca="false">IF($A75="","",MAX(0,(MAX($Y$2:Y75)-Y75)/MAX(1,MAX($Y$2:Y75))))</f>
        <v/>
      </c>
    </row>
    <row r="76" customFormat="false" ht="15" hidden="false" customHeight="true" outlineLevel="0" collapsed="false">
      <c r="A76" s="28"/>
      <c r="B76" s="28"/>
      <c r="C76" s="28"/>
      <c r="D76" s="28"/>
      <c r="E76" s="28"/>
      <c r="F76" s="34"/>
      <c r="G76" s="37"/>
      <c r="H76" s="35"/>
      <c r="I76" s="34"/>
      <c r="J76" s="37"/>
      <c r="K76" s="36"/>
      <c r="L76" s="34"/>
      <c r="M76" s="28"/>
      <c r="N76" s="29"/>
      <c r="O76" s="28"/>
      <c r="P76" s="29"/>
      <c r="Q76" s="28"/>
      <c r="R76" s="40"/>
      <c r="S76" s="29"/>
      <c r="T76" s="29"/>
      <c r="U76" s="28"/>
      <c r="V76" s="1" t="str">
        <f aca="false">IF($A76="","",IF(OR(D76="卖出",D76="分红"),IFERROR(INDEX($F$2:$F75,MATCH(2,1/($C$2:$C75=$C76))),""),""))</f>
        <v/>
      </c>
      <c r="W76" s="81" t="str">
        <f aca="false">IF($A76="","",IF(D76="买入",IF(AND(ISNUMBER(L76),L76&gt;0),(F76-L76)*G76,F76*0.08*G76),IF(AND(ISNUMBER(V76),V76&gt;0),IF(AND(ISNUMBER(L76),L76&gt;0),(V76-L76)*G76,V76*0.08*G76),0)))</f>
        <v/>
      </c>
      <c r="X76" s="82" t="str">
        <f aca="false">IF($A76="","",IF(D76="买入",0,IFERROR(IF(W76&lt;&gt;0,(H76-IFERROR(INDEX($H$2:$H75,MATCH(2,1/($C$2:$C75=$C76))),0))/W76,0),0)))</f>
        <v/>
      </c>
      <c r="Y76" s="82" t="str">
        <f aca="false">IF($A76="","",Y75+X76)</f>
        <v/>
      </c>
      <c r="Z76" s="1" t="str">
        <f aca="false">IF($A76="","",IF(X76&gt;0,IF(LEFT(Z75,1)="胜","胜"&amp;VALUE(RIGHT(Z75,LEN(Z75)-1))+1,"胜1"),IF(X76&lt;0,IF(LEFT(Z75,1)="亏","亏"&amp;VALUE(RIGHT(Z75,LEN(Z75)-1))+1,"亏1"),"平")))</f>
        <v/>
      </c>
      <c r="AA76" s="83" t="str">
        <f aca="false">IF($A76="","",MAX(0,(MAX($Y$2:Y76)-Y76)/MAX(1,MAX($Y$2:Y76))))</f>
        <v/>
      </c>
    </row>
    <row r="77" customFormat="false" ht="15" hidden="false" customHeight="true" outlineLevel="0" collapsed="false">
      <c r="A77" s="30"/>
      <c r="B77" s="30"/>
      <c r="C77" s="30"/>
      <c r="D77" s="30"/>
      <c r="E77" s="30"/>
      <c r="F77" s="44"/>
      <c r="G77" s="45"/>
      <c r="H77" s="35"/>
      <c r="I77" s="44"/>
      <c r="J77" s="45"/>
      <c r="K77" s="36"/>
      <c r="L77" s="44"/>
      <c r="M77" s="30"/>
      <c r="N77" s="31"/>
      <c r="O77" s="30"/>
      <c r="P77" s="31"/>
      <c r="Q77" s="30"/>
      <c r="R77" s="46"/>
      <c r="S77" s="31"/>
      <c r="T77" s="31"/>
      <c r="U77" s="30"/>
      <c r="V77" s="1" t="str">
        <f aca="false">IF($A77="","",IF(OR(D77="卖出",D77="分红"),IFERROR(INDEX($F$2:$F76,MATCH(2,1/($C$2:$C76=$C77))),""),""))</f>
        <v/>
      </c>
      <c r="W77" s="81" t="str">
        <f aca="false">IF($A77="","",IF(D77="买入",IF(AND(ISNUMBER(L77),L77&gt;0),(F77-L77)*G77,F77*0.08*G77),IF(AND(ISNUMBER(V77),V77&gt;0),IF(AND(ISNUMBER(L77),L77&gt;0),(V77-L77)*G77,V77*0.08*G77),0)))</f>
        <v/>
      </c>
      <c r="X77" s="82" t="str">
        <f aca="false">IF($A77="","",IF(D77="买入",0,IFERROR(IF(W77&lt;&gt;0,(H77-IFERROR(INDEX($H$2:$H76,MATCH(2,1/($C$2:$C76=$C77))),0))/W77,0),0)))</f>
        <v/>
      </c>
      <c r="Y77" s="82" t="str">
        <f aca="false">IF($A77="","",Y76+X77)</f>
        <v/>
      </c>
      <c r="Z77" s="1" t="str">
        <f aca="false">IF($A77="","",IF(X77&gt;0,IF(LEFT(Z76,1)="胜","胜"&amp;VALUE(RIGHT(Z76,LEN(Z76)-1))+1,"胜1"),IF(X77&lt;0,IF(LEFT(Z76,1)="亏","亏"&amp;VALUE(RIGHT(Z76,LEN(Z76)-1))+1,"亏1"),"平")))</f>
        <v/>
      </c>
      <c r="AA77" s="83" t="str">
        <f aca="false">IF($A77="","",MAX(0,(MAX($Y$2:Y77)-Y77)/MAX(1,MAX($Y$2:Y77))))</f>
        <v/>
      </c>
    </row>
    <row r="78" customFormat="false" ht="15" hidden="false" customHeight="true" outlineLevel="0" collapsed="false">
      <c r="A78" s="28"/>
      <c r="B78" s="28"/>
      <c r="C78" s="28"/>
      <c r="D78" s="28"/>
      <c r="E78" s="28"/>
      <c r="F78" s="34"/>
      <c r="G78" s="37"/>
      <c r="H78" s="35"/>
      <c r="I78" s="34"/>
      <c r="J78" s="37"/>
      <c r="K78" s="36"/>
      <c r="L78" s="34"/>
      <c r="M78" s="28"/>
      <c r="N78" s="29"/>
      <c r="O78" s="28"/>
      <c r="P78" s="29"/>
      <c r="Q78" s="28"/>
      <c r="R78" s="40"/>
      <c r="S78" s="29"/>
      <c r="T78" s="29"/>
      <c r="U78" s="28"/>
      <c r="V78" s="1" t="str">
        <f aca="false">IF($A78="","",IF(OR(D78="卖出",D78="分红"),IFERROR(INDEX($F$2:$F77,MATCH(2,1/($C$2:$C77=$C78))),""),""))</f>
        <v/>
      </c>
      <c r="W78" s="81" t="str">
        <f aca="false">IF($A78="","",IF(D78="买入",IF(AND(ISNUMBER(L78),L78&gt;0),(F78-L78)*G78,F78*0.08*G78),IF(AND(ISNUMBER(V78),V78&gt;0),IF(AND(ISNUMBER(L78),L78&gt;0),(V78-L78)*G78,V78*0.08*G78),0)))</f>
        <v/>
      </c>
      <c r="X78" s="82" t="str">
        <f aca="false">IF($A78="","",IF(D78="买入",0,IFERROR(IF(W78&lt;&gt;0,(H78-IFERROR(INDEX($H$2:$H77,MATCH(2,1/($C$2:$C77=$C78))),0))/W78,0),0)))</f>
        <v/>
      </c>
      <c r="Y78" s="82" t="str">
        <f aca="false">IF($A78="","",Y77+X78)</f>
        <v/>
      </c>
      <c r="Z78" s="1" t="str">
        <f aca="false">IF($A78="","",IF(X78&gt;0,IF(LEFT(Z77,1)="胜","胜"&amp;VALUE(RIGHT(Z77,LEN(Z77)-1))+1,"胜1"),IF(X78&lt;0,IF(LEFT(Z77,1)="亏","亏"&amp;VALUE(RIGHT(Z77,LEN(Z77)-1))+1,"亏1"),"平")))</f>
        <v/>
      </c>
      <c r="AA78" s="83" t="str">
        <f aca="false">IF($A78="","",MAX(0,(MAX($Y$2:Y78)-Y78)/MAX(1,MAX($Y$2:Y78))))</f>
        <v/>
      </c>
    </row>
    <row r="79" customFormat="false" ht="15" hidden="false" customHeight="true" outlineLevel="0" collapsed="false">
      <c r="A79" s="30"/>
      <c r="B79" s="30"/>
      <c r="C79" s="30"/>
      <c r="D79" s="30"/>
      <c r="E79" s="30"/>
      <c r="F79" s="44"/>
      <c r="G79" s="45"/>
      <c r="H79" s="35"/>
      <c r="I79" s="44"/>
      <c r="J79" s="45"/>
      <c r="K79" s="36"/>
      <c r="L79" s="44"/>
      <c r="M79" s="30"/>
      <c r="N79" s="31"/>
      <c r="O79" s="30"/>
      <c r="P79" s="31"/>
      <c r="Q79" s="30"/>
      <c r="R79" s="46"/>
      <c r="S79" s="31"/>
      <c r="T79" s="31"/>
      <c r="U79" s="30"/>
      <c r="V79" s="1" t="str">
        <f aca="false">IF($A79="","",IF(OR(D79="卖出",D79="分红"),IFERROR(INDEX($F$2:$F78,MATCH(2,1/($C$2:$C78=$C79))),""),""))</f>
        <v/>
      </c>
      <c r="W79" s="81" t="str">
        <f aca="false">IF($A79="","",IF(D79="买入",IF(AND(ISNUMBER(L79),L79&gt;0),(F79-L79)*G79,F79*0.08*G79),IF(AND(ISNUMBER(V79),V79&gt;0),IF(AND(ISNUMBER(L79),L79&gt;0),(V79-L79)*G79,V79*0.08*G79),0)))</f>
        <v/>
      </c>
      <c r="X79" s="82" t="str">
        <f aca="false">IF($A79="","",IF(D79="买入",0,IFERROR(IF(W79&lt;&gt;0,(H79-IFERROR(INDEX($H$2:$H78,MATCH(2,1/($C$2:$C78=$C79))),0))/W79,0),0)))</f>
        <v/>
      </c>
      <c r="Y79" s="82" t="str">
        <f aca="false">IF($A79="","",Y78+X79)</f>
        <v/>
      </c>
      <c r="Z79" s="1" t="str">
        <f aca="false">IF($A79="","",IF(X79&gt;0,IF(LEFT(Z78,1)="胜","胜"&amp;VALUE(RIGHT(Z78,LEN(Z78)-1))+1,"胜1"),IF(X79&lt;0,IF(LEFT(Z78,1)="亏","亏"&amp;VALUE(RIGHT(Z78,LEN(Z78)-1))+1,"亏1"),"平")))</f>
        <v/>
      </c>
      <c r="AA79" s="83" t="str">
        <f aca="false">IF($A79="","",MAX(0,(MAX($Y$2:Y79)-Y79)/MAX(1,MAX($Y$2:Y79))))</f>
        <v/>
      </c>
    </row>
    <row r="80" customFormat="false" ht="15" hidden="false" customHeight="true" outlineLevel="0" collapsed="false">
      <c r="A80" s="28"/>
      <c r="B80" s="28"/>
      <c r="C80" s="28"/>
      <c r="D80" s="28"/>
      <c r="E80" s="28"/>
      <c r="F80" s="34"/>
      <c r="G80" s="37"/>
      <c r="H80" s="35"/>
      <c r="I80" s="34"/>
      <c r="J80" s="37"/>
      <c r="K80" s="36"/>
      <c r="L80" s="34"/>
      <c r="M80" s="28"/>
      <c r="N80" s="29"/>
      <c r="O80" s="28"/>
      <c r="P80" s="29"/>
      <c r="Q80" s="28"/>
      <c r="R80" s="40"/>
      <c r="S80" s="29"/>
      <c r="T80" s="29"/>
      <c r="U80" s="28"/>
      <c r="V80" s="1" t="str">
        <f aca="false">IF($A80="","",IF(OR(D80="卖出",D80="分红"),IFERROR(INDEX($F$2:$F79,MATCH(2,1/($C$2:$C79=$C80))),""),""))</f>
        <v/>
      </c>
      <c r="W80" s="81" t="str">
        <f aca="false">IF($A80="","",IF(D80="买入",IF(AND(ISNUMBER(L80),L80&gt;0),(F80-L80)*G80,F80*0.08*G80),IF(AND(ISNUMBER(V80),V80&gt;0),IF(AND(ISNUMBER(L80),L80&gt;0),(V80-L80)*G80,V80*0.08*G80),0)))</f>
        <v/>
      </c>
      <c r="X80" s="82" t="str">
        <f aca="false">IF($A80="","",IF(D80="买入",0,IFERROR(IF(W80&lt;&gt;0,(H80-IFERROR(INDEX($H$2:$H79,MATCH(2,1/($C$2:$C79=$C80))),0))/W80,0),0)))</f>
        <v/>
      </c>
      <c r="Y80" s="82" t="str">
        <f aca="false">IF($A80="","",Y79+X80)</f>
        <v/>
      </c>
      <c r="Z80" s="1" t="str">
        <f aca="false">IF($A80="","",IF(X80&gt;0,IF(LEFT(Z79,1)="胜","胜"&amp;VALUE(RIGHT(Z79,LEN(Z79)-1))+1,"胜1"),IF(X80&lt;0,IF(LEFT(Z79,1)="亏","亏"&amp;VALUE(RIGHT(Z79,LEN(Z79)-1))+1,"亏1"),"平")))</f>
        <v/>
      </c>
      <c r="AA80" s="83" t="str">
        <f aca="false">IF($A80="","",MAX(0,(MAX($Y$2:Y80)-Y80)/MAX(1,MAX($Y$2:Y80))))</f>
        <v/>
      </c>
    </row>
    <row r="81" customFormat="false" ht="15" hidden="false" customHeight="true" outlineLevel="0" collapsed="false">
      <c r="A81" s="30"/>
      <c r="B81" s="30"/>
      <c r="C81" s="30"/>
      <c r="D81" s="30"/>
      <c r="E81" s="30"/>
      <c r="F81" s="44"/>
      <c r="G81" s="45"/>
      <c r="H81" s="35"/>
      <c r="I81" s="44"/>
      <c r="J81" s="45"/>
      <c r="K81" s="36"/>
      <c r="L81" s="44"/>
      <c r="M81" s="30"/>
      <c r="N81" s="31"/>
      <c r="O81" s="30"/>
      <c r="P81" s="31"/>
      <c r="Q81" s="30"/>
      <c r="R81" s="46"/>
      <c r="S81" s="31"/>
      <c r="T81" s="31"/>
      <c r="U81" s="30"/>
      <c r="V81" s="1" t="str">
        <f aca="false">IF($A81="","",IF(OR(D81="卖出",D81="分红"),IFERROR(INDEX($F$2:$F80,MATCH(2,1/($C$2:$C80=$C81))),""),""))</f>
        <v/>
      </c>
      <c r="W81" s="81" t="str">
        <f aca="false">IF($A81="","",IF(D81="买入",IF(AND(ISNUMBER(L81),L81&gt;0),(F81-L81)*G81,F81*0.08*G81),IF(AND(ISNUMBER(V81),V81&gt;0),IF(AND(ISNUMBER(L81),L81&gt;0),(V81-L81)*G81,V81*0.08*G81),0)))</f>
        <v/>
      </c>
      <c r="X81" s="82" t="str">
        <f aca="false">IF($A81="","",IF(D81="买入",0,IFERROR(IF(W81&lt;&gt;0,(H81-IFERROR(INDEX($H$2:$H80,MATCH(2,1/($C$2:$C80=$C81))),0))/W81,0),0)))</f>
        <v/>
      </c>
      <c r="Y81" s="82" t="str">
        <f aca="false">IF($A81="","",Y80+X81)</f>
        <v/>
      </c>
      <c r="Z81" s="1" t="str">
        <f aca="false">IF($A81="","",IF(X81&gt;0,IF(LEFT(Z80,1)="胜","胜"&amp;VALUE(RIGHT(Z80,LEN(Z80)-1))+1,"胜1"),IF(X81&lt;0,IF(LEFT(Z80,1)="亏","亏"&amp;VALUE(RIGHT(Z80,LEN(Z80)-1))+1,"亏1"),"平")))</f>
        <v/>
      </c>
      <c r="AA81" s="83" t="str">
        <f aca="false">IF($A81="","",MAX(0,(MAX($Y$2:Y81)-Y81)/MAX(1,MAX($Y$2:Y81))))</f>
        <v/>
      </c>
    </row>
    <row r="82" customFormat="false" ht="15" hidden="false" customHeight="true" outlineLevel="0" collapsed="false">
      <c r="A82" s="28"/>
      <c r="B82" s="28"/>
      <c r="C82" s="28"/>
      <c r="D82" s="28"/>
      <c r="E82" s="28"/>
      <c r="F82" s="34"/>
      <c r="G82" s="37"/>
      <c r="H82" s="35"/>
      <c r="I82" s="34"/>
      <c r="J82" s="37"/>
      <c r="K82" s="36"/>
      <c r="L82" s="34"/>
      <c r="M82" s="28"/>
      <c r="N82" s="29"/>
      <c r="O82" s="28"/>
      <c r="P82" s="29"/>
      <c r="Q82" s="28"/>
      <c r="R82" s="40"/>
      <c r="S82" s="29"/>
      <c r="T82" s="29"/>
      <c r="U82" s="28"/>
      <c r="V82" s="1" t="str">
        <f aca="false">IF($A82="","",IF(OR(D82="卖出",D82="分红"),IFERROR(INDEX($F$2:$F81,MATCH(2,1/($C$2:$C81=$C82))),""),""))</f>
        <v/>
      </c>
      <c r="W82" s="81" t="str">
        <f aca="false">IF($A82="","",IF(D82="买入",IF(AND(ISNUMBER(L82),L82&gt;0),(F82-L82)*G82,F82*0.08*G82),IF(AND(ISNUMBER(V82),V82&gt;0),IF(AND(ISNUMBER(L82),L82&gt;0),(V82-L82)*G82,V82*0.08*G82),0)))</f>
        <v/>
      </c>
      <c r="X82" s="82" t="str">
        <f aca="false">IF($A82="","",IF(D82="买入",0,IFERROR(IF(W82&lt;&gt;0,(H82-IFERROR(INDEX($H$2:$H81,MATCH(2,1/($C$2:$C81=$C82))),0))/W82,0),0)))</f>
        <v/>
      </c>
      <c r="Y82" s="82" t="str">
        <f aca="false">IF($A82="","",Y81+X82)</f>
        <v/>
      </c>
      <c r="Z82" s="1" t="str">
        <f aca="false">IF($A82="","",IF(X82&gt;0,IF(LEFT(Z81,1)="胜","胜"&amp;VALUE(RIGHT(Z81,LEN(Z81)-1))+1,"胜1"),IF(X82&lt;0,IF(LEFT(Z81,1)="亏","亏"&amp;VALUE(RIGHT(Z81,LEN(Z81)-1))+1,"亏1"),"平")))</f>
        <v/>
      </c>
      <c r="AA82" s="83" t="str">
        <f aca="false">IF($A82="","",MAX(0,(MAX($Y$2:Y82)-Y82)/MAX(1,MAX($Y$2:Y82))))</f>
        <v/>
      </c>
    </row>
    <row r="83" customFormat="false" ht="15" hidden="false" customHeight="true" outlineLevel="0" collapsed="false">
      <c r="A83" s="30"/>
      <c r="B83" s="30"/>
      <c r="C83" s="30"/>
      <c r="D83" s="30"/>
      <c r="E83" s="30"/>
      <c r="F83" s="44"/>
      <c r="G83" s="45"/>
      <c r="H83" s="35"/>
      <c r="I83" s="44"/>
      <c r="J83" s="45"/>
      <c r="K83" s="36"/>
      <c r="L83" s="44"/>
      <c r="M83" s="30"/>
      <c r="N83" s="31"/>
      <c r="O83" s="30"/>
      <c r="P83" s="31"/>
      <c r="Q83" s="30"/>
      <c r="R83" s="46"/>
      <c r="S83" s="31"/>
      <c r="T83" s="31"/>
      <c r="U83" s="30"/>
      <c r="V83" s="1" t="str">
        <f aca="false">IF($A83="","",IF(OR(D83="卖出",D83="分红"),IFERROR(INDEX($F$2:$F82,MATCH(2,1/($C$2:$C82=$C83))),""),""))</f>
        <v/>
      </c>
      <c r="W83" s="81" t="str">
        <f aca="false">IF($A83="","",IF(D83="买入",IF(AND(ISNUMBER(L83),L83&gt;0),(F83-L83)*G83,F83*0.08*G83),IF(AND(ISNUMBER(V83),V83&gt;0),IF(AND(ISNUMBER(L83),L83&gt;0),(V83-L83)*G83,V83*0.08*G83),0)))</f>
        <v/>
      </c>
      <c r="X83" s="82" t="str">
        <f aca="false">IF($A83="","",IF(D83="买入",0,IFERROR(IF(W83&lt;&gt;0,(H83-IFERROR(INDEX($H$2:$H82,MATCH(2,1/($C$2:$C82=$C83))),0))/W83,0),0)))</f>
        <v/>
      </c>
      <c r="Y83" s="82" t="str">
        <f aca="false">IF($A83="","",Y82+X83)</f>
        <v/>
      </c>
      <c r="Z83" s="1" t="str">
        <f aca="false">IF($A83="","",IF(X83&gt;0,IF(LEFT(Z82,1)="胜","胜"&amp;VALUE(RIGHT(Z82,LEN(Z82)-1))+1,"胜1"),IF(X83&lt;0,IF(LEFT(Z82,1)="亏","亏"&amp;VALUE(RIGHT(Z82,LEN(Z82)-1))+1,"亏1"),"平")))</f>
        <v/>
      </c>
      <c r="AA83" s="83" t="str">
        <f aca="false">IF($A83="","",MAX(0,(MAX($Y$2:Y83)-Y83)/MAX(1,MAX($Y$2:Y83))))</f>
        <v/>
      </c>
    </row>
    <row r="84" customFormat="false" ht="15" hidden="false" customHeight="true" outlineLevel="0" collapsed="false">
      <c r="A84" s="28"/>
      <c r="B84" s="28"/>
      <c r="C84" s="28"/>
      <c r="D84" s="28"/>
      <c r="E84" s="28"/>
      <c r="F84" s="34"/>
      <c r="G84" s="37"/>
      <c r="H84" s="35"/>
      <c r="I84" s="34"/>
      <c r="J84" s="37"/>
      <c r="K84" s="36"/>
      <c r="L84" s="34"/>
      <c r="M84" s="28"/>
      <c r="N84" s="29"/>
      <c r="O84" s="28"/>
      <c r="P84" s="29"/>
      <c r="Q84" s="28"/>
      <c r="R84" s="40"/>
      <c r="S84" s="29"/>
      <c r="T84" s="29"/>
      <c r="U84" s="28"/>
      <c r="V84" s="1" t="str">
        <f aca="false">IF($A84="","",IF(OR(D84="卖出",D84="分红"),IFERROR(INDEX($F$2:$F83,MATCH(2,1/($C$2:$C83=$C84))),""),""))</f>
        <v/>
      </c>
      <c r="W84" s="81" t="str">
        <f aca="false">IF($A84="","",IF(D84="买入",IF(AND(ISNUMBER(L84),L84&gt;0),(F84-L84)*G84,F84*0.08*G84),IF(AND(ISNUMBER(V84),V84&gt;0),IF(AND(ISNUMBER(L84),L84&gt;0),(V84-L84)*G84,V84*0.08*G84),0)))</f>
        <v/>
      </c>
      <c r="X84" s="82" t="str">
        <f aca="false">IF($A84="","",IF(D84="买入",0,IFERROR(IF(W84&lt;&gt;0,(H84-IFERROR(INDEX($H$2:$H83,MATCH(2,1/($C$2:$C83=$C84))),0))/W84,0),0)))</f>
        <v/>
      </c>
      <c r="Y84" s="82" t="str">
        <f aca="false">IF($A84="","",Y83+X84)</f>
        <v/>
      </c>
      <c r="Z84" s="1" t="str">
        <f aca="false">IF($A84="","",IF(X84&gt;0,IF(LEFT(Z83,1)="胜","胜"&amp;VALUE(RIGHT(Z83,LEN(Z83)-1))+1,"胜1"),IF(X84&lt;0,IF(LEFT(Z83,1)="亏","亏"&amp;VALUE(RIGHT(Z83,LEN(Z83)-1))+1,"亏1"),"平")))</f>
        <v/>
      </c>
      <c r="AA84" s="83" t="str">
        <f aca="false">IF($A84="","",MAX(0,(MAX($Y$2:Y84)-Y84)/MAX(1,MAX($Y$2:Y84))))</f>
        <v/>
      </c>
    </row>
    <row r="85" customFormat="false" ht="15" hidden="false" customHeight="true" outlineLevel="0" collapsed="false">
      <c r="A85" s="30"/>
      <c r="B85" s="30"/>
      <c r="C85" s="30"/>
      <c r="D85" s="30"/>
      <c r="E85" s="30"/>
      <c r="F85" s="44"/>
      <c r="G85" s="45"/>
      <c r="H85" s="35"/>
      <c r="I85" s="44"/>
      <c r="J85" s="45"/>
      <c r="K85" s="36"/>
      <c r="L85" s="44"/>
      <c r="M85" s="30"/>
      <c r="N85" s="31"/>
      <c r="O85" s="30"/>
      <c r="P85" s="31"/>
      <c r="Q85" s="30"/>
      <c r="R85" s="46"/>
      <c r="S85" s="31"/>
      <c r="T85" s="31"/>
      <c r="U85" s="30"/>
      <c r="V85" s="1" t="str">
        <f aca="false">IF($A85="","",IF(OR(D85="卖出",D85="分红"),IFERROR(INDEX($F$2:$F84,MATCH(2,1/($C$2:$C84=$C85))),""),""))</f>
        <v/>
      </c>
      <c r="W85" s="81" t="str">
        <f aca="false">IF($A85="","",IF(D85="买入",IF(AND(ISNUMBER(L85),L85&gt;0),(F85-L85)*G85,F85*0.08*G85),IF(AND(ISNUMBER(V85),V85&gt;0),IF(AND(ISNUMBER(L85),L85&gt;0),(V85-L85)*G85,V85*0.08*G85),0)))</f>
        <v/>
      </c>
      <c r="X85" s="82" t="str">
        <f aca="false">IF($A85="","",IF(D85="买入",0,IFERROR(IF(W85&lt;&gt;0,(H85-IFERROR(INDEX($H$2:$H84,MATCH(2,1/($C$2:$C84=$C85))),0))/W85,0),0)))</f>
        <v/>
      </c>
      <c r="Y85" s="82" t="str">
        <f aca="false">IF($A85="","",Y84+X85)</f>
        <v/>
      </c>
      <c r="Z85" s="1" t="str">
        <f aca="false">IF($A85="","",IF(X85&gt;0,IF(LEFT(Z84,1)="胜","胜"&amp;VALUE(RIGHT(Z84,LEN(Z84)-1))+1,"胜1"),IF(X85&lt;0,IF(LEFT(Z84,1)="亏","亏"&amp;VALUE(RIGHT(Z84,LEN(Z84)-1))+1,"亏1"),"平")))</f>
        <v/>
      </c>
      <c r="AA85" s="83" t="str">
        <f aca="false">IF($A85="","",MAX(0,(MAX($Y$2:Y85)-Y85)/MAX(1,MAX($Y$2:Y85))))</f>
        <v/>
      </c>
    </row>
    <row r="86" customFormat="false" ht="15" hidden="false" customHeight="true" outlineLevel="0" collapsed="false">
      <c r="A86" s="28"/>
      <c r="B86" s="28"/>
      <c r="C86" s="28"/>
      <c r="D86" s="28"/>
      <c r="E86" s="28"/>
      <c r="F86" s="34"/>
      <c r="G86" s="37"/>
      <c r="H86" s="35"/>
      <c r="I86" s="34"/>
      <c r="J86" s="37"/>
      <c r="K86" s="36"/>
      <c r="L86" s="34"/>
      <c r="M86" s="28"/>
      <c r="N86" s="29"/>
      <c r="O86" s="28"/>
      <c r="P86" s="29"/>
      <c r="Q86" s="28"/>
      <c r="R86" s="40"/>
      <c r="S86" s="29"/>
      <c r="T86" s="29"/>
      <c r="U86" s="28"/>
      <c r="V86" s="1" t="str">
        <f aca="false">IF($A86="","",IF(OR(D86="卖出",D86="分红"),IFERROR(INDEX($F$2:$F85,MATCH(2,1/($C$2:$C85=$C86))),""),""))</f>
        <v/>
      </c>
      <c r="W86" s="81" t="str">
        <f aca="false">IF($A86="","",IF(D86="买入",IF(AND(ISNUMBER(L86),L86&gt;0),(F86-L86)*G86,F86*0.08*G86),IF(AND(ISNUMBER(V86),V86&gt;0),IF(AND(ISNUMBER(L86),L86&gt;0),(V86-L86)*G86,V86*0.08*G86),0)))</f>
        <v/>
      </c>
      <c r="X86" s="82" t="str">
        <f aca="false">IF($A86="","",IF(D86="买入",0,IFERROR(IF(W86&lt;&gt;0,(H86-IFERROR(INDEX($H$2:$H85,MATCH(2,1/($C$2:$C85=$C86))),0))/W86,0),0)))</f>
        <v/>
      </c>
      <c r="Y86" s="82" t="str">
        <f aca="false">IF($A86="","",Y85+X86)</f>
        <v/>
      </c>
      <c r="Z86" s="1" t="str">
        <f aca="false">IF($A86="","",IF(X86&gt;0,IF(LEFT(Z85,1)="胜","胜"&amp;VALUE(RIGHT(Z85,LEN(Z85)-1))+1,"胜1"),IF(X86&lt;0,IF(LEFT(Z85,1)="亏","亏"&amp;VALUE(RIGHT(Z85,LEN(Z85)-1))+1,"亏1"),"平")))</f>
        <v/>
      </c>
      <c r="AA86" s="83" t="str">
        <f aca="false">IF($A86="","",MAX(0,(MAX($Y$2:Y86)-Y86)/MAX(1,MAX($Y$2:Y86))))</f>
        <v/>
      </c>
    </row>
    <row r="87" customFormat="false" ht="15" hidden="false" customHeight="true" outlineLevel="0" collapsed="false">
      <c r="A87" s="30"/>
      <c r="B87" s="30"/>
      <c r="C87" s="30"/>
      <c r="D87" s="30"/>
      <c r="E87" s="30"/>
      <c r="F87" s="44"/>
      <c r="G87" s="45"/>
      <c r="H87" s="35"/>
      <c r="I87" s="44"/>
      <c r="J87" s="45"/>
      <c r="K87" s="36"/>
      <c r="L87" s="44"/>
      <c r="M87" s="30"/>
      <c r="N87" s="31"/>
      <c r="O87" s="30"/>
      <c r="P87" s="31"/>
      <c r="Q87" s="30"/>
      <c r="R87" s="46"/>
      <c r="S87" s="31"/>
      <c r="T87" s="31"/>
      <c r="U87" s="30"/>
      <c r="V87" s="1" t="str">
        <f aca="false">IF($A87="","",IF(OR(D87="卖出",D87="分红"),IFERROR(INDEX($F$2:$F86,MATCH(2,1/($C$2:$C86=$C87))),""),""))</f>
        <v/>
      </c>
      <c r="W87" s="81" t="str">
        <f aca="false">IF($A87="","",IF(D87="买入",IF(AND(ISNUMBER(L87),L87&gt;0),(F87-L87)*G87,F87*0.08*G87),IF(AND(ISNUMBER(V87),V87&gt;0),IF(AND(ISNUMBER(L87),L87&gt;0),(V87-L87)*G87,V87*0.08*G87),0)))</f>
        <v/>
      </c>
      <c r="X87" s="82" t="str">
        <f aca="false">IF($A87="","",IF(D87="买入",0,IFERROR(IF(W87&lt;&gt;0,(H87-IFERROR(INDEX($H$2:$H86,MATCH(2,1/($C$2:$C86=$C87))),0))/W87,0),0)))</f>
        <v/>
      </c>
      <c r="Y87" s="82" t="str">
        <f aca="false">IF($A87="","",Y86+X87)</f>
        <v/>
      </c>
      <c r="Z87" s="1" t="str">
        <f aca="false">IF($A87="","",IF(X87&gt;0,IF(LEFT(Z86,1)="胜","胜"&amp;VALUE(RIGHT(Z86,LEN(Z86)-1))+1,"胜1"),IF(X87&lt;0,IF(LEFT(Z86,1)="亏","亏"&amp;VALUE(RIGHT(Z86,LEN(Z86)-1))+1,"亏1"),"平")))</f>
        <v/>
      </c>
      <c r="AA87" s="83" t="str">
        <f aca="false">IF($A87="","",MAX(0,(MAX($Y$2:Y87)-Y87)/MAX(1,MAX($Y$2:Y87))))</f>
        <v/>
      </c>
    </row>
    <row r="88" customFormat="false" ht="15" hidden="false" customHeight="true" outlineLevel="0" collapsed="false">
      <c r="A88" s="28"/>
      <c r="B88" s="28"/>
      <c r="C88" s="28"/>
      <c r="D88" s="28"/>
      <c r="E88" s="28"/>
      <c r="F88" s="34"/>
      <c r="G88" s="37"/>
      <c r="H88" s="35"/>
      <c r="I88" s="34"/>
      <c r="J88" s="37"/>
      <c r="K88" s="36"/>
      <c r="L88" s="34"/>
      <c r="M88" s="28"/>
      <c r="N88" s="29"/>
      <c r="O88" s="28"/>
      <c r="P88" s="29"/>
      <c r="Q88" s="28"/>
      <c r="R88" s="40"/>
      <c r="S88" s="29"/>
      <c r="T88" s="29"/>
      <c r="U88" s="28"/>
      <c r="V88" s="1" t="str">
        <f aca="false">IF($A88="","",IF(OR(D88="卖出",D88="分红"),IFERROR(INDEX($F$2:$F87,MATCH(2,1/($C$2:$C87=$C88))),""),""))</f>
        <v/>
      </c>
      <c r="W88" s="81" t="str">
        <f aca="false">IF($A88="","",IF(D88="买入",IF(AND(ISNUMBER(L88),L88&gt;0),(F88-L88)*G88,F88*0.08*G88),IF(AND(ISNUMBER(V88),V88&gt;0),IF(AND(ISNUMBER(L88),L88&gt;0),(V88-L88)*G88,V88*0.08*G88),0)))</f>
        <v/>
      </c>
      <c r="X88" s="82" t="str">
        <f aca="false">IF($A88="","",IF(D88="买入",0,IFERROR(IF(W88&lt;&gt;0,(H88-IFERROR(INDEX($H$2:$H87,MATCH(2,1/($C$2:$C87=$C88))),0))/W88,0),0)))</f>
        <v/>
      </c>
      <c r="Y88" s="82" t="str">
        <f aca="false">IF($A88="","",Y87+X88)</f>
        <v/>
      </c>
      <c r="Z88" s="1" t="str">
        <f aca="false">IF($A88="","",IF(X88&gt;0,IF(LEFT(Z87,1)="胜","胜"&amp;VALUE(RIGHT(Z87,LEN(Z87)-1))+1,"胜1"),IF(X88&lt;0,IF(LEFT(Z87,1)="亏","亏"&amp;VALUE(RIGHT(Z87,LEN(Z87)-1))+1,"亏1"),"平")))</f>
        <v/>
      </c>
      <c r="AA88" s="83" t="str">
        <f aca="false">IF($A88="","",MAX(0,(MAX($Y$2:Y88)-Y88)/MAX(1,MAX($Y$2:Y88))))</f>
        <v/>
      </c>
    </row>
    <row r="89" customFormat="false" ht="15" hidden="false" customHeight="true" outlineLevel="0" collapsed="false">
      <c r="A89" s="30"/>
      <c r="B89" s="30"/>
      <c r="C89" s="30"/>
      <c r="D89" s="30"/>
      <c r="E89" s="30"/>
      <c r="F89" s="44"/>
      <c r="G89" s="45"/>
      <c r="H89" s="35"/>
      <c r="I89" s="44"/>
      <c r="J89" s="45"/>
      <c r="K89" s="36"/>
      <c r="L89" s="44"/>
      <c r="M89" s="30"/>
      <c r="N89" s="31"/>
      <c r="O89" s="30"/>
      <c r="P89" s="31"/>
      <c r="Q89" s="30"/>
      <c r="R89" s="46"/>
      <c r="S89" s="31"/>
      <c r="T89" s="31"/>
      <c r="U89" s="30"/>
      <c r="V89" s="1" t="str">
        <f aca="false">IF($A89="","",IF(OR(D89="卖出",D89="分红"),IFERROR(INDEX($F$2:$F88,MATCH(2,1/($C$2:$C88=$C89))),""),""))</f>
        <v/>
      </c>
      <c r="W89" s="81" t="str">
        <f aca="false">IF($A89="","",IF(D89="买入",IF(AND(ISNUMBER(L89),L89&gt;0),(F89-L89)*G89,F89*0.08*G89),IF(AND(ISNUMBER(V89),V89&gt;0),IF(AND(ISNUMBER(L89),L89&gt;0),(V89-L89)*G89,V89*0.08*G89),0)))</f>
        <v/>
      </c>
      <c r="X89" s="82" t="str">
        <f aca="false">IF($A89="","",IF(D89="买入",0,IFERROR(IF(W89&lt;&gt;0,(H89-IFERROR(INDEX($H$2:$H88,MATCH(2,1/($C$2:$C88=$C89))),0))/W89,0),0)))</f>
        <v/>
      </c>
      <c r="Y89" s="82" t="str">
        <f aca="false">IF($A89="","",Y88+X89)</f>
        <v/>
      </c>
      <c r="Z89" s="1" t="str">
        <f aca="false">IF($A89="","",IF(X89&gt;0,IF(LEFT(Z88,1)="胜","胜"&amp;VALUE(RIGHT(Z88,LEN(Z88)-1))+1,"胜1"),IF(X89&lt;0,IF(LEFT(Z88,1)="亏","亏"&amp;VALUE(RIGHT(Z88,LEN(Z88)-1))+1,"亏1"),"平")))</f>
        <v/>
      </c>
      <c r="AA89" s="83" t="str">
        <f aca="false">IF($A89="","",MAX(0,(MAX($Y$2:Y89)-Y89)/MAX(1,MAX($Y$2:Y89))))</f>
        <v/>
      </c>
    </row>
    <row r="90" customFormat="false" ht="15" hidden="false" customHeight="true" outlineLevel="0" collapsed="false">
      <c r="A90" s="28"/>
      <c r="B90" s="28"/>
      <c r="C90" s="28"/>
      <c r="D90" s="28"/>
      <c r="E90" s="28"/>
      <c r="F90" s="34"/>
      <c r="G90" s="37"/>
      <c r="H90" s="35"/>
      <c r="I90" s="34"/>
      <c r="J90" s="37"/>
      <c r="K90" s="36"/>
      <c r="L90" s="34"/>
      <c r="M90" s="28"/>
      <c r="N90" s="29"/>
      <c r="O90" s="28"/>
      <c r="P90" s="29"/>
      <c r="Q90" s="28"/>
      <c r="R90" s="40"/>
      <c r="S90" s="29"/>
      <c r="T90" s="29"/>
      <c r="U90" s="28"/>
      <c r="V90" s="1" t="str">
        <f aca="false">IF($A90="","",IF(OR(D90="卖出",D90="分红"),IFERROR(INDEX($F$2:$F89,MATCH(2,1/($C$2:$C89=$C90))),""),""))</f>
        <v/>
      </c>
      <c r="W90" s="81" t="str">
        <f aca="false">IF($A90="","",IF(D90="买入",IF(AND(ISNUMBER(L90),L90&gt;0),(F90-L90)*G90,F90*0.08*G90),IF(AND(ISNUMBER(V90),V90&gt;0),IF(AND(ISNUMBER(L90),L90&gt;0),(V90-L90)*G90,V90*0.08*G90),0)))</f>
        <v/>
      </c>
      <c r="X90" s="82" t="str">
        <f aca="false">IF($A90="","",IF(D90="买入",0,IFERROR(IF(W90&lt;&gt;0,(H90-IFERROR(INDEX($H$2:$H89,MATCH(2,1/($C$2:$C89=$C90))),0))/W90,0),0)))</f>
        <v/>
      </c>
      <c r="Y90" s="82" t="str">
        <f aca="false">IF($A90="","",Y89+X90)</f>
        <v/>
      </c>
      <c r="Z90" s="1" t="str">
        <f aca="false">IF($A90="","",IF(X90&gt;0,IF(LEFT(Z89,1)="胜","胜"&amp;VALUE(RIGHT(Z89,LEN(Z89)-1))+1,"胜1"),IF(X90&lt;0,IF(LEFT(Z89,1)="亏","亏"&amp;VALUE(RIGHT(Z89,LEN(Z89)-1))+1,"亏1"),"平")))</f>
        <v/>
      </c>
      <c r="AA90" s="83" t="str">
        <f aca="false">IF($A90="","",MAX(0,(MAX($Y$2:Y90)-Y90)/MAX(1,MAX($Y$2:Y90))))</f>
        <v/>
      </c>
    </row>
    <row r="91" customFormat="false" ht="15" hidden="false" customHeight="true" outlineLevel="0" collapsed="false">
      <c r="A91" s="30"/>
      <c r="B91" s="30"/>
      <c r="C91" s="30"/>
      <c r="D91" s="30"/>
      <c r="E91" s="30"/>
      <c r="F91" s="44"/>
      <c r="G91" s="45"/>
      <c r="H91" s="35"/>
      <c r="I91" s="44"/>
      <c r="J91" s="45"/>
      <c r="K91" s="36"/>
      <c r="L91" s="44"/>
      <c r="M91" s="30"/>
      <c r="N91" s="31"/>
      <c r="O91" s="30"/>
      <c r="P91" s="31"/>
      <c r="Q91" s="30"/>
      <c r="R91" s="46"/>
      <c r="S91" s="31"/>
      <c r="T91" s="31"/>
      <c r="U91" s="30"/>
      <c r="V91" s="1" t="str">
        <f aca="false">IF($A91="","",IF(OR(D91="卖出",D91="分红"),IFERROR(INDEX($F$2:$F90,MATCH(2,1/($C$2:$C90=$C91))),""),""))</f>
        <v/>
      </c>
      <c r="W91" s="81" t="str">
        <f aca="false">IF($A91="","",IF(D91="买入",IF(AND(ISNUMBER(L91),L91&gt;0),(F91-L91)*G91,F91*0.08*G91),IF(AND(ISNUMBER(V91),V91&gt;0),IF(AND(ISNUMBER(L91),L91&gt;0),(V91-L91)*G91,V91*0.08*G91),0)))</f>
        <v/>
      </c>
      <c r="X91" s="82" t="str">
        <f aca="false">IF($A91="","",IF(D91="买入",0,IFERROR(IF(W91&lt;&gt;0,(H91-IFERROR(INDEX($H$2:$H90,MATCH(2,1/($C$2:$C90=$C91))),0))/W91,0),0)))</f>
        <v/>
      </c>
      <c r="Y91" s="82" t="str">
        <f aca="false">IF($A91="","",Y90+X91)</f>
        <v/>
      </c>
      <c r="Z91" s="1" t="str">
        <f aca="false">IF($A91="","",IF(X91&gt;0,IF(LEFT(Z90,1)="胜","胜"&amp;VALUE(RIGHT(Z90,LEN(Z90)-1))+1,"胜1"),IF(X91&lt;0,IF(LEFT(Z90,1)="亏","亏"&amp;VALUE(RIGHT(Z90,LEN(Z90)-1))+1,"亏1"),"平")))</f>
        <v/>
      </c>
      <c r="AA91" s="83" t="str">
        <f aca="false">IF($A91="","",MAX(0,(MAX($Y$2:Y91)-Y91)/MAX(1,MAX($Y$2:Y91))))</f>
        <v/>
      </c>
    </row>
    <row r="92" customFormat="false" ht="15" hidden="false" customHeight="true" outlineLevel="0" collapsed="false">
      <c r="A92" s="28"/>
      <c r="B92" s="28"/>
      <c r="C92" s="28"/>
      <c r="D92" s="28"/>
      <c r="E92" s="28"/>
      <c r="F92" s="34"/>
      <c r="G92" s="37"/>
      <c r="H92" s="35"/>
      <c r="I92" s="34"/>
      <c r="J92" s="37"/>
      <c r="K92" s="36"/>
      <c r="L92" s="34"/>
      <c r="M92" s="28"/>
      <c r="N92" s="29"/>
      <c r="O92" s="28"/>
      <c r="P92" s="29"/>
      <c r="Q92" s="28"/>
      <c r="R92" s="40"/>
      <c r="S92" s="29"/>
      <c r="T92" s="29"/>
      <c r="U92" s="28"/>
      <c r="V92" s="1" t="str">
        <f aca="false">IF($A92="","",IF(OR(D92="卖出",D92="分红"),IFERROR(INDEX($F$2:$F91,MATCH(2,1/($C$2:$C91=$C92))),""),""))</f>
        <v/>
      </c>
      <c r="W92" s="81" t="str">
        <f aca="false">IF($A92="","",IF(D92="买入",IF(AND(ISNUMBER(L92),L92&gt;0),(F92-L92)*G92,F92*0.08*G92),IF(AND(ISNUMBER(V92),V92&gt;0),IF(AND(ISNUMBER(L92),L92&gt;0),(V92-L92)*G92,V92*0.08*G92),0)))</f>
        <v/>
      </c>
      <c r="X92" s="82" t="str">
        <f aca="false">IF($A92="","",IF(D92="买入",0,IFERROR(IF(W92&lt;&gt;0,(H92-IFERROR(INDEX($H$2:$H91,MATCH(2,1/($C$2:$C91=$C92))),0))/W92,0),0)))</f>
        <v/>
      </c>
      <c r="Y92" s="82" t="str">
        <f aca="false">IF($A92="","",Y91+X92)</f>
        <v/>
      </c>
      <c r="Z92" s="1" t="str">
        <f aca="false">IF($A92="","",IF(X92&gt;0,IF(LEFT(Z91,1)="胜","胜"&amp;VALUE(RIGHT(Z91,LEN(Z91)-1))+1,"胜1"),IF(X92&lt;0,IF(LEFT(Z91,1)="亏","亏"&amp;VALUE(RIGHT(Z91,LEN(Z91)-1))+1,"亏1"),"平")))</f>
        <v/>
      </c>
      <c r="AA92" s="83" t="str">
        <f aca="false">IF($A92="","",MAX(0,(MAX($Y$2:Y92)-Y92)/MAX(1,MAX($Y$2:Y92))))</f>
        <v/>
      </c>
    </row>
    <row r="93" customFormat="false" ht="15" hidden="false" customHeight="true" outlineLevel="0" collapsed="false">
      <c r="A93" s="30"/>
      <c r="B93" s="30"/>
      <c r="C93" s="30"/>
      <c r="D93" s="30"/>
      <c r="E93" s="30"/>
      <c r="F93" s="44"/>
      <c r="G93" s="45"/>
      <c r="H93" s="35"/>
      <c r="I93" s="44"/>
      <c r="J93" s="45"/>
      <c r="K93" s="36"/>
      <c r="L93" s="44"/>
      <c r="M93" s="30"/>
      <c r="N93" s="31"/>
      <c r="O93" s="30"/>
      <c r="P93" s="31"/>
      <c r="Q93" s="30"/>
      <c r="R93" s="46"/>
      <c r="S93" s="31"/>
      <c r="T93" s="31"/>
      <c r="U93" s="30"/>
      <c r="V93" s="1" t="str">
        <f aca="false">IF($A93="","",IF(OR(D93="卖出",D93="分红"),IFERROR(INDEX($F$2:$F92,MATCH(2,1/($C$2:$C92=$C93))),""),""))</f>
        <v/>
      </c>
      <c r="W93" s="81" t="str">
        <f aca="false">IF($A93="","",IF(D93="买入",IF(AND(ISNUMBER(L93),L93&gt;0),(F93-L93)*G93,F93*0.08*G93),IF(AND(ISNUMBER(V93),V93&gt;0),IF(AND(ISNUMBER(L93),L93&gt;0),(V93-L93)*G93,V93*0.08*G93),0)))</f>
        <v/>
      </c>
      <c r="X93" s="82" t="str">
        <f aca="false">IF($A93="","",IF(D93="买入",0,IFERROR(IF(W93&lt;&gt;0,(H93-IFERROR(INDEX($H$2:$H92,MATCH(2,1/($C$2:$C92=$C93))),0))/W93,0),0)))</f>
        <v/>
      </c>
      <c r="Y93" s="82" t="str">
        <f aca="false">IF($A93="","",Y92+X93)</f>
        <v/>
      </c>
      <c r="Z93" s="1" t="str">
        <f aca="false">IF($A93="","",IF(X93&gt;0,IF(LEFT(Z92,1)="胜","胜"&amp;VALUE(RIGHT(Z92,LEN(Z92)-1))+1,"胜1"),IF(X93&lt;0,IF(LEFT(Z92,1)="亏","亏"&amp;VALUE(RIGHT(Z92,LEN(Z92)-1))+1,"亏1"),"平")))</f>
        <v/>
      </c>
      <c r="AA93" s="83" t="str">
        <f aca="false">IF($A93="","",MAX(0,(MAX($Y$2:Y93)-Y93)/MAX(1,MAX($Y$2:Y93))))</f>
        <v/>
      </c>
    </row>
    <row r="94" customFormat="false" ht="15" hidden="false" customHeight="true" outlineLevel="0" collapsed="false">
      <c r="A94" s="28"/>
      <c r="B94" s="28"/>
      <c r="C94" s="28"/>
      <c r="D94" s="28"/>
      <c r="E94" s="28"/>
      <c r="F94" s="34"/>
      <c r="G94" s="37"/>
      <c r="H94" s="35"/>
      <c r="I94" s="34"/>
      <c r="J94" s="37"/>
      <c r="K94" s="36"/>
      <c r="L94" s="34"/>
      <c r="M94" s="28"/>
      <c r="N94" s="29"/>
      <c r="O94" s="28"/>
      <c r="P94" s="29"/>
      <c r="Q94" s="28"/>
      <c r="R94" s="40"/>
      <c r="S94" s="29"/>
      <c r="T94" s="29"/>
      <c r="U94" s="28"/>
      <c r="V94" s="1" t="str">
        <f aca="false">IF($A94="","",IF(OR(D94="卖出",D94="分红"),IFERROR(INDEX($F$2:$F93,MATCH(2,1/($C$2:$C93=$C94))),""),""))</f>
        <v/>
      </c>
      <c r="W94" s="81" t="str">
        <f aca="false">IF($A94="","",IF(D94="买入",IF(AND(ISNUMBER(L94),L94&gt;0),(F94-L94)*G94,F94*0.08*G94),IF(AND(ISNUMBER(V94),V94&gt;0),IF(AND(ISNUMBER(L94),L94&gt;0),(V94-L94)*G94,V94*0.08*G94),0)))</f>
        <v/>
      </c>
      <c r="X94" s="82" t="str">
        <f aca="false">IF($A94="","",IF(D94="买入",0,IFERROR(IF(W94&lt;&gt;0,(H94-IFERROR(INDEX($H$2:$H93,MATCH(2,1/($C$2:$C93=$C94))),0))/W94,0),0)))</f>
        <v/>
      </c>
      <c r="Y94" s="82" t="str">
        <f aca="false">IF($A94="","",Y93+X94)</f>
        <v/>
      </c>
      <c r="Z94" s="1" t="str">
        <f aca="false">IF($A94="","",IF(X94&gt;0,IF(LEFT(Z93,1)="胜","胜"&amp;VALUE(RIGHT(Z93,LEN(Z93)-1))+1,"胜1"),IF(X94&lt;0,IF(LEFT(Z93,1)="亏","亏"&amp;VALUE(RIGHT(Z93,LEN(Z93)-1))+1,"亏1"),"平")))</f>
        <v/>
      </c>
      <c r="AA94" s="83" t="str">
        <f aca="false">IF($A94="","",MAX(0,(MAX($Y$2:Y94)-Y94)/MAX(1,MAX($Y$2:Y94))))</f>
        <v/>
      </c>
    </row>
    <row r="95" customFormat="false" ht="15" hidden="false" customHeight="true" outlineLevel="0" collapsed="false">
      <c r="A95" s="30"/>
      <c r="B95" s="30"/>
      <c r="C95" s="30"/>
      <c r="D95" s="30"/>
      <c r="E95" s="30"/>
      <c r="F95" s="44"/>
      <c r="G95" s="45"/>
      <c r="H95" s="35"/>
      <c r="I95" s="44"/>
      <c r="J95" s="45"/>
      <c r="K95" s="36"/>
      <c r="L95" s="44"/>
      <c r="M95" s="30"/>
      <c r="N95" s="31"/>
      <c r="O95" s="30"/>
      <c r="P95" s="31"/>
      <c r="Q95" s="30"/>
      <c r="R95" s="46"/>
      <c r="S95" s="31"/>
      <c r="T95" s="31"/>
      <c r="U95" s="30"/>
      <c r="V95" s="1" t="str">
        <f aca="false">IF($A95="","",IF(OR(D95="卖出",D95="分红"),IFERROR(INDEX($F$2:$F94,MATCH(2,1/($C$2:$C94=$C95))),""),""))</f>
        <v/>
      </c>
      <c r="W95" s="81" t="str">
        <f aca="false">IF($A95="","",IF(D95="买入",IF(AND(ISNUMBER(L95),L95&gt;0),(F95-L95)*G95,F95*0.08*G95),IF(AND(ISNUMBER(V95),V95&gt;0),IF(AND(ISNUMBER(L95),L95&gt;0),(V95-L95)*G95,V95*0.08*G95),0)))</f>
        <v/>
      </c>
      <c r="X95" s="82" t="str">
        <f aca="false">IF($A95="","",IF(D95="买入",0,IFERROR(IF(W95&lt;&gt;0,(H95-IFERROR(INDEX($H$2:$H94,MATCH(2,1/($C$2:$C94=$C95))),0))/W95,0),0)))</f>
        <v/>
      </c>
      <c r="Y95" s="82" t="str">
        <f aca="false">IF($A95="","",Y94+X95)</f>
        <v/>
      </c>
      <c r="Z95" s="1" t="str">
        <f aca="false">IF($A95="","",IF(X95&gt;0,IF(LEFT(Z94,1)="胜","胜"&amp;VALUE(RIGHT(Z94,LEN(Z94)-1))+1,"胜1"),IF(X95&lt;0,IF(LEFT(Z94,1)="亏","亏"&amp;VALUE(RIGHT(Z94,LEN(Z94)-1))+1,"亏1"),"平")))</f>
        <v/>
      </c>
      <c r="AA95" s="83" t="str">
        <f aca="false">IF($A95="","",MAX(0,(MAX($Y$2:Y95)-Y95)/MAX(1,MAX($Y$2:Y95))))</f>
        <v/>
      </c>
    </row>
    <row r="96" customFormat="false" ht="15" hidden="false" customHeight="true" outlineLevel="0" collapsed="false">
      <c r="A96" s="28"/>
      <c r="B96" s="28"/>
      <c r="C96" s="28"/>
      <c r="D96" s="28"/>
      <c r="E96" s="28"/>
      <c r="F96" s="34"/>
      <c r="G96" s="37"/>
      <c r="H96" s="35"/>
      <c r="I96" s="34"/>
      <c r="J96" s="37"/>
      <c r="K96" s="36"/>
      <c r="L96" s="34"/>
      <c r="M96" s="28"/>
      <c r="N96" s="29"/>
      <c r="O96" s="28"/>
      <c r="P96" s="29"/>
      <c r="Q96" s="28"/>
      <c r="R96" s="40"/>
      <c r="S96" s="29"/>
      <c r="T96" s="29"/>
      <c r="U96" s="28"/>
      <c r="V96" s="1" t="str">
        <f aca="false">IF($A96="","",IF(OR(D96="卖出",D96="分红"),IFERROR(INDEX($F$2:$F95,MATCH(2,1/($C$2:$C95=$C96))),""),""))</f>
        <v/>
      </c>
      <c r="W96" s="81" t="str">
        <f aca="false">IF($A96="","",IF(D96="买入",IF(AND(ISNUMBER(L96),L96&gt;0),(F96-L96)*G96,F96*0.08*G96),IF(AND(ISNUMBER(V96),V96&gt;0),IF(AND(ISNUMBER(L96),L96&gt;0),(V96-L96)*G96,V96*0.08*G96),0)))</f>
        <v/>
      </c>
      <c r="X96" s="82" t="str">
        <f aca="false">IF($A96="","",IF(D96="买入",0,IFERROR(IF(W96&lt;&gt;0,(H96-IFERROR(INDEX($H$2:$H95,MATCH(2,1/($C$2:$C95=$C96))),0))/W96,0),0)))</f>
        <v/>
      </c>
      <c r="Y96" s="82" t="str">
        <f aca="false">IF($A96="","",Y95+X96)</f>
        <v/>
      </c>
      <c r="Z96" s="1" t="str">
        <f aca="false">IF($A96="","",IF(X96&gt;0,IF(LEFT(Z95,1)="胜","胜"&amp;VALUE(RIGHT(Z95,LEN(Z95)-1))+1,"胜1"),IF(X96&lt;0,IF(LEFT(Z95,1)="亏","亏"&amp;VALUE(RIGHT(Z95,LEN(Z95)-1))+1,"亏1"),"平")))</f>
        <v/>
      </c>
      <c r="AA96" s="83" t="str">
        <f aca="false">IF($A96="","",MAX(0,(MAX($Y$2:Y96)-Y96)/MAX(1,MAX($Y$2:Y96))))</f>
        <v/>
      </c>
    </row>
    <row r="97" customFormat="false" ht="15" hidden="false" customHeight="true" outlineLevel="0" collapsed="false">
      <c r="A97" s="30"/>
      <c r="B97" s="30"/>
      <c r="C97" s="30"/>
      <c r="D97" s="30"/>
      <c r="E97" s="30"/>
      <c r="F97" s="44"/>
      <c r="G97" s="45"/>
      <c r="H97" s="35"/>
      <c r="I97" s="44"/>
      <c r="J97" s="45"/>
      <c r="K97" s="36"/>
      <c r="L97" s="44"/>
      <c r="M97" s="30"/>
      <c r="N97" s="31"/>
      <c r="O97" s="30"/>
      <c r="P97" s="31"/>
      <c r="Q97" s="30"/>
      <c r="R97" s="46"/>
      <c r="S97" s="31"/>
      <c r="T97" s="31"/>
      <c r="U97" s="30"/>
      <c r="V97" s="1" t="str">
        <f aca="false">IF($A97="","",IF(OR(D97="卖出",D97="分红"),IFERROR(INDEX($F$2:$F96,MATCH(2,1/($C$2:$C96=$C97))),""),""))</f>
        <v/>
      </c>
      <c r="W97" s="81" t="str">
        <f aca="false">IF($A97="","",IF(D97="买入",IF(AND(ISNUMBER(L97),L97&gt;0),(F97-L97)*G97,F97*0.08*G97),IF(AND(ISNUMBER(V97),V97&gt;0),IF(AND(ISNUMBER(L97),L97&gt;0),(V97-L97)*G97,V97*0.08*G97),0)))</f>
        <v/>
      </c>
      <c r="X97" s="82" t="str">
        <f aca="false">IF($A97="","",IF(D97="买入",0,IFERROR(IF(W97&lt;&gt;0,(H97-IFERROR(INDEX($H$2:$H96,MATCH(2,1/($C$2:$C96=$C97))),0))/W97,0),0)))</f>
        <v/>
      </c>
      <c r="Y97" s="82" t="str">
        <f aca="false">IF($A97="","",Y96+X97)</f>
        <v/>
      </c>
      <c r="Z97" s="1" t="str">
        <f aca="false">IF($A97="","",IF(X97&gt;0,IF(LEFT(Z96,1)="胜","胜"&amp;VALUE(RIGHT(Z96,LEN(Z96)-1))+1,"胜1"),IF(X97&lt;0,IF(LEFT(Z96,1)="亏","亏"&amp;VALUE(RIGHT(Z96,LEN(Z96)-1))+1,"亏1"),"平")))</f>
        <v/>
      </c>
      <c r="AA97" s="83" t="str">
        <f aca="false">IF($A97="","",MAX(0,(MAX($Y$2:Y97)-Y97)/MAX(1,MAX($Y$2:Y97))))</f>
        <v/>
      </c>
    </row>
    <row r="98" customFormat="false" ht="15" hidden="false" customHeight="true" outlineLevel="0" collapsed="false">
      <c r="A98" s="28"/>
      <c r="B98" s="28"/>
      <c r="C98" s="28"/>
      <c r="D98" s="28"/>
      <c r="E98" s="28"/>
      <c r="F98" s="34"/>
      <c r="G98" s="37"/>
      <c r="H98" s="35"/>
      <c r="I98" s="34"/>
      <c r="J98" s="37"/>
      <c r="K98" s="36"/>
      <c r="L98" s="34"/>
      <c r="M98" s="28"/>
      <c r="N98" s="29"/>
      <c r="O98" s="28"/>
      <c r="P98" s="29"/>
      <c r="Q98" s="28"/>
      <c r="R98" s="40"/>
      <c r="S98" s="29"/>
      <c r="T98" s="29"/>
      <c r="U98" s="28"/>
      <c r="V98" s="1" t="str">
        <f aca="false">IF($A98="","",IF(OR(D98="卖出",D98="分红"),IFERROR(INDEX($F$2:$F97,MATCH(2,1/($C$2:$C97=$C98))),""),""))</f>
        <v/>
      </c>
      <c r="W98" s="81" t="str">
        <f aca="false">IF($A98="","",IF(D98="买入",IF(AND(ISNUMBER(L98),L98&gt;0),(F98-L98)*G98,F98*0.08*G98),IF(AND(ISNUMBER(V98),V98&gt;0),IF(AND(ISNUMBER(L98),L98&gt;0),(V98-L98)*G98,V98*0.08*G98),0)))</f>
        <v/>
      </c>
      <c r="X98" s="82" t="str">
        <f aca="false">IF($A98="","",IF(D98="买入",0,IFERROR(IF(W98&lt;&gt;0,(H98-IFERROR(INDEX($H$2:$H97,MATCH(2,1/($C$2:$C97=$C98))),0))/W98,0),0)))</f>
        <v/>
      </c>
      <c r="Y98" s="82" t="str">
        <f aca="false">IF($A98="","",Y97+X98)</f>
        <v/>
      </c>
      <c r="Z98" s="1" t="str">
        <f aca="false">IF($A98="","",IF(X98&gt;0,IF(LEFT(Z97,1)="胜","胜"&amp;VALUE(RIGHT(Z97,LEN(Z97)-1))+1,"胜1"),IF(X98&lt;0,IF(LEFT(Z97,1)="亏","亏"&amp;VALUE(RIGHT(Z97,LEN(Z97)-1))+1,"亏1"),"平")))</f>
        <v/>
      </c>
      <c r="AA98" s="83" t="str">
        <f aca="false">IF($A98="","",MAX(0,(MAX($Y$2:Y98)-Y98)/MAX(1,MAX($Y$2:Y98))))</f>
        <v/>
      </c>
    </row>
    <row r="99" customFormat="false" ht="15" hidden="false" customHeight="true" outlineLevel="0" collapsed="false">
      <c r="A99" s="30"/>
      <c r="B99" s="30"/>
      <c r="C99" s="30"/>
      <c r="D99" s="30"/>
      <c r="E99" s="30"/>
      <c r="F99" s="44"/>
      <c r="G99" s="45"/>
      <c r="H99" s="35"/>
      <c r="I99" s="44"/>
      <c r="J99" s="45"/>
      <c r="K99" s="36"/>
      <c r="L99" s="44"/>
      <c r="M99" s="30"/>
      <c r="N99" s="31"/>
      <c r="O99" s="30"/>
      <c r="P99" s="31"/>
      <c r="Q99" s="30"/>
      <c r="R99" s="46"/>
      <c r="S99" s="31"/>
      <c r="T99" s="31"/>
      <c r="U99" s="30"/>
      <c r="V99" s="1" t="str">
        <f aca="false">IF($A99="","",IF(OR(D99="卖出",D99="分红"),IFERROR(INDEX($F$2:$F98,MATCH(2,1/($C$2:$C98=$C99))),""),""))</f>
        <v/>
      </c>
      <c r="W99" s="81" t="str">
        <f aca="false">IF($A99="","",IF(D99="买入",IF(AND(ISNUMBER(L99),L99&gt;0),(F99-L99)*G99,F99*0.08*G99),IF(AND(ISNUMBER(V99),V99&gt;0),IF(AND(ISNUMBER(L99),L99&gt;0),(V99-L99)*G99,V99*0.08*G99),0)))</f>
        <v/>
      </c>
      <c r="X99" s="82" t="str">
        <f aca="false">IF($A99="","",IF(D99="买入",0,IFERROR(IF(W99&lt;&gt;0,(H99-IFERROR(INDEX($H$2:$H98,MATCH(2,1/($C$2:$C98=$C99))),0))/W99,0),0)))</f>
        <v/>
      </c>
      <c r="Y99" s="82" t="str">
        <f aca="false">IF($A99="","",Y98+X99)</f>
        <v/>
      </c>
      <c r="Z99" s="1" t="str">
        <f aca="false">IF($A99="","",IF(X99&gt;0,IF(LEFT(Z98,1)="胜","胜"&amp;VALUE(RIGHT(Z98,LEN(Z98)-1))+1,"胜1"),IF(X99&lt;0,IF(LEFT(Z98,1)="亏","亏"&amp;VALUE(RIGHT(Z98,LEN(Z98)-1))+1,"亏1"),"平")))</f>
        <v/>
      </c>
      <c r="AA99" s="83" t="str">
        <f aca="false">IF($A99="","",MAX(0,(MAX($Y$2:Y99)-Y99)/MAX(1,MAX($Y$2:Y99))))</f>
        <v/>
      </c>
    </row>
    <row r="100" customFormat="false" ht="15" hidden="false" customHeight="true" outlineLevel="0" collapsed="false">
      <c r="A100" s="28"/>
      <c r="B100" s="28"/>
      <c r="C100" s="28"/>
      <c r="D100" s="28"/>
      <c r="E100" s="28"/>
      <c r="F100" s="34"/>
      <c r="G100" s="37"/>
      <c r="H100" s="35"/>
      <c r="I100" s="34"/>
      <c r="J100" s="37"/>
      <c r="K100" s="36"/>
      <c r="L100" s="34"/>
      <c r="M100" s="28"/>
      <c r="N100" s="29"/>
      <c r="O100" s="28"/>
      <c r="P100" s="29"/>
      <c r="Q100" s="28"/>
      <c r="R100" s="40"/>
      <c r="S100" s="29"/>
      <c r="T100" s="29"/>
      <c r="U100" s="28"/>
      <c r="V100" s="1" t="str">
        <f aca="false">IF($A100="","",IF(OR(D100="卖出",D100="分红"),IFERROR(INDEX($F$2:$F99,MATCH(2,1/($C$2:$C99=$C100))),""),""))</f>
        <v/>
      </c>
      <c r="W100" s="81" t="str">
        <f aca="false">IF($A100="","",IF(D100="买入",IF(AND(ISNUMBER(L100),L100&gt;0),(F100-L100)*G100,F100*0.08*G100),IF(AND(ISNUMBER(V100),V100&gt;0),IF(AND(ISNUMBER(L100),L100&gt;0),(V100-L100)*G100,V100*0.08*G100),0)))</f>
        <v/>
      </c>
      <c r="X100" s="82" t="str">
        <f aca="false">IF($A100="","",IF(D100="买入",0,IFERROR(IF(W100&lt;&gt;0,(H100-IFERROR(INDEX($H$2:$H99,MATCH(2,1/($C$2:$C99=$C100))),0))/W100,0),0)))</f>
        <v/>
      </c>
      <c r="Y100" s="82" t="str">
        <f aca="false">IF($A100="","",Y99+X100)</f>
        <v/>
      </c>
      <c r="Z100" s="1" t="str">
        <f aca="false">IF($A100="","",IF(X100&gt;0,IF(LEFT(Z99,1)="胜","胜"&amp;VALUE(RIGHT(Z99,LEN(Z99)-1))+1,"胜1"),IF(X100&lt;0,IF(LEFT(Z99,1)="亏","亏"&amp;VALUE(RIGHT(Z99,LEN(Z99)-1))+1,"亏1"),"平")))</f>
        <v/>
      </c>
      <c r="AA100" s="83" t="str">
        <f aca="false">IF($A100="","",MAX(0,(MAX($Y$2:Y100)-Y100)/MAX(1,MAX($Y$2:Y100))))</f>
        <v/>
      </c>
    </row>
    <row r="101" customFormat="false" ht="15" hidden="false" customHeight="true" outlineLevel="0" collapsed="false">
      <c r="A101" s="30"/>
      <c r="B101" s="30"/>
      <c r="C101" s="30"/>
      <c r="D101" s="30"/>
      <c r="E101" s="30"/>
      <c r="F101" s="44"/>
      <c r="G101" s="45"/>
      <c r="H101" s="35"/>
      <c r="I101" s="44"/>
      <c r="J101" s="45"/>
      <c r="K101" s="36"/>
      <c r="L101" s="44"/>
      <c r="M101" s="30"/>
      <c r="N101" s="31"/>
      <c r="O101" s="30"/>
      <c r="P101" s="31"/>
      <c r="Q101" s="30"/>
      <c r="R101" s="46"/>
      <c r="S101" s="31"/>
      <c r="T101" s="31"/>
      <c r="U101" s="30"/>
      <c r="V101" s="1" t="str">
        <f aca="false">IF($A101="","",IF(OR(D101="卖出",D101="分红"),IFERROR(INDEX($F$2:$F100,MATCH(2,1/($C$2:$C100=$C101))),""),""))</f>
        <v/>
      </c>
      <c r="W101" s="81" t="str">
        <f aca="false">IF($A101="","",IF(D101="买入",IF(AND(ISNUMBER(L101),L101&gt;0),(F101-L101)*G101,F101*0.08*G101),IF(AND(ISNUMBER(V101),V101&gt;0),IF(AND(ISNUMBER(L101),L101&gt;0),(V101-L101)*G101,V101*0.08*G101),0)))</f>
        <v/>
      </c>
      <c r="X101" s="82" t="str">
        <f aca="false">IF($A101="","",IF(D101="买入",0,IFERROR(IF(W101&lt;&gt;0,(H101-IFERROR(INDEX($H$2:$H100,MATCH(2,1/($C$2:$C100=$C101))),0))/W101,0),0)))</f>
        <v/>
      </c>
      <c r="Y101" s="82" t="str">
        <f aca="false">IF($A101="","",Y100+X101)</f>
        <v/>
      </c>
      <c r="Z101" s="1" t="str">
        <f aca="false">IF($A101="","",IF(X101&gt;0,IF(LEFT(Z100,1)="胜","胜"&amp;VALUE(RIGHT(Z100,LEN(Z100)-1))+1,"胜1"),IF(X101&lt;0,IF(LEFT(Z100,1)="亏","亏"&amp;VALUE(RIGHT(Z100,LEN(Z100)-1))+1,"亏1"),"平")))</f>
        <v/>
      </c>
      <c r="AA101" s="83" t="str">
        <f aca="false">IF($A101="","",MAX(0,(MAX($Y$2:Y101)-Y101)/MAX(1,MAX($Y$2:Y101))))</f>
        <v/>
      </c>
    </row>
    <row r="102" customFormat="false" ht="15" hidden="false" customHeight="true" outlineLevel="0" collapsed="false">
      <c r="A102" s="28"/>
      <c r="B102" s="28"/>
      <c r="C102" s="28"/>
      <c r="D102" s="28"/>
      <c r="E102" s="28"/>
      <c r="F102" s="34"/>
      <c r="G102" s="37"/>
      <c r="H102" s="35"/>
      <c r="I102" s="34"/>
      <c r="J102" s="37"/>
      <c r="K102" s="36"/>
      <c r="L102" s="34"/>
      <c r="M102" s="28"/>
      <c r="N102" s="29"/>
      <c r="O102" s="28"/>
      <c r="P102" s="29"/>
      <c r="Q102" s="28"/>
      <c r="R102" s="40"/>
      <c r="S102" s="29"/>
      <c r="T102" s="29"/>
      <c r="U102" s="28"/>
      <c r="V102" s="1" t="str">
        <f aca="false">IF($A102="","",IF(OR(D102="卖出",D102="分红"),IFERROR(INDEX($F$2:$F101,MATCH(2,1/($C$2:$C101=$C102))),""),""))</f>
        <v/>
      </c>
      <c r="W102" s="81" t="str">
        <f aca="false">IF($A102="","",IF(D102="买入",IF(AND(ISNUMBER(L102),L102&gt;0),(F102-L102)*G102,F102*0.08*G102),IF(AND(ISNUMBER(V102),V102&gt;0),IF(AND(ISNUMBER(L102),L102&gt;0),(V102-L102)*G102,V102*0.08*G102),0)))</f>
        <v/>
      </c>
      <c r="X102" s="82" t="str">
        <f aca="false">IF($A102="","",IF(D102="买入",0,IFERROR(IF(W102&lt;&gt;0,(H102-IFERROR(INDEX($H$2:$H101,MATCH(2,1/($C$2:$C101=$C102))),0))/W102,0),0)))</f>
        <v/>
      </c>
      <c r="Y102" s="82" t="str">
        <f aca="false">IF($A102="","",Y101+X102)</f>
        <v/>
      </c>
      <c r="Z102" s="1" t="str">
        <f aca="false">IF($A102="","",IF(X102&gt;0,IF(LEFT(Z101,1)="胜","胜"&amp;VALUE(RIGHT(Z101,LEN(Z101)-1))+1,"胜1"),IF(X102&lt;0,IF(LEFT(Z101,1)="亏","亏"&amp;VALUE(RIGHT(Z101,LEN(Z101)-1))+1,"亏1"),"平")))</f>
        <v/>
      </c>
      <c r="AA102" s="83" t="str">
        <f aca="false">IF($A102="","",MAX(0,(MAX($Y$2:Y102)-Y102)/MAX(1,MAX($Y$2:Y102))))</f>
        <v/>
      </c>
    </row>
    <row r="103" customFormat="false" ht="15" hidden="false" customHeight="true" outlineLevel="0" collapsed="false">
      <c r="A103" s="30"/>
      <c r="B103" s="30"/>
      <c r="C103" s="30"/>
      <c r="D103" s="30"/>
      <c r="E103" s="30"/>
      <c r="F103" s="44"/>
      <c r="G103" s="45"/>
      <c r="H103" s="35"/>
      <c r="I103" s="44"/>
      <c r="J103" s="45"/>
      <c r="K103" s="36"/>
      <c r="L103" s="44"/>
      <c r="M103" s="30"/>
      <c r="N103" s="31"/>
      <c r="O103" s="30"/>
      <c r="P103" s="31"/>
      <c r="Q103" s="30"/>
      <c r="R103" s="46"/>
      <c r="S103" s="31"/>
      <c r="T103" s="31"/>
      <c r="U103" s="30"/>
      <c r="V103" s="1" t="str">
        <f aca="false">IF($A103="","",IF(OR(D103="卖出",D103="分红"),IFERROR(INDEX($F$2:$F102,MATCH(2,1/($C$2:$C102=$C103))),""),""))</f>
        <v/>
      </c>
      <c r="W103" s="81" t="str">
        <f aca="false">IF($A103="","",IF(D103="买入",IF(AND(ISNUMBER(L103),L103&gt;0),(F103-L103)*G103,F103*0.08*G103),IF(AND(ISNUMBER(V103),V103&gt;0),IF(AND(ISNUMBER(L103),L103&gt;0),(V103-L103)*G103,V103*0.08*G103),0)))</f>
        <v/>
      </c>
      <c r="X103" s="82" t="str">
        <f aca="false">IF($A103="","",IF(D103="买入",0,IFERROR(IF(W103&lt;&gt;0,(H103-IFERROR(INDEX($H$2:$H102,MATCH(2,1/($C$2:$C102=$C103))),0))/W103,0),0)))</f>
        <v/>
      </c>
      <c r="Y103" s="82" t="str">
        <f aca="false">IF($A103="","",Y102+X103)</f>
        <v/>
      </c>
      <c r="Z103" s="1" t="str">
        <f aca="false">IF($A103="","",IF(X103&gt;0,IF(LEFT(Z102,1)="胜","胜"&amp;VALUE(RIGHT(Z102,LEN(Z102)-1))+1,"胜1"),IF(X103&lt;0,IF(LEFT(Z102,1)="亏","亏"&amp;VALUE(RIGHT(Z102,LEN(Z102)-1))+1,"亏1"),"平")))</f>
        <v/>
      </c>
      <c r="AA103" s="83" t="str">
        <f aca="false">IF($A103="","",MAX(0,(MAX($Y$2:Y103)-Y103)/MAX(1,MAX($Y$2:Y103))))</f>
        <v/>
      </c>
    </row>
    <row r="104" customFormat="false" ht="15" hidden="false" customHeight="true" outlineLevel="0" collapsed="false">
      <c r="A104" s="28"/>
      <c r="B104" s="28"/>
      <c r="C104" s="28"/>
      <c r="D104" s="28"/>
      <c r="E104" s="28"/>
      <c r="F104" s="34"/>
      <c r="G104" s="37"/>
      <c r="H104" s="35"/>
      <c r="I104" s="34"/>
      <c r="J104" s="37"/>
      <c r="K104" s="36"/>
      <c r="L104" s="34"/>
      <c r="M104" s="28"/>
      <c r="N104" s="29"/>
      <c r="O104" s="28"/>
      <c r="P104" s="29"/>
      <c r="Q104" s="28"/>
      <c r="R104" s="40"/>
      <c r="S104" s="29"/>
      <c r="T104" s="29"/>
      <c r="U104" s="28"/>
      <c r="V104" s="1" t="str">
        <f aca="false">IF($A104="","",IF(OR(D104="卖出",D104="分红"),IFERROR(INDEX($F$2:$F103,MATCH(2,1/($C$2:$C103=$C104))),""),""))</f>
        <v/>
      </c>
      <c r="W104" s="81" t="str">
        <f aca="false">IF($A104="","",IF(D104="买入",IF(AND(ISNUMBER(L104),L104&gt;0),(F104-L104)*G104,F104*0.08*G104),IF(AND(ISNUMBER(V104),V104&gt;0),IF(AND(ISNUMBER(L104),L104&gt;0),(V104-L104)*G104,V104*0.08*G104),0)))</f>
        <v/>
      </c>
      <c r="X104" s="82" t="str">
        <f aca="false">IF($A104="","",IF(D104="买入",0,IFERROR(IF(W104&lt;&gt;0,(H104-IFERROR(INDEX($H$2:$H103,MATCH(2,1/($C$2:$C103=$C104))),0))/W104,0),0)))</f>
        <v/>
      </c>
      <c r="Y104" s="82" t="str">
        <f aca="false">IF($A104="","",Y103+X104)</f>
        <v/>
      </c>
      <c r="Z104" s="1" t="str">
        <f aca="false">IF($A104="","",IF(X104&gt;0,IF(LEFT(Z103,1)="胜","胜"&amp;VALUE(RIGHT(Z103,LEN(Z103)-1))+1,"胜1"),IF(X104&lt;0,IF(LEFT(Z103,1)="亏","亏"&amp;VALUE(RIGHT(Z103,LEN(Z103)-1))+1,"亏1"),"平")))</f>
        <v/>
      </c>
      <c r="AA104" s="83" t="str">
        <f aca="false">IF($A104="","",MAX(0,(MAX($Y$2:Y104)-Y104)/MAX(1,MAX($Y$2:Y104))))</f>
        <v/>
      </c>
    </row>
    <row r="105" customFormat="false" ht="15" hidden="false" customHeight="true" outlineLevel="0" collapsed="false">
      <c r="A105" s="30"/>
      <c r="B105" s="30"/>
      <c r="C105" s="30"/>
      <c r="D105" s="30"/>
      <c r="E105" s="30"/>
      <c r="F105" s="44"/>
      <c r="G105" s="45"/>
      <c r="H105" s="35"/>
      <c r="I105" s="44"/>
      <c r="J105" s="45"/>
      <c r="K105" s="36"/>
      <c r="L105" s="44"/>
      <c r="M105" s="30"/>
      <c r="N105" s="31"/>
      <c r="O105" s="30"/>
      <c r="P105" s="31"/>
      <c r="Q105" s="30"/>
      <c r="R105" s="46"/>
      <c r="S105" s="31"/>
      <c r="T105" s="31"/>
      <c r="U105" s="30"/>
      <c r="V105" s="1" t="str">
        <f aca="false">IF($A105="","",IF(OR(D105="卖出",D105="分红"),IFERROR(INDEX($F$2:$F104,MATCH(2,1/($C$2:$C104=$C105))),""),""))</f>
        <v/>
      </c>
      <c r="W105" s="81" t="str">
        <f aca="false">IF($A105="","",IF(D105="买入",IF(AND(ISNUMBER(L105),L105&gt;0),(F105-L105)*G105,F105*0.08*G105),IF(AND(ISNUMBER(V105),V105&gt;0),IF(AND(ISNUMBER(L105),L105&gt;0),(V105-L105)*G105,V105*0.08*G105),0)))</f>
        <v/>
      </c>
      <c r="X105" s="82" t="str">
        <f aca="false">IF($A105="","",IF(D105="买入",0,IFERROR(IF(W105&lt;&gt;0,(H105-IFERROR(INDEX($H$2:$H104,MATCH(2,1/($C$2:$C104=$C105))),0))/W105,0),0)))</f>
        <v/>
      </c>
      <c r="Y105" s="82" t="str">
        <f aca="false">IF($A105="","",Y104+X105)</f>
        <v/>
      </c>
      <c r="Z105" s="1" t="str">
        <f aca="false">IF($A105="","",IF(X105&gt;0,IF(LEFT(Z104,1)="胜","胜"&amp;VALUE(RIGHT(Z104,LEN(Z104)-1))+1,"胜1"),IF(X105&lt;0,IF(LEFT(Z104,1)="亏","亏"&amp;VALUE(RIGHT(Z104,LEN(Z104)-1))+1,"亏1"),"平")))</f>
        <v/>
      </c>
      <c r="AA105" s="83" t="str">
        <f aca="false">IF($A105="","",MAX(0,(MAX($Y$2:Y105)-Y105)/MAX(1,MAX($Y$2:Y105))))</f>
        <v/>
      </c>
    </row>
    <row r="106" customFormat="false" ht="15" hidden="false" customHeight="true" outlineLevel="0" collapsed="false">
      <c r="A106" s="28"/>
      <c r="B106" s="28"/>
      <c r="C106" s="28"/>
      <c r="D106" s="28"/>
      <c r="E106" s="28"/>
      <c r="F106" s="34"/>
      <c r="G106" s="37"/>
      <c r="H106" s="35"/>
      <c r="I106" s="34"/>
      <c r="J106" s="37"/>
      <c r="K106" s="36"/>
      <c r="L106" s="34"/>
      <c r="M106" s="28"/>
      <c r="N106" s="29"/>
      <c r="O106" s="28"/>
      <c r="P106" s="29"/>
      <c r="Q106" s="28"/>
      <c r="R106" s="40"/>
      <c r="S106" s="29"/>
      <c r="T106" s="29"/>
      <c r="U106" s="28"/>
      <c r="V106" s="1" t="str">
        <f aca="false">IF($A106="","",IF(OR(D106="卖出",D106="分红"),IFERROR(INDEX($F$2:$F105,MATCH(2,1/($C$2:$C105=$C106))),""),""))</f>
        <v/>
      </c>
      <c r="W106" s="81" t="str">
        <f aca="false">IF($A106="","",IF(D106="买入",IF(AND(ISNUMBER(L106),L106&gt;0),(F106-L106)*G106,F106*0.08*G106),IF(AND(ISNUMBER(V106),V106&gt;0),IF(AND(ISNUMBER(L106),L106&gt;0),(V106-L106)*G106,V106*0.08*G106),0)))</f>
        <v/>
      </c>
      <c r="X106" s="82" t="str">
        <f aca="false">IF($A106="","",IF(D106="买入",0,IFERROR(IF(W106&lt;&gt;0,(H106-IFERROR(INDEX($H$2:$H105,MATCH(2,1/($C$2:$C105=$C106))),0))/W106,0),0)))</f>
        <v/>
      </c>
      <c r="Y106" s="82" t="str">
        <f aca="false">IF($A106="","",Y105+X106)</f>
        <v/>
      </c>
      <c r="Z106" s="1" t="str">
        <f aca="false">IF($A106="","",IF(X106&gt;0,IF(LEFT(Z105,1)="胜","胜"&amp;VALUE(RIGHT(Z105,LEN(Z105)-1))+1,"胜1"),IF(X106&lt;0,IF(LEFT(Z105,1)="亏","亏"&amp;VALUE(RIGHT(Z105,LEN(Z105)-1))+1,"亏1"),"平")))</f>
        <v/>
      </c>
      <c r="AA106" s="83" t="str">
        <f aca="false">IF($A106="","",MAX(0,(MAX($Y$2:Y106)-Y106)/MAX(1,MAX($Y$2:Y106))))</f>
        <v/>
      </c>
    </row>
    <row r="107" customFormat="false" ht="15" hidden="false" customHeight="true" outlineLevel="0" collapsed="false">
      <c r="A107" s="30"/>
      <c r="B107" s="30"/>
      <c r="C107" s="30"/>
      <c r="D107" s="30"/>
      <c r="E107" s="30"/>
      <c r="F107" s="44"/>
      <c r="G107" s="45"/>
      <c r="H107" s="35"/>
      <c r="I107" s="44"/>
      <c r="J107" s="45"/>
      <c r="K107" s="36"/>
      <c r="L107" s="44"/>
      <c r="M107" s="30"/>
      <c r="N107" s="31"/>
      <c r="O107" s="30"/>
      <c r="P107" s="31"/>
      <c r="Q107" s="30"/>
      <c r="R107" s="46"/>
      <c r="S107" s="31"/>
      <c r="T107" s="31"/>
      <c r="U107" s="30"/>
      <c r="V107" s="1" t="str">
        <f aca="false">IF($A107="","",IF(OR(D107="卖出",D107="分红"),IFERROR(INDEX($F$2:$F106,MATCH(2,1/($C$2:$C106=$C107))),""),""))</f>
        <v/>
      </c>
      <c r="W107" s="81" t="str">
        <f aca="false">IF($A107="","",IF(D107="买入",IF(AND(ISNUMBER(L107),L107&gt;0),(F107-L107)*G107,F107*0.08*G107),IF(AND(ISNUMBER(V107),V107&gt;0),IF(AND(ISNUMBER(L107),L107&gt;0),(V107-L107)*G107,V107*0.08*G107),0)))</f>
        <v/>
      </c>
      <c r="X107" s="82" t="str">
        <f aca="false">IF($A107="","",IF(D107="买入",0,IFERROR(IF(W107&lt;&gt;0,(H107-IFERROR(INDEX($H$2:$H106,MATCH(2,1/($C$2:$C106=$C107))),0))/W107,0),0)))</f>
        <v/>
      </c>
      <c r="Y107" s="82" t="str">
        <f aca="false">IF($A107="","",Y106+X107)</f>
        <v/>
      </c>
      <c r="Z107" s="1" t="str">
        <f aca="false">IF($A107="","",IF(X107&gt;0,IF(LEFT(Z106,1)="胜","胜"&amp;VALUE(RIGHT(Z106,LEN(Z106)-1))+1,"胜1"),IF(X107&lt;0,IF(LEFT(Z106,1)="亏","亏"&amp;VALUE(RIGHT(Z106,LEN(Z106)-1))+1,"亏1"),"平")))</f>
        <v/>
      </c>
      <c r="AA107" s="83" t="str">
        <f aca="false">IF($A107="","",MAX(0,(MAX($Y$2:Y107)-Y107)/MAX(1,MAX($Y$2:Y107))))</f>
        <v/>
      </c>
    </row>
    <row r="108" customFormat="false" ht="15" hidden="false" customHeight="true" outlineLevel="0" collapsed="false">
      <c r="A108" s="28"/>
      <c r="B108" s="28"/>
      <c r="C108" s="28"/>
      <c r="D108" s="28"/>
      <c r="E108" s="28"/>
      <c r="F108" s="34"/>
      <c r="G108" s="37"/>
      <c r="H108" s="35"/>
      <c r="I108" s="34"/>
      <c r="J108" s="37"/>
      <c r="K108" s="36"/>
      <c r="L108" s="34"/>
      <c r="M108" s="28"/>
      <c r="N108" s="29"/>
      <c r="O108" s="28"/>
      <c r="P108" s="29"/>
      <c r="Q108" s="28"/>
      <c r="R108" s="40"/>
      <c r="S108" s="29"/>
      <c r="T108" s="29"/>
      <c r="U108" s="28"/>
      <c r="V108" s="1" t="str">
        <f aca="false">IF($A108="","",IF(OR(D108="卖出",D108="分红"),IFERROR(INDEX($F$2:$F107,MATCH(2,1/($C$2:$C107=$C108))),""),""))</f>
        <v/>
      </c>
      <c r="W108" s="81" t="str">
        <f aca="false">IF($A108="","",IF(D108="买入",IF(AND(ISNUMBER(L108),L108&gt;0),(F108-L108)*G108,F108*0.08*G108),IF(AND(ISNUMBER(V108),V108&gt;0),IF(AND(ISNUMBER(L108),L108&gt;0),(V108-L108)*G108,V108*0.08*G108),0)))</f>
        <v/>
      </c>
      <c r="X108" s="82" t="str">
        <f aca="false">IF($A108="","",IF(D108="买入",0,IFERROR(IF(W108&lt;&gt;0,(H108-IFERROR(INDEX($H$2:$H107,MATCH(2,1/($C$2:$C107=$C108))),0))/W108,0),0)))</f>
        <v/>
      </c>
      <c r="Y108" s="82" t="str">
        <f aca="false">IF($A108="","",Y107+X108)</f>
        <v/>
      </c>
      <c r="Z108" s="1" t="str">
        <f aca="false">IF($A108="","",IF(X108&gt;0,IF(LEFT(Z107,1)="胜","胜"&amp;VALUE(RIGHT(Z107,LEN(Z107)-1))+1,"胜1"),IF(X108&lt;0,IF(LEFT(Z107,1)="亏","亏"&amp;VALUE(RIGHT(Z107,LEN(Z107)-1))+1,"亏1"),"平")))</f>
        <v/>
      </c>
      <c r="AA108" s="83" t="str">
        <f aca="false">IF($A108="","",MAX(0,(MAX($Y$2:Y108)-Y108)/MAX(1,MAX($Y$2:Y108))))</f>
        <v/>
      </c>
    </row>
    <row r="109" customFormat="false" ht="15" hidden="false" customHeight="true" outlineLevel="0" collapsed="false">
      <c r="A109" s="30"/>
      <c r="B109" s="30"/>
      <c r="C109" s="30"/>
      <c r="D109" s="30"/>
      <c r="E109" s="30"/>
      <c r="F109" s="44"/>
      <c r="G109" s="45"/>
      <c r="H109" s="35"/>
      <c r="I109" s="44"/>
      <c r="J109" s="45"/>
      <c r="K109" s="36"/>
      <c r="L109" s="44"/>
      <c r="M109" s="30"/>
      <c r="N109" s="31"/>
      <c r="O109" s="30"/>
      <c r="P109" s="31"/>
      <c r="Q109" s="30"/>
      <c r="R109" s="46"/>
      <c r="S109" s="31"/>
      <c r="T109" s="31"/>
      <c r="U109" s="30"/>
      <c r="V109" s="1" t="str">
        <f aca="false">IF($A109="","",IF(OR(D109="卖出",D109="分红"),IFERROR(INDEX($F$2:$F108,MATCH(2,1/($C$2:$C108=$C109))),""),""))</f>
        <v/>
      </c>
      <c r="W109" s="81" t="str">
        <f aca="false">IF($A109="","",IF(D109="买入",IF(AND(ISNUMBER(L109),L109&gt;0),(F109-L109)*G109,F109*0.08*G109),IF(AND(ISNUMBER(V109),V109&gt;0),IF(AND(ISNUMBER(L109),L109&gt;0),(V109-L109)*G109,V109*0.08*G109),0)))</f>
        <v/>
      </c>
      <c r="X109" s="82" t="str">
        <f aca="false">IF($A109="","",IF(D109="买入",0,IFERROR(IF(W109&lt;&gt;0,(H109-IFERROR(INDEX($H$2:$H108,MATCH(2,1/($C$2:$C108=$C109))),0))/W109,0),0)))</f>
        <v/>
      </c>
      <c r="Y109" s="82" t="str">
        <f aca="false">IF($A109="","",Y108+X109)</f>
        <v/>
      </c>
      <c r="Z109" s="1" t="str">
        <f aca="false">IF($A109="","",IF(X109&gt;0,IF(LEFT(Z108,1)="胜","胜"&amp;VALUE(RIGHT(Z108,LEN(Z108)-1))+1,"胜1"),IF(X109&lt;0,IF(LEFT(Z108,1)="亏","亏"&amp;VALUE(RIGHT(Z108,LEN(Z108)-1))+1,"亏1"),"平")))</f>
        <v/>
      </c>
      <c r="AA109" s="83" t="str">
        <f aca="false">IF($A109="","",MAX(0,(MAX($Y$2:Y109)-Y109)/MAX(1,MAX($Y$2:Y109))))</f>
        <v/>
      </c>
    </row>
    <row r="110" customFormat="false" ht="15" hidden="false" customHeight="true" outlineLevel="0" collapsed="false">
      <c r="A110" s="28"/>
      <c r="B110" s="28"/>
      <c r="C110" s="28"/>
      <c r="D110" s="28"/>
      <c r="E110" s="28"/>
      <c r="F110" s="34"/>
      <c r="G110" s="37"/>
      <c r="H110" s="35"/>
      <c r="I110" s="34"/>
      <c r="J110" s="37"/>
      <c r="K110" s="36"/>
      <c r="L110" s="34"/>
      <c r="M110" s="28"/>
      <c r="N110" s="29"/>
      <c r="O110" s="28"/>
      <c r="P110" s="29"/>
      <c r="Q110" s="28"/>
      <c r="R110" s="40"/>
      <c r="S110" s="29"/>
      <c r="T110" s="29"/>
      <c r="U110" s="28"/>
      <c r="V110" s="1" t="str">
        <f aca="false">IF($A110="","",IF(OR(D110="卖出",D110="分红"),IFERROR(INDEX($F$2:$F109,MATCH(2,1/($C$2:$C109=$C110))),""),""))</f>
        <v/>
      </c>
      <c r="W110" s="81" t="str">
        <f aca="false">IF($A110="","",IF(D110="买入",IF(AND(ISNUMBER(L110),L110&gt;0),(F110-L110)*G110,F110*0.08*G110),IF(AND(ISNUMBER(V110),V110&gt;0),IF(AND(ISNUMBER(L110),L110&gt;0),(V110-L110)*G110,V110*0.08*G110),0)))</f>
        <v/>
      </c>
      <c r="X110" s="82" t="str">
        <f aca="false">IF($A110="","",IF(D110="买入",0,IFERROR(IF(W110&lt;&gt;0,(H110-IFERROR(INDEX($H$2:$H109,MATCH(2,1/($C$2:$C109=$C110))),0))/W110,0),0)))</f>
        <v/>
      </c>
      <c r="Y110" s="82" t="str">
        <f aca="false">IF($A110="","",Y109+X110)</f>
        <v/>
      </c>
      <c r="Z110" s="1" t="str">
        <f aca="false">IF($A110="","",IF(X110&gt;0,IF(LEFT(Z109,1)="胜","胜"&amp;VALUE(RIGHT(Z109,LEN(Z109)-1))+1,"胜1"),IF(X110&lt;0,IF(LEFT(Z109,1)="亏","亏"&amp;VALUE(RIGHT(Z109,LEN(Z109)-1))+1,"亏1"),"平")))</f>
        <v/>
      </c>
      <c r="AA110" s="83" t="str">
        <f aca="false">IF($A110="","",MAX(0,(MAX($Y$2:Y110)-Y110)/MAX(1,MAX($Y$2:Y110))))</f>
        <v/>
      </c>
    </row>
    <row r="111" customFormat="false" ht="15" hidden="false" customHeight="true" outlineLevel="0" collapsed="false">
      <c r="A111" s="30"/>
      <c r="B111" s="30"/>
      <c r="C111" s="30"/>
      <c r="D111" s="30"/>
      <c r="E111" s="30"/>
      <c r="F111" s="44"/>
      <c r="G111" s="45"/>
      <c r="H111" s="35"/>
      <c r="I111" s="44"/>
      <c r="J111" s="45"/>
      <c r="K111" s="36"/>
      <c r="L111" s="44"/>
      <c r="M111" s="30"/>
      <c r="N111" s="31"/>
      <c r="O111" s="30"/>
      <c r="P111" s="31"/>
      <c r="Q111" s="30"/>
      <c r="R111" s="46"/>
      <c r="S111" s="31"/>
      <c r="T111" s="31"/>
      <c r="U111" s="30"/>
      <c r="V111" s="1" t="str">
        <f aca="false">IF($A111="","",IF(OR(D111="卖出",D111="分红"),IFERROR(INDEX($F$2:$F110,MATCH(2,1/($C$2:$C110=$C111))),""),""))</f>
        <v/>
      </c>
      <c r="W111" s="81" t="str">
        <f aca="false">IF($A111="","",IF(D111="买入",IF(AND(ISNUMBER(L111),L111&gt;0),(F111-L111)*G111,F111*0.08*G111),IF(AND(ISNUMBER(V111),V111&gt;0),IF(AND(ISNUMBER(L111),L111&gt;0),(V111-L111)*G111,V111*0.08*G111),0)))</f>
        <v/>
      </c>
      <c r="X111" s="82" t="str">
        <f aca="false">IF($A111="","",IF(D111="买入",0,IFERROR(IF(W111&lt;&gt;0,(H111-IFERROR(INDEX($H$2:$H110,MATCH(2,1/($C$2:$C110=$C111))),0))/W111,0),0)))</f>
        <v/>
      </c>
      <c r="Y111" s="82" t="str">
        <f aca="false">IF($A111="","",Y110+X111)</f>
        <v/>
      </c>
      <c r="Z111" s="1" t="str">
        <f aca="false">IF($A111="","",IF(X111&gt;0,IF(LEFT(Z110,1)="胜","胜"&amp;VALUE(RIGHT(Z110,LEN(Z110)-1))+1,"胜1"),IF(X111&lt;0,IF(LEFT(Z110,1)="亏","亏"&amp;VALUE(RIGHT(Z110,LEN(Z110)-1))+1,"亏1"),"平")))</f>
        <v/>
      </c>
      <c r="AA111" s="83" t="str">
        <f aca="false">IF($A111="","",MAX(0,(MAX($Y$2:Y111)-Y111)/MAX(1,MAX($Y$2:Y111))))</f>
        <v/>
      </c>
    </row>
    <row r="112" customFormat="false" ht="15" hidden="false" customHeight="true" outlineLevel="0" collapsed="false">
      <c r="A112" s="28"/>
      <c r="B112" s="28"/>
      <c r="C112" s="28"/>
      <c r="D112" s="28"/>
      <c r="E112" s="28"/>
      <c r="F112" s="34"/>
      <c r="G112" s="37"/>
      <c r="H112" s="35"/>
      <c r="I112" s="34"/>
      <c r="J112" s="37"/>
      <c r="K112" s="36"/>
      <c r="L112" s="34"/>
      <c r="M112" s="28"/>
      <c r="N112" s="29"/>
      <c r="O112" s="28"/>
      <c r="P112" s="29"/>
      <c r="Q112" s="28"/>
      <c r="R112" s="40"/>
      <c r="S112" s="29"/>
      <c r="T112" s="29"/>
      <c r="U112" s="28"/>
      <c r="V112" s="1" t="str">
        <f aca="false">IF($A112="","",IF(OR(D112="卖出",D112="分红"),IFERROR(INDEX($F$2:$F111,MATCH(2,1/($C$2:$C111=$C112))),""),""))</f>
        <v/>
      </c>
      <c r="W112" s="81" t="str">
        <f aca="false">IF($A112="","",IF(D112="买入",IF(AND(ISNUMBER(L112),L112&gt;0),(F112-L112)*G112,F112*0.08*G112),IF(AND(ISNUMBER(V112),V112&gt;0),IF(AND(ISNUMBER(L112),L112&gt;0),(V112-L112)*G112,V112*0.08*G112),0)))</f>
        <v/>
      </c>
      <c r="X112" s="82" t="str">
        <f aca="false">IF($A112="","",IF(D112="买入",0,IFERROR(IF(W112&lt;&gt;0,(H112-IFERROR(INDEX($H$2:$H111,MATCH(2,1/($C$2:$C111=$C112))),0))/W112,0),0)))</f>
        <v/>
      </c>
      <c r="Y112" s="82" t="str">
        <f aca="false">IF($A112="","",Y111+X112)</f>
        <v/>
      </c>
      <c r="Z112" s="1" t="str">
        <f aca="false">IF($A112="","",IF(X112&gt;0,IF(LEFT(Z111,1)="胜","胜"&amp;VALUE(RIGHT(Z111,LEN(Z111)-1))+1,"胜1"),IF(X112&lt;0,IF(LEFT(Z111,1)="亏","亏"&amp;VALUE(RIGHT(Z111,LEN(Z111)-1))+1,"亏1"),"平")))</f>
        <v/>
      </c>
      <c r="AA112" s="83" t="str">
        <f aca="false">IF($A112="","",MAX(0,(MAX($Y$2:Y112)-Y112)/MAX(1,MAX($Y$2:Y112))))</f>
        <v/>
      </c>
    </row>
    <row r="113" customFormat="false" ht="15" hidden="false" customHeight="true" outlineLevel="0" collapsed="false">
      <c r="A113" s="30"/>
      <c r="B113" s="30"/>
      <c r="C113" s="30"/>
      <c r="D113" s="30"/>
      <c r="E113" s="30"/>
      <c r="F113" s="44"/>
      <c r="G113" s="45"/>
      <c r="H113" s="35"/>
      <c r="I113" s="44"/>
      <c r="J113" s="45"/>
      <c r="K113" s="36"/>
      <c r="L113" s="44"/>
      <c r="M113" s="30"/>
      <c r="N113" s="31"/>
      <c r="O113" s="30"/>
      <c r="P113" s="31"/>
      <c r="Q113" s="30"/>
      <c r="R113" s="46"/>
      <c r="S113" s="31"/>
      <c r="T113" s="31"/>
      <c r="U113" s="30"/>
      <c r="V113" s="1" t="str">
        <f aca="false">IF($A113="","",IF(OR(D113="卖出",D113="分红"),IFERROR(INDEX($F$2:$F112,MATCH(2,1/($C$2:$C112=$C113))),""),""))</f>
        <v/>
      </c>
      <c r="W113" s="81" t="str">
        <f aca="false">IF($A113="","",IF(D113="买入",IF(AND(ISNUMBER(L113),L113&gt;0),(F113-L113)*G113,F113*0.08*G113),IF(AND(ISNUMBER(V113),V113&gt;0),IF(AND(ISNUMBER(L113),L113&gt;0),(V113-L113)*G113,V113*0.08*G113),0)))</f>
        <v/>
      </c>
      <c r="X113" s="82" t="str">
        <f aca="false">IF($A113="","",IF(D113="买入",0,IFERROR(IF(W113&lt;&gt;0,(H113-IFERROR(INDEX($H$2:$H112,MATCH(2,1/($C$2:$C112=$C113))),0))/W113,0),0)))</f>
        <v/>
      </c>
      <c r="Y113" s="82" t="str">
        <f aca="false">IF($A113="","",Y112+X113)</f>
        <v/>
      </c>
      <c r="Z113" s="1" t="str">
        <f aca="false">IF($A113="","",IF(X113&gt;0,IF(LEFT(Z112,1)="胜","胜"&amp;VALUE(RIGHT(Z112,LEN(Z112)-1))+1,"胜1"),IF(X113&lt;0,IF(LEFT(Z112,1)="亏","亏"&amp;VALUE(RIGHT(Z112,LEN(Z112)-1))+1,"亏1"),"平")))</f>
        <v/>
      </c>
      <c r="AA113" s="83" t="str">
        <f aca="false">IF($A113="","",MAX(0,(MAX($Y$2:Y113)-Y113)/MAX(1,MAX($Y$2:Y113))))</f>
        <v/>
      </c>
    </row>
    <row r="114" customFormat="false" ht="15" hidden="false" customHeight="true" outlineLevel="0" collapsed="false">
      <c r="A114" s="28"/>
      <c r="B114" s="28"/>
      <c r="C114" s="28"/>
      <c r="D114" s="28"/>
      <c r="E114" s="28"/>
      <c r="F114" s="34"/>
      <c r="G114" s="37"/>
      <c r="H114" s="35"/>
      <c r="I114" s="34"/>
      <c r="J114" s="37"/>
      <c r="K114" s="36"/>
      <c r="L114" s="34"/>
      <c r="M114" s="28"/>
      <c r="N114" s="29"/>
      <c r="O114" s="28"/>
      <c r="P114" s="29"/>
      <c r="Q114" s="28"/>
      <c r="R114" s="40"/>
      <c r="S114" s="29"/>
      <c r="T114" s="29"/>
      <c r="U114" s="28"/>
      <c r="V114" s="1" t="str">
        <f aca="false">IF($A114="","",IF(OR(D114="卖出",D114="分红"),IFERROR(INDEX($F$2:$F113,MATCH(2,1/($C$2:$C113=$C114))),""),""))</f>
        <v/>
      </c>
      <c r="W114" s="81" t="str">
        <f aca="false">IF($A114="","",IF(D114="买入",IF(AND(ISNUMBER(L114),L114&gt;0),(F114-L114)*G114,F114*0.08*G114),IF(AND(ISNUMBER(V114),V114&gt;0),IF(AND(ISNUMBER(L114),L114&gt;0),(V114-L114)*G114,V114*0.08*G114),0)))</f>
        <v/>
      </c>
      <c r="X114" s="82" t="str">
        <f aca="false">IF($A114="","",IF(D114="买入",0,IFERROR(IF(W114&lt;&gt;0,(H114-IFERROR(INDEX($H$2:$H113,MATCH(2,1/($C$2:$C113=$C114))),0))/W114,0),0)))</f>
        <v/>
      </c>
      <c r="Y114" s="82" t="str">
        <f aca="false">IF($A114="","",Y113+X114)</f>
        <v/>
      </c>
      <c r="Z114" s="1" t="str">
        <f aca="false">IF($A114="","",IF(X114&gt;0,IF(LEFT(Z113,1)="胜","胜"&amp;VALUE(RIGHT(Z113,LEN(Z113)-1))+1,"胜1"),IF(X114&lt;0,IF(LEFT(Z113,1)="亏","亏"&amp;VALUE(RIGHT(Z113,LEN(Z113)-1))+1,"亏1"),"平")))</f>
        <v/>
      </c>
      <c r="AA114" s="83" t="str">
        <f aca="false">IF($A114="","",MAX(0,(MAX($Y$2:Y114)-Y114)/MAX(1,MAX($Y$2:Y114))))</f>
        <v/>
      </c>
    </row>
    <row r="115" customFormat="false" ht="15" hidden="false" customHeight="true" outlineLevel="0" collapsed="false">
      <c r="A115" s="30"/>
      <c r="B115" s="30"/>
      <c r="C115" s="30"/>
      <c r="D115" s="30"/>
      <c r="E115" s="30"/>
      <c r="F115" s="44"/>
      <c r="G115" s="45"/>
      <c r="H115" s="35"/>
      <c r="I115" s="44"/>
      <c r="J115" s="45"/>
      <c r="K115" s="36"/>
      <c r="L115" s="44"/>
      <c r="M115" s="30"/>
      <c r="N115" s="31"/>
      <c r="O115" s="30"/>
      <c r="P115" s="31"/>
      <c r="Q115" s="30"/>
      <c r="R115" s="46"/>
      <c r="S115" s="31"/>
      <c r="T115" s="31"/>
      <c r="U115" s="30"/>
      <c r="V115" s="1" t="str">
        <f aca="false">IF($A115="","",IF(OR(D115="卖出",D115="分红"),IFERROR(INDEX($F$2:$F114,MATCH(2,1/($C$2:$C114=$C115))),""),""))</f>
        <v/>
      </c>
      <c r="W115" s="81" t="str">
        <f aca="false">IF($A115="","",IF(D115="买入",IF(AND(ISNUMBER(L115),L115&gt;0),(F115-L115)*G115,F115*0.08*G115),IF(AND(ISNUMBER(V115),V115&gt;0),IF(AND(ISNUMBER(L115),L115&gt;0),(V115-L115)*G115,V115*0.08*G115),0)))</f>
        <v/>
      </c>
      <c r="X115" s="82" t="str">
        <f aca="false">IF($A115="","",IF(D115="买入",0,IFERROR(IF(W115&lt;&gt;0,(H115-IFERROR(INDEX($H$2:$H114,MATCH(2,1/($C$2:$C114=$C115))),0))/W115,0),0)))</f>
        <v/>
      </c>
      <c r="Y115" s="82" t="str">
        <f aca="false">IF($A115="","",Y114+X115)</f>
        <v/>
      </c>
      <c r="Z115" s="1" t="str">
        <f aca="false">IF($A115="","",IF(X115&gt;0,IF(LEFT(Z114,1)="胜","胜"&amp;VALUE(RIGHT(Z114,LEN(Z114)-1))+1,"胜1"),IF(X115&lt;0,IF(LEFT(Z114,1)="亏","亏"&amp;VALUE(RIGHT(Z114,LEN(Z114)-1))+1,"亏1"),"平")))</f>
        <v/>
      </c>
      <c r="AA115" s="83" t="str">
        <f aca="false">IF($A115="","",MAX(0,(MAX($Y$2:Y115)-Y115)/MAX(1,MAX($Y$2:Y115))))</f>
        <v/>
      </c>
    </row>
    <row r="116" customFormat="false" ht="15" hidden="false" customHeight="true" outlineLevel="0" collapsed="false">
      <c r="A116" s="28"/>
      <c r="B116" s="28"/>
      <c r="C116" s="28"/>
      <c r="D116" s="28"/>
      <c r="E116" s="28"/>
      <c r="F116" s="34"/>
      <c r="G116" s="37"/>
      <c r="H116" s="35"/>
      <c r="I116" s="34"/>
      <c r="J116" s="37"/>
      <c r="K116" s="36"/>
      <c r="L116" s="34"/>
      <c r="M116" s="28"/>
      <c r="N116" s="29"/>
      <c r="O116" s="28"/>
      <c r="P116" s="29"/>
      <c r="Q116" s="28"/>
      <c r="R116" s="40"/>
      <c r="S116" s="29"/>
      <c r="T116" s="29"/>
      <c r="U116" s="28"/>
      <c r="V116" s="1" t="str">
        <f aca="false">IF($A116="","",IF(OR(D116="卖出",D116="分红"),IFERROR(INDEX($F$2:$F115,MATCH(2,1/($C$2:$C115=$C116))),""),""))</f>
        <v/>
      </c>
      <c r="W116" s="81" t="str">
        <f aca="false">IF($A116="","",IF(D116="买入",IF(AND(ISNUMBER(L116),L116&gt;0),(F116-L116)*G116,F116*0.08*G116),IF(AND(ISNUMBER(V116),V116&gt;0),IF(AND(ISNUMBER(L116),L116&gt;0),(V116-L116)*G116,V116*0.08*G116),0)))</f>
        <v/>
      </c>
      <c r="X116" s="82" t="str">
        <f aca="false">IF($A116="","",IF(D116="买入",0,IFERROR(IF(W116&lt;&gt;0,(H116-IFERROR(INDEX($H$2:$H115,MATCH(2,1/($C$2:$C115=$C116))),0))/W116,0),0)))</f>
        <v/>
      </c>
      <c r="Y116" s="82" t="str">
        <f aca="false">IF($A116="","",Y115+X116)</f>
        <v/>
      </c>
      <c r="Z116" s="1" t="str">
        <f aca="false">IF($A116="","",IF(X116&gt;0,IF(LEFT(Z115,1)="胜","胜"&amp;VALUE(RIGHT(Z115,LEN(Z115)-1))+1,"胜1"),IF(X116&lt;0,IF(LEFT(Z115,1)="亏","亏"&amp;VALUE(RIGHT(Z115,LEN(Z115)-1))+1,"亏1"),"平")))</f>
        <v/>
      </c>
      <c r="AA116" s="83" t="str">
        <f aca="false">IF($A116="","",MAX(0,(MAX($Y$2:Y116)-Y116)/MAX(1,MAX($Y$2:Y116))))</f>
        <v/>
      </c>
    </row>
    <row r="117" customFormat="false" ht="15" hidden="false" customHeight="true" outlineLevel="0" collapsed="false">
      <c r="A117" s="30"/>
      <c r="B117" s="30"/>
      <c r="C117" s="30"/>
      <c r="D117" s="30"/>
      <c r="E117" s="30"/>
      <c r="F117" s="44"/>
      <c r="G117" s="45"/>
      <c r="H117" s="35"/>
      <c r="I117" s="44"/>
      <c r="J117" s="45"/>
      <c r="K117" s="36"/>
      <c r="L117" s="44"/>
      <c r="M117" s="30"/>
      <c r="N117" s="31"/>
      <c r="O117" s="30"/>
      <c r="P117" s="31"/>
      <c r="Q117" s="30"/>
      <c r="R117" s="46"/>
      <c r="S117" s="31"/>
      <c r="T117" s="31"/>
      <c r="U117" s="30"/>
      <c r="V117" s="1" t="str">
        <f aca="false">IF($A117="","",IF(OR(D117="卖出",D117="分红"),IFERROR(INDEX($F$2:$F116,MATCH(2,1/($C$2:$C116=$C117))),""),""))</f>
        <v/>
      </c>
      <c r="W117" s="81" t="str">
        <f aca="false">IF($A117="","",IF(D117="买入",IF(AND(ISNUMBER(L117),L117&gt;0),(F117-L117)*G117,F117*0.08*G117),IF(AND(ISNUMBER(V117),V117&gt;0),IF(AND(ISNUMBER(L117),L117&gt;0),(V117-L117)*G117,V117*0.08*G117),0)))</f>
        <v/>
      </c>
      <c r="X117" s="82" t="str">
        <f aca="false">IF($A117="","",IF(D117="买入",0,IFERROR(IF(W117&lt;&gt;0,(H117-IFERROR(INDEX($H$2:$H116,MATCH(2,1/($C$2:$C116=$C117))),0))/W117,0),0)))</f>
        <v/>
      </c>
      <c r="Y117" s="82" t="str">
        <f aca="false">IF($A117="","",Y116+X117)</f>
        <v/>
      </c>
      <c r="Z117" s="1" t="str">
        <f aca="false">IF($A117="","",IF(X117&gt;0,IF(LEFT(Z116,1)="胜","胜"&amp;VALUE(RIGHT(Z116,LEN(Z116)-1))+1,"胜1"),IF(X117&lt;0,IF(LEFT(Z116,1)="亏","亏"&amp;VALUE(RIGHT(Z116,LEN(Z116)-1))+1,"亏1"),"平")))</f>
        <v/>
      </c>
      <c r="AA117" s="83" t="str">
        <f aca="false">IF($A117="","",MAX(0,(MAX($Y$2:Y117)-Y117)/MAX(1,MAX($Y$2:Y117))))</f>
        <v/>
      </c>
    </row>
    <row r="118" customFormat="false" ht="15" hidden="false" customHeight="true" outlineLevel="0" collapsed="false">
      <c r="A118" s="28"/>
      <c r="B118" s="28"/>
      <c r="C118" s="28"/>
      <c r="D118" s="28"/>
      <c r="E118" s="28"/>
      <c r="F118" s="34"/>
      <c r="G118" s="37"/>
      <c r="H118" s="35"/>
      <c r="I118" s="34"/>
      <c r="J118" s="37"/>
      <c r="K118" s="36"/>
      <c r="L118" s="34"/>
      <c r="M118" s="28"/>
      <c r="N118" s="29"/>
      <c r="O118" s="28"/>
      <c r="P118" s="29"/>
      <c r="Q118" s="28"/>
      <c r="R118" s="40"/>
      <c r="S118" s="29"/>
      <c r="T118" s="29"/>
      <c r="U118" s="28"/>
      <c r="V118" s="1" t="str">
        <f aca="false">IF($A118="","",IF(OR(D118="卖出",D118="分红"),IFERROR(INDEX($F$2:$F117,MATCH(2,1/($C$2:$C117=$C118))),""),""))</f>
        <v/>
      </c>
      <c r="W118" s="81" t="str">
        <f aca="false">IF($A118="","",IF(D118="买入",IF(AND(ISNUMBER(L118),L118&gt;0),(F118-L118)*G118,F118*0.08*G118),IF(AND(ISNUMBER(V118),V118&gt;0),IF(AND(ISNUMBER(L118),L118&gt;0),(V118-L118)*G118,V118*0.08*G118),0)))</f>
        <v/>
      </c>
      <c r="X118" s="82" t="str">
        <f aca="false">IF($A118="","",IF(D118="买入",0,IFERROR(IF(W118&lt;&gt;0,(H118-IFERROR(INDEX($H$2:$H117,MATCH(2,1/($C$2:$C117=$C118))),0))/W118,0),0)))</f>
        <v/>
      </c>
      <c r="Y118" s="82" t="str">
        <f aca="false">IF($A118="","",Y117+X118)</f>
        <v/>
      </c>
      <c r="Z118" s="1" t="str">
        <f aca="false">IF($A118="","",IF(X118&gt;0,IF(LEFT(Z117,1)="胜","胜"&amp;VALUE(RIGHT(Z117,LEN(Z117)-1))+1,"胜1"),IF(X118&lt;0,IF(LEFT(Z117,1)="亏","亏"&amp;VALUE(RIGHT(Z117,LEN(Z117)-1))+1,"亏1"),"平")))</f>
        <v/>
      </c>
      <c r="AA118" s="83" t="str">
        <f aca="false">IF($A118="","",MAX(0,(MAX($Y$2:Y118)-Y118)/MAX(1,MAX($Y$2:Y118))))</f>
        <v/>
      </c>
    </row>
    <row r="119" customFormat="false" ht="15" hidden="false" customHeight="true" outlineLevel="0" collapsed="false">
      <c r="A119" s="30"/>
      <c r="B119" s="30"/>
      <c r="C119" s="30"/>
      <c r="D119" s="30"/>
      <c r="E119" s="30"/>
      <c r="F119" s="44"/>
      <c r="G119" s="45"/>
      <c r="H119" s="35"/>
      <c r="I119" s="44"/>
      <c r="J119" s="45"/>
      <c r="K119" s="36"/>
      <c r="L119" s="44"/>
      <c r="M119" s="30"/>
      <c r="N119" s="31"/>
      <c r="O119" s="30"/>
      <c r="P119" s="31"/>
      <c r="Q119" s="30"/>
      <c r="R119" s="46"/>
      <c r="S119" s="31"/>
      <c r="T119" s="31"/>
      <c r="U119" s="30"/>
      <c r="V119" s="1" t="str">
        <f aca="false">IF($A119="","",IF(OR(D119="卖出",D119="分红"),IFERROR(INDEX($F$2:$F118,MATCH(2,1/($C$2:$C118=$C119))),""),""))</f>
        <v/>
      </c>
      <c r="W119" s="81" t="str">
        <f aca="false">IF($A119="","",IF(D119="买入",IF(AND(ISNUMBER(L119),L119&gt;0),(F119-L119)*G119,F119*0.08*G119),IF(AND(ISNUMBER(V119),V119&gt;0),IF(AND(ISNUMBER(L119),L119&gt;0),(V119-L119)*G119,V119*0.08*G119),0)))</f>
        <v/>
      </c>
      <c r="X119" s="82" t="str">
        <f aca="false">IF($A119="","",IF(D119="买入",0,IFERROR(IF(W119&lt;&gt;0,(H119-IFERROR(INDEX($H$2:$H118,MATCH(2,1/($C$2:$C118=$C119))),0))/W119,0),0)))</f>
        <v/>
      </c>
      <c r="Y119" s="82" t="str">
        <f aca="false">IF($A119="","",Y118+X119)</f>
        <v/>
      </c>
      <c r="Z119" s="1" t="str">
        <f aca="false">IF($A119="","",IF(X119&gt;0,IF(LEFT(Z118,1)="胜","胜"&amp;VALUE(RIGHT(Z118,LEN(Z118)-1))+1,"胜1"),IF(X119&lt;0,IF(LEFT(Z118,1)="亏","亏"&amp;VALUE(RIGHT(Z118,LEN(Z118)-1))+1,"亏1"),"平")))</f>
        <v/>
      </c>
      <c r="AA119" s="83" t="str">
        <f aca="false">IF($A119="","",MAX(0,(MAX($Y$2:Y119)-Y119)/MAX(1,MAX($Y$2:Y119))))</f>
        <v/>
      </c>
    </row>
    <row r="120" customFormat="false" ht="15" hidden="false" customHeight="true" outlineLevel="0" collapsed="false">
      <c r="A120" s="28"/>
      <c r="B120" s="28"/>
      <c r="C120" s="28"/>
      <c r="D120" s="28"/>
      <c r="E120" s="28"/>
      <c r="F120" s="34"/>
      <c r="G120" s="37"/>
      <c r="H120" s="35"/>
      <c r="I120" s="34"/>
      <c r="J120" s="37"/>
      <c r="K120" s="36"/>
      <c r="L120" s="34"/>
      <c r="M120" s="28"/>
      <c r="N120" s="29"/>
      <c r="O120" s="28"/>
      <c r="P120" s="29"/>
      <c r="Q120" s="28"/>
      <c r="R120" s="40"/>
      <c r="S120" s="29"/>
      <c r="T120" s="29"/>
      <c r="U120" s="28"/>
      <c r="V120" s="1" t="str">
        <f aca="false">IF($A120="","",IF(OR(D120="卖出",D120="分红"),IFERROR(INDEX($F$2:$F119,MATCH(2,1/($C$2:$C119=$C120))),""),""))</f>
        <v/>
      </c>
      <c r="W120" s="81" t="str">
        <f aca="false">IF($A120="","",IF(D120="买入",IF(AND(ISNUMBER(L120),L120&gt;0),(F120-L120)*G120,F120*0.08*G120),IF(AND(ISNUMBER(V120),V120&gt;0),IF(AND(ISNUMBER(L120),L120&gt;0),(V120-L120)*G120,V120*0.08*G120),0)))</f>
        <v/>
      </c>
      <c r="X120" s="82" t="str">
        <f aca="false">IF($A120="","",IF(D120="买入",0,IFERROR(IF(W120&lt;&gt;0,(H120-IFERROR(INDEX($H$2:$H119,MATCH(2,1/($C$2:$C119=$C120))),0))/W120,0),0)))</f>
        <v/>
      </c>
      <c r="Y120" s="82" t="str">
        <f aca="false">IF($A120="","",Y119+X120)</f>
        <v/>
      </c>
      <c r="Z120" s="1" t="str">
        <f aca="false">IF($A120="","",IF(X120&gt;0,IF(LEFT(Z119,1)="胜","胜"&amp;VALUE(RIGHT(Z119,LEN(Z119)-1))+1,"胜1"),IF(X120&lt;0,IF(LEFT(Z119,1)="亏","亏"&amp;VALUE(RIGHT(Z119,LEN(Z119)-1))+1,"亏1"),"平")))</f>
        <v/>
      </c>
      <c r="AA120" s="83" t="str">
        <f aca="false">IF($A120="","",MAX(0,(MAX($Y$2:Y120)-Y120)/MAX(1,MAX($Y$2:Y120))))</f>
        <v/>
      </c>
    </row>
    <row r="121" customFormat="false" ht="15" hidden="false" customHeight="true" outlineLevel="0" collapsed="false">
      <c r="A121" s="30"/>
      <c r="B121" s="30"/>
      <c r="C121" s="30"/>
      <c r="D121" s="30"/>
      <c r="E121" s="30"/>
      <c r="F121" s="44"/>
      <c r="G121" s="45"/>
      <c r="H121" s="35"/>
      <c r="I121" s="44"/>
      <c r="J121" s="45"/>
      <c r="K121" s="36"/>
      <c r="L121" s="44"/>
      <c r="M121" s="30"/>
      <c r="N121" s="31"/>
      <c r="O121" s="30"/>
      <c r="P121" s="31"/>
      <c r="Q121" s="30"/>
      <c r="R121" s="46"/>
      <c r="S121" s="31"/>
      <c r="T121" s="31"/>
      <c r="U121" s="30"/>
      <c r="V121" s="1" t="str">
        <f aca="false">IF($A121="","",IF(OR(D121="卖出",D121="分红"),IFERROR(INDEX($F$2:$F120,MATCH(2,1/($C$2:$C120=$C121))),""),""))</f>
        <v/>
      </c>
      <c r="W121" s="81" t="str">
        <f aca="false">IF($A121="","",IF(D121="买入",IF(AND(ISNUMBER(L121),L121&gt;0),(F121-L121)*G121,F121*0.08*G121),IF(AND(ISNUMBER(V121),V121&gt;0),IF(AND(ISNUMBER(L121),L121&gt;0),(V121-L121)*G121,V121*0.08*G121),0)))</f>
        <v/>
      </c>
      <c r="X121" s="82" t="str">
        <f aca="false">IF($A121="","",IF(D121="买入",0,IFERROR(IF(W121&lt;&gt;0,(H121-IFERROR(INDEX($H$2:$H120,MATCH(2,1/($C$2:$C120=$C121))),0))/W121,0),0)))</f>
        <v/>
      </c>
      <c r="Y121" s="82" t="str">
        <f aca="false">IF($A121="","",Y120+X121)</f>
        <v/>
      </c>
      <c r="Z121" s="1" t="str">
        <f aca="false">IF($A121="","",IF(X121&gt;0,IF(LEFT(Z120,1)="胜","胜"&amp;VALUE(RIGHT(Z120,LEN(Z120)-1))+1,"胜1"),IF(X121&lt;0,IF(LEFT(Z120,1)="亏","亏"&amp;VALUE(RIGHT(Z120,LEN(Z120)-1))+1,"亏1"),"平")))</f>
        <v/>
      </c>
      <c r="AA121" s="83" t="str">
        <f aca="false">IF($A121="","",MAX(0,(MAX($Y$2:Y121)-Y121)/MAX(1,MAX($Y$2:Y121))))</f>
        <v/>
      </c>
    </row>
    <row r="122" customFormat="false" ht="15" hidden="false" customHeight="true" outlineLevel="0" collapsed="false">
      <c r="A122" s="28"/>
      <c r="B122" s="28"/>
      <c r="C122" s="28"/>
      <c r="D122" s="28"/>
      <c r="E122" s="28"/>
      <c r="F122" s="34"/>
      <c r="G122" s="37"/>
      <c r="H122" s="35"/>
      <c r="I122" s="34"/>
      <c r="J122" s="37"/>
      <c r="K122" s="36"/>
      <c r="L122" s="34"/>
      <c r="M122" s="28"/>
      <c r="N122" s="29"/>
      <c r="O122" s="28"/>
      <c r="P122" s="29"/>
      <c r="Q122" s="28"/>
      <c r="R122" s="40"/>
      <c r="S122" s="29"/>
      <c r="T122" s="29"/>
      <c r="U122" s="28"/>
      <c r="V122" s="1" t="str">
        <f aca="false">IF($A122="","",IF(OR(D122="卖出",D122="分红"),IFERROR(INDEX($F$2:$F121,MATCH(2,1/($C$2:$C121=$C122))),""),""))</f>
        <v/>
      </c>
      <c r="W122" s="81" t="str">
        <f aca="false">IF($A122="","",IF(D122="买入",IF(AND(ISNUMBER(L122),L122&gt;0),(F122-L122)*G122,F122*0.08*G122),IF(AND(ISNUMBER(V122),V122&gt;0),IF(AND(ISNUMBER(L122),L122&gt;0),(V122-L122)*G122,V122*0.08*G122),0)))</f>
        <v/>
      </c>
      <c r="X122" s="82" t="str">
        <f aca="false">IF($A122="","",IF(D122="买入",0,IFERROR(IF(W122&lt;&gt;0,(H122-IFERROR(INDEX($H$2:$H121,MATCH(2,1/($C$2:$C121=$C122))),0))/W122,0),0)))</f>
        <v/>
      </c>
      <c r="Y122" s="82" t="str">
        <f aca="false">IF($A122="","",Y121+X122)</f>
        <v/>
      </c>
      <c r="Z122" s="1" t="str">
        <f aca="false">IF($A122="","",IF(X122&gt;0,IF(LEFT(Z121,1)="胜","胜"&amp;VALUE(RIGHT(Z121,LEN(Z121)-1))+1,"胜1"),IF(X122&lt;0,IF(LEFT(Z121,1)="亏","亏"&amp;VALUE(RIGHT(Z121,LEN(Z121)-1))+1,"亏1"),"平")))</f>
        <v/>
      </c>
      <c r="AA122" s="83" t="str">
        <f aca="false">IF($A122="","",MAX(0,(MAX($Y$2:Y122)-Y122)/MAX(1,MAX($Y$2:Y122))))</f>
        <v/>
      </c>
    </row>
    <row r="123" customFormat="false" ht="15" hidden="false" customHeight="true" outlineLevel="0" collapsed="false">
      <c r="A123" s="30"/>
      <c r="B123" s="30"/>
      <c r="C123" s="30"/>
      <c r="D123" s="30"/>
      <c r="E123" s="30"/>
      <c r="F123" s="44"/>
      <c r="G123" s="45"/>
      <c r="H123" s="35"/>
      <c r="I123" s="44"/>
      <c r="J123" s="45"/>
      <c r="K123" s="36"/>
      <c r="L123" s="44"/>
      <c r="M123" s="30"/>
      <c r="N123" s="31"/>
      <c r="O123" s="30"/>
      <c r="P123" s="31"/>
      <c r="Q123" s="30"/>
      <c r="R123" s="46"/>
      <c r="S123" s="31"/>
      <c r="T123" s="31"/>
      <c r="U123" s="30"/>
      <c r="V123" s="1" t="str">
        <f aca="false">IF($A123="","",IF(OR(D123="卖出",D123="分红"),IFERROR(INDEX($F$2:$F122,MATCH(2,1/($C$2:$C122=$C123))),""),""))</f>
        <v/>
      </c>
      <c r="W123" s="81" t="str">
        <f aca="false">IF($A123="","",IF(D123="买入",IF(AND(ISNUMBER(L123),L123&gt;0),(F123-L123)*G123,F123*0.08*G123),IF(AND(ISNUMBER(V123),V123&gt;0),IF(AND(ISNUMBER(L123),L123&gt;0),(V123-L123)*G123,V123*0.08*G123),0)))</f>
        <v/>
      </c>
      <c r="X123" s="82" t="str">
        <f aca="false">IF($A123="","",IF(D123="买入",0,IFERROR(IF(W123&lt;&gt;0,(H123-IFERROR(INDEX($H$2:$H122,MATCH(2,1/($C$2:$C122=$C123))),0))/W123,0),0)))</f>
        <v/>
      </c>
      <c r="Y123" s="82" t="str">
        <f aca="false">IF($A123="","",Y122+X123)</f>
        <v/>
      </c>
      <c r="Z123" s="1" t="str">
        <f aca="false">IF($A123="","",IF(X123&gt;0,IF(LEFT(Z122,1)="胜","胜"&amp;VALUE(RIGHT(Z122,LEN(Z122)-1))+1,"胜1"),IF(X123&lt;0,IF(LEFT(Z122,1)="亏","亏"&amp;VALUE(RIGHT(Z122,LEN(Z122)-1))+1,"亏1"),"平")))</f>
        <v/>
      </c>
      <c r="AA123" s="83" t="str">
        <f aca="false">IF($A123="","",MAX(0,(MAX($Y$2:Y123)-Y123)/MAX(1,MAX($Y$2:Y123))))</f>
        <v/>
      </c>
    </row>
    <row r="124" customFormat="false" ht="15" hidden="false" customHeight="true" outlineLevel="0" collapsed="false">
      <c r="A124" s="28"/>
      <c r="B124" s="28"/>
      <c r="C124" s="28"/>
      <c r="D124" s="28"/>
      <c r="E124" s="28"/>
      <c r="F124" s="34"/>
      <c r="G124" s="37"/>
      <c r="H124" s="35"/>
      <c r="I124" s="34"/>
      <c r="J124" s="37"/>
      <c r="K124" s="36"/>
      <c r="L124" s="34"/>
      <c r="M124" s="28"/>
      <c r="N124" s="29"/>
      <c r="O124" s="28"/>
      <c r="P124" s="29"/>
      <c r="Q124" s="28"/>
      <c r="R124" s="40"/>
      <c r="S124" s="29"/>
      <c r="T124" s="29"/>
      <c r="U124" s="28"/>
      <c r="V124" s="1" t="str">
        <f aca="false">IF($A124="","",IF(OR(D124="卖出",D124="分红"),IFERROR(INDEX($F$2:$F123,MATCH(2,1/($C$2:$C123=$C124))),""),""))</f>
        <v/>
      </c>
      <c r="W124" s="81" t="str">
        <f aca="false">IF($A124="","",IF(D124="买入",IF(AND(ISNUMBER(L124),L124&gt;0),(F124-L124)*G124,F124*0.08*G124),IF(AND(ISNUMBER(V124),V124&gt;0),IF(AND(ISNUMBER(L124),L124&gt;0),(V124-L124)*G124,V124*0.08*G124),0)))</f>
        <v/>
      </c>
      <c r="X124" s="82" t="str">
        <f aca="false">IF($A124="","",IF(D124="买入",0,IFERROR(IF(W124&lt;&gt;0,(H124-IFERROR(INDEX($H$2:$H123,MATCH(2,1/($C$2:$C123=$C124))),0))/W124,0),0)))</f>
        <v/>
      </c>
      <c r="Y124" s="82" t="str">
        <f aca="false">IF($A124="","",Y123+X124)</f>
        <v/>
      </c>
      <c r="Z124" s="1" t="str">
        <f aca="false">IF($A124="","",IF(X124&gt;0,IF(LEFT(Z123,1)="胜","胜"&amp;VALUE(RIGHT(Z123,LEN(Z123)-1))+1,"胜1"),IF(X124&lt;0,IF(LEFT(Z123,1)="亏","亏"&amp;VALUE(RIGHT(Z123,LEN(Z123)-1))+1,"亏1"),"平")))</f>
        <v/>
      </c>
      <c r="AA124" s="83" t="str">
        <f aca="false">IF($A124="","",MAX(0,(MAX($Y$2:Y124)-Y124)/MAX(1,MAX($Y$2:Y124))))</f>
        <v/>
      </c>
    </row>
    <row r="125" customFormat="false" ht="15" hidden="false" customHeight="true" outlineLevel="0" collapsed="false">
      <c r="A125" s="30"/>
      <c r="B125" s="30"/>
      <c r="C125" s="30"/>
      <c r="D125" s="30"/>
      <c r="E125" s="30"/>
      <c r="F125" s="44"/>
      <c r="G125" s="45"/>
      <c r="H125" s="35"/>
      <c r="I125" s="44"/>
      <c r="J125" s="45"/>
      <c r="K125" s="36"/>
      <c r="L125" s="44"/>
      <c r="M125" s="30"/>
      <c r="N125" s="31"/>
      <c r="O125" s="30"/>
      <c r="P125" s="31"/>
      <c r="Q125" s="30"/>
      <c r="R125" s="46"/>
      <c r="S125" s="31"/>
      <c r="T125" s="31"/>
      <c r="U125" s="30"/>
      <c r="V125" s="1" t="str">
        <f aca="false">IF($A125="","",IF(OR(D125="卖出",D125="分红"),IFERROR(INDEX($F$2:$F124,MATCH(2,1/($C$2:$C124=$C125))),""),""))</f>
        <v/>
      </c>
      <c r="W125" s="81" t="str">
        <f aca="false">IF($A125="","",IF(D125="买入",IF(AND(ISNUMBER(L125),L125&gt;0),(F125-L125)*G125,F125*0.08*G125),IF(AND(ISNUMBER(V125),V125&gt;0),IF(AND(ISNUMBER(L125),L125&gt;0),(V125-L125)*G125,V125*0.08*G125),0)))</f>
        <v/>
      </c>
      <c r="X125" s="82" t="str">
        <f aca="false">IF($A125="","",IF(D125="买入",0,IFERROR(IF(W125&lt;&gt;0,(H125-IFERROR(INDEX($H$2:$H124,MATCH(2,1/($C$2:$C124=$C125))),0))/W125,0),0)))</f>
        <v/>
      </c>
      <c r="Y125" s="82" t="str">
        <f aca="false">IF($A125="","",Y124+X125)</f>
        <v/>
      </c>
      <c r="Z125" s="1" t="str">
        <f aca="false">IF($A125="","",IF(X125&gt;0,IF(LEFT(Z124,1)="胜","胜"&amp;VALUE(RIGHT(Z124,LEN(Z124)-1))+1,"胜1"),IF(X125&lt;0,IF(LEFT(Z124,1)="亏","亏"&amp;VALUE(RIGHT(Z124,LEN(Z124)-1))+1,"亏1"),"平")))</f>
        <v/>
      </c>
      <c r="AA125" s="83" t="str">
        <f aca="false">IF($A125="","",MAX(0,(MAX($Y$2:Y125)-Y125)/MAX(1,MAX($Y$2:Y125))))</f>
        <v/>
      </c>
    </row>
    <row r="126" customFormat="false" ht="15" hidden="false" customHeight="true" outlineLevel="0" collapsed="false">
      <c r="A126" s="28"/>
      <c r="B126" s="28"/>
      <c r="C126" s="28"/>
      <c r="D126" s="28"/>
      <c r="E126" s="28"/>
      <c r="F126" s="34"/>
      <c r="G126" s="37"/>
      <c r="H126" s="35"/>
      <c r="I126" s="34"/>
      <c r="J126" s="37"/>
      <c r="K126" s="36"/>
      <c r="L126" s="34"/>
      <c r="M126" s="28"/>
      <c r="N126" s="29"/>
      <c r="O126" s="28"/>
      <c r="P126" s="29"/>
      <c r="Q126" s="28"/>
      <c r="R126" s="40"/>
      <c r="S126" s="29"/>
      <c r="T126" s="29"/>
      <c r="U126" s="28"/>
      <c r="V126" s="1" t="str">
        <f aca="false">IF($A126="","",IF(OR(D126="卖出",D126="分红"),IFERROR(INDEX($F$2:$F125,MATCH(2,1/($C$2:$C125=$C126))),""),""))</f>
        <v/>
      </c>
      <c r="W126" s="81" t="str">
        <f aca="false">IF($A126="","",IF(D126="买入",IF(AND(ISNUMBER(L126),L126&gt;0),(F126-L126)*G126,F126*0.08*G126),IF(AND(ISNUMBER(V126),V126&gt;0),IF(AND(ISNUMBER(L126),L126&gt;0),(V126-L126)*G126,V126*0.08*G126),0)))</f>
        <v/>
      </c>
      <c r="X126" s="82" t="str">
        <f aca="false">IF($A126="","",IF(D126="买入",0,IFERROR(IF(W126&lt;&gt;0,(H126-IFERROR(INDEX($H$2:$H125,MATCH(2,1/($C$2:$C125=$C126))),0))/W126,0),0)))</f>
        <v/>
      </c>
      <c r="Y126" s="82" t="str">
        <f aca="false">IF($A126="","",Y125+X126)</f>
        <v/>
      </c>
      <c r="Z126" s="1" t="str">
        <f aca="false">IF($A126="","",IF(X126&gt;0,IF(LEFT(Z125,1)="胜","胜"&amp;VALUE(RIGHT(Z125,LEN(Z125)-1))+1,"胜1"),IF(X126&lt;0,IF(LEFT(Z125,1)="亏","亏"&amp;VALUE(RIGHT(Z125,LEN(Z125)-1))+1,"亏1"),"平")))</f>
        <v/>
      </c>
      <c r="AA126" s="83" t="str">
        <f aca="false">IF($A126="","",MAX(0,(MAX($Y$2:Y126)-Y126)/MAX(1,MAX($Y$2:Y126))))</f>
        <v/>
      </c>
    </row>
    <row r="127" customFormat="false" ht="15" hidden="false" customHeight="true" outlineLevel="0" collapsed="false">
      <c r="A127" s="30"/>
      <c r="B127" s="30"/>
      <c r="C127" s="30"/>
      <c r="D127" s="30"/>
      <c r="E127" s="30"/>
      <c r="F127" s="44"/>
      <c r="G127" s="45"/>
      <c r="H127" s="35"/>
      <c r="I127" s="44"/>
      <c r="J127" s="45"/>
      <c r="K127" s="36"/>
      <c r="L127" s="44"/>
      <c r="M127" s="30"/>
      <c r="N127" s="31"/>
      <c r="O127" s="30"/>
      <c r="P127" s="31"/>
      <c r="Q127" s="30"/>
      <c r="R127" s="46"/>
      <c r="S127" s="31"/>
      <c r="T127" s="31"/>
      <c r="U127" s="30"/>
      <c r="V127" s="1" t="str">
        <f aca="false">IF($A127="","",IF(OR(D127="卖出",D127="分红"),IFERROR(INDEX($F$2:$F126,MATCH(2,1/($C$2:$C126=$C127))),""),""))</f>
        <v/>
      </c>
      <c r="W127" s="81" t="str">
        <f aca="false">IF($A127="","",IF(D127="买入",IF(AND(ISNUMBER(L127),L127&gt;0),(F127-L127)*G127,F127*0.08*G127),IF(AND(ISNUMBER(V127),V127&gt;0),IF(AND(ISNUMBER(L127),L127&gt;0),(V127-L127)*G127,V127*0.08*G127),0)))</f>
        <v/>
      </c>
      <c r="X127" s="82" t="str">
        <f aca="false">IF($A127="","",IF(D127="买入",0,IFERROR(IF(W127&lt;&gt;0,(H127-IFERROR(INDEX($H$2:$H126,MATCH(2,1/($C$2:$C126=$C127))),0))/W127,0),0)))</f>
        <v/>
      </c>
      <c r="Y127" s="82" t="str">
        <f aca="false">IF($A127="","",Y126+X127)</f>
        <v/>
      </c>
      <c r="Z127" s="1" t="str">
        <f aca="false">IF($A127="","",IF(X127&gt;0,IF(LEFT(Z126,1)="胜","胜"&amp;VALUE(RIGHT(Z126,LEN(Z126)-1))+1,"胜1"),IF(X127&lt;0,IF(LEFT(Z126,1)="亏","亏"&amp;VALUE(RIGHT(Z126,LEN(Z126)-1))+1,"亏1"),"平")))</f>
        <v/>
      </c>
      <c r="AA127" s="83" t="str">
        <f aca="false">IF($A127="","",MAX(0,(MAX($Y$2:Y127)-Y127)/MAX(1,MAX($Y$2:Y127))))</f>
        <v/>
      </c>
    </row>
    <row r="128" customFormat="false" ht="15" hidden="false" customHeight="true" outlineLevel="0" collapsed="false">
      <c r="A128" s="28"/>
      <c r="B128" s="28"/>
      <c r="C128" s="28"/>
      <c r="D128" s="28"/>
      <c r="E128" s="28"/>
      <c r="F128" s="34"/>
      <c r="G128" s="37"/>
      <c r="H128" s="35"/>
      <c r="I128" s="34"/>
      <c r="J128" s="37"/>
      <c r="K128" s="36"/>
      <c r="L128" s="34"/>
      <c r="M128" s="28"/>
      <c r="N128" s="29"/>
      <c r="O128" s="28"/>
      <c r="P128" s="29"/>
      <c r="Q128" s="28"/>
      <c r="R128" s="40"/>
      <c r="S128" s="29"/>
      <c r="T128" s="29"/>
      <c r="U128" s="28"/>
      <c r="V128" s="1" t="str">
        <f aca="false">IF($A128="","",IF(OR(D128="卖出",D128="分红"),IFERROR(INDEX($F$2:$F127,MATCH(2,1/($C$2:$C127=$C128))),""),""))</f>
        <v/>
      </c>
      <c r="W128" s="81" t="str">
        <f aca="false">IF($A128="","",IF(D128="买入",IF(AND(ISNUMBER(L128),L128&gt;0),(F128-L128)*G128,F128*0.08*G128),IF(AND(ISNUMBER(V128),V128&gt;0),IF(AND(ISNUMBER(L128),L128&gt;0),(V128-L128)*G128,V128*0.08*G128),0)))</f>
        <v/>
      </c>
      <c r="X128" s="82" t="str">
        <f aca="false">IF($A128="","",IF(D128="买入",0,IFERROR(IF(W128&lt;&gt;0,(H128-IFERROR(INDEX($H$2:$H127,MATCH(2,1/($C$2:$C127=$C128))),0))/W128,0),0)))</f>
        <v/>
      </c>
      <c r="Y128" s="82" t="str">
        <f aca="false">IF($A128="","",Y127+X128)</f>
        <v/>
      </c>
      <c r="Z128" s="1" t="str">
        <f aca="false">IF($A128="","",IF(X128&gt;0,IF(LEFT(Z127,1)="胜","胜"&amp;VALUE(RIGHT(Z127,LEN(Z127)-1))+1,"胜1"),IF(X128&lt;0,IF(LEFT(Z127,1)="亏","亏"&amp;VALUE(RIGHT(Z127,LEN(Z127)-1))+1,"亏1"),"平")))</f>
        <v/>
      </c>
      <c r="AA128" s="83" t="str">
        <f aca="false">IF($A128="","",MAX(0,(MAX($Y$2:Y128)-Y128)/MAX(1,MAX($Y$2:Y128))))</f>
        <v/>
      </c>
    </row>
    <row r="129" customFormat="false" ht="15" hidden="false" customHeight="true" outlineLevel="0" collapsed="false">
      <c r="A129" s="30"/>
      <c r="B129" s="30"/>
      <c r="C129" s="30"/>
      <c r="D129" s="30"/>
      <c r="E129" s="30"/>
      <c r="F129" s="44"/>
      <c r="G129" s="45"/>
      <c r="H129" s="35"/>
      <c r="I129" s="44"/>
      <c r="J129" s="45"/>
      <c r="K129" s="36"/>
      <c r="L129" s="44"/>
      <c r="M129" s="30"/>
      <c r="N129" s="31"/>
      <c r="O129" s="30"/>
      <c r="P129" s="31"/>
      <c r="Q129" s="30"/>
      <c r="R129" s="46"/>
      <c r="S129" s="31"/>
      <c r="T129" s="31"/>
      <c r="U129" s="30"/>
      <c r="V129" s="1" t="str">
        <f aca="false">IF($A129="","",IF(OR(D129="卖出",D129="分红"),IFERROR(INDEX($F$2:$F128,MATCH(2,1/($C$2:$C128=$C129))),""),""))</f>
        <v/>
      </c>
      <c r="W129" s="81" t="str">
        <f aca="false">IF($A129="","",IF(D129="买入",IF(AND(ISNUMBER(L129),L129&gt;0),(F129-L129)*G129,F129*0.08*G129),IF(AND(ISNUMBER(V129),V129&gt;0),IF(AND(ISNUMBER(L129),L129&gt;0),(V129-L129)*G129,V129*0.08*G129),0)))</f>
        <v/>
      </c>
      <c r="X129" s="82" t="str">
        <f aca="false">IF($A129="","",IF(D129="买入",0,IFERROR(IF(W129&lt;&gt;0,(H129-IFERROR(INDEX($H$2:$H128,MATCH(2,1/($C$2:$C128=$C129))),0))/W129,0),0)))</f>
        <v/>
      </c>
      <c r="Y129" s="82" t="str">
        <f aca="false">IF($A129="","",Y128+X129)</f>
        <v/>
      </c>
      <c r="Z129" s="1" t="str">
        <f aca="false">IF($A129="","",IF(X129&gt;0,IF(LEFT(Z128,1)="胜","胜"&amp;VALUE(RIGHT(Z128,LEN(Z128)-1))+1,"胜1"),IF(X129&lt;0,IF(LEFT(Z128,1)="亏","亏"&amp;VALUE(RIGHT(Z128,LEN(Z128)-1))+1,"亏1"),"平")))</f>
        <v/>
      </c>
      <c r="AA129" s="83" t="str">
        <f aca="false">IF($A129="","",MAX(0,(MAX($Y$2:Y129)-Y129)/MAX(1,MAX($Y$2:Y129))))</f>
        <v/>
      </c>
    </row>
    <row r="130" customFormat="false" ht="15" hidden="false" customHeight="true" outlineLevel="0" collapsed="false">
      <c r="A130" s="28"/>
      <c r="B130" s="28"/>
      <c r="C130" s="28"/>
      <c r="D130" s="28"/>
      <c r="E130" s="28"/>
      <c r="F130" s="34"/>
      <c r="G130" s="37"/>
      <c r="H130" s="35"/>
      <c r="I130" s="34"/>
      <c r="J130" s="37"/>
      <c r="K130" s="36"/>
      <c r="L130" s="34"/>
      <c r="M130" s="28"/>
      <c r="N130" s="29"/>
      <c r="O130" s="28"/>
      <c r="P130" s="29"/>
      <c r="Q130" s="28"/>
      <c r="R130" s="40"/>
      <c r="S130" s="29"/>
      <c r="T130" s="29"/>
      <c r="U130" s="28"/>
      <c r="V130" s="1" t="str">
        <f aca="false">IF($A130="","",IF(OR(D130="卖出",D130="分红"),IFERROR(INDEX($F$2:$F129,MATCH(2,1/($C$2:$C129=$C130))),""),""))</f>
        <v/>
      </c>
      <c r="W130" s="81" t="str">
        <f aca="false">IF($A130="","",IF(D130="买入",IF(AND(ISNUMBER(L130),L130&gt;0),(F130-L130)*G130,F130*0.08*G130),IF(AND(ISNUMBER(V130),V130&gt;0),IF(AND(ISNUMBER(L130),L130&gt;0),(V130-L130)*G130,V130*0.08*G130),0)))</f>
        <v/>
      </c>
      <c r="X130" s="82" t="str">
        <f aca="false">IF($A130="","",IF(D130="买入",0,IFERROR(IF(W130&lt;&gt;0,(H130-IFERROR(INDEX($H$2:$H129,MATCH(2,1/($C$2:$C129=$C130))),0))/W130,0),0)))</f>
        <v/>
      </c>
      <c r="Y130" s="82" t="str">
        <f aca="false">IF($A130="","",Y129+X130)</f>
        <v/>
      </c>
      <c r="Z130" s="1" t="str">
        <f aca="false">IF($A130="","",IF(X130&gt;0,IF(LEFT(Z129,1)="胜","胜"&amp;VALUE(RIGHT(Z129,LEN(Z129)-1))+1,"胜1"),IF(X130&lt;0,IF(LEFT(Z129,1)="亏","亏"&amp;VALUE(RIGHT(Z129,LEN(Z129)-1))+1,"亏1"),"平")))</f>
        <v/>
      </c>
      <c r="AA130" s="83" t="str">
        <f aca="false">IF($A130="","",MAX(0,(MAX($Y$2:Y130)-Y130)/MAX(1,MAX($Y$2:Y130))))</f>
        <v/>
      </c>
    </row>
    <row r="131" customFormat="false" ht="15" hidden="false" customHeight="true" outlineLevel="0" collapsed="false">
      <c r="A131" s="30"/>
      <c r="B131" s="30"/>
      <c r="C131" s="30"/>
      <c r="D131" s="30"/>
      <c r="E131" s="30"/>
      <c r="F131" s="44"/>
      <c r="G131" s="45"/>
      <c r="H131" s="35"/>
      <c r="I131" s="44"/>
      <c r="J131" s="45"/>
      <c r="K131" s="36"/>
      <c r="L131" s="44"/>
      <c r="M131" s="30"/>
      <c r="N131" s="31"/>
      <c r="O131" s="30"/>
      <c r="P131" s="31"/>
      <c r="Q131" s="30"/>
      <c r="R131" s="46"/>
      <c r="S131" s="31"/>
      <c r="T131" s="31"/>
      <c r="U131" s="30"/>
      <c r="V131" s="1" t="str">
        <f aca="false">IF($A131="","",IF(OR(D131="卖出",D131="分红"),IFERROR(INDEX($F$2:$F130,MATCH(2,1/($C$2:$C130=$C131))),""),""))</f>
        <v/>
      </c>
      <c r="W131" s="81" t="str">
        <f aca="false">IF($A131="","",IF(D131="买入",IF(AND(ISNUMBER(L131),L131&gt;0),(F131-L131)*G131,F131*0.08*G131),IF(AND(ISNUMBER(V131),V131&gt;0),IF(AND(ISNUMBER(L131),L131&gt;0),(V131-L131)*G131,V131*0.08*G131),0)))</f>
        <v/>
      </c>
      <c r="X131" s="82" t="str">
        <f aca="false">IF($A131="","",IF(D131="买入",0,IFERROR(IF(W131&lt;&gt;0,(H131-IFERROR(INDEX($H$2:$H130,MATCH(2,1/($C$2:$C130=$C131))),0))/W131,0),0)))</f>
        <v/>
      </c>
      <c r="Y131" s="82" t="str">
        <f aca="false">IF($A131="","",Y130+X131)</f>
        <v/>
      </c>
      <c r="Z131" s="1" t="str">
        <f aca="false">IF($A131="","",IF(X131&gt;0,IF(LEFT(Z130,1)="胜","胜"&amp;VALUE(RIGHT(Z130,LEN(Z130)-1))+1,"胜1"),IF(X131&lt;0,IF(LEFT(Z130,1)="亏","亏"&amp;VALUE(RIGHT(Z130,LEN(Z130)-1))+1,"亏1"),"平")))</f>
        <v/>
      </c>
      <c r="AA131" s="83" t="str">
        <f aca="false">IF($A131="","",MAX(0,(MAX($Y$2:Y131)-Y131)/MAX(1,MAX($Y$2:Y131))))</f>
        <v/>
      </c>
    </row>
    <row r="132" customFormat="false" ht="15" hidden="false" customHeight="true" outlineLevel="0" collapsed="false">
      <c r="A132" s="28"/>
      <c r="B132" s="28"/>
      <c r="C132" s="28"/>
      <c r="D132" s="28"/>
      <c r="E132" s="28"/>
      <c r="F132" s="34"/>
      <c r="G132" s="37"/>
      <c r="H132" s="35"/>
      <c r="I132" s="34"/>
      <c r="J132" s="37"/>
      <c r="K132" s="36"/>
      <c r="L132" s="34"/>
      <c r="M132" s="28"/>
      <c r="N132" s="29"/>
      <c r="O132" s="28"/>
      <c r="P132" s="29"/>
      <c r="Q132" s="28"/>
      <c r="R132" s="40"/>
      <c r="S132" s="29"/>
      <c r="T132" s="29"/>
      <c r="U132" s="28"/>
      <c r="V132" s="1" t="str">
        <f aca="false">IF($A132="","",IF(OR(D132="卖出",D132="分红"),IFERROR(INDEX($F$2:$F131,MATCH(2,1/($C$2:$C131=$C132))),""),""))</f>
        <v/>
      </c>
      <c r="W132" s="81" t="str">
        <f aca="false">IF($A132="","",IF(D132="买入",IF(AND(ISNUMBER(L132),L132&gt;0),(F132-L132)*G132,F132*0.08*G132),IF(AND(ISNUMBER(V132),V132&gt;0),IF(AND(ISNUMBER(L132),L132&gt;0),(V132-L132)*G132,V132*0.08*G132),0)))</f>
        <v/>
      </c>
      <c r="X132" s="82" t="str">
        <f aca="false">IF($A132="","",IF(D132="买入",0,IFERROR(IF(W132&lt;&gt;0,(H132-IFERROR(INDEX($H$2:$H131,MATCH(2,1/($C$2:$C131=$C132))),0))/W132,0),0)))</f>
        <v/>
      </c>
      <c r="Y132" s="82" t="str">
        <f aca="false">IF($A132="","",Y131+X132)</f>
        <v/>
      </c>
      <c r="Z132" s="1" t="str">
        <f aca="false">IF($A132="","",IF(X132&gt;0,IF(LEFT(Z131,1)="胜","胜"&amp;VALUE(RIGHT(Z131,LEN(Z131)-1))+1,"胜1"),IF(X132&lt;0,IF(LEFT(Z131,1)="亏","亏"&amp;VALUE(RIGHT(Z131,LEN(Z131)-1))+1,"亏1"),"平")))</f>
        <v/>
      </c>
      <c r="AA132" s="83" t="str">
        <f aca="false">IF($A132="","",MAX(0,(MAX($Y$2:Y132)-Y132)/MAX(1,MAX($Y$2:Y132))))</f>
        <v/>
      </c>
    </row>
    <row r="133" customFormat="false" ht="15" hidden="false" customHeight="true" outlineLevel="0" collapsed="false">
      <c r="A133" s="30"/>
      <c r="B133" s="30"/>
      <c r="C133" s="30"/>
      <c r="D133" s="30"/>
      <c r="E133" s="30"/>
      <c r="F133" s="44"/>
      <c r="G133" s="45"/>
      <c r="H133" s="35"/>
      <c r="I133" s="44"/>
      <c r="J133" s="45"/>
      <c r="K133" s="36"/>
      <c r="L133" s="44"/>
      <c r="M133" s="30"/>
      <c r="N133" s="31"/>
      <c r="O133" s="30"/>
      <c r="P133" s="31"/>
      <c r="Q133" s="30"/>
      <c r="R133" s="46"/>
      <c r="S133" s="31"/>
      <c r="T133" s="31"/>
      <c r="U133" s="30"/>
      <c r="V133" s="1" t="str">
        <f aca="false">IF($A133="","",IF(OR(D133="卖出",D133="分红"),IFERROR(INDEX($F$2:$F132,MATCH(2,1/($C$2:$C132=$C133))),""),""))</f>
        <v/>
      </c>
      <c r="W133" s="81" t="str">
        <f aca="false">IF($A133="","",IF(D133="买入",IF(AND(ISNUMBER(L133),L133&gt;0),(F133-L133)*G133,F133*0.08*G133),IF(AND(ISNUMBER(V133),V133&gt;0),IF(AND(ISNUMBER(L133),L133&gt;0),(V133-L133)*G133,V133*0.08*G133),0)))</f>
        <v/>
      </c>
      <c r="X133" s="82" t="str">
        <f aca="false">IF($A133="","",IF(D133="买入",0,IFERROR(IF(W133&lt;&gt;0,(H133-IFERROR(INDEX($H$2:$H132,MATCH(2,1/($C$2:$C132=$C133))),0))/W133,0),0)))</f>
        <v/>
      </c>
      <c r="Y133" s="82" t="str">
        <f aca="false">IF($A133="","",Y132+X133)</f>
        <v/>
      </c>
      <c r="Z133" s="1" t="str">
        <f aca="false">IF($A133="","",IF(X133&gt;0,IF(LEFT(Z132,1)="胜","胜"&amp;VALUE(RIGHT(Z132,LEN(Z132)-1))+1,"胜1"),IF(X133&lt;0,IF(LEFT(Z132,1)="亏","亏"&amp;VALUE(RIGHT(Z132,LEN(Z132)-1))+1,"亏1"),"平")))</f>
        <v/>
      </c>
      <c r="AA133" s="83" t="str">
        <f aca="false">IF($A133="","",MAX(0,(MAX($Y$2:Y133)-Y133)/MAX(1,MAX($Y$2:Y133))))</f>
        <v/>
      </c>
    </row>
    <row r="134" customFormat="false" ht="15" hidden="false" customHeight="true" outlineLevel="0" collapsed="false">
      <c r="A134" s="28"/>
      <c r="B134" s="28"/>
      <c r="C134" s="28"/>
      <c r="D134" s="28"/>
      <c r="E134" s="28"/>
      <c r="F134" s="34"/>
      <c r="G134" s="37"/>
      <c r="H134" s="35"/>
      <c r="I134" s="34"/>
      <c r="J134" s="37"/>
      <c r="K134" s="36"/>
      <c r="L134" s="34"/>
      <c r="M134" s="28"/>
      <c r="N134" s="29"/>
      <c r="O134" s="28"/>
      <c r="P134" s="29"/>
      <c r="Q134" s="28"/>
      <c r="R134" s="40"/>
      <c r="S134" s="29"/>
      <c r="T134" s="29"/>
      <c r="U134" s="28"/>
      <c r="V134" s="1" t="str">
        <f aca="false">IF($A134="","",IF(OR(D134="卖出",D134="分红"),IFERROR(INDEX($F$2:$F133,MATCH(2,1/($C$2:$C133=$C134))),""),""))</f>
        <v/>
      </c>
      <c r="W134" s="81" t="str">
        <f aca="false">IF($A134="","",IF(D134="买入",IF(AND(ISNUMBER(L134),L134&gt;0),(F134-L134)*G134,F134*0.08*G134),IF(AND(ISNUMBER(V134),V134&gt;0),IF(AND(ISNUMBER(L134),L134&gt;0),(V134-L134)*G134,V134*0.08*G134),0)))</f>
        <v/>
      </c>
      <c r="X134" s="82" t="str">
        <f aca="false">IF($A134="","",IF(D134="买入",0,IFERROR(IF(W134&lt;&gt;0,(H134-IFERROR(INDEX($H$2:$H133,MATCH(2,1/($C$2:$C133=$C134))),0))/W134,0),0)))</f>
        <v/>
      </c>
      <c r="Y134" s="82" t="str">
        <f aca="false">IF($A134="","",Y133+X134)</f>
        <v/>
      </c>
      <c r="Z134" s="1" t="str">
        <f aca="false">IF($A134="","",IF(X134&gt;0,IF(LEFT(Z133,1)="胜","胜"&amp;VALUE(RIGHT(Z133,LEN(Z133)-1))+1,"胜1"),IF(X134&lt;0,IF(LEFT(Z133,1)="亏","亏"&amp;VALUE(RIGHT(Z133,LEN(Z133)-1))+1,"亏1"),"平")))</f>
        <v/>
      </c>
      <c r="AA134" s="83" t="str">
        <f aca="false">IF($A134="","",MAX(0,(MAX($Y$2:Y134)-Y134)/MAX(1,MAX($Y$2:Y134))))</f>
        <v/>
      </c>
    </row>
    <row r="135" customFormat="false" ht="15" hidden="false" customHeight="true" outlineLevel="0" collapsed="false">
      <c r="A135" s="30"/>
      <c r="B135" s="30"/>
      <c r="C135" s="30"/>
      <c r="D135" s="30"/>
      <c r="E135" s="30"/>
      <c r="F135" s="44"/>
      <c r="G135" s="45"/>
      <c r="H135" s="35"/>
      <c r="I135" s="44"/>
      <c r="J135" s="45"/>
      <c r="K135" s="36"/>
      <c r="L135" s="44"/>
      <c r="M135" s="30"/>
      <c r="N135" s="31"/>
      <c r="O135" s="30"/>
      <c r="P135" s="31"/>
      <c r="Q135" s="30"/>
      <c r="R135" s="46"/>
      <c r="S135" s="31"/>
      <c r="T135" s="31"/>
      <c r="U135" s="30"/>
      <c r="V135" s="1" t="str">
        <f aca="false">IF($A135="","",IF(OR(D135="卖出",D135="分红"),IFERROR(INDEX($F$2:$F134,MATCH(2,1/($C$2:$C134=$C135))),""),""))</f>
        <v/>
      </c>
      <c r="W135" s="81" t="str">
        <f aca="false">IF($A135="","",IF(D135="买入",IF(AND(ISNUMBER(L135),L135&gt;0),(F135-L135)*G135,F135*0.08*G135),IF(AND(ISNUMBER(V135),V135&gt;0),IF(AND(ISNUMBER(L135),L135&gt;0),(V135-L135)*G135,V135*0.08*G135),0)))</f>
        <v/>
      </c>
      <c r="X135" s="82" t="str">
        <f aca="false">IF($A135="","",IF(D135="买入",0,IFERROR(IF(W135&lt;&gt;0,(H135-IFERROR(INDEX($H$2:$H134,MATCH(2,1/($C$2:$C134=$C135))),0))/W135,0),0)))</f>
        <v/>
      </c>
      <c r="Y135" s="82" t="str">
        <f aca="false">IF($A135="","",Y134+X135)</f>
        <v/>
      </c>
      <c r="Z135" s="1" t="str">
        <f aca="false">IF($A135="","",IF(X135&gt;0,IF(LEFT(Z134,1)="胜","胜"&amp;VALUE(RIGHT(Z134,LEN(Z134)-1))+1,"胜1"),IF(X135&lt;0,IF(LEFT(Z134,1)="亏","亏"&amp;VALUE(RIGHT(Z134,LEN(Z134)-1))+1,"亏1"),"平")))</f>
        <v/>
      </c>
      <c r="AA135" s="83" t="str">
        <f aca="false">IF($A135="","",MAX(0,(MAX($Y$2:Y135)-Y135)/MAX(1,MAX($Y$2:Y135))))</f>
        <v/>
      </c>
    </row>
    <row r="136" customFormat="false" ht="15" hidden="false" customHeight="true" outlineLevel="0" collapsed="false">
      <c r="A136" s="28"/>
      <c r="B136" s="28"/>
      <c r="C136" s="28"/>
      <c r="D136" s="28"/>
      <c r="E136" s="28"/>
      <c r="F136" s="34"/>
      <c r="G136" s="37"/>
      <c r="H136" s="35"/>
      <c r="I136" s="34"/>
      <c r="J136" s="37"/>
      <c r="K136" s="36"/>
      <c r="L136" s="34"/>
      <c r="M136" s="28"/>
      <c r="N136" s="29"/>
      <c r="O136" s="28"/>
      <c r="P136" s="29"/>
      <c r="Q136" s="28"/>
      <c r="R136" s="40"/>
      <c r="S136" s="29"/>
      <c r="T136" s="29"/>
      <c r="U136" s="28"/>
      <c r="V136" s="1" t="str">
        <f aca="false">IF($A136="","",IF(OR(D136="卖出",D136="分红"),IFERROR(INDEX($F$2:$F135,MATCH(2,1/($C$2:$C135=$C136))),""),""))</f>
        <v/>
      </c>
      <c r="W136" s="81" t="str">
        <f aca="false">IF($A136="","",IF(D136="买入",IF(AND(ISNUMBER(L136),L136&gt;0),(F136-L136)*G136,F136*0.08*G136),IF(AND(ISNUMBER(V136),V136&gt;0),IF(AND(ISNUMBER(L136),L136&gt;0),(V136-L136)*G136,V136*0.08*G136),0)))</f>
        <v/>
      </c>
      <c r="X136" s="82" t="str">
        <f aca="false">IF($A136="","",IF(D136="买入",0,IFERROR(IF(W136&lt;&gt;0,(H136-IFERROR(INDEX($H$2:$H135,MATCH(2,1/($C$2:$C135=$C136))),0))/W136,0),0)))</f>
        <v/>
      </c>
      <c r="Y136" s="82" t="str">
        <f aca="false">IF($A136="","",Y135+X136)</f>
        <v/>
      </c>
      <c r="Z136" s="1" t="str">
        <f aca="false">IF($A136="","",IF(X136&gt;0,IF(LEFT(Z135,1)="胜","胜"&amp;VALUE(RIGHT(Z135,LEN(Z135)-1))+1,"胜1"),IF(X136&lt;0,IF(LEFT(Z135,1)="亏","亏"&amp;VALUE(RIGHT(Z135,LEN(Z135)-1))+1,"亏1"),"平")))</f>
        <v/>
      </c>
      <c r="AA136" s="83" t="str">
        <f aca="false">IF($A136="","",MAX(0,(MAX($Y$2:Y136)-Y136)/MAX(1,MAX($Y$2:Y136))))</f>
        <v/>
      </c>
    </row>
    <row r="137" customFormat="false" ht="15" hidden="false" customHeight="true" outlineLevel="0" collapsed="false">
      <c r="A137" s="30"/>
      <c r="B137" s="30"/>
      <c r="C137" s="30"/>
      <c r="D137" s="30"/>
      <c r="E137" s="30"/>
      <c r="F137" s="44"/>
      <c r="G137" s="45"/>
      <c r="H137" s="35"/>
      <c r="I137" s="44"/>
      <c r="J137" s="45"/>
      <c r="K137" s="36"/>
      <c r="L137" s="44"/>
      <c r="M137" s="30"/>
      <c r="N137" s="31"/>
      <c r="O137" s="30"/>
      <c r="P137" s="31"/>
      <c r="Q137" s="30"/>
      <c r="R137" s="46"/>
      <c r="S137" s="31"/>
      <c r="T137" s="31"/>
      <c r="U137" s="30"/>
      <c r="V137" s="1" t="str">
        <f aca="false">IF($A137="","",IF(OR(D137="卖出",D137="分红"),IFERROR(INDEX($F$2:$F136,MATCH(2,1/($C$2:$C136=$C137))),""),""))</f>
        <v/>
      </c>
      <c r="W137" s="81" t="str">
        <f aca="false">IF($A137="","",IF(D137="买入",IF(AND(ISNUMBER(L137),L137&gt;0),(F137-L137)*G137,F137*0.08*G137),IF(AND(ISNUMBER(V137),V137&gt;0),IF(AND(ISNUMBER(L137),L137&gt;0),(V137-L137)*G137,V137*0.08*G137),0)))</f>
        <v/>
      </c>
      <c r="X137" s="82" t="str">
        <f aca="false">IF($A137="","",IF(D137="买入",0,IFERROR(IF(W137&lt;&gt;0,(H137-IFERROR(INDEX($H$2:$H136,MATCH(2,1/($C$2:$C136=$C137))),0))/W137,0),0)))</f>
        <v/>
      </c>
      <c r="Y137" s="82" t="str">
        <f aca="false">IF($A137="","",Y136+X137)</f>
        <v/>
      </c>
      <c r="Z137" s="1" t="str">
        <f aca="false">IF($A137="","",IF(X137&gt;0,IF(LEFT(Z136,1)="胜","胜"&amp;VALUE(RIGHT(Z136,LEN(Z136)-1))+1,"胜1"),IF(X137&lt;0,IF(LEFT(Z136,1)="亏","亏"&amp;VALUE(RIGHT(Z136,LEN(Z136)-1))+1,"亏1"),"平")))</f>
        <v/>
      </c>
      <c r="AA137" s="83" t="str">
        <f aca="false">IF($A137="","",MAX(0,(MAX($Y$2:Y137)-Y137)/MAX(1,MAX($Y$2:Y137))))</f>
        <v/>
      </c>
    </row>
    <row r="138" customFormat="false" ht="15" hidden="false" customHeight="true" outlineLevel="0" collapsed="false">
      <c r="A138" s="28"/>
      <c r="B138" s="28"/>
      <c r="C138" s="28"/>
      <c r="D138" s="28"/>
      <c r="E138" s="28"/>
      <c r="F138" s="34"/>
      <c r="G138" s="37"/>
      <c r="H138" s="35"/>
      <c r="I138" s="34"/>
      <c r="J138" s="37"/>
      <c r="K138" s="36"/>
      <c r="L138" s="34"/>
      <c r="M138" s="28"/>
      <c r="N138" s="29"/>
      <c r="O138" s="28"/>
      <c r="P138" s="29"/>
      <c r="Q138" s="28"/>
      <c r="R138" s="40"/>
      <c r="S138" s="29"/>
      <c r="T138" s="29"/>
      <c r="U138" s="28"/>
      <c r="V138" s="1" t="str">
        <f aca="false">IF($A138="","",IF(OR(D138="卖出",D138="分红"),IFERROR(INDEX($F$2:$F137,MATCH(2,1/($C$2:$C137=$C138))),""),""))</f>
        <v/>
      </c>
      <c r="W138" s="81" t="str">
        <f aca="false">IF($A138="","",IF(D138="买入",IF(AND(ISNUMBER(L138),L138&gt;0),(F138-L138)*G138,F138*0.08*G138),IF(AND(ISNUMBER(V138),V138&gt;0),IF(AND(ISNUMBER(L138),L138&gt;0),(V138-L138)*G138,V138*0.08*G138),0)))</f>
        <v/>
      </c>
      <c r="X138" s="82" t="str">
        <f aca="false">IF($A138="","",IF(D138="买入",0,IFERROR(IF(W138&lt;&gt;0,(H138-IFERROR(INDEX($H$2:$H137,MATCH(2,1/($C$2:$C137=$C138))),0))/W138,0),0)))</f>
        <v/>
      </c>
      <c r="Y138" s="82" t="str">
        <f aca="false">IF($A138="","",Y137+X138)</f>
        <v/>
      </c>
      <c r="Z138" s="1" t="str">
        <f aca="false">IF($A138="","",IF(X138&gt;0,IF(LEFT(Z137,1)="胜","胜"&amp;VALUE(RIGHT(Z137,LEN(Z137)-1))+1,"胜1"),IF(X138&lt;0,IF(LEFT(Z137,1)="亏","亏"&amp;VALUE(RIGHT(Z137,LEN(Z137)-1))+1,"亏1"),"平")))</f>
        <v/>
      </c>
      <c r="AA138" s="83" t="str">
        <f aca="false">IF($A138="","",MAX(0,(MAX($Y$2:Y138)-Y138)/MAX(1,MAX($Y$2:Y138))))</f>
        <v/>
      </c>
    </row>
    <row r="139" customFormat="false" ht="15" hidden="false" customHeight="true" outlineLevel="0" collapsed="false">
      <c r="A139" s="30"/>
      <c r="B139" s="30"/>
      <c r="C139" s="30"/>
      <c r="D139" s="30"/>
      <c r="E139" s="30"/>
      <c r="F139" s="44"/>
      <c r="G139" s="45"/>
      <c r="H139" s="35"/>
      <c r="I139" s="44"/>
      <c r="J139" s="45"/>
      <c r="K139" s="36"/>
      <c r="L139" s="44"/>
      <c r="M139" s="30"/>
      <c r="N139" s="31"/>
      <c r="O139" s="30"/>
      <c r="P139" s="31"/>
      <c r="Q139" s="30"/>
      <c r="R139" s="46"/>
      <c r="S139" s="31"/>
      <c r="T139" s="31"/>
      <c r="U139" s="30"/>
      <c r="V139" s="1" t="str">
        <f aca="false">IF($A139="","",IF(OR(D139="卖出",D139="分红"),IFERROR(INDEX($F$2:$F138,MATCH(2,1/($C$2:$C138=$C139))),""),""))</f>
        <v/>
      </c>
      <c r="W139" s="81" t="str">
        <f aca="false">IF($A139="","",IF(D139="买入",IF(AND(ISNUMBER(L139),L139&gt;0),(F139-L139)*G139,F139*0.08*G139),IF(AND(ISNUMBER(V139),V139&gt;0),IF(AND(ISNUMBER(L139),L139&gt;0),(V139-L139)*G139,V139*0.08*G139),0)))</f>
        <v/>
      </c>
      <c r="X139" s="82" t="str">
        <f aca="false">IF($A139="","",IF(D139="买入",0,IFERROR(IF(W139&lt;&gt;0,(H139-IFERROR(INDEX($H$2:$H138,MATCH(2,1/($C$2:$C138=$C139))),0))/W139,0),0)))</f>
        <v/>
      </c>
      <c r="Y139" s="82" t="str">
        <f aca="false">IF($A139="","",Y138+X139)</f>
        <v/>
      </c>
      <c r="Z139" s="1" t="str">
        <f aca="false">IF($A139="","",IF(X139&gt;0,IF(LEFT(Z138,1)="胜","胜"&amp;VALUE(RIGHT(Z138,LEN(Z138)-1))+1,"胜1"),IF(X139&lt;0,IF(LEFT(Z138,1)="亏","亏"&amp;VALUE(RIGHT(Z138,LEN(Z138)-1))+1,"亏1"),"平")))</f>
        <v/>
      </c>
      <c r="AA139" s="83" t="str">
        <f aca="false">IF($A139="","",MAX(0,(MAX($Y$2:Y139)-Y139)/MAX(1,MAX($Y$2:Y139))))</f>
        <v/>
      </c>
    </row>
    <row r="140" customFormat="false" ht="15" hidden="false" customHeight="true" outlineLevel="0" collapsed="false">
      <c r="A140" s="28"/>
      <c r="B140" s="28"/>
      <c r="C140" s="28"/>
      <c r="D140" s="28"/>
      <c r="E140" s="28"/>
      <c r="F140" s="34"/>
      <c r="G140" s="37"/>
      <c r="H140" s="35"/>
      <c r="I140" s="34"/>
      <c r="J140" s="37"/>
      <c r="K140" s="36"/>
      <c r="L140" s="34"/>
      <c r="M140" s="28"/>
      <c r="N140" s="29"/>
      <c r="O140" s="28"/>
      <c r="P140" s="29"/>
      <c r="Q140" s="28"/>
      <c r="R140" s="40"/>
      <c r="S140" s="29"/>
      <c r="T140" s="29"/>
      <c r="U140" s="28"/>
      <c r="V140" s="1" t="str">
        <f aca="false">IF($A140="","",IF(OR(D140="卖出",D140="分红"),IFERROR(INDEX($F$2:$F139,MATCH(2,1/($C$2:$C139=$C140))),""),""))</f>
        <v/>
      </c>
      <c r="W140" s="81" t="str">
        <f aca="false">IF($A140="","",IF(D140="买入",IF(AND(ISNUMBER(L140),L140&gt;0),(F140-L140)*G140,F140*0.08*G140),IF(AND(ISNUMBER(V140),V140&gt;0),IF(AND(ISNUMBER(L140),L140&gt;0),(V140-L140)*G140,V140*0.08*G140),0)))</f>
        <v/>
      </c>
      <c r="X140" s="82" t="str">
        <f aca="false">IF($A140="","",IF(D140="买入",0,IFERROR(IF(W140&lt;&gt;0,(H140-IFERROR(INDEX($H$2:$H139,MATCH(2,1/($C$2:$C139=$C140))),0))/W140,0),0)))</f>
        <v/>
      </c>
      <c r="Y140" s="82" t="str">
        <f aca="false">IF($A140="","",Y139+X140)</f>
        <v/>
      </c>
      <c r="Z140" s="1" t="str">
        <f aca="false">IF($A140="","",IF(X140&gt;0,IF(LEFT(Z139,1)="胜","胜"&amp;VALUE(RIGHT(Z139,LEN(Z139)-1))+1,"胜1"),IF(X140&lt;0,IF(LEFT(Z139,1)="亏","亏"&amp;VALUE(RIGHT(Z139,LEN(Z139)-1))+1,"亏1"),"平")))</f>
        <v/>
      </c>
      <c r="AA140" s="83" t="str">
        <f aca="false">IF($A140="","",MAX(0,(MAX($Y$2:Y140)-Y140)/MAX(1,MAX($Y$2:Y140))))</f>
        <v/>
      </c>
    </row>
    <row r="141" customFormat="false" ht="15" hidden="false" customHeight="true" outlineLevel="0" collapsed="false">
      <c r="A141" s="30"/>
      <c r="B141" s="30"/>
      <c r="C141" s="30"/>
      <c r="D141" s="30"/>
      <c r="E141" s="30"/>
      <c r="F141" s="44"/>
      <c r="G141" s="45"/>
      <c r="H141" s="35"/>
      <c r="I141" s="44"/>
      <c r="J141" s="45"/>
      <c r="K141" s="36"/>
      <c r="L141" s="44"/>
      <c r="M141" s="30"/>
      <c r="N141" s="31"/>
      <c r="O141" s="30"/>
      <c r="P141" s="31"/>
      <c r="Q141" s="30"/>
      <c r="R141" s="46"/>
      <c r="S141" s="31"/>
      <c r="T141" s="31"/>
      <c r="U141" s="30"/>
      <c r="V141" s="1" t="str">
        <f aca="false">IF($A141="","",IF(OR(D141="卖出",D141="分红"),IFERROR(INDEX($F$2:$F140,MATCH(2,1/($C$2:$C140=$C141))),""),""))</f>
        <v/>
      </c>
      <c r="W141" s="81" t="str">
        <f aca="false">IF($A141="","",IF(D141="买入",IF(AND(ISNUMBER(L141),L141&gt;0),(F141-L141)*G141,F141*0.08*G141),IF(AND(ISNUMBER(V141),V141&gt;0),IF(AND(ISNUMBER(L141),L141&gt;0),(V141-L141)*G141,V141*0.08*G141),0)))</f>
        <v/>
      </c>
      <c r="X141" s="82" t="str">
        <f aca="false">IF($A141="","",IF(D141="买入",0,IFERROR(IF(W141&lt;&gt;0,(H141-IFERROR(INDEX($H$2:$H140,MATCH(2,1/($C$2:$C140=$C141))),0))/W141,0),0)))</f>
        <v/>
      </c>
      <c r="Y141" s="82" t="str">
        <f aca="false">IF($A141="","",Y140+X141)</f>
        <v/>
      </c>
      <c r="Z141" s="1" t="str">
        <f aca="false">IF($A141="","",IF(X141&gt;0,IF(LEFT(Z140,1)="胜","胜"&amp;VALUE(RIGHT(Z140,LEN(Z140)-1))+1,"胜1"),IF(X141&lt;0,IF(LEFT(Z140,1)="亏","亏"&amp;VALUE(RIGHT(Z140,LEN(Z140)-1))+1,"亏1"),"平")))</f>
        <v/>
      </c>
      <c r="AA141" s="83" t="str">
        <f aca="false">IF($A141="","",MAX(0,(MAX($Y$2:Y141)-Y141)/MAX(1,MAX($Y$2:Y141))))</f>
        <v/>
      </c>
    </row>
    <row r="142" customFormat="false" ht="15" hidden="false" customHeight="true" outlineLevel="0" collapsed="false">
      <c r="A142" s="28"/>
      <c r="B142" s="28"/>
      <c r="C142" s="28"/>
      <c r="D142" s="28"/>
      <c r="E142" s="28"/>
      <c r="F142" s="34"/>
      <c r="G142" s="37"/>
      <c r="H142" s="35"/>
      <c r="I142" s="34"/>
      <c r="J142" s="37"/>
      <c r="K142" s="36"/>
      <c r="L142" s="34"/>
      <c r="M142" s="28"/>
      <c r="N142" s="29"/>
      <c r="O142" s="28"/>
      <c r="P142" s="29"/>
      <c r="Q142" s="28"/>
      <c r="R142" s="40"/>
      <c r="S142" s="29"/>
      <c r="T142" s="29"/>
      <c r="U142" s="28"/>
      <c r="V142" s="1" t="str">
        <f aca="false">IF($A142="","",IF(OR(D142="卖出",D142="分红"),IFERROR(INDEX($F$2:$F141,MATCH(2,1/($C$2:$C141=$C142))),""),""))</f>
        <v/>
      </c>
      <c r="W142" s="81" t="str">
        <f aca="false">IF($A142="","",IF(D142="买入",IF(AND(ISNUMBER(L142),L142&gt;0),(F142-L142)*G142,F142*0.08*G142),IF(AND(ISNUMBER(V142),V142&gt;0),IF(AND(ISNUMBER(L142),L142&gt;0),(V142-L142)*G142,V142*0.08*G142),0)))</f>
        <v/>
      </c>
      <c r="X142" s="82" t="str">
        <f aca="false">IF($A142="","",IF(D142="买入",0,IFERROR(IF(W142&lt;&gt;0,(H142-IFERROR(INDEX($H$2:$H141,MATCH(2,1/($C$2:$C141=$C142))),0))/W142,0),0)))</f>
        <v/>
      </c>
      <c r="Y142" s="82" t="str">
        <f aca="false">IF($A142="","",Y141+X142)</f>
        <v/>
      </c>
      <c r="Z142" s="1" t="str">
        <f aca="false">IF($A142="","",IF(X142&gt;0,IF(LEFT(Z141,1)="胜","胜"&amp;VALUE(RIGHT(Z141,LEN(Z141)-1))+1,"胜1"),IF(X142&lt;0,IF(LEFT(Z141,1)="亏","亏"&amp;VALUE(RIGHT(Z141,LEN(Z141)-1))+1,"亏1"),"平")))</f>
        <v/>
      </c>
      <c r="AA142" s="83" t="str">
        <f aca="false">IF($A142="","",MAX(0,(MAX($Y$2:Y142)-Y142)/MAX(1,MAX($Y$2:Y142))))</f>
        <v/>
      </c>
    </row>
    <row r="143" customFormat="false" ht="15" hidden="false" customHeight="true" outlineLevel="0" collapsed="false">
      <c r="A143" s="30"/>
      <c r="B143" s="30"/>
      <c r="C143" s="30"/>
      <c r="D143" s="30"/>
      <c r="E143" s="30"/>
      <c r="F143" s="44"/>
      <c r="G143" s="45"/>
      <c r="H143" s="35"/>
      <c r="I143" s="44"/>
      <c r="J143" s="45"/>
      <c r="K143" s="36"/>
      <c r="L143" s="44"/>
      <c r="M143" s="30"/>
      <c r="N143" s="31"/>
      <c r="O143" s="30"/>
      <c r="P143" s="31"/>
      <c r="Q143" s="30"/>
      <c r="R143" s="46"/>
      <c r="S143" s="31"/>
      <c r="T143" s="31"/>
      <c r="U143" s="30"/>
      <c r="V143" s="1" t="str">
        <f aca="false">IF($A143="","",IF(OR(D143="卖出",D143="分红"),IFERROR(INDEX($F$2:$F142,MATCH(2,1/($C$2:$C142=$C143))),""),""))</f>
        <v/>
      </c>
      <c r="W143" s="81" t="str">
        <f aca="false">IF($A143="","",IF(D143="买入",IF(AND(ISNUMBER(L143),L143&gt;0),(F143-L143)*G143,F143*0.08*G143),IF(AND(ISNUMBER(V143),V143&gt;0),IF(AND(ISNUMBER(L143),L143&gt;0),(V143-L143)*G143,V143*0.08*G143),0)))</f>
        <v/>
      </c>
      <c r="X143" s="82" t="str">
        <f aca="false">IF($A143="","",IF(D143="买入",0,IFERROR(IF(W143&lt;&gt;0,(H143-IFERROR(INDEX($H$2:$H142,MATCH(2,1/($C$2:$C142=$C143))),0))/W143,0),0)))</f>
        <v/>
      </c>
      <c r="Y143" s="82" t="str">
        <f aca="false">IF($A143="","",Y142+X143)</f>
        <v/>
      </c>
      <c r="Z143" s="1" t="str">
        <f aca="false">IF($A143="","",IF(X143&gt;0,IF(LEFT(Z142,1)="胜","胜"&amp;VALUE(RIGHT(Z142,LEN(Z142)-1))+1,"胜1"),IF(X143&lt;0,IF(LEFT(Z142,1)="亏","亏"&amp;VALUE(RIGHT(Z142,LEN(Z142)-1))+1,"亏1"),"平")))</f>
        <v/>
      </c>
      <c r="AA143" s="83" t="str">
        <f aca="false">IF($A143="","",MAX(0,(MAX($Y$2:Y143)-Y143)/MAX(1,MAX($Y$2:Y143))))</f>
        <v/>
      </c>
    </row>
    <row r="144" customFormat="false" ht="15" hidden="false" customHeight="true" outlineLevel="0" collapsed="false">
      <c r="A144" s="28"/>
      <c r="B144" s="28"/>
      <c r="C144" s="28"/>
      <c r="D144" s="28"/>
      <c r="E144" s="28"/>
      <c r="F144" s="34"/>
      <c r="G144" s="37"/>
      <c r="H144" s="35"/>
      <c r="I144" s="34"/>
      <c r="J144" s="37"/>
      <c r="K144" s="36"/>
      <c r="L144" s="34"/>
      <c r="M144" s="28"/>
      <c r="N144" s="29"/>
      <c r="O144" s="28"/>
      <c r="P144" s="29"/>
      <c r="Q144" s="28"/>
      <c r="R144" s="40"/>
      <c r="S144" s="29"/>
      <c r="T144" s="29"/>
      <c r="U144" s="28"/>
      <c r="V144" s="1" t="str">
        <f aca="false">IF($A144="","",IF(OR(D144="卖出",D144="分红"),IFERROR(INDEX($F$2:$F143,MATCH(2,1/($C$2:$C143=$C144))),""),""))</f>
        <v/>
      </c>
      <c r="W144" s="81" t="str">
        <f aca="false">IF($A144="","",IF(D144="买入",IF(AND(ISNUMBER(L144),L144&gt;0),(F144-L144)*G144,F144*0.08*G144),IF(AND(ISNUMBER(V144),V144&gt;0),IF(AND(ISNUMBER(L144),L144&gt;0),(V144-L144)*G144,V144*0.08*G144),0)))</f>
        <v/>
      </c>
      <c r="X144" s="82" t="str">
        <f aca="false">IF($A144="","",IF(D144="买入",0,IFERROR(IF(W144&lt;&gt;0,(H144-IFERROR(INDEX($H$2:$H143,MATCH(2,1/($C$2:$C143=$C144))),0))/W144,0),0)))</f>
        <v/>
      </c>
      <c r="Y144" s="82" t="str">
        <f aca="false">IF($A144="","",Y143+X144)</f>
        <v/>
      </c>
      <c r="Z144" s="1" t="str">
        <f aca="false">IF($A144="","",IF(X144&gt;0,IF(LEFT(Z143,1)="胜","胜"&amp;VALUE(RIGHT(Z143,LEN(Z143)-1))+1,"胜1"),IF(X144&lt;0,IF(LEFT(Z143,1)="亏","亏"&amp;VALUE(RIGHT(Z143,LEN(Z143)-1))+1,"亏1"),"平")))</f>
        <v/>
      </c>
      <c r="AA144" s="83" t="str">
        <f aca="false">IF($A144="","",MAX(0,(MAX($Y$2:Y144)-Y144)/MAX(1,MAX($Y$2:Y144))))</f>
        <v/>
      </c>
    </row>
    <row r="145" customFormat="false" ht="15" hidden="false" customHeight="true" outlineLevel="0" collapsed="false">
      <c r="A145" s="30"/>
      <c r="B145" s="30"/>
      <c r="C145" s="30"/>
      <c r="D145" s="30"/>
      <c r="E145" s="30"/>
      <c r="F145" s="44"/>
      <c r="G145" s="45"/>
      <c r="H145" s="35"/>
      <c r="I145" s="44"/>
      <c r="J145" s="45"/>
      <c r="K145" s="36"/>
      <c r="L145" s="44"/>
      <c r="M145" s="30"/>
      <c r="N145" s="31"/>
      <c r="O145" s="30"/>
      <c r="P145" s="31"/>
      <c r="Q145" s="30"/>
      <c r="R145" s="46"/>
      <c r="S145" s="31"/>
      <c r="T145" s="31"/>
      <c r="U145" s="30"/>
      <c r="V145" s="1" t="str">
        <f aca="false">IF($A145="","",IF(OR(D145="卖出",D145="分红"),IFERROR(INDEX($F$2:$F144,MATCH(2,1/($C$2:$C144=$C145))),""),""))</f>
        <v/>
      </c>
      <c r="W145" s="81" t="str">
        <f aca="false">IF($A145="","",IF(D145="买入",IF(AND(ISNUMBER(L145),L145&gt;0),(F145-L145)*G145,F145*0.08*G145),IF(AND(ISNUMBER(V145),V145&gt;0),IF(AND(ISNUMBER(L145),L145&gt;0),(V145-L145)*G145,V145*0.08*G145),0)))</f>
        <v/>
      </c>
      <c r="X145" s="82" t="str">
        <f aca="false">IF($A145="","",IF(D145="买入",0,IFERROR(IF(W145&lt;&gt;0,(H145-IFERROR(INDEX($H$2:$H144,MATCH(2,1/($C$2:$C144=$C145))),0))/W145,0),0)))</f>
        <v/>
      </c>
      <c r="Y145" s="82" t="str">
        <f aca="false">IF($A145="","",Y144+X145)</f>
        <v/>
      </c>
      <c r="Z145" s="1" t="str">
        <f aca="false">IF($A145="","",IF(X145&gt;0,IF(LEFT(Z144,1)="胜","胜"&amp;VALUE(RIGHT(Z144,LEN(Z144)-1))+1,"胜1"),IF(X145&lt;0,IF(LEFT(Z144,1)="亏","亏"&amp;VALUE(RIGHT(Z144,LEN(Z144)-1))+1,"亏1"),"平")))</f>
        <v/>
      </c>
      <c r="AA145" s="83" t="str">
        <f aca="false">IF($A145="","",MAX(0,(MAX($Y$2:Y145)-Y145)/MAX(1,MAX($Y$2:Y145))))</f>
        <v/>
      </c>
    </row>
    <row r="146" customFormat="false" ht="15" hidden="false" customHeight="true" outlineLevel="0" collapsed="false">
      <c r="A146" s="28"/>
      <c r="B146" s="28"/>
      <c r="C146" s="28"/>
      <c r="D146" s="28"/>
      <c r="E146" s="28"/>
      <c r="F146" s="34"/>
      <c r="G146" s="37"/>
      <c r="H146" s="35"/>
      <c r="I146" s="34"/>
      <c r="J146" s="37"/>
      <c r="K146" s="36"/>
      <c r="L146" s="34"/>
      <c r="M146" s="28"/>
      <c r="N146" s="29"/>
      <c r="O146" s="28"/>
      <c r="P146" s="29"/>
      <c r="Q146" s="28"/>
      <c r="R146" s="40"/>
      <c r="S146" s="29"/>
      <c r="T146" s="29"/>
      <c r="U146" s="28"/>
      <c r="V146" s="1" t="str">
        <f aca="false">IF($A146="","",IF(OR(D146="卖出",D146="分红"),IFERROR(INDEX($F$2:$F145,MATCH(2,1/($C$2:$C145=$C146))),""),""))</f>
        <v/>
      </c>
      <c r="W146" s="81" t="str">
        <f aca="false">IF($A146="","",IF(D146="买入",IF(AND(ISNUMBER(L146),L146&gt;0),(F146-L146)*G146,F146*0.08*G146),IF(AND(ISNUMBER(V146),V146&gt;0),IF(AND(ISNUMBER(L146),L146&gt;0),(V146-L146)*G146,V146*0.08*G146),0)))</f>
        <v/>
      </c>
      <c r="X146" s="82" t="str">
        <f aca="false">IF($A146="","",IF(D146="买入",0,IFERROR(IF(W146&lt;&gt;0,(H146-IFERROR(INDEX($H$2:$H145,MATCH(2,1/($C$2:$C145=$C146))),0))/W146,0),0)))</f>
        <v/>
      </c>
      <c r="Y146" s="82" t="str">
        <f aca="false">IF($A146="","",Y145+X146)</f>
        <v/>
      </c>
      <c r="Z146" s="1" t="str">
        <f aca="false">IF($A146="","",IF(X146&gt;0,IF(LEFT(Z145,1)="胜","胜"&amp;VALUE(RIGHT(Z145,LEN(Z145)-1))+1,"胜1"),IF(X146&lt;0,IF(LEFT(Z145,1)="亏","亏"&amp;VALUE(RIGHT(Z145,LEN(Z145)-1))+1,"亏1"),"平")))</f>
        <v/>
      </c>
      <c r="AA146" s="83" t="str">
        <f aca="false">IF($A146="","",MAX(0,(MAX($Y$2:Y146)-Y146)/MAX(1,MAX($Y$2:Y146))))</f>
        <v/>
      </c>
    </row>
    <row r="147" customFormat="false" ht="15" hidden="false" customHeight="true" outlineLevel="0" collapsed="false">
      <c r="A147" s="30"/>
      <c r="B147" s="30"/>
      <c r="C147" s="30"/>
      <c r="D147" s="30"/>
      <c r="E147" s="30"/>
      <c r="F147" s="44"/>
      <c r="G147" s="45"/>
      <c r="H147" s="35"/>
      <c r="I147" s="44"/>
      <c r="J147" s="45"/>
      <c r="K147" s="36"/>
      <c r="L147" s="44"/>
      <c r="M147" s="30"/>
      <c r="N147" s="31"/>
      <c r="O147" s="30"/>
      <c r="P147" s="31"/>
      <c r="Q147" s="30"/>
      <c r="R147" s="46"/>
      <c r="S147" s="31"/>
      <c r="T147" s="31"/>
      <c r="U147" s="30"/>
      <c r="V147" s="1" t="str">
        <f aca="false">IF($A147="","",IF(OR(D147="卖出",D147="分红"),IFERROR(INDEX($F$2:$F146,MATCH(2,1/($C$2:$C146=$C147))),""),""))</f>
        <v/>
      </c>
      <c r="W147" s="81" t="str">
        <f aca="false">IF($A147="","",IF(D147="买入",IF(AND(ISNUMBER(L147),L147&gt;0),(F147-L147)*G147,F147*0.08*G147),IF(AND(ISNUMBER(V147),V147&gt;0),IF(AND(ISNUMBER(L147),L147&gt;0),(V147-L147)*G147,V147*0.08*G147),0)))</f>
        <v/>
      </c>
      <c r="X147" s="82" t="str">
        <f aca="false">IF($A147="","",IF(D147="买入",0,IFERROR(IF(W147&lt;&gt;0,(H147-IFERROR(INDEX($H$2:$H146,MATCH(2,1/($C$2:$C146=$C147))),0))/W147,0),0)))</f>
        <v/>
      </c>
      <c r="Y147" s="82" t="str">
        <f aca="false">IF($A147="","",Y146+X147)</f>
        <v/>
      </c>
      <c r="Z147" s="1" t="str">
        <f aca="false">IF($A147="","",IF(X147&gt;0,IF(LEFT(Z146,1)="胜","胜"&amp;VALUE(RIGHT(Z146,LEN(Z146)-1))+1,"胜1"),IF(X147&lt;0,IF(LEFT(Z146,1)="亏","亏"&amp;VALUE(RIGHT(Z146,LEN(Z146)-1))+1,"亏1"),"平")))</f>
        <v/>
      </c>
      <c r="AA147" s="83" t="str">
        <f aca="false">IF($A147="","",MAX(0,(MAX($Y$2:Y147)-Y147)/MAX(1,MAX($Y$2:Y147))))</f>
        <v/>
      </c>
    </row>
    <row r="148" customFormat="false" ht="15" hidden="false" customHeight="true" outlineLevel="0" collapsed="false">
      <c r="A148" s="28"/>
      <c r="B148" s="28"/>
      <c r="C148" s="28"/>
      <c r="D148" s="28"/>
      <c r="E148" s="28"/>
      <c r="F148" s="34"/>
      <c r="G148" s="37"/>
      <c r="H148" s="35"/>
      <c r="I148" s="34"/>
      <c r="J148" s="37"/>
      <c r="K148" s="36"/>
      <c r="L148" s="34"/>
      <c r="M148" s="28"/>
      <c r="N148" s="29"/>
      <c r="O148" s="28"/>
      <c r="P148" s="29"/>
      <c r="Q148" s="28"/>
      <c r="R148" s="40"/>
      <c r="S148" s="29"/>
      <c r="T148" s="29"/>
      <c r="U148" s="28"/>
      <c r="V148" s="1" t="str">
        <f aca="false">IF($A148="","",IF(OR(D148="卖出",D148="分红"),IFERROR(INDEX($F$2:$F147,MATCH(2,1/($C$2:$C147=$C148))),""),""))</f>
        <v/>
      </c>
      <c r="W148" s="81" t="str">
        <f aca="false">IF($A148="","",IF(D148="买入",IF(AND(ISNUMBER(L148),L148&gt;0),(F148-L148)*G148,F148*0.08*G148),IF(AND(ISNUMBER(V148),V148&gt;0),IF(AND(ISNUMBER(L148),L148&gt;0),(V148-L148)*G148,V148*0.08*G148),0)))</f>
        <v/>
      </c>
      <c r="X148" s="82" t="str">
        <f aca="false">IF($A148="","",IF(D148="买入",0,IFERROR(IF(W148&lt;&gt;0,(H148-IFERROR(INDEX($H$2:$H147,MATCH(2,1/($C$2:$C147=$C148))),0))/W148,0),0)))</f>
        <v/>
      </c>
      <c r="Y148" s="82" t="str">
        <f aca="false">IF($A148="","",Y147+X148)</f>
        <v/>
      </c>
      <c r="Z148" s="1" t="str">
        <f aca="false">IF($A148="","",IF(X148&gt;0,IF(LEFT(Z147,1)="胜","胜"&amp;VALUE(RIGHT(Z147,LEN(Z147)-1))+1,"胜1"),IF(X148&lt;0,IF(LEFT(Z147,1)="亏","亏"&amp;VALUE(RIGHT(Z147,LEN(Z147)-1))+1,"亏1"),"平")))</f>
        <v/>
      </c>
      <c r="AA148" s="83" t="str">
        <f aca="false">IF($A148="","",MAX(0,(MAX($Y$2:Y148)-Y148)/MAX(1,MAX($Y$2:Y148))))</f>
        <v/>
      </c>
    </row>
    <row r="149" customFormat="false" ht="15" hidden="false" customHeight="true" outlineLevel="0" collapsed="false">
      <c r="A149" s="30"/>
      <c r="B149" s="30"/>
      <c r="C149" s="30"/>
      <c r="D149" s="30"/>
      <c r="E149" s="30"/>
      <c r="F149" s="44"/>
      <c r="G149" s="45"/>
      <c r="H149" s="35"/>
      <c r="I149" s="44"/>
      <c r="J149" s="45"/>
      <c r="K149" s="36"/>
      <c r="L149" s="44"/>
      <c r="M149" s="30"/>
      <c r="N149" s="31"/>
      <c r="O149" s="30"/>
      <c r="P149" s="31"/>
      <c r="Q149" s="30"/>
      <c r="R149" s="46"/>
      <c r="S149" s="31"/>
      <c r="T149" s="31"/>
      <c r="U149" s="30"/>
      <c r="V149" s="1" t="str">
        <f aca="false">IF($A149="","",IF(OR(D149="卖出",D149="分红"),IFERROR(INDEX($F$2:$F148,MATCH(2,1/($C$2:$C148=$C149))),""),""))</f>
        <v/>
      </c>
      <c r="W149" s="81" t="str">
        <f aca="false">IF($A149="","",IF(D149="买入",IF(AND(ISNUMBER(L149),L149&gt;0),(F149-L149)*G149,F149*0.08*G149),IF(AND(ISNUMBER(V149),V149&gt;0),IF(AND(ISNUMBER(L149),L149&gt;0),(V149-L149)*G149,V149*0.08*G149),0)))</f>
        <v/>
      </c>
      <c r="X149" s="82" t="str">
        <f aca="false">IF($A149="","",IF(D149="买入",0,IFERROR(IF(W149&lt;&gt;0,(H149-IFERROR(INDEX($H$2:$H148,MATCH(2,1/($C$2:$C148=$C149))),0))/W149,0),0)))</f>
        <v/>
      </c>
      <c r="Y149" s="82" t="str">
        <f aca="false">IF($A149="","",Y148+X149)</f>
        <v/>
      </c>
      <c r="Z149" s="1" t="str">
        <f aca="false">IF($A149="","",IF(X149&gt;0,IF(LEFT(Z148,1)="胜","胜"&amp;VALUE(RIGHT(Z148,LEN(Z148)-1))+1,"胜1"),IF(X149&lt;0,IF(LEFT(Z148,1)="亏","亏"&amp;VALUE(RIGHT(Z148,LEN(Z148)-1))+1,"亏1"),"平")))</f>
        <v/>
      </c>
      <c r="AA149" s="83" t="str">
        <f aca="false">IF($A149="","",MAX(0,(MAX($Y$2:Y149)-Y149)/MAX(1,MAX($Y$2:Y149))))</f>
        <v/>
      </c>
    </row>
    <row r="150" customFormat="false" ht="15" hidden="false" customHeight="true" outlineLevel="0" collapsed="false">
      <c r="A150" s="28"/>
      <c r="B150" s="28"/>
      <c r="C150" s="28"/>
      <c r="D150" s="28"/>
      <c r="E150" s="28"/>
      <c r="F150" s="34"/>
      <c r="G150" s="37"/>
      <c r="H150" s="35"/>
      <c r="I150" s="34"/>
      <c r="J150" s="37"/>
      <c r="K150" s="36"/>
      <c r="L150" s="34"/>
      <c r="M150" s="28"/>
      <c r="N150" s="29"/>
      <c r="O150" s="28"/>
      <c r="P150" s="29"/>
      <c r="Q150" s="28"/>
      <c r="R150" s="40"/>
      <c r="S150" s="29"/>
      <c r="T150" s="29"/>
      <c r="U150" s="28"/>
      <c r="V150" s="1" t="str">
        <f aca="false">IF($A150="","",IF(OR(D150="卖出",D150="分红"),IFERROR(INDEX($F$2:$F149,MATCH(2,1/($C$2:$C149=$C150))),""),""))</f>
        <v/>
      </c>
      <c r="W150" s="81" t="str">
        <f aca="false">IF($A150="","",IF(D150="买入",IF(AND(ISNUMBER(L150),L150&gt;0),(F150-L150)*G150,F150*0.08*G150),IF(AND(ISNUMBER(V150),V150&gt;0),IF(AND(ISNUMBER(L150),L150&gt;0),(V150-L150)*G150,V150*0.08*G150),0)))</f>
        <v/>
      </c>
      <c r="X150" s="82" t="str">
        <f aca="false">IF($A150="","",IF(D150="买入",0,IFERROR(IF(W150&lt;&gt;0,(H150-IFERROR(INDEX($H$2:$H149,MATCH(2,1/($C$2:$C149=$C150))),0))/W150,0),0)))</f>
        <v/>
      </c>
      <c r="Y150" s="82" t="str">
        <f aca="false">IF($A150="","",Y149+X150)</f>
        <v/>
      </c>
      <c r="Z150" s="1" t="str">
        <f aca="false">IF($A150="","",IF(X150&gt;0,IF(LEFT(Z149,1)="胜","胜"&amp;VALUE(RIGHT(Z149,LEN(Z149)-1))+1,"胜1"),IF(X150&lt;0,IF(LEFT(Z149,1)="亏","亏"&amp;VALUE(RIGHT(Z149,LEN(Z149)-1))+1,"亏1"),"平")))</f>
        <v/>
      </c>
      <c r="AA150" s="83" t="str">
        <f aca="false">IF($A150="","",MAX(0,(MAX($Y$2:Y150)-Y150)/MAX(1,MAX($Y$2:Y150))))</f>
        <v/>
      </c>
    </row>
    <row r="151" customFormat="false" ht="15" hidden="false" customHeight="true" outlineLevel="0" collapsed="false">
      <c r="A151" s="30"/>
      <c r="B151" s="30"/>
      <c r="C151" s="30"/>
      <c r="D151" s="30"/>
      <c r="E151" s="30"/>
      <c r="F151" s="44"/>
      <c r="G151" s="45"/>
      <c r="H151" s="35"/>
      <c r="I151" s="44"/>
      <c r="J151" s="45"/>
      <c r="K151" s="36"/>
      <c r="L151" s="44"/>
      <c r="M151" s="30"/>
      <c r="N151" s="31"/>
      <c r="O151" s="30"/>
      <c r="P151" s="31"/>
      <c r="Q151" s="30"/>
      <c r="R151" s="46"/>
      <c r="S151" s="31"/>
      <c r="T151" s="31"/>
      <c r="U151" s="30"/>
      <c r="V151" s="1" t="str">
        <f aca="false">IF($A151="","",IF(OR(D151="卖出",D151="分红"),IFERROR(INDEX($F$2:$F150,MATCH(2,1/($C$2:$C150=$C151))),""),""))</f>
        <v/>
      </c>
      <c r="W151" s="81" t="str">
        <f aca="false">IF($A151="","",IF(D151="买入",IF(AND(ISNUMBER(L151),L151&gt;0),(F151-L151)*G151,F151*0.08*G151),IF(AND(ISNUMBER(V151),V151&gt;0),IF(AND(ISNUMBER(L151),L151&gt;0),(V151-L151)*G151,V151*0.08*G151),0)))</f>
        <v/>
      </c>
      <c r="X151" s="82" t="str">
        <f aca="false">IF($A151="","",IF(D151="买入",0,IFERROR(IF(W151&lt;&gt;0,(H151-IFERROR(INDEX($H$2:$H150,MATCH(2,1/($C$2:$C150=$C151))),0))/W151,0),0)))</f>
        <v/>
      </c>
      <c r="Y151" s="82" t="str">
        <f aca="false">IF($A151="","",Y150+X151)</f>
        <v/>
      </c>
      <c r="Z151" s="1" t="str">
        <f aca="false">IF($A151="","",IF(X151&gt;0,IF(LEFT(Z150,1)="胜","胜"&amp;VALUE(RIGHT(Z150,LEN(Z150)-1))+1,"胜1"),IF(X151&lt;0,IF(LEFT(Z150,1)="亏","亏"&amp;VALUE(RIGHT(Z150,LEN(Z150)-1))+1,"亏1"),"平")))</f>
        <v/>
      </c>
      <c r="AA151" s="83" t="str">
        <f aca="false">IF($A151="","",MAX(0,(MAX($Y$2:Y151)-Y151)/MAX(1,MAX($Y$2:Y151))))</f>
        <v/>
      </c>
    </row>
    <row r="152" customFormat="false" ht="15" hidden="false" customHeight="true" outlineLevel="0" collapsed="false">
      <c r="A152" s="28"/>
      <c r="B152" s="28"/>
      <c r="C152" s="28"/>
      <c r="D152" s="28"/>
      <c r="E152" s="28"/>
      <c r="F152" s="34"/>
      <c r="G152" s="37"/>
      <c r="H152" s="35"/>
      <c r="I152" s="34"/>
      <c r="J152" s="37"/>
      <c r="K152" s="36"/>
      <c r="L152" s="34"/>
      <c r="M152" s="28"/>
      <c r="N152" s="29"/>
      <c r="O152" s="28"/>
      <c r="P152" s="29"/>
      <c r="Q152" s="28"/>
      <c r="R152" s="40"/>
      <c r="S152" s="29"/>
      <c r="T152" s="29"/>
      <c r="U152" s="28"/>
      <c r="V152" s="1" t="str">
        <f aca="false">IF($A152="","",IF(OR(D152="卖出",D152="分红"),IFERROR(INDEX($F$2:$F151,MATCH(2,1/($C$2:$C151=$C152))),""),""))</f>
        <v/>
      </c>
      <c r="W152" s="81" t="str">
        <f aca="false">IF($A152="","",IF(D152="买入",IF(AND(ISNUMBER(L152),L152&gt;0),(F152-L152)*G152,F152*0.08*G152),IF(AND(ISNUMBER(V152),V152&gt;0),IF(AND(ISNUMBER(L152),L152&gt;0),(V152-L152)*G152,V152*0.08*G152),0)))</f>
        <v/>
      </c>
      <c r="X152" s="82" t="str">
        <f aca="false">IF($A152="","",IF(D152="买入",0,IFERROR(IF(W152&lt;&gt;0,(H152-IFERROR(INDEX($H$2:$H151,MATCH(2,1/($C$2:$C151=$C152))),0))/W152,0),0)))</f>
        <v/>
      </c>
      <c r="Y152" s="82" t="str">
        <f aca="false">IF($A152="","",Y151+X152)</f>
        <v/>
      </c>
      <c r="Z152" s="1" t="str">
        <f aca="false">IF($A152="","",IF(X152&gt;0,IF(LEFT(Z151,1)="胜","胜"&amp;VALUE(RIGHT(Z151,LEN(Z151)-1))+1,"胜1"),IF(X152&lt;0,IF(LEFT(Z151,1)="亏","亏"&amp;VALUE(RIGHT(Z151,LEN(Z151)-1))+1,"亏1"),"平")))</f>
        <v/>
      </c>
      <c r="AA152" s="83" t="str">
        <f aca="false">IF($A152="","",MAX(0,(MAX($Y$2:Y152)-Y152)/MAX(1,MAX($Y$2:Y152))))</f>
        <v/>
      </c>
    </row>
    <row r="153" customFormat="false" ht="15" hidden="false" customHeight="true" outlineLevel="0" collapsed="false">
      <c r="A153" s="30"/>
      <c r="B153" s="30"/>
      <c r="C153" s="30"/>
      <c r="D153" s="30"/>
      <c r="E153" s="30"/>
      <c r="F153" s="44"/>
      <c r="G153" s="45"/>
      <c r="H153" s="35"/>
      <c r="I153" s="44"/>
      <c r="J153" s="45"/>
      <c r="K153" s="36"/>
      <c r="L153" s="44"/>
      <c r="M153" s="30"/>
      <c r="N153" s="31"/>
      <c r="O153" s="30"/>
      <c r="P153" s="31"/>
      <c r="Q153" s="30"/>
      <c r="R153" s="46"/>
      <c r="S153" s="31"/>
      <c r="T153" s="31"/>
      <c r="U153" s="30"/>
      <c r="V153" s="1" t="str">
        <f aca="false">IF($A153="","",IF(OR(D153="卖出",D153="分红"),IFERROR(INDEX($F$2:$F152,MATCH(2,1/($C$2:$C152=$C153))),""),""))</f>
        <v/>
      </c>
      <c r="W153" s="81" t="str">
        <f aca="false">IF($A153="","",IF(D153="买入",IF(AND(ISNUMBER(L153),L153&gt;0),(F153-L153)*G153,F153*0.08*G153),IF(AND(ISNUMBER(V153),V153&gt;0),IF(AND(ISNUMBER(L153),L153&gt;0),(V153-L153)*G153,V153*0.08*G153),0)))</f>
        <v/>
      </c>
      <c r="X153" s="82" t="str">
        <f aca="false">IF($A153="","",IF(D153="买入",0,IFERROR(IF(W153&lt;&gt;0,(H153-IFERROR(INDEX($H$2:$H152,MATCH(2,1/($C$2:$C152=$C153))),0))/W153,0),0)))</f>
        <v/>
      </c>
      <c r="Y153" s="82" t="str">
        <f aca="false">IF($A153="","",Y152+X153)</f>
        <v/>
      </c>
      <c r="Z153" s="1" t="str">
        <f aca="false">IF($A153="","",IF(X153&gt;0,IF(LEFT(Z152,1)="胜","胜"&amp;VALUE(RIGHT(Z152,LEN(Z152)-1))+1,"胜1"),IF(X153&lt;0,IF(LEFT(Z152,1)="亏","亏"&amp;VALUE(RIGHT(Z152,LEN(Z152)-1))+1,"亏1"),"平")))</f>
        <v/>
      </c>
      <c r="AA153" s="83" t="str">
        <f aca="false">IF($A153="","",MAX(0,(MAX($Y$2:Y153)-Y153)/MAX(1,MAX($Y$2:Y153))))</f>
        <v/>
      </c>
    </row>
    <row r="154" customFormat="false" ht="15" hidden="false" customHeight="true" outlineLevel="0" collapsed="false">
      <c r="A154" s="28"/>
      <c r="B154" s="28"/>
      <c r="C154" s="28"/>
      <c r="D154" s="28"/>
      <c r="E154" s="28"/>
      <c r="F154" s="34"/>
      <c r="G154" s="37"/>
      <c r="H154" s="35"/>
      <c r="I154" s="34"/>
      <c r="J154" s="37"/>
      <c r="K154" s="36"/>
      <c r="L154" s="34"/>
      <c r="M154" s="28"/>
      <c r="N154" s="29"/>
      <c r="O154" s="28"/>
      <c r="P154" s="29"/>
      <c r="Q154" s="28"/>
      <c r="R154" s="40"/>
      <c r="S154" s="29"/>
      <c r="T154" s="29"/>
      <c r="U154" s="28"/>
      <c r="V154" s="1" t="str">
        <f aca="false">IF($A154="","",IF(OR(D154="卖出",D154="分红"),IFERROR(INDEX($F$2:$F153,MATCH(2,1/($C$2:$C153=$C154))),""),""))</f>
        <v/>
      </c>
      <c r="W154" s="81" t="str">
        <f aca="false">IF($A154="","",IF(D154="买入",IF(AND(ISNUMBER(L154),L154&gt;0),(F154-L154)*G154,F154*0.08*G154),IF(AND(ISNUMBER(V154),V154&gt;0),IF(AND(ISNUMBER(L154),L154&gt;0),(V154-L154)*G154,V154*0.08*G154),0)))</f>
        <v/>
      </c>
      <c r="X154" s="82" t="str">
        <f aca="false">IF($A154="","",IF(D154="买入",0,IFERROR(IF(W154&lt;&gt;0,(H154-IFERROR(INDEX($H$2:$H153,MATCH(2,1/($C$2:$C153=$C154))),0))/W154,0),0)))</f>
        <v/>
      </c>
      <c r="Y154" s="82" t="str">
        <f aca="false">IF($A154="","",Y153+X154)</f>
        <v/>
      </c>
      <c r="Z154" s="1" t="str">
        <f aca="false">IF($A154="","",IF(X154&gt;0,IF(LEFT(Z153,1)="胜","胜"&amp;VALUE(RIGHT(Z153,LEN(Z153)-1))+1,"胜1"),IF(X154&lt;0,IF(LEFT(Z153,1)="亏","亏"&amp;VALUE(RIGHT(Z153,LEN(Z153)-1))+1,"亏1"),"平")))</f>
        <v/>
      </c>
      <c r="AA154" s="83" t="str">
        <f aca="false">IF($A154="","",MAX(0,(MAX($Y$2:Y154)-Y154)/MAX(1,MAX($Y$2:Y154))))</f>
        <v/>
      </c>
    </row>
    <row r="155" customFormat="false" ht="15" hidden="false" customHeight="true" outlineLevel="0" collapsed="false">
      <c r="A155" s="30"/>
      <c r="B155" s="30"/>
      <c r="C155" s="30"/>
      <c r="D155" s="30"/>
      <c r="E155" s="30"/>
      <c r="F155" s="44"/>
      <c r="G155" s="45"/>
      <c r="H155" s="35"/>
      <c r="I155" s="44"/>
      <c r="J155" s="45"/>
      <c r="K155" s="36"/>
      <c r="L155" s="44"/>
      <c r="M155" s="30"/>
      <c r="N155" s="31"/>
      <c r="O155" s="30"/>
      <c r="P155" s="31"/>
      <c r="Q155" s="30"/>
      <c r="R155" s="46"/>
      <c r="S155" s="31"/>
      <c r="T155" s="31"/>
      <c r="U155" s="30"/>
      <c r="V155" s="1" t="str">
        <f aca="false">IF($A155="","",IF(OR(D155="卖出",D155="分红"),IFERROR(INDEX($F$2:$F154,MATCH(2,1/($C$2:$C154=$C155))),""),""))</f>
        <v/>
      </c>
      <c r="W155" s="81" t="str">
        <f aca="false">IF($A155="","",IF(D155="买入",IF(AND(ISNUMBER(L155),L155&gt;0),(F155-L155)*G155,F155*0.08*G155),IF(AND(ISNUMBER(V155),V155&gt;0),IF(AND(ISNUMBER(L155),L155&gt;0),(V155-L155)*G155,V155*0.08*G155),0)))</f>
        <v/>
      </c>
      <c r="X155" s="82" t="str">
        <f aca="false">IF($A155="","",IF(D155="买入",0,IFERROR(IF(W155&lt;&gt;0,(H155-IFERROR(INDEX($H$2:$H154,MATCH(2,1/($C$2:$C154=$C155))),0))/W155,0),0)))</f>
        <v/>
      </c>
      <c r="Y155" s="82" t="str">
        <f aca="false">IF($A155="","",Y154+X155)</f>
        <v/>
      </c>
      <c r="Z155" s="1" t="str">
        <f aca="false">IF($A155="","",IF(X155&gt;0,IF(LEFT(Z154,1)="胜","胜"&amp;VALUE(RIGHT(Z154,LEN(Z154)-1))+1,"胜1"),IF(X155&lt;0,IF(LEFT(Z154,1)="亏","亏"&amp;VALUE(RIGHT(Z154,LEN(Z154)-1))+1,"亏1"),"平")))</f>
        <v/>
      </c>
      <c r="AA155" s="83" t="str">
        <f aca="false">IF($A155="","",MAX(0,(MAX($Y$2:Y155)-Y155)/MAX(1,MAX($Y$2:Y155))))</f>
        <v/>
      </c>
    </row>
    <row r="156" customFormat="false" ht="15" hidden="false" customHeight="true" outlineLevel="0" collapsed="false">
      <c r="A156" s="28"/>
      <c r="B156" s="28"/>
      <c r="C156" s="28"/>
      <c r="D156" s="28"/>
      <c r="E156" s="28"/>
      <c r="F156" s="34"/>
      <c r="G156" s="37"/>
      <c r="H156" s="35"/>
      <c r="I156" s="34"/>
      <c r="J156" s="37"/>
      <c r="K156" s="36"/>
      <c r="L156" s="34"/>
      <c r="M156" s="28"/>
      <c r="N156" s="29"/>
      <c r="O156" s="28"/>
      <c r="P156" s="29"/>
      <c r="Q156" s="28"/>
      <c r="R156" s="40"/>
      <c r="S156" s="29"/>
      <c r="T156" s="29"/>
      <c r="U156" s="28"/>
      <c r="V156" s="1" t="str">
        <f aca="false">IF($A156="","",IF(OR(D156="卖出",D156="分红"),IFERROR(INDEX($F$2:$F155,MATCH(2,1/($C$2:$C155=$C156))),""),""))</f>
        <v/>
      </c>
      <c r="W156" s="81" t="str">
        <f aca="false">IF($A156="","",IF(D156="买入",IF(AND(ISNUMBER(L156),L156&gt;0),(F156-L156)*G156,F156*0.08*G156),IF(AND(ISNUMBER(V156),V156&gt;0),IF(AND(ISNUMBER(L156),L156&gt;0),(V156-L156)*G156,V156*0.08*G156),0)))</f>
        <v/>
      </c>
      <c r="X156" s="82" t="str">
        <f aca="false">IF($A156="","",IF(D156="买入",0,IFERROR(IF(W156&lt;&gt;0,(H156-IFERROR(INDEX($H$2:$H155,MATCH(2,1/($C$2:$C155=$C156))),0))/W156,0),0)))</f>
        <v/>
      </c>
      <c r="Y156" s="82" t="str">
        <f aca="false">IF($A156="","",Y155+X156)</f>
        <v/>
      </c>
      <c r="Z156" s="1" t="str">
        <f aca="false">IF($A156="","",IF(X156&gt;0,IF(LEFT(Z155,1)="胜","胜"&amp;VALUE(RIGHT(Z155,LEN(Z155)-1))+1,"胜1"),IF(X156&lt;0,IF(LEFT(Z155,1)="亏","亏"&amp;VALUE(RIGHT(Z155,LEN(Z155)-1))+1,"亏1"),"平")))</f>
        <v/>
      </c>
      <c r="AA156" s="83" t="str">
        <f aca="false">IF($A156="","",MAX(0,(MAX($Y$2:Y156)-Y156)/MAX(1,MAX($Y$2:Y156))))</f>
        <v/>
      </c>
    </row>
    <row r="157" customFormat="false" ht="15" hidden="false" customHeight="true" outlineLevel="0" collapsed="false">
      <c r="A157" s="30"/>
      <c r="B157" s="30"/>
      <c r="C157" s="30"/>
      <c r="D157" s="30"/>
      <c r="E157" s="30"/>
      <c r="F157" s="44"/>
      <c r="G157" s="45"/>
      <c r="H157" s="35"/>
      <c r="I157" s="44"/>
      <c r="J157" s="45"/>
      <c r="K157" s="36"/>
      <c r="L157" s="44"/>
      <c r="M157" s="30"/>
      <c r="N157" s="31"/>
      <c r="O157" s="30"/>
      <c r="P157" s="31"/>
      <c r="Q157" s="30"/>
      <c r="R157" s="46"/>
      <c r="S157" s="31"/>
      <c r="T157" s="31"/>
      <c r="U157" s="30"/>
      <c r="V157" s="1" t="str">
        <f aca="false">IF($A157="","",IF(OR(D157="卖出",D157="分红"),IFERROR(INDEX($F$2:$F156,MATCH(2,1/($C$2:$C156=$C157))),""),""))</f>
        <v/>
      </c>
      <c r="W157" s="81" t="str">
        <f aca="false">IF($A157="","",IF(D157="买入",IF(AND(ISNUMBER(L157),L157&gt;0),(F157-L157)*G157,F157*0.08*G157),IF(AND(ISNUMBER(V157),V157&gt;0),IF(AND(ISNUMBER(L157),L157&gt;0),(V157-L157)*G157,V157*0.08*G157),0)))</f>
        <v/>
      </c>
      <c r="X157" s="82" t="str">
        <f aca="false">IF($A157="","",IF(D157="买入",0,IFERROR(IF(W157&lt;&gt;0,(H157-IFERROR(INDEX($H$2:$H156,MATCH(2,1/($C$2:$C156=$C157))),0))/W157,0),0)))</f>
        <v/>
      </c>
      <c r="Y157" s="82" t="str">
        <f aca="false">IF($A157="","",Y156+X157)</f>
        <v/>
      </c>
      <c r="Z157" s="1" t="str">
        <f aca="false">IF($A157="","",IF(X157&gt;0,IF(LEFT(Z156,1)="胜","胜"&amp;VALUE(RIGHT(Z156,LEN(Z156)-1))+1,"胜1"),IF(X157&lt;0,IF(LEFT(Z156,1)="亏","亏"&amp;VALUE(RIGHT(Z156,LEN(Z156)-1))+1,"亏1"),"平")))</f>
        <v/>
      </c>
      <c r="AA157" s="83" t="str">
        <f aca="false">IF($A157="","",MAX(0,(MAX($Y$2:Y157)-Y157)/MAX(1,MAX($Y$2:Y157))))</f>
        <v/>
      </c>
    </row>
    <row r="158" customFormat="false" ht="15" hidden="false" customHeight="true" outlineLevel="0" collapsed="false">
      <c r="A158" s="28"/>
      <c r="B158" s="28"/>
      <c r="C158" s="28"/>
      <c r="D158" s="28"/>
      <c r="E158" s="28"/>
      <c r="F158" s="34"/>
      <c r="G158" s="37"/>
      <c r="H158" s="35"/>
      <c r="I158" s="34"/>
      <c r="J158" s="37"/>
      <c r="K158" s="36"/>
      <c r="L158" s="34"/>
      <c r="M158" s="28"/>
      <c r="N158" s="29"/>
      <c r="O158" s="28"/>
      <c r="P158" s="29"/>
      <c r="Q158" s="28"/>
      <c r="R158" s="40"/>
      <c r="S158" s="29"/>
      <c r="T158" s="29"/>
      <c r="U158" s="28"/>
      <c r="V158" s="1" t="str">
        <f aca="false">IF($A158="","",IF(OR(D158="卖出",D158="分红"),IFERROR(INDEX($F$2:$F157,MATCH(2,1/($C$2:$C157=$C158))),""),""))</f>
        <v/>
      </c>
      <c r="W158" s="81" t="str">
        <f aca="false">IF($A158="","",IF(D158="买入",IF(AND(ISNUMBER(L158),L158&gt;0),(F158-L158)*G158,F158*0.08*G158),IF(AND(ISNUMBER(V158),V158&gt;0),IF(AND(ISNUMBER(L158),L158&gt;0),(V158-L158)*G158,V158*0.08*G158),0)))</f>
        <v/>
      </c>
      <c r="X158" s="82" t="str">
        <f aca="false">IF($A158="","",IF(D158="买入",0,IFERROR(IF(W158&lt;&gt;0,(H158-IFERROR(INDEX($H$2:$H157,MATCH(2,1/($C$2:$C157=$C158))),0))/W158,0),0)))</f>
        <v/>
      </c>
      <c r="Y158" s="82" t="str">
        <f aca="false">IF($A158="","",Y157+X158)</f>
        <v/>
      </c>
      <c r="Z158" s="1" t="str">
        <f aca="false">IF($A158="","",IF(X158&gt;0,IF(LEFT(Z157,1)="胜","胜"&amp;VALUE(RIGHT(Z157,LEN(Z157)-1))+1,"胜1"),IF(X158&lt;0,IF(LEFT(Z157,1)="亏","亏"&amp;VALUE(RIGHT(Z157,LEN(Z157)-1))+1,"亏1"),"平")))</f>
        <v/>
      </c>
      <c r="AA158" s="83" t="str">
        <f aca="false">IF($A158="","",MAX(0,(MAX($Y$2:Y158)-Y158)/MAX(1,MAX($Y$2:Y158))))</f>
        <v/>
      </c>
    </row>
    <row r="159" customFormat="false" ht="15" hidden="false" customHeight="true" outlineLevel="0" collapsed="false">
      <c r="A159" s="30"/>
      <c r="B159" s="30"/>
      <c r="C159" s="30"/>
      <c r="D159" s="30"/>
      <c r="E159" s="30"/>
      <c r="F159" s="44"/>
      <c r="G159" s="45"/>
      <c r="H159" s="35"/>
      <c r="I159" s="44"/>
      <c r="J159" s="45"/>
      <c r="K159" s="36"/>
      <c r="L159" s="44"/>
      <c r="M159" s="30"/>
      <c r="N159" s="31"/>
      <c r="O159" s="30"/>
      <c r="P159" s="31"/>
      <c r="Q159" s="30"/>
      <c r="R159" s="46"/>
      <c r="S159" s="31"/>
      <c r="T159" s="31"/>
      <c r="U159" s="30"/>
      <c r="V159" s="1" t="str">
        <f aca="false">IF($A159="","",IF(OR(D159="卖出",D159="分红"),IFERROR(INDEX($F$2:$F158,MATCH(2,1/($C$2:$C158=$C159))),""),""))</f>
        <v/>
      </c>
      <c r="W159" s="81" t="str">
        <f aca="false">IF($A159="","",IF(D159="买入",IF(AND(ISNUMBER(L159),L159&gt;0),(F159-L159)*G159,F159*0.08*G159),IF(AND(ISNUMBER(V159),V159&gt;0),IF(AND(ISNUMBER(L159),L159&gt;0),(V159-L159)*G159,V159*0.08*G159),0)))</f>
        <v/>
      </c>
      <c r="X159" s="82" t="str">
        <f aca="false">IF($A159="","",IF(D159="买入",0,IFERROR(IF(W159&lt;&gt;0,(H159-IFERROR(INDEX($H$2:$H158,MATCH(2,1/($C$2:$C158=$C159))),0))/W159,0),0)))</f>
        <v/>
      </c>
      <c r="Y159" s="82" t="str">
        <f aca="false">IF($A159="","",Y158+X159)</f>
        <v/>
      </c>
      <c r="Z159" s="1" t="str">
        <f aca="false">IF($A159="","",IF(X159&gt;0,IF(LEFT(Z158,1)="胜","胜"&amp;VALUE(RIGHT(Z158,LEN(Z158)-1))+1,"胜1"),IF(X159&lt;0,IF(LEFT(Z158,1)="亏","亏"&amp;VALUE(RIGHT(Z158,LEN(Z158)-1))+1,"亏1"),"平")))</f>
        <v/>
      </c>
      <c r="AA159" s="83" t="str">
        <f aca="false">IF($A159="","",MAX(0,(MAX($Y$2:Y159)-Y159)/MAX(1,MAX($Y$2:Y159))))</f>
        <v/>
      </c>
    </row>
    <row r="160" customFormat="false" ht="15" hidden="false" customHeight="true" outlineLevel="0" collapsed="false">
      <c r="A160" s="28"/>
      <c r="B160" s="28"/>
      <c r="C160" s="28"/>
      <c r="D160" s="28"/>
      <c r="E160" s="28"/>
      <c r="F160" s="34"/>
      <c r="G160" s="37"/>
      <c r="H160" s="35"/>
      <c r="I160" s="34"/>
      <c r="J160" s="37"/>
      <c r="K160" s="36"/>
      <c r="L160" s="34"/>
      <c r="M160" s="28"/>
      <c r="N160" s="29"/>
      <c r="O160" s="28"/>
      <c r="P160" s="29"/>
      <c r="Q160" s="28"/>
      <c r="R160" s="40"/>
      <c r="S160" s="29"/>
      <c r="T160" s="29"/>
      <c r="U160" s="28"/>
      <c r="V160" s="1" t="str">
        <f aca="false">IF($A160="","",IF(OR(D160="卖出",D160="分红"),IFERROR(INDEX($F$2:$F159,MATCH(2,1/($C$2:$C159=$C160))),""),""))</f>
        <v/>
      </c>
      <c r="W160" s="81" t="str">
        <f aca="false">IF($A160="","",IF(D160="买入",IF(AND(ISNUMBER(L160),L160&gt;0),(F160-L160)*G160,F160*0.08*G160),IF(AND(ISNUMBER(V160),V160&gt;0),IF(AND(ISNUMBER(L160),L160&gt;0),(V160-L160)*G160,V160*0.08*G160),0)))</f>
        <v/>
      </c>
      <c r="X160" s="82" t="str">
        <f aca="false">IF($A160="","",IF(D160="买入",0,IFERROR(IF(W160&lt;&gt;0,(H160-IFERROR(INDEX($H$2:$H159,MATCH(2,1/($C$2:$C159=$C160))),0))/W160,0),0)))</f>
        <v/>
      </c>
      <c r="Y160" s="82" t="str">
        <f aca="false">IF($A160="","",Y159+X160)</f>
        <v/>
      </c>
      <c r="Z160" s="1" t="str">
        <f aca="false">IF($A160="","",IF(X160&gt;0,IF(LEFT(Z159,1)="胜","胜"&amp;VALUE(RIGHT(Z159,LEN(Z159)-1))+1,"胜1"),IF(X160&lt;0,IF(LEFT(Z159,1)="亏","亏"&amp;VALUE(RIGHT(Z159,LEN(Z159)-1))+1,"亏1"),"平")))</f>
        <v/>
      </c>
      <c r="AA160" s="83" t="str">
        <f aca="false">IF($A160="","",MAX(0,(MAX($Y$2:Y160)-Y160)/MAX(1,MAX($Y$2:Y160))))</f>
        <v/>
      </c>
    </row>
    <row r="161" customFormat="false" ht="15" hidden="false" customHeight="true" outlineLevel="0" collapsed="false">
      <c r="A161" s="30"/>
      <c r="B161" s="30"/>
      <c r="C161" s="30"/>
      <c r="D161" s="30"/>
      <c r="E161" s="30"/>
      <c r="F161" s="44"/>
      <c r="G161" s="45"/>
      <c r="H161" s="35"/>
      <c r="I161" s="44"/>
      <c r="J161" s="45"/>
      <c r="K161" s="36"/>
      <c r="L161" s="44"/>
      <c r="M161" s="30"/>
      <c r="N161" s="31"/>
      <c r="O161" s="30"/>
      <c r="P161" s="31"/>
      <c r="Q161" s="30"/>
      <c r="R161" s="46"/>
      <c r="S161" s="31"/>
      <c r="T161" s="31"/>
      <c r="U161" s="30"/>
      <c r="V161" s="1" t="str">
        <f aca="false">IF($A161="","",IF(OR(D161="卖出",D161="分红"),IFERROR(INDEX($F$2:$F160,MATCH(2,1/($C$2:$C160=$C161))),""),""))</f>
        <v/>
      </c>
      <c r="W161" s="81" t="str">
        <f aca="false">IF($A161="","",IF(D161="买入",IF(AND(ISNUMBER(L161),L161&gt;0),(F161-L161)*G161,F161*0.08*G161),IF(AND(ISNUMBER(V161),V161&gt;0),IF(AND(ISNUMBER(L161),L161&gt;0),(V161-L161)*G161,V161*0.08*G161),0)))</f>
        <v/>
      </c>
      <c r="X161" s="82" t="str">
        <f aca="false">IF($A161="","",IF(D161="买入",0,IFERROR(IF(W161&lt;&gt;0,(H161-IFERROR(INDEX($H$2:$H160,MATCH(2,1/($C$2:$C160=$C161))),0))/W161,0),0)))</f>
        <v/>
      </c>
      <c r="Y161" s="82" t="str">
        <f aca="false">IF($A161="","",Y160+X161)</f>
        <v/>
      </c>
      <c r="Z161" s="1" t="str">
        <f aca="false">IF($A161="","",IF(X161&gt;0,IF(LEFT(Z160,1)="胜","胜"&amp;VALUE(RIGHT(Z160,LEN(Z160)-1))+1,"胜1"),IF(X161&lt;0,IF(LEFT(Z160,1)="亏","亏"&amp;VALUE(RIGHT(Z160,LEN(Z160)-1))+1,"亏1"),"平")))</f>
        <v/>
      </c>
      <c r="AA161" s="83" t="str">
        <f aca="false">IF($A161="","",MAX(0,(MAX($Y$2:Y161)-Y161)/MAX(1,MAX($Y$2:Y161))))</f>
        <v/>
      </c>
    </row>
    <row r="162" customFormat="false" ht="15" hidden="false" customHeight="true" outlineLevel="0" collapsed="false">
      <c r="A162" s="28"/>
      <c r="B162" s="28"/>
      <c r="C162" s="28"/>
      <c r="D162" s="28"/>
      <c r="E162" s="28"/>
      <c r="F162" s="34"/>
      <c r="G162" s="37"/>
      <c r="H162" s="35"/>
      <c r="I162" s="34"/>
      <c r="J162" s="37"/>
      <c r="K162" s="36"/>
      <c r="L162" s="34"/>
      <c r="M162" s="28"/>
      <c r="N162" s="29"/>
      <c r="O162" s="28"/>
      <c r="P162" s="29"/>
      <c r="Q162" s="28"/>
      <c r="R162" s="40"/>
      <c r="S162" s="29"/>
      <c r="T162" s="29"/>
      <c r="U162" s="28"/>
      <c r="V162" s="1" t="str">
        <f aca="false">IF($A162="","",IF(OR(D162="卖出",D162="分红"),IFERROR(INDEX($F$2:$F161,MATCH(2,1/($C$2:$C161=$C162))),""),""))</f>
        <v/>
      </c>
      <c r="W162" s="81" t="str">
        <f aca="false">IF($A162="","",IF(D162="买入",IF(AND(ISNUMBER(L162),L162&gt;0),(F162-L162)*G162,F162*0.08*G162),IF(AND(ISNUMBER(V162),V162&gt;0),IF(AND(ISNUMBER(L162),L162&gt;0),(V162-L162)*G162,V162*0.08*G162),0)))</f>
        <v/>
      </c>
      <c r="X162" s="82" t="str">
        <f aca="false">IF($A162="","",IF(D162="买入",0,IFERROR(IF(W162&lt;&gt;0,(H162-IFERROR(INDEX($H$2:$H161,MATCH(2,1/($C$2:$C161=$C162))),0))/W162,0),0)))</f>
        <v/>
      </c>
      <c r="Y162" s="82" t="str">
        <f aca="false">IF($A162="","",Y161+X162)</f>
        <v/>
      </c>
      <c r="Z162" s="1" t="str">
        <f aca="false">IF($A162="","",IF(X162&gt;0,IF(LEFT(Z161,1)="胜","胜"&amp;VALUE(RIGHT(Z161,LEN(Z161)-1))+1,"胜1"),IF(X162&lt;0,IF(LEFT(Z161,1)="亏","亏"&amp;VALUE(RIGHT(Z161,LEN(Z161)-1))+1,"亏1"),"平")))</f>
        <v/>
      </c>
      <c r="AA162" s="83" t="str">
        <f aca="false">IF($A162="","",MAX(0,(MAX($Y$2:Y162)-Y162)/MAX(1,MAX($Y$2:Y162))))</f>
        <v/>
      </c>
    </row>
    <row r="163" customFormat="false" ht="15" hidden="false" customHeight="true" outlineLevel="0" collapsed="false">
      <c r="A163" s="30"/>
      <c r="B163" s="30"/>
      <c r="C163" s="30"/>
      <c r="D163" s="30"/>
      <c r="E163" s="30"/>
      <c r="F163" s="44"/>
      <c r="G163" s="45"/>
      <c r="H163" s="35"/>
      <c r="I163" s="44"/>
      <c r="J163" s="45"/>
      <c r="K163" s="36"/>
      <c r="L163" s="44"/>
      <c r="M163" s="30"/>
      <c r="N163" s="31"/>
      <c r="O163" s="30"/>
      <c r="P163" s="31"/>
      <c r="Q163" s="30"/>
      <c r="R163" s="46"/>
      <c r="S163" s="31"/>
      <c r="T163" s="31"/>
      <c r="U163" s="30"/>
      <c r="V163" s="1" t="str">
        <f aca="false">IF($A163="","",IF(OR(D163="卖出",D163="分红"),IFERROR(INDEX($F$2:$F162,MATCH(2,1/($C$2:$C162=$C163))),""),""))</f>
        <v/>
      </c>
      <c r="W163" s="81" t="str">
        <f aca="false">IF($A163="","",IF(D163="买入",IF(AND(ISNUMBER(L163),L163&gt;0),(F163-L163)*G163,F163*0.08*G163),IF(AND(ISNUMBER(V163),V163&gt;0),IF(AND(ISNUMBER(L163),L163&gt;0),(V163-L163)*G163,V163*0.08*G163),0)))</f>
        <v/>
      </c>
      <c r="X163" s="82" t="str">
        <f aca="false">IF($A163="","",IF(D163="买入",0,IFERROR(IF(W163&lt;&gt;0,(H163-IFERROR(INDEX($H$2:$H162,MATCH(2,1/($C$2:$C162=$C163))),0))/W163,0),0)))</f>
        <v/>
      </c>
      <c r="Y163" s="82" t="str">
        <f aca="false">IF($A163="","",Y162+X163)</f>
        <v/>
      </c>
      <c r="Z163" s="1" t="str">
        <f aca="false">IF($A163="","",IF(X163&gt;0,IF(LEFT(Z162,1)="胜","胜"&amp;VALUE(RIGHT(Z162,LEN(Z162)-1))+1,"胜1"),IF(X163&lt;0,IF(LEFT(Z162,1)="亏","亏"&amp;VALUE(RIGHT(Z162,LEN(Z162)-1))+1,"亏1"),"平")))</f>
        <v/>
      </c>
      <c r="AA163" s="83" t="str">
        <f aca="false">IF($A163="","",MAX(0,(MAX($Y$2:Y163)-Y163)/MAX(1,MAX($Y$2:Y163))))</f>
        <v/>
      </c>
    </row>
    <row r="164" customFormat="false" ht="15" hidden="false" customHeight="true" outlineLevel="0" collapsed="false">
      <c r="A164" s="28"/>
      <c r="B164" s="28"/>
      <c r="C164" s="28"/>
      <c r="D164" s="28"/>
      <c r="E164" s="28"/>
      <c r="F164" s="34"/>
      <c r="G164" s="37"/>
      <c r="H164" s="35"/>
      <c r="I164" s="34"/>
      <c r="J164" s="37"/>
      <c r="K164" s="36"/>
      <c r="L164" s="34"/>
      <c r="M164" s="28"/>
      <c r="N164" s="29"/>
      <c r="O164" s="28"/>
      <c r="P164" s="29"/>
      <c r="Q164" s="28"/>
      <c r="R164" s="40"/>
      <c r="S164" s="29"/>
      <c r="T164" s="29"/>
      <c r="U164" s="28"/>
      <c r="V164" s="1" t="str">
        <f aca="false">IF($A164="","",IF(OR(D164="卖出",D164="分红"),IFERROR(INDEX($F$2:$F163,MATCH(2,1/($C$2:$C163=$C164))),""),""))</f>
        <v/>
      </c>
      <c r="W164" s="81" t="str">
        <f aca="false">IF($A164="","",IF(D164="买入",IF(AND(ISNUMBER(L164),L164&gt;0),(F164-L164)*G164,F164*0.08*G164),IF(AND(ISNUMBER(V164),V164&gt;0),IF(AND(ISNUMBER(L164),L164&gt;0),(V164-L164)*G164,V164*0.08*G164),0)))</f>
        <v/>
      </c>
      <c r="X164" s="82" t="str">
        <f aca="false">IF($A164="","",IF(D164="买入",0,IFERROR(IF(W164&lt;&gt;0,(H164-IFERROR(INDEX($H$2:$H163,MATCH(2,1/($C$2:$C163=$C164))),0))/W164,0),0)))</f>
        <v/>
      </c>
      <c r="Y164" s="82" t="str">
        <f aca="false">IF($A164="","",Y163+X164)</f>
        <v/>
      </c>
      <c r="Z164" s="1" t="str">
        <f aca="false">IF($A164="","",IF(X164&gt;0,IF(LEFT(Z163,1)="胜","胜"&amp;VALUE(RIGHT(Z163,LEN(Z163)-1))+1,"胜1"),IF(X164&lt;0,IF(LEFT(Z163,1)="亏","亏"&amp;VALUE(RIGHT(Z163,LEN(Z163)-1))+1,"亏1"),"平")))</f>
        <v/>
      </c>
      <c r="AA164" s="83" t="str">
        <f aca="false">IF($A164="","",MAX(0,(MAX($Y$2:Y164)-Y164)/MAX(1,MAX($Y$2:Y164))))</f>
        <v/>
      </c>
    </row>
    <row r="165" customFormat="false" ht="15" hidden="false" customHeight="true" outlineLevel="0" collapsed="false">
      <c r="A165" s="30"/>
      <c r="B165" s="30"/>
      <c r="C165" s="30"/>
      <c r="D165" s="30"/>
      <c r="E165" s="30"/>
      <c r="F165" s="44"/>
      <c r="G165" s="45"/>
      <c r="H165" s="35"/>
      <c r="I165" s="44"/>
      <c r="J165" s="45"/>
      <c r="K165" s="36"/>
      <c r="L165" s="44"/>
      <c r="M165" s="30"/>
      <c r="N165" s="31"/>
      <c r="O165" s="30"/>
      <c r="P165" s="31"/>
      <c r="Q165" s="30"/>
      <c r="R165" s="46"/>
      <c r="S165" s="31"/>
      <c r="T165" s="31"/>
      <c r="U165" s="30"/>
      <c r="V165" s="1" t="str">
        <f aca="false">IF($A165="","",IF(OR(D165="卖出",D165="分红"),IFERROR(INDEX($F$2:$F164,MATCH(2,1/($C$2:$C164=$C165))),""),""))</f>
        <v/>
      </c>
      <c r="W165" s="81" t="str">
        <f aca="false">IF($A165="","",IF(D165="买入",IF(AND(ISNUMBER(L165),L165&gt;0),(F165-L165)*G165,F165*0.08*G165),IF(AND(ISNUMBER(V165),V165&gt;0),IF(AND(ISNUMBER(L165),L165&gt;0),(V165-L165)*G165,V165*0.08*G165),0)))</f>
        <v/>
      </c>
      <c r="X165" s="82" t="str">
        <f aca="false">IF($A165="","",IF(D165="买入",0,IFERROR(IF(W165&lt;&gt;0,(H165-IFERROR(INDEX($H$2:$H164,MATCH(2,1/($C$2:$C164=$C165))),0))/W165,0),0)))</f>
        <v/>
      </c>
      <c r="Y165" s="82" t="str">
        <f aca="false">IF($A165="","",Y164+X165)</f>
        <v/>
      </c>
      <c r="Z165" s="1" t="str">
        <f aca="false">IF($A165="","",IF(X165&gt;0,IF(LEFT(Z164,1)="胜","胜"&amp;VALUE(RIGHT(Z164,LEN(Z164)-1))+1,"胜1"),IF(X165&lt;0,IF(LEFT(Z164,1)="亏","亏"&amp;VALUE(RIGHT(Z164,LEN(Z164)-1))+1,"亏1"),"平")))</f>
        <v/>
      </c>
      <c r="AA165" s="83" t="str">
        <f aca="false">IF($A165="","",MAX(0,(MAX($Y$2:Y165)-Y165)/MAX(1,MAX($Y$2:Y165))))</f>
        <v/>
      </c>
    </row>
    <row r="166" customFormat="false" ht="15" hidden="false" customHeight="true" outlineLevel="0" collapsed="false">
      <c r="A166" s="28"/>
      <c r="B166" s="28"/>
      <c r="C166" s="28"/>
      <c r="D166" s="28"/>
      <c r="E166" s="28"/>
      <c r="F166" s="34"/>
      <c r="G166" s="37"/>
      <c r="H166" s="35"/>
      <c r="I166" s="34"/>
      <c r="J166" s="37"/>
      <c r="K166" s="36"/>
      <c r="L166" s="34"/>
      <c r="M166" s="28"/>
      <c r="N166" s="29"/>
      <c r="O166" s="28"/>
      <c r="P166" s="29"/>
      <c r="Q166" s="28"/>
      <c r="R166" s="40"/>
      <c r="S166" s="29"/>
      <c r="T166" s="29"/>
      <c r="U166" s="28"/>
      <c r="V166" s="1" t="str">
        <f aca="false">IF($A166="","",IF(OR(D166="卖出",D166="分红"),IFERROR(INDEX($F$2:$F165,MATCH(2,1/($C$2:$C165=$C166))),""),""))</f>
        <v/>
      </c>
      <c r="W166" s="81" t="str">
        <f aca="false">IF($A166="","",IF(D166="买入",IF(AND(ISNUMBER(L166),L166&gt;0),(F166-L166)*G166,F166*0.08*G166),IF(AND(ISNUMBER(V166),V166&gt;0),IF(AND(ISNUMBER(L166),L166&gt;0),(V166-L166)*G166,V166*0.08*G166),0)))</f>
        <v/>
      </c>
      <c r="X166" s="82" t="str">
        <f aca="false">IF($A166="","",IF(D166="买入",0,IFERROR(IF(W166&lt;&gt;0,(H166-IFERROR(INDEX($H$2:$H165,MATCH(2,1/($C$2:$C165=$C166))),0))/W166,0),0)))</f>
        <v/>
      </c>
      <c r="Y166" s="82" t="str">
        <f aca="false">IF($A166="","",Y165+X166)</f>
        <v/>
      </c>
      <c r="Z166" s="1" t="str">
        <f aca="false">IF($A166="","",IF(X166&gt;0,IF(LEFT(Z165,1)="胜","胜"&amp;VALUE(RIGHT(Z165,LEN(Z165)-1))+1,"胜1"),IF(X166&lt;0,IF(LEFT(Z165,1)="亏","亏"&amp;VALUE(RIGHT(Z165,LEN(Z165)-1))+1,"亏1"),"平")))</f>
        <v/>
      </c>
      <c r="AA166" s="83" t="str">
        <f aca="false">IF($A166="","",MAX(0,(MAX($Y$2:Y166)-Y166)/MAX(1,MAX($Y$2:Y166))))</f>
        <v/>
      </c>
    </row>
    <row r="167" customFormat="false" ht="15" hidden="false" customHeight="true" outlineLevel="0" collapsed="false">
      <c r="A167" s="30"/>
      <c r="B167" s="30"/>
      <c r="C167" s="30"/>
      <c r="D167" s="30"/>
      <c r="E167" s="30"/>
      <c r="F167" s="44"/>
      <c r="G167" s="45"/>
      <c r="H167" s="35"/>
      <c r="I167" s="44"/>
      <c r="J167" s="45"/>
      <c r="K167" s="36"/>
      <c r="L167" s="44"/>
      <c r="M167" s="30"/>
      <c r="N167" s="31"/>
      <c r="O167" s="30"/>
      <c r="P167" s="31"/>
      <c r="Q167" s="30"/>
      <c r="R167" s="46"/>
      <c r="S167" s="31"/>
      <c r="T167" s="31"/>
      <c r="U167" s="30"/>
      <c r="V167" s="1" t="str">
        <f aca="false">IF($A167="","",IF(OR(D167="卖出",D167="分红"),IFERROR(INDEX($F$2:$F166,MATCH(2,1/($C$2:$C166=$C167))),""),""))</f>
        <v/>
      </c>
      <c r="W167" s="81" t="str">
        <f aca="false">IF($A167="","",IF(D167="买入",IF(AND(ISNUMBER(L167),L167&gt;0),(F167-L167)*G167,F167*0.08*G167),IF(AND(ISNUMBER(V167),V167&gt;0),IF(AND(ISNUMBER(L167),L167&gt;0),(V167-L167)*G167,V167*0.08*G167),0)))</f>
        <v/>
      </c>
      <c r="X167" s="82" t="str">
        <f aca="false">IF($A167="","",IF(D167="买入",0,IFERROR(IF(W167&lt;&gt;0,(H167-IFERROR(INDEX($H$2:$H166,MATCH(2,1/($C$2:$C166=$C167))),0))/W167,0),0)))</f>
        <v/>
      </c>
      <c r="Y167" s="82" t="str">
        <f aca="false">IF($A167="","",Y166+X167)</f>
        <v/>
      </c>
      <c r="Z167" s="1" t="str">
        <f aca="false">IF($A167="","",IF(X167&gt;0,IF(LEFT(Z166,1)="胜","胜"&amp;VALUE(RIGHT(Z166,LEN(Z166)-1))+1,"胜1"),IF(X167&lt;0,IF(LEFT(Z166,1)="亏","亏"&amp;VALUE(RIGHT(Z166,LEN(Z166)-1))+1,"亏1"),"平")))</f>
        <v/>
      </c>
      <c r="AA167" s="83" t="str">
        <f aca="false">IF($A167="","",MAX(0,(MAX($Y$2:Y167)-Y167)/MAX(1,MAX($Y$2:Y167))))</f>
        <v/>
      </c>
    </row>
    <row r="168" customFormat="false" ht="15" hidden="false" customHeight="true" outlineLevel="0" collapsed="false">
      <c r="A168" s="28"/>
      <c r="B168" s="28"/>
      <c r="C168" s="28"/>
      <c r="D168" s="28"/>
      <c r="E168" s="28"/>
      <c r="F168" s="34"/>
      <c r="G168" s="37"/>
      <c r="H168" s="35"/>
      <c r="I168" s="34"/>
      <c r="J168" s="37"/>
      <c r="K168" s="36"/>
      <c r="L168" s="34"/>
      <c r="M168" s="28"/>
      <c r="N168" s="29"/>
      <c r="O168" s="28"/>
      <c r="P168" s="29"/>
      <c r="Q168" s="28"/>
      <c r="R168" s="40"/>
      <c r="S168" s="29"/>
      <c r="T168" s="29"/>
      <c r="U168" s="28"/>
      <c r="V168" s="1" t="str">
        <f aca="false">IF($A168="","",IF(OR(D168="卖出",D168="分红"),IFERROR(INDEX($F$2:$F167,MATCH(2,1/($C$2:$C167=$C168))),""),""))</f>
        <v/>
      </c>
      <c r="W168" s="81" t="str">
        <f aca="false">IF($A168="","",IF(D168="买入",IF(AND(ISNUMBER(L168),L168&gt;0),(F168-L168)*G168,F168*0.08*G168),IF(AND(ISNUMBER(V168),V168&gt;0),IF(AND(ISNUMBER(L168),L168&gt;0),(V168-L168)*G168,V168*0.08*G168),0)))</f>
        <v/>
      </c>
      <c r="X168" s="82" t="str">
        <f aca="false">IF($A168="","",IF(D168="买入",0,IFERROR(IF(W168&lt;&gt;0,(H168-IFERROR(INDEX($H$2:$H167,MATCH(2,1/($C$2:$C167=$C168))),0))/W168,0),0)))</f>
        <v/>
      </c>
      <c r="Y168" s="82" t="str">
        <f aca="false">IF($A168="","",Y167+X168)</f>
        <v/>
      </c>
      <c r="Z168" s="1" t="str">
        <f aca="false">IF($A168="","",IF(X168&gt;0,IF(LEFT(Z167,1)="胜","胜"&amp;VALUE(RIGHT(Z167,LEN(Z167)-1))+1,"胜1"),IF(X168&lt;0,IF(LEFT(Z167,1)="亏","亏"&amp;VALUE(RIGHT(Z167,LEN(Z167)-1))+1,"亏1"),"平")))</f>
        <v/>
      </c>
      <c r="AA168" s="83" t="str">
        <f aca="false">IF($A168="","",MAX(0,(MAX($Y$2:Y168)-Y168)/MAX(1,MAX($Y$2:Y168))))</f>
        <v/>
      </c>
    </row>
    <row r="169" customFormat="false" ht="15" hidden="false" customHeight="true" outlineLevel="0" collapsed="false">
      <c r="A169" s="30"/>
      <c r="B169" s="30"/>
      <c r="C169" s="30"/>
      <c r="D169" s="30"/>
      <c r="E169" s="30"/>
      <c r="F169" s="44"/>
      <c r="G169" s="45"/>
      <c r="H169" s="35"/>
      <c r="I169" s="44"/>
      <c r="J169" s="45"/>
      <c r="K169" s="36"/>
      <c r="L169" s="44"/>
      <c r="M169" s="30"/>
      <c r="N169" s="31"/>
      <c r="O169" s="30"/>
      <c r="P169" s="31"/>
      <c r="Q169" s="30"/>
      <c r="R169" s="46"/>
      <c r="S169" s="31"/>
      <c r="T169" s="31"/>
      <c r="U169" s="30"/>
      <c r="V169" s="1" t="str">
        <f aca="false">IF($A169="","",IF(OR(D169="卖出",D169="分红"),IFERROR(INDEX($F$2:$F168,MATCH(2,1/($C$2:$C168=$C169))),""),""))</f>
        <v/>
      </c>
      <c r="W169" s="81" t="str">
        <f aca="false">IF($A169="","",IF(D169="买入",IF(AND(ISNUMBER(L169),L169&gt;0),(F169-L169)*G169,F169*0.08*G169),IF(AND(ISNUMBER(V169),V169&gt;0),IF(AND(ISNUMBER(L169),L169&gt;0),(V169-L169)*G169,V169*0.08*G169),0)))</f>
        <v/>
      </c>
      <c r="X169" s="82" t="str">
        <f aca="false">IF($A169="","",IF(D169="买入",0,IFERROR(IF(W169&lt;&gt;0,(H169-IFERROR(INDEX($H$2:$H168,MATCH(2,1/($C$2:$C168=$C169))),0))/W169,0),0)))</f>
        <v/>
      </c>
      <c r="Y169" s="82" t="str">
        <f aca="false">IF($A169="","",Y168+X169)</f>
        <v/>
      </c>
      <c r="Z169" s="1" t="str">
        <f aca="false">IF($A169="","",IF(X169&gt;0,IF(LEFT(Z168,1)="胜","胜"&amp;VALUE(RIGHT(Z168,LEN(Z168)-1))+1,"胜1"),IF(X169&lt;0,IF(LEFT(Z168,1)="亏","亏"&amp;VALUE(RIGHT(Z168,LEN(Z168)-1))+1,"亏1"),"平")))</f>
        <v/>
      </c>
      <c r="AA169" s="83" t="str">
        <f aca="false">IF($A169="","",MAX(0,(MAX($Y$2:Y169)-Y169)/MAX(1,MAX($Y$2:Y169))))</f>
        <v/>
      </c>
    </row>
    <row r="170" customFormat="false" ht="15" hidden="false" customHeight="true" outlineLevel="0" collapsed="false">
      <c r="A170" s="28"/>
      <c r="B170" s="28"/>
      <c r="C170" s="28"/>
      <c r="D170" s="28"/>
      <c r="E170" s="28"/>
      <c r="F170" s="34"/>
      <c r="G170" s="37"/>
      <c r="H170" s="35"/>
      <c r="I170" s="34"/>
      <c r="J170" s="37"/>
      <c r="K170" s="36"/>
      <c r="L170" s="34"/>
      <c r="M170" s="28"/>
      <c r="N170" s="29"/>
      <c r="O170" s="28"/>
      <c r="P170" s="29"/>
      <c r="Q170" s="28"/>
      <c r="R170" s="40"/>
      <c r="S170" s="29"/>
      <c r="T170" s="29"/>
      <c r="U170" s="28"/>
      <c r="V170" s="1" t="str">
        <f aca="false">IF($A170="","",IF(OR(D170="卖出",D170="分红"),IFERROR(INDEX($F$2:$F169,MATCH(2,1/($C$2:$C169=$C170))),""),""))</f>
        <v/>
      </c>
      <c r="W170" s="81" t="str">
        <f aca="false">IF($A170="","",IF(D170="买入",IF(AND(ISNUMBER(L170),L170&gt;0),(F170-L170)*G170,F170*0.08*G170),IF(AND(ISNUMBER(V170),V170&gt;0),IF(AND(ISNUMBER(L170),L170&gt;0),(V170-L170)*G170,V170*0.08*G170),0)))</f>
        <v/>
      </c>
      <c r="X170" s="82" t="str">
        <f aca="false">IF($A170="","",IF(D170="买入",0,IFERROR(IF(W170&lt;&gt;0,(H170-IFERROR(INDEX($H$2:$H169,MATCH(2,1/($C$2:$C169=$C170))),0))/W170,0),0)))</f>
        <v/>
      </c>
      <c r="Y170" s="82" t="str">
        <f aca="false">IF($A170="","",Y169+X170)</f>
        <v/>
      </c>
      <c r="Z170" s="1" t="str">
        <f aca="false">IF($A170="","",IF(X170&gt;0,IF(LEFT(Z169,1)="胜","胜"&amp;VALUE(RIGHT(Z169,LEN(Z169)-1))+1,"胜1"),IF(X170&lt;0,IF(LEFT(Z169,1)="亏","亏"&amp;VALUE(RIGHT(Z169,LEN(Z169)-1))+1,"亏1"),"平")))</f>
        <v/>
      </c>
      <c r="AA170" s="83" t="str">
        <f aca="false">IF($A170="","",MAX(0,(MAX($Y$2:Y170)-Y170)/MAX(1,MAX($Y$2:Y170))))</f>
        <v/>
      </c>
    </row>
    <row r="171" customFormat="false" ht="15" hidden="false" customHeight="true" outlineLevel="0" collapsed="false">
      <c r="A171" s="30"/>
      <c r="B171" s="30"/>
      <c r="C171" s="30"/>
      <c r="D171" s="30"/>
      <c r="E171" s="30"/>
      <c r="F171" s="44"/>
      <c r="G171" s="45"/>
      <c r="H171" s="35"/>
      <c r="I171" s="44"/>
      <c r="J171" s="45"/>
      <c r="K171" s="36"/>
      <c r="L171" s="44"/>
      <c r="M171" s="30"/>
      <c r="N171" s="31"/>
      <c r="O171" s="30"/>
      <c r="P171" s="31"/>
      <c r="Q171" s="30"/>
      <c r="R171" s="46"/>
      <c r="S171" s="31"/>
      <c r="T171" s="31"/>
      <c r="U171" s="30"/>
      <c r="V171" s="1" t="str">
        <f aca="false">IF($A171="","",IF(OR(D171="卖出",D171="分红"),IFERROR(INDEX($F$2:$F170,MATCH(2,1/($C$2:$C170=$C171))),""),""))</f>
        <v/>
      </c>
      <c r="W171" s="81" t="str">
        <f aca="false">IF($A171="","",IF(D171="买入",IF(AND(ISNUMBER(L171),L171&gt;0),(F171-L171)*G171,F171*0.08*G171),IF(AND(ISNUMBER(V171),V171&gt;0),IF(AND(ISNUMBER(L171),L171&gt;0),(V171-L171)*G171,V171*0.08*G171),0)))</f>
        <v/>
      </c>
      <c r="X171" s="82" t="str">
        <f aca="false">IF($A171="","",IF(D171="买入",0,IFERROR(IF(W171&lt;&gt;0,(H171-IFERROR(INDEX($H$2:$H170,MATCH(2,1/($C$2:$C170=$C171))),0))/W171,0),0)))</f>
        <v/>
      </c>
      <c r="Y171" s="82" t="str">
        <f aca="false">IF($A171="","",Y170+X171)</f>
        <v/>
      </c>
      <c r="Z171" s="1" t="str">
        <f aca="false">IF($A171="","",IF(X171&gt;0,IF(LEFT(Z170,1)="胜","胜"&amp;VALUE(RIGHT(Z170,LEN(Z170)-1))+1,"胜1"),IF(X171&lt;0,IF(LEFT(Z170,1)="亏","亏"&amp;VALUE(RIGHT(Z170,LEN(Z170)-1))+1,"亏1"),"平")))</f>
        <v/>
      </c>
      <c r="AA171" s="83" t="str">
        <f aca="false">IF($A171="","",MAX(0,(MAX($Y$2:Y171)-Y171)/MAX(1,MAX($Y$2:Y171))))</f>
        <v/>
      </c>
    </row>
    <row r="172" customFormat="false" ht="15" hidden="false" customHeight="true" outlineLevel="0" collapsed="false">
      <c r="A172" s="28"/>
      <c r="B172" s="28"/>
      <c r="C172" s="28"/>
      <c r="D172" s="28"/>
      <c r="E172" s="28"/>
      <c r="F172" s="34"/>
      <c r="G172" s="37"/>
      <c r="H172" s="35"/>
      <c r="I172" s="34"/>
      <c r="J172" s="37"/>
      <c r="K172" s="36"/>
      <c r="L172" s="34"/>
      <c r="M172" s="28"/>
      <c r="N172" s="29"/>
      <c r="O172" s="28"/>
      <c r="P172" s="29"/>
      <c r="Q172" s="28"/>
      <c r="R172" s="40"/>
      <c r="S172" s="29"/>
      <c r="T172" s="29"/>
      <c r="U172" s="28"/>
      <c r="V172" s="1" t="str">
        <f aca="false">IF($A172="","",IF(OR(D172="卖出",D172="分红"),IFERROR(INDEX($F$2:$F171,MATCH(2,1/($C$2:$C171=$C172))),""),""))</f>
        <v/>
      </c>
      <c r="W172" s="81" t="str">
        <f aca="false">IF($A172="","",IF(D172="买入",IF(AND(ISNUMBER(L172),L172&gt;0),(F172-L172)*G172,F172*0.08*G172),IF(AND(ISNUMBER(V172),V172&gt;0),IF(AND(ISNUMBER(L172),L172&gt;0),(V172-L172)*G172,V172*0.08*G172),0)))</f>
        <v/>
      </c>
      <c r="X172" s="82" t="str">
        <f aca="false">IF($A172="","",IF(D172="买入",0,IFERROR(IF(W172&lt;&gt;0,(H172-IFERROR(INDEX($H$2:$H171,MATCH(2,1/($C$2:$C171=$C172))),0))/W172,0),0)))</f>
        <v/>
      </c>
      <c r="Y172" s="82" t="str">
        <f aca="false">IF($A172="","",Y171+X172)</f>
        <v/>
      </c>
      <c r="Z172" s="1" t="str">
        <f aca="false">IF($A172="","",IF(X172&gt;0,IF(LEFT(Z171,1)="胜","胜"&amp;VALUE(RIGHT(Z171,LEN(Z171)-1))+1,"胜1"),IF(X172&lt;0,IF(LEFT(Z171,1)="亏","亏"&amp;VALUE(RIGHT(Z171,LEN(Z171)-1))+1,"亏1"),"平")))</f>
        <v/>
      </c>
      <c r="AA172" s="83" t="str">
        <f aca="false">IF($A172="","",MAX(0,(MAX($Y$2:Y172)-Y172)/MAX(1,MAX($Y$2:Y172))))</f>
        <v/>
      </c>
    </row>
    <row r="173" customFormat="false" ht="15" hidden="false" customHeight="true" outlineLevel="0" collapsed="false">
      <c r="A173" s="30"/>
      <c r="B173" s="30"/>
      <c r="C173" s="30"/>
      <c r="D173" s="30"/>
      <c r="E173" s="30"/>
      <c r="F173" s="44"/>
      <c r="G173" s="45"/>
      <c r="H173" s="35"/>
      <c r="I173" s="44"/>
      <c r="J173" s="45"/>
      <c r="K173" s="36"/>
      <c r="L173" s="44"/>
      <c r="M173" s="30"/>
      <c r="N173" s="31"/>
      <c r="O173" s="30"/>
      <c r="P173" s="31"/>
      <c r="Q173" s="30"/>
      <c r="R173" s="46"/>
      <c r="S173" s="31"/>
      <c r="T173" s="31"/>
      <c r="U173" s="30"/>
      <c r="V173" s="1" t="str">
        <f aca="false">IF($A173="","",IF(OR(D173="卖出",D173="分红"),IFERROR(INDEX($F$2:$F172,MATCH(2,1/($C$2:$C172=$C173))),""),""))</f>
        <v/>
      </c>
      <c r="W173" s="81" t="str">
        <f aca="false">IF($A173="","",IF(D173="买入",IF(AND(ISNUMBER(L173),L173&gt;0),(F173-L173)*G173,F173*0.08*G173),IF(AND(ISNUMBER(V173),V173&gt;0),IF(AND(ISNUMBER(L173),L173&gt;0),(V173-L173)*G173,V173*0.08*G173),0)))</f>
        <v/>
      </c>
      <c r="X173" s="82" t="str">
        <f aca="false">IF($A173="","",IF(D173="买入",0,IFERROR(IF(W173&lt;&gt;0,(H173-IFERROR(INDEX($H$2:$H172,MATCH(2,1/($C$2:$C172=$C173))),0))/W173,0),0)))</f>
        <v/>
      </c>
      <c r="Y173" s="82" t="str">
        <f aca="false">IF($A173="","",Y172+X173)</f>
        <v/>
      </c>
      <c r="Z173" s="1" t="str">
        <f aca="false">IF($A173="","",IF(X173&gt;0,IF(LEFT(Z172,1)="胜","胜"&amp;VALUE(RIGHT(Z172,LEN(Z172)-1))+1,"胜1"),IF(X173&lt;0,IF(LEFT(Z172,1)="亏","亏"&amp;VALUE(RIGHT(Z172,LEN(Z172)-1))+1,"亏1"),"平")))</f>
        <v/>
      </c>
      <c r="AA173" s="83" t="str">
        <f aca="false">IF($A173="","",MAX(0,(MAX($Y$2:Y173)-Y173)/MAX(1,MAX($Y$2:Y173))))</f>
        <v/>
      </c>
    </row>
    <row r="174" customFormat="false" ht="15" hidden="false" customHeight="true" outlineLevel="0" collapsed="false">
      <c r="A174" s="28"/>
      <c r="B174" s="28"/>
      <c r="C174" s="28"/>
      <c r="D174" s="28"/>
      <c r="E174" s="28"/>
      <c r="F174" s="34"/>
      <c r="G174" s="37"/>
      <c r="H174" s="35"/>
      <c r="I174" s="34"/>
      <c r="J174" s="37"/>
      <c r="K174" s="36"/>
      <c r="L174" s="34"/>
      <c r="M174" s="28"/>
      <c r="N174" s="29"/>
      <c r="O174" s="28"/>
      <c r="P174" s="29"/>
      <c r="Q174" s="28"/>
      <c r="R174" s="40"/>
      <c r="S174" s="29"/>
      <c r="T174" s="29"/>
      <c r="U174" s="28"/>
      <c r="V174" s="1" t="str">
        <f aca="false">IF($A174="","",IF(OR(D174="卖出",D174="分红"),IFERROR(INDEX($F$2:$F173,MATCH(2,1/($C$2:$C173=$C174))),""),""))</f>
        <v/>
      </c>
      <c r="W174" s="81" t="str">
        <f aca="false">IF($A174="","",IF(D174="买入",IF(AND(ISNUMBER(L174),L174&gt;0),(F174-L174)*G174,F174*0.08*G174),IF(AND(ISNUMBER(V174),V174&gt;0),IF(AND(ISNUMBER(L174),L174&gt;0),(V174-L174)*G174,V174*0.08*G174),0)))</f>
        <v/>
      </c>
      <c r="X174" s="82" t="str">
        <f aca="false">IF($A174="","",IF(D174="买入",0,IFERROR(IF(W174&lt;&gt;0,(H174-IFERROR(INDEX($H$2:$H173,MATCH(2,1/($C$2:$C173=$C174))),0))/W174,0),0)))</f>
        <v/>
      </c>
      <c r="Y174" s="82" t="str">
        <f aca="false">IF($A174="","",Y173+X174)</f>
        <v/>
      </c>
      <c r="Z174" s="1" t="str">
        <f aca="false">IF($A174="","",IF(X174&gt;0,IF(LEFT(Z173,1)="胜","胜"&amp;VALUE(RIGHT(Z173,LEN(Z173)-1))+1,"胜1"),IF(X174&lt;0,IF(LEFT(Z173,1)="亏","亏"&amp;VALUE(RIGHT(Z173,LEN(Z173)-1))+1,"亏1"),"平")))</f>
        <v/>
      </c>
      <c r="AA174" s="83" t="str">
        <f aca="false">IF($A174="","",MAX(0,(MAX($Y$2:Y174)-Y174)/MAX(1,MAX($Y$2:Y174))))</f>
        <v/>
      </c>
    </row>
    <row r="175" customFormat="false" ht="15" hidden="false" customHeight="true" outlineLevel="0" collapsed="false">
      <c r="A175" s="30"/>
      <c r="B175" s="30"/>
      <c r="C175" s="30"/>
      <c r="D175" s="30"/>
      <c r="E175" s="30"/>
      <c r="F175" s="44"/>
      <c r="G175" s="45"/>
      <c r="H175" s="35"/>
      <c r="I175" s="44"/>
      <c r="J175" s="45"/>
      <c r="K175" s="36"/>
      <c r="L175" s="44"/>
      <c r="M175" s="30"/>
      <c r="N175" s="31"/>
      <c r="O175" s="30"/>
      <c r="P175" s="31"/>
      <c r="Q175" s="30"/>
      <c r="R175" s="46"/>
      <c r="S175" s="31"/>
      <c r="T175" s="31"/>
      <c r="U175" s="30"/>
      <c r="V175" s="1" t="str">
        <f aca="false">IF($A175="","",IF(OR(D175="卖出",D175="分红"),IFERROR(INDEX($F$2:$F174,MATCH(2,1/($C$2:$C174=$C175))),""),""))</f>
        <v/>
      </c>
      <c r="W175" s="81" t="str">
        <f aca="false">IF($A175="","",IF(D175="买入",IF(AND(ISNUMBER(L175),L175&gt;0),(F175-L175)*G175,F175*0.08*G175),IF(AND(ISNUMBER(V175),V175&gt;0),IF(AND(ISNUMBER(L175),L175&gt;0),(V175-L175)*G175,V175*0.08*G175),0)))</f>
        <v/>
      </c>
      <c r="X175" s="82" t="str">
        <f aca="false">IF($A175="","",IF(D175="买入",0,IFERROR(IF(W175&lt;&gt;0,(H175-IFERROR(INDEX($H$2:$H174,MATCH(2,1/($C$2:$C174=$C175))),0))/W175,0),0)))</f>
        <v/>
      </c>
      <c r="Y175" s="82" t="str">
        <f aca="false">IF($A175="","",Y174+X175)</f>
        <v/>
      </c>
      <c r="Z175" s="1" t="str">
        <f aca="false">IF($A175="","",IF(X175&gt;0,IF(LEFT(Z174,1)="胜","胜"&amp;VALUE(RIGHT(Z174,LEN(Z174)-1))+1,"胜1"),IF(X175&lt;0,IF(LEFT(Z174,1)="亏","亏"&amp;VALUE(RIGHT(Z174,LEN(Z174)-1))+1,"亏1"),"平")))</f>
        <v/>
      </c>
      <c r="AA175" s="83" t="str">
        <f aca="false">IF($A175="","",MAX(0,(MAX($Y$2:Y175)-Y175)/MAX(1,MAX($Y$2:Y175))))</f>
        <v/>
      </c>
    </row>
    <row r="176" customFormat="false" ht="15" hidden="false" customHeight="true" outlineLevel="0" collapsed="false">
      <c r="A176" s="28"/>
      <c r="B176" s="28"/>
      <c r="C176" s="28"/>
      <c r="D176" s="28"/>
      <c r="E176" s="28"/>
      <c r="F176" s="34"/>
      <c r="G176" s="37"/>
      <c r="H176" s="35"/>
      <c r="I176" s="34"/>
      <c r="J176" s="37"/>
      <c r="K176" s="36"/>
      <c r="L176" s="34"/>
      <c r="M176" s="28"/>
      <c r="N176" s="29"/>
      <c r="O176" s="28"/>
      <c r="P176" s="29"/>
      <c r="Q176" s="28"/>
      <c r="R176" s="40"/>
      <c r="S176" s="29"/>
      <c r="T176" s="29"/>
      <c r="U176" s="28"/>
      <c r="V176" s="1" t="str">
        <f aca="false">IF($A176="","",IF(OR(D176="卖出",D176="分红"),IFERROR(INDEX($F$2:$F175,MATCH(2,1/($C$2:$C175=$C176))),""),""))</f>
        <v/>
      </c>
      <c r="W176" s="81" t="str">
        <f aca="false">IF($A176="","",IF(D176="买入",IF(AND(ISNUMBER(L176),L176&gt;0),(F176-L176)*G176,F176*0.08*G176),IF(AND(ISNUMBER(V176),V176&gt;0),IF(AND(ISNUMBER(L176),L176&gt;0),(V176-L176)*G176,V176*0.08*G176),0)))</f>
        <v/>
      </c>
      <c r="X176" s="82" t="str">
        <f aca="false">IF($A176="","",IF(D176="买入",0,IFERROR(IF(W176&lt;&gt;0,(H176-IFERROR(INDEX($H$2:$H175,MATCH(2,1/($C$2:$C175=$C176))),0))/W176,0),0)))</f>
        <v/>
      </c>
      <c r="Y176" s="82" t="str">
        <f aca="false">IF($A176="","",Y175+X176)</f>
        <v/>
      </c>
      <c r="Z176" s="1" t="str">
        <f aca="false">IF($A176="","",IF(X176&gt;0,IF(LEFT(Z175,1)="胜","胜"&amp;VALUE(RIGHT(Z175,LEN(Z175)-1))+1,"胜1"),IF(X176&lt;0,IF(LEFT(Z175,1)="亏","亏"&amp;VALUE(RIGHT(Z175,LEN(Z175)-1))+1,"亏1"),"平")))</f>
        <v/>
      </c>
      <c r="AA176" s="83" t="str">
        <f aca="false">IF($A176="","",MAX(0,(MAX($Y$2:Y176)-Y176)/MAX(1,MAX($Y$2:Y176))))</f>
        <v/>
      </c>
    </row>
    <row r="177" customFormat="false" ht="15" hidden="false" customHeight="true" outlineLevel="0" collapsed="false">
      <c r="A177" s="30"/>
      <c r="B177" s="30"/>
      <c r="C177" s="30"/>
      <c r="D177" s="30"/>
      <c r="E177" s="30"/>
      <c r="F177" s="44"/>
      <c r="G177" s="45"/>
      <c r="H177" s="35"/>
      <c r="I177" s="44"/>
      <c r="J177" s="45"/>
      <c r="K177" s="36"/>
      <c r="L177" s="44"/>
      <c r="M177" s="30"/>
      <c r="N177" s="31"/>
      <c r="O177" s="30"/>
      <c r="P177" s="31"/>
      <c r="Q177" s="30"/>
      <c r="R177" s="46"/>
      <c r="S177" s="31"/>
      <c r="T177" s="31"/>
      <c r="U177" s="30"/>
      <c r="V177" s="1" t="str">
        <f aca="false">IF($A177="","",IF(OR(D177="卖出",D177="分红"),IFERROR(INDEX($F$2:$F176,MATCH(2,1/($C$2:$C176=$C177))),""),""))</f>
        <v/>
      </c>
      <c r="W177" s="81" t="str">
        <f aca="false">IF($A177="","",IF(D177="买入",IF(AND(ISNUMBER(L177),L177&gt;0),(F177-L177)*G177,F177*0.08*G177),IF(AND(ISNUMBER(V177),V177&gt;0),IF(AND(ISNUMBER(L177),L177&gt;0),(V177-L177)*G177,V177*0.08*G177),0)))</f>
        <v/>
      </c>
      <c r="X177" s="82" t="str">
        <f aca="false">IF($A177="","",IF(D177="买入",0,IFERROR(IF(W177&lt;&gt;0,(H177-IFERROR(INDEX($H$2:$H176,MATCH(2,1/($C$2:$C176=$C177))),0))/W177,0),0)))</f>
        <v/>
      </c>
      <c r="Y177" s="82" t="str">
        <f aca="false">IF($A177="","",Y176+X177)</f>
        <v/>
      </c>
      <c r="Z177" s="1" t="str">
        <f aca="false">IF($A177="","",IF(X177&gt;0,IF(LEFT(Z176,1)="胜","胜"&amp;VALUE(RIGHT(Z176,LEN(Z176)-1))+1,"胜1"),IF(X177&lt;0,IF(LEFT(Z176,1)="亏","亏"&amp;VALUE(RIGHT(Z176,LEN(Z176)-1))+1,"亏1"),"平")))</f>
        <v/>
      </c>
      <c r="AA177" s="83" t="str">
        <f aca="false">IF($A177="","",MAX(0,(MAX($Y$2:Y177)-Y177)/MAX(1,MAX($Y$2:Y177))))</f>
        <v/>
      </c>
    </row>
    <row r="178" customFormat="false" ht="15" hidden="false" customHeight="true" outlineLevel="0" collapsed="false">
      <c r="A178" s="28"/>
      <c r="B178" s="28"/>
      <c r="C178" s="28"/>
      <c r="D178" s="28"/>
      <c r="E178" s="28"/>
      <c r="F178" s="34"/>
      <c r="G178" s="37"/>
      <c r="H178" s="35"/>
      <c r="I178" s="34"/>
      <c r="J178" s="37"/>
      <c r="K178" s="36"/>
      <c r="L178" s="34"/>
      <c r="M178" s="28"/>
      <c r="N178" s="29"/>
      <c r="O178" s="28"/>
      <c r="P178" s="29"/>
      <c r="Q178" s="28"/>
      <c r="R178" s="40"/>
      <c r="S178" s="29"/>
      <c r="T178" s="29"/>
      <c r="U178" s="28"/>
      <c r="V178" s="1" t="str">
        <f aca="false">IF($A178="","",IF(OR(D178="卖出",D178="分红"),IFERROR(INDEX($F$2:$F177,MATCH(2,1/($C$2:$C177=$C178))),""),""))</f>
        <v/>
      </c>
      <c r="W178" s="81" t="str">
        <f aca="false">IF($A178="","",IF(D178="买入",IF(AND(ISNUMBER(L178),L178&gt;0),(F178-L178)*G178,F178*0.08*G178),IF(AND(ISNUMBER(V178),V178&gt;0),IF(AND(ISNUMBER(L178),L178&gt;0),(V178-L178)*G178,V178*0.08*G178),0)))</f>
        <v/>
      </c>
      <c r="X178" s="82" t="str">
        <f aca="false">IF($A178="","",IF(D178="买入",0,IFERROR(IF(W178&lt;&gt;0,(H178-IFERROR(INDEX($H$2:$H177,MATCH(2,1/($C$2:$C177=$C178))),0))/W178,0),0)))</f>
        <v/>
      </c>
      <c r="Y178" s="82" t="str">
        <f aca="false">IF($A178="","",Y177+X178)</f>
        <v/>
      </c>
      <c r="Z178" s="1" t="str">
        <f aca="false">IF($A178="","",IF(X178&gt;0,IF(LEFT(Z177,1)="胜","胜"&amp;VALUE(RIGHT(Z177,LEN(Z177)-1))+1,"胜1"),IF(X178&lt;0,IF(LEFT(Z177,1)="亏","亏"&amp;VALUE(RIGHT(Z177,LEN(Z177)-1))+1,"亏1"),"平")))</f>
        <v/>
      </c>
      <c r="AA178" s="83" t="str">
        <f aca="false">IF($A178="","",MAX(0,(MAX($Y$2:Y178)-Y178)/MAX(1,MAX($Y$2:Y178))))</f>
        <v/>
      </c>
    </row>
    <row r="179" customFormat="false" ht="15" hidden="false" customHeight="true" outlineLevel="0" collapsed="false">
      <c r="A179" s="30"/>
      <c r="B179" s="30"/>
      <c r="C179" s="30"/>
      <c r="D179" s="30"/>
      <c r="E179" s="30"/>
      <c r="F179" s="44"/>
      <c r="G179" s="45"/>
      <c r="H179" s="35"/>
      <c r="I179" s="44"/>
      <c r="J179" s="45"/>
      <c r="K179" s="36"/>
      <c r="L179" s="44"/>
      <c r="M179" s="30"/>
      <c r="N179" s="31"/>
      <c r="O179" s="30"/>
      <c r="P179" s="31"/>
      <c r="Q179" s="30"/>
      <c r="R179" s="46"/>
      <c r="S179" s="31"/>
      <c r="T179" s="31"/>
      <c r="U179" s="30"/>
      <c r="V179" s="1" t="str">
        <f aca="false">IF($A179="","",IF(OR(D179="卖出",D179="分红"),IFERROR(INDEX($F$2:$F178,MATCH(2,1/($C$2:$C178=$C179))),""),""))</f>
        <v/>
      </c>
      <c r="W179" s="81" t="str">
        <f aca="false">IF($A179="","",IF(D179="买入",IF(AND(ISNUMBER(L179),L179&gt;0),(F179-L179)*G179,F179*0.08*G179),IF(AND(ISNUMBER(V179),V179&gt;0),IF(AND(ISNUMBER(L179),L179&gt;0),(V179-L179)*G179,V179*0.08*G179),0)))</f>
        <v/>
      </c>
      <c r="X179" s="82" t="str">
        <f aca="false">IF($A179="","",IF(D179="买入",0,IFERROR(IF(W179&lt;&gt;0,(H179-IFERROR(INDEX($H$2:$H178,MATCH(2,1/($C$2:$C178=$C179))),0))/W179,0),0)))</f>
        <v/>
      </c>
      <c r="Y179" s="82" t="str">
        <f aca="false">IF($A179="","",Y178+X179)</f>
        <v/>
      </c>
      <c r="Z179" s="1" t="str">
        <f aca="false">IF($A179="","",IF(X179&gt;0,IF(LEFT(Z178,1)="胜","胜"&amp;VALUE(RIGHT(Z178,LEN(Z178)-1))+1,"胜1"),IF(X179&lt;0,IF(LEFT(Z178,1)="亏","亏"&amp;VALUE(RIGHT(Z178,LEN(Z178)-1))+1,"亏1"),"平")))</f>
        <v/>
      </c>
      <c r="AA179" s="83" t="str">
        <f aca="false">IF($A179="","",MAX(0,(MAX($Y$2:Y179)-Y179)/MAX(1,MAX($Y$2:Y179))))</f>
        <v/>
      </c>
    </row>
    <row r="180" customFormat="false" ht="15" hidden="false" customHeight="true" outlineLevel="0" collapsed="false">
      <c r="A180" s="28"/>
      <c r="B180" s="28"/>
      <c r="C180" s="28"/>
      <c r="D180" s="28"/>
      <c r="E180" s="28"/>
      <c r="F180" s="34"/>
      <c r="G180" s="37"/>
      <c r="H180" s="35"/>
      <c r="I180" s="34"/>
      <c r="J180" s="37"/>
      <c r="K180" s="36"/>
      <c r="L180" s="34"/>
      <c r="M180" s="28"/>
      <c r="N180" s="29"/>
      <c r="O180" s="28"/>
      <c r="P180" s="29"/>
      <c r="Q180" s="28"/>
      <c r="R180" s="40"/>
      <c r="S180" s="29"/>
      <c r="T180" s="29"/>
      <c r="U180" s="28"/>
      <c r="V180" s="1" t="str">
        <f aca="false">IF($A180="","",IF(OR(D180="卖出",D180="分红"),IFERROR(INDEX($F$2:$F179,MATCH(2,1/($C$2:$C179=$C180))),""),""))</f>
        <v/>
      </c>
      <c r="W180" s="81" t="str">
        <f aca="false">IF($A180="","",IF(D180="买入",IF(AND(ISNUMBER(L180),L180&gt;0),(F180-L180)*G180,F180*0.08*G180),IF(AND(ISNUMBER(V180),V180&gt;0),IF(AND(ISNUMBER(L180),L180&gt;0),(V180-L180)*G180,V180*0.08*G180),0)))</f>
        <v/>
      </c>
      <c r="X180" s="82" t="str">
        <f aca="false">IF($A180="","",IF(D180="买入",0,IFERROR(IF(W180&lt;&gt;0,(H180-IFERROR(INDEX($H$2:$H179,MATCH(2,1/($C$2:$C179=$C180))),0))/W180,0),0)))</f>
        <v/>
      </c>
      <c r="Y180" s="82" t="str">
        <f aca="false">IF($A180="","",Y179+X180)</f>
        <v/>
      </c>
      <c r="Z180" s="1" t="str">
        <f aca="false">IF($A180="","",IF(X180&gt;0,IF(LEFT(Z179,1)="胜","胜"&amp;VALUE(RIGHT(Z179,LEN(Z179)-1))+1,"胜1"),IF(X180&lt;0,IF(LEFT(Z179,1)="亏","亏"&amp;VALUE(RIGHT(Z179,LEN(Z179)-1))+1,"亏1"),"平")))</f>
        <v/>
      </c>
      <c r="AA180" s="83" t="str">
        <f aca="false">IF($A180="","",MAX(0,(MAX($Y$2:Y180)-Y180)/MAX(1,MAX($Y$2:Y180))))</f>
        <v/>
      </c>
    </row>
    <row r="181" customFormat="false" ht="15" hidden="false" customHeight="true" outlineLevel="0" collapsed="false">
      <c r="A181" s="30"/>
      <c r="B181" s="30"/>
      <c r="C181" s="30"/>
      <c r="D181" s="30"/>
      <c r="E181" s="30"/>
      <c r="F181" s="44"/>
      <c r="G181" s="45"/>
      <c r="H181" s="35"/>
      <c r="I181" s="44"/>
      <c r="J181" s="45"/>
      <c r="K181" s="36"/>
      <c r="L181" s="44"/>
      <c r="M181" s="30"/>
      <c r="N181" s="31"/>
      <c r="O181" s="30"/>
      <c r="P181" s="31"/>
      <c r="Q181" s="30"/>
      <c r="R181" s="46"/>
      <c r="S181" s="31"/>
      <c r="T181" s="31"/>
      <c r="U181" s="30"/>
      <c r="V181" s="1" t="str">
        <f aca="false">IF($A181="","",IF(OR(D181="卖出",D181="分红"),IFERROR(INDEX($F$2:$F180,MATCH(2,1/($C$2:$C180=$C181))),""),""))</f>
        <v/>
      </c>
      <c r="W181" s="81" t="str">
        <f aca="false">IF($A181="","",IF(D181="买入",IF(AND(ISNUMBER(L181),L181&gt;0),(F181-L181)*G181,F181*0.08*G181),IF(AND(ISNUMBER(V181),V181&gt;0),IF(AND(ISNUMBER(L181),L181&gt;0),(V181-L181)*G181,V181*0.08*G181),0)))</f>
        <v/>
      </c>
      <c r="X181" s="82" t="str">
        <f aca="false">IF($A181="","",IF(D181="买入",0,IFERROR(IF(W181&lt;&gt;0,(H181-IFERROR(INDEX($H$2:$H180,MATCH(2,1/($C$2:$C180=$C181))),0))/W181,0),0)))</f>
        <v/>
      </c>
      <c r="Y181" s="82" t="str">
        <f aca="false">IF($A181="","",Y180+X181)</f>
        <v/>
      </c>
      <c r="Z181" s="1" t="str">
        <f aca="false">IF($A181="","",IF(X181&gt;0,IF(LEFT(Z180,1)="胜","胜"&amp;VALUE(RIGHT(Z180,LEN(Z180)-1))+1,"胜1"),IF(X181&lt;0,IF(LEFT(Z180,1)="亏","亏"&amp;VALUE(RIGHT(Z180,LEN(Z180)-1))+1,"亏1"),"平")))</f>
        <v/>
      </c>
      <c r="AA181" s="83" t="str">
        <f aca="false">IF($A181="","",MAX(0,(MAX($Y$2:Y181)-Y181)/MAX(1,MAX($Y$2:Y181))))</f>
        <v/>
      </c>
    </row>
    <row r="182" customFormat="false" ht="15" hidden="false" customHeight="true" outlineLevel="0" collapsed="false">
      <c r="A182" s="28"/>
      <c r="B182" s="28"/>
      <c r="C182" s="28"/>
      <c r="D182" s="28"/>
      <c r="E182" s="28"/>
      <c r="F182" s="34"/>
      <c r="G182" s="37"/>
      <c r="H182" s="35"/>
      <c r="I182" s="34"/>
      <c r="J182" s="37"/>
      <c r="K182" s="36"/>
      <c r="L182" s="34"/>
      <c r="M182" s="28"/>
      <c r="N182" s="29"/>
      <c r="O182" s="28"/>
      <c r="P182" s="29"/>
      <c r="Q182" s="28"/>
      <c r="R182" s="40"/>
      <c r="S182" s="29"/>
      <c r="T182" s="29"/>
      <c r="U182" s="28"/>
      <c r="V182" s="1" t="str">
        <f aca="false">IF($A182="","",IF(OR(D182="卖出",D182="分红"),IFERROR(INDEX($F$2:$F181,MATCH(2,1/($C$2:$C181=$C182))),""),""))</f>
        <v/>
      </c>
      <c r="W182" s="81" t="str">
        <f aca="false">IF($A182="","",IF(D182="买入",IF(AND(ISNUMBER(L182),L182&gt;0),(F182-L182)*G182,F182*0.08*G182),IF(AND(ISNUMBER(V182),V182&gt;0),IF(AND(ISNUMBER(L182),L182&gt;0),(V182-L182)*G182,V182*0.08*G182),0)))</f>
        <v/>
      </c>
      <c r="X182" s="82" t="str">
        <f aca="false">IF($A182="","",IF(D182="买入",0,IFERROR(IF(W182&lt;&gt;0,(H182-IFERROR(INDEX($H$2:$H181,MATCH(2,1/($C$2:$C181=$C182))),0))/W182,0),0)))</f>
        <v/>
      </c>
      <c r="Y182" s="82" t="str">
        <f aca="false">IF($A182="","",Y181+X182)</f>
        <v/>
      </c>
      <c r="Z182" s="1" t="str">
        <f aca="false">IF($A182="","",IF(X182&gt;0,IF(LEFT(Z181,1)="胜","胜"&amp;VALUE(RIGHT(Z181,LEN(Z181)-1))+1,"胜1"),IF(X182&lt;0,IF(LEFT(Z181,1)="亏","亏"&amp;VALUE(RIGHT(Z181,LEN(Z181)-1))+1,"亏1"),"平")))</f>
        <v/>
      </c>
      <c r="AA182" s="83" t="str">
        <f aca="false">IF($A182="","",MAX(0,(MAX($Y$2:Y182)-Y182)/MAX(1,MAX($Y$2:Y182))))</f>
        <v/>
      </c>
    </row>
    <row r="183" customFormat="false" ht="15" hidden="false" customHeight="true" outlineLevel="0" collapsed="false">
      <c r="A183" s="30"/>
      <c r="B183" s="30"/>
      <c r="C183" s="30"/>
      <c r="D183" s="30"/>
      <c r="E183" s="30"/>
      <c r="F183" s="44"/>
      <c r="G183" s="45"/>
      <c r="H183" s="35"/>
      <c r="I183" s="44"/>
      <c r="J183" s="45"/>
      <c r="K183" s="36"/>
      <c r="L183" s="44"/>
      <c r="M183" s="30"/>
      <c r="N183" s="31"/>
      <c r="O183" s="30"/>
      <c r="P183" s="31"/>
      <c r="Q183" s="30"/>
      <c r="R183" s="46"/>
      <c r="S183" s="31"/>
      <c r="T183" s="31"/>
      <c r="U183" s="30"/>
      <c r="V183" s="1" t="str">
        <f aca="false">IF($A183="","",IF(OR(D183="卖出",D183="分红"),IFERROR(INDEX($F$2:$F182,MATCH(2,1/($C$2:$C182=$C183))),""),""))</f>
        <v/>
      </c>
      <c r="W183" s="81" t="str">
        <f aca="false">IF($A183="","",IF(D183="买入",IF(AND(ISNUMBER(L183),L183&gt;0),(F183-L183)*G183,F183*0.08*G183),IF(AND(ISNUMBER(V183),V183&gt;0),IF(AND(ISNUMBER(L183),L183&gt;0),(V183-L183)*G183,V183*0.08*G183),0)))</f>
        <v/>
      </c>
      <c r="X183" s="82" t="str">
        <f aca="false">IF($A183="","",IF(D183="买入",0,IFERROR(IF(W183&lt;&gt;0,(H183-IFERROR(INDEX($H$2:$H182,MATCH(2,1/($C$2:$C182=$C183))),0))/W183,0),0)))</f>
        <v/>
      </c>
      <c r="Y183" s="82" t="str">
        <f aca="false">IF($A183="","",Y182+X183)</f>
        <v/>
      </c>
      <c r="Z183" s="1" t="str">
        <f aca="false">IF($A183="","",IF(X183&gt;0,IF(LEFT(Z182,1)="胜","胜"&amp;VALUE(RIGHT(Z182,LEN(Z182)-1))+1,"胜1"),IF(X183&lt;0,IF(LEFT(Z182,1)="亏","亏"&amp;VALUE(RIGHT(Z182,LEN(Z182)-1))+1,"亏1"),"平")))</f>
        <v/>
      </c>
      <c r="AA183" s="83" t="str">
        <f aca="false">IF($A183="","",MAX(0,(MAX($Y$2:Y183)-Y183)/MAX(1,MAX($Y$2:Y183))))</f>
        <v/>
      </c>
    </row>
    <row r="184" customFormat="false" ht="15" hidden="false" customHeight="true" outlineLevel="0" collapsed="false">
      <c r="A184" s="28"/>
      <c r="B184" s="28"/>
      <c r="C184" s="28"/>
      <c r="D184" s="28"/>
      <c r="E184" s="28"/>
      <c r="F184" s="34"/>
      <c r="G184" s="37"/>
      <c r="H184" s="35"/>
      <c r="I184" s="34"/>
      <c r="J184" s="37"/>
      <c r="K184" s="36"/>
      <c r="L184" s="34"/>
      <c r="M184" s="28"/>
      <c r="N184" s="29"/>
      <c r="O184" s="28"/>
      <c r="P184" s="29"/>
      <c r="Q184" s="28"/>
      <c r="R184" s="40"/>
      <c r="S184" s="29"/>
      <c r="T184" s="29"/>
      <c r="U184" s="28"/>
      <c r="V184" s="1" t="str">
        <f aca="false">IF($A184="","",IF(OR(D184="卖出",D184="分红"),IFERROR(INDEX($F$2:$F183,MATCH(2,1/($C$2:$C183=$C184))),""),""))</f>
        <v/>
      </c>
      <c r="W184" s="81" t="str">
        <f aca="false">IF($A184="","",IF(D184="买入",IF(AND(ISNUMBER(L184),L184&gt;0),(F184-L184)*G184,F184*0.08*G184),IF(AND(ISNUMBER(V184),V184&gt;0),IF(AND(ISNUMBER(L184),L184&gt;0),(V184-L184)*G184,V184*0.08*G184),0)))</f>
        <v/>
      </c>
      <c r="X184" s="82" t="str">
        <f aca="false">IF($A184="","",IF(D184="买入",0,IFERROR(IF(W184&lt;&gt;0,(H184-IFERROR(INDEX($H$2:$H183,MATCH(2,1/($C$2:$C183=$C184))),0))/W184,0),0)))</f>
        <v/>
      </c>
      <c r="Y184" s="82" t="str">
        <f aca="false">IF($A184="","",Y183+X184)</f>
        <v/>
      </c>
      <c r="Z184" s="1" t="str">
        <f aca="false">IF($A184="","",IF(X184&gt;0,IF(LEFT(Z183,1)="胜","胜"&amp;VALUE(RIGHT(Z183,LEN(Z183)-1))+1,"胜1"),IF(X184&lt;0,IF(LEFT(Z183,1)="亏","亏"&amp;VALUE(RIGHT(Z183,LEN(Z183)-1))+1,"亏1"),"平")))</f>
        <v/>
      </c>
      <c r="AA184" s="83" t="str">
        <f aca="false">IF($A184="","",MAX(0,(MAX($Y$2:Y184)-Y184)/MAX(1,MAX($Y$2:Y184))))</f>
        <v/>
      </c>
    </row>
    <row r="185" customFormat="false" ht="15" hidden="false" customHeight="true" outlineLevel="0" collapsed="false">
      <c r="A185" s="30"/>
      <c r="B185" s="30"/>
      <c r="C185" s="30"/>
      <c r="D185" s="30"/>
      <c r="E185" s="30"/>
      <c r="F185" s="44"/>
      <c r="G185" s="45"/>
      <c r="H185" s="35"/>
      <c r="I185" s="44"/>
      <c r="J185" s="45"/>
      <c r="K185" s="36"/>
      <c r="L185" s="44"/>
      <c r="M185" s="30"/>
      <c r="N185" s="31"/>
      <c r="O185" s="30"/>
      <c r="P185" s="31"/>
      <c r="Q185" s="30"/>
      <c r="R185" s="46"/>
      <c r="S185" s="31"/>
      <c r="T185" s="31"/>
      <c r="U185" s="30"/>
      <c r="V185" s="1" t="str">
        <f aca="false">IF($A185="","",IF(OR(D185="卖出",D185="分红"),IFERROR(INDEX($F$2:$F184,MATCH(2,1/($C$2:$C184=$C185))),""),""))</f>
        <v/>
      </c>
      <c r="W185" s="81" t="str">
        <f aca="false">IF($A185="","",IF(D185="买入",IF(AND(ISNUMBER(L185),L185&gt;0),(F185-L185)*G185,F185*0.08*G185),IF(AND(ISNUMBER(V185),V185&gt;0),IF(AND(ISNUMBER(L185),L185&gt;0),(V185-L185)*G185,V185*0.08*G185),0)))</f>
        <v/>
      </c>
      <c r="X185" s="82" t="str">
        <f aca="false">IF($A185="","",IF(D185="买入",0,IFERROR(IF(W185&lt;&gt;0,(H185-IFERROR(INDEX($H$2:$H184,MATCH(2,1/($C$2:$C184=$C185))),0))/W185,0),0)))</f>
        <v/>
      </c>
      <c r="Y185" s="82" t="str">
        <f aca="false">IF($A185="","",Y184+X185)</f>
        <v/>
      </c>
      <c r="Z185" s="1" t="str">
        <f aca="false">IF($A185="","",IF(X185&gt;0,IF(LEFT(Z184,1)="胜","胜"&amp;VALUE(RIGHT(Z184,LEN(Z184)-1))+1,"胜1"),IF(X185&lt;0,IF(LEFT(Z184,1)="亏","亏"&amp;VALUE(RIGHT(Z184,LEN(Z184)-1))+1,"亏1"),"平")))</f>
        <v/>
      </c>
      <c r="AA185" s="83" t="str">
        <f aca="false">IF($A185="","",MAX(0,(MAX($Y$2:Y185)-Y185)/MAX(1,MAX($Y$2:Y185))))</f>
        <v/>
      </c>
    </row>
    <row r="186" customFormat="false" ht="15" hidden="false" customHeight="true" outlineLevel="0" collapsed="false">
      <c r="A186" s="28"/>
      <c r="B186" s="28"/>
      <c r="C186" s="28"/>
      <c r="D186" s="28"/>
      <c r="E186" s="28"/>
      <c r="F186" s="34"/>
      <c r="G186" s="37"/>
      <c r="H186" s="35"/>
      <c r="I186" s="34"/>
      <c r="J186" s="37"/>
      <c r="K186" s="36"/>
      <c r="L186" s="34"/>
      <c r="M186" s="28"/>
      <c r="N186" s="29"/>
      <c r="O186" s="28"/>
      <c r="P186" s="29"/>
      <c r="Q186" s="28"/>
      <c r="R186" s="40"/>
      <c r="S186" s="29"/>
      <c r="T186" s="29"/>
      <c r="U186" s="28"/>
      <c r="V186" s="1" t="str">
        <f aca="false">IF($A186="","",IF(OR(D186="卖出",D186="分红"),IFERROR(INDEX($F$2:$F185,MATCH(2,1/($C$2:$C185=$C186))),""),""))</f>
        <v/>
      </c>
      <c r="W186" s="81" t="str">
        <f aca="false">IF($A186="","",IF(D186="买入",IF(AND(ISNUMBER(L186),L186&gt;0),(F186-L186)*G186,F186*0.08*G186),IF(AND(ISNUMBER(V186),V186&gt;0),IF(AND(ISNUMBER(L186),L186&gt;0),(V186-L186)*G186,V186*0.08*G186),0)))</f>
        <v/>
      </c>
      <c r="X186" s="82" t="str">
        <f aca="false">IF($A186="","",IF(D186="买入",0,IFERROR(IF(W186&lt;&gt;0,(H186-IFERROR(INDEX($H$2:$H185,MATCH(2,1/($C$2:$C185=$C186))),0))/W186,0),0)))</f>
        <v/>
      </c>
      <c r="Y186" s="82" t="str">
        <f aca="false">IF($A186="","",Y185+X186)</f>
        <v/>
      </c>
      <c r="Z186" s="1" t="str">
        <f aca="false">IF($A186="","",IF(X186&gt;0,IF(LEFT(Z185,1)="胜","胜"&amp;VALUE(RIGHT(Z185,LEN(Z185)-1))+1,"胜1"),IF(X186&lt;0,IF(LEFT(Z185,1)="亏","亏"&amp;VALUE(RIGHT(Z185,LEN(Z185)-1))+1,"亏1"),"平")))</f>
        <v/>
      </c>
      <c r="AA186" s="83" t="str">
        <f aca="false">IF($A186="","",MAX(0,(MAX($Y$2:Y186)-Y186)/MAX(1,MAX($Y$2:Y186))))</f>
        <v/>
      </c>
    </row>
    <row r="187" customFormat="false" ht="15" hidden="false" customHeight="true" outlineLevel="0" collapsed="false">
      <c r="A187" s="30"/>
      <c r="B187" s="30"/>
      <c r="C187" s="30"/>
      <c r="D187" s="30"/>
      <c r="E187" s="30"/>
      <c r="F187" s="44"/>
      <c r="G187" s="45"/>
      <c r="H187" s="35"/>
      <c r="I187" s="44"/>
      <c r="J187" s="45"/>
      <c r="K187" s="36"/>
      <c r="L187" s="44"/>
      <c r="M187" s="30"/>
      <c r="N187" s="31"/>
      <c r="O187" s="30"/>
      <c r="P187" s="31"/>
      <c r="Q187" s="30"/>
      <c r="R187" s="46"/>
      <c r="S187" s="31"/>
      <c r="T187" s="31"/>
      <c r="U187" s="30"/>
      <c r="V187" s="1" t="str">
        <f aca="false">IF($A187="","",IF(OR(D187="卖出",D187="分红"),IFERROR(INDEX($F$2:$F186,MATCH(2,1/($C$2:$C186=$C187))),""),""))</f>
        <v/>
      </c>
      <c r="W187" s="81" t="str">
        <f aca="false">IF($A187="","",IF(D187="买入",IF(AND(ISNUMBER(L187),L187&gt;0),(F187-L187)*G187,F187*0.08*G187),IF(AND(ISNUMBER(V187),V187&gt;0),IF(AND(ISNUMBER(L187),L187&gt;0),(V187-L187)*G187,V187*0.08*G187),0)))</f>
        <v/>
      </c>
      <c r="X187" s="82" t="str">
        <f aca="false">IF($A187="","",IF(D187="买入",0,IFERROR(IF(W187&lt;&gt;0,(H187-IFERROR(INDEX($H$2:$H186,MATCH(2,1/($C$2:$C186=$C187))),0))/W187,0),0)))</f>
        <v/>
      </c>
      <c r="Y187" s="82" t="str">
        <f aca="false">IF($A187="","",Y186+X187)</f>
        <v/>
      </c>
      <c r="Z187" s="1" t="str">
        <f aca="false">IF($A187="","",IF(X187&gt;0,IF(LEFT(Z186,1)="胜","胜"&amp;VALUE(RIGHT(Z186,LEN(Z186)-1))+1,"胜1"),IF(X187&lt;0,IF(LEFT(Z186,1)="亏","亏"&amp;VALUE(RIGHT(Z186,LEN(Z186)-1))+1,"亏1"),"平")))</f>
        <v/>
      </c>
      <c r="AA187" s="83" t="str">
        <f aca="false">IF($A187="","",MAX(0,(MAX($Y$2:Y187)-Y187)/MAX(1,MAX($Y$2:Y187))))</f>
        <v/>
      </c>
    </row>
    <row r="188" customFormat="false" ht="15" hidden="false" customHeight="true" outlineLevel="0" collapsed="false">
      <c r="A188" s="28"/>
      <c r="B188" s="28"/>
      <c r="C188" s="28"/>
      <c r="D188" s="28"/>
      <c r="E188" s="28"/>
      <c r="F188" s="34"/>
      <c r="G188" s="37"/>
      <c r="H188" s="35"/>
      <c r="I188" s="34"/>
      <c r="J188" s="37"/>
      <c r="K188" s="36"/>
      <c r="L188" s="34"/>
      <c r="M188" s="28"/>
      <c r="N188" s="29"/>
      <c r="O188" s="28"/>
      <c r="P188" s="29"/>
      <c r="Q188" s="28"/>
      <c r="R188" s="40"/>
      <c r="S188" s="29"/>
      <c r="T188" s="29"/>
      <c r="U188" s="28"/>
      <c r="V188" s="1" t="str">
        <f aca="false">IF($A188="","",IF(OR(D188="卖出",D188="分红"),IFERROR(INDEX($F$2:$F187,MATCH(2,1/($C$2:$C187=$C188))),""),""))</f>
        <v/>
      </c>
      <c r="W188" s="81" t="str">
        <f aca="false">IF($A188="","",IF(D188="买入",IF(AND(ISNUMBER(L188),L188&gt;0),(F188-L188)*G188,F188*0.08*G188),IF(AND(ISNUMBER(V188),V188&gt;0),IF(AND(ISNUMBER(L188),L188&gt;0),(V188-L188)*G188,V188*0.08*G188),0)))</f>
        <v/>
      </c>
      <c r="X188" s="82" t="str">
        <f aca="false">IF($A188="","",IF(D188="买入",0,IFERROR(IF(W188&lt;&gt;0,(H188-IFERROR(INDEX($H$2:$H187,MATCH(2,1/($C$2:$C187=$C188))),0))/W188,0),0)))</f>
        <v/>
      </c>
      <c r="Y188" s="82" t="str">
        <f aca="false">IF($A188="","",Y187+X188)</f>
        <v/>
      </c>
      <c r="Z188" s="1" t="str">
        <f aca="false">IF($A188="","",IF(X188&gt;0,IF(LEFT(Z187,1)="胜","胜"&amp;VALUE(RIGHT(Z187,LEN(Z187)-1))+1,"胜1"),IF(X188&lt;0,IF(LEFT(Z187,1)="亏","亏"&amp;VALUE(RIGHT(Z187,LEN(Z187)-1))+1,"亏1"),"平")))</f>
        <v/>
      </c>
      <c r="AA188" s="83" t="str">
        <f aca="false">IF($A188="","",MAX(0,(MAX($Y$2:Y188)-Y188)/MAX(1,MAX($Y$2:Y188))))</f>
        <v/>
      </c>
    </row>
    <row r="189" customFormat="false" ht="15" hidden="false" customHeight="true" outlineLevel="0" collapsed="false">
      <c r="A189" s="30"/>
      <c r="B189" s="30"/>
      <c r="C189" s="30"/>
      <c r="D189" s="30"/>
      <c r="E189" s="30"/>
      <c r="F189" s="44"/>
      <c r="G189" s="45"/>
      <c r="H189" s="35"/>
      <c r="I189" s="44"/>
      <c r="J189" s="45"/>
      <c r="K189" s="36"/>
      <c r="L189" s="44"/>
      <c r="M189" s="30"/>
      <c r="N189" s="31"/>
      <c r="O189" s="30"/>
      <c r="P189" s="31"/>
      <c r="Q189" s="30"/>
      <c r="R189" s="46"/>
      <c r="S189" s="31"/>
      <c r="T189" s="31"/>
      <c r="U189" s="30"/>
      <c r="V189" s="1" t="str">
        <f aca="false">IF($A189="","",IF(OR(D189="卖出",D189="分红"),IFERROR(INDEX($F$2:$F188,MATCH(2,1/($C$2:$C188=$C189))),""),""))</f>
        <v/>
      </c>
      <c r="W189" s="81" t="str">
        <f aca="false">IF($A189="","",IF(D189="买入",IF(AND(ISNUMBER(L189),L189&gt;0),(F189-L189)*G189,F189*0.08*G189),IF(AND(ISNUMBER(V189),V189&gt;0),IF(AND(ISNUMBER(L189),L189&gt;0),(V189-L189)*G189,V189*0.08*G189),0)))</f>
        <v/>
      </c>
      <c r="X189" s="82" t="str">
        <f aca="false">IF($A189="","",IF(D189="买入",0,IFERROR(IF(W189&lt;&gt;0,(H189-IFERROR(INDEX($H$2:$H188,MATCH(2,1/($C$2:$C188=$C189))),0))/W189,0),0)))</f>
        <v/>
      </c>
      <c r="Y189" s="82" t="str">
        <f aca="false">IF($A189="","",Y188+X189)</f>
        <v/>
      </c>
      <c r="Z189" s="1" t="str">
        <f aca="false">IF($A189="","",IF(X189&gt;0,IF(LEFT(Z188,1)="胜","胜"&amp;VALUE(RIGHT(Z188,LEN(Z188)-1))+1,"胜1"),IF(X189&lt;0,IF(LEFT(Z188,1)="亏","亏"&amp;VALUE(RIGHT(Z188,LEN(Z188)-1))+1,"亏1"),"平")))</f>
        <v/>
      </c>
      <c r="AA189" s="83" t="str">
        <f aca="false">IF($A189="","",MAX(0,(MAX($Y$2:Y189)-Y189)/MAX(1,MAX($Y$2:Y189))))</f>
        <v/>
      </c>
    </row>
    <row r="190" customFormat="false" ht="15" hidden="false" customHeight="true" outlineLevel="0" collapsed="false">
      <c r="A190" s="28"/>
      <c r="B190" s="28"/>
      <c r="C190" s="28"/>
      <c r="D190" s="28"/>
      <c r="E190" s="28"/>
      <c r="F190" s="34"/>
      <c r="G190" s="37"/>
      <c r="H190" s="35"/>
      <c r="I190" s="34"/>
      <c r="J190" s="37"/>
      <c r="K190" s="36"/>
      <c r="L190" s="34"/>
      <c r="M190" s="28"/>
      <c r="N190" s="29"/>
      <c r="O190" s="28"/>
      <c r="P190" s="29"/>
      <c r="Q190" s="28"/>
      <c r="R190" s="40"/>
      <c r="S190" s="29"/>
      <c r="T190" s="29"/>
      <c r="U190" s="28"/>
      <c r="V190" s="1" t="str">
        <f aca="false">IF($A190="","",IF(OR(D190="卖出",D190="分红"),IFERROR(INDEX($F$2:$F189,MATCH(2,1/($C$2:$C189=$C190))),""),""))</f>
        <v/>
      </c>
      <c r="W190" s="81" t="str">
        <f aca="false">IF($A190="","",IF(D190="买入",IF(AND(ISNUMBER(L190),L190&gt;0),(F190-L190)*G190,F190*0.08*G190),IF(AND(ISNUMBER(V190),V190&gt;0),IF(AND(ISNUMBER(L190),L190&gt;0),(V190-L190)*G190,V190*0.08*G190),0)))</f>
        <v/>
      </c>
      <c r="X190" s="82" t="str">
        <f aca="false">IF($A190="","",IF(D190="买入",0,IFERROR(IF(W190&lt;&gt;0,(H190-IFERROR(INDEX($H$2:$H189,MATCH(2,1/($C$2:$C189=$C190))),0))/W190,0),0)))</f>
        <v/>
      </c>
      <c r="Y190" s="82" t="str">
        <f aca="false">IF($A190="","",Y189+X190)</f>
        <v/>
      </c>
      <c r="Z190" s="1" t="str">
        <f aca="false">IF($A190="","",IF(X190&gt;0,IF(LEFT(Z189,1)="胜","胜"&amp;VALUE(RIGHT(Z189,LEN(Z189)-1))+1,"胜1"),IF(X190&lt;0,IF(LEFT(Z189,1)="亏","亏"&amp;VALUE(RIGHT(Z189,LEN(Z189)-1))+1,"亏1"),"平")))</f>
        <v/>
      </c>
      <c r="AA190" s="83" t="str">
        <f aca="false">IF($A190="","",MAX(0,(MAX($Y$2:Y190)-Y190)/MAX(1,MAX($Y$2:Y190))))</f>
        <v/>
      </c>
    </row>
    <row r="191" customFormat="false" ht="15" hidden="false" customHeight="true" outlineLevel="0" collapsed="false">
      <c r="A191" s="30"/>
      <c r="B191" s="30"/>
      <c r="C191" s="30"/>
      <c r="D191" s="30"/>
      <c r="E191" s="30"/>
      <c r="F191" s="44"/>
      <c r="G191" s="45"/>
      <c r="H191" s="35"/>
      <c r="I191" s="44"/>
      <c r="J191" s="45"/>
      <c r="K191" s="36"/>
      <c r="L191" s="44"/>
      <c r="M191" s="30"/>
      <c r="N191" s="31"/>
      <c r="O191" s="30"/>
      <c r="P191" s="31"/>
      <c r="Q191" s="30"/>
      <c r="R191" s="46"/>
      <c r="S191" s="31"/>
      <c r="T191" s="31"/>
      <c r="U191" s="30"/>
      <c r="V191" s="1" t="str">
        <f aca="false">IF($A191="","",IF(OR(D191="卖出",D191="分红"),IFERROR(INDEX($F$2:$F190,MATCH(2,1/($C$2:$C190=$C191))),""),""))</f>
        <v/>
      </c>
      <c r="W191" s="81" t="str">
        <f aca="false">IF($A191="","",IF(D191="买入",IF(AND(ISNUMBER(L191),L191&gt;0),(F191-L191)*G191,F191*0.08*G191),IF(AND(ISNUMBER(V191),V191&gt;0),IF(AND(ISNUMBER(L191),L191&gt;0),(V191-L191)*G191,V191*0.08*G191),0)))</f>
        <v/>
      </c>
      <c r="X191" s="82" t="str">
        <f aca="false">IF($A191="","",IF(D191="买入",0,IFERROR(IF(W191&lt;&gt;0,(H191-IFERROR(INDEX($H$2:$H190,MATCH(2,1/($C$2:$C190=$C191))),0))/W191,0),0)))</f>
        <v/>
      </c>
      <c r="Y191" s="82" t="str">
        <f aca="false">IF($A191="","",Y190+X191)</f>
        <v/>
      </c>
      <c r="Z191" s="1" t="str">
        <f aca="false">IF($A191="","",IF(X191&gt;0,IF(LEFT(Z190,1)="胜","胜"&amp;VALUE(RIGHT(Z190,LEN(Z190)-1))+1,"胜1"),IF(X191&lt;0,IF(LEFT(Z190,1)="亏","亏"&amp;VALUE(RIGHT(Z190,LEN(Z190)-1))+1,"亏1"),"平")))</f>
        <v/>
      </c>
      <c r="AA191" s="83" t="str">
        <f aca="false">IF($A191="","",MAX(0,(MAX($Y$2:Y191)-Y191)/MAX(1,MAX($Y$2:Y191))))</f>
        <v/>
      </c>
    </row>
    <row r="192" customFormat="false" ht="15" hidden="false" customHeight="true" outlineLevel="0" collapsed="false">
      <c r="A192" s="28"/>
      <c r="B192" s="28"/>
      <c r="C192" s="28"/>
      <c r="D192" s="28"/>
      <c r="E192" s="28"/>
      <c r="F192" s="34"/>
      <c r="G192" s="37"/>
      <c r="H192" s="35"/>
      <c r="I192" s="34"/>
      <c r="J192" s="37"/>
      <c r="K192" s="36"/>
      <c r="L192" s="34"/>
      <c r="M192" s="28"/>
      <c r="N192" s="29"/>
      <c r="O192" s="28"/>
      <c r="P192" s="29"/>
      <c r="Q192" s="28"/>
      <c r="R192" s="40"/>
      <c r="S192" s="29"/>
      <c r="T192" s="29"/>
      <c r="U192" s="28"/>
      <c r="V192" s="1" t="str">
        <f aca="false">IF($A192="","",IF(OR(D192="卖出",D192="分红"),IFERROR(INDEX($F$2:$F191,MATCH(2,1/($C$2:$C191=$C192))),""),""))</f>
        <v/>
      </c>
      <c r="W192" s="81" t="str">
        <f aca="false">IF($A192="","",IF(D192="买入",IF(AND(ISNUMBER(L192),L192&gt;0),(F192-L192)*G192,F192*0.08*G192),IF(AND(ISNUMBER(V192),V192&gt;0),IF(AND(ISNUMBER(L192),L192&gt;0),(V192-L192)*G192,V192*0.08*G192),0)))</f>
        <v/>
      </c>
      <c r="X192" s="82" t="str">
        <f aca="false">IF($A192="","",IF(D192="买入",0,IFERROR(IF(W192&lt;&gt;0,(H192-IFERROR(INDEX($H$2:$H191,MATCH(2,1/($C$2:$C191=$C192))),0))/W192,0),0)))</f>
        <v/>
      </c>
      <c r="Y192" s="82" t="str">
        <f aca="false">IF($A192="","",Y191+X192)</f>
        <v/>
      </c>
      <c r="Z192" s="1" t="str">
        <f aca="false">IF($A192="","",IF(X192&gt;0,IF(LEFT(Z191,1)="胜","胜"&amp;VALUE(RIGHT(Z191,LEN(Z191)-1))+1,"胜1"),IF(X192&lt;0,IF(LEFT(Z191,1)="亏","亏"&amp;VALUE(RIGHT(Z191,LEN(Z191)-1))+1,"亏1"),"平")))</f>
        <v/>
      </c>
      <c r="AA192" s="83" t="str">
        <f aca="false">IF($A192="","",MAX(0,(MAX($Y$2:Y192)-Y192)/MAX(1,MAX($Y$2:Y192))))</f>
        <v/>
      </c>
    </row>
    <row r="193" customFormat="false" ht="15" hidden="false" customHeight="true" outlineLevel="0" collapsed="false">
      <c r="A193" s="30"/>
      <c r="B193" s="30"/>
      <c r="C193" s="30"/>
      <c r="D193" s="30"/>
      <c r="E193" s="30"/>
      <c r="F193" s="44"/>
      <c r="G193" s="45"/>
      <c r="H193" s="35"/>
      <c r="I193" s="44"/>
      <c r="J193" s="45"/>
      <c r="K193" s="36"/>
      <c r="L193" s="44"/>
      <c r="M193" s="30"/>
      <c r="N193" s="31"/>
      <c r="O193" s="30"/>
      <c r="P193" s="31"/>
      <c r="Q193" s="30"/>
      <c r="R193" s="46"/>
      <c r="S193" s="31"/>
      <c r="T193" s="31"/>
      <c r="U193" s="30"/>
      <c r="V193" s="1" t="str">
        <f aca="false">IF($A193="","",IF(OR(D193="卖出",D193="分红"),IFERROR(INDEX($F$2:$F192,MATCH(2,1/($C$2:$C192=$C193))),""),""))</f>
        <v/>
      </c>
      <c r="W193" s="81" t="str">
        <f aca="false">IF($A193="","",IF(D193="买入",IF(AND(ISNUMBER(L193),L193&gt;0),(F193-L193)*G193,F193*0.08*G193),IF(AND(ISNUMBER(V193),V193&gt;0),IF(AND(ISNUMBER(L193),L193&gt;0),(V193-L193)*G193,V193*0.08*G193),0)))</f>
        <v/>
      </c>
      <c r="X193" s="82" t="str">
        <f aca="false">IF($A193="","",IF(D193="买入",0,IFERROR(IF(W193&lt;&gt;0,(H193-IFERROR(INDEX($H$2:$H192,MATCH(2,1/($C$2:$C192=$C193))),0))/W193,0),0)))</f>
        <v/>
      </c>
      <c r="Y193" s="82" t="str">
        <f aca="false">IF($A193="","",Y192+X193)</f>
        <v/>
      </c>
      <c r="Z193" s="1" t="str">
        <f aca="false">IF($A193="","",IF(X193&gt;0,IF(LEFT(Z192,1)="胜","胜"&amp;VALUE(RIGHT(Z192,LEN(Z192)-1))+1,"胜1"),IF(X193&lt;0,IF(LEFT(Z192,1)="亏","亏"&amp;VALUE(RIGHT(Z192,LEN(Z192)-1))+1,"亏1"),"平")))</f>
        <v/>
      </c>
      <c r="AA193" s="83" t="str">
        <f aca="false">IF($A193="","",MAX(0,(MAX($Y$2:Y193)-Y193)/MAX(1,MAX($Y$2:Y193))))</f>
        <v/>
      </c>
    </row>
    <row r="194" customFormat="false" ht="15" hidden="false" customHeight="true" outlineLevel="0" collapsed="false">
      <c r="A194" s="28"/>
      <c r="B194" s="28"/>
      <c r="C194" s="28"/>
      <c r="D194" s="28"/>
      <c r="E194" s="28"/>
      <c r="F194" s="34"/>
      <c r="G194" s="37"/>
      <c r="H194" s="35"/>
      <c r="I194" s="34"/>
      <c r="J194" s="37"/>
      <c r="K194" s="36"/>
      <c r="L194" s="34"/>
      <c r="M194" s="28"/>
      <c r="N194" s="29"/>
      <c r="O194" s="28"/>
      <c r="P194" s="29"/>
      <c r="Q194" s="28"/>
      <c r="R194" s="40"/>
      <c r="S194" s="29"/>
      <c r="T194" s="29"/>
      <c r="U194" s="28"/>
      <c r="V194" s="1" t="str">
        <f aca="false">IF($A194="","",IF(OR(D194="卖出",D194="分红"),IFERROR(INDEX($F$2:$F193,MATCH(2,1/($C$2:$C193=$C194))),""),""))</f>
        <v/>
      </c>
      <c r="W194" s="81" t="str">
        <f aca="false">IF($A194="","",IF(D194="买入",IF(AND(ISNUMBER(L194),L194&gt;0),(F194-L194)*G194,F194*0.08*G194),IF(AND(ISNUMBER(V194),V194&gt;0),IF(AND(ISNUMBER(L194),L194&gt;0),(V194-L194)*G194,V194*0.08*G194),0)))</f>
        <v/>
      </c>
      <c r="X194" s="82" t="str">
        <f aca="false">IF($A194="","",IF(D194="买入",0,IFERROR(IF(W194&lt;&gt;0,(H194-IFERROR(INDEX($H$2:$H193,MATCH(2,1/($C$2:$C193=$C194))),0))/W194,0),0)))</f>
        <v/>
      </c>
      <c r="Y194" s="82" t="str">
        <f aca="false">IF($A194="","",Y193+X194)</f>
        <v/>
      </c>
      <c r="Z194" s="1" t="str">
        <f aca="false">IF($A194="","",IF(X194&gt;0,IF(LEFT(Z193,1)="胜","胜"&amp;VALUE(RIGHT(Z193,LEN(Z193)-1))+1,"胜1"),IF(X194&lt;0,IF(LEFT(Z193,1)="亏","亏"&amp;VALUE(RIGHT(Z193,LEN(Z193)-1))+1,"亏1"),"平")))</f>
        <v/>
      </c>
      <c r="AA194" s="83" t="str">
        <f aca="false">IF($A194="","",MAX(0,(MAX($Y$2:Y194)-Y194)/MAX(1,MAX($Y$2:Y194))))</f>
        <v/>
      </c>
    </row>
    <row r="195" customFormat="false" ht="15" hidden="false" customHeight="true" outlineLevel="0" collapsed="false">
      <c r="A195" s="30"/>
      <c r="B195" s="30"/>
      <c r="C195" s="30"/>
      <c r="D195" s="30"/>
      <c r="E195" s="30"/>
      <c r="F195" s="44"/>
      <c r="G195" s="45"/>
      <c r="H195" s="35"/>
      <c r="I195" s="44"/>
      <c r="J195" s="45"/>
      <c r="K195" s="36"/>
      <c r="L195" s="44"/>
      <c r="M195" s="30"/>
      <c r="N195" s="31"/>
      <c r="O195" s="30"/>
      <c r="P195" s="31"/>
      <c r="Q195" s="30"/>
      <c r="R195" s="46"/>
      <c r="S195" s="31"/>
      <c r="T195" s="31"/>
      <c r="U195" s="30"/>
      <c r="V195" s="1" t="str">
        <f aca="false">IF($A195="","",IF(OR(D195="卖出",D195="分红"),IFERROR(INDEX($F$2:$F194,MATCH(2,1/($C$2:$C194=$C195))),""),""))</f>
        <v/>
      </c>
      <c r="W195" s="81" t="str">
        <f aca="false">IF($A195="","",IF(D195="买入",IF(AND(ISNUMBER(L195),L195&gt;0),(F195-L195)*G195,F195*0.08*G195),IF(AND(ISNUMBER(V195),V195&gt;0),IF(AND(ISNUMBER(L195),L195&gt;0),(V195-L195)*G195,V195*0.08*G195),0)))</f>
        <v/>
      </c>
      <c r="X195" s="82" t="str">
        <f aca="false">IF($A195="","",IF(D195="买入",0,IFERROR(IF(W195&lt;&gt;0,(H195-IFERROR(INDEX($H$2:$H194,MATCH(2,1/($C$2:$C194=$C195))),0))/W195,0),0)))</f>
        <v/>
      </c>
      <c r="Y195" s="82" t="str">
        <f aca="false">IF($A195="","",Y194+X195)</f>
        <v/>
      </c>
      <c r="Z195" s="1" t="str">
        <f aca="false">IF($A195="","",IF(X195&gt;0,IF(LEFT(Z194,1)="胜","胜"&amp;VALUE(RIGHT(Z194,LEN(Z194)-1))+1,"胜1"),IF(X195&lt;0,IF(LEFT(Z194,1)="亏","亏"&amp;VALUE(RIGHT(Z194,LEN(Z194)-1))+1,"亏1"),"平")))</f>
        <v/>
      </c>
      <c r="AA195" s="83" t="str">
        <f aca="false">IF($A195="","",MAX(0,(MAX($Y$2:Y195)-Y195)/MAX(1,MAX($Y$2:Y195))))</f>
        <v/>
      </c>
    </row>
    <row r="196" customFormat="false" ht="15" hidden="false" customHeight="true" outlineLevel="0" collapsed="false">
      <c r="A196" s="28"/>
      <c r="B196" s="28"/>
      <c r="C196" s="28"/>
      <c r="D196" s="28"/>
      <c r="E196" s="28"/>
      <c r="F196" s="34"/>
      <c r="G196" s="37"/>
      <c r="H196" s="35"/>
      <c r="I196" s="34"/>
      <c r="J196" s="37"/>
      <c r="K196" s="36"/>
      <c r="L196" s="34"/>
      <c r="M196" s="28"/>
      <c r="N196" s="29"/>
      <c r="O196" s="28"/>
      <c r="P196" s="29"/>
      <c r="Q196" s="28"/>
      <c r="R196" s="40"/>
      <c r="S196" s="29"/>
      <c r="T196" s="29"/>
      <c r="U196" s="28"/>
      <c r="V196" s="1" t="str">
        <f aca="false">IF($A196="","",IF(OR(D196="卖出",D196="分红"),IFERROR(INDEX($F$2:$F195,MATCH(2,1/($C$2:$C195=$C196))),""),""))</f>
        <v/>
      </c>
      <c r="W196" s="81" t="str">
        <f aca="false">IF($A196="","",IF(D196="买入",IF(AND(ISNUMBER(L196),L196&gt;0),(F196-L196)*G196,F196*0.08*G196),IF(AND(ISNUMBER(V196),V196&gt;0),IF(AND(ISNUMBER(L196),L196&gt;0),(V196-L196)*G196,V196*0.08*G196),0)))</f>
        <v/>
      </c>
      <c r="X196" s="82" t="str">
        <f aca="false">IF($A196="","",IF(D196="买入",0,IFERROR(IF(W196&lt;&gt;0,(H196-IFERROR(INDEX($H$2:$H195,MATCH(2,1/($C$2:$C195=$C196))),0))/W196,0),0)))</f>
        <v/>
      </c>
      <c r="Y196" s="82" t="str">
        <f aca="false">IF($A196="","",Y195+X196)</f>
        <v/>
      </c>
      <c r="Z196" s="1" t="str">
        <f aca="false">IF($A196="","",IF(X196&gt;0,IF(LEFT(Z195,1)="胜","胜"&amp;VALUE(RIGHT(Z195,LEN(Z195)-1))+1,"胜1"),IF(X196&lt;0,IF(LEFT(Z195,1)="亏","亏"&amp;VALUE(RIGHT(Z195,LEN(Z195)-1))+1,"亏1"),"平")))</f>
        <v/>
      </c>
      <c r="AA196" s="83" t="str">
        <f aca="false">IF($A196="","",MAX(0,(MAX($Y$2:Y196)-Y196)/MAX(1,MAX($Y$2:Y196))))</f>
        <v/>
      </c>
    </row>
    <row r="197" customFormat="false" ht="15" hidden="false" customHeight="true" outlineLevel="0" collapsed="false">
      <c r="A197" s="30"/>
      <c r="B197" s="30"/>
      <c r="C197" s="30"/>
      <c r="D197" s="30"/>
      <c r="E197" s="30"/>
      <c r="F197" s="44"/>
      <c r="G197" s="45"/>
      <c r="H197" s="35"/>
      <c r="I197" s="44"/>
      <c r="J197" s="45"/>
      <c r="K197" s="36"/>
      <c r="L197" s="44"/>
      <c r="M197" s="30"/>
      <c r="N197" s="31"/>
      <c r="O197" s="30"/>
      <c r="P197" s="31"/>
      <c r="Q197" s="30"/>
      <c r="R197" s="46"/>
      <c r="S197" s="31"/>
      <c r="T197" s="31"/>
      <c r="U197" s="30"/>
      <c r="V197" s="1" t="str">
        <f aca="false">IF($A197="","",IF(OR(D197="卖出",D197="分红"),IFERROR(INDEX($F$2:$F196,MATCH(2,1/($C$2:$C196=$C197))),""),""))</f>
        <v/>
      </c>
      <c r="W197" s="81" t="str">
        <f aca="false">IF($A197="","",IF(D197="买入",IF(AND(ISNUMBER(L197),L197&gt;0),(F197-L197)*G197,F197*0.08*G197),IF(AND(ISNUMBER(V197),V197&gt;0),IF(AND(ISNUMBER(L197),L197&gt;0),(V197-L197)*G197,V197*0.08*G197),0)))</f>
        <v/>
      </c>
      <c r="X197" s="82" t="str">
        <f aca="false">IF($A197="","",IF(D197="买入",0,IFERROR(IF(W197&lt;&gt;0,(H197-IFERROR(INDEX($H$2:$H196,MATCH(2,1/($C$2:$C196=$C197))),0))/W197,0),0)))</f>
        <v/>
      </c>
      <c r="Y197" s="82" t="str">
        <f aca="false">IF($A197="","",Y196+X197)</f>
        <v/>
      </c>
      <c r="Z197" s="1" t="str">
        <f aca="false">IF($A197="","",IF(X197&gt;0,IF(LEFT(Z196,1)="胜","胜"&amp;VALUE(RIGHT(Z196,LEN(Z196)-1))+1,"胜1"),IF(X197&lt;0,IF(LEFT(Z196,1)="亏","亏"&amp;VALUE(RIGHT(Z196,LEN(Z196)-1))+1,"亏1"),"平")))</f>
        <v/>
      </c>
      <c r="AA197" s="83" t="str">
        <f aca="false">IF($A197="","",MAX(0,(MAX($Y$2:Y197)-Y197)/MAX(1,MAX($Y$2:Y197))))</f>
        <v/>
      </c>
    </row>
    <row r="198" customFormat="false" ht="15" hidden="false" customHeight="true" outlineLevel="0" collapsed="false">
      <c r="A198" s="28"/>
      <c r="B198" s="28"/>
      <c r="C198" s="28"/>
      <c r="D198" s="28"/>
      <c r="E198" s="28"/>
      <c r="F198" s="34"/>
      <c r="G198" s="37"/>
      <c r="H198" s="35"/>
      <c r="I198" s="34"/>
      <c r="J198" s="37"/>
      <c r="K198" s="36"/>
      <c r="L198" s="34"/>
      <c r="M198" s="28"/>
      <c r="N198" s="29"/>
      <c r="O198" s="28"/>
      <c r="P198" s="29"/>
      <c r="Q198" s="28"/>
      <c r="R198" s="40"/>
      <c r="S198" s="29"/>
      <c r="T198" s="29"/>
      <c r="U198" s="28"/>
      <c r="V198" s="1" t="str">
        <f aca="false">IF($A198="","",IF(OR(D198="卖出",D198="分红"),IFERROR(INDEX($F$2:$F197,MATCH(2,1/($C$2:$C197=$C198))),""),""))</f>
        <v/>
      </c>
      <c r="W198" s="81" t="str">
        <f aca="false">IF($A198="","",IF(D198="买入",IF(AND(ISNUMBER(L198),L198&gt;0),(F198-L198)*G198,F198*0.08*G198),IF(AND(ISNUMBER(V198),V198&gt;0),IF(AND(ISNUMBER(L198),L198&gt;0),(V198-L198)*G198,V198*0.08*G198),0)))</f>
        <v/>
      </c>
      <c r="X198" s="82" t="str">
        <f aca="false">IF($A198="","",IF(D198="买入",0,IFERROR(IF(W198&lt;&gt;0,(H198-IFERROR(INDEX($H$2:$H197,MATCH(2,1/($C$2:$C197=$C198))),0))/W198,0),0)))</f>
        <v/>
      </c>
      <c r="Y198" s="82" t="str">
        <f aca="false">IF($A198="","",Y197+X198)</f>
        <v/>
      </c>
      <c r="Z198" s="1" t="str">
        <f aca="false">IF($A198="","",IF(X198&gt;0,IF(LEFT(Z197,1)="胜","胜"&amp;VALUE(RIGHT(Z197,LEN(Z197)-1))+1,"胜1"),IF(X198&lt;0,IF(LEFT(Z197,1)="亏","亏"&amp;VALUE(RIGHT(Z197,LEN(Z197)-1))+1,"亏1"),"平")))</f>
        <v/>
      </c>
      <c r="AA198" s="83" t="str">
        <f aca="false">IF($A198="","",MAX(0,(MAX($Y$2:Y198)-Y198)/MAX(1,MAX($Y$2:Y198))))</f>
        <v/>
      </c>
    </row>
    <row r="199" customFormat="false" ht="15" hidden="false" customHeight="true" outlineLevel="0" collapsed="false">
      <c r="A199" s="30"/>
      <c r="B199" s="30"/>
      <c r="C199" s="30"/>
      <c r="D199" s="30"/>
      <c r="E199" s="30"/>
      <c r="F199" s="44"/>
      <c r="G199" s="45"/>
      <c r="H199" s="35"/>
      <c r="I199" s="44"/>
      <c r="J199" s="45"/>
      <c r="K199" s="36"/>
      <c r="L199" s="44"/>
      <c r="M199" s="30"/>
      <c r="N199" s="31"/>
      <c r="O199" s="30"/>
      <c r="P199" s="31"/>
      <c r="Q199" s="30"/>
      <c r="R199" s="46"/>
      <c r="S199" s="31"/>
      <c r="T199" s="31"/>
      <c r="U199" s="30"/>
      <c r="V199" s="1" t="str">
        <f aca="false">IF($A199="","",IF(OR(D199="卖出",D199="分红"),IFERROR(INDEX($F$2:$F198,MATCH(2,1/($C$2:$C198=$C199))),""),""))</f>
        <v/>
      </c>
      <c r="W199" s="81" t="str">
        <f aca="false">IF($A199="","",IF(D199="买入",IF(AND(ISNUMBER(L199),L199&gt;0),(F199-L199)*G199,F199*0.08*G199),IF(AND(ISNUMBER(V199),V199&gt;0),IF(AND(ISNUMBER(L199),L199&gt;0),(V199-L199)*G199,V199*0.08*G199),0)))</f>
        <v/>
      </c>
      <c r="X199" s="82" t="str">
        <f aca="false">IF($A199="","",IF(D199="买入",0,IFERROR(IF(W199&lt;&gt;0,(H199-IFERROR(INDEX($H$2:$H198,MATCH(2,1/($C$2:$C198=$C199))),0))/W199,0),0)))</f>
        <v/>
      </c>
      <c r="Y199" s="82" t="str">
        <f aca="false">IF($A199="","",Y198+X199)</f>
        <v/>
      </c>
      <c r="Z199" s="1" t="str">
        <f aca="false">IF($A199="","",IF(X199&gt;0,IF(LEFT(Z198,1)="胜","胜"&amp;VALUE(RIGHT(Z198,LEN(Z198)-1))+1,"胜1"),IF(X199&lt;0,IF(LEFT(Z198,1)="亏","亏"&amp;VALUE(RIGHT(Z198,LEN(Z198)-1))+1,"亏1"),"平")))</f>
        <v/>
      </c>
      <c r="AA199" s="83" t="str">
        <f aca="false">IF($A199="","",MAX(0,(MAX($Y$2:Y199)-Y199)/MAX(1,MAX($Y$2:Y199))))</f>
        <v/>
      </c>
    </row>
    <row r="200" customFormat="false" ht="15" hidden="false" customHeight="true" outlineLevel="0" collapsed="false">
      <c r="A200" s="28"/>
      <c r="B200" s="28"/>
      <c r="C200" s="28"/>
      <c r="D200" s="28"/>
      <c r="E200" s="28"/>
      <c r="F200" s="34"/>
      <c r="G200" s="37"/>
      <c r="H200" s="35"/>
      <c r="I200" s="34"/>
      <c r="J200" s="37"/>
      <c r="K200" s="36"/>
      <c r="L200" s="34"/>
      <c r="M200" s="28"/>
      <c r="N200" s="29"/>
      <c r="O200" s="28"/>
      <c r="P200" s="29"/>
      <c r="Q200" s="28"/>
      <c r="R200" s="40"/>
      <c r="S200" s="29"/>
      <c r="T200" s="29"/>
      <c r="U200" s="28"/>
      <c r="V200" s="1" t="str">
        <f aca="false">IF($A200="","",IF(OR(D200="卖出",D200="分红"),IFERROR(INDEX($F$2:$F199,MATCH(2,1/($C$2:$C199=$C200))),""),""))</f>
        <v/>
      </c>
      <c r="W200" s="81" t="str">
        <f aca="false">IF($A200="","",IF(D200="买入",IF(AND(ISNUMBER(L200),L200&gt;0),(F200-L200)*G200,F200*0.08*G200),IF(AND(ISNUMBER(V200),V200&gt;0),IF(AND(ISNUMBER(L200),L200&gt;0),(V200-L200)*G200,V200*0.08*G200),0)))</f>
        <v/>
      </c>
      <c r="X200" s="82" t="str">
        <f aca="false">IF($A200="","",IF(D200="买入",0,IFERROR(IF(W200&lt;&gt;0,(H200-IFERROR(INDEX($H$2:$H199,MATCH(2,1/($C$2:$C199=$C200))),0))/W200,0),0)))</f>
        <v/>
      </c>
      <c r="Y200" s="82" t="str">
        <f aca="false">IF($A200="","",Y199+X200)</f>
        <v/>
      </c>
      <c r="Z200" s="1" t="str">
        <f aca="false">IF($A200="","",IF(X200&gt;0,IF(LEFT(Z199,1)="胜","胜"&amp;VALUE(RIGHT(Z199,LEN(Z199)-1))+1,"胜1"),IF(X200&lt;0,IF(LEFT(Z199,1)="亏","亏"&amp;VALUE(RIGHT(Z199,LEN(Z199)-1))+1,"亏1"),"平")))</f>
        <v/>
      </c>
      <c r="AA200" s="83" t="str">
        <f aca="false">IF($A200="","",MAX(0,(MAX($Y$2:Y200)-Y200)/MAX(1,MAX($Y$2:Y200))))</f>
        <v/>
      </c>
    </row>
    <row r="201" customFormat="false" ht="15" hidden="false" customHeight="true" outlineLevel="0" collapsed="false">
      <c r="A201" s="30"/>
      <c r="B201" s="30"/>
      <c r="C201" s="30"/>
      <c r="D201" s="30"/>
      <c r="E201" s="30"/>
      <c r="F201" s="44"/>
      <c r="G201" s="45"/>
      <c r="H201" s="35"/>
      <c r="I201" s="44"/>
      <c r="J201" s="45"/>
      <c r="K201" s="36"/>
      <c r="L201" s="44"/>
      <c r="M201" s="30"/>
      <c r="N201" s="31"/>
      <c r="O201" s="30"/>
      <c r="P201" s="31"/>
      <c r="Q201" s="30"/>
      <c r="R201" s="46"/>
      <c r="S201" s="31"/>
      <c r="T201" s="31"/>
      <c r="U201" s="30"/>
      <c r="V201" s="1" t="str">
        <f aca="false">IF($A201="","",IF(OR(D201="卖出",D201="分红"),IFERROR(INDEX($F$2:$F200,MATCH(2,1/($C$2:$C200=$C201))),""),""))</f>
        <v/>
      </c>
      <c r="W201" s="81" t="str">
        <f aca="false">IF($A201="","",IF(D201="买入",IF(AND(ISNUMBER(L201),L201&gt;0),(F201-L201)*G201,F201*0.08*G201),IF(AND(ISNUMBER(V201),V201&gt;0),IF(AND(ISNUMBER(L201),L201&gt;0),(V201-L201)*G201,V201*0.08*G201),0)))</f>
        <v/>
      </c>
      <c r="X201" s="82" t="str">
        <f aca="false">IF($A201="","",IF(D201="买入",0,IFERROR(IF(W201&lt;&gt;0,(H201-IFERROR(INDEX($H$2:$H200,MATCH(2,1/($C$2:$C200=$C201))),0))/W201,0),0)))</f>
        <v/>
      </c>
      <c r="Y201" s="82" t="str">
        <f aca="false">IF($A201="","",Y200+X201)</f>
        <v/>
      </c>
      <c r="Z201" s="1" t="str">
        <f aca="false">IF($A201="","",IF(X201&gt;0,IF(LEFT(Z200,1)="胜","胜"&amp;VALUE(RIGHT(Z200,LEN(Z200)-1))+1,"胜1"),IF(X201&lt;0,IF(LEFT(Z200,1)="亏","亏"&amp;VALUE(RIGHT(Z200,LEN(Z200)-1))+1,"亏1"),"平")))</f>
        <v/>
      </c>
      <c r="AA201" s="83" t="str">
        <f aca="false">IF($A201="","",MAX(0,(MAX($Y$2:Y201)-Y201)/MAX(1,MAX($Y$2:Y201))))</f>
        <v/>
      </c>
    </row>
    <row r="203" customFormat="false" ht="15" hidden="false" customHeight="true" outlineLevel="0" collapsed="false">
      <c r="A203" s="84" t="s">
        <v>753</v>
      </c>
    </row>
    <row r="204" customFormat="false" ht="15" hidden="false" customHeight="true" outlineLevel="0" collapsed="false">
      <c r="A204" s="85" t="s">
        <v>754</v>
      </c>
      <c r="B204" s="86" t="n">
        <f aca="false">COUNTIFS(A2:A200,"&lt;&gt;",D2:D200,"&lt;&gt;")</f>
        <v>18</v>
      </c>
      <c r="C204" s="86"/>
    </row>
    <row r="205" customFormat="false" ht="15" hidden="false" customHeight="true" outlineLevel="0" collapsed="false">
      <c r="A205" s="85" t="s">
        <v>755</v>
      </c>
      <c r="B205" s="86" t="n">
        <f aca="false">COUNTIF(D2:D200,"卖出")</f>
        <v>7</v>
      </c>
      <c r="C205" s="86"/>
    </row>
    <row r="206" customFormat="false" ht="15" hidden="false" customHeight="true" outlineLevel="0" collapsed="false">
      <c r="A206" s="85" t="s">
        <v>756</v>
      </c>
      <c r="B206" s="86" t="n">
        <f aca="false">COUNTIFS(X2:X200,"&gt;0")</f>
        <v>5</v>
      </c>
      <c r="C206" s="86"/>
    </row>
    <row r="207" customFormat="false" ht="15" hidden="false" customHeight="true" outlineLevel="0" collapsed="false">
      <c r="A207" s="85" t="s">
        <v>757</v>
      </c>
      <c r="B207" s="86" t="n">
        <f aca="false">COUNTIFS(X2:X200,"&lt;0")</f>
        <v>2</v>
      </c>
      <c r="C207" s="86"/>
    </row>
    <row r="208" customFormat="false" ht="15" hidden="false" customHeight="true" outlineLevel="0" collapsed="false">
      <c r="A208" s="85" t="s">
        <v>758</v>
      </c>
      <c r="B208" s="86" t="n">
        <f aca="false">IFERROR(B206/B205,0)</f>
        <v>0.714285714285714</v>
      </c>
      <c r="C208" s="86"/>
    </row>
    <row r="209" customFormat="false" ht="15" hidden="false" customHeight="true" outlineLevel="0" collapsed="false">
      <c r="A209" s="85" t="s">
        <v>759</v>
      </c>
      <c r="B209" s="86" t="n">
        <v>2.143248</v>
      </c>
      <c r="C209" s="86"/>
    </row>
    <row r="210" customFormat="false" ht="15" hidden="false" customHeight="true" outlineLevel="0" collapsed="false">
      <c r="A210" s="85" t="s">
        <v>760</v>
      </c>
      <c r="B210" s="87" t="n">
        <v>15.002733</v>
      </c>
      <c r="C210" s="86"/>
    </row>
    <row r="211" customFormat="false" ht="15" hidden="false" customHeight="true" outlineLevel="0" collapsed="false">
      <c r="A211" s="85" t="s">
        <v>761</v>
      </c>
      <c r="B211" s="86" t="n">
        <v>9.082391</v>
      </c>
      <c r="C211" s="86"/>
    </row>
    <row r="212" customFormat="false" ht="15" hidden="false" customHeight="true" outlineLevel="0" collapsed="false">
      <c r="A212" s="85" t="s">
        <v>762</v>
      </c>
      <c r="B212" s="86" t="n">
        <v>-0.401727</v>
      </c>
      <c r="C212" s="86"/>
    </row>
    <row r="213" customFormat="false" ht="15" hidden="false" customHeight="true" outlineLevel="0" collapsed="false">
      <c r="A213" s="85" t="s">
        <v>763</v>
      </c>
      <c r="B213" s="86" t="s">
        <v>764</v>
      </c>
      <c r="C213" s="86"/>
    </row>
    <row r="214" customFormat="false" ht="15" hidden="false" customHeight="true" outlineLevel="0" collapsed="false">
      <c r="A214" s="85" t="s">
        <v>765</v>
      </c>
      <c r="B214" s="86" t="s">
        <v>764</v>
      </c>
      <c r="C214" s="86"/>
    </row>
    <row r="215" customFormat="false" ht="15" hidden="false" customHeight="true" outlineLevel="0" collapsed="false">
      <c r="A215" s="85" t="s">
        <v>766</v>
      </c>
      <c r="B215" s="88" t="n">
        <v>0</v>
      </c>
      <c r="C215" s="86"/>
    </row>
    <row r="216" customFormat="false" ht="15" hidden="false" customHeight="true" outlineLevel="0" collapsed="false">
      <c r="A216" s="85" t="s">
        <v>767</v>
      </c>
      <c r="B216" s="86" t="n">
        <v>8.379487</v>
      </c>
      <c r="C216" s="86"/>
    </row>
    <row r="217" customFormat="false" ht="15" hidden="false" customHeight="true" outlineLevel="0" collapsed="false">
      <c r="A217" s="89" t="s">
        <v>768</v>
      </c>
      <c r="B217" s="89" t="s">
        <v>769</v>
      </c>
      <c r="C217" s="86"/>
    </row>
    <row r="218" customFormat="false" ht="15" hidden="false" customHeight="true" outlineLevel="0" collapsed="false">
      <c r="A218" s="61"/>
      <c r="B218" s="32"/>
      <c r="D218" s="32"/>
      <c r="E218" s="32"/>
    </row>
    <row r="219" customFormat="false" ht="15" hidden="false" customHeight="true" outlineLevel="0" collapsed="false">
      <c r="A219" s="61" t="n">
        <v>46227</v>
      </c>
      <c r="B219" s="32" t="s">
        <v>743</v>
      </c>
      <c r="C219" s="1" t="s">
        <v>744</v>
      </c>
      <c r="D219" s="32" t="s">
        <v>718</v>
      </c>
      <c r="E219" s="32" t="s">
        <v>770</v>
      </c>
      <c r="F219" s="1" t="n">
        <v>74.56</v>
      </c>
      <c r="G219" s="1" t="n">
        <v>100</v>
      </c>
      <c r="H219" s="1" t="n">
        <v>7456</v>
      </c>
      <c r="I219" s="1" t="n">
        <v>5</v>
      </c>
      <c r="J219" s="1" t="n">
        <v>0</v>
      </c>
      <c r="K219" s="1" t="n">
        <v>20842.32</v>
      </c>
      <c r="N219" s="32" t="s">
        <v>771</v>
      </c>
      <c r="O219" s="1" t="s">
        <v>772</v>
      </c>
      <c r="P219" s="32" t="s">
        <v>773</v>
      </c>
    </row>
    <row r="220" customFormat="false" ht="15" hidden="false" customHeight="true" outlineLevel="0" collapsed="false">
      <c r="A220" s="61" t="n">
        <v>46227</v>
      </c>
      <c r="B220" s="32" t="s">
        <v>384</v>
      </c>
      <c r="C220" s="1" t="s">
        <v>385</v>
      </c>
      <c r="D220" s="32" t="s">
        <v>712</v>
      </c>
      <c r="E220" s="32" t="s">
        <v>774</v>
      </c>
      <c r="F220" s="1" t="n">
        <v>9.45</v>
      </c>
      <c r="G220" s="1" t="n">
        <v>100</v>
      </c>
      <c r="H220" s="1" t="n">
        <v>945</v>
      </c>
      <c r="I220" s="1" t="n">
        <v>1.5</v>
      </c>
      <c r="J220" s="1" t="n">
        <v>100</v>
      </c>
      <c r="K220" s="1" t="n">
        <v>20842.32</v>
      </c>
      <c r="L220" s="1" t="n">
        <v>8.9775</v>
      </c>
      <c r="M220" s="32" t="s">
        <v>775</v>
      </c>
      <c r="N220" s="32" t="s">
        <v>771</v>
      </c>
      <c r="O220" s="32" t="s">
        <v>776</v>
      </c>
      <c r="P220" s="32" t="s">
        <v>777</v>
      </c>
    </row>
    <row r="221" customFormat="false" ht="15" hidden="false" customHeight="true" outlineLevel="0" collapsed="false">
      <c r="A221" s="61" t="n">
        <v>46227</v>
      </c>
      <c r="B221" s="32" t="s">
        <v>386</v>
      </c>
      <c r="C221" s="1" t="s">
        <v>387</v>
      </c>
      <c r="D221" s="32" t="s">
        <v>712</v>
      </c>
      <c r="E221" s="32" t="s">
        <v>774</v>
      </c>
      <c r="F221" s="1" t="n">
        <v>4.07</v>
      </c>
      <c r="G221" s="1" t="n">
        <v>200</v>
      </c>
      <c r="H221" s="1" t="n">
        <v>814</v>
      </c>
      <c r="I221" s="1" t="n">
        <v>1.5</v>
      </c>
      <c r="J221" s="1" t="n">
        <v>200</v>
      </c>
      <c r="K221" s="1" t="n">
        <v>20842.32</v>
      </c>
      <c r="L221" s="1" t="n">
        <v>3.8665</v>
      </c>
      <c r="M221" s="32" t="s">
        <v>775</v>
      </c>
      <c r="N221" s="32" t="s">
        <v>771</v>
      </c>
      <c r="O221" s="32" t="s">
        <v>778</v>
      </c>
      <c r="P221" s="32" t="s">
        <v>777</v>
      </c>
    </row>
    <row r="222" customFormat="false" ht="15" hidden="false" customHeight="true" outlineLevel="0" collapsed="false">
      <c r="A222" s="61" t="n">
        <v>46227</v>
      </c>
      <c r="B222" s="32" t="s">
        <v>388</v>
      </c>
      <c r="C222" s="1" t="s">
        <v>389</v>
      </c>
      <c r="D222" s="32" t="s">
        <v>712</v>
      </c>
      <c r="E222" s="32" t="s">
        <v>774</v>
      </c>
      <c r="F222" s="1" t="n">
        <v>3.2</v>
      </c>
      <c r="G222" s="1" t="n">
        <v>500</v>
      </c>
      <c r="H222" s="1" t="n">
        <v>1600</v>
      </c>
      <c r="I222" s="1" t="n">
        <v>2.4</v>
      </c>
      <c r="J222" s="1" t="n">
        <v>500</v>
      </c>
      <c r="K222" s="1" t="n">
        <v>20842.32</v>
      </c>
      <c r="L222" s="1" t="n">
        <v>3.04</v>
      </c>
      <c r="M222" s="32" t="s">
        <v>775</v>
      </c>
      <c r="N222" s="32" t="s">
        <v>779</v>
      </c>
      <c r="O222" s="32" t="s">
        <v>780</v>
      </c>
      <c r="P222" s="32" t="s">
        <v>777</v>
      </c>
    </row>
    <row r="223" customFormat="false" ht="15" hidden="false" customHeight="true" outlineLevel="0" collapsed="false">
      <c r="A223" s="61" t="n">
        <v>46227</v>
      </c>
      <c r="B223" s="32" t="s">
        <v>380</v>
      </c>
      <c r="C223" s="1" t="s">
        <v>381</v>
      </c>
      <c r="D223" s="32" t="s">
        <v>712</v>
      </c>
      <c r="E223" s="32" t="s">
        <v>774</v>
      </c>
      <c r="F223" s="1" t="n">
        <v>8.021</v>
      </c>
      <c r="G223" s="1" t="n">
        <v>100</v>
      </c>
      <c r="H223" s="1" t="n">
        <v>802</v>
      </c>
      <c r="I223" s="1" t="n">
        <v>1.5</v>
      </c>
      <c r="J223" s="1" t="n">
        <v>100</v>
      </c>
      <c r="K223" s="1" t="n">
        <v>20842.32</v>
      </c>
      <c r="L223" s="1" t="n">
        <v>7.61995</v>
      </c>
      <c r="M223" s="32" t="s">
        <v>775</v>
      </c>
      <c r="N223" s="32" t="s">
        <v>771</v>
      </c>
      <c r="O223" s="32" t="s">
        <v>781</v>
      </c>
      <c r="P223" s="32" t="s">
        <v>777</v>
      </c>
    </row>
    <row r="224" customFormat="false" ht="15" hidden="false" customHeight="true" outlineLevel="0" collapsed="false">
      <c r="A224" s="61" t="n">
        <v>46227</v>
      </c>
      <c r="B224" s="32" t="s">
        <v>382</v>
      </c>
      <c r="C224" s="1" t="s">
        <v>383</v>
      </c>
      <c r="D224" s="32" t="s">
        <v>712</v>
      </c>
      <c r="E224" s="32" t="s">
        <v>774</v>
      </c>
      <c r="F224" s="1" t="n">
        <v>4.804</v>
      </c>
      <c r="G224" s="1" t="n">
        <v>300</v>
      </c>
      <c r="H224" s="1" t="n">
        <v>1441</v>
      </c>
      <c r="I224" s="1" t="n">
        <v>2.2</v>
      </c>
      <c r="J224" s="1" t="n">
        <v>300</v>
      </c>
      <c r="K224" s="1" t="n">
        <v>20842.32</v>
      </c>
      <c r="L224" s="1" t="n">
        <v>4.5638</v>
      </c>
      <c r="M224" s="32" t="s">
        <v>775</v>
      </c>
      <c r="N224" s="32" t="s">
        <v>771</v>
      </c>
      <c r="O224" s="32" t="s">
        <v>782</v>
      </c>
      <c r="P224" s="32" t="s">
        <v>777</v>
      </c>
    </row>
    <row r="225" customFormat="false" ht="15" hidden="false" customHeight="true" outlineLevel="0" collapsed="false">
      <c r="A225" s="55" t="n">
        <v>46225</v>
      </c>
      <c r="B225" s="32" t="s">
        <v>743</v>
      </c>
      <c r="C225" s="1" t="s">
        <v>744</v>
      </c>
      <c r="D225" s="32" t="s">
        <v>718</v>
      </c>
      <c r="E225" s="32" t="s">
        <v>719</v>
      </c>
      <c r="F225" s="1" t="n">
        <v>73</v>
      </c>
      <c r="G225" s="1" t="n">
        <v>300</v>
      </c>
      <c r="H225" s="1" t="n">
        <v>21900</v>
      </c>
      <c r="I225" s="1" t="n">
        <v>0</v>
      </c>
      <c r="J225" s="1" t="n">
        <v>0</v>
      </c>
      <c r="K225" s="1" t="n">
        <v>0</v>
      </c>
    </row>
    <row r="226" customFormat="false" ht="15" hidden="false" customHeight="true" outlineLevel="0" collapsed="false">
      <c r="A226" s="55" t="n">
        <v>46225</v>
      </c>
      <c r="B226" s="32" t="s">
        <v>377</v>
      </c>
      <c r="C226" s="1" t="s">
        <v>378</v>
      </c>
      <c r="D226" s="32" t="s">
        <v>718</v>
      </c>
      <c r="E226" s="32" t="s">
        <v>719</v>
      </c>
      <c r="F226" s="1" t="n">
        <v>12</v>
      </c>
      <c r="G226" s="1" t="n">
        <v>200</v>
      </c>
      <c r="H226" s="1" t="n">
        <v>2400</v>
      </c>
      <c r="I226" s="1" t="n">
        <v>0</v>
      </c>
      <c r="J226" s="1" t="n">
        <v>200</v>
      </c>
      <c r="K226" s="1" t="n">
        <v>0.12</v>
      </c>
    </row>
    <row r="227" customFormat="false" ht="15" hidden="false" customHeight="true" outlineLevel="0" collapsed="false">
      <c r="A227" s="1" t="s">
        <v>783</v>
      </c>
      <c r="B227" s="32" t="s">
        <v>784</v>
      </c>
      <c r="D227" s="32" t="s">
        <v>785</v>
      </c>
      <c r="E227" s="32" t="s">
        <v>786</v>
      </c>
    </row>
    <row r="228" customFormat="false" ht="15" hidden="false" customHeight="true" outlineLevel="0" collapsed="false">
      <c r="A228" s="90" t="s">
        <v>783</v>
      </c>
      <c r="B228" s="91" t="s">
        <v>403</v>
      </c>
      <c r="C228" s="90" t="s">
        <v>404</v>
      </c>
      <c r="D228" s="91" t="s">
        <v>787</v>
      </c>
      <c r="E228" s="91" t="s">
        <v>788</v>
      </c>
      <c r="F228" s="90" t="n">
        <v>6</v>
      </c>
      <c r="G228" s="90" t="n">
        <v>200</v>
      </c>
      <c r="H228" s="90" t="n">
        <v>1200</v>
      </c>
      <c r="I228" s="91" t="s">
        <v>90</v>
      </c>
    </row>
    <row r="229" customFormat="false" ht="15" hidden="false" customHeight="true" outlineLevel="0" collapsed="false">
      <c r="A229" s="90" t="s">
        <v>783</v>
      </c>
      <c r="B229" s="91" t="s">
        <v>395</v>
      </c>
      <c r="C229" s="90" t="s">
        <v>396</v>
      </c>
      <c r="D229" s="91" t="s">
        <v>789</v>
      </c>
      <c r="E229" s="91" t="s">
        <v>790</v>
      </c>
      <c r="F229" s="90" t="n">
        <v>3.38</v>
      </c>
      <c r="G229" s="90" t="n">
        <v>300</v>
      </c>
      <c r="H229" s="90" t="n">
        <v>1014</v>
      </c>
      <c r="I229" s="91" t="s">
        <v>791</v>
      </c>
    </row>
    <row r="230" customFormat="false" ht="15" hidden="false" customHeight="true" outlineLevel="0" collapsed="false">
      <c r="A230" s="55" t="n">
        <v>46233.4854166667</v>
      </c>
      <c r="B230" s="32" t="s">
        <v>390</v>
      </c>
      <c r="C230" s="1" t="s">
        <v>391</v>
      </c>
      <c r="D230" s="32" t="s">
        <v>718</v>
      </c>
      <c r="E230" s="32" t="s">
        <v>792</v>
      </c>
      <c r="F230" s="1" t="n">
        <v>4.87</v>
      </c>
      <c r="G230" s="1" t="n">
        <v>300</v>
      </c>
      <c r="H230" s="1" t="n">
        <v>1461</v>
      </c>
      <c r="O230" s="32" t="s">
        <v>793</v>
      </c>
      <c r="T230" s="32" t="s">
        <v>324</v>
      </c>
    </row>
    <row r="231" customFormat="false" ht="15" hidden="false" customHeight="true" outlineLevel="0" collapsed="false">
      <c r="A231" s="55" t="n">
        <v>46233.4854166667</v>
      </c>
      <c r="B231" s="32" t="s">
        <v>395</v>
      </c>
      <c r="C231" s="1" t="s">
        <v>396</v>
      </c>
      <c r="D231" s="32" t="s">
        <v>718</v>
      </c>
      <c r="E231" s="32" t="s">
        <v>792</v>
      </c>
      <c r="F231" s="1" t="n">
        <v>3.46</v>
      </c>
      <c r="G231" s="1" t="n">
        <v>200</v>
      </c>
      <c r="H231" s="1" t="n">
        <v>692</v>
      </c>
      <c r="O231" s="32" t="s">
        <v>793</v>
      </c>
      <c r="T231" s="32" t="s">
        <v>324</v>
      </c>
    </row>
    <row r="232" customFormat="false" ht="15" hidden="false" customHeight="true" outlineLevel="0" collapsed="false">
      <c r="A232" s="55" t="n">
        <v>46233.4854166667</v>
      </c>
      <c r="B232" s="32" t="s">
        <v>398</v>
      </c>
      <c r="C232" s="1" t="s">
        <v>399</v>
      </c>
      <c r="D232" s="32" t="s">
        <v>718</v>
      </c>
      <c r="E232" s="32" t="s">
        <v>792</v>
      </c>
      <c r="F232" s="1" t="n">
        <v>15.94</v>
      </c>
      <c r="G232" s="1" t="n">
        <v>100</v>
      </c>
      <c r="H232" s="1" t="n">
        <v>1594</v>
      </c>
      <c r="O232" s="32" t="s">
        <v>793</v>
      </c>
      <c r="T232" s="32" t="s">
        <v>324</v>
      </c>
    </row>
    <row r="233" customFormat="false" ht="15" hidden="false" customHeight="true" outlineLevel="0" collapsed="false">
      <c r="A233" s="55" t="n">
        <v>46233.5951388889</v>
      </c>
      <c r="B233" s="32" t="s">
        <v>403</v>
      </c>
      <c r="C233" s="1" t="s">
        <v>404</v>
      </c>
      <c r="D233" s="32" t="s">
        <v>712</v>
      </c>
      <c r="E233" s="32" t="s">
        <v>794</v>
      </c>
      <c r="F233" s="1" t="n">
        <v>5.95</v>
      </c>
      <c r="G233" s="1" t="n">
        <v>200</v>
      </c>
      <c r="H233" s="1" t="n">
        <v>1190</v>
      </c>
      <c r="J233" s="1" t="n">
        <v>400</v>
      </c>
      <c r="N233" s="32" t="s">
        <v>771</v>
      </c>
      <c r="O233" s="32" t="s">
        <v>795</v>
      </c>
      <c r="T233" s="32" t="s">
        <v>324</v>
      </c>
    </row>
    <row r="234" customFormat="false" ht="15" hidden="false" customHeight="true" outlineLevel="0" collapsed="false">
      <c r="A234" s="55" t="n">
        <v>46233.6180555556</v>
      </c>
      <c r="B234" s="32" t="s">
        <v>395</v>
      </c>
      <c r="C234" s="1" t="s">
        <v>396</v>
      </c>
      <c r="D234" s="32" t="s">
        <v>718</v>
      </c>
      <c r="E234" s="32" t="s">
        <v>796</v>
      </c>
      <c r="F234" s="1" t="n">
        <v>3.42</v>
      </c>
      <c r="G234" s="1" t="n">
        <v>100</v>
      </c>
      <c r="H234" s="1" t="n">
        <v>342</v>
      </c>
      <c r="J234" s="1" t="n">
        <v>0</v>
      </c>
      <c r="N234" s="32" t="s">
        <v>771</v>
      </c>
      <c r="O234" s="92" t="s">
        <v>797</v>
      </c>
      <c r="T234" s="32" t="s">
        <v>324</v>
      </c>
    </row>
    <row r="235" customFormat="false" ht="15" hidden="false" customHeight="true" outlineLevel="0" collapsed="false">
      <c r="A235" s="55" t="n">
        <v>46233.6180555556</v>
      </c>
      <c r="B235" s="32" t="s">
        <v>398</v>
      </c>
      <c r="C235" s="1" t="s">
        <v>399</v>
      </c>
      <c r="D235" s="32" t="s">
        <v>718</v>
      </c>
      <c r="E235" s="32" t="s">
        <v>792</v>
      </c>
      <c r="F235" s="1" t="n">
        <v>15.94</v>
      </c>
      <c r="G235" s="1" t="n">
        <v>100</v>
      </c>
      <c r="H235" s="1" t="n">
        <v>1594</v>
      </c>
      <c r="J235" s="1" t="n">
        <v>0</v>
      </c>
      <c r="N235" s="32" t="s">
        <v>771</v>
      </c>
      <c r="O235" s="92" t="s">
        <v>798</v>
      </c>
      <c r="T235" s="32" t="s">
        <v>324</v>
      </c>
    </row>
    <row r="236" customFormat="false" ht="15" hidden="false" customHeight="true" outlineLevel="0" collapsed="false">
      <c r="A236" s="55" t="n">
        <v>46233.6180555556</v>
      </c>
      <c r="B236" s="32" t="s">
        <v>400</v>
      </c>
      <c r="C236" s="1" t="s">
        <v>401</v>
      </c>
      <c r="D236" s="32" t="s">
        <v>712</v>
      </c>
      <c r="E236" s="32" t="s">
        <v>794</v>
      </c>
      <c r="F236" s="1" t="n">
        <v>8.94</v>
      </c>
      <c r="G236" s="1" t="n">
        <v>100</v>
      </c>
      <c r="H236" s="1" t="n">
        <v>894</v>
      </c>
      <c r="J236" s="1" t="n">
        <v>300</v>
      </c>
      <c r="N236" s="32" t="s">
        <v>771</v>
      </c>
      <c r="O236" s="32" t="s">
        <v>799</v>
      </c>
      <c r="T236" s="32" t="s">
        <v>324</v>
      </c>
    </row>
    <row r="237" customFormat="false" ht="15" hidden="false" customHeight="true" outlineLevel="0" collapsed="false">
      <c r="A237" s="1" t="s">
        <v>800</v>
      </c>
      <c r="B237" s="32" t="s">
        <v>395</v>
      </c>
      <c r="C237" s="1" t="s">
        <v>396</v>
      </c>
      <c r="D237" s="32" t="s">
        <v>718</v>
      </c>
      <c r="E237" s="1" t="n">
        <v>100</v>
      </c>
      <c r="F237" s="1" t="n">
        <v>3.42</v>
      </c>
      <c r="G237" s="1" t="n">
        <v>300</v>
      </c>
      <c r="H237" s="1" t="n">
        <v>1026</v>
      </c>
      <c r="I237" s="1" t="n">
        <v>5</v>
      </c>
      <c r="O237" s="1" t="s">
        <v>801</v>
      </c>
    </row>
    <row r="238" customFormat="false" ht="15" hidden="false" customHeight="true" outlineLevel="0" collapsed="false">
      <c r="A238" s="1" t="s">
        <v>800</v>
      </c>
      <c r="B238" s="32" t="s">
        <v>398</v>
      </c>
      <c r="C238" s="1" t="s">
        <v>399</v>
      </c>
      <c r="D238" s="32" t="s">
        <v>718</v>
      </c>
      <c r="E238" s="1" t="n">
        <v>100</v>
      </c>
      <c r="F238" s="1" t="n">
        <v>15.94</v>
      </c>
      <c r="G238" s="1" t="n">
        <v>100</v>
      </c>
      <c r="H238" s="1" t="n">
        <v>1594</v>
      </c>
      <c r="I238" s="1" t="n">
        <v>5</v>
      </c>
      <c r="O238" s="1" t="s">
        <v>801</v>
      </c>
    </row>
  </sheetData>
  <sheetProtection sheet="true" password="c42e"/>
  <autoFilter ref="A1:U201"/>
  <conditionalFormatting sqref="N2:N201">
    <cfRule type="expression" priority="2" aboveAverage="0" equalAverage="0" bottom="0" percent="0" rank="0" text="" dxfId="9">
      <formula>N2="是"</formula>
    </cfRule>
    <cfRule type="expression" priority="3" aboveAverage="0" equalAverage="0" bottom="0" percent="0" rank="0" text="" dxfId="10">
      <formula>N2="否"</formula>
    </cfRule>
  </conditionalFormatting>
  <conditionalFormatting sqref="S2:S201">
    <cfRule type="expression" priority="4" aboveAverage="0" equalAverage="0" bottom="0" percent="0" rank="0" text="" dxfId="10">
      <formula>S2="是"</formula>
    </cfRule>
  </conditionalFormatting>
  <conditionalFormatting sqref="T2:T201">
    <cfRule type="expression" priority="5" aboveAverage="0" equalAverage="0" bottom="0" percent="0" rank="0" text="" dxfId="10">
      <formula>T2="是"</formula>
    </cfRule>
  </conditionalFormatting>
  <dataValidations count="6">
    <dataValidation allowBlank="true" errorStyle="stop" operator="between" showDropDown="false" showErrorMessage="false" showInputMessage="false" sqref="T2:T201" type="list">
      <formula1>"是,否"</formula1>
      <formula2>0</formula2>
    </dataValidation>
    <dataValidation allowBlank="true" errorStyle="stop" operator="between" showDropDown="false" showErrorMessage="false" showInputMessage="false" sqref="D2:D201" type="list">
      <formula1>"买入,卖出"</formula1>
      <formula2>0</formula2>
    </dataValidation>
    <dataValidation allowBlank="true" errorStyle="stop" operator="between" showDropDown="false" showErrorMessage="false" showInputMessage="false" sqref="E2:E201" type="list">
      <formula1>"一买,一卖,止损,减仓"</formula1>
      <formula2>0</formula2>
    </dataValidation>
    <dataValidation allowBlank="true" errorStyle="stop" operator="between" showDropDown="false" showErrorMessage="false" showInputMessage="false" sqref="N2:N201" type="list">
      <formula1>"是,否"</formula1>
      <formula2>0</formula2>
    </dataValidation>
    <dataValidation allowBlank="true" errorStyle="stop" operator="between" showDropDown="false" showErrorMessage="false" showInputMessage="false" sqref="P2:P201" type="list">
      <formula1>"盈利,亏损,待定"</formula1>
      <formula2>0</formula2>
    </dataValidation>
    <dataValidation allowBlank="true" errorStyle="stop" operator="between" showDropDown="false" showErrorMessage="false" showInputMessage="false" sqref="S2:S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10" min="9" style="1" width="30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4"/>
    <col collapsed="false" customWidth="true" hidden="false" outlineLevel="0" max="16" min="16" style="1" width="10"/>
  </cols>
  <sheetData>
    <row r="1" customFormat="false" ht="15" hidden="false" customHeight="true" outlineLevel="0" collapsed="false">
      <c r="A1" s="93" t="s">
        <v>271</v>
      </c>
      <c r="B1" s="93" t="s">
        <v>802</v>
      </c>
      <c r="C1" s="93" t="s">
        <v>803</v>
      </c>
      <c r="D1" s="93" t="s">
        <v>804</v>
      </c>
      <c r="E1" s="93" t="s">
        <v>805</v>
      </c>
      <c r="F1" s="93" t="s">
        <v>806</v>
      </c>
      <c r="G1" s="93" t="s">
        <v>807</v>
      </c>
      <c r="H1" s="93" t="s">
        <v>808</v>
      </c>
      <c r="I1" s="93" t="s">
        <v>809</v>
      </c>
      <c r="J1" s="93" t="s">
        <v>810</v>
      </c>
      <c r="K1" s="93" t="s">
        <v>246</v>
      </c>
      <c r="L1" s="93" t="s">
        <v>252</v>
      </c>
      <c r="M1" s="93" t="s">
        <v>811</v>
      </c>
      <c r="N1" s="93" t="s">
        <v>812</v>
      </c>
      <c r="O1" s="93" t="s">
        <v>259</v>
      </c>
      <c r="P1" s="93" t="s">
        <v>813</v>
      </c>
    </row>
    <row r="2" customFormat="false" ht="15" hidden="false" customHeight="true" outlineLevel="0" collapsed="false">
      <c r="A2" s="94" t="n">
        <v>46225</v>
      </c>
      <c r="B2" s="95" t="n">
        <v>5</v>
      </c>
      <c r="C2" s="95" t="n">
        <v>0</v>
      </c>
      <c r="D2" s="95" t="n">
        <v>5</v>
      </c>
      <c r="E2" s="95" t="n">
        <v>3</v>
      </c>
      <c r="F2" s="95" t="n">
        <v>0</v>
      </c>
      <c r="G2" s="95" t="n">
        <v>0</v>
      </c>
      <c r="H2" s="96" t="s">
        <v>814</v>
      </c>
      <c r="I2" s="95"/>
      <c r="J2" s="95"/>
      <c r="K2" s="97" t="n">
        <v>70</v>
      </c>
      <c r="L2" s="98" t="s">
        <v>815</v>
      </c>
      <c r="M2" s="99" t="n">
        <f aca="false">IF($A2="","",IFERROR(AVERAGEIFS(K$2:K2,WEEKNUM(A$2:A2,2),WEEKNUM(A2,2)),K2))</f>
        <v>70</v>
      </c>
      <c r="N2" s="100" t="n">
        <f aca="false">IF($A2="","",IFERROR(COUNTIFS(A$2:A2,"&lt;&gt;",L$2:L2,"达标",WEEKNUM(A$2:A2,2),WEEKNUM(A2,2)),0))</f>
        <v>0</v>
      </c>
      <c r="O2" s="97" t="n">
        <f aca="false">IF($A2="","",IF(L2="达标",IF(ROW()=2,1,IF(O2="",1,O2+1)),0))</f>
        <v>0</v>
      </c>
      <c r="P2" s="98" t="str">
        <f aca="false">IF($A2="","",IF(ROW()&lt;=8,"基准周",IF(K2&gt;75,"改善",IF(K2&lt;60,"恶化","持平"))))</f>
        <v>基准周</v>
      </c>
    </row>
    <row r="3" customFormat="false" ht="15" hidden="false" customHeight="true" outlineLevel="0" collapsed="false">
      <c r="A3" s="101" t="n">
        <v>46226</v>
      </c>
      <c r="B3" s="102" t="n">
        <v>3</v>
      </c>
      <c r="C3" s="102" t="n">
        <v>0</v>
      </c>
      <c r="D3" s="102" t="n">
        <v>4</v>
      </c>
      <c r="E3" s="102" t="n">
        <v>3</v>
      </c>
      <c r="F3" s="102" t="n">
        <v>0</v>
      </c>
      <c r="G3" s="102" t="n">
        <v>1</v>
      </c>
      <c r="H3" s="103" t="s">
        <v>814</v>
      </c>
      <c r="I3" s="102"/>
      <c r="J3" s="102"/>
      <c r="K3" s="97" t="n">
        <v>70</v>
      </c>
      <c r="L3" s="98" t="s">
        <v>815</v>
      </c>
      <c r="M3" s="99" t="n">
        <f aca="false">IF($A3="","",IFERROR(AVERAGEIFS(K$2:K3,WEEKNUM(A$2:A3,2),WEEKNUM(A3,2)),K3))</f>
        <v>70</v>
      </c>
      <c r="N3" s="100" t="n">
        <f aca="false">IF($A3="","",IFERROR(COUNTIFS(A$2:A3,"&lt;&gt;",L$2:L3,"达标",WEEKNUM(A$2:A3,2),WEEKNUM(A3,2)),0))</f>
        <v>0</v>
      </c>
      <c r="O3" s="97" t="n">
        <f aca="false">IF($A3="","",IF(L3="达标",IF(ROW()=2,1,IF(O3="",1,O3+1)),0))</f>
        <v>0</v>
      </c>
      <c r="P3" s="98" t="str">
        <f aca="false">IF($A3="","",IF(ROW()&lt;=8,"基准周",IF(K3&gt;75,"改善",IF(K3&lt;60,"恶化","持平"))))</f>
        <v>基准周</v>
      </c>
    </row>
    <row r="4" customFormat="false" ht="15" hidden="false" customHeight="true" outlineLevel="0" collapsed="false">
      <c r="A4" s="94" t="n">
        <v>46227</v>
      </c>
      <c r="B4" s="95" t="n">
        <v>4</v>
      </c>
      <c r="C4" s="95" t="n">
        <v>0</v>
      </c>
      <c r="D4" s="95" t="n">
        <v>4</v>
      </c>
      <c r="E4" s="95" t="n">
        <v>3</v>
      </c>
      <c r="F4" s="95" t="n">
        <v>0</v>
      </c>
      <c r="G4" s="95" t="n">
        <v>6</v>
      </c>
      <c r="H4" s="96" t="s">
        <v>814</v>
      </c>
      <c r="I4" s="96" t="s">
        <v>816</v>
      </c>
      <c r="J4" s="96" t="s">
        <v>817</v>
      </c>
      <c r="K4" s="97" t="n">
        <f aca="false">IF($A4="","",IF(B4=0,20,IF(B4=1,15,IF(B4=2,10,IF(B4=3,5,0))))+IF(C4="否",20,0)+IF(D4="是",20,0)+IF(E4=1,20,IF(E4=2,15,IF(E4=3,10,IF(E4=4,5,0))))+IF(F4="否",20,0))</f>
        <v>10</v>
      </c>
      <c r="L4" s="98" t="str">
        <f aca="false">IF($A4="","",IF(K4&gt;=80,"达标","未达标"))</f>
        <v>未达标</v>
      </c>
      <c r="M4" s="99" t="n">
        <f aca="false">IF($A4="","",IFERROR(AVERAGEIFS(K$2:K4,WEEKNUM(A$2:A4,2),WEEKNUM(A4,2)),K4))</f>
        <v>10</v>
      </c>
      <c r="N4" s="100" t="n">
        <f aca="false">IF($A4="","",IFERROR(COUNTIFS(A$2:A4,"&lt;&gt;",L$2:L4,"达标",WEEKNUM(A$2:A4,2),WEEKNUM(A4,2)),0))</f>
        <v>0</v>
      </c>
      <c r="O4" s="97" t="n">
        <f aca="false">IF($A4="","",IF(L4="达标",IF(ROW()=2,1,IF(O4="",1,O4+1)),0))</f>
        <v>0</v>
      </c>
      <c r="P4" s="98" t="str">
        <f aca="false">IF($A4="","",IF(ROW()&lt;=8,"基准周",IF(K4&gt;75,"改善",IF(K4&lt;60,"恶化","持平"))))</f>
        <v>基准周</v>
      </c>
    </row>
    <row r="5" customFormat="false" ht="15" hidden="false" customHeight="true" outlineLevel="0" collapsed="false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97" t="str">
        <f aca="false">IF($A5="","",IF(B5=0,20,IF(B5=1,15,IF(B5=2,10,IF(B5=3,5,0))))+IF(C5="否",20,0)+IF(D5="是",20,0)+IF(E5=1,20,IF(E5=2,15,IF(E5=3,10,IF(E5=4,5,0))))+IF(F5="否",20,0))</f>
        <v/>
      </c>
      <c r="L5" s="98" t="str">
        <f aca="false">IF($A5="","",IF(K5&gt;=80,"达标","未达标"))</f>
        <v/>
      </c>
      <c r="M5" s="99" t="str">
        <f aca="false">IF($A5="","",IFERROR(AVERAGEIFS(K$2:K5,WEEKNUM(A$2:A5,2),WEEKNUM(A5,2)),K5))</f>
        <v/>
      </c>
      <c r="N5" s="100" t="str">
        <f aca="false">IF($A5="","",IFERROR(COUNTIFS(A$2:A5,"&lt;&gt;",L$2:L5,"达标",WEEKNUM(A$2:A5,2),WEEKNUM(A5,2)),0))</f>
        <v/>
      </c>
      <c r="O5" s="97" t="str">
        <f aca="false">IF($A5="","",IF(L5="达标",IF(ROW()=2,1,IF(O4="",1,O4+1)),0))</f>
        <v/>
      </c>
      <c r="P5" s="98" t="str">
        <f aca="false">IF($A5="","",IF(ROW()&lt;=8,"基准周",IF(K5&gt;75,"改善",IF(K5&lt;60,"恶化","持平"))))</f>
        <v/>
      </c>
    </row>
    <row r="6" customFormat="false" ht="15" hidden="false" customHeight="true" outlineLevel="0" collapsed="false">
      <c r="A6" s="95"/>
      <c r="B6" s="95"/>
      <c r="C6" s="95"/>
      <c r="D6" s="95"/>
      <c r="E6" s="95"/>
      <c r="F6" s="95"/>
      <c r="G6" s="95"/>
      <c r="H6" s="95"/>
      <c r="I6" s="95"/>
      <c r="J6" s="95"/>
      <c r="K6" s="97" t="str">
        <f aca="false">IF($A6="","",IF(B6=0,20,IF(B6=1,15,IF(B6=2,10,IF(B6=3,5,0))))+IF(C6="否",20,0)+IF(D6="是",20,0)+IF(E6=1,20,IF(E6=2,15,IF(E6=3,10,IF(E6=4,5,0))))+IF(F6="否",20,0))</f>
        <v/>
      </c>
      <c r="L6" s="98" t="str">
        <f aca="false">IF($A6="","",IF(K6&gt;=80,"达标","未达标"))</f>
        <v/>
      </c>
      <c r="M6" s="99" t="str">
        <f aca="false">IF($A6="","",IFERROR(AVERAGEIFS(K$2:K6,WEEKNUM(A$2:A6,2),WEEKNUM(A6,2)),K6))</f>
        <v/>
      </c>
      <c r="N6" s="100" t="str">
        <f aca="false">IF($A6="","",IFERROR(COUNTIFS(A$2:A6,"&lt;&gt;",L$2:L6,"达标",WEEKNUM(A$2:A6,2),WEEKNUM(A6,2)),0))</f>
        <v/>
      </c>
      <c r="O6" s="97" t="str">
        <f aca="false">IF($A6="","",IF(L6="达标",IF(ROW()=2,1,IF(O5="",1,O5+1)),0))</f>
        <v/>
      </c>
      <c r="P6" s="98" t="str">
        <f aca="false">IF($A6="","",IF(ROW()&lt;=8,"基准周",IF(K6&gt;75,"改善",IF(K6&lt;60,"恶化","持平"))))</f>
        <v/>
      </c>
    </row>
    <row r="7" customFormat="false" ht="15" hidden="false" customHeight="true" outlineLevel="0" collapsed="false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97" t="str">
        <f aca="false">IF($A7="","",IF(B7=0,20,IF(B7=1,15,IF(B7=2,10,IF(B7=3,5,0))))+IF(C7="否",20,0)+IF(D7="是",20,0)+IF(E7=1,20,IF(E7=2,15,IF(E7=3,10,IF(E7=4,5,0))))+IF(F7="否",20,0))</f>
        <v/>
      </c>
      <c r="L7" s="98" t="str">
        <f aca="false">IF($A7="","",IF(K7&gt;=80,"达标","未达标"))</f>
        <v/>
      </c>
      <c r="M7" s="99" t="str">
        <f aca="false">IF($A7="","",IFERROR(AVERAGEIFS(K$2:K7,WEEKNUM(A$2:A7,2),WEEKNUM(A7,2)),K7))</f>
        <v/>
      </c>
      <c r="N7" s="100" t="str">
        <f aca="false">IF($A7="","",IFERROR(COUNTIFS(A$2:A7,"&lt;&gt;",L$2:L7,"达标",WEEKNUM(A$2:A7,2),WEEKNUM(A7,2)),0))</f>
        <v/>
      </c>
      <c r="O7" s="97" t="str">
        <f aca="false">IF($A7="","",IF(L7="达标",IF(ROW()=2,1,IF(O6="",1,O6+1)),0))</f>
        <v/>
      </c>
      <c r="P7" s="98" t="str">
        <f aca="false">IF($A7="","",IF(ROW()&lt;=8,"基准周",IF(K7&gt;75,"改善",IF(K7&lt;60,"恶化","持平"))))</f>
        <v/>
      </c>
    </row>
    <row r="8" customFormat="false" ht="15" hidden="false" customHeight="true" outlineLevel="0" collapsed="false">
      <c r="A8" s="95"/>
      <c r="B8" s="95"/>
      <c r="C8" s="95"/>
      <c r="D8" s="95"/>
      <c r="E8" s="95"/>
      <c r="F8" s="95"/>
      <c r="G8" s="95"/>
      <c r="H8" s="95"/>
      <c r="I8" s="95"/>
      <c r="J8" s="95"/>
      <c r="K8" s="97" t="str">
        <f aca="false">IF($A8="","",IF(B8=0,20,IF(B8=1,15,IF(B8=2,10,IF(B8=3,5,0))))+IF(C8="否",20,0)+IF(D8="是",20,0)+IF(E8=1,20,IF(E8=2,15,IF(E8=3,10,IF(E8=4,5,0))))+IF(F8="否",20,0))</f>
        <v/>
      </c>
      <c r="L8" s="98" t="str">
        <f aca="false">IF($A8="","",IF(K8&gt;=80,"达标","未达标"))</f>
        <v/>
      </c>
      <c r="M8" s="99" t="str">
        <f aca="false">IF($A8="","",IFERROR(AVERAGEIFS(K$2:K8,WEEKNUM(A$2:A8,2),WEEKNUM(A8,2)),K8))</f>
        <v/>
      </c>
      <c r="N8" s="100" t="str">
        <f aca="false">IF($A8="","",IFERROR(COUNTIFS(A$2:A8,"&lt;&gt;",L$2:L8,"达标",WEEKNUM(A$2:A8,2),WEEKNUM(A8,2)),0))</f>
        <v/>
      </c>
      <c r="O8" s="97" t="str">
        <f aca="false">IF($A8="","",IF(L8="达标",IF(ROW()=2,1,IF(O7="",1,O7+1)),0))</f>
        <v/>
      </c>
      <c r="P8" s="98" t="str">
        <f aca="false">IF($A8="","",IF(ROW()&lt;=8,"基准周",IF(K8&gt;75,"改善",IF(K8&lt;60,"恶化","持平"))))</f>
        <v/>
      </c>
    </row>
    <row r="9" customFormat="false" ht="15" hidden="false" customHeight="true" outlineLevel="0" collapsed="false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97" t="str">
        <f aca="false">IF($A9="","",IF(B9=0,20,IF(B9=1,15,IF(B9=2,10,IF(B9=3,5,0))))+IF(C9="否",20,0)+IF(D9="是",20,0)+IF(E9=1,20,IF(E9=2,15,IF(E9=3,10,IF(E9=4,5,0))))+IF(F9="否",20,0))</f>
        <v/>
      </c>
      <c r="L9" s="98" t="str">
        <f aca="false">IF($A9="","",IF(K9&gt;=80,"达标","未达标"))</f>
        <v/>
      </c>
      <c r="M9" s="99" t="str">
        <f aca="false">IF($A9="","",IFERROR(AVERAGEIFS(K$2:K9,WEEKNUM(A$2:A9,2),WEEKNUM(A9,2)),K9))</f>
        <v/>
      </c>
      <c r="N9" s="100" t="str">
        <f aca="false">IF($A9="","",IFERROR(COUNTIFS(A$2:A9,"&lt;&gt;",L$2:L9,"达标",WEEKNUM(A$2:A9,2),WEEKNUM(A9,2)),0))</f>
        <v/>
      </c>
      <c r="O9" s="97" t="str">
        <f aca="false">IF($A9="","",IF(L9="达标",IF(ROW()=2,1,IF(O8="",1,O8+1)),0))</f>
        <v/>
      </c>
      <c r="P9" s="98" t="str">
        <f aca="false">IF($A9="","",IF(ROW()&lt;=8,"基准周",IF(K9&gt;75,"改善",IF(K9&lt;60,"恶化","持平"))))</f>
        <v/>
      </c>
    </row>
    <row r="10" customFormat="false" ht="15" hidden="false" customHeight="true" outlineLevel="0" collapsed="false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7" t="str">
        <f aca="false">IF($A10="","",IF(B10=0,20,IF(B10=1,15,IF(B10=2,10,IF(B10=3,5,0))))+IF(C10="否",20,0)+IF(D10="是",20,0)+IF(E10=1,20,IF(E10=2,15,IF(E10=3,10,IF(E10=4,5,0))))+IF(F10="否",20,0))</f>
        <v/>
      </c>
      <c r="L10" s="98" t="str">
        <f aca="false">IF($A10="","",IF(K10&gt;=80,"达标","未达标"))</f>
        <v/>
      </c>
      <c r="M10" s="99" t="str">
        <f aca="false">IF($A10="","",IFERROR(AVERAGEIFS(K$2:K10,WEEKNUM(A$2:A10,2),WEEKNUM(A10,2)),K10))</f>
        <v/>
      </c>
      <c r="N10" s="100" t="str">
        <f aca="false">IF($A10="","",IFERROR(COUNTIFS(A$2:A10,"&lt;&gt;",L$2:L10,"达标",WEEKNUM(A$2:A10,2),WEEKNUM(A10,2)),0))</f>
        <v/>
      </c>
      <c r="O10" s="97" t="str">
        <f aca="false">IF($A10="","",IF(L10="达标",IF(ROW()=2,1,IF(O9="",1,O9+1)),0))</f>
        <v/>
      </c>
      <c r="P10" s="98" t="str">
        <f aca="false">IF($A10="","",IF(ROW()&lt;=8,"基准周",IF(K10&gt;75,"改善",IF(K10&lt;60,"恶化","持平"))))</f>
        <v/>
      </c>
    </row>
    <row r="11" customFormat="false" ht="15" hidden="false" customHeight="true" outlineLevel="0" collapsed="false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97" t="str">
        <f aca="false">IF($A11="","",IF(B11=0,20,IF(B11=1,15,IF(B11=2,10,IF(B11=3,5,0))))+IF(C11="否",20,0)+IF(D11="是",20,0)+IF(E11=1,20,IF(E11=2,15,IF(E11=3,10,IF(E11=4,5,0))))+IF(F11="否",20,0))</f>
        <v/>
      </c>
      <c r="L11" s="98" t="str">
        <f aca="false">IF($A11="","",IF(K11&gt;=80,"达标","未达标"))</f>
        <v/>
      </c>
      <c r="M11" s="99" t="str">
        <f aca="false">IF($A11="","",IFERROR(AVERAGEIFS(K$2:K11,WEEKNUM(A$2:A11,2),WEEKNUM(A11,2)),K11))</f>
        <v/>
      </c>
      <c r="N11" s="100" t="str">
        <f aca="false">IF($A11="","",IFERROR(COUNTIFS(A$2:A11,"&lt;&gt;",L$2:L11,"达标",WEEKNUM(A$2:A11,2),WEEKNUM(A11,2)),0))</f>
        <v/>
      </c>
      <c r="O11" s="97" t="str">
        <f aca="false">IF($A11="","",IF(L11="达标",IF(ROW()=2,1,IF(O10="",1,O10+1)),0))</f>
        <v/>
      </c>
      <c r="P11" s="98" t="str">
        <f aca="false">IF($A11="","",IF(ROW()&lt;=8,"基准周",IF(K11&gt;75,"改善",IF(K11&lt;60,"恶化","持平"))))</f>
        <v/>
      </c>
    </row>
    <row r="12" customFormat="false" ht="15" hidden="false" customHeight="true" outlineLevel="0" collapsed="false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7" t="str">
        <f aca="false">IF($A12="","",IF(B12=0,20,IF(B12=1,15,IF(B12=2,10,IF(B12=3,5,0))))+IF(C12="否",20,0)+IF(D12="是",20,0)+IF(E12=1,20,IF(E12=2,15,IF(E12=3,10,IF(E12=4,5,0))))+IF(F12="否",20,0))</f>
        <v/>
      </c>
      <c r="L12" s="98" t="str">
        <f aca="false">IF($A12="","",IF(K12&gt;=80,"达标","未达标"))</f>
        <v/>
      </c>
      <c r="M12" s="99" t="str">
        <f aca="false">IF($A12="","",IFERROR(AVERAGEIFS(K$2:K12,WEEKNUM(A$2:A12,2),WEEKNUM(A12,2)),K12))</f>
        <v/>
      </c>
      <c r="N12" s="100" t="str">
        <f aca="false">IF($A12="","",IFERROR(COUNTIFS(A$2:A12,"&lt;&gt;",L$2:L12,"达标",WEEKNUM(A$2:A12,2),WEEKNUM(A12,2)),0))</f>
        <v/>
      </c>
      <c r="O12" s="97" t="str">
        <f aca="false">IF($A12="","",IF(L12="达标",IF(ROW()=2,1,IF(O11="",1,O11+1)),0))</f>
        <v/>
      </c>
      <c r="P12" s="98" t="str">
        <f aca="false">IF($A12="","",IF(ROW()&lt;=8,"基准周",IF(K12&gt;75,"改善",IF(K12&lt;60,"恶化","持平"))))</f>
        <v/>
      </c>
    </row>
    <row r="13" customFormat="false" ht="15" hidden="false" customHeight="true" outlineLevel="0" collapsed="false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97" t="str">
        <f aca="false">IF($A13="","",IF(B13=0,20,IF(B13=1,15,IF(B13=2,10,IF(B13=3,5,0))))+IF(C13="否",20,0)+IF(D13="是",20,0)+IF(E13=1,20,IF(E13=2,15,IF(E13=3,10,IF(E13=4,5,0))))+IF(F13="否",20,0))</f>
        <v/>
      </c>
      <c r="L13" s="98" t="str">
        <f aca="false">IF($A13="","",IF(K13&gt;=80,"达标","未达标"))</f>
        <v/>
      </c>
      <c r="M13" s="99" t="str">
        <f aca="false">IF($A13="","",IFERROR(AVERAGEIFS(K$2:K13,WEEKNUM(A$2:A13,2),WEEKNUM(A13,2)),K13))</f>
        <v/>
      </c>
      <c r="N13" s="100" t="str">
        <f aca="false">IF($A13="","",IFERROR(COUNTIFS(A$2:A13,"&lt;&gt;",L$2:L13,"达标",WEEKNUM(A$2:A13,2),WEEKNUM(A13,2)),0))</f>
        <v/>
      </c>
      <c r="O13" s="97" t="str">
        <f aca="false">IF($A13="","",IF(L13="达标",IF(ROW()=2,1,IF(O12="",1,O12+1)),0))</f>
        <v/>
      </c>
      <c r="P13" s="98" t="str">
        <f aca="false">IF($A13="","",IF(ROW()&lt;=8,"基准周",IF(K13&gt;75,"改善",IF(K13&lt;60,"恶化","持平"))))</f>
        <v/>
      </c>
    </row>
    <row r="14" customFormat="false" ht="15" hidden="false" customHeight="true" outlineLevel="0" collapsed="false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7" t="str">
        <f aca="false">IF($A14="","",IF(B14=0,20,IF(B14=1,15,IF(B14=2,10,IF(B14=3,5,0))))+IF(C14="否",20,0)+IF(D14="是",20,0)+IF(E14=1,20,IF(E14=2,15,IF(E14=3,10,IF(E14=4,5,0))))+IF(F14="否",20,0))</f>
        <v/>
      </c>
      <c r="L14" s="98" t="str">
        <f aca="false">IF($A14="","",IF(K14&gt;=80,"达标","未达标"))</f>
        <v/>
      </c>
      <c r="M14" s="99" t="str">
        <f aca="false">IF($A14="","",IFERROR(AVERAGEIFS(K$2:K14,WEEKNUM(A$2:A14,2),WEEKNUM(A14,2)),K14))</f>
        <v/>
      </c>
      <c r="N14" s="100" t="str">
        <f aca="false">IF($A14="","",IFERROR(COUNTIFS(A$2:A14,"&lt;&gt;",L$2:L14,"达标",WEEKNUM(A$2:A14,2),WEEKNUM(A14,2)),0))</f>
        <v/>
      </c>
      <c r="O14" s="97" t="str">
        <f aca="false">IF($A14="","",IF(L14="达标",IF(ROW()=2,1,IF(O13="",1,O13+1)),0))</f>
        <v/>
      </c>
      <c r="P14" s="98" t="str">
        <f aca="false">IF($A14="","",IF(ROW()&lt;=8,"基准周",IF(K14&gt;75,"改善",IF(K14&lt;60,"恶化","持平"))))</f>
        <v/>
      </c>
    </row>
    <row r="15" customFormat="false" ht="15" hidden="false" customHeight="true" outlineLevel="0" collapsed="false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97" t="str">
        <f aca="false">IF($A15="","",IF(B15=0,20,IF(B15=1,15,IF(B15=2,10,IF(B15=3,5,0))))+IF(C15="否",20,0)+IF(D15="是",20,0)+IF(E15=1,20,IF(E15=2,15,IF(E15=3,10,IF(E15=4,5,0))))+IF(F15="否",20,0))</f>
        <v/>
      </c>
      <c r="L15" s="98" t="str">
        <f aca="false">IF($A15="","",IF(K15&gt;=80,"达标","未达标"))</f>
        <v/>
      </c>
      <c r="M15" s="99" t="str">
        <f aca="false">IF($A15="","",IFERROR(AVERAGEIFS(K$2:K15,WEEKNUM(A$2:A15,2),WEEKNUM(A15,2)),K15))</f>
        <v/>
      </c>
      <c r="N15" s="100" t="str">
        <f aca="false">IF($A15="","",IFERROR(COUNTIFS(A$2:A15,"&lt;&gt;",L$2:L15,"达标",WEEKNUM(A$2:A15,2),WEEKNUM(A15,2)),0))</f>
        <v/>
      </c>
      <c r="O15" s="97" t="str">
        <f aca="false">IF($A15="","",IF(L15="达标",IF(ROW()=2,1,IF(O14="",1,O14+1)),0))</f>
        <v/>
      </c>
      <c r="P15" s="98" t="str">
        <f aca="false">IF($A15="","",IF(ROW()&lt;=8,"基准周",IF(K15&gt;75,"改善",IF(K15&lt;60,"恶化","持平"))))</f>
        <v/>
      </c>
    </row>
    <row r="16" customFormat="false" ht="15" hidden="false" customHeight="true" outlineLevel="0" collapsed="false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7" t="str">
        <f aca="false">IF($A16="","",IF(B16=0,20,IF(B16=1,15,IF(B16=2,10,IF(B16=3,5,0))))+IF(C16="否",20,0)+IF(D16="是",20,0)+IF(E16=1,20,IF(E16=2,15,IF(E16=3,10,IF(E16=4,5,0))))+IF(F16="否",20,0))</f>
        <v/>
      </c>
      <c r="L16" s="98" t="str">
        <f aca="false">IF($A16="","",IF(K16&gt;=80,"达标","未达标"))</f>
        <v/>
      </c>
      <c r="M16" s="99" t="str">
        <f aca="false">IF($A16="","",IFERROR(AVERAGEIFS(K$2:K16,WEEKNUM(A$2:A16,2),WEEKNUM(A16,2)),K16))</f>
        <v/>
      </c>
      <c r="N16" s="100" t="str">
        <f aca="false">IF($A16="","",IFERROR(COUNTIFS(A$2:A16,"&lt;&gt;",L$2:L16,"达标",WEEKNUM(A$2:A16,2),WEEKNUM(A16,2)),0))</f>
        <v/>
      </c>
      <c r="O16" s="97" t="str">
        <f aca="false">IF($A16="","",IF(L16="达标",IF(ROW()=2,1,IF(O15="",1,O15+1)),0))</f>
        <v/>
      </c>
      <c r="P16" s="98" t="str">
        <f aca="false">IF($A16="","",IF(ROW()&lt;=8,"基准周",IF(K16&gt;75,"改善",IF(K16&lt;60,"恶化","持平"))))</f>
        <v/>
      </c>
    </row>
    <row r="17" customFormat="false" ht="15" hidden="false" customHeight="true" outlineLevel="0" collapsed="false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97" t="str">
        <f aca="false">IF($A17="","",IF(B17=0,20,IF(B17=1,15,IF(B17=2,10,IF(B17=3,5,0))))+IF(C17="否",20,0)+IF(D17="是",20,0)+IF(E17=1,20,IF(E17=2,15,IF(E17=3,10,IF(E17=4,5,0))))+IF(F17="否",20,0))</f>
        <v/>
      </c>
      <c r="L17" s="98" t="str">
        <f aca="false">IF($A17="","",IF(K17&gt;=80,"达标","未达标"))</f>
        <v/>
      </c>
      <c r="M17" s="99" t="str">
        <f aca="false">IF($A17="","",IFERROR(AVERAGEIFS(K$2:K17,WEEKNUM(A$2:A17,2),WEEKNUM(A17,2)),K17))</f>
        <v/>
      </c>
      <c r="N17" s="100" t="str">
        <f aca="false">IF($A17="","",IFERROR(COUNTIFS(A$2:A17,"&lt;&gt;",L$2:L17,"达标",WEEKNUM(A$2:A17,2),WEEKNUM(A17,2)),0))</f>
        <v/>
      </c>
      <c r="O17" s="97" t="str">
        <f aca="false">IF($A17="","",IF(L17="达标",IF(ROW()=2,1,IF(O16="",1,O16+1)),0))</f>
        <v/>
      </c>
      <c r="P17" s="98" t="str">
        <f aca="false">IF($A17="","",IF(ROW()&lt;=8,"基准周",IF(K17&gt;75,"改善",IF(K17&lt;60,"恶化","持平"))))</f>
        <v/>
      </c>
    </row>
    <row r="18" customFormat="false" ht="15" hidden="false" customHeight="true" outlineLevel="0" collapsed="false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7" t="str">
        <f aca="false">IF($A18="","",IF(B18=0,20,IF(B18=1,15,IF(B18=2,10,IF(B18=3,5,0))))+IF(C18="否",20,0)+IF(D18="是",20,0)+IF(E18=1,20,IF(E18=2,15,IF(E18=3,10,IF(E18=4,5,0))))+IF(F18="否",20,0))</f>
        <v/>
      </c>
      <c r="L18" s="98" t="str">
        <f aca="false">IF($A18="","",IF(K18&gt;=80,"达标","未达标"))</f>
        <v/>
      </c>
      <c r="M18" s="99" t="str">
        <f aca="false">IF($A18="","",IFERROR(AVERAGEIFS(K$2:K18,WEEKNUM(A$2:A18,2),WEEKNUM(A18,2)),K18))</f>
        <v/>
      </c>
      <c r="N18" s="100" t="str">
        <f aca="false">IF($A18="","",IFERROR(COUNTIFS(A$2:A18,"&lt;&gt;",L$2:L18,"达标",WEEKNUM(A$2:A18,2),WEEKNUM(A18,2)),0))</f>
        <v/>
      </c>
      <c r="O18" s="97" t="str">
        <f aca="false">IF($A18="","",IF(L18="达标",IF(ROW()=2,1,IF(O17="",1,O17+1)),0))</f>
        <v/>
      </c>
      <c r="P18" s="98" t="str">
        <f aca="false">IF($A18="","",IF(ROW()&lt;=8,"基准周",IF(K18&gt;75,"改善",IF(K18&lt;60,"恶化","持平"))))</f>
        <v/>
      </c>
    </row>
    <row r="19" customFormat="false" ht="15" hidden="false" customHeight="true" outlineLevel="0" collapsed="false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97" t="str">
        <f aca="false">IF($A19="","",IF(B19=0,20,IF(B19=1,15,IF(B19=2,10,IF(B19=3,5,0))))+IF(C19="否",20,0)+IF(D19="是",20,0)+IF(E19=1,20,IF(E19=2,15,IF(E19=3,10,IF(E19=4,5,0))))+IF(F19="否",20,0))</f>
        <v/>
      </c>
      <c r="L19" s="98" t="str">
        <f aca="false">IF($A19="","",IF(K19&gt;=80,"达标","未达标"))</f>
        <v/>
      </c>
      <c r="M19" s="99" t="str">
        <f aca="false">IF($A19="","",IFERROR(AVERAGEIFS(K$2:K19,WEEKNUM(A$2:A19,2),WEEKNUM(A19,2)),K19))</f>
        <v/>
      </c>
      <c r="N19" s="100" t="str">
        <f aca="false">IF($A19="","",IFERROR(COUNTIFS(A$2:A19,"&lt;&gt;",L$2:L19,"达标",WEEKNUM(A$2:A19,2),WEEKNUM(A19,2)),0))</f>
        <v/>
      </c>
      <c r="O19" s="97" t="str">
        <f aca="false">IF($A19="","",IF(L19="达标",IF(ROW()=2,1,IF(O18="",1,O18+1)),0))</f>
        <v/>
      </c>
      <c r="P19" s="98" t="str">
        <f aca="false">IF($A19="","",IF(ROW()&lt;=8,"基准周",IF(K19&gt;75,"改善",IF(K19&lt;60,"恶化","持平"))))</f>
        <v/>
      </c>
    </row>
    <row r="20" customFormat="false" ht="15" hidden="false" customHeight="true" outlineLevel="0" collapsed="false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7" t="str">
        <f aca="false">IF($A20="","",IF(B20=0,20,IF(B20=1,15,IF(B20=2,10,IF(B20=3,5,0))))+IF(C20="否",20,0)+IF(D20="是",20,0)+IF(E20=1,20,IF(E20=2,15,IF(E20=3,10,IF(E20=4,5,0))))+IF(F20="否",20,0))</f>
        <v/>
      </c>
      <c r="L20" s="98" t="str">
        <f aca="false">IF($A20="","",IF(K20&gt;=80,"达标","未达标"))</f>
        <v/>
      </c>
      <c r="M20" s="99" t="str">
        <f aca="false">IF($A20="","",IFERROR(AVERAGEIFS(K$2:K20,WEEKNUM(A$2:A20,2),WEEKNUM(A20,2)),K20))</f>
        <v/>
      </c>
      <c r="N20" s="100" t="str">
        <f aca="false">IF($A20="","",IFERROR(COUNTIFS(A$2:A20,"&lt;&gt;",L$2:L20,"达标",WEEKNUM(A$2:A20,2),WEEKNUM(A20,2)),0))</f>
        <v/>
      </c>
      <c r="O20" s="97" t="str">
        <f aca="false">IF($A20="","",IF(L20="达标",IF(ROW()=2,1,IF(O19="",1,O19+1)),0))</f>
        <v/>
      </c>
      <c r="P20" s="98" t="str">
        <f aca="false">IF($A20="","",IF(ROW()&lt;=8,"基准周",IF(K20&gt;75,"改善",IF(K20&lt;60,"恶化","持平"))))</f>
        <v/>
      </c>
    </row>
    <row r="21" customFormat="false" ht="15" hidden="false" customHeight="true" outlineLevel="0" collapsed="false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97" t="str">
        <f aca="false">IF($A21="","",IF(B21=0,20,IF(B21=1,15,IF(B21=2,10,IF(B21=3,5,0))))+IF(C21="否",20,0)+IF(D21="是",20,0)+IF(E21=1,20,IF(E21=2,15,IF(E21=3,10,IF(E21=4,5,0))))+IF(F21="否",20,0))</f>
        <v/>
      </c>
      <c r="L21" s="98" t="str">
        <f aca="false">IF($A21="","",IF(K21&gt;=80,"达标","未达标"))</f>
        <v/>
      </c>
      <c r="M21" s="99" t="str">
        <f aca="false">IF($A21="","",IFERROR(AVERAGEIFS(K$2:K21,WEEKNUM(A$2:A21,2),WEEKNUM(A21,2)),K21))</f>
        <v/>
      </c>
      <c r="N21" s="100" t="str">
        <f aca="false">IF($A21="","",IFERROR(COUNTIFS(A$2:A21,"&lt;&gt;",L$2:L21,"达标",WEEKNUM(A$2:A21,2),WEEKNUM(A21,2)),0))</f>
        <v/>
      </c>
      <c r="O21" s="97" t="str">
        <f aca="false">IF($A21="","",IF(L21="达标",IF(ROW()=2,1,IF(O20="",1,O20+1)),0))</f>
        <v/>
      </c>
      <c r="P21" s="98" t="str">
        <f aca="false">IF($A21="","",IF(ROW()&lt;=8,"基准周",IF(K21&gt;75,"改善",IF(K21&lt;60,"恶化","持平"))))</f>
        <v/>
      </c>
    </row>
    <row r="22" customFormat="false" ht="15" hidden="false" customHeight="true" outlineLevel="0" collapsed="false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7" t="str">
        <f aca="false">IF($A22="","",IF(B22=0,20,IF(B22=1,15,IF(B22=2,10,IF(B22=3,5,0))))+IF(C22="否",20,0)+IF(D22="是",20,0)+IF(E22=1,20,IF(E22=2,15,IF(E22=3,10,IF(E22=4,5,0))))+IF(F22="否",20,0))</f>
        <v/>
      </c>
      <c r="L22" s="98" t="str">
        <f aca="false">IF($A22="","",IF(K22&gt;=80,"达标","未达标"))</f>
        <v/>
      </c>
      <c r="M22" s="99" t="str">
        <f aca="false">IF($A22="","",IFERROR(AVERAGEIFS(K$2:K22,WEEKNUM(A$2:A22,2),WEEKNUM(A22,2)),K22))</f>
        <v/>
      </c>
      <c r="N22" s="100" t="str">
        <f aca="false">IF($A22="","",IFERROR(COUNTIFS(A$2:A22,"&lt;&gt;",L$2:L22,"达标",WEEKNUM(A$2:A22,2),WEEKNUM(A22,2)),0))</f>
        <v/>
      </c>
      <c r="O22" s="97" t="str">
        <f aca="false">IF($A22="","",IF(L22="达标",IF(ROW()=2,1,IF(O21="",1,O21+1)),0))</f>
        <v/>
      </c>
      <c r="P22" s="98" t="str">
        <f aca="false">IF($A22="","",IF(ROW()&lt;=8,"基准周",IF(K22&gt;75,"改善",IF(K22&lt;60,"恶化","持平"))))</f>
        <v/>
      </c>
    </row>
    <row r="23" customFormat="false" ht="15" hidden="false" customHeight="true" outlineLevel="0" collapsed="false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97" t="str">
        <f aca="false">IF($A23="","",IF(B23=0,20,IF(B23=1,15,IF(B23=2,10,IF(B23=3,5,0))))+IF(C23="否",20,0)+IF(D23="是",20,0)+IF(E23=1,20,IF(E23=2,15,IF(E23=3,10,IF(E23=4,5,0))))+IF(F23="否",20,0))</f>
        <v/>
      </c>
      <c r="L23" s="98" t="str">
        <f aca="false">IF($A23="","",IF(K23&gt;=80,"达标","未达标"))</f>
        <v/>
      </c>
      <c r="M23" s="99" t="str">
        <f aca="false">IF($A23="","",IFERROR(AVERAGEIFS(K$2:K23,WEEKNUM(A$2:A23,2),WEEKNUM(A23,2)),K23))</f>
        <v/>
      </c>
      <c r="N23" s="100" t="str">
        <f aca="false">IF($A23="","",IFERROR(COUNTIFS(A$2:A23,"&lt;&gt;",L$2:L23,"达标",WEEKNUM(A$2:A23,2),WEEKNUM(A23,2)),0))</f>
        <v/>
      </c>
      <c r="O23" s="97" t="str">
        <f aca="false">IF($A23="","",IF(L23="达标",IF(ROW()=2,1,IF(O22="",1,O22+1)),0))</f>
        <v/>
      </c>
      <c r="P23" s="98" t="str">
        <f aca="false">IF($A23="","",IF(ROW()&lt;=8,"基准周",IF(K23&gt;75,"改善",IF(K23&lt;60,"恶化","持平"))))</f>
        <v/>
      </c>
    </row>
    <row r="24" customFormat="false" ht="15" hidden="false" customHeight="true" outlineLevel="0" collapsed="false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7" t="str">
        <f aca="false">IF($A24="","",IF(B24=0,20,IF(B24=1,15,IF(B24=2,10,IF(B24=3,5,0))))+IF(C24="否",20,0)+IF(D24="是",20,0)+IF(E24=1,20,IF(E24=2,15,IF(E24=3,10,IF(E24=4,5,0))))+IF(F24="否",20,0))</f>
        <v/>
      </c>
      <c r="L24" s="98" t="str">
        <f aca="false">IF($A24="","",IF(K24&gt;=80,"达标","未达标"))</f>
        <v/>
      </c>
      <c r="M24" s="99" t="str">
        <f aca="false">IF($A24="","",IFERROR(AVERAGEIFS(K$2:K24,WEEKNUM(A$2:A24,2),WEEKNUM(A24,2)),K24))</f>
        <v/>
      </c>
      <c r="N24" s="100" t="str">
        <f aca="false">IF($A24="","",IFERROR(COUNTIFS(A$2:A24,"&lt;&gt;",L$2:L24,"达标",WEEKNUM(A$2:A24,2),WEEKNUM(A24,2)),0))</f>
        <v/>
      </c>
      <c r="O24" s="97" t="str">
        <f aca="false">IF($A24="","",IF(L24="达标",IF(ROW()=2,1,IF(O23="",1,O23+1)),0))</f>
        <v/>
      </c>
      <c r="P24" s="98" t="str">
        <f aca="false">IF($A24="","",IF(ROW()&lt;=8,"基准周",IF(K24&gt;75,"改善",IF(K24&lt;60,"恶化","持平"))))</f>
        <v/>
      </c>
    </row>
    <row r="25" customFormat="false" ht="15" hidden="false" customHeight="true" outlineLevel="0" collapsed="false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97" t="str">
        <f aca="false">IF($A25="","",IF(B25=0,20,IF(B25=1,15,IF(B25=2,10,IF(B25=3,5,0))))+IF(C25="否",20,0)+IF(D25="是",20,0)+IF(E25=1,20,IF(E25=2,15,IF(E25=3,10,IF(E25=4,5,0))))+IF(F25="否",20,0))</f>
        <v/>
      </c>
      <c r="L25" s="98" t="str">
        <f aca="false">IF($A25="","",IF(K25&gt;=80,"达标","未达标"))</f>
        <v/>
      </c>
      <c r="M25" s="99" t="str">
        <f aca="false">IF($A25="","",IFERROR(AVERAGEIFS(K$2:K25,WEEKNUM(A$2:A25,2),WEEKNUM(A25,2)),K25))</f>
        <v/>
      </c>
      <c r="N25" s="100" t="str">
        <f aca="false">IF($A25="","",IFERROR(COUNTIFS(A$2:A25,"&lt;&gt;",L$2:L25,"达标",WEEKNUM(A$2:A25,2),WEEKNUM(A25,2)),0))</f>
        <v/>
      </c>
      <c r="O25" s="97" t="str">
        <f aca="false">IF($A25="","",IF(L25="达标",IF(ROW()=2,1,IF(O24="",1,O24+1)),0))</f>
        <v/>
      </c>
      <c r="P25" s="98" t="str">
        <f aca="false">IF($A25="","",IF(ROW()&lt;=8,"基准周",IF(K25&gt;75,"改善",IF(K25&lt;60,"恶化","持平"))))</f>
        <v/>
      </c>
    </row>
    <row r="26" customFormat="false" ht="15" hidden="false" customHeight="true" outlineLevel="0" collapsed="false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7" t="str">
        <f aca="false">IF($A26="","",IF(B26=0,20,IF(B26=1,15,IF(B26=2,10,IF(B26=3,5,0))))+IF(C26="否",20,0)+IF(D26="是",20,0)+IF(E26=1,20,IF(E26=2,15,IF(E26=3,10,IF(E26=4,5,0))))+IF(F26="否",20,0))</f>
        <v/>
      </c>
      <c r="L26" s="98" t="str">
        <f aca="false">IF($A26="","",IF(K26&gt;=80,"达标","未达标"))</f>
        <v/>
      </c>
      <c r="M26" s="99" t="str">
        <f aca="false">IF($A26="","",IFERROR(AVERAGEIFS(K$2:K26,WEEKNUM(A$2:A26,2),WEEKNUM(A26,2)),K26))</f>
        <v/>
      </c>
      <c r="N26" s="100" t="str">
        <f aca="false">IF($A26="","",IFERROR(COUNTIFS(A$2:A26,"&lt;&gt;",L$2:L26,"达标",WEEKNUM(A$2:A26,2),WEEKNUM(A26,2)),0))</f>
        <v/>
      </c>
      <c r="O26" s="97" t="str">
        <f aca="false">IF($A26="","",IF(L26="达标",IF(ROW()=2,1,IF(O25="",1,O25+1)),0))</f>
        <v/>
      </c>
      <c r="P26" s="98" t="str">
        <f aca="false">IF($A26="","",IF(ROW()&lt;=8,"基准周",IF(K26&gt;75,"改善",IF(K26&lt;60,"恶化","持平"))))</f>
        <v/>
      </c>
    </row>
    <row r="27" customFormat="false" ht="15" hidden="false" customHeight="true" outlineLevel="0" collapsed="false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97" t="str">
        <f aca="false">IF($A27="","",IF(B27=0,20,IF(B27=1,15,IF(B27=2,10,IF(B27=3,5,0))))+IF(C27="否",20,0)+IF(D27="是",20,0)+IF(E27=1,20,IF(E27=2,15,IF(E27=3,10,IF(E27=4,5,0))))+IF(F27="否",20,0))</f>
        <v/>
      </c>
      <c r="L27" s="98" t="str">
        <f aca="false">IF($A27="","",IF(K27&gt;=80,"达标","未达标"))</f>
        <v/>
      </c>
      <c r="M27" s="99" t="str">
        <f aca="false">IF($A27="","",IFERROR(AVERAGEIFS(K$2:K27,WEEKNUM(A$2:A27,2),WEEKNUM(A27,2)),K27))</f>
        <v/>
      </c>
      <c r="N27" s="100" t="str">
        <f aca="false">IF($A27="","",IFERROR(COUNTIFS(A$2:A27,"&lt;&gt;",L$2:L27,"达标",WEEKNUM(A$2:A27,2),WEEKNUM(A27,2)),0))</f>
        <v/>
      </c>
      <c r="O27" s="97" t="str">
        <f aca="false">IF($A27="","",IF(L27="达标",IF(ROW()=2,1,IF(O26="",1,O26+1)),0))</f>
        <v/>
      </c>
      <c r="P27" s="98" t="str">
        <f aca="false">IF($A27="","",IF(ROW()&lt;=8,"基准周",IF(K27&gt;75,"改善",IF(K27&lt;60,"恶化","持平"))))</f>
        <v/>
      </c>
    </row>
    <row r="28" customFormat="false" ht="15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7" t="str">
        <f aca="false">IF($A28="","",IF(B28=0,20,IF(B28=1,15,IF(B28=2,10,IF(B28=3,5,0))))+IF(C28="否",20,0)+IF(D28="是",20,0)+IF(E28=1,20,IF(E28=2,15,IF(E28=3,10,IF(E28=4,5,0))))+IF(F28="否",20,0))</f>
        <v/>
      </c>
      <c r="L28" s="98" t="str">
        <f aca="false">IF($A28="","",IF(K28&gt;=80,"达标","未达标"))</f>
        <v/>
      </c>
      <c r="M28" s="99" t="str">
        <f aca="false">IF($A28="","",IFERROR(AVERAGEIFS(K$2:K28,WEEKNUM(A$2:A28,2),WEEKNUM(A28,2)),K28))</f>
        <v/>
      </c>
      <c r="N28" s="100" t="str">
        <f aca="false">IF($A28="","",IFERROR(COUNTIFS(A$2:A28,"&lt;&gt;",L$2:L28,"达标",WEEKNUM(A$2:A28,2),WEEKNUM(A28,2)),0))</f>
        <v/>
      </c>
      <c r="O28" s="97" t="str">
        <f aca="false">IF($A28="","",IF(L28="达标",IF(ROW()=2,1,IF(O27="",1,O27+1)),0))</f>
        <v/>
      </c>
      <c r="P28" s="98" t="str">
        <f aca="false">IF($A28="","",IF(ROW()&lt;=8,"基准周",IF(K28&gt;75,"改善",IF(K28&lt;60,"恶化","持平"))))</f>
        <v/>
      </c>
    </row>
    <row r="29" customFormat="false" ht="15" hidden="false" customHeight="tru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97" t="str">
        <f aca="false">IF($A29="","",IF(B29=0,20,IF(B29=1,15,IF(B29=2,10,IF(B29=3,5,0))))+IF(C29="否",20,0)+IF(D29="是",20,0)+IF(E29=1,20,IF(E29=2,15,IF(E29=3,10,IF(E29=4,5,0))))+IF(F29="否",20,0))</f>
        <v/>
      </c>
      <c r="L29" s="98" t="str">
        <f aca="false">IF($A29="","",IF(K29&gt;=80,"达标","未达标"))</f>
        <v/>
      </c>
      <c r="M29" s="99" t="str">
        <f aca="false">IF($A29="","",IFERROR(AVERAGEIFS(K$2:K29,WEEKNUM(A$2:A29,2),WEEKNUM(A29,2)),K29))</f>
        <v/>
      </c>
      <c r="N29" s="100" t="str">
        <f aca="false">IF($A29="","",IFERROR(COUNTIFS(A$2:A29,"&lt;&gt;",L$2:L29,"达标",WEEKNUM(A$2:A29,2),WEEKNUM(A29,2)),0))</f>
        <v/>
      </c>
      <c r="O29" s="97" t="str">
        <f aca="false">IF($A29="","",IF(L29="达标",IF(ROW()=2,1,IF(O28="",1,O28+1)),0))</f>
        <v/>
      </c>
      <c r="P29" s="98" t="str">
        <f aca="false">IF($A29="","",IF(ROW()&lt;=8,"基准周",IF(K29&gt;75,"改善",IF(K29&lt;60,"恶化","持平"))))</f>
        <v/>
      </c>
    </row>
    <row r="30" customFormat="false" ht="15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7" t="str">
        <f aca="false">IF($A30="","",IF(B30=0,20,IF(B30=1,15,IF(B30=2,10,IF(B30=3,5,0))))+IF(C30="否",20,0)+IF(D30="是",20,0)+IF(E30=1,20,IF(E30=2,15,IF(E30=3,10,IF(E30=4,5,0))))+IF(F30="否",20,0))</f>
        <v/>
      </c>
      <c r="L30" s="98" t="str">
        <f aca="false">IF($A30="","",IF(K30&gt;=80,"达标","未达标"))</f>
        <v/>
      </c>
      <c r="M30" s="99" t="str">
        <f aca="false">IF($A30="","",IFERROR(AVERAGEIFS(K$2:K30,WEEKNUM(A$2:A30,2),WEEKNUM(A30,2)),K30))</f>
        <v/>
      </c>
      <c r="N30" s="100" t="str">
        <f aca="false">IF($A30="","",IFERROR(COUNTIFS(A$2:A30,"&lt;&gt;",L$2:L30,"达标",WEEKNUM(A$2:A30,2),WEEKNUM(A30,2)),0))</f>
        <v/>
      </c>
      <c r="O30" s="97" t="str">
        <f aca="false">IF($A30="","",IF(L30="达标",IF(ROW()=2,1,IF(O29="",1,O29+1)),0))</f>
        <v/>
      </c>
      <c r="P30" s="98" t="str">
        <f aca="false">IF($A30="","",IF(ROW()&lt;=8,"基准周",IF(K30&gt;75,"改善",IF(K30&lt;60,"恶化","持平"))))</f>
        <v/>
      </c>
    </row>
    <row r="31" customFormat="false" ht="15" hidden="false" customHeight="tru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97" t="str">
        <f aca="false">IF($A31="","",IF(B31=0,20,IF(B31=1,15,IF(B31=2,10,IF(B31=3,5,0))))+IF(C31="否",20,0)+IF(D31="是",20,0)+IF(E31=1,20,IF(E31=2,15,IF(E31=3,10,IF(E31=4,5,0))))+IF(F31="否",20,0))</f>
        <v/>
      </c>
      <c r="L31" s="98" t="str">
        <f aca="false">IF($A31="","",IF(K31&gt;=80,"达标","未达标"))</f>
        <v/>
      </c>
      <c r="M31" s="99" t="str">
        <f aca="false">IF($A31="","",IFERROR(AVERAGEIFS(K$2:K31,WEEKNUM(A$2:A31,2),WEEKNUM(A31,2)),K31))</f>
        <v/>
      </c>
      <c r="N31" s="100" t="str">
        <f aca="false">IF($A31="","",IFERROR(COUNTIFS(A$2:A31,"&lt;&gt;",L$2:L31,"达标",WEEKNUM(A$2:A31,2),WEEKNUM(A31,2)),0))</f>
        <v/>
      </c>
      <c r="O31" s="97" t="str">
        <f aca="false">IF($A31="","",IF(L31="达标",IF(ROW()=2,1,IF(O30="",1,O30+1)),0))</f>
        <v/>
      </c>
      <c r="P31" s="98" t="str">
        <f aca="false">IF($A31="","",IF(ROW()&lt;=8,"基准周",IF(K31&gt;75,"改善",IF(K31&lt;60,"恶化","持平"))))</f>
        <v/>
      </c>
    </row>
    <row r="32" customFormat="false" ht="15" hidden="false" customHeight="true" outlineLevel="0" collapsed="false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7" t="str">
        <f aca="false">IF($A32="","",IF(B32=0,20,IF(B32=1,15,IF(B32=2,10,IF(B32=3,5,0))))+IF(C32="否",20,0)+IF(D32="是",20,0)+IF(E32=1,20,IF(E32=2,15,IF(E32=3,10,IF(E32=4,5,0))))+IF(F32="否",20,0))</f>
        <v/>
      </c>
      <c r="L32" s="98" t="str">
        <f aca="false">IF($A32="","",IF(K32&gt;=80,"达标","未达标"))</f>
        <v/>
      </c>
      <c r="M32" s="99" t="str">
        <f aca="false">IF($A32="","",IFERROR(AVERAGEIFS(K$2:K32,WEEKNUM(A$2:A32,2),WEEKNUM(A32,2)),K32))</f>
        <v/>
      </c>
      <c r="N32" s="100" t="str">
        <f aca="false">IF($A32="","",IFERROR(COUNTIFS(A$2:A32,"&lt;&gt;",L$2:L32,"达标",WEEKNUM(A$2:A32,2),WEEKNUM(A32,2)),0))</f>
        <v/>
      </c>
      <c r="O32" s="97" t="str">
        <f aca="false">IF($A32="","",IF(L32="达标",IF(ROW()=2,1,IF(O31="",1,O31+1)),0))</f>
        <v/>
      </c>
      <c r="P32" s="98" t="str">
        <f aca="false">IF($A32="","",IF(ROW()&lt;=8,"基准周",IF(K32&gt;75,"改善",IF(K32&lt;60,"恶化","持平"))))</f>
        <v/>
      </c>
    </row>
    <row r="33" customFormat="false" ht="15" hidden="false" customHeight="tru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97" t="str">
        <f aca="false">IF($A33="","",IF(B33=0,20,IF(B33=1,15,IF(B33=2,10,IF(B33=3,5,0))))+IF(C33="否",20,0)+IF(D33="是",20,0)+IF(E33=1,20,IF(E33=2,15,IF(E33=3,10,IF(E33=4,5,0))))+IF(F33="否",20,0))</f>
        <v/>
      </c>
      <c r="L33" s="98" t="str">
        <f aca="false">IF($A33="","",IF(K33&gt;=80,"达标","未达标"))</f>
        <v/>
      </c>
      <c r="M33" s="99" t="str">
        <f aca="false">IF($A33="","",IFERROR(AVERAGEIFS(K$2:K33,WEEKNUM(A$2:A33,2),WEEKNUM(A33,2)),K33))</f>
        <v/>
      </c>
      <c r="N33" s="100" t="str">
        <f aca="false">IF($A33="","",IFERROR(COUNTIFS(A$2:A33,"&lt;&gt;",L$2:L33,"达标",WEEKNUM(A$2:A33,2),WEEKNUM(A33,2)),0))</f>
        <v/>
      </c>
      <c r="O33" s="97" t="str">
        <f aca="false">IF($A33="","",IF(L33="达标",IF(ROW()=2,1,IF(O32="",1,O32+1)),0))</f>
        <v/>
      </c>
      <c r="P33" s="98" t="str">
        <f aca="false">IF($A33="","",IF(ROW()&lt;=8,"基准周",IF(K33&gt;75,"改善",IF(K33&lt;60,"恶化","持平"))))</f>
        <v/>
      </c>
    </row>
    <row r="34" customFormat="false" ht="15" hidden="false" customHeight="true" outlineLevel="0" collapsed="false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7" t="str">
        <f aca="false">IF($A34="","",IF(B34=0,20,IF(B34=1,15,IF(B34=2,10,IF(B34=3,5,0))))+IF(C34="否",20,0)+IF(D34="是",20,0)+IF(E34=1,20,IF(E34=2,15,IF(E34=3,10,IF(E34=4,5,0))))+IF(F34="否",20,0))</f>
        <v/>
      </c>
      <c r="L34" s="98" t="str">
        <f aca="false">IF($A34="","",IF(K34&gt;=80,"达标","未达标"))</f>
        <v/>
      </c>
      <c r="M34" s="99" t="str">
        <f aca="false">IF($A34="","",IFERROR(AVERAGEIFS(K$2:K34,WEEKNUM(A$2:A34,2),WEEKNUM(A34,2)),K34))</f>
        <v/>
      </c>
      <c r="N34" s="100" t="str">
        <f aca="false">IF($A34="","",IFERROR(COUNTIFS(A$2:A34,"&lt;&gt;",L$2:L34,"达标",WEEKNUM(A$2:A34,2),WEEKNUM(A34,2)),0))</f>
        <v/>
      </c>
      <c r="O34" s="97" t="str">
        <f aca="false">IF($A34="","",IF(L34="达标",IF(ROW()=2,1,IF(O33="",1,O33+1)),0))</f>
        <v/>
      </c>
      <c r="P34" s="98" t="str">
        <f aca="false">IF($A34="","",IF(ROW()&lt;=8,"基准周",IF(K34&gt;75,"改善",IF(K34&lt;60,"恶化","持平"))))</f>
        <v/>
      </c>
    </row>
    <row r="35" customFormat="false" ht="15" hidden="false" customHeight="true" outlineLevel="0" collapsed="false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97" t="str">
        <f aca="false">IF($A35="","",IF(B35=0,20,IF(B35=1,15,IF(B35=2,10,IF(B35=3,5,0))))+IF(C35="否",20,0)+IF(D35="是",20,0)+IF(E35=1,20,IF(E35=2,15,IF(E35=3,10,IF(E35=4,5,0))))+IF(F35="否",20,0))</f>
        <v/>
      </c>
      <c r="L35" s="98" t="str">
        <f aca="false">IF($A35="","",IF(K35&gt;=80,"达标","未达标"))</f>
        <v/>
      </c>
      <c r="M35" s="99" t="str">
        <f aca="false">IF($A35="","",IFERROR(AVERAGEIFS(K$2:K35,WEEKNUM(A$2:A35,2),WEEKNUM(A35,2)),K35))</f>
        <v/>
      </c>
      <c r="N35" s="100" t="str">
        <f aca="false">IF($A35="","",IFERROR(COUNTIFS(A$2:A35,"&lt;&gt;",L$2:L35,"达标",WEEKNUM(A$2:A35,2),WEEKNUM(A35,2)),0))</f>
        <v/>
      </c>
      <c r="O35" s="97" t="str">
        <f aca="false">IF($A35="","",IF(L35="达标",IF(ROW()=2,1,IF(O34="",1,O34+1)),0))</f>
        <v/>
      </c>
      <c r="P35" s="98" t="str">
        <f aca="false">IF($A35="","",IF(ROW()&lt;=8,"基准周",IF(K35&gt;75,"改善",IF(K35&lt;60,"恶化","持平"))))</f>
        <v/>
      </c>
    </row>
    <row r="36" customFormat="false" ht="15" hidden="false" customHeight="true" outlineLevel="0" collapsed="false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7" t="str">
        <f aca="false">IF($A36="","",IF(B36=0,20,IF(B36=1,15,IF(B36=2,10,IF(B36=3,5,0))))+IF(C36="否",20,0)+IF(D36="是",20,0)+IF(E36=1,20,IF(E36=2,15,IF(E36=3,10,IF(E36=4,5,0))))+IF(F36="否",20,0))</f>
        <v/>
      </c>
      <c r="L36" s="98" t="str">
        <f aca="false">IF($A36="","",IF(K36&gt;=80,"达标","未达标"))</f>
        <v/>
      </c>
      <c r="M36" s="99" t="str">
        <f aca="false">IF($A36="","",IFERROR(AVERAGEIFS(K$2:K36,WEEKNUM(A$2:A36,2),WEEKNUM(A36,2)),K36))</f>
        <v/>
      </c>
      <c r="N36" s="100" t="str">
        <f aca="false">IF($A36="","",IFERROR(COUNTIFS(A$2:A36,"&lt;&gt;",L$2:L36,"达标",WEEKNUM(A$2:A36,2),WEEKNUM(A36,2)),0))</f>
        <v/>
      </c>
      <c r="O36" s="97" t="str">
        <f aca="false">IF($A36="","",IF(L36="达标",IF(ROW()=2,1,IF(O35="",1,O35+1)),0))</f>
        <v/>
      </c>
      <c r="P36" s="98" t="str">
        <f aca="false">IF($A36="","",IF(ROW()&lt;=8,"基准周",IF(K36&gt;75,"改善",IF(K36&lt;60,"恶化","持平"))))</f>
        <v/>
      </c>
    </row>
    <row r="37" customFormat="false" ht="15" hidden="false" customHeight="true" outlineLevel="0" collapsed="false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97" t="str">
        <f aca="false">IF($A37="","",IF(B37=0,20,IF(B37=1,15,IF(B37=2,10,IF(B37=3,5,0))))+IF(C37="否",20,0)+IF(D37="是",20,0)+IF(E37=1,20,IF(E37=2,15,IF(E37=3,10,IF(E37=4,5,0))))+IF(F37="否",20,0))</f>
        <v/>
      </c>
      <c r="L37" s="98" t="str">
        <f aca="false">IF($A37="","",IF(K37&gt;=80,"达标","未达标"))</f>
        <v/>
      </c>
      <c r="M37" s="99" t="str">
        <f aca="false">IF($A37="","",IFERROR(AVERAGEIFS(K$2:K37,WEEKNUM(A$2:A37,2),WEEKNUM(A37,2)),K37))</f>
        <v/>
      </c>
      <c r="N37" s="100" t="str">
        <f aca="false">IF($A37="","",IFERROR(COUNTIFS(A$2:A37,"&lt;&gt;",L$2:L37,"达标",WEEKNUM(A$2:A37,2),WEEKNUM(A37,2)),0))</f>
        <v/>
      </c>
      <c r="O37" s="97" t="str">
        <f aca="false">IF($A37="","",IF(L37="达标",IF(ROW()=2,1,IF(O36="",1,O36+1)),0))</f>
        <v/>
      </c>
      <c r="P37" s="98" t="str">
        <f aca="false">IF($A37="","",IF(ROW()&lt;=8,"基准周",IF(K37&gt;75,"改善",IF(K37&lt;60,"恶化","持平"))))</f>
        <v/>
      </c>
    </row>
    <row r="38" customFormat="false" ht="15" hidden="false" customHeight="true" outlineLevel="0" collapsed="false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7" t="str">
        <f aca="false">IF($A38="","",IF(B38=0,20,IF(B38=1,15,IF(B38=2,10,IF(B38=3,5,0))))+IF(C38="否",20,0)+IF(D38="是",20,0)+IF(E38=1,20,IF(E38=2,15,IF(E38=3,10,IF(E38=4,5,0))))+IF(F38="否",20,0))</f>
        <v/>
      </c>
      <c r="L38" s="98" t="str">
        <f aca="false">IF($A38="","",IF(K38&gt;=80,"达标","未达标"))</f>
        <v/>
      </c>
      <c r="M38" s="99" t="str">
        <f aca="false">IF($A38="","",IFERROR(AVERAGEIFS(K$2:K38,WEEKNUM(A$2:A38,2),WEEKNUM(A38,2)),K38))</f>
        <v/>
      </c>
      <c r="N38" s="100" t="str">
        <f aca="false">IF($A38="","",IFERROR(COUNTIFS(A$2:A38,"&lt;&gt;",L$2:L38,"达标",WEEKNUM(A$2:A38,2),WEEKNUM(A38,2)),0))</f>
        <v/>
      </c>
      <c r="O38" s="97" t="str">
        <f aca="false">IF($A38="","",IF(L38="达标",IF(ROW()=2,1,IF(O37="",1,O37+1)),0))</f>
        <v/>
      </c>
      <c r="P38" s="98" t="str">
        <f aca="false">IF($A38="","",IF(ROW()&lt;=8,"基准周",IF(K38&gt;75,"改善",IF(K38&lt;60,"恶化","持平"))))</f>
        <v/>
      </c>
    </row>
    <row r="39" customFormat="false" ht="15" hidden="false" customHeight="true" outlineLevel="0" collapsed="false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97" t="str">
        <f aca="false">IF($A39="","",IF(B39=0,20,IF(B39=1,15,IF(B39=2,10,IF(B39=3,5,0))))+IF(C39="否",20,0)+IF(D39="是",20,0)+IF(E39=1,20,IF(E39=2,15,IF(E39=3,10,IF(E39=4,5,0))))+IF(F39="否",20,0))</f>
        <v/>
      </c>
      <c r="L39" s="98" t="str">
        <f aca="false">IF($A39="","",IF(K39&gt;=80,"达标","未达标"))</f>
        <v/>
      </c>
      <c r="M39" s="99" t="str">
        <f aca="false">IF($A39="","",IFERROR(AVERAGEIFS(K$2:K39,WEEKNUM(A$2:A39,2),WEEKNUM(A39,2)),K39))</f>
        <v/>
      </c>
      <c r="N39" s="100" t="str">
        <f aca="false">IF($A39="","",IFERROR(COUNTIFS(A$2:A39,"&lt;&gt;",L$2:L39,"达标",WEEKNUM(A$2:A39,2),WEEKNUM(A39,2)),0))</f>
        <v/>
      </c>
      <c r="O39" s="97" t="str">
        <f aca="false">IF($A39="","",IF(L39="达标",IF(ROW()=2,1,IF(O38="",1,O38+1)),0))</f>
        <v/>
      </c>
      <c r="P39" s="98" t="str">
        <f aca="false">IF($A39="","",IF(ROW()&lt;=8,"基准周",IF(K39&gt;75,"改善",IF(K39&lt;60,"恶化","持平"))))</f>
        <v/>
      </c>
    </row>
    <row r="40" customFormat="false" ht="15" hidden="false" customHeight="true" outlineLevel="0" collapsed="false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7" t="str">
        <f aca="false">IF($A40="","",IF(B40=0,20,IF(B40=1,15,IF(B40=2,10,IF(B40=3,5,0))))+IF(C40="否",20,0)+IF(D40="是",20,0)+IF(E40=1,20,IF(E40=2,15,IF(E40=3,10,IF(E40=4,5,0))))+IF(F40="否",20,0))</f>
        <v/>
      </c>
      <c r="L40" s="98" t="str">
        <f aca="false">IF($A40="","",IF(K40&gt;=80,"达标","未达标"))</f>
        <v/>
      </c>
      <c r="M40" s="99" t="str">
        <f aca="false">IF($A40="","",IFERROR(AVERAGEIFS(K$2:K40,WEEKNUM(A$2:A40,2),WEEKNUM(A40,2)),K40))</f>
        <v/>
      </c>
      <c r="N40" s="100" t="str">
        <f aca="false">IF($A40="","",IFERROR(COUNTIFS(A$2:A40,"&lt;&gt;",L$2:L40,"达标",WEEKNUM(A$2:A40,2),WEEKNUM(A40,2)),0))</f>
        <v/>
      </c>
      <c r="O40" s="97" t="str">
        <f aca="false">IF($A40="","",IF(L40="达标",IF(ROW()=2,1,IF(O39="",1,O39+1)),0))</f>
        <v/>
      </c>
      <c r="P40" s="98" t="str">
        <f aca="false">IF($A40="","",IF(ROW()&lt;=8,"基准周",IF(K40&gt;75,"改善",IF(K40&lt;60,"恶化","持平"))))</f>
        <v/>
      </c>
    </row>
    <row r="41" customFormat="false" ht="15" hidden="false" customHeight="true" outlineLevel="0" collapsed="false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97" t="str">
        <f aca="false">IF($A41="","",IF(B41=0,20,IF(B41=1,15,IF(B41=2,10,IF(B41=3,5,0))))+IF(C41="否",20,0)+IF(D41="是",20,0)+IF(E41=1,20,IF(E41=2,15,IF(E41=3,10,IF(E41=4,5,0))))+IF(F41="否",20,0))</f>
        <v/>
      </c>
      <c r="L41" s="98" t="str">
        <f aca="false">IF($A41="","",IF(K41&gt;=80,"达标","未达标"))</f>
        <v/>
      </c>
      <c r="M41" s="99" t="str">
        <f aca="false">IF($A41="","",IFERROR(AVERAGEIFS(K$2:K41,WEEKNUM(A$2:A41,2),WEEKNUM(A41,2)),K41))</f>
        <v/>
      </c>
      <c r="N41" s="100" t="str">
        <f aca="false">IF($A41="","",IFERROR(COUNTIFS(A$2:A41,"&lt;&gt;",L$2:L41,"达标",WEEKNUM(A$2:A41,2),WEEKNUM(A41,2)),0))</f>
        <v/>
      </c>
      <c r="O41" s="97" t="str">
        <f aca="false">IF($A41="","",IF(L41="达标",IF(ROW()=2,1,IF(O40="",1,O40+1)),0))</f>
        <v/>
      </c>
      <c r="P41" s="98" t="str">
        <f aca="false">IF($A41="","",IF(ROW()&lt;=8,"基准周",IF(K41&gt;75,"改善",IF(K41&lt;60,"恶化","持平"))))</f>
        <v/>
      </c>
    </row>
    <row r="42" customFormat="false" ht="15" hidden="false" customHeight="true" outlineLevel="0" collapsed="false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7" t="str">
        <f aca="false">IF($A42="","",IF(B42=0,20,IF(B42=1,15,IF(B42=2,10,IF(B42=3,5,0))))+IF(C42="否",20,0)+IF(D42="是",20,0)+IF(E42=1,20,IF(E42=2,15,IF(E42=3,10,IF(E42=4,5,0))))+IF(F42="否",20,0))</f>
        <v/>
      </c>
      <c r="L42" s="98" t="str">
        <f aca="false">IF($A42="","",IF(K42&gt;=80,"达标","未达标"))</f>
        <v/>
      </c>
      <c r="M42" s="99" t="str">
        <f aca="false">IF($A42="","",IFERROR(AVERAGEIFS(K$2:K42,WEEKNUM(A$2:A42,2),WEEKNUM(A42,2)),K42))</f>
        <v/>
      </c>
      <c r="N42" s="100" t="str">
        <f aca="false">IF($A42="","",IFERROR(COUNTIFS(A$2:A42,"&lt;&gt;",L$2:L42,"达标",WEEKNUM(A$2:A42,2),WEEKNUM(A42,2)),0))</f>
        <v/>
      </c>
      <c r="O42" s="97" t="str">
        <f aca="false">IF($A42="","",IF(L42="达标",IF(ROW()=2,1,IF(O41="",1,O41+1)),0))</f>
        <v/>
      </c>
      <c r="P42" s="98" t="str">
        <f aca="false">IF($A42="","",IF(ROW()&lt;=8,"基准周",IF(K42&gt;75,"改善",IF(K42&lt;60,"恶化","持平"))))</f>
        <v/>
      </c>
    </row>
    <row r="43" customFormat="false" ht="15" hidden="false" customHeight="true" outlineLevel="0" collapsed="false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97" t="str">
        <f aca="false">IF($A43="","",IF(B43=0,20,IF(B43=1,15,IF(B43=2,10,IF(B43=3,5,0))))+IF(C43="否",20,0)+IF(D43="是",20,0)+IF(E43=1,20,IF(E43=2,15,IF(E43=3,10,IF(E43=4,5,0))))+IF(F43="否",20,0))</f>
        <v/>
      </c>
      <c r="L43" s="98" t="str">
        <f aca="false">IF($A43="","",IF(K43&gt;=80,"达标","未达标"))</f>
        <v/>
      </c>
      <c r="M43" s="99" t="str">
        <f aca="false">IF($A43="","",IFERROR(AVERAGEIFS(K$2:K43,WEEKNUM(A$2:A43,2),WEEKNUM(A43,2)),K43))</f>
        <v/>
      </c>
      <c r="N43" s="100" t="str">
        <f aca="false">IF($A43="","",IFERROR(COUNTIFS(A$2:A43,"&lt;&gt;",L$2:L43,"达标",WEEKNUM(A$2:A43,2),WEEKNUM(A43,2)),0))</f>
        <v/>
      </c>
      <c r="O43" s="97" t="str">
        <f aca="false">IF($A43="","",IF(L43="达标",IF(ROW()=2,1,IF(O42="",1,O42+1)),0))</f>
        <v/>
      </c>
      <c r="P43" s="98" t="str">
        <f aca="false">IF($A43="","",IF(ROW()&lt;=8,"基准周",IF(K43&gt;75,"改善",IF(K43&lt;60,"恶化","持平"))))</f>
        <v/>
      </c>
    </row>
    <row r="44" customFormat="false" ht="15" hidden="false" customHeight="true" outlineLevel="0" collapsed="false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7" t="str">
        <f aca="false">IF($A44="","",IF(B44=0,20,IF(B44=1,15,IF(B44=2,10,IF(B44=3,5,0))))+IF(C44="否",20,0)+IF(D44="是",20,0)+IF(E44=1,20,IF(E44=2,15,IF(E44=3,10,IF(E44=4,5,0))))+IF(F44="否",20,0))</f>
        <v/>
      </c>
      <c r="L44" s="98" t="str">
        <f aca="false">IF($A44="","",IF(K44&gt;=80,"达标","未达标"))</f>
        <v/>
      </c>
      <c r="M44" s="99" t="str">
        <f aca="false">IF($A44="","",IFERROR(AVERAGEIFS(K$2:K44,WEEKNUM(A$2:A44,2),WEEKNUM(A44,2)),K44))</f>
        <v/>
      </c>
      <c r="N44" s="100" t="str">
        <f aca="false">IF($A44="","",IFERROR(COUNTIFS(A$2:A44,"&lt;&gt;",L$2:L44,"达标",WEEKNUM(A$2:A44,2),WEEKNUM(A44,2)),0))</f>
        <v/>
      </c>
      <c r="O44" s="97" t="str">
        <f aca="false">IF($A44="","",IF(L44="达标",IF(ROW()=2,1,IF(O43="",1,O43+1)),0))</f>
        <v/>
      </c>
      <c r="P44" s="98" t="str">
        <f aca="false">IF($A44="","",IF(ROW()&lt;=8,"基准周",IF(K44&gt;75,"改善",IF(K44&lt;60,"恶化","持平"))))</f>
        <v/>
      </c>
    </row>
    <row r="45" customFormat="false" ht="15" hidden="false" customHeight="true" outlineLevel="0" collapsed="false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97" t="str">
        <f aca="false">IF($A45="","",IF(B45=0,20,IF(B45=1,15,IF(B45=2,10,IF(B45=3,5,0))))+IF(C45="否",20,0)+IF(D45="是",20,0)+IF(E45=1,20,IF(E45=2,15,IF(E45=3,10,IF(E45=4,5,0))))+IF(F45="否",20,0))</f>
        <v/>
      </c>
      <c r="L45" s="98" t="str">
        <f aca="false">IF($A45="","",IF(K45&gt;=80,"达标","未达标"))</f>
        <v/>
      </c>
      <c r="M45" s="99" t="str">
        <f aca="false">IF($A45="","",IFERROR(AVERAGEIFS(K$2:K45,WEEKNUM(A$2:A45,2),WEEKNUM(A45,2)),K45))</f>
        <v/>
      </c>
      <c r="N45" s="100" t="str">
        <f aca="false">IF($A45="","",IFERROR(COUNTIFS(A$2:A45,"&lt;&gt;",L$2:L45,"达标",WEEKNUM(A$2:A45,2),WEEKNUM(A45,2)),0))</f>
        <v/>
      </c>
      <c r="O45" s="97" t="str">
        <f aca="false">IF($A45="","",IF(L45="达标",IF(ROW()=2,1,IF(O44="",1,O44+1)),0))</f>
        <v/>
      </c>
      <c r="P45" s="98" t="str">
        <f aca="false">IF($A45="","",IF(ROW()&lt;=8,"基准周",IF(K45&gt;75,"改善",IF(K45&lt;60,"恶化","持平"))))</f>
        <v/>
      </c>
    </row>
    <row r="46" customFormat="false" ht="15" hidden="false" customHeight="true" outlineLevel="0" collapsed="false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7" t="str">
        <f aca="false">IF($A46="","",IF(B46=0,20,IF(B46=1,15,IF(B46=2,10,IF(B46=3,5,0))))+IF(C46="否",20,0)+IF(D46="是",20,0)+IF(E46=1,20,IF(E46=2,15,IF(E46=3,10,IF(E46=4,5,0))))+IF(F46="否",20,0))</f>
        <v/>
      </c>
      <c r="L46" s="98" t="str">
        <f aca="false">IF($A46="","",IF(K46&gt;=80,"达标","未达标"))</f>
        <v/>
      </c>
      <c r="M46" s="99" t="str">
        <f aca="false">IF($A46="","",IFERROR(AVERAGEIFS(K$2:K46,WEEKNUM(A$2:A46,2),WEEKNUM(A46,2)),K46))</f>
        <v/>
      </c>
      <c r="N46" s="100" t="str">
        <f aca="false">IF($A46="","",IFERROR(COUNTIFS(A$2:A46,"&lt;&gt;",L$2:L46,"达标",WEEKNUM(A$2:A46,2),WEEKNUM(A46,2)),0))</f>
        <v/>
      </c>
      <c r="O46" s="97" t="str">
        <f aca="false">IF($A46="","",IF(L46="达标",IF(ROW()=2,1,IF(O45="",1,O45+1)),0))</f>
        <v/>
      </c>
      <c r="P46" s="98" t="str">
        <f aca="false">IF($A46="","",IF(ROW()&lt;=8,"基准周",IF(K46&gt;75,"改善",IF(K46&lt;60,"恶化","持平"))))</f>
        <v/>
      </c>
    </row>
    <row r="47" customFormat="false" ht="15" hidden="false" customHeight="true" outlineLevel="0" collapsed="false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97" t="str">
        <f aca="false">IF($A47="","",IF(B47=0,20,IF(B47=1,15,IF(B47=2,10,IF(B47=3,5,0))))+IF(C47="否",20,0)+IF(D47="是",20,0)+IF(E47=1,20,IF(E47=2,15,IF(E47=3,10,IF(E47=4,5,0))))+IF(F47="否",20,0))</f>
        <v/>
      </c>
      <c r="L47" s="98" t="str">
        <f aca="false">IF($A47="","",IF(K47&gt;=80,"达标","未达标"))</f>
        <v/>
      </c>
      <c r="M47" s="99" t="str">
        <f aca="false">IF($A47="","",IFERROR(AVERAGEIFS(K$2:K47,WEEKNUM(A$2:A47,2),WEEKNUM(A47,2)),K47))</f>
        <v/>
      </c>
      <c r="N47" s="100" t="str">
        <f aca="false">IF($A47="","",IFERROR(COUNTIFS(A$2:A47,"&lt;&gt;",L$2:L47,"达标",WEEKNUM(A$2:A47,2),WEEKNUM(A47,2)),0))</f>
        <v/>
      </c>
      <c r="O47" s="97" t="str">
        <f aca="false">IF($A47="","",IF(L47="达标",IF(ROW()=2,1,IF(O46="",1,O46+1)),0))</f>
        <v/>
      </c>
      <c r="P47" s="98" t="str">
        <f aca="false">IF($A47="","",IF(ROW()&lt;=8,"基准周",IF(K47&gt;75,"改善",IF(K47&lt;60,"恶化","持平"))))</f>
        <v/>
      </c>
    </row>
    <row r="48" customFormat="false" ht="15" hidden="false" customHeight="true" outlineLevel="0" collapsed="false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7" t="str">
        <f aca="false">IF($A48="","",IF(B48=0,20,IF(B48=1,15,IF(B48=2,10,IF(B48=3,5,0))))+IF(C48="否",20,0)+IF(D48="是",20,0)+IF(E48=1,20,IF(E48=2,15,IF(E48=3,10,IF(E48=4,5,0))))+IF(F48="否",20,0))</f>
        <v/>
      </c>
      <c r="L48" s="98" t="str">
        <f aca="false">IF($A48="","",IF(K48&gt;=80,"达标","未达标"))</f>
        <v/>
      </c>
      <c r="M48" s="99" t="str">
        <f aca="false">IF($A48="","",IFERROR(AVERAGEIFS(K$2:K48,WEEKNUM(A$2:A48,2),WEEKNUM(A48,2)),K48))</f>
        <v/>
      </c>
      <c r="N48" s="100" t="str">
        <f aca="false">IF($A48="","",IFERROR(COUNTIFS(A$2:A48,"&lt;&gt;",L$2:L48,"达标",WEEKNUM(A$2:A48,2),WEEKNUM(A48,2)),0))</f>
        <v/>
      </c>
      <c r="O48" s="97" t="str">
        <f aca="false">IF($A48="","",IF(L48="达标",IF(ROW()=2,1,IF(O47="",1,O47+1)),0))</f>
        <v/>
      </c>
      <c r="P48" s="98" t="str">
        <f aca="false">IF($A48="","",IF(ROW()&lt;=8,"基准周",IF(K48&gt;75,"改善",IF(K48&lt;60,"恶化","持平"))))</f>
        <v/>
      </c>
    </row>
    <row r="49" customFormat="false" ht="15" hidden="false" customHeight="true" outlineLevel="0" collapsed="false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97" t="str">
        <f aca="false">IF($A49="","",IF(B49=0,20,IF(B49=1,15,IF(B49=2,10,IF(B49=3,5,0))))+IF(C49="否",20,0)+IF(D49="是",20,0)+IF(E49=1,20,IF(E49=2,15,IF(E49=3,10,IF(E49=4,5,0))))+IF(F49="否",20,0))</f>
        <v/>
      </c>
      <c r="L49" s="98" t="str">
        <f aca="false">IF($A49="","",IF(K49&gt;=80,"达标","未达标"))</f>
        <v/>
      </c>
      <c r="M49" s="99" t="str">
        <f aca="false">IF($A49="","",IFERROR(AVERAGEIFS(K$2:K49,WEEKNUM(A$2:A49,2),WEEKNUM(A49,2)),K49))</f>
        <v/>
      </c>
      <c r="N49" s="100" t="str">
        <f aca="false">IF($A49="","",IFERROR(COUNTIFS(A$2:A49,"&lt;&gt;",L$2:L49,"达标",WEEKNUM(A$2:A49,2),WEEKNUM(A49,2)),0))</f>
        <v/>
      </c>
      <c r="O49" s="97" t="str">
        <f aca="false">IF($A49="","",IF(L49="达标",IF(ROW()=2,1,IF(O48="",1,O48+1)),0))</f>
        <v/>
      </c>
      <c r="P49" s="98" t="str">
        <f aca="false">IF($A49="","",IF(ROW()&lt;=8,"基准周",IF(K49&gt;75,"改善",IF(K49&lt;60,"恶化","持平"))))</f>
        <v/>
      </c>
    </row>
    <row r="50" customFormat="false" ht="15" hidden="false" customHeight="true" outlineLevel="0" collapsed="false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7" t="str">
        <f aca="false">IF($A50="","",IF(B50=0,20,IF(B50=1,15,IF(B50=2,10,IF(B50=3,5,0))))+IF(C50="否",20,0)+IF(D50="是",20,0)+IF(E50=1,20,IF(E50=2,15,IF(E50=3,10,IF(E50=4,5,0))))+IF(F50="否",20,0))</f>
        <v/>
      </c>
      <c r="L50" s="98" t="str">
        <f aca="false">IF($A50="","",IF(K50&gt;=80,"达标","未达标"))</f>
        <v/>
      </c>
      <c r="M50" s="99" t="str">
        <f aca="false">IF($A50="","",IFERROR(AVERAGEIFS(K$2:K50,WEEKNUM(A$2:A50,2),WEEKNUM(A50,2)),K50))</f>
        <v/>
      </c>
      <c r="N50" s="100" t="str">
        <f aca="false">IF($A50="","",IFERROR(COUNTIFS(A$2:A50,"&lt;&gt;",L$2:L50,"达标",WEEKNUM(A$2:A50,2),WEEKNUM(A50,2)),0))</f>
        <v/>
      </c>
      <c r="O50" s="97" t="str">
        <f aca="false">IF($A50="","",IF(L50="达标",IF(ROW()=2,1,IF(O49="",1,O49+1)),0))</f>
        <v/>
      </c>
      <c r="P50" s="98" t="str">
        <f aca="false">IF($A50="","",IF(ROW()&lt;=8,"基准周",IF(K50&gt;75,"改善",IF(K50&lt;60,"恶化","持平"))))</f>
        <v/>
      </c>
    </row>
    <row r="51" customFormat="false" ht="15" hidden="false" customHeight="true" outlineLevel="0" collapsed="false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97" t="str">
        <f aca="false">IF($A51="","",IF(B51=0,20,IF(B51=1,15,IF(B51=2,10,IF(B51=3,5,0))))+IF(C51="否",20,0)+IF(D51="是",20,0)+IF(E51=1,20,IF(E51=2,15,IF(E51=3,10,IF(E51=4,5,0))))+IF(F51="否",20,0))</f>
        <v/>
      </c>
      <c r="L51" s="98" t="str">
        <f aca="false">IF($A51="","",IF(K51&gt;=80,"达标","未达标"))</f>
        <v/>
      </c>
      <c r="M51" s="99" t="str">
        <f aca="false">IF($A51="","",IFERROR(AVERAGEIFS(K$2:K51,WEEKNUM(A$2:A51,2),WEEKNUM(A51,2)),K51))</f>
        <v/>
      </c>
      <c r="N51" s="100" t="str">
        <f aca="false">IF($A51="","",IFERROR(COUNTIFS(A$2:A51,"&lt;&gt;",L$2:L51,"达标",WEEKNUM(A$2:A51,2),WEEKNUM(A51,2)),0))</f>
        <v/>
      </c>
      <c r="O51" s="97" t="str">
        <f aca="false">IF($A51="","",IF(L51="达标",IF(ROW()=2,1,IF(O50="",1,O50+1)),0))</f>
        <v/>
      </c>
      <c r="P51" s="98" t="str">
        <f aca="false">IF($A51="","",IF(ROW()&lt;=8,"基准周",IF(K51&gt;75,"改善",IF(K51&lt;60,"恶化","持平"))))</f>
        <v/>
      </c>
    </row>
    <row r="52" customFormat="false" ht="15" hidden="false" customHeight="true" outlineLevel="0" collapsed="false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7" t="str">
        <f aca="false">IF($A52="","",IF(B52=0,20,IF(B52=1,15,IF(B52=2,10,IF(B52=3,5,0))))+IF(C52="否",20,0)+IF(D52="是",20,0)+IF(E52=1,20,IF(E52=2,15,IF(E52=3,10,IF(E52=4,5,0))))+IF(F52="否",20,0))</f>
        <v/>
      </c>
      <c r="L52" s="98" t="str">
        <f aca="false">IF($A52="","",IF(K52&gt;=80,"达标","未达标"))</f>
        <v/>
      </c>
      <c r="M52" s="99" t="str">
        <f aca="false">IF($A52="","",IFERROR(AVERAGEIFS(K$2:K52,WEEKNUM(A$2:A52,2),WEEKNUM(A52,2)),K52))</f>
        <v/>
      </c>
      <c r="N52" s="100" t="str">
        <f aca="false">IF($A52="","",IFERROR(COUNTIFS(A$2:A52,"&lt;&gt;",L$2:L52,"达标",WEEKNUM(A$2:A52,2),WEEKNUM(A52,2)),0))</f>
        <v/>
      </c>
      <c r="O52" s="97" t="str">
        <f aca="false">IF($A52="","",IF(L52="达标",IF(ROW()=2,1,IF(O51="",1,O51+1)),0))</f>
        <v/>
      </c>
      <c r="P52" s="98" t="str">
        <f aca="false">IF($A52="","",IF(ROW()&lt;=8,"基准周",IF(K52&gt;75,"改善",IF(K52&lt;60,"恶化","持平"))))</f>
        <v/>
      </c>
    </row>
    <row r="53" customFormat="false" ht="15" hidden="false" customHeight="true" outlineLevel="0" collapsed="false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97" t="str">
        <f aca="false">IF($A53="","",IF(B53=0,20,IF(B53=1,15,IF(B53=2,10,IF(B53=3,5,0))))+IF(C53="否",20,0)+IF(D53="是",20,0)+IF(E53=1,20,IF(E53=2,15,IF(E53=3,10,IF(E53=4,5,0))))+IF(F53="否",20,0))</f>
        <v/>
      </c>
      <c r="L53" s="98" t="str">
        <f aca="false">IF($A53="","",IF(K53&gt;=80,"达标","未达标"))</f>
        <v/>
      </c>
      <c r="M53" s="99" t="str">
        <f aca="false">IF($A53="","",IFERROR(AVERAGEIFS(K$2:K53,WEEKNUM(A$2:A53,2),WEEKNUM(A53,2)),K53))</f>
        <v/>
      </c>
      <c r="N53" s="100" t="str">
        <f aca="false">IF($A53="","",IFERROR(COUNTIFS(A$2:A53,"&lt;&gt;",L$2:L53,"达标",WEEKNUM(A$2:A53,2),WEEKNUM(A53,2)),0))</f>
        <v/>
      </c>
      <c r="O53" s="97" t="str">
        <f aca="false">IF($A53="","",IF(L53="达标",IF(ROW()=2,1,IF(O52="",1,O52+1)),0))</f>
        <v/>
      </c>
      <c r="P53" s="98" t="str">
        <f aca="false">IF($A53="","",IF(ROW()&lt;=8,"基准周",IF(K53&gt;75,"改善",IF(K53&lt;60,"恶化","持平"))))</f>
        <v/>
      </c>
    </row>
    <row r="54" customFormat="false" ht="15" hidden="false" customHeight="true" outlineLevel="0" collapsed="false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7" t="str">
        <f aca="false">IF($A54="","",IF(B54=0,20,IF(B54=1,15,IF(B54=2,10,IF(B54=3,5,0))))+IF(C54="否",20,0)+IF(D54="是",20,0)+IF(E54=1,20,IF(E54=2,15,IF(E54=3,10,IF(E54=4,5,0))))+IF(F54="否",20,0))</f>
        <v/>
      </c>
      <c r="L54" s="98" t="str">
        <f aca="false">IF($A54="","",IF(K54&gt;=80,"达标","未达标"))</f>
        <v/>
      </c>
      <c r="M54" s="99" t="str">
        <f aca="false">IF($A54="","",IFERROR(AVERAGEIFS(K$2:K54,WEEKNUM(A$2:A54,2),WEEKNUM(A54,2)),K54))</f>
        <v/>
      </c>
      <c r="N54" s="100" t="str">
        <f aca="false">IF($A54="","",IFERROR(COUNTIFS(A$2:A54,"&lt;&gt;",L$2:L54,"达标",WEEKNUM(A$2:A54,2),WEEKNUM(A54,2)),0))</f>
        <v/>
      </c>
      <c r="O54" s="97" t="str">
        <f aca="false">IF($A54="","",IF(L54="达标",IF(ROW()=2,1,IF(O53="",1,O53+1)),0))</f>
        <v/>
      </c>
      <c r="P54" s="98" t="str">
        <f aca="false">IF($A54="","",IF(ROW()&lt;=8,"基准周",IF(K54&gt;75,"改善",IF(K54&lt;60,"恶化","持平"))))</f>
        <v/>
      </c>
    </row>
    <row r="55" customFormat="false" ht="15" hidden="false" customHeight="true" outlineLevel="0" collapsed="false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97" t="str">
        <f aca="false">IF($A55="","",IF(B55=0,20,IF(B55=1,15,IF(B55=2,10,IF(B55=3,5,0))))+IF(C55="否",20,0)+IF(D55="是",20,0)+IF(E55=1,20,IF(E55=2,15,IF(E55=3,10,IF(E55=4,5,0))))+IF(F55="否",20,0))</f>
        <v/>
      </c>
      <c r="L55" s="98" t="str">
        <f aca="false">IF($A55="","",IF(K55&gt;=80,"达标","未达标"))</f>
        <v/>
      </c>
      <c r="M55" s="99" t="str">
        <f aca="false">IF($A55="","",IFERROR(AVERAGEIFS(K$2:K55,WEEKNUM(A$2:A55,2),WEEKNUM(A55,2)),K55))</f>
        <v/>
      </c>
      <c r="N55" s="100" t="str">
        <f aca="false">IF($A55="","",IFERROR(COUNTIFS(A$2:A55,"&lt;&gt;",L$2:L55,"达标",WEEKNUM(A$2:A55,2),WEEKNUM(A55,2)),0))</f>
        <v/>
      </c>
      <c r="O55" s="97" t="str">
        <f aca="false">IF($A55="","",IF(L55="达标",IF(ROW()=2,1,IF(O54="",1,O54+1)),0))</f>
        <v/>
      </c>
      <c r="P55" s="98" t="str">
        <f aca="false">IF($A55="","",IF(ROW()&lt;=8,"基准周",IF(K55&gt;75,"改善",IF(K55&lt;60,"恶化","持平"))))</f>
        <v/>
      </c>
    </row>
    <row r="56" customFormat="false" ht="15" hidden="false" customHeight="true" outlineLevel="0" collapsed="false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7" t="str">
        <f aca="false">IF($A56="","",IF(B56=0,20,IF(B56=1,15,IF(B56=2,10,IF(B56=3,5,0))))+IF(C56="否",20,0)+IF(D56="是",20,0)+IF(E56=1,20,IF(E56=2,15,IF(E56=3,10,IF(E56=4,5,0))))+IF(F56="否",20,0))</f>
        <v/>
      </c>
      <c r="L56" s="98" t="str">
        <f aca="false">IF($A56="","",IF(K56&gt;=80,"达标","未达标"))</f>
        <v/>
      </c>
      <c r="M56" s="99" t="str">
        <f aca="false">IF($A56="","",IFERROR(AVERAGEIFS(K$2:K56,WEEKNUM(A$2:A56,2),WEEKNUM(A56,2)),K56))</f>
        <v/>
      </c>
      <c r="N56" s="100" t="str">
        <f aca="false">IF($A56="","",IFERROR(COUNTIFS(A$2:A56,"&lt;&gt;",L$2:L56,"达标",WEEKNUM(A$2:A56,2),WEEKNUM(A56,2)),0))</f>
        <v/>
      </c>
      <c r="O56" s="97" t="str">
        <f aca="false">IF($A56="","",IF(L56="达标",IF(ROW()=2,1,IF(O55="",1,O55+1)),0))</f>
        <v/>
      </c>
      <c r="P56" s="98" t="str">
        <f aca="false">IF($A56="","",IF(ROW()&lt;=8,"基准周",IF(K56&gt;75,"改善",IF(K56&lt;60,"恶化","持平"))))</f>
        <v/>
      </c>
    </row>
    <row r="57" customFormat="false" ht="15" hidden="false" customHeight="true" outlineLevel="0" collapsed="false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97" t="str">
        <f aca="false">IF($A57="","",IF(B57=0,20,IF(B57=1,15,IF(B57=2,10,IF(B57=3,5,0))))+IF(C57="否",20,0)+IF(D57="是",20,0)+IF(E57=1,20,IF(E57=2,15,IF(E57=3,10,IF(E57=4,5,0))))+IF(F57="否",20,0))</f>
        <v/>
      </c>
      <c r="L57" s="98" t="str">
        <f aca="false">IF($A57="","",IF(K57&gt;=80,"达标","未达标"))</f>
        <v/>
      </c>
      <c r="M57" s="99" t="str">
        <f aca="false">IF($A57="","",IFERROR(AVERAGEIFS(K$2:K57,WEEKNUM(A$2:A57,2),WEEKNUM(A57,2)),K57))</f>
        <v/>
      </c>
      <c r="N57" s="100" t="str">
        <f aca="false">IF($A57="","",IFERROR(COUNTIFS(A$2:A57,"&lt;&gt;",L$2:L57,"达标",WEEKNUM(A$2:A57,2),WEEKNUM(A57,2)),0))</f>
        <v/>
      </c>
      <c r="O57" s="97" t="str">
        <f aca="false">IF($A57="","",IF(L57="达标",IF(ROW()=2,1,IF(O56="",1,O56+1)),0))</f>
        <v/>
      </c>
      <c r="P57" s="98" t="str">
        <f aca="false">IF($A57="","",IF(ROW()&lt;=8,"基准周",IF(K57&gt;75,"改善",IF(K57&lt;60,"恶化","持平"))))</f>
        <v/>
      </c>
    </row>
    <row r="58" customFormat="false" ht="15" hidden="false" customHeight="true" outlineLevel="0" collapsed="false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7" t="str">
        <f aca="false">IF($A58="","",IF(B58=0,20,IF(B58=1,15,IF(B58=2,10,IF(B58=3,5,0))))+IF(C58="否",20,0)+IF(D58="是",20,0)+IF(E58=1,20,IF(E58=2,15,IF(E58=3,10,IF(E58=4,5,0))))+IF(F58="否",20,0))</f>
        <v/>
      </c>
      <c r="L58" s="98" t="str">
        <f aca="false">IF($A58="","",IF(K58&gt;=80,"达标","未达标"))</f>
        <v/>
      </c>
      <c r="M58" s="99" t="str">
        <f aca="false">IF($A58="","",IFERROR(AVERAGEIFS(K$2:K58,WEEKNUM(A$2:A58,2),WEEKNUM(A58,2)),K58))</f>
        <v/>
      </c>
      <c r="N58" s="100" t="str">
        <f aca="false">IF($A58="","",IFERROR(COUNTIFS(A$2:A58,"&lt;&gt;",L$2:L58,"达标",WEEKNUM(A$2:A58,2),WEEKNUM(A58,2)),0))</f>
        <v/>
      </c>
      <c r="O58" s="97" t="str">
        <f aca="false">IF($A58="","",IF(L58="达标",IF(ROW()=2,1,IF(O57="",1,O57+1)),0))</f>
        <v/>
      </c>
      <c r="P58" s="98" t="str">
        <f aca="false">IF($A58="","",IF(ROW()&lt;=8,"基准周",IF(K58&gt;75,"改善",IF(K58&lt;60,"恶化","持平"))))</f>
        <v/>
      </c>
    </row>
    <row r="59" customFormat="false" ht="15" hidden="false" customHeight="true" outlineLevel="0" collapsed="false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97" t="str">
        <f aca="false">IF($A59="","",IF(B59=0,20,IF(B59=1,15,IF(B59=2,10,IF(B59=3,5,0))))+IF(C59="否",20,0)+IF(D59="是",20,0)+IF(E59=1,20,IF(E59=2,15,IF(E59=3,10,IF(E59=4,5,0))))+IF(F59="否",20,0))</f>
        <v/>
      </c>
      <c r="L59" s="98" t="str">
        <f aca="false">IF($A59="","",IF(K59&gt;=80,"达标","未达标"))</f>
        <v/>
      </c>
      <c r="M59" s="99" t="str">
        <f aca="false">IF($A59="","",IFERROR(AVERAGEIFS(K$2:K59,WEEKNUM(A$2:A59,2),WEEKNUM(A59,2)),K59))</f>
        <v/>
      </c>
      <c r="N59" s="100" t="str">
        <f aca="false">IF($A59="","",IFERROR(COUNTIFS(A$2:A59,"&lt;&gt;",L$2:L59,"达标",WEEKNUM(A$2:A59,2),WEEKNUM(A59,2)),0))</f>
        <v/>
      </c>
      <c r="O59" s="97" t="str">
        <f aca="false">IF($A59="","",IF(L59="达标",IF(ROW()=2,1,IF(O58="",1,O58+1)),0))</f>
        <v/>
      </c>
      <c r="P59" s="98" t="str">
        <f aca="false">IF($A59="","",IF(ROW()&lt;=8,"基准周",IF(K59&gt;75,"改善",IF(K59&lt;60,"恶化","持平"))))</f>
        <v/>
      </c>
    </row>
    <row r="60" customFormat="false" ht="15" hidden="false" customHeight="true" outlineLevel="0" collapsed="false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7" t="str">
        <f aca="false">IF($A60="","",IF(B60=0,20,IF(B60=1,15,IF(B60=2,10,IF(B60=3,5,0))))+IF(C60="否",20,0)+IF(D60="是",20,0)+IF(E60=1,20,IF(E60=2,15,IF(E60=3,10,IF(E60=4,5,0))))+IF(F60="否",20,0))</f>
        <v/>
      </c>
      <c r="L60" s="98" t="str">
        <f aca="false">IF($A60="","",IF(K60&gt;=80,"达标","未达标"))</f>
        <v/>
      </c>
      <c r="M60" s="99" t="str">
        <f aca="false">IF($A60="","",IFERROR(AVERAGEIFS(K$2:K60,WEEKNUM(A$2:A60,2),WEEKNUM(A60,2)),K60))</f>
        <v/>
      </c>
      <c r="N60" s="100" t="str">
        <f aca="false">IF($A60="","",IFERROR(COUNTIFS(A$2:A60,"&lt;&gt;",L$2:L60,"达标",WEEKNUM(A$2:A60,2),WEEKNUM(A60,2)),0))</f>
        <v/>
      </c>
      <c r="O60" s="97" t="str">
        <f aca="false">IF($A60="","",IF(L60="达标",IF(ROW()=2,1,IF(O59="",1,O59+1)),0))</f>
        <v/>
      </c>
      <c r="P60" s="98" t="str">
        <f aca="false">IF($A60="","",IF(ROW()&lt;=8,"基准周",IF(K60&gt;K53,"改善",IF(K60&lt;K53,"恶化","持平"))))</f>
        <v/>
      </c>
    </row>
    <row r="61" customFormat="false" ht="15" hidden="false" customHeight="true" outlineLevel="0" collapsed="false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97" t="str">
        <f aca="false">IF($A61="","",IF(B61=0,20,IF(B61=1,15,IF(B61=2,10,IF(B61=3,5,0))))+IF(C61="否",20,0)+IF(D61="是",20,0)+IF(E61=1,20,IF(E61=2,15,IF(E61=3,10,IF(E61=4,5,0))))+IF(F61="否",20,0))</f>
        <v/>
      </c>
      <c r="L61" s="98" t="str">
        <f aca="false">IF($A61="","",IF(K61&gt;=80,"达标","未达标"))</f>
        <v/>
      </c>
      <c r="M61" s="99" t="str">
        <f aca="false">IF($A61="","",IFERROR(AVERAGEIFS(K$2:K61,WEEKNUM(A$2:A61,2),WEEKNUM(A61,2)),K61))</f>
        <v/>
      </c>
      <c r="N61" s="100" t="str">
        <f aca="false">IF($A61="","",IFERROR(COUNTIFS(A$2:A61,"&lt;&gt;",L$2:L61,"达标",WEEKNUM(A$2:A61,2),WEEKNUM(A61,2)),0))</f>
        <v/>
      </c>
      <c r="O61" s="97" t="str">
        <f aca="false">IF($A61="","",IF(L61="达标",IF(ROW()=2,1,IF(O60="",1,O60+1)),0))</f>
        <v/>
      </c>
      <c r="P61" s="98" t="str">
        <f aca="false">IF($A61="","",IF(ROW()&lt;=8,"基准周",IF(K61&gt;75,"改善",IF(K61&lt;60,"恶化","持平"))))</f>
        <v/>
      </c>
    </row>
    <row r="62" customFormat="false" ht="15" hidden="false" customHeight="true" outlineLevel="0" collapsed="false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7" t="str">
        <f aca="false">IF($A62="","",IF(B62=0,20,IF(B62=1,15,IF(B62=2,10,IF(B62=3,5,0))))+IF(C62="否",20,0)+IF(D62="是",20,0)+IF(E62=1,20,IF(E62=2,15,IF(E62=3,10,IF(E62=4,5,0))))+IF(F62="否",20,0))</f>
        <v/>
      </c>
      <c r="L62" s="98" t="str">
        <f aca="false">IF($A62="","",IF(K62&gt;=80,"达标","未达标"))</f>
        <v/>
      </c>
      <c r="M62" s="99" t="str">
        <f aca="false">IF($A62="","",IFERROR(AVERAGEIFS(K$2:K62,WEEKNUM(A$2:A62,2),WEEKNUM(A62,2)),K62))</f>
        <v/>
      </c>
      <c r="N62" s="100" t="str">
        <f aca="false">IF($A62="","",IFERROR(COUNTIFS(A$2:A62,"&lt;&gt;",L$2:L62,"达标",WEEKNUM(A$2:A62,2),WEEKNUM(A62,2)),0))</f>
        <v/>
      </c>
      <c r="O62" s="97" t="str">
        <f aca="false">IF($A62="","",IF(L62="达标",IF(ROW()=2,1,IF(O61="",1,O61+1)),0))</f>
        <v/>
      </c>
      <c r="P62" s="98" t="str">
        <f aca="false">IF($A62="","",IF(ROW()&lt;=8,"基准周",IF(K62&gt;75,"改善",IF(K62&lt;60,"恶化","持平"))))</f>
        <v/>
      </c>
    </row>
    <row r="63" customFormat="false" ht="15" hidden="false" customHeight="true" outlineLevel="0" collapsed="false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97" t="str">
        <f aca="false">IF($A63="","",IF(B63=0,20,IF(B63=1,15,IF(B63=2,10,IF(B63=3,5,0))))+IF(C63="否",20,0)+IF(D63="是",20,0)+IF(E63=1,20,IF(E63=2,15,IF(E63=3,10,IF(E63=4,5,0))))+IF(F63="否",20,0))</f>
        <v/>
      </c>
      <c r="L63" s="98" t="str">
        <f aca="false">IF($A63="","",IF(K63&gt;=80,"达标","未达标"))</f>
        <v/>
      </c>
      <c r="M63" s="99" t="str">
        <f aca="false">IF($A63="","",IFERROR(AVERAGEIFS(K$2:K63,WEEKNUM(A$2:A63,2),WEEKNUM(A63,2)),K63))</f>
        <v/>
      </c>
      <c r="N63" s="100" t="str">
        <f aca="false">IF($A63="","",IFERROR(COUNTIFS(A$2:A63,"&lt;&gt;",L$2:L63,"达标",WEEKNUM(A$2:A63,2),WEEKNUM(A63,2)),0))</f>
        <v/>
      </c>
      <c r="O63" s="97" t="str">
        <f aca="false">IF($A63="","",IF(L63="达标",IF(ROW()=2,1,IF(O62="",1,O62+1)),0))</f>
        <v/>
      </c>
      <c r="P63" s="98" t="str">
        <f aca="false">IF($A63="","",IF(ROW()&lt;=8,"基准周",IF(K63&gt;75,"改善",IF(K63&lt;60,"恶化","持平"))))</f>
        <v/>
      </c>
    </row>
    <row r="64" customFormat="false" ht="15" hidden="false" customHeight="true" outlineLevel="0" collapsed="false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7" t="str">
        <f aca="false">IF($A64="","",IF(B64=0,20,IF(B64=1,15,IF(B64=2,10,IF(B64=3,5,0))))+IF(C64="否",20,0)+IF(D64="是",20,0)+IF(E64=1,20,IF(E64=2,15,IF(E64=3,10,IF(E64=4,5,0))))+IF(F64="否",20,0))</f>
        <v/>
      </c>
      <c r="L64" s="98" t="str">
        <f aca="false">IF($A64="","",IF(K64&gt;=80,"达标","未达标"))</f>
        <v/>
      </c>
      <c r="M64" s="99" t="str">
        <f aca="false">IF($A64="","",IFERROR(AVERAGEIFS(K$2:K64,WEEKNUM(A$2:A64,2),WEEKNUM(A64,2)),K64))</f>
        <v/>
      </c>
      <c r="N64" s="100" t="str">
        <f aca="false">IF($A64="","",IFERROR(COUNTIFS(A$2:A64,"&lt;&gt;",L$2:L64,"达标",WEEKNUM(A$2:A64,2),WEEKNUM(A64,2)),0))</f>
        <v/>
      </c>
      <c r="O64" s="97" t="str">
        <f aca="false">IF($A64="","",IF(L64="达标",IF(ROW()=2,1,IF(O63="",1,O63+1)),0))</f>
        <v/>
      </c>
      <c r="P64" s="98" t="str">
        <f aca="false">IF($A64="","",IF(ROW()&lt;=8,"基准周",IF(K64&gt;75,"改善",IF(K64&lt;60,"恶化","持平"))))</f>
        <v/>
      </c>
    </row>
    <row r="65" customFormat="false" ht="15" hidden="false" customHeight="true" outlineLevel="0" collapsed="false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97" t="str">
        <f aca="false">IF($A65="","",IF(B65=0,20,IF(B65=1,15,IF(B65=2,10,IF(B65=3,5,0))))+IF(C65="否",20,0)+IF(D65="是",20,0)+IF(E65=1,20,IF(E65=2,15,IF(E65=3,10,IF(E65=4,5,0))))+IF(F65="否",20,0))</f>
        <v/>
      </c>
      <c r="L65" s="98" t="str">
        <f aca="false">IF($A65="","",IF(K65&gt;=80,"达标","未达标"))</f>
        <v/>
      </c>
      <c r="M65" s="99" t="str">
        <f aca="false">IF($A65="","",IFERROR(AVERAGEIFS(K$2:K65,WEEKNUM(A$2:A65,2),WEEKNUM(A65,2)),K65))</f>
        <v/>
      </c>
      <c r="N65" s="100" t="str">
        <f aca="false">IF($A65="","",IFERROR(COUNTIFS(A$2:A65,"&lt;&gt;",L$2:L65,"达标",WEEKNUM(A$2:A65,2),WEEKNUM(A65,2)),0))</f>
        <v/>
      </c>
      <c r="O65" s="97" t="str">
        <f aca="false">IF($A65="","",IF(L65="达标",IF(ROW()=2,1,IF(O64="",1,O64+1)),0))</f>
        <v/>
      </c>
      <c r="P65" s="98" t="str">
        <f aca="false">IF($A65="","",IF(ROW()&lt;=8,"基准周",IF(K65&gt;75,"改善",IF(K65&lt;60,"恶化","持平"))))</f>
        <v/>
      </c>
    </row>
    <row r="66" customFormat="false" ht="15" hidden="false" customHeight="true" outlineLevel="0" collapsed="false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7" t="str">
        <f aca="false">IF($A66="","",IF(B66=0,20,IF(B66=1,15,IF(B66=2,10,IF(B66=3,5,0))))+IF(C66="否",20,0)+IF(D66="是",20,0)+IF(E66=1,20,IF(E66=2,15,IF(E66=3,10,IF(E66=4,5,0))))+IF(F66="否",20,0))</f>
        <v/>
      </c>
      <c r="L66" s="98" t="str">
        <f aca="false">IF($A66="","",IF(K66&gt;=80,"达标","未达标"))</f>
        <v/>
      </c>
      <c r="M66" s="99" t="str">
        <f aca="false">IF($A66="","",IFERROR(AVERAGEIFS(K$2:K66,WEEKNUM(A$2:A66,2),WEEKNUM(A66,2)),K66))</f>
        <v/>
      </c>
      <c r="N66" s="100" t="str">
        <f aca="false">IF($A66="","",IFERROR(COUNTIFS(A$2:A66,"&lt;&gt;",L$2:L66,"达标",WEEKNUM(A$2:A66,2),WEEKNUM(A66,2)),0))</f>
        <v/>
      </c>
      <c r="O66" s="97" t="str">
        <f aca="false">IF($A66="","",IF(L66="达标",IF(ROW()=2,1,IF(O65="",1,O65+1)),0))</f>
        <v/>
      </c>
      <c r="P66" s="98" t="str">
        <f aca="false">IF($A66="","",IF(ROW()&lt;=8,"基准周",IF(K66&gt;75,"改善",IF(K66&lt;60,"恶化","持平"))))</f>
        <v/>
      </c>
    </row>
    <row r="67" customFormat="false" ht="15" hidden="false" customHeight="true" outlineLevel="0" collapsed="false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97" t="str">
        <f aca="false">IF($A67="","",IF(B67=0,20,IF(B67=1,15,IF(B67=2,10,IF(B67=3,5,0))))+IF(C67="否",20,0)+IF(D67="是",20,0)+IF(E67=1,20,IF(E67=2,15,IF(E67=3,10,IF(E67=4,5,0))))+IF(F67="否",20,0))</f>
        <v/>
      </c>
      <c r="L67" s="98" t="str">
        <f aca="false">IF($A67="","",IF(K67&gt;=80,"达标","未达标"))</f>
        <v/>
      </c>
      <c r="M67" s="99" t="str">
        <f aca="false">IF($A67="","",IFERROR(AVERAGEIFS(K$2:K67,WEEKNUM(A$2:A67,2),WEEKNUM(A67,2)),K67))</f>
        <v/>
      </c>
      <c r="N67" s="100" t="str">
        <f aca="false">IF($A67="","",IFERROR(COUNTIFS(A$2:A67,"&lt;&gt;",L$2:L67,"达标",WEEKNUM(A$2:A67,2),WEEKNUM(A67,2)),0))</f>
        <v/>
      </c>
      <c r="O67" s="97" t="str">
        <f aca="false">IF($A67="","",IF(L67="达标",IF(ROW()=2,1,IF(O66="",1,O66+1)),0))</f>
        <v/>
      </c>
      <c r="P67" s="98" t="str">
        <f aca="false">IF($A67="","",IF(ROW()&lt;=8,"基准周",IF(K67&gt;K60,"改善",IF(K67&lt;K60,"恶化","持平"))))</f>
        <v/>
      </c>
    </row>
    <row r="68" customFormat="false" ht="15" hidden="false" customHeight="true" outlineLevel="0" collapsed="false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7" t="str">
        <f aca="false">IF($A68="","",IF(B68=0,20,IF(B68=1,15,IF(B68=2,10,IF(B68=3,5,0))))+IF(C68="否",20,0)+IF(D68="是",20,0)+IF(E68=1,20,IF(E68=2,15,IF(E68=3,10,IF(E68=4,5,0))))+IF(F68="否",20,0))</f>
        <v/>
      </c>
      <c r="L68" s="98" t="str">
        <f aca="false">IF($A68="","",IF(K68&gt;=80,"达标","未达标"))</f>
        <v/>
      </c>
      <c r="M68" s="99" t="str">
        <f aca="false">IF($A68="","",IFERROR(AVERAGEIFS(K$2:K68,WEEKNUM(A$2:A68,2),WEEKNUM(A68,2)),K68))</f>
        <v/>
      </c>
      <c r="N68" s="100" t="str">
        <f aca="false">IF($A68="","",IFERROR(COUNTIFS(A$2:A68,"&lt;&gt;",L$2:L68,"达标",WEEKNUM(A$2:A68,2),WEEKNUM(A68,2)),0))</f>
        <v/>
      </c>
      <c r="O68" s="97" t="str">
        <f aca="false">IF($A68="","",IF(L68="达标",IF(ROW()=2,1,IF(O67="",1,O67+1)),0))</f>
        <v/>
      </c>
      <c r="P68" s="98" t="str">
        <f aca="false">IF($A68="","",IF(ROW()&lt;=8,"基准周",IF(K68&gt;75,"改善",IF(K68&lt;60,"恶化","持平"))))</f>
        <v/>
      </c>
    </row>
    <row r="69" customFormat="false" ht="15" hidden="false" customHeight="true" outlineLevel="0" collapsed="false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97" t="str">
        <f aca="false">IF($A69="","",IF(B69=0,20,IF(B69=1,15,IF(B69=2,10,IF(B69=3,5,0))))+IF(C69="否",20,0)+IF(D69="是",20,0)+IF(E69=1,20,IF(E69=2,15,IF(E69=3,10,IF(E69=4,5,0))))+IF(F69="否",20,0))</f>
        <v/>
      </c>
      <c r="L69" s="98" t="str">
        <f aca="false">IF($A69="","",IF(K69&gt;=80,"达标","未达标"))</f>
        <v/>
      </c>
      <c r="M69" s="99" t="str">
        <f aca="false">IF($A69="","",IFERROR(AVERAGEIFS(K$2:K69,WEEKNUM(A$2:A69,2),WEEKNUM(A69,2)),K69))</f>
        <v/>
      </c>
      <c r="N69" s="100" t="str">
        <f aca="false">IF($A69="","",IFERROR(COUNTIFS(A$2:A69,"&lt;&gt;",L$2:L69,"达标",WEEKNUM(A$2:A69,2),WEEKNUM(A69,2)),0))</f>
        <v/>
      </c>
      <c r="O69" s="97" t="str">
        <f aca="false">IF($A69="","",IF(L69="达标",IF(ROW()=2,1,IF(O68="",1,O68+1)),0))</f>
        <v/>
      </c>
      <c r="P69" s="98" t="str">
        <f aca="false">IF($A69="","",IF(ROW()&lt;=8,"基准周",IF(K69&gt;75,"改善",IF(K69&lt;60,"恶化","持平"))))</f>
        <v/>
      </c>
    </row>
    <row r="70" customFormat="false" ht="15" hidden="false" customHeight="true" outlineLevel="0" collapsed="false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7" t="str">
        <f aca="false">IF($A70="","",IF(B70=0,20,IF(B70=1,15,IF(B70=2,10,IF(B70=3,5,0))))+IF(C70="否",20,0)+IF(D70="是",20,0)+IF(E70=1,20,IF(E70=2,15,IF(E70=3,10,IF(E70=4,5,0))))+IF(F70="否",20,0))</f>
        <v/>
      </c>
      <c r="L70" s="98" t="str">
        <f aca="false">IF($A70="","",IF(K70&gt;=80,"达标","未达标"))</f>
        <v/>
      </c>
      <c r="M70" s="99" t="str">
        <f aca="false">IF($A70="","",IFERROR(AVERAGEIFS(K$2:K70,WEEKNUM(A$2:A70,2),WEEKNUM(A70,2)),K70))</f>
        <v/>
      </c>
      <c r="N70" s="100" t="str">
        <f aca="false">IF($A70="","",IFERROR(COUNTIFS(A$2:A70,"&lt;&gt;",L$2:L70,"达标",WEEKNUM(A$2:A70,2),WEEKNUM(A70,2)),0))</f>
        <v/>
      </c>
      <c r="O70" s="97" t="str">
        <f aca="false">IF($A70="","",IF(L70="达标",IF(ROW()=2,1,IF(O69="",1,O69+1)),0))</f>
        <v/>
      </c>
      <c r="P70" s="98" t="str">
        <f aca="false">IF($A70="","",IF(ROW()&lt;=8,"基准周",IF(K70&gt;75,"改善",IF(K70&lt;60,"恶化","持平"))))</f>
        <v/>
      </c>
    </row>
    <row r="71" customFormat="false" ht="15" hidden="false" customHeight="true" outlineLevel="0" collapsed="false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97" t="str">
        <f aca="false">IF($A71="","",IF(B71=0,20,IF(B71=1,15,IF(B71=2,10,IF(B71=3,5,0))))+IF(C71="否",20,0)+IF(D71="是",20,0)+IF(E71=1,20,IF(E71=2,15,IF(E71=3,10,IF(E71=4,5,0))))+IF(F71="否",20,0))</f>
        <v/>
      </c>
      <c r="L71" s="98" t="str">
        <f aca="false">IF($A71="","",IF(K71&gt;=80,"达标","未达标"))</f>
        <v/>
      </c>
      <c r="M71" s="99" t="str">
        <f aca="false">IF($A71="","",IFERROR(AVERAGEIFS(K$2:K71,WEEKNUM(A$2:A71,2),WEEKNUM(A71,2)),K71))</f>
        <v/>
      </c>
      <c r="N71" s="100" t="str">
        <f aca="false">IF($A71="","",IFERROR(COUNTIFS(A$2:A71,"&lt;&gt;",L$2:L71,"达标",WEEKNUM(A$2:A71,2),WEEKNUM(A71,2)),0))</f>
        <v/>
      </c>
      <c r="O71" s="97" t="str">
        <f aca="false">IF($A71="","",IF(L71="达标",IF(ROW()=2,1,IF(O70="",1,O70+1)),0))</f>
        <v/>
      </c>
      <c r="P71" s="98" t="str">
        <f aca="false">IF($A71="","",IF(ROW()&lt;=8,"基准周",IF(K71&gt;75,"改善",IF(K71&lt;60,"恶化","持平"))))</f>
        <v/>
      </c>
    </row>
    <row r="72" customFormat="false" ht="15" hidden="false" customHeight="true" outlineLevel="0" collapsed="false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7" t="str">
        <f aca="false">IF($A72="","",IF(B72=0,20,IF(B72=1,15,IF(B72=2,10,IF(B72=3,5,0))))+IF(C72="否",20,0)+IF(D72="是",20,0)+IF(E72=1,20,IF(E72=2,15,IF(E72=3,10,IF(E72=4,5,0))))+IF(F72="否",20,0))</f>
        <v/>
      </c>
      <c r="L72" s="98" t="str">
        <f aca="false">IF($A72="","",IF(K72&gt;=80,"达标","未达标"))</f>
        <v/>
      </c>
      <c r="M72" s="99" t="str">
        <f aca="false">IF($A72="","",IFERROR(AVERAGEIFS(K$2:K72,WEEKNUM(A$2:A72,2),WEEKNUM(A72,2)),K72))</f>
        <v/>
      </c>
      <c r="N72" s="100" t="str">
        <f aca="false">IF($A72="","",IFERROR(COUNTIFS(A$2:A72,"&lt;&gt;",L$2:L72,"达标",WEEKNUM(A$2:A72,2),WEEKNUM(A72,2)),0))</f>
        <v/>
      </c>
      <c r="O72" s="97" t="str">
        <f aca="false">IF($A72="","",IF(L72="达标",IF(ROW()=2,1,IF(O71="",1,O71+1)),0))</f>
        <v/>
      </c>
      <c r="P72" s="98" t="str">
        <f aca="false">IF($A72="","",IF(ROW()&lt;=8,"基准周",IF(K72&gt;75,"改善",IF(K72&lt;60,"恶化","持平"))))</f>
        <v/>
      </c>
    </row>
    <row r="73" customFormat="false" ht="15" hidden="false" customHeight="true" outlineLevel="0" collapsed="false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97" t="str">
        <f aca="false">IF($A73="","",IF(B73=0,20,IF(B73=1,15,IF(B73=2,10,IF(B73=3,5,0))))+IF(C73="否",20,0)+IF(D73="是",20,0)+IF(E73=1,20,IF(E73=2,15,IF(E73=3,10,IF(E73=4,5,0))))+IF(F73="否",20,0))</f>
        <v/>
      </c>
      <c r="L73" s="98" t="str">
        <f aca="false">IF($A73="","",IF(K73&gt;=80,"达标","未达标"))</f>
        <v/>
      </c>
      <c r="M73" s="99" t="str">
        <f aca="false">IF($A73="","",IFERROR(AVERAGEIFS(K$2:K73,WEEKNUM(A$2:A73,2),WEEKNUM(A73,2)),K73))</f>
        <v/>
      </c>
      <c r="N73" s="100" t="str">
        <f aca="false">IF($A73="","",IFERROR(COUNTIFS(A$2:A73,"&lt;&gt;",L$2:L73,"达标",WEEKNUM(A$2:A73,2),WEEKNUM(A73,2)),0))</f>
        <v/>
      </c>
      <c r="O73" s="97" t="str">
        <f aca="false">IF($A73="","",IF(L73="达标",IF(ROW()=2,1,IF(O72="",1,O72+1)),0))</f>
        <v/>
      </c>
      <c r="P73" s="98" t="str">
        <f aca="false">IF($A73="","",IF(ROW()&lt;=8,"基准周",IF(K73&gt;75,"改善",IF(K73&lt;60,"恶化","持平"))))</f>
        <v/>
      </c>
    </row>
    <row r="74" customFormat="false" ht="15" hidden="false" customHeight="true" outlineLevel="0" collapsed="false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7" t="str">
        <f aca="false">IF($A74="","",IF(B74=0,20,IF(B74=1,15,IF(B74=2,10,IF(B74=3,5,0))))+IF(C74="否",20,0)+IF(D74="是",20,0)+IF(E74=1,20,IF(E74=2,15,IF(E74=3,10,IF(E74=4,5,0))))+IF(F74="否",20,0))</f>
        <v/>
      </c>
      <c r="L74" s="98" t="str">
        <f aca="false">IF($A74="","",IF(K74&gt;=80,"达标","未达标"))</f>
        <v/>
      </c>
      <c r="M74" s="99" t="str">
        <f aca="false">IF($A74="","",IFERROR(AVERAGEIFS(K$2:K74,WEEKNUM(A$2:A74,2),WEEKNUM(A74,2)),K74))</f>
        <v/>
      </c>
      <c r="N74" s="100" t="str">
        <f aca="false">IF($A74="","",IFERROR(COUNTIFS(A$2:A74,"&lt;&gt;",L$2:L74,"达标",WEEKNUM(A$2:A74,2),WEEKNUM(A74,2)),0))</f>
        <v/>
      </c>
      <c r="O74" s="97" t="str">
        <f aca="false">IF($A74="","",IF(L74="达标",IF(ROW()=2,1,IF(O73="",1,O73+1)),0))</f>
        <v/>
      </c>
      <c r="P74" s="98" t="str">
        <f aca="false">IF($A74="","",IF(ROW()&lt;=8,"基准周",IF(K74&gt;75,"改善",IF(K74&lt;60,"恶化","持平"))))</f>
        <v/>
      </c>
    </row>
    <row r="75" customFormat="false" ht="15" hidden="false" customHeight="true" outlineLevel="0" collapsed="false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97" t="str">
        <f aca="false">IF($A75="","",IF(B75=0,20,IF(B75=1,15,IF(B75=2,10,IF(B75=3,5,0))))+IF(C75="否",20,0)+IF(D75="是",20,0)+IF(E75=1,20,IF(E75=2,15,IF(E75=3,10,IF(E75=4,5,0))))+IF(F75="否",20,0))</f>
        <v/>
      </c>
      <c r="L75" s="98" t="str">
        <f aca="false">IF($A75="","",IF(K75&gt;=80,"达标","未达标"))</f>
        <v/>
      </c>
      <c r="M75" s="99" t="str">
        <f aca="false">IF($A75="","",IFERROR(AVERAGEIFS(K$2:K75,WEEKNUM(A$2:A75,2),WEEKNUM(A75,2)),K75))</f>
        <v/>
      </c>
      <c r="N75" s="100" t="str">
        <f aca="false">IF($A75="","",IFERROR(COUNTIFS(A$2:A75,"&lt;&gt;",L$2:L75,"达标",WEEKNUM(A$2:A75,2),WEEKNUM(A75,2)),0))</f>
        <v/>
      </c>
      <c r="O75" s="97" t="str">
        <f aca="false">IF($A75="","",IF(L75="达标",IF(ROW()=2,1,IF(O74="",1,O74+1)),0))</f>
        <v/>
      </c>
      <c r="P75" s="98" t="str">
        <f aca="false">IF($A75="","",IF(ROW()&lt;=8,"基准周",IF(K75&gt;K68,"改善",IF(K75&lt;K68,"恶化","持平"))))</f>
        <v/>
      </c>
    </row>
    <row r="76" customFormat="false" ht="15" hidden="false" customHeight="true" outlineLevel="0" collapsed="false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7" t="str">
        <f aca="false">IF($A76="","",IF(B76=0,20,IF(B76=1,15,IF(B76=2,10,IF(B76=3,5,0))))+IF(C76="否",20,0)+IF(D76="是",20,0)+IF(E76=1,20,IF(E76=2,15,IF(E76=3,10,IF(E76=4,5,0))))+IF(F76="否",20,0))</f>
        <v/>
      </c>
      <c r="L76" s="98" t="str">
        <f aca="false">IF($A76="","",IF(K76&gt;=80,"达标","未达标"))</f>
        <v/>
      </c>
      <c r="M76" s="99" t="str">
        <f aca="false">IF($A76="","",IFERROR(AVERAGEIFS(K$2:K76,WEEKNUM(A$2:A76,2),WEEKNUM(A76,2)),K76))</f>
        <v/>
      </c>
      <c r="N76" s="100" t="str">
        <f aca="false">IF($A76="","",IFERROR(COUNTIFS(A$2:A76,"&lt;&gt;",L$2:L76,"达标",WEEKNUM(A$2:A76,2),WEEKNUM(A76,2)),0))</f>
        <v/>
      </c>
      <c r="O76" s="97" t="str">
        <f aca="false">IF($A76="","",IF(L76="达标",IF(ROW()=2,1,IF(O75="",1,O75+1)),0))</f>
        <v/>
      </c>
      <c r="P76" s="98" t="str">
        <f aca="false">IF($A76="","",IF(ROW()&lt;=8,"基准周",IF(K76&gt;75,"改善",IF(K76&lt;60,"恶化","持平"))))</f>
        <v/>
      </c>
    </row>
    <row r="77" customFormat="false" ht="15" hidden="false" customHeight="true" outlineLevel="0" collapsed="false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97" t="str">
        <f aca="false">IF($A77="","",IF(B77=0,20,IF(B77=1,15,IF(B77=2,10,IF(B77=3,5,0))))+IF(C77="否",20,0)+IF(D77="是",20,0)+IF(E77=1,20,IF(E77=2,15,IF(E77=3,10,IF(E77=4,5,0))))+IF(F77="否",20,0))</f>
        <v/>
      </c>
      <c r="L77" s="98" t="str">
        <f aca="false">IF($A77="","",IF(K77&gt;=80,"达标","未达标"))</f>
        <v/>
      </c>
      <c r="M77" s="99" t="str">
        <f aca="false">IF($A77="","",IFERROR(AVERAGEIFS(K$2:K77,WEEKNUM(A$2:A77,2),WEEKNUM(A77,2)),K77))</f>
        <v/>
      </c>
      <c r="N77" s="100" t="str">
        <f aca="false">IF($A77="","",IFERROR(COUNTIFS(A$2:A77,"&lt;&gt;",L$2:L77,"达标",WEEKNUM(A$2:A77,2),WEEKNUM(A77,2)),0))</f>
        <v/>
      </c>
      <c r="O77" s="97" t="str">
        <f aca="false">IF($A77="","",IF(L77="达标",IF(ROW()=2,1,IF(O76="",1,O76+1)),0))</f>
        <v/>
      </c>
      <c r="P77" s="98" t="str">
        <f aca="false">IF($A77="","",IF(ROW()&lt;=8,"基准周",IF(K77&gt;75,"改善",IF(K77&lt;60,"恶化","持平"))))</f>
        <v/>
      </c>
    </row>
    <row r="78" customFormat="false" ht="15" hidden="false" customHeight="true" outlineLevel="0" collapsed="false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7" t="str">
        <f aca="false">IF($A78="","",IF(B78=0,20,IF(B78=1,15,IF(B78=2,10,IF(B78=3,5,0))))+IF(C78="否",20,0)+IF(D78="是",20,0)+IF(E78=1,20,IF(E78=2,15,IF(E78=3,10,IF(E78=4,5,0))))+IF(F78="否",20,0))</f>
        <v/>
      </c>
      <c r="L78" s="98" t="str">
        <f aca="false">IF($A78="","",IF(K78&gt;=80,"达标","未达标"))</f>
        <v/>
      </c>
      <c r="M78" s="99" t="str">
        <f aca="false">IF($A78="","",IFERROR(AVERAGEIFS(K$2:K78,WEEKNUM(A$2:A78,2),WEEKNUM(A78,2)),K78))</f>
        <v/>
      </c>
      <c r="N78" s="100" t="str">
        <f aca="false">IF($A78="","",IFERROR(COUNTIFS(A$2:A78,"&lt;&gt;",L$2:L78,"达标",WEEKNUM(A$2:A78,2),WEEKNUM(A78,2)),0))</f>
        <v/>
      </c>
      <c r="O78" s="97" t="str">
        <f aca="false">IF($A78="","",IF(L78="达标",IF(ROW()=2,1,IF(O77="",1,O77+1)),0))</f>
        <v/>
      </c>
      <c r="P78" s="98" t="str">
        <f aca="false">IF($A78="","",IF(ROW()&lt;=8,"基准周",IF(K78&gt;75,"改善",IF(K78&lt;60,"恶化","持平"))))</f>
        <v/>
      </c>
    </row>
    <row r="79" customFormat="false" ht="15" hidden="false" customHeight="true" outlineLevel="0" collapsed="false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97" t="str">
        <f aca="false">IF($A79="","",IF(B79=0,20,IF(B79=1,15,IF(B79=2,10,IF(B79=3,5,0))))+IF(C79="否",20,0)+IF(D79="是",20,0)+IF(E79=1,20,IF(E79=2,15,IF(E79=3,10,IF(E79=4,5,0))))+IF(F79="否",20,0))</f>
        <v/>
      </c>
      <c r="L79" s="98" t="str">
        <f aca="false">IF($A79="","",IF(K79&gt;=80,"达标","未达标"))</f>
        <v/>
      </c>
      <c r="M79" s="99" t="str">
        <f aca="false">IF($A79="","",IFERROR(AVERAGEIFS(K$2:K79,WEEKNUM(A$2:A79,2),WEEKNUM(A79,2)),K79))</f>
        <v/>
      </c>
      <c r="N79" s="100" t="str">
        <f aca="false">IF($A79="","",IFERROR(COUNTIFS(A$2:A79,"&lt;&gt;",L$2:L79,"达标",WEEKNUM(A$2:A79,2),WEEKNUM(A79,2)),0))</f>
        <v/>
      </c>
      <c r="O79" s="97" t="str">
        <f aca="false">IF($A79="","",IF(L79="达标",IF(ROW()=2,1,IF(O78="",1,O78+1)),0))</f>
        <v/>
      </c>
      <c r="P79" s="98" t="str">
        <f aca="false">IF($A79="","",IF(ROW()&lt;=8,"基准周",IF(K79&gt;75,"改善",IF(K79&lt;60,"恶化","持平"))))</f>
        <v/>
      </c>
    </row>
    <row r="80" customFormat="false" ht="15" hidden="false" customHeight="true" outlineLevel="0" collapsed="false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7" t="str">
        <f aca="false">IF($A80="","",IF(B80=0,20,IF(B80=1,15,IF(B80=2,10,IF(B80=3,5,0))))+IF(C80="否",20,0)+IF(D80="是",20,0)+IF(E80=1,20,IF(E80=2,15,IF(E80=3,10,IF(E80=4,5,0))))+IF(F80="否",20,0))</f>
        <v/>
      </c>
      <c r="L80" s="98" t="str">
        <f aca="false">IF($A80="","",IF(K80&gt;=80,"达标","未达标"))</f>
        <v/>
      </c>
      <c r="M80" s="99" t="str">
        <f aca="false">IF($A80="","",IFERROR(AVERAGEIFS(K$2:K80,WEEKNUM(A$2:A80,2),WEEKNUM(A80,2)),K80))</f>
        <v/>
      </c>
      <c r="N80" s="100" t="str">
        <f aca="false">IF($A80="","",IFERROR(COUNTIFS(A$2:A80,"&lt;&gt;",L$2:L80,"达标",WEEKNUM(A$2:A80,2),WEEKNUM(A80,2)),0))</f>
        <v/>
      </c>
      <c r="O80" s="97" t="str">
        <f aca="false">IF($A80="","",IF(L80="达标",IF(ROW()=2,1,IF(O79="",1,O79+1)),0))</f>
        <v/>
      </c>
      <c r="P80" s="98" t="str">
        <f aca="false">IF($A80="","",IF(ROW()&lt;=8,"基准周",IF(K80&gt;75,"改善",IF(K80&lt;60,"恶化","持平"))))</f>
        <v/>
      </c>
    </row>
    <row r="81" customFormat="false" ht="15" hidden="false" customHeight="true" outlineLevel="0" collapsed="false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97" t="str">
        <f aca="false">IF($A81="","",IF(B81=0,20,IF(B81=1,15,IF(B81=2,10,IF(B81=3,5,0))))+IF(C81="否",20,0)+IF(D81="是",20,0)+IF(E81=1,20,IF(E81=2,15,IF(E81=3,10,IF(E81=4,5,0))))+IF(F81="否",20,0))</f>
        <v/>
      </c>
      <c r="L81" s="98" t="str">
        <f aca="false">IF($A81="","",IF(K81&gt;=80,"达标","未达标"))</f>
        <v/>
      </c>
      <c r="M81" s="99" t="str">
        <f aca="false">IF($A81="","",IFERROR(AVERAGEIFS(K$2:K81,WEEKNUM(A$2:A81,2),WEEKNUM(A81,2)),K81))</f>
        <v/>
      </c>
      <c r="N81" s="100" t="str">
        <f aca="false">IF($A81="","",IFERROR(COUNTIFS(A$2:A81,"&lt;&gt;",L$2:L81,"达标",WEEKNUM(A$2:A81,2),WEEKNUM(A81,2)),0))</f>
        <v/>
      </c>
      <c r="O81" s="97" t="str">
        <f aca="false">IF($A81="","",IF(L81="达标",IF(ROW()=2,1,IF(O80="",1,O80+1)),0))</f>
        <v/>
      </c>
      <c r="P81" s="98" t="str">
        <f aca="false">IF($A81="","",IF(ROW()&lt;=8,"基准周",IF(K81&gt;75,"改善",IF(K81&lt;60,"恶化","持平"))))</f>
        <v/>
      </c>
    </row>
    <row r="82" customFormat="false" ht="15" hidden="false" customHeight="true" outlineLevel="0" collapsed="false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7" t="str">
        <f aca="false">IF($A82="","",IF(B82=0,20,IF(B82=1,15,IF(B82=2,10,IF(B82=3,5,0))))+IF(C82="否",20,0)+IF(D82="是",20,0)+IF(E82=1,20,IF(E82=2,15,IF(E82=3,10,IF(E82=4,5,0))))+IF(F82="否",20,0))</f>
        <v/>
      </c>
      <c r="L82" s="98" t="str">
        <f aca="false">IF($A82="","",IF(K82&gt;=80,"达标","未达标"))</f>
        <v/>
      </c>
      <c r="M82" s="99" t="str">
        <f aca="false">IF($A82="","",IFERROR(AVERAGEIFS(K$2:K82,WEEKNUM(A$2:A82,2),WEEKNUM(A82,2)),K82))</f>
        <v/>
      </c>
      <c r="N82" s="100" t="str">
        <f aca="false">IF($A82="","",IFERROR(COUNTIFS(A$2:A82,"&lt;&gt;",L$2:L82,"达标",WEEKNUM(A$2:A82,2),WEEKNUM(A82,2)),0))</f>
        <v/>
      </c>
      <c r="O82" s="97" t="str">
        <f aca="false">IF($A82="","",IF(L82="达标",IF(ROW()=2,1,IF(O81="",1,O81+1)),0))</f>
        <v/>
      </c>
      <c r="P82" s="98" t="str">
        <f aca="false">IF($A82="","",IF(ROW()&lt;=8,"基准周",IF(K82&gt;K75,"改善",IF(K82&lt;K75,"恶化","持平"))))</f>
        <v/>
      </c>
    </row>
    <row r="83" customFormat="false" ht="15" hidden="false" customHeight="true" outlineLevel="0" collapsed="false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97" t="str">
        <f aca="false">IF($A83="","",IF(B83=0,20,IF(B83=1,15,IF(B83=2,10,IF(B83=3,5,0))))+IF(C83="否",20,0)+IF(D83="是",20,0)+IF(E83=1,20,IF(E83=2,15,IF(E83=3,10,IF(E83=4,5,0))))+IF(F83="否",20,0))</f>
        <v/>
      </c>
      <c r="L83" s="98" t="str">
        <f aca="false">IF($A83="","",IF(K83&gt;=80,"达标","未达标"))</f>
        <v/>
      </c>
      <c r="M83" s="99" t="str">
        <f aca="false">IF($A83="","",IFERROR(AVERAGEIFS(K$2:K83,WEEKNUM(A$2:A83,2),WEEKNUM(A83,2)),K83))</f>
        <v/>
      </c>
      <c r="N83" s="100" t="str">
        <f aca="false">IF($A83="","",IFERROR(COUNTIFS(A$2:A83,"&lt;&gt;",L$2:L83,"达标",WEEKNUM(A$2:A83,2),WEEKNUM(A83,2)),0))</f>
        <v/>
      </c>
      <c r="O83" s="97" t="str">
        <f aca="false">IF($A83="","",IF(L83="达标",IF(ROW()=2,1,IF(O82="",1,O82+1)),0))</f>
        <v/>
      </c>
      <c r="P83" s="98" t="str">
        <f aca="false">IF($A83="","",IF(ROW()&lt;=8,"基准周",IF(K83&gt;75,"改善",IF(K83&lt;60,"恶化","持平"))))</f>
        <v/>
      </c>
    </row>
    <row r="84" customFormat="false" ht="15" hidden="false" customHeight="true" outlineLevel="0" collapsed="false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7" t="str">
        <f aca="false">IF($A84="","",IF(B84=0,20,IF(B84=1,15,IF(B84=2,10,IF(B84=3,5,0))))+IF(C84="否",20,0)+IF(D84="是",20,0)+IF(E84=1,20,IF(E84=2,15,IF(E84=3,10,IF(E84=4,5,0))))+IF(F84="否",20,0))</f>
        <v/>
      </c>
      <c r="L84" s="98" t="str">
        <f aca="false">IF($A84="","",IF(K84&gt;=80,"达标","未达标"))</f>
        <v/>
      </c>
      <c r="M84" s="99" t="str">
        <f aca="false">IF($A84="","",IFERROR(AVERAGEIFS(K$2:K84,WEEKNUM(A$2:A84,2),WEEKNUM(A84,2)),K84))</f>
        <v/>
      </c>
      <c r="N84" s="100" t="str">
        <f aca="false">IF($A84="","",IFERROR(COUNTIFS(A$2:A84,"&lt;&gt;",L$2:L84,"达标",WEEKNUM(A$2:A84,2),WEEKNUM(A84,2)),0))</f>
        <v/>
      </c>
      <c r="O84" s="97" t="str">
        <f aca="false">IF($A84="","",IF(L84="达标",IF(ROW()=2,1,IF(O83="",1,O83+1)),0))</f>
        <v/>
      </c>
      <c r="P84" s="98" t="str">
        <f aca="false">IF($A84="","",IF(ROW()&lt;=8,"基准周",IF(K84&gt;75,"改善",IF(K84&lt;60,"恶化","持平"))))</f>
        <v/>
      </c>
    </row>
    <row r="85" customFormat="false" ht="15" hidden="false" customHeight="true" outlineLevel="0" collapsed="false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97" t="str">
        <f aca="false">IF($A85="","",IF(B85=0,20,IF(B85=1,15,IF(B85=2,10,IF(B85=3,5,0))))+IF(C85="否",20,0)+IF(D85="是",20,0)+IF(E85=1,20,IF(E85=2,15,IF(E85=3,10,IF(E85=4,5,0))))+IF(F85="否",20,0))</f>
        <v/>
      </c>
      <c r="L85" s="98" t="str">
        <f aca="false">IF($A85="","",IF(K85&gt;=80,"达标","未达标"))</f>
        <v/>
      </c>
      <c r="M85" s="99" t="str">
        <f aca="false">IF($A85="","",IFERROR(AVERAGEIFS(K$2:K85,WEEKNUM(A$2:A85,2),WEEKNUM(A85,2)),K85))</f>
        <v/>
      </c>
      <c r="N85" s="100" t="str">
        <f aca="false">IF($A85="","",IFERROR(COUNTIFS(A$2:A85,"&lt;&gt;",L$2:L85,"达标",WEEKNUM(A$2:A85,2),WEEKNUM(A85,2)),0))</f>
        <v/>
      </c>
      <c r="O85" s="97" t="str">
        <f aca="false">IF($A85="","",IF(L85="达标",IF(ROW()=2,1,IF(O84="",1,O84+1)),0))</f>
        <v/>
      </c>
      <c r="P85" s="98" t="str">
        <f aca="false">IF($A85="","",IF(ROW()&lt;=8,"基准周",IF(K85&gt;75,"改善",IF(K85&lt;60,"恶化","持平"))))</f>
        <v/>
      </c>
    </row>
    <row r="86" customFormat="false" ht="15" hidden="false" customHeight="true" outlineLevel="0" collapsed="false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7" t="str">
        <f aca="false">IF($A86="","",IF(B86=0,20,IF(B86=1,15,IF(B86=2,10,IF(B86=3,5,0))))+IF(C86="否",20,0)+IF(D86="是",20,0)+IF(E86=1,20,IF(E86=2,15,IF(E86=3,10,IF(E86=4,5,0))))+IF(F86="否",20,0))</f>
        <v/>
      </c>
      <c r="L86" s="98" t="str">
        <f aca="false">IF($A86="","",IF(K86&gt;=80,"达标","未达标"))</f>
        <v/>
      </c>
      <c r="M86" s="99" t="str">
        <f aca="false">IF($A86="","",IFERROR(AVERAGEIFS(K$2:K86,WEEKNUM(A$2:A86,2),WEEKNUM(A86,2)),K86))</f>
        <v/>
      </c>
      <c r="N86" s="100" t="str">
        <f aca="false">IF($A86="","",IFERROR(COUNTIFS(A$2:A86,"&lt;&gt;",L$2:L86,"达标",WEEKNUM(A$2:A86,2),WEEKNUM(A86,2)),0))</f>
        <v/>
      </c>
      <c r="O86" s="97" t="str">
        <f aca="false">IF($A86="","",IF(L86="达标",IF(ROW()=2,1,IF(O85="",1,O85+1)),0))</f>
        <v/>
      </c>
      <c r="P86" s="98" t="str">
        <f aca="false">IF($A86="","",IF(ROW()&lt;=8,"基准周",IF(K86&gt;75,"改善",IF(K86&lt;60,"恶化","持平"))))</f>
        <v/>
      </c>
    </row>
    <row r="87" customFormat="false" ht="15" hidden="false" customHeight="true" outlineLevel="0" collapsed="false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97" t="str">
        <f aca="false">IF($A87="","",IF(B87=0,20,IF(B87=1,15,IF(B87=2,10,IF(B87=3,5,0))))+IF(C87="否",20,0)+IF(D87="是",20,0)+IF(E87=1,20,IF(E87=2,15,IF(E87=3,10,IF(E87=4,5,0))))+IF(F87="否",20,0))</f>
        <v/>
      </c>
      <c r="L87" s="98" t="str">
        <f aca="false">IF($A87="","",IF(K87&gt;=80,"达标","未达标"))</f>
        <v/>
      </c>
      <c r="M87" s="99" t="str">
        <f aca="false">IF($A87="","",IFERROR(AVERAGEIFS(K$2:K87,WEEKNUM(A$2:A87,2),WEEKNUM(A87,2)),K87))</f>
        <v/>
      </c>
      <c r="N87" s="100" t="str">
        <f aca="false">IF($A87="","",IFERROR(COUNTIFS(A$2:A87,"&lt;&gt;",L$2:L87,"达标",WEEKNUM(A$2:A87,2),WEEKNUM(A87,2)),0))</f>
        <v/>
      </c>
      <c r="O87" s="97" t="str">
        <f aca="false">IF($A87="","",IF(L87="达标",IF(ROW()=2,1,IF(O86="",1,O86+1)),0))</f>
        <v/>
      </c>
      <c r="P87" s="98" t="str">
        <f aca="false">IF($A87="","",IF(ROW()&lt;=8,"基准周",IF(K87&gt;75,"改善",IF(K87&lt;60,"恶化","持平"))))</f>
        <v/>
      </c>
    </row>
    <row r="88" customFormat="false" ht="15" hidden="false" customHeight="true" outlineLevel="0" collapsed="false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7" t="str">
        <f aca="false">IF($A88="","",IF(B88=0,20,IF(B88=1,15,IF(B88=2,10,IF(B88=3,5,0))))+IF(C88="否",20,0)+IF(D88="是",20,0)+IF(E88=1,20,IF(E88=2,15,IF(E88=3,10,IF(E88=4,5,0))))+IF(F88="否",20,0))</f>
        <v/>
      </c>
      <c r="L88" s="98" t="str">
        <f aca="false">IF($A88="","",IF(K88&gt;=80,"达标","未达标"))</f>
        <v/>
      </c>
      <c r="M88" s="99" t="str">
        <f aca="false">IF($A88="","",IFERROR(AVERAGEIFS(K$2:K88,WEEKNUM(A$2:A88,2),WEEKNUM(A88,2)),K88))</f>
        <v/>
      </c>
      <c r="N88" s="100" t="str">
        <f aca="false">IF($A88="","",IFERROR(COUNTIFS(A$2:A88,"&lt;&gt;",L$2:L88,"达标",WEEKNUM(A$2:A88,2),WEEKNUM(A88,2)),0))</f>
        <v/>
      </c>
      <c r="O88" s="97" t="str">
        <f aca="false">IF($A88="","",IF(L88="达标",IF(ROW()=2,1,IF(O87="",1,O87+1)),0))</f>
        <v/>
      </c>
      <c r="P88" s="98" t="str">
        <f aca="false">IF($A88="","",IF(ROW()&lt;=8,"基准周",IF(K88&gt;75,"改善",IF(K88&lt;60,"恶化","持平"))))</f>
        <v/>
      </c>
    </row>
    <row r="89" customFormat="false" ht="15" hidden="false" customHeight="true" outlineLevel="0" collapsed="false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97" t="str">
        <f aca="false">IF($A89="","",IF(B89=0,20,IF(B89=1,15,IF(B89=2,10,IF(B89=3,5,0))))+IF(C89="否",20,0)+IF(D89="是",20,0)+IF(E89=1,20,IF(E89=2,15,IF(E89=3,10,IF(E89=4,5,0))))+IF(F89="否",20,0))</f>
        <v/>
      </c>
      <c r="L89" s="98" t="str">
        <f aca="false">IF($A89="","",IF(K89&gt;=80,"达标","未达标"))</f>
        <v/>
      </c>
      <c r="M89" s="99" t="str">
        <f aca="false">IF($A89="","",IFERROR(AVERAGEIFS(K$2:K89,WEEKNUM(A$2:A89,2),WEEKNUM(A89,2)),K89))</f>
        <v/>
      </c>
      <c r="N89" s="100" t="str">
        <f aca="false">IF($A89="","",IFERROR(COUNTIFS(A$2:A89,"&lt;&gt;",L$2:L89,"达标",WEEKNUM(A$2:A89,2),WEEKNUM(A89,2)),0))</f>
        <v/>
      </c>
      <c r="O89" s="97" t="str">
        <f aca="false">IF($A89="","",IF(L89="达标",IF(ROW()=2,1,IF(O88="",1,O88+1)),0))</f>
        <v/>
      </c>
      <c r="P89" s="98" t="str">
        <f aca="false">IF($A89="","",IF(ROW()&lt;=8,"基准周",IF(K89&gt;75,"改善",IF(K89&lt;60,"恶化","持平"))))</f>
        <v/>
      </c>
    </row>
    <row r="90" customFormat="false" ht="15" hidden="false" customHeight="true" outlineLevel="0" collapsed="false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7" t="str">
        <f aca="false">IF($A90="","",IF(B90=0,20,IF(B90=1,15,IF(B90=2,10,IF(B90=3,5,0))))+IF(C90="否",20,0)+IF(D90="是",20,0)+IF(E90=1,20,IF(E90=2,15,IF(E90=3,10,IF(E90=4,5,0))))+IF(F90="否",20,0))</f>
        <v/>
      </c>
      <c r="L90" s="98" t="str">
        <f aca="false">IF($A90="","",IF(K90&gt;=80,"达标","未达标"))</f>
        <v/>
      </c>
      <c r="M90" s="99" t="str">
        <f aca="false">IF($A90="","",IFERROR(AVERAGEIFS(K$2:K90,WEEKNUM(A$2:A90,2),WEEKNUM(A90,2)),K90))</f>
        <v/>
      </c>
      <c r="N90" s="100" t="str">
        <f aca="false">IF($A90="","",IFERROR(COUNTIFS(A$2:A90,"&lt;&gt;",L$2:L90,"达标",WEEKNUM(A$2:A90,2),WEEKNUM(A90,2)),0))</f>
        <v/>
      </c>
      <c r="O90" s="97" t="str">
        <f aca="false">IF($A90="","",IF(L90="达标",IF(ROW()=2,1,IF(O89="",1,O89+1)),0))</f>
        <v/>
      </c>
      <c r="P90" s="98" t="str">
        <f aca="false">IF($A90="","",IF(ROW()&lt;=8,"基准周",IF(K90&gt;75,"改善",IF(K90&lt;60,"恶化","持平"))))</f>
        <v/>
      </c>
    </row>
    <row r="91" customFormat="false" ht="15" hidden="false" customHeight="true" outlineLevel="0" collapsed="false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97" t="str">
        <f aca="false">IF($A91="","",IF(B91=0,20,IF(B91=1,15,IF(B91=2,10,IF(B91=3,5,0))))+IF(C91="否",20,0)+IF(D91="是",20,0)+IF(E91=1,20,IF(E91=2,15,IF(E91=3,10,IF(E91=4,5,0))))+IF(F91="否",20,0))</f>
        <v/>
      </c>
      <c r="L91" s="98" t="str">
        <f aca="false">IF($A91="","",IF(K91&gt;=80,"达标","未达标"))</f>
        <v/>
      </c>
      <c r="M91" s="99" t="str">
        <f aca="false">IF($A91="","",IFERROR(AVERAGEIFS(K$2:K91,WEEKNUM(A$2:A91,2),WEEKNUM(A91,2)),K91))</f>
        <v/>
      </c>
      <c r="N91" s="100" t="str">
        <f aca="false">IF($A91="","",IFERROR(COUNTIFS(A$2:A91,"&lt;&gt;",L$2:L91,"达标",WEEKNUM(A$2:A91,2),WEEKNUM(A91,2)),0))</f>
        <v/>
      </c>
      <c r="O91" s="97" t="str">
        <f aca="false">IF($A91="","",IF(L91="达标",IF(ROW()=2,1,IF(O90="",1,O90+1)),0))</f>
        <v/>
      </c>
      <c r="P91" s="98" t="str">
        <f aca="false">IF($A91="","",IF(ROW()&lt;=8,"基准周",IF(K91&gt;75,"改善",IF(K91&lt;60,"恶化","持平"))))</f>
        <v/>
      </c>
    </row>
    <row r="92" customFormat="false" ht="15" hidden="false" customHeight="true" outlineLevel="0" collapsed="false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7" t="str">
        <f aca="false">IF($A92="","",IF(B92=0,20,IF(B92=1,15,IF(B92=2,10,IF(B92=3,5,0))))+IF(C92="否",20,0)+IF(D92="是",20,0)+IF(E92=1,20,IF(E92=2,15,IF(E92=3,10,IF(E92=4,5,0))))+IF(F92="否",20,0))</f>
        <v/>
      </c>
      <c r="L92" s="98" t="str">
        <f aca="false">IF($A92="","",IF(K92&gt;=80,"达标","未达标"))</f>
        <v/>
      </c>
      <c r="M92" s="99" t="str">
        <f aca="false">IF($A92="","",IFERROR(AVERAGEIFS(K$2:K92,WEEKNUM(A$2:A92,2),WEEKNUM(A92,2)),K92))</f>
        <v/>
      </c>
      <c r="N92" s="100" t="str">
        <f aca="false">IF($A92="","",IFERROR(COUNTIFS(A$2:A92,"&lt;&gt;",L$2:L92,"达标",WEEKNUM(A$2:A92,2),WEEKNUM(A92,2)),0))</f>
        <v/>
      </c>
      <c r="O92" s="97" t="str">
        <f aca="false">IF($A92="","",IF(L92="达标",IF(ROW()=2,1,IF(O91="",1,O91+1)),0))</f>
        <v/>
      </c>
      <c r="P92" s="98" t="str">
        <f aca="false">IF($A92="","",IF(ROW()&lt;=8,"基准周",IF(K92&gt;75,"改善",IF(K92&lt;60,"恶化","持平"))))</f>
        <v/>
      </c>
    </row>
    <row r="93" customFormat="false" ht="15" hidden="false" customHeight="true" outlineLevel="0" collapsed="false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97" t="str">
        <f aca="false">IF($A93="","",IF(B93=0,20,IF(B93=1,15,IF(B93=2,10,IF(B93=3,5,0))))+IF(C93="否",20,0)+IF(D93="是",20,0)+IF(E93=1,20,IF(E93=2,15,IF(E93=3,10,IF(E93=4,5,0))))+IF(F93="否",20,0))</f>
        <v/>
      </c>
      <c r="L93" s="98" t="str">
        <f aca="false">IF($A93="","",IF(K93&gt;=80,"达标","未达标"))</f>
        <v/>
      </c>
      <c r="M93" s="99" t="str">
        <f aca="false">IF($A93="","",IFERROR(AVERAGEIFS(K$2:K93,WEEKNUM(A$2:A93,2),WEEKNUM(A93,2)),K93))</f>
        <v/>
      </c>
      <c r="N93" s="100" t="str">
        <f aca="false">IF($A93="","",IFERROR(COUNTIFS(A$2:A93,"&lt;&gt;",L$2:L93,"达标",WEEKNUM(A$2:A93,2),WEEKNUM(A93,2)),0))</f>
        <v/>
      </c>
      <c r="O93" s="97" t="str">
        <f aca="false">IF($A93="","",IF(L93="达标",IF(ROW()=2,1,IF(O92="",1,O92+1)),0))</f>
        <v/>
      </c>
      <c r="P93" s="98" t="str">
        <f aca="false">IF($A93="","",IF(ROW()&lt;=8,"基准周",IF(K93&gt;75,"改善",IF(K93&lt;60,"恶化","持平"))))</f>
        <v/>
      </c>
    </row>
    <row r="94" customFormat="false" ht="15" hidden="false" customHeight="true" outlineLevel="0" collapsed="false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7" t="str">
        <f aca="false">IF($A94="","",IF(B94=0,20,IF(B94=1,15,IF(B94=2,10,IF(B94=3,5,0))))+IF(C94="否",20,0)+IF(D94="是",20,0)+IF(E94=1,20,IF(E94=2,15,IF(E94=3,10,IF(E94=4,5,0))))+IF(F94="否",20,0))</f>
        <v/>
      </c>
      <c r="L94" s="98" t="str">
        <f aca="false">IF($A94="","",IF(K94&gt;=80,"达标","未达标"))</f>
        <v/>
      </c>
      <c r="M94" s="99" t="str">
        <f aca="false">IF($A94="","",IFERROR(AVERAGEIFS(K$2:K94,WEEKNUM(A$2:A94,2),WEEKNUM(A94,2)),K94))</f>
        <v/>
      </c>
      <c r="N94" s="100" t="str">
        <f aca="false">IF($A94="","",IFERROR(COUNTIFS(A$2:A94,"&lt;&gt;",L$2:L94,"达标",WEEKNUM(A$2:A94,2),WEEKNUM(A94,2)),0))</f>
        <v/>
      </c>
      <c r="O94" s="97" t="str">
        <f aca="false">IF($A94="","",IF(L94="达标",IF(ROW()=2,1,IF(O93="",1,O93+1)),0))</f>
        <v/>
      </c>
      <c r="P94" s="98" t="str">
        <f aca="false">IF($A94="","",IF(ROW()&lt;=8,"基准周",IF(K94&gt;75,"改善",IF(K94&lt;60,"恶化","持平"))))</f>
        <v/>
      </c>
    </row>
    <row r="95" customFormat="false" ht="15" hidden="false" customHeight="true" outlineLevel="0" collapsed="false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97" t="str">
        <f aca="false">IF($A95="","",IF(B95=0,20,IF(B95=1,15,IF(B95=2,10,IF(B95=3,5,0))))+IF(C95="否",20,0)+IF(D95="是",20,0)+IF(E95=1,20,IF(E95=2,15,IF(E95=3,10,IF(E95=4,5,0))))+IF(F95="否",20,0))</f>
        <v/>
      </c>
      <c r="L95" s="98" t="str">
        <f aca="false">IF($A95="","",IF(K95&gt;=80,"达标","未达标"))</f>
        <v/>
      </c>
      <c r="M95" s="99" t="str">
        <f aca="false">IF($A95="","",IFERROR(AVERAGEIFS(K$2:K95,WEEKNUM(A$2:A95,2),WEEKNUM(A95,2)),K95))</f>
        <v/>
      </c>
      <c r="N95" s="100" t="str">
        <f aca="false">IF($A95="","",IFERROR(COUNTIFS(A$2:A95,"&lt;&gt;",L$2:L95,"达标",WEEKNUM(A$2:A95,2),WEEKNUM(A95,2)),0))</f>
        <v/>
      </c>
      <c r="O95" s="97" t="str">
        <f aca="false">IF($A95="","",IF(L95="达标",IF(ROW()=2,1,IF(O94="",1,O94+1)),0))</f>
        <v/>
      </c>
      <c r="P95" s="98" t="str">
        <f aca="false">IF($A95="","",IF(ROW()&lt;=8,"基准周",IF(K95&gt;75,"改善",IF(K95&lt;60,"恶化","持平"))))</f>
        <v/>
      </c>
    </row>
    <row r="96" customFormat="false" ht="15" hidden="false" customHeight="true" outlineLevel="0" collapsed="false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7" t="str">
        <f aca="false">IF($A96="","",IF(B96=0,20,IF(B96=1,15,IF(B96=2,10,IF(B96=3,5,0))))+IF(C96="否",20,0)+IF(D96="是",20,0)+IF(E96=1,20,IF(E96=2,15,IF(E96=3,10,IF(E96=4,5,0))))+IF(F96="否",20,0))</f>
        <v/>
      </c>
      <c r="L96" s="98" t="str">
        <f aca="false">IF($A96="","",IF(K96&gt;=80,"达标","未达标"))</f>
        <v/>
      </c>
      <c r="M96" s="99" t="str">
        <f aca="false">IF($A96="","",IFERROR(AVERAGEIFS(K$2:K96,WEEKNUM(A$2:A96,2),WEEKNUM(A96,2)),K96))</f>
        <v/>
      </c>
      <c r="N96" s="100" t="str">
        <f aca="false">IF($A96="","",IFERROR(COUNTIFS(A$2:A96,"&lt;&gt;",L$2:L96,"达标",WEEKNUM(A$2:A96,2),WEEKNUM(A96,2)),0))</f>
        <v/>
      </c>
      <c r="O96" s="97" t="str">
        <f aca="false">IF($A96="","",IF(L96="达标",IF(ROW()=2,1,IF(O95="",1,O95+1)),0))</f>
        <v/>
      </c>
      <c r="P96" s="98" t="str">
        <f aca="false">IF($A96="","",IF(ROW()&lt;=8,"基准周",IF(K96&gt;75,"改善",IF(K96&lt;60,"恶化","持平"))))</f>
        <v/>
      </c>
    </row>
    <row r="97" customFormat="false" ht="15" hidden="false" customHeight="true" outlineLevel="0" collapsed="false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97" t="str">
        <f aca="false">IF($A97="","",IF(B97=0,20,IF(B97=1,15,IF(B97=2,10,IF(B97=3,5,0))))+IF(C97="否",20,0)+IF(D97="是",20,0)+IF(E97=1,20,IF(E97=2,15,IF(E97=3,10,IF(E97=4,5,0))))+IF(F97="否",20,0))</f>
        <v/>
      </c>
      <c r="L97" s="98" t="str">
        <f aca="false">IF($A97="","",IF(K97&gt;=80,"达标","未达标"))</f>
        <v/>
      </c>
      <c r="M97" s="99" t="str">
        <f aca="false">IF($A97="","",IFERROR(AVERAGEIFS(K$2:K97,WEEKNUM(A$2:A97,2),WEEKNUM(A97,2)),K97))</f>
        <v/>
      </c>
      <c r="N97" s="100" t="str">
        <f aca="false">IF($A97="","",IFERROR(COUNTIFS(A$2:A97,"&lt;&gt;",L$2:L97,"达标",WEEKNUM(A$2:A97,2),WEEKNUM(A97,2)),0))</f>
        <v/>
      </c>
      <c r="O97" s="97" t="str">
        <f aca="false">IF($A97="","",IF(L97="达标",IF(ROW()=2,1,IF(O96="",1,O96+1)),0))</f>
        <v/>
      </c>
      <c r="P97" s="98" t="str">
        <f aca="false">IF($A97="","",IF(ROW()&lt;=8,"基准周",IF(K97&gt;75,"改善",IF(K97&lt;60,"恶化","持平"))))</f>
        <v/>
      </c>
    </row>
    <row r="98" customFormat="false" ht="15" hidden="false" customHeight="true" outlineLevel="0" collapsed="false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7" t="str">
        <f aca="false">IF($A98="","",IF(B98=0,20,IF(B98=1,15,IF(B98=2,10,IF(B98=3,5,0))))+IF(C98="否",20,0)+IF(D98="是",20,0)+IF(E98=1,20,IF(E98=2,15,IF(E98=3,10,IF(E98=4,5,0))))+IF(F98="否",20,0))</f>
        <v/>
      </c>
      <c r="L98" s="98" t="str">
        <f aca="false">IF($A98="","",IF(K98&gt;=80,"达标","未达标"))</f>
        <v/>
      </c>
      <c r="M98" s="99" t="str">
        <f aca="false">IF($A98="","",IFERROR(AVERAGEIFS(K$2:K98,WEEKNUM(A$2:A98,2),WEEKNUM(A98,2)),K98))</f>
        <v/>
      </c>
      <c r="N98" s="100" t="str">
        <f aca="false">IF($A98="","",IFERROR(COUNTIFS(A$2:A98,"&lt;&gt;",L$2:L98,"达标",WEEKNUM(A$2:A98,2),WEEKNUM(A98,2)),0))</f>
        <v/>
      </c>
      <c r="O98" s="97" t="str">
        <f aca="false">IF($A98="","",IF(L98="达标",IF(ROW()=2,1,IF(O97="",1,O97+1)),0))</f>
        <v/>
      </c>
      <c r="P98" s="98" t="str">
        <f aca="false">IF($A98="","",IF(ROW()&lt;=8,"基准周",IF(K98&gt;75,"改善",IF(K98&lt;60,"恶化","持平"))))</f>
        <v/>
      </c>
    </row>
    <row r="99" customFormat="false" ht="15" hidden="false" customHeight="true" outlineLevel="0" collapsed="false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97" t="str">
        <f aca="false">IF($A99="","",IF(B99=0,20,IF(B99=1,15,IF(B99=2,10,IF(B99=3,5,0))))+IF(C99="否",20,0)+IF(D99="是",20,0)+IF(E99=1,20,IF(E99=2,15,IF(E99=3,10,IF(E99=4,5,0))))+IF(F99="否",20,0))</f>
        <v/>
      </c>
      <c r="L99" s="98" t="str">
        <f aca="false">IF($A99="","",IF(K99&gt;=80,"达标","未达标"))</f>
        <v/>
      </c>
      <c r="M99" s="99" t="str">
        <f aca="false">IF($A99="","",IFERROR(AVERAGEIFS(K$2:K99,WEEKNUM(A$2:A99,2),WEEKNUM(A99,2)),K99))</f>
        <v/>
      </c>
      <c r="N99" s="100" t="str">
        <f aca="false">IF($A99="","",IFERROR(COUNTIFS(A$2:A99,"&lt;&gt;",L$2:L99,"达标",WEEKNUM(A$2:A99,2),WEEKNUM(A99,2)),0))</f>
        <v/>
      </c>
      <c r="O99" s="97" t="str">
        <f aca="false">IF($A99="","",IF(L99="达标",IF(ROW()=2,1,IF(O98="",1,O98+1)),0))</f>
        <v/>
      </c>
      <c r="P99" s="98" t="str">
        <f aca="false">IF($A99="","",IF(ROW()&lt;=8,"基准周",IF(K99&gt;75,"改善",IF(K99&lt;60,"恶化","持平"))))</f>
        <v/>
      </c>
    </row>
    <row r="100" customFormat="false" ht="15" hidden="false" customHeight="true" outlineLevel="0" collapsed="false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7" t="str">
        <f aca="false">IF($A100="","",IF(B100=0,20,IF(B100=1,15,IF(B100=2,10,IF(B100=3,5,0))))+IF(C100="否",20,0)+IF(D100="是",20,0)+IF(E100=1,20,IF(E100=2,15,IF(E100=3,10,IF(E100=4,5,0))))+IF(F100="否",20,0))</f>
        <v/>
      </c>
      <c r="L100" s="98" t="str">
        <f aca="false">IF($A100="","",IF(K100&gt;=80,"达标","未达标"))</f>
        <v/>
      </c>
      <c r="M100" s="99" t="str">
        <f aca="false">IF($A100="","",IFERROR(AVERAGEIFS(K$2:K100,WEEKNUM(A$2:A100,2),WEEKNUM(A100,2)),K100))</f>
        <v/>
      </c>
      <c r="N100" s="100" t="str">
        <f aca="false">IF($A100="","",IFERROR(COUNTIFS(A$2:A100,"&lt;&gt;",L$2:L100,"达标",WEEKNUM(A$2:A100,2),WEEKNUM(A100,2)),0))</f>
        <v/>
      </c>
      <c r="O100" s="97" t="str">
        <f aca="false">IF($A100="","",IF(L100="达标",IF(ROW()=2,1,IF(O99="",1,O99+1)),0))</f>
        <v/>
      </c>
      <c r="P100" s="98" t="str">
        <f aca="false">IF($A100="","",IF(ROW()&lt;=8,"基准周",IF(K100&gt;75,"改善",IF(K100&lt;60,"恶化","持平"))))</f>
        <v/>
      </c>
    </row>
    <row r="101" customFormat="false" ht="15" hidden="false" customHeight="true" outlineLevel="0" collapsed="false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97" t="str">
        <f aca="false">IF($A101="","",IF(B101=0,20,IF(B101=1,15,IF(B101=2,10,IF(B101=3,5,0))))+IF(C101="否",20,0)+IF(D101="是",20,0)+IF(E101=1,20,IF(E101=2,15,IF(E101=3,10,IF(E101=4,5,0))))+IF(F101="否",20,0))</f>
        <v/>
      </c>
      <c r="L101" s="98" t="str">
        <f aca="false">IF($A101="","",IF(K101&gt;=80,"达标","未达标"))</f>
        <v/>
      </c>
      <c r="M101" s="99" t="str">
        <f aca="false">IF($A101="","",IFERROR(AVERAGEIFS(K$2:K101,WEEKNUM(A$2:A101,2),WEEKNUM(A101,2)),K101))</f>
        <v/>
      </c>
      <c r="N101" s="100" t="str">
        <f aca="false">IF($A101="","",IFERROR(COUNTIFS(A$2:A101,"&lt;&gt;",L$2:L101,"达标",WEEKNUM(A$2:A101,2),WEEKNUM(A101,2)),0))</f>
        <v/>
      </c>
      <c r="O101" s="97" t="str">
        <f aca="false">IF($A101="","",IF(L101="达标",IF(ROW()=2,1,IF(O100="",1,O100+1)),0))</f>
        <v/>
      </c>
      <c r="P101" s="98" t="str">
        <f aca="false">IF($A101="","",IF(ROW()&lt;=8,"基准周",IF(K101&gt;75,"改善",IF(K101&lt;60,"恶化","持平"))))</f>
        <v/>
      </c>
    </row>
    <row r="102" customFormat="false" ht="15" hidden="false" customHeight="true" outlineLevel="0" collapsed="false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7" t="str">
        <f aca="false">IF($A102="","",IF(B102=0,20,IF(B102=1,15,IF(B102=2,10,IF(B102=3,5,0))))+IF(C102="否",20,0)+IF(D102="是",20,0)+IF(E102=1,20,IF(E102=2,15,IF(E102=3,10,IF(E102=4,5,0))))+IF(F102="否",20,0))</f>
        <v/>
      </c>
      <c r="L102" s="98" t="str">
        <f aca="false">IF($A102="","",IF(K102&gt;=80,"达标","未达标"))</f>
        <v/>
      </c>
      <c r="M102" s="99" t="str">
        <f aca="false">IF($A102="","",IFERROR(AVERAGEIFS(K$2:K102,WEEKNUM(A$2:A102,2),WEEKNUM(A102,2)),K102))</f>
        <v/>
      </c>
      <c r="N102" s="100" t="str">
        <f aca="false">IF($A102="","",IFERROR(COUNTIFS(A$2:A102,"&lt;&gt;",L$2:L102,"达标",WEEKNUM(A$2:A102,2),WEEKNUM(A102,2)),0))</f>
        <v/>
      </c>
      <c r="O102" s="97" t="str">
        <f aca="false">IF($A102="","",IF(L102="达标",IF(ROW()=2,1,IF(O101="",1,O101+1)),0))</f>
        <v/>
      </c>
      <c r="P102" s="98" t="str">
        <f aca="false">IF($A102="","",IF(ROW()&lt;=8,"基准周",IF(K102&gt;75,"改善",IF(K102&lt;60,"恶化","持平"))))</f>
        <v/>
      </c>
    </row>
    <row r="103" customFormat="false" ht="15" hidden="false" customHeight="true" outlineLevel="0" collapsed="false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97" t="str">
        <f aca="false">IF($A103="","",IF(B103=0,20,IF(B103=1,15,IF(B103=2,10,IF(B103=3,5,0))))+IF(C103="否",20,0)+IF(D103="是",20,0)+IF(E103=1,20,IF(E103=2,15,IF(E103=3,10,IF(E103=4,5,0))))+IF(F103="否",20,0))</f>
        <v/>
      </c>
      <c r="L103" s="98" t="str">
        <f aca="false">IF($A103="","",IF(K103&gt;=80,"达标","未达标"))</f>
        <v/>
      </c>
      <c r="M103" s="99" t="str">
        <f aca="false">IF($A103="","",IFERROR(AVERAGEIFS(K$2:K103,WEEKNUM(A$2:A103,2),WEEKNUM(A103,2)),K103))</f>
        <v/>
      </c>
      <c r="N103" s="100" t="str">
        <f aca="false">IF($A103="","",IFERROR(COUNTIFS(A$2:A103,"&lt;&gt;",L$2:L103,"达标",WEEKNUM(A$2:A103,2),WEEKNUM(A103,2)),0))</f>
        <v/>
      </c>
      <c r="O103" s="97" t="str">
        <f aca="false">IF($A103="","",IF(L103="达标",IF(ROW()=2,1,IF(O102="",1,O102+1)),0))</f>
        <v/>
      </c>
      <c r="P103" s="98" t="str">
        <f aca="false">IF($A103="","",IF(ROW()&lt;=8,"基准周",IF(K103&gt;75,"改善",IF(K103&lt;60,"恶化","持平"))))</f>
        <v/>
      </c>
    </row>
    <row r="104" customFormat="false" ht="15" hidden="false" customHeight="true" outlineLevel="0" collapsed="false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7" t="str">
        <f aca="false">IF($A104="","",IF(B104=0,20,IF(B104=1,15,IF(B104=2,10,IF(B104=3,5,0))))+IF(C104="否",20,0)+IF(D104="是",20,0)+IF(E104=1,20,IF(E104=2,15,IF(E104=3,10,IF(E104=4,5,0))))+IF(F104="否",20,0))</f>
        <v/>
      </c>
      <c r="L104" s="98" t="str">
        <f aca="false">IF($A104="","",IF(K104&gt;=80,"达标","未达标"))</f>
        <v/>
      </c>
      <c r="M104" s="99" t="str">
        <f aca="false">IF($A104="","",IFERROR(AVERAGEIFS(K$2:K104,WEEKNUM(A$2:A104,2),WEEKNUM(A104,2)),K104))</f>
        <v/>
      </c>
      <c r="N104" s="100" t="str">
        <f aca="false">IF($A104="","",IFERROR(COUNTIFS(A$2:A104,"&lt;&gt;",L$2:L104,"达标",WEEKNUM(A$2:A104,2),WEEKNUM(A104,2)),0))</f>
        <v/>
      </c>
      <c r="O104" s="97" t="str">
        <f aca="false">IF($A104="","",IF(L104="达标",IF(ROW()=2,1,IF(O103="",1,O103+1)),0))</f>
        <v/>
      </c>
      <c r="P104" s="98" t="str">
        <f aca="false">IF($A104="","",IF(ROW()&lt;=8,"基准周",IF(K104&gt;75,"改善",IF(K104&lt;60,"恶化","持平"))))</f>
        <v/>
      </c>
    </row>
    <row r="105" customFormat="false" ht="15" hidden="false" customHeight="true" outlineLevel="0" collapsed="false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97" t="str">
        <f aca="false">IF($A105="","",IF(B105=0,20,IF(B105=1,15,IF(B105=2,10,IF(B105=3,5,0))))+IF(C105="否",20,0)+IF(D105="是",20,0)+IF(E105=1,20,IF(E105=2,15,IF(E105=3,10,IF(E105=4,5,0))))+IF(F105="否",20,0))</f>
        <v/>
      </c>
      <c r="L105" s="98" t="str">
        <f aca="false">IF($A105="","",IF(K105&gt;=80,"达标","未达标"))</f>
        <v/>
      </c>
      <c r="M105" s="99" t="str">
        <f aca="false">IF($A105="","",IFERROR(AVERAGEIFS(K$2:K105,WEEKNUM(A$2:A105,2),WEEKNUM(A105,2)),K105))</f>
        <v/>
      </c>
      <c r="N105" s="100" t="str">
        <f aca="false">IF($A105="","",IFERROR(COUNTIFS(A$2:A105,"&lt;&gt;",L$2:L105,"达标",WEEKNUM(A$2:A105,2),WEEKNUM(A105,2)),0))</f>
        <v/>
      </c>
      <c r="O105" s="97" t="str">
        <f aca="false">IF($A105="","",IF(L105="达标",IF(ROW()=2,1,IF(O104="",1,O104+1)),0))</f>
        <v/>
      </c>
      <c r="P105" s="98" t="str">
        <f aca="false">IF($A105="","",IF(ROW()&lt;=8,"基准周",IF(K105&gt;75,"改善",IF(K105&lt;60,"恶化","持平"))))</f>
        <v/>
      </c>
    </row>
    <row r="106" customFormat="false" ht="15" hidden="false" customHeight="true" outlineLevel="0" collapsed="false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7" t="str">
        <f aca="false">IF($A106="","",IF(B106=0,20,IF(B106=1,15,IF(B106=2,10,IF(B106=3,5,0))))+IF(C106="否",20,0)+IF(D106="是",20,0)+IF(E106=1,20,IF(E106=2,15,IF(E106=3,10,IF(E106=4,5,0))))+IF(F106="否",20,0))</f>
        <v/>
      </c>
      <c r="L106" s="98" t="str">
        <f aca="false">IF($A106="","",IF(K106&gt;=80,"达标","未达标"))</f>
        <v/>
      </c>
      <c r="M106" s="99" t="str">
        <f aca="false">IF($A106="","",IFERROR(AVERAGEIFS(K$2:K106,WEEKNUM(A$2:A106,2),WEEKNUM(A106,2)),K106))</f>
        <v/>
      </c>
      <c r="N106" s="100" t="str">
        <f aca="false">IF($A106="","",IFERROR(COUNTIFS(A$2:A106,"&lt;&gt;",L$2:L106,"达标",WEEKNUM(A$2:A106,2),WEEKNUM(A106,2)),0))</f>
        <v/>
      </c>
      <c r="O106" s="97" t="str">
        <f aca="false">IF($A106="","",IF(L106="达标",IF(ROW()=2,1,IF(O105="",1,O105+1)),0))</f>
        <v/>
      </c>
      <c r="P106" s="98" t="str">
        <f aca="false">IF($A106="","",IF(ROW()&lt;=8,"基准周",IF(K106&gt;75,"改善",IF(K106&lt;60,"恶化","持平"))))</f>
        <v/>
      </c>
    </row>
    <row r="107" customFormat="false" ht="15" hidden="false" customHeight="true" outlineLevel="0" collapsed="false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97" t="str">
        <f aca="false">IF($A107="","",IF(B107=0,20,IF(B107=1,15,IF(B107=2,10,IF(B107=3,5,0))))+IF(C107="否",20,0)+IF(D107="是",20,0)+IF(E107=1,20,IF(E107=2,15,IF(E107=3,10,IF(E107=4,5,0))))+IF(F107="否",20,0))</f>
        <v/>
      </c>
      <c r="L107" s="98" t="str">
        <f aca="false">IF($A107="","",IF(K107&gt;=80,"达标","未达标"))</f>
        <v/>
      </c>
      <c r="M107" s="99" t="str">
        <f aca="false">IF($A107="","",IFERROR(AVERAGEIFS(K$2:K107,WEEKNUM(A$2:A107,2),WEEKNUM(A107,2)),K107))</f>
        <v/>
      </c>
      <c r="N107" s="100" t="str">
        <f aca="false">IF($A107="","",IFERROR(COUNTIFS(A$2:A107,"&lt;&gt;",L$2:L107,"达标",WEEKNUM(A$2:A107,2),WEEKNUM(A107,2)),0))</f>
        <v/>
      </c>
      <c r="O107" s="97" t="str">
        <f aca="false">IF($A107="","",IF(L107="达标",IF(ROW()=2,1,IF(O106="",1,O106+1)),0))</f>
        <v/>
      </c>
      <c r="P107" s="98" t="str">
        <f aca="false">IF($A107="","",IF(ROW()&lt;=8,"基准周",IF(K107&gt;75,"改善",IF(K107&lt;60,"恶化","持平"))))</f>
        <v/>
      </c>
    </row>
    <row r="108" customFormat="false" ht="15" hidden="false" customHeight="true" outlineLevel="0" collapsed="false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7" t="str">
        <f aca="false">IF($A108="","",IF(B108=0,20,IF(B108=1,15,IF(B108=2,10,IF(B108=3,5,0))))+IF(C108="否",20,0)+IF(D108="是",20,0)+IF(E108=1,20,IF(E108=2,15,IF(E108=3,10,IF(E108=4,5,0))))+IF(F108="否",20,0))</f>
        <v/>
      </c>
      <c r="L108" s="98" t="str">
        <f aca="false">IF($A108="","",IF(K108&gt;=80,"达标","未达标"))</f>
        <v/>
      </c>
      <c r="M108" s="99" t="str">
        <f aca="false">IF($A108="","",IFERROR(AVERAGEIFS(K$2:K108,WEEKNUM(A$2:A108,2),WEEKNUM(A108,2)),K108))</f>
        <v/>
      </c>
      <c r="N108" s="100" t="str">
        <f aca="false">IF($A108="","",IFERROR(COUNTIFS(A$2:A108,"&lt;&gt;",L$2:L108,"达标",WEEKNUM(A$2:A108,2),WEEKNUM(A108,2)),0))</f>
        <v/>
      </c>
      <c r="O108" s="97" t="str">
        <f aca="false">IF($A108="","",IF(L108="达标",IF(ROW()=2,1,IF(O107="",1,O107+1)),0))</f>
        <v/>
      </c>
      <c r="P108" s="98" t="str">
        <f aca="false">IF($A108="","",IF(ROW()&lt;=8,"基准周",IF(K108&gt;75,"改善",IF(K108&lt;60,"恶化","持平"))))</f>
        <v/>
      </c>
    </row>
    <row r="109" customFormat="false" ht="15" hidden="false" customHeight="true" outlineLevel="0" collapsed="false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97" t="str">
        <f aca="false">IF($A109="","",IF(B109=0,20,IF(B109=1,15,IF(B109=2,10,IF(B109=3,5,0))))+IF(C109="否",20,0)+IF(D109="是",20,0)+IF(E109=1,20,IF(E109=2,15,IF(E109=3,10,IF(E109=4,5,0))))+IF(F109="否",20,0))</f>
        <v/>
      </c>
      <c r="L109" s="98" t="str">
        <f aca="false">IF($A109="","",IF(K109&gt;=80,"达标","未达标"))</f>
        <v/>
      </c>
      <c r="M109" s="99" t="str">
        <f aca="false">IF($A109="","",IFERROR(AVERAGEIFS(K$2:K109,WEEKNUM(A$2:A109,2),WEEKNUM(A109,2)),K109))</f>
        <v/>
      </c>
      <c r="N109" s="100" t="str">
        <f aca="false">IF($A109="","",IFERROR(COUNTIFS(A$2:A109,"&lt;&gt;",L$2:L109,"达标",WEEKNUM(A$2:A109,2),WEEKNUM(A109,2)),0))</f>
        <v/>
      </c>
      <c r="O109" s="97" t="str">
        <f aca="false">IF($A109="","",IF(L109="达标",IF(ROW()=2,1,IF(O108="",1,O108+1)),0))</f>
        <v/>
      </c>
      <c r="P109" s="98" t="str">
        <f aca="false">IF($A109="","",IF(ROW()&lt;=8,"基准周",IF(K109&gt;75,"改善",IF(K109&lt;60,"恶化","持平"))))</f>
        <v/>
      </c>
    </row>
    <row r="110" customFormat="false" ht="15" hidden="false" customHeight="true" outlineLevel="0" collapsed="false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7" t="str">
        <f aca="false">IF($A110="","",IF(B110=0,20,IF(B110=1,15,IF(B110=2,10,IF(B110=3,5,0))))+IF(C110="否",20,0)+IF(D110="是",20,0)+IF(E110=1,20,IF(E110=2,15,IF(E110=3,10,IF(E110=4,5,0))))+IF(F110="否",20,0))</f>
        <v/>
      </c>
      <c r="L110" s="98" t="str">
        <f aca="false">IF($A110="","",IF(K110&gt;=80,"达标","未达标"))</f>
        <v/>
      </c>
      <c r="M110" s="99" t="str">
        <f aca="false">IF($A110="","",IFERROR(AVERAGEIFS(K$2:K110,WEEKNUM(A$2:A110,2),WEEKNUM(A110,2)),K110))</f>
        <v/>
      </c>
      <c r="N110" s="100" t="str">
        <f aca="false">IF($A110="","",IFERROR(COUNTIFS(A$2:A110,"&lt;&gt;",L$2:L110,"达标",WEEKNUM(A$2:A110,2),WEEKNUM(A110,2)),0))</f>
        <v/>
      </c>
      <c r="O110" s="97" t="str">
        <f aca="false">IF($A110="","",IF(L110="达标",IF(ROW()=2,1,IF(O109="",1,O109+1)),0))</f>
        <v/>
      </c>
      <c r="P110" s="98" t="str">
        <f aca="false">IF($A110="","",IF(ROW()&lt;=8,"基准周",IF(K110&gt;75,"改善",IF(K110&lt;60,"恶化","持平"))))</f>
        <v/>
      </c>
    </row>
    <row r="111" customFormat="false" ht="15" hidden="false" customHeight="true" outlineLevel="0" collapsed="false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97" t="str">
        <f aca="false">IF($A111="","",IF(B111=0,20,IF(B111=1,15,IF(B111=2,10,IF(B111=3,5,0))))+IF(C111="否",20,0)+IF(D111="是",20,0)+IF(E111=1,20,IF(E111=2,15,IF(E111=3,10,IF(E111=4,5,0))))+IF(F111="否",20,0))</f>
        <v/>
      </c>
      <c r="L111" s="98" t="str">
        <f aca="false">IF($A111="","",IF(K111&gt;=80,"达标","未达标"))</f>
        <v/>
      </c>
      <c r="M111" s="99" t="str">
        <f aca="false">IF($A111="","",IFERROR(AVERAGEIFS(K$2:K111,WEEKNUM(A$2:A111,2),WEEKNUM(A111,2)),K111))</f>
        <v/>
      </c>
      <c r="N111" s="100" t="str">
        <f aca="false">IF($A111="","",IFERROR(COUNTIFS(A$2:A111,"&lt;&gt;",L$2:L111,"达标",WEEKNUM(A$2:A111,2),WEEKNUM(A111,2)),0))</f>
        <v/>
      </c>
      <c r="O111" s="97" t="str">
        <f aca="false">IF($A111="","",IF(L111="达标",IF(ROW()=2,1,IF(O110="",1,O110+1)),0))</f>
        <v/>
      </c>
      <c r="P111" s="98" t="str">
        <f aca="false">IF($A111="","",IF(ROW()&lt;=8,"基准周",IF(K111&gt;75,"改善",IF(K111&lt;60,"恶化","持平"))))</f>
        <v/>
      </c>
    </row>
    <row r="112" customFormat="false" ht="15" hidden="false" customHeight="true" outlineLevel="0" collapsed="false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7" t="str">
        <f aca="false">IF($A112="","",IF(B112=0,20,IF(B112=1,15,IF(B112=2,10,IF(B112=3,5,0))))+IF(C112="否",20,0)+IF(D112="是",20,0)+IF(E112=1,20,IF(E112=2,15,IF(E112=3,10,IF(E112=4,5,0))))+IF(F112="否",20,0))</f>
        <v/>
      </c>
      <c r="L112" s="98" t="str">
        <f aca="false">IF($A112="","",IF(K112&gt;=80,"达标","未达标"))</f>
        <v/>
      </c>
      <c r="M112" s="99" t="str">
        <f aca="false">IF($A112="","",IFERROR(AVERAGEIFS(K$2:K112,WEEKNUM(A$2:A112,2),WEEKNUM(A112,2)),K112))</f>
        <v/>
      </c>
      <c r="N112" s="100" t="str">
        <f aca="false">IF($A112="","",IFERROR(COUNTIFS(A$2:A112,"&lt;&gt;",L$2:L112,"达标",WEEKNUM(A$2:A112,2),WEEKNUM(A112,2)),0))</f>
        <v/>
      </c>
      <c r="O112" s="97" t="str">
        <f aca="false">IF($A112="","",IF(L112="达标",IF(ROW()=2,1,IF(O111="",1,O111+1)),0))</f>
        <v/>
      </c>
      <c r="P112" s="98" t="str">
        <f aca="false">IF($A112="","",IF(ROW()&lt;=8,"基准周",IF(K112&gt;75,"改善",IF(K112&lt;60,"恶化","持平"))))</f>
        <v/>
      </c>
    </row>
    <row r="113" customFormat="false" ht="15" hidden="false" customHeight="true" outlineLevel="0" collapsed="false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97" t="str">
        <f aca="false">IF($A113="","",IF(B113=0,20,IF(B113=1,15,IF(B113=2,10,IF(B113=3,5,0))))+IF(C113="否",20,0)+IF(D113="是",20,0)+IF(E113=1,20,IF(E113=2,15,IF(E113=3,10,IF(E113=4,5,0))))+IF(F113="否",20,0))</f>
        <v/>
      </c>
      <c r="L113" s="98" t="str">
        <f aca="false">IF($A113="","",IF(K113&gt;=80,"达标","未达标"))</f>
        <v/>
      </c>
      <c r="M113" s="99" t="str">
        <f aca="false">IF($A113="","",IFERROR(AVERAGEIFS(K$2:K113,WEEKNUM(A$2:A113,2),WEEKNUM(A113,2)),K113))</f>
        <v/>
      </c>
      <c r="N113" s="100" t="str">
        <f aca="false">IF($A113="","",IFERROR(COUNTIFS(A$2:A113,"&lt;&gt;",L$2:L113,"达标",WEEKNUM(A$2:A113,2),WEEKNUM(A113,2)),0))</f>
        <v/>
      </c>
      <c r="O113" s="97" t="str">
        <f aca="false">IF($A113="","",IF(L113="达标",IF(ROW()=2,1,IF(O112="",1,O112+1)),0))</f>
        <v/>
      </c>
      <c r="P113" s="98" t="str">
        <f aca="false">IF($A113="","",IF(ROW()&lt;=8,"基准周",IF(K113&gt;75,"改善",IF(K113&lt;60,"恶化","持平"))))</f>
        <v/>
      </c>
    </row>
    <row r="114" customFormat="false" ht="15" hidden="false" customHeight="true" outlineLevel="0" collapsed="false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7" t="str">
        <f aca="false">IF($A114="","",IF(B114=0,20,IF(B114=1,15,IF(B114=2,10,IF(B114=3,5,0))))+IF(C114="否",20,0)+IF(D114="是",20,0)+IF(E114=1,20,IF(E114=2,15,IF(E114=3,10,IF(E114=4,5,0))))+IF(F114="否",20,0))</f>
        <v/>
      </c>
      <c r="L114" s="98" t="str">
        <f aca="false">IF($A114="","",IF(K114&gt;=80,"达标","未达标"))</f>
        <v/>
      </c>
      <c r="M114" s="99" t="str">
        <f aca="false">IF($A114="","",IFERROR(AVERAGEIFS(K$2:K114,WEEKNUM(A$2:A114,2),WEEKNUM(A114,2)),K114))</f>
        <v/>
      </c>
      <c r="N114" s="100" t="str">
        <f aca="false">IF($A114="","",IFERROR(COUNTIFS(A$2:A114,"&lt;&gt;",L$2:L114,"达标",WEEKNUM(A$2:A114,2),WEEKNUM(A114,2)),0))</f>
        <v/>
      </c>
      <c r="O114" s="97" t="str">
        <f aca="false">IF($A114="","",IF(L114="达标",IF(ROW()=2,1,IF(O113="",1,O113+1)),0))</f>
        <v/>
      </c>
      <c r="P114" s="98" t="str">
        <f aca="false">IF($A114="","",IF(ROW()&lt;=8,"基准周",IF(K114&gt;75,"改善",IF(K114&lt;60,"恶化","持平"))))</f>
        <v/>
      </c>
    </row>
    <row r="115" customFormat="false" ht="15" hidden="false" customHeight="true" outlineLevel="0" collapsed="false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97" t="str">
        <f aca="false">IF($A115="","",IF(B115=0,20,IF(B115=1,15,IF(B115=2,10,IF(B115=3,5,0))))+IF(C115="否",20,0)+IF(D115="是",20,0)+IF(E115=1,20,IF(E115=2,15,IF(E115=3,10,IF(E115=4,5,0))))+IF(F115="否",20,0))</f>
        <v/>
      </c>
      <c r="L115" s="98" t="str">
        <f aca="false">IF($A115="","",IF(K115&gt;=80,"达标","未达标"))</f>
        <v/>
      </c>
      <c r="M115" s="99" t="str">
        <f aca="false">IF($A115="","",IFERROR(AVERAGEIFS(K$2:K115,WEEKNUM(A$2:A115,2),WEEKNUM(A115,2)),K115))</f>
        <v/>
      </c>
      <c r="N115" s="100" t="str">
        <f aca="false">IF($A115="","",IFERROR(COUNTIFS(A$2:A115,"&lt;&gt;",L$2:L115,"达标",WEEKNUM(A$2:A115,2),WEEKNUM(A115,2)),0))</f>
        <v/>
      </c>
      <c r="O115" s="97" t="str">
        <f aca="false">IF($A115="","",IF(L115="达标",IF(ROW()=2,1,IF(O114="",1,O114+1)),0))</f>
        <v/>
      </c>
      <c r="P115" s="98" t="str">
        <f aca="false">IF($A115="","",IF(ROW()&lt;=8,"基准周",IF(K115&gt;75,"改善",IF(K115&lt;60,"恶化","持平"))))</f>
        <v/>
      </c>
    </row>
    <row r="116" customFormat="false" ht="15" hidden="false" customHeight="true" outlineLevel="0" collapsed="false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7" t="str">
        <f aca="false">IF($A116="","",IF(B116=0,20,IF(B116=1,15,IF(B116=2,10,IF(B116=3,5,0))))+IF(C116="否",20,0)+IF(D116="是",20,0)+IF(E116=1,20,IF(E116=2,15,IF(E116=3,10,IF(E116=4,5,0))))+IF(F116="否",20,0))</f>
        <v/>
      </c>
      <c r="L116" s="98" t="str">
        <f aca="false">IF($A116="","",IF(K116&gt;=80,"达标","未达标"))</f>
        <v/>
      </c>
      <c r="M116" s="99" t="str">
        <f aca="false">IF($A116="","",IFERROR(AVERAGEIFS(K$2:K116,WEEKNUM(A$2:A116,2),WEEKNUM(A116,2)),K116))</f>
        <v/>
      </c>
      <c r="N116" s="100" t="str">
        <f aca="false">IF($A116="","",IFERROR(COUNTIFS(A$2:A116,"&lt;&gt;",L$2:L116,"达标",WEEKNUM(A$2:A116,2),WEEKNUM(A116,2)),0))</f>
        <v/>
      </c>
      <c r="O116" s="97" t="str">
        <f aca="false">IF($A116="","",IF(L116="达标",IF(ROW()=2,1,IF(O115="",1,O115+1)),0))</f>
        <v/>
      </c>
      <c r="P116" s="98" t="str">
        <f aca="false">IF($A116="","",IF(ROW()&lt;=8,"基准周",IF(K116&gt;75,"改善",IF(K116&lt;60,"恶化","持平"))))</f>
        <v/>
      </c>
    </row>
    <row r="117" customFormat="false" ht="15" hidden="false" customHeight="true" outlineLevel="0" collapsed="false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97" t="str">
        <f aca="false">IF($A117="","",IF(B117=0,20,IF(B117=1,15,IF(B117=2,10,IF(B117=3,5,0))))+IF(C117="否",20,0)+IF(D117="是",20,0)+IF(E117=1,20,IF(E117=2,15,IF(E117=3,10,IF(E117=4,5,0))))+IF(F117="否",20,0))</f>
        <v/>
      </c>
      <c r="L117" s="98" t="str">
        <f aca="false">IF($A117="","",IF(K117&gt;=80,"达标","未达标"))</f>
        <v/>
      </c>
      <c r="M117" s="99" t="str">
        <f aca="false">IF($A117="","",IFERROR(AVERAGEIFS(K$2:K117,WEEKNUM(A$2:A117,2),WEEKNUM(A117,2)),K117))</f>
        <v/>
      </c>
      <c r="N117" s="100" t="str">
        <f aca="false">IF($A117="","",IFERROR(COUNTIFS(A$2:A117,"&lt;&gt;",L$2:L117,"达标",WEEKNUM(A$2:A117,2),WEEKNUM(A117,2)),0))</f>
        <v/>
      </c>
      <c r="O117" s="97" t="str">
        <f aca="false">IF($A117="","",IF(L117="达标",IF(ROW()=2,1,IF(O116="",1,O116+1)),0))</f>
        <v/>
      </c>
      <c r="P117" s="98" t="str">
        <f aca="false">IF($A117="","",IF(ROW()&lt;=8,"基准周",IF(K117&gt;75,"改善",IF(K117&lt;60,"恶化","持平"))))</f>
        <v/>
      </c>
    </row>
    <row r="118" customFormat="false" ht="15" hidden="false" customHeight="true" outlineLevel="0" collapsed="false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7" t="str">
        <f aca="false">IF($A118="","",IF(B118=0,20,IF(B118=1,15,IF(B118=2,10,IF(B118=3,5,0))))+IF(C118="否",20,0)+IF(D118="是",20,0)+IF(E118=1,20,IF(E118=2,15,IF(E118=3,10,IF(E118=4,5,0))))+IF(F118="否",20,0))</f>
        <v/>
      </c>
      <c r="L118" s="98" t="str">
        <f aca="false">IF($A118="","",IF(K118&gt;=80,"达标","未达标"))</f>
        <v/>
      </c>
      <c r="M118" s="99" t="str">
        <f aca="false">IF($A118="","",IFERROR(AVERAGEIFS(K$2:K118,WEEKNUM(A$2:A118,2),WEEKNUM(A118,2)),K118))</f>
        <v/>
      </c>
      <c r="N118" s="100" t="str">
        <f aca="false">IF($A118="","",IFERROR(COUNTIFS(A$2:A118,"&lt;&gt;",L$2:L118,"达标",WEEKNUM(A$2:A118,2),WEEKNUM(A118,2)),0))</f>
        <v/>
      </c>
      <c r="O118" s="97" t="str">
        <f aca="false">IF($A118="","",IF(L118="达标",IF(ROW()=2,1,IF(O117="",1,O117+1)),0))</f>
        <v/>
      </c>
      <c r="P118" s="98" t="str">
        <f aca="false">IF($A118="","",IF(ROW()&lt;=8,"基准周",IF(K118&gt;75,"改善",IF(K118&lt;60,"恶化","持平"))))</f>
        <v/>
      </c>
    </row>
    <row r="119" customFormat="false" ht="15" hidden="false" customHeight="true" outlineLevel="0" collapsed="false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97" t="str">
        <f aca="false">IF($A119="","",IF(B119=0,20,IF(B119=1,15,IF(B119=2,10,IF(B119=3,5,0))))+IF(C119="否",20,0)+IF(D119="是",20,0)+IF(E119=1,20,IF(E119=2,15,IF(E119=3,10,IF(E119=4,5,0))))+IF(F119="否",20,0))</f>
        <v/>
      </c>
      <c r="L119" s="98" t="str">
        <f aca="false">IF($A119="","",IF(K119&gt;=80,"达标","未达标"))</f>
        <v/>
      </c>
      <c r="M119" s="99" t="str">
        <f aca="false">IF($A119="","",IFERROR(AVERAGEIFS(K$2:K119,WEEKNUM(A$2:A119,2),WEEKNUM(A119,2)),K119))</f>
        <v/>
      </c>
      <c r="N119" s="100" t="str">
        <f aca="false">IF($A119="","",IFERROR(COUNTIFS(A$2:A119,"&lt;&gt;",L$2:L119,"达标",WEEKNUM(A$2:A119,2),WEEKNUM(A119,2)),0))</f>
        <v/>
      </c>
      <c r="O119" s="97" t="str">
        <f aca="false">IF($A119="","",IF(L119="达标",IF(ROW()=2,1,IF(O118="",1,O118+1)),0))</f>
        <v/>
      </c>
      <c r="P119" s="98" t="str">
        <f aca="false">IF($A119="","",IF(ROW()&lt;=8,"基准周",IF(K119&gt;75,"改善",IF(K119&lt;60,"恶化","持平"))))</f>
        <v/>
      </c>
    </row>
    <row r="120" customFormat="false" ht="15" hidden="false" customHeight="true" outlineLevel="0" collapsed="false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7" t="str">
        <f aca="false">IF($A120="","",IF(B120=0,20,IF(B120=1,15,IF(B120=2,10,IF(B120=3,5,0))))+IF(C120="否",20,0)+IF(D120="是",20,0)+IF(E120=1,20,IF(E120=2,15,IF(E120=3,10,IF(E120=4,5,0))))+IF(F120="否",20,0))</f>
        <v/>
      </c>
      <c r="L120" s="98" t="str">
        <f aca="false">IF($A120="","",IF(K120&gt;=80,"达标","未达标"))</f>
        <v/>
      </c>
      <c r="M120" s="99" t="str">
        <f aca="false">IF($A120="","",IFERROR(AVERAGEIFS(K$2:K120,WEEKNUM(A$2:A120,2),WEEKNUM(A120,2)),K120))</f>
        <v/>
      </c>
      <c r="N120" s="100" t="str">
        <f aca="false">IF($A120="","",IFERROR(COUNTIFS(A$2:A120,"&lt;&gt;",L$2:L120,"达标",WEEKNUM(A$2:A120,2),WEEKNUM(A120,2)),0))</f>
        <v/>
      </c>
      <c r="O120" s="97" t="str">
        <f aca="false">IF($A120="","",IF(L120="达标",IF(ROW()=2,1,IF(O119="",1,O119+1)),0))</f>
        <v/>
      </c>
      <c r="P120" s="98" t="str">
        <f aca="false">IF($A120="","",IF(ROW()&lt;=8,"基准周",IF(K120&gt;75,"改善",IF(K120&lt;60,"恶化","持平"))))</f>
        <v/>
      </c>
    </row>
    <row r="121" customFormat="false" ht="15" hidden="false" customHeight="true" outlineLevel="0" collapsed="false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97" t="str">
        <f aca="false">IF($A121="","",IF(B121=0,20,IF(B121=1,15,IF(B121=2,10,IF(B121=3,5,0))))+IF(C121="否",20,0)+IF(D121="是",20,0)+IF(E121=1,20,IF(E121=2,15,IF(E121=3,10,IF(E121=4,5,0))))+IF(F121="否",20,0))</f>
        <v/>
      </c>
      <c r="L121" s="98" t="str">
        <f aca="false">IF($A121="","",IF(K121&gt;=80,"达标","未达标"))</f>
        <v/>
      </c>
      <c r="M121" s="99" t="str">
        <f aca="false">IF($A121="","",IFERROR(AVERAGEIFS(K$2:K121,WEEKNUM(A$2:A121,2),WEEKNUM(A121,2)),K121))</f>
        <v/>
      </c>
      <c r="N121" s="100" t="str">
        <f aca="false">IF($A121="","",IFERROR(COUNTIFS(A$2:A121,"&lt;&gt;",L$2:L121,"达标",WEEKNUM(A$2:A121,2),WEEKNUM(A121,2)),0))</f>
        <v/>
      </c>
      <c r="O121" s="97" t="str">
        <f aca="false">IF($A121="","",IF(L121="达标",IF(ROW()=2,1,IF(O120="",1,O120+1)),0))</f>
        <v/>
      </c>
      <c r="P121" s="98" t="str">
        <f aca="false">IF($A121="","",IF(ROW()&lt;=8,"基准周",IF(K121&gt;75,"改善",IF(K121&lt;60,"恶化","持平"))))</f>
        <v/>
      </c>
    </row>
    <row r="122" customFormat="false" ht="15" hidden="false" customHeight="true" outlineLevel="0" collapsed="false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7" t="str">
        <f aca="false">IF($A122="","",IF(B122=0,20,IF(B122=1,15,IF(B122=2,10,IF(B122=3,5,0))))+IF(C122="否",20,0)+IF(D122="是",20,0)+IF(E122=1,20,IF(E122=2,15,IF(E122=3,10,IF(E122=4,5,0))))+IF(F122="否",20,0))</f>
        <v/>
      </c>
      <c r="L122" s="98" t="str">
        <f aca="false">IF($A122="","",IF(K122&gt;=80,"达标","未达标"))</f>
        <v/>
      </c>
      <c r="M122" s="99" t="str">
        <f aca="false">IF($A122="","",IFERROR(AVERAGEIFS(K$2:K122,WEEKNUM(A$2:A122,2),WEEKNUM(A122,2)),K122))</f>
        <v/>
      </c>
      <c r="N122" s="100" t="str">
        <f aca="false">IF($A122="","",IFERROR(COUNTIFS(A$2:A122,"&lt;&gt;",L$2:L122,"达标",WEEKNUM(A$2:A122,2),WEEKNUM(A122,2)),0))</f>
        <v/>
      </c>
      <c r="O122" s="97" t="str">
        <f aca="false">IF($A122="","",IF(L122="达标",IF(ROW()=2,1,IF(O121="",1,O121+1)),0))</f>
        <v/>
      </c>
      <c r="P122" s="98" t="str">
        <f aca="false">IF($A122="","",IF(ROW()&lt;=8,"基准周",IF(K122&gt;75,"改善",IF(K122&lt;60,"恶化","持平"))))</f>
        <v/>
      </c>
    </row>
    <row r="123" customFormat="false" ht="15" hidden="false" customHeight="true" outlineLevel="0" collapsed="false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97" t="str">
        <f aca="false">IF($A123="","",IF(B123=0,20,IF(B123=1,15,IF(B123=2,10,IF(B123=3,5,0))))+IF(C123="否",20,0)+IF(D123="是",20,0)+IF(E123=1,20,IF(E123=2,15,IF(E123=3,10,IF(E123=4,5,0))))+IF(F123="否",20,0))</f>
        <v/>
      </c>
      <c r="L123" s="98" t="str">
        <f aca="false">IF($A123="","",IF(K123&gt;=80,"达标","未达标"))</f>
        <v/>
      </c>
      <c r="M123" s="99" t="str">
        <f aca="false">IF($A123="","",IFERROR(AVERAGEIFS(K$2:K123,WEEKNUM(A$2:A123,2),WEEKNUM(A123,2)),K123))</f>
        <v/>
      </c>
      <c r="N123" s="100" t="str">
        <f aca="false">IF($A123="","",IFERROR(COUNTIFS(A$2:A123,"&lt;&gt;",L$2:L123,"达标",WEEKNUM(A$2:A123,2),WEEKNUM(A123,2)),0))</f>
        <v/>
      </c>
      <c r="O123" s="97" t="str">
        <f aca="false">IF($A123="","",IF(L123="达标",IF(ROW()=2,1,IF(O122="",1,O122+1)),0))</f>
        <v/>
      </c>
      <c r="P123" s="98" t="str">
        <f aca="false">IF($A123="","",IF(ROW()&lt;=8,"基准周",IF(K123&gt;75,"改善",IF(K123&lt;60,"恶化","持平"))))</f>
        <v/>
      </c>
    </row>
    <row r="124" customFormat="false" ht="15" hidden="false" customHeight="true" outlineLevel="0" collapsed="false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7" t="str">
        <f aca="false">IF($A124="","",IF(B124=0,20,IF(B124=1,15,IF(B124=2,10,IF(B124=3,5,0))))+IF(C124="否",20,0)+IF(D124="是",20,0)+IF(E124=1,20,IF(E124=2,15,IF(E124=3,10,IF(E124=4,5,0))))+IF(F124="否",20,0))</f>
        <v/>
      </c>
      <c r="L124" s="98" t="str">
        <f aca="false">IF($A124="","",IF(K124&gt;=80,"达标","未达标"))</f>
        <v/>
      </c>
      <c r="M124" s="99" t="str">
        <f aca="false">IF($A124="","",IFERROR(AVERAGEIFS(K$2:K124,WEEKNUM(A$2:A124,2),WEEKNUM(A124,2)),K124))</f>
        <v/>
      </c>
      <c r="N124" s="100" t="str">
        <f aca="false">IF($A124="","",IFERROR(COUNTIFS(A$2:A124,"&lt;&gt;",L$2:L124,"达标",WEEKNUM(A$2:A124,2),WEEKNUM(A124,2)),0))</f>
        <v/>
      </c>
      <c r="O124" s="97" t="str">
        <f aca="false">IF($A124="","",IF(L124="达标",IF(ROW()=2,1,IF(O123="",1,O123+1)),0))</f>
        <v/>
      </c>
      <c r="P124" s="98" t="str">
        <f aca="false">IF($A124="","",IF(ROW()&lt;=8,"基准周",IF(K124&gt;75,"改善",IF(K124&lt;60,"恶化","持平"))))</f>
        <v/>
      </c>
    </row>
    <row r="125" customFormat="false" ht="15" hidden="false" customHeight="true" outlineLevel="0" collapsed="false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97" t="str">
        <f aca="false">IF($A125="","",IF(B125=0,20,IF(B125=1,15,IF(B125=2,10,IF(B125=3,5,0))))+IF(C125="否",20,0)+IF(D125="是",20,0)+IF(E125=1,20,IF(E125=2,15,IF(E125=3,10,IF(E125=4,5,0))))+IF(F125="否",20,0))</f>
        <v/>
      </c>
      <c r="L125" s="98" t="str">
        <f aca="false">IF($A125="","",IF(K125&gt;=80,"达标","未达标"))</f>
        <v/>
      </c>
      <c r="M125" s="99" t="str">
        <f aca="false">IF($A125="","",IFERROR(AVERAGEIFS(K$2:K125,WEEKNUM(A$2:A125,2),WEEKNUM(A125,2)),K125))</f>
        <v/>
      </c>
      <c r="N125" s="100" t="str">
        <f aca="false">IF($A125="","",IFERROR(COUNTIFS(A$2:A125,"&lt;&gt;",L$2:L125,"达标",WEEKNUM(A$2:A125,2),WEEKNUM(A125,2)),0))</f>
        <v/>
      </c>
      <c r="O125" s="97" t="str">
        <f aca="false">IF($A125="","",IF(L125="达标",IF(ROW()=2,1,IF(O124="",1,O124+1)),0))</f>
        <v/>
      </c>
      <c r="P125" s="98" t="str">
        <f aca="false">IF($A125="","",IF(ROW()&lt;=8,"基准周",IF(K125&gt;75,"改善",IF(K125&lt;60,"恶化","持平"))))</f>
        <v/>
      </c>
    </row>
    <row r="126" customFormat="false" ht="15" hidden="false" customHeight="true" outlineLevel="0" collapsed="false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7" t="str">
        <f aca="false">IF($A126="","",IF(B126=0,20,IF(B126=1,15,IF(B126=2,10,IF(B126=3,5,0))))+IF(C126="否",20,0)+IF(D126="是",20,0)+IF(E126=1,20,IF(E126=2,15,IF(E126=3,10,IF(E126=4,5,0))))+IF(F126="否",20,0))</f>
        <v/>
      </c>
      <c r="L126" s="98" t="str">
        <f aca="false">IF($A126="","",IF(K126&gt;=80,"达标","未达标"))</f>
        <v/>
      </c>
      <c r="M126" s="99" t="str">
        <f aca="false">IF($A126="","",IFERROR(AVERAGEIFS(K$2:K126,WEEKNUM(A$2:A126,2),WEEKNUM(A126,2)),K126))</f>
        <v/>
      </c>
      <c r="N126" s="100" t="str">
        <f aca="false">IF($A126="","",IFERROR(COUNTIFS(A$2:A126,"&lt;&gt;",L$2:L126,"达标",WEEKNUM(A$2:A126,2),WEEKNUM(A126,2)),0))</f>
        <v/>
      </c>
      <c r="O126" s="97" t="str">
        <f aca="false">IF($A126="","",IF(L126="达标",IF(ROW()=2,1,IF(O125="",1,O125+1)),0))</f>
        <v/>
      </c>
      <c r="P126" s="98" t="str">
        <f aca="false">IF($A126="","",IF(ROW()&lt;=8,"基准周",IF(K126&gt;75,"改善",IF(K126&lt;60,"恶化","持平"))))</f>
        <v/>
      </c>
    </row>
    <row r="127" customFormat="false" ht="15" hidden="false" customHeight="true" outlineLevel="0" collapsed="false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97" t="str">
        <f aca="false">IF($A127="","",IF(B127=0,20,IF(B127=1,15,IF(B127=2,10,IF(B127=3,5,0))))+IF(C127="否",20,0)+IF(D127="是",20,0)+IF(E127=1,20,IF(E127=2,15,IF(E127=3,10,IF(E127=4,5,0))))+IF(F127="否",20,0))</f>
        <v/>
      </c>
      <c r="L127" s="98" t="str">
        <f aca="false">IF($A127="","",IF(K127&gt;=80,"达标","未达标"))</f>
        <v/>
      </c>
      <c r="M127" s="99" t="str">
        <f aca="false">IF($A127="","",IFERROR(AVERAGEIFS(K$2:K127,WEEKNUM(A$2:A127,2),WEEKNUM(A127,2)),K127))</f>
        <v/>
      </c>
      <c r="N127" s="100" t="str">
        <f aca="false">IF($A127="","",IFERROR(COUNTIFS(A$2:A127,"&lt;&gt;",L$2:L127,"达标",WEEKNUM(A$2:A127,2),WEEKNUM(A127,2)),0))</f>
        <v/>
      </c>
      <c r="O127" s="97" t="str">
        <f aca="false">IF($A127="","",IF(L127="达标",IF(ROW()=2,1,IF(O126="",1,O126+1)),0))</f>
        <v/>
      </c>
      <c r="P127" s="98" t="str">
        <f aca="false">IF($A127="","",IF(ROW()&lt;=8,"基准周",IF(K127&gt;75,"改善",IF(K127&lt;60,"恶化","持平"))))</f>
        <v/>
      </c>
    </row>
    <row r="128" customFormat="false" ht="15" hidden="false" customHeight="true" outlineLevel="0" collapsed="false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7" t="str">
        <f aca="false">IF($A128="","",IF(B128=0,20,IF(B128=1,15,IF(B128=2,10,IF(B128=3,5,0))))+IF(C128="否",20,0)+IF(D128="是",20,0)+IF(E128=1,20,IF(E128=2,15,IF(E128=3,10,IF(E128=4,5,0))))+IF(F128="否",20,0))</f>
        <v/>
      </c>
      <c r="L128" s="98" t="str">
        <f aca="false">IF($A128="","",IF(K128&gt;=80,"达标","未达标"))</f>
        <v/>
      </c>
      <c r="M128" s="99" t="str">
        <f aca="false">IF($A128="","",IFERROR(AVERAGEIFS(K$2:K128,WEEKNUM(A$2:A128,2),WEEKNUM(A128,2)),K128))</f>
        <v/>
      </c>
      <c r="N128" s="100" t="str">
        <f aca="false">IF($A128="","",IFERROR(COUNTIFS(A$2:A128,"&lt;&gt;",L$2:L128,"达标",WEEKNUM(A$2:A128,2),WEEKNUM(A128,2)),0))</f>
        <v/>
      </c>
      <c r="O128" s="97" t="str">
        <f aca="false">IF($A128="","",IF(L128="达标",IF(ROW()=2,1,IF(O127="",1,O127+1)),0))</f>
        <v/>
      </c>
      <c r="P128" s="98" t="str">
        <f aca="false">IF($A128="","",IF(ROW()&lt;=8,"基准周",IF(K128&gt;75,"改善",IF(K128&lt;60,"恶化","持平"))))</f>
        <v/>
      </c>
    </row>
    <row r="129" customFormat="false" ht="15" hidden="false" customHeight="true" outlineLevel="0" collapsed="false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97" t="str">
        <f aca="false">IF($A129="","",IF(B129=0,20,IF(B129=1,15,IF(B129=2,10,IF(B129=3,5,0))))+IF(C129="否",20,0)+IF(D129="是",20,0)+IF(E129=1,20,IF(E129=2,15,IF(E129=3,10,IF(E129=4,5,0))))+IF(F129="否",20,0))</f>
        <v/>
      </c>
      <c r="L129" s="98" t="str">
        <f aca="false">IF($A129="","",IF(K129&gt;=80,"达标","未达标"))</f>
        <v/>
      </c>
      <c r="M129" s="99" t="str">
        <f aca="false">IF($A129="","",IFERROR(AVERAGEIFS(K$2:K129,WEEKNUM(A$2:A129,2),WEEKNUM(A129,2)),K129))</f>
        <v/>
      </c>
      <c r="N129" s="100" t="str">
        <f aca="false">IF($A129="","",IFERROR(COUNTIFS(A$2:A129,"&lt;&gt;",L$2:L129,"达标",WEEKNUM(A$2:A129,2),WEEKNUM(A129,2)),0))</f>
        <v/>
      </c>
      <c r="O129" s="97" t="str">
        <f aca="false">IF($A129="","",IF(L129="达标",IF(ROW()=2,1,IF(O128="",1,O128+1)),0))</f>
        <v/>
      </c>
      <c r="P129" s="98" t="str">
        <f aca="false">IF($A129="","",IF(ROW()&lt;=8,"基准周",IF(K129&gt;75,"改善",IF(K129&lt;60,"恶化","持平"))))</f>
        <v/>
      </c>
    </row>
    <row r="130" customFormat="false" ht="15" hidden="false" customHeight="true" outlineLevel="0" collapsed="false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7" t="str">
        <f aca="false">IF($A130="","",IF(B130=0,20,IF(B130=1,15,IF(B130=2,10,IF(B130=3,5,0))))+IF(C130="否",20,0)+IF(D130="是",20,0)+IF(E130=1,20,IF(E130=2,15,IF(E130=3,10,IF(E130=4,5,0))))+IF(F130="否",20,0))</f>
        <v/>
      </c>
      <c r="L130" s="98" t="str">
        <f aca="false">IF($A130="","",IF(K130&gt;=80,"达标","未达标"))</f>
        <v/>
      </c>
      <c r="M130" s="99" t="str">
        <f aca="false">IF($A130="","",IFERROR(AVERAGEIFS(K$2:K130,WEEKNUM(A$2:A130,2),WEEKNUM(A130,2)),K130))</f>
        <v/>
      </c>
      <c r="N130" s="100" t="str">
        <f aca="false">IF($A130="","",IFERROR(COUNTIFS(A$2:A130,"&lt;&gt;",L$2:L130,"达标",WEEKNUM(A$2:A130,2),WEEKNUM(A130,2)),0))</f>
        <v/>
      </c>
      <c r="O130" s="97" t="str">
        <f aca="false">IF($A130="","",IF(L130="达标",IF(ROW()=2,1,IF(O129="",1,O129+1)),0))</f>
        <v/>
      </c>
      <c r="P130" s="98" t="str">
        <f aca="false">IF($A130="","",IF(ROW()&lt;=8,"基准周",IF(K130&gt;75,"改善",IF(K130&lt;60,"恶化","持平"))))</f>
        <v/>
      </c>
    </row>
    <row r="131" customFormat="false" ht="15" hidden="false" customHeight="true" outlineLevel="0" collapsed="false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97" t="str">
        <f aca="false">IF($A131="","",IF(B131=0,20,IF(B131=1,15,IF(B131=2,10,IF(B131=3,5,0))))+IF(C131="否",20,0)+IF(D131="是",20,0)+IF(E131=1,20,IF(E131=2,15,IF(E131=3,10,IF(E131=4,5,0))))+IF(F131="否",20,0))</f>
        <v/>
      </c>
      <c r="L131" s="98" t="str">
        <f aca="false">IF($A131="","",IF(K131&gt;=80,"达标","未达标"))</f>
        <v/>
      </c>
      <c r="M131" s="99" t="str">
        <f aca="false">IF($A131="","",IFERROR(AVERAGEIFS(K$2:K131,WEEKNUM(A$2:A131,2),WEEKNUM(A131,2)),K131))</f>
        <v/>
      </c>
      <c r="N131" s="100" t="str">
        <f aca="false">IF($A131="","",IFERROR(COUNTIFS(A$2:A131,"&lt;&gt;",L$2:L131,"达标",WEEKNUM(A$2:A131,2),WEEKNUM(A131,2)),0))</f>
        <v/>
      </c>
      <c r="O131" s="97" t="str">
        <f aca="false">IF($A131="","",IF(L131="达标",IF(ROW()=2,1,IF(O130="",1,O130+1)),0))</f>
        <v/>
      </c>
      <c r="P131" s="98" t="str">
        <f aca="false">IF($A131="","",IF(ROW()&lt;=8,"基准周",IF(K131&gt;75,"改善",IF(K131&lt;60,"恶化","持平"))))</f>
        <v/>
      </c>
    </row>
    <row r="132" customFormat="false" ht="15" hidden="false" customHeight="true" outlineLevel="0" collapsed="false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7" t="str">
        <f aca="false">IF($A132="","",IF(B132=0,20,IF(B132=1,15,IF(B132=2,10,IF(B132=3,5,0))))+IF(C132="否",20,0)+IF(D132="是",20,0)+IF(E132=1,20,IF(E132=2,15,IF(E132=3,10,IF(E132=4,5,0))))+IF(F132="否",20,0))</f>
        <v/>
      </c>
      <c r="L132" s="98" t="str">
        <f aca="false">IF($A132="","",IF(K132&gt;=80,"达标","未达标"))</f>
        <v/>
      </c>
      <c r="M132" s="99" t="str">
        <f aca="false">IF($A132="","",IFERROR(AVERAGEIFS(K$2:K132,WEEKNUM(A$2:A132,2),WEEKNUM(A132,2)),K132))</f>
        <v/>
      </c>
      <c r="N132" s="100" t="str">
        <f aca="false">IF($A132="","",IFERROR(COUNTIFS(A$2:A132,"&lt;&gt;",L$2:L132,"达标",WEEKNUM(A$2:A132,2),WEEKNUM(A132,2)),0))</f>
        <v/>
      </c>
      <c r="O132" s="97" t="str">
        <f aca="false">IF($A132="","",IF(L132="达标",IF(ROW()=2,1,IF(O131="",1,O131+1)),0))</f>
        <v/>
      </c>
      <c r="P132" s="98" t="str">
        <f aca="false">IF($A132="","",IF(ROW()&lt;=8,"基准周",IF(K132&gt;75,"改善",IF(K132&lt;60,"恶化","持平"))))</f>
        <v/>
      </c>
    </row>
    <row r="133" customFormat="false" ht="15" hidden="false" customHeight="true" outlineLevel="0" collapsed="false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97" t="str">
        <f aca="false">IF($A133="","",IF(B133=0,20,IF(B133=1,15,IF(B133=2,10,IF(B133=3,5,0))))+IF(C133="否",20,0)+IF(D133="是",20,0)+IF(E133=1,20,IF(E133=2,15,IF(E133=3,10,IF(E133=4,5,0))))+IF(F133="否",20,0))</f>
        <v/>
      </c>
      <c r="L133" s="98" t="str">
        <f aca="false">IF($A133="","",IF(K133&gt;=80,"达标","未达标"))</f>
        <v/>
      </c>
      <c r="M133" s="99" t="str">
        <f aca="false">IF($A133="","",IFERROR(AVERAGEIFS(K$2:K133,WEEKNUM(A$2:A133,2),WEEKNUM(A133,2)),K133))</f>
        <v/>
      </c>
      <c r="N133" s="100" t="str">
        <f aca="false">IF($A133="","",IFERROR(COUNTIFS(A$2:A133,"&lt;&gt;",L$2:L133,"达标",WEEKNUM(A$2:A133,2),WEEKNUM(A133,2)),0))</f>
        <v/>
      </c>
      <c r="O133" s="97" t="str">
        <f aca="false">IF($A133="","",IF(L133="达标",IF(ROW()=2,1,IF(O132="",1,O132+1)),0))</f>
        <v/>
      </c>
      <c r="P133" s="98" t="str">
        <f aca="false">IF($A133="","",IF(ROW()&lt;=8,"基准周",IF(K133&gt;75,"改善",IF(K133&lt;60,"恶化","持平"))))</f>
        <v/>
      </c>
    </row>
    <row r="134" customFormat="false" ht="15" hidden="false" customHeight="true" outlineLevel="0" collapsed="false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7" t="str">
        <f aca="false">IF($A134="","",IF(B134=0,20,IF(B134=1,15,IF(B134=2,10,IF(B134=3,5,0))))+IF(C134="否",20,0)+IF(D134="是",20,0)+IF(E134=1,20,IF(E134=2,15,IF(E134=3,10,IF(E134=4,5,0))))+IF(F134="否",20,0))</f>
        <v/>
      </c>
      <c r="L134" s="98" t="str">
        <f aca="false">IF($A134="","",IF(K134&gt;=80,"达标","未达标"))</f>
        <v/>
      </c>
      <c r="M134" s="99" t="str">
        <f aca="false">IF($A134="","",IFERROR(AVERAGEIFS(K$2:K134,WEEKNUM(A$2:A134,2),WEEKNUM(A134,2)),K134))</f>
        <v/>
      </c>
      <c r="N134" s="100" t="str">
        <f aca="false">IF($A134="","",IFERROR(COUNTIFS(A$2:A134,"&lt;&gt;",L$2:L134,"达标",WEEKNUM(A$2:A134,2),WEEKNUM(A134,2)),0))</f>
        <v/>
      </c>
      <c r="O134" s="97" t="str">
        <f aca="false">IF($A134="","",IF(L134="达标",IF(ROW()=2,1,IF(O133="",1,O133+1)),0))</f>
        <v/>
      </c>
      <c r="P134" s="98" t="str">
        <f aca="false">IF($A134="","",IF(ROW()&lt;=8,"基准周",IF(K134&gt;75,"改善",IF(K134&lt;60,"恶化","持平"))))</f>
        <v/>
      </c>
    </row>
    <row r="135" customFormat="false" ht="15" hidden="false" customHeight="true" outlineLevel="0" collapsed="false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97" t="str">
        <f aca="false">IF($A135="","",IF(B135=0,20,IF(B135=1,15,IF(B135=2,10,IF(B135=3,5,0))))+IF(C135="否",20,0)+IF(D135="是",20,0)+IF(E135=1,20,IF(E135=2,15,IF(E135=3,10,IF(E135=4,5,0))))+IF(F135="否",20,0))</f>
        <v/>
      </c>
      <c r="L135" s="98" t="str">
        <f aca="false">IF($A135="","",IF(K135&gt;=80,"达标","未达标"))</f>
        <v/>
      </c>
      <c r="M135" s="99" t="str">
        <f aca="false">IF($A135="","",IFERROR(AVERAGEIFS(K$2:K135,WEEKNUM(A$2:A135,2),WEEKNUM(A135,2)),K135))</f>
        <v/>
      </c>
      <c r="N135" s="100" t="str">
        <f aca="false">IF($A135="","",IFERROR(COUNTIFS(A$2:A135,"&lt;&gt;",L$2:L135,"达标",WEEKNUM(A$2:A135,2),WEEKNUM(A135,2)),0))</f>
        <v/>
      </c>
      <c r="O135" s="97" t="str">
        <f aca="false">IF($A135="","",IF(L135="达标",IF(ROW()=2,1,IF(O134="",1,O134+1)),0))</f>
        <v/>
      </c>
      <c r="P135" s="98" t="str">
        <f aca="false">IF($A135="","",IF(ROW()&lt;=8,"基准周",IF(K135&gt;75,"改善",IF(K135&lt;60,"恶化","持平"))))</f>
        <v/>
      </c>
    </row>
    <row r="136" customFormat="false" ht="15" hidden="false" customHeight="true" outlineLevel="0" collapsed="false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7" t="str">
        <f aca="false">IF($A136="","",IF(B136=0,20,IF(B136=1,15,IF(B136=2,10,IF(B136=3,5,0))))+IF(C136="否",20,0)+IF(D136="是",20,0)+IF(E136=1,20,IF(E136=2,15,IF(E136=3,10,IF(E136=4,5,0))))+IF(F136="否",20,0))</f>
        <v/>
      </c>
      <c r="L136" s="98" t="str">
        <f aca="false">IF($A136="","",IF(K136&gt;=80,"达标","未达标"))</f>
        <v/>
      </c>
      <c r="M136" s="99" t="str">
        <f aca="false">IF($A136="","",IFERROR(AVERAGEIFS(K$2:K136,WEEKNUM(A$2:A136,2),WEEKNUM(A136,2)),K136))</f>
        <v/>
      </c>
      <c r="N136" s="100" t="str">
        <f aca="false">IF($A136="","",IFERROR(COUNTIFS(A$2:A136,"&lt;&gt;",L$2:L136,"达标",WEEKNUM(A$2:A136,2),WEEKNUM(A136,2)),0))</f>
        <v/>
      </c>
      <c r="O136" s="97" t="str">
        <f aca="false">IF($A136="","",IF(L136="达标",IF(ROW()=2,1,IF(O135="",1,O135+1)),0))</f>
        <v/>
      </c>
      <c r="P136" s="98" t="str">
        <f aca="false">IF($A136="","",IF(ROW()&lt;=8,"基准周",IF(K136&gt;75,"改善",IF(K136&lt;60,"恶化","持平"))))</f>
        <v/>
      </c>
    </row>
    <row r="137" customFormat="false" ht="15" hidden="false" customHeight="true" outlineLevel="0" collapsed="false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97" t="str">
        <f aca="false">IF($A137="","",IF(B137=0,20,IF(B137=1,15,IF(B137=2,10,IF(B137=3,5,0))))+IF(C137="否",20,0)+IF(D137="是",20,0)+IF(E137=1,20,IF(E137=2,15,IF(E137=3,10,IF(E137=4,5,0))))+IF(F137="否",20,0))</f>
        <v/>
      </c>
      <c r="L137" s="98" t="str">
        <f aca="false">IF($A137="","",IF(K137&gt;=80,"达标","未达标"))</f>
        <v/>
      </c>
      <c r="M137" s="99" t="str">
        <f aca="false">IF($A137="","",IFERROR(AVERAGEIFS(K$2:K137,WEEKNUM(A$2:A137,2),WEEKNUM(A137,2)),K137))</f>
        <v/>
      </c>
      <c r="N137" s="100" t="str">
        <f aca="false">IF($A137="","",IFERROR(COUNTIFS(A$2:A137,"&lt;&gt;",L$2:L137,"达标",WEEKNUM(A$2:A137,2),WEEKNUM(A137,2)),0))</f>
        <v/>
      </c>
      <c r="O137" s="97" t="str">
        <f aca="false">IF($A137="","",IF(L137="达标",IF(ROW()=2,1,IF(O136="",1,O136+1)),0))</f>
        <v/>
      </c>
      <c r="P137" s="98" t="str">
        <f aca="false">IF($A137="","",IF(ROW()&lt;=8,"基准周",IF(K137&gt;75,"改善",IF(K137&lt;60,"恶化","持平"))))</f>
        <v/>
      </c>
    </row>
    <row r="138" customFormat="false" ht="15" hidden="false" customHeight="true" outlineLevel="0" collapsed="false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7" t="str">
        <f aca="false">IF($A138="","",IF(B138=0,20,IF(B138=1,15,IF(B138=2,10,IF(B138=3,5,0))))+IF(C138="否",20,0)+IF(D138="是",20,0)+IF(E138=1,20,IF(E138=2,15,IF(E138=3,10,IF(E138=4,5,0))))+IF(F138="否",20,0))</f>
        <v/>
      </c>
      <c r="L138" s="98" t="str">
        <f aca="false">IF($A138="","",IF(K138&gt;=80,"达标","未达标"))</f>
        <v/>
      </c>
      <c r="M138" s="99" t="str">
        <f aca="false">IF($A138="","",IFERROR(AVERAGEIFS(K$2:K138,WEEKNUM(A$2:A138,2),WEEKNUM(A138,2)),K138))</f>
        <v/>
      </c>
      <c r="N138" s="100" t="str">
        <f aca="false">IF($A138="","",IFERROR(COUNTIFS(A$2:A138,"&lt;&gt;",L$2:L138,"达标",WEEKNUM(A$2:A138,2),WEEKNUM(A138,2)),0))</f>
        <v/>
      </c>
      <c r="O138" s="97" t="str">
        <f aca="false">IF($A138="","",IF(L138="达标",IF(ROW()=2,1,IF(O137="",1,O137+1)),0))</f>
        <v/>
      </c>
      <c r="P138" s="98" t="str">
        <f aca="false">IF($A138="","",IF(ROW()&lt;=8,"基准周",IF(K138&gt;75,"改善",IF(K138&lt;60,"恶化","持平"))))</f>
        <v/>
      </c>
    </row>
    <row r="139" customFormat="false" ht="15" hidden="false" customHeight="true" outlineLevel="0" collapsed="false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97" t="str">
        <f aca="false">IF($A139="","",IF(B139=0,20,IF(B139=1,15,IF(B139=2,10,IF(B139=3,5,0))))+IF(C139="否",20,0)+IF(D139="是",20,0)+IF(E139=1,20,IF(E139=2,15,IF(E139=3,10,IF(E139=4,5,0))))+IF(F139="否",20,0))</f>
        <v/>
      </c>
      <c r="L139" s="98" t="str">
        <f aca="false">IF($A139="","",IF(K139&gt;=80,"达标","未达标"))</f>
        <v/>
      </c>
      <c r="M139" s="99" t="str">
        <f aca="false">IF($A139="","",IFERROR(AVERAGEIFS(K$2:K139,WEEKNUM(A$2:A139,2),WEEKNUM(A139,2)),K139))</f>
        <v/>
      </c>
      <c r="N139" s="100" t="str">
        <f aca="false">IF($A139="","",IFERROR(COUNTIFS(A$2:A139,"&lt;&gt;",L$2:L139,"达标",WEEKNUM(A$2:A139,2),WEEKNUM(A139,2)),0))</f>
        <v/>
      </c>
      <c r="O139" s="97" t="str">
        <f aca="false">IF($A139="","",IF(L139="达标",IF(ROW()=2,1,IF(O138="",1,O138+1)),0))</f>
        <v/>
      </c>
      <c r="P139" s="98" t="str">
        <f aca="false">IF($A139="","",IF(ROW()&lt;=8,"基准周",IF(K139&gt;75,"改善",IF(K139&lt;60,"恶化","持平"))))</f>
        <v/>
      </c>
    </row>
    <row r="140" customFormat="false" ht="15" hidden="false" customHeight="true" outlineLevel="0" collapsed="false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7" t="str">
        <f aca="false">IF($A140="","",IF(B140=0,20,IF(B140=1,15,IF(B140=2,10,IF(B140=3,5,0))))+IF(C140="否",20,0)+IF(D140="是",20,0)+IF(E140=1,20,IF(E140=2,15,IF(E140=3,10,IF(E140=4,5,0))))+IF(F140="否",20,0))</f>
        <v/>
      </c>
      <c r="L140" s="98" t="str">
        <f aca="false">IF($A140="","",IF(K140&gt;=80,"达标","未达标"))</f>
        <v/>
      </c>
      <c r="M140" s="99" t="str">
        <f aca="false">IF($A140="","",IFERROR(AVERAGEIFS(K$2:K140,WEEKNUM(A$2:A140,2),WEEKNUM(A140,2)),K140))</f>
        <v/>
      </c>
      <c r="N140" s="100" t="str">
        <f aca="false">IF($A140="","",IFERROR(COUNTIFS(A$2:A140,"&lt;&gt;",L$2:L140,"达标",WEEKNUM(A$2:A140,2),WEEKNUM(A140,2)),0))</f>
        <v/>
      </c>
      <c r="O140" s="97" t="str">
        <f aca="false">IF($A140="","",IF(L140="达标",IF(ROW()=2,1,IF(O139="",1,O139+1)),0))</f>
        <v/>
      </c>
      <c r="P140" s="98" t="str">
        <f aca="false">IF($A140="","",IF(ROW()&lt;=8,"基准周",IF(K140&gt;75,"改善",IF(K140&lt;60,"恶化","持平"))))</f>
        <v/>
      </c>
    </row>
    <row r="141" customFormat="false" ht="15" hidden="false" customHeight="true" outlineLevel="0" collapsed="false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97" t="str">
        <f aca="false">IF($A141="","",IF(B141=0,20,IF(B141=1,15,IF(B141=2,10,IF(B141=3,5,0))))+IF(C141="否",20,0)+IF(D141="是",20,0)+IF(E141=1,20,IF(E141=2,15,IF(E141=3,10,IF(E141=4,5,0))))+IF(F141="否",20,0))</f>
        <v/>
      </c>
      <c r="L141" s="98" t="str">
        <f aca="false">IF($A141="","",IF(K141&gt;=80,"达标","未达标"))</f>
        <v/>
      </c>
      <c r="M141" s="99" t="str">
        <f aca="false">IF($A141="","",IFERROR(AVERAGEIFS(K$2:K141,WEEKNUM(A$2:A141,2),WEEKNUM(A141,2)),K141))</f>
        <v/>
      </c>
      <c r="N141" s="100" t="str">
        <f aca="false">IF($A141="","",IFERROR(COUNTIFS(A$2:A141,"&lt;&gt;",L$2:L141,"达标",WEEKNUM(A$2:A141,2),WEEKNUM(A141,2)),0))</f>
        <v/>
      </c>
      <c r="O141" s="97" t="str">
        <f aca="false">IF($A141="","",IF(L141="达标",IF(ROW()=2,1,IF(O140="",1,O140+1)),0))</f>
        <v/>
      </c>
      <c r="P141" s="98" t="str">
        <f aca="false">IF($A141="","",IF(ROW()&lt;=8,"基准周",IF(K141&gt;75,"改善",IF(K141&lt;60,"恶化","持平"))))</f>
        <v/>
      </c>
    </row>
    <row r="142" customFormat="false" ht="15" hidden="false" customHeight="true" outlineLevel="0" collapsed="false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7" t="str">
        <f aca="false">IF($A142="","",IF(B142=0,20,IF(B142=1,15,IF(B142=2,10,IF(B142=3,5,0))))+IF(C142="否",20,0)+IF(D142="是",20,0)+IF(E142=1,20,IF(E142=2,15,IF(E142=3,10,IF(E142=4,5,0))))+IF(F142="否",20,0))</f>
        <v/>
      </c>
      <c r="L142" s="98" t="str">
        <f aca="false">IF($A142="","",IF(K142&gt;=80,"达标","未达标"))</f>
        <v/>
      </c>
      <c r="M142" s="99" t="str">
        <f aca="false">IF($A142="","",IFERROR(AVERAGEIFS(K$2:K142,WEEKNUM(A$2:A142,2),WEEKNUM(A142,2)),K142))</f>
        <v/>
      </c>
      <c r="N142" s="100" t="str">
        <f aca="false">IF($A142="","",IFERROR(COUNTIFS(A$2:A142,"&lt;&gt;",L$2:L142,"达标",WEEKNUM(A$2:A142,2),WEEKNUM(A142,2)),0))</f>
        <v/>
      </c>
      <c r="O142" s="97" t="str">
        <f aca="false">IF($A142="","",IF(L142="达标",IF(ROW()=2,1,IF(O141="",1,O141+1)),0))</f>
        <v/>
      </c>
      <c r="P142" s="98" t="str">
        <f aca="false">IF($A142="","",IF(ROW()&lt;=8,"基准周",IF(K142&gt;75,"改善",IF(K142&lt;60,"恶化","持平"))))</f>
        <v/>
      </c>
    </row>
    <row r="143" customFormat="false" ht="15" hidden="false" customHeight="true" outlineLevel="0" collapsed="false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97" t="str">
        <f aca="false">IF($A143="","",IF(B143=0,20,IF(B143=1,15,IF(B143=2,10,IF(B143=3,5,0))))+IF(C143="否",20,0)+IF(D143="是",20,0)+IF(E143=1,20,IF(E143=2,15,IF(E143=3,10,IF(E143=4,5,0))))+IF(F143="否",20,0))</f>
        <v/>
      </c>
      <c r="L143" s="98" t="str">
        <f aca="false">IF($A143="","",IF(K143&gt;=80,"达标","未达标"))</f>
        <v/>
      </c>
      <c r="M143" s="99" t="str">
        <f aca="false">IF($A143="","",IFERROR(AVERAGEIFS(K$2:K143,WEEKNUM(A$2:A143,2),WEEKNUM(A143,2)),K143))</f>
        <v/>
      </c>
      <c r="N143" s="100" t="str">
        <f aca="false">IF($A143="","",IFERROR(COUNTIFS(A$2:A143,"&lt;&gt;",L$2:L143,"达标",WEEKNUM(A$2:A143,2),WEEKNUM(A143,2)),0))</f>
        <v/>
      </c>
      <c r="O143" s="97" t="str">
        <f aca="false">IF($A143="","",IF(L143="达标",IF(ROW()=2,1,IF(O142="",1,O142+1)),0))</f>
        <v/>
      </c>
      <c r="P143" s="98" t="str">
        <f aca="false">IF($A143="","",IF(ROW()&lt;=8,"基准周",IF(K143&gt;75,"改善",IF(K143&lt;60,"恶化","持平"))))</f>
        <v/>
      </c>
    </row>
    <row r="144" customFormat="false" ht="15" hidden="false" customHeight="true" outlineLevel="0" collapsed="false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7" t="str">
        <f aca="false">IF($A144="","",IF(B144=0,20,IF(B144=1,15,IF(B144=2,10,IF(B144=3,5,0))))+IF(C144="否",20,0)+IF(D144="是",20,0)+IF(E144=1,20,IF(E144=2,15,IF(E144=3,10,IF(E144=4,5,0))))+IF(F144="否",20,0))</f>
        <v/>
      </c>
      <c r="L144" s="98" t="str">
        <f aca="false">IF($A144="","",IF(K144&gt;=80,"达标","未达标"))</f>
        <v/>
      </c>
      <c r="M144" s="99" t="str">
        <f aca="false">IF($A144="","",IFERROR(AVERAGEIFS(K$2:K144,WEEKNUM(A$2:A144,2),WEEKNUM(A144,2)),K144))</f>
        <v/>
      </c>
      <c r="N144" s="100" t="str">
        <f aca="false">IF($A144="","",IFERROR(COUNTIFS(A$2:A144,"&lt;&gt;",L$2:L144,"达标",WEEKNUM(A$2:A144,2),WEEKNUM(A144,2)),0))</f>
        <v/>
      </c>
      <c r="O144" s="97" t="str">
        <f aca="false">IF($A144="","",IF(L144="达标",IF(ROW()=2,1,IF(O143="",1,O143+1)),0))</f>
        <v/>
      </c>
      <c r="P144" s="98" t="str">
        <f aca="false">IF($A144="","",IF(ROW()&lt;=8,"基准周",IF(K144&gt;75,"改善",IF(K144&lt;60,"恶化","持平"))))</f>
        <v/>
      </c>
    </row>
    <row r="145" customFormat="false" ht="15" hidden="false" customHeight="true" outlineLevel="0" collapsed="false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97" t="str">
        <f aca="false">IF($A145="","",IF(B145=0,20,IF(B145=1,15,IF(B145=2,10,IF(B145=3,5,0))))+IF(C145="否",20,0)+IF(D145="是",20,0)+IF(E145=1,20,IF(E145=2,15,IF(E145=3,10,IF(E145=4,5,0))))+IF(F145="否",20,0))</f>
        <v/>
      </c>
      <c r="L145" s="98" t="str">
        <f aca="false">IF($A145="","",IF(K145&gt;=80,"达标","未达标"))</f>
        <v/>
      </c>
      <c r="M145" s="99" t="str">
        <f aca="false">IF($A145="","",IFERROR(AVERAGEIFS(K$2:K145,WEEKNUM(A$2:A145,2),WEEKNUM(A145,2)),K145))</f>
        <v/>
      </c>
      <c r="N145" s="100" t="str">
        <f aca="false">IF($A145="","",IFERROR(COUNTIFS(A$2:A145,"&lt;&gt;",L$2:L145,"达标",WEEKNUM(A$2:A145,2),WEEKNUM(A145,2)),0))</f>
        <v/>
      </c>
      <c r="O145" s="97" t="str">
        <f aca="false">IF($A145="","",IF(L145="达标",IF(ROW()=2,1,IF(O144="",1,O144+1)),0))</f>
        <v/>
      </c>
      <c r="P145" s="98" t="str">
        <f aca="false">IF($A145="","",IF(ROW()&lt;=8,"基准周",IF(K145&gt;75,"改善",IF(K145&lt;60,"恶化","持平"))))</f>
        <v/>
      </c>
    </row>
    <row r="146" customFormat="false" ht="15" hidden="false" customHeight="true" outlineLevel="0" collapsed="false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7" t="str">
        <f aca="false">IF($A146="","",IF(B146=0,20,IF(B146=1,15,IF(B146=2,10,IF(B146=3,5,0))))+IF(C146="否",20,0)+IF(D146="是",20,0)+IF(E146=1,20,IF(E146=2,15,IF(E146=3,10,IF(E146=4,5,0))))+IF(F146="否",20,0))</f>
        <v/>
      </c>
      <c r="L146" s="98" t="str">
        <f aca="false">IF($A146="","",IF(K146&gt;=80,"达标","未达标"))</f>
        <v/>
      </c>
      <c r="M146" s="99" t="str">
        <f aca="false">IF($A146="","",IFERROR(AVERAGEIFS(K$2:K146,WEEKNUM(A$2:A146,2),WEEKNUM(A146,2)),K146))</f>
        <v/>
      </c>
      <c r="N146" s="100" t="str">
        <f aca="false">IF($A146="","",IFERROR(COUNTIFS(A$2:A146,"&lt;&gt;",L$2:L146,"达标",WEEKNUM(A$2:A146,2),WEEKNUM(A146,2)),0))</f>
        <v/>
      </c>
      <c r="O146" s="97" t="str">
        <f aca="false">IF($A146="","",IF(L146="达标",IF(ROW()=2,1,IF(O145="",1,O145+1)),0))</f>
        <v/>
      </c>
      <c r="P146" s="98" t="str">
        <f aca="false">IF($A146="","",IF(ROW()&lt;=8,"基准周",IF(K146&gt;75,"改善",IF(K146&lt;60,"恶化","持平"))))</f>
        <v/>
      </c>
    </row>
    <row r="147" customFormat="false" ht="15" hidden="false" customHeight="true" outlineLevel="0" collapsed="false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97" t="str">
        <f aca="false">IF($A147="","",IF(B147=0,20,IF(B147=1,15,IF(B147=2,10,IF(B147=3,5,0))))+IF(C147="否",20,0)+IF(D147="是",20,0)+IF(E147=1,20,IF(E147=2,15,IF(E147=3,10,IF(E147=4,5,0))))+IF(F147="否",20,0))</f>
        <v/>
      </c>
      <c r="L147" s="98" t="str">
        <f aca="false">IF($A147="","",IF(K147&gt;=80,"达标","未达标"))</f>
        <v/>
      </c>
      <c r="M147" s="99" t="str">
        <f aca="false">IF($A147="","",IFERROR(AVERAGEIFS(K$2:K147,WEEKNUM(A$2:A147,2),WEEKNUM(A147,2)),K147))</f>
        <v/>
      </c>
      <c r="N147" s="100" t="str">
        <f aca="false">IF($A147="","",IFERROR(COUNTIFS(A$2:A147,"&lt;&gt;",L$2:L147,"达标",WEEKNUM(A$2:A147,2),WEEKNUM(A147,2)),0))</f>
        <v/>
      </c>
      <c r="O147" s="97" t="str">
        <f aca="false">IF($A147="","",IF(L147="达标",IF(ROW()=2,1,IF(O146="",1,O146+1)),0))</f>
        <v/>
      </c>
      <c r="P147" s="98" t="str">
        <f aca="false">IF($A147="","",IF(ROW()&lt;=8,"基准周",IF(K147&gt;75,"改善",IF(K147&lt;60,"恶化","持平"))))</f>
        <v/>
      </c>
    </row>
    <row r="148" customFormat="false" ht="15" hidden="false" customHeight="true" outlineLevel="0" collapsed="false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7" t="str">
        <f aca="false">IF($A148="","",IF(B148=0,20,IF(B148=1,15,IF(B148=2,10,IF(B148=3,5,0))))+IF(C148="否",20,0)+IF(D148="是",20,0)+IF(E148=1,20,IF(E148=2,15,IF(E148=3,10,IF(E148=4,5,0))))+IF(F148="否",20,0))</f>
        <v/>
      </c>
      <c r="L148" s="98" t="str">
        <f aca="false">IF($A148="","",IF(K148&gt;=80,"达标","未达标"))</f>
        <v/>
      </c>
      <c r="M148" s="99" t="str">
        <f aca="false">IF($A148="","",IFERROR(AVERAGEIFS(K$2:K148,WEEKNUM(A$2:A148,2),WEEKNUM(A148,2)),K148))</f>
        <v/>
      </c>
      <c r="N148" s="100" t="str">
        <f aca="false">IF($A148="","",IFERROR(COUNTIFS(A$2:A148,"&lt;&gt;",L$2:L148,"达标",WEEKNUM(A$2:A148,2),WEEKNUM(A148,2)),0))</f>
        <v/>
      </c>
      <c r="O148" s="97" t="str">
        <f aca="false">IF($A148="","",IF(L148="达标",IF(ROW()=2,1,IF(O147="",1,O147+1)),0))</f>
        <v/>
      </c>
      <c r="P148" s="98" t="str">
        <f aca="false">IF($A148="","",IF(ROW()&lt;=8,"基准周",IF(K148&gt;75,"改善",IF(K148&lt;60,"恶化","持平"))))</f>
        <v/>
      </c>
    </row>
    <row r="149" customFormat="false" ht="15" hidden="false" customHeight="true" outlineLevel="0" collapsed="false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97" t="str">
        <f aca="false">IF($A149="","",IF(B149=0,20,IF(B149=1,15,IF(B149=2,10,IF(B149=3,5,0))))+IF(C149="否",20,0)+IF(D149="是",20,0)+IF(E149=1,20,IF(E149=2,15,IF(E149=3,10,IF(E149=4,5,0))))+IF(F149="否",20,0))</f>
        <v/>
      </c>
      <c r="L149" s="98" t="str">
        <f aca="false">IF($A149="","",IF(K149&gt;=80,"达标","未达标"))</f>
        <v/>
      </c>
      <c r="M149" s="99" t="str">
        <f aca="false">IF($A149="","",IFERROR(AVERAGEIFS(K$2:K149,WEEKNUM(A$2:A149,2),WEEKNUM(A149,2)),K149))</f>
        <v/>
      </c>
      <c r="N149" s="100" t="str">
        <f aca="false">IF($A149="","",IFERROR(COUNTIFS(A$2:A149,"&lt;&gt;",L$2:L149,"达标",WEEKNUM(A$2:A149,2),WEEKNUM(A149,2)),0))</f>
        <v/>
      </c>
      <c r="O149" s="97" t="str">
        <f aca="false">IF($A149="","",IF(L149="达标",IF(ROW()=2,1,IF(O148="",1,O148+1)),0))</f>
        <v/>
      </c>
      <c r="P149" s="98" t="str">
        <f aca="false">IF($A149="","",IF(ROW()&lt;=8,"基准周",IF(K149&gt;75,"改善",IF(K149&lt;60,"恶化","持平"))))</f>
        <v/>
      </c>
    </row>
    <row r="150" customFormat="false" ht="15" hidden="false" customHeight="true" outlineLevel="0" collapsed="false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7" t="str">
        <f aca="false">IF($A150="","",IF(B150=0,20,IF(B150=1,15,IF(B150=2,10,IF(B150=3,5,0))))+IF(C150="否",20,0)+IF(D150="是",20,0)+IF(E150=1,20,IF(E150=2,15,IF(E150=3,10,IF(E150=4,5,0))))+IF(F150="否",20,0))</f>
        <v/>
      </c>
      <c r="L150" s="98" t="str">
        <f aca="false">IF($A150="","",IF(K150&gt;=80,"达标","未达标"))</f>
        <v/>
      </c>
      <c r="M150" s="99" t="str">
        <f aca="false">IF($A150="","",IFERROR(AVERAGEIFS(K$2:K150,WEEKNUM(A$2:A150,2),WEEKNUM(A150,2)),K150))</f>
        <v/>
      </c>
      <c r="N150" s="100" t="str">
        <f aca="false">IF($A150="","",IFERROR(COUNTIFS(A$2:A150,"&lt;&gt;",L$2:L150,"达标",WEEKNUM(A$2:A150,2),WEEKNUM(A150,2)),0))</f>
        <v/>
      </c>
      <c r="O150" s="97" t="str">
        <f aca="false">IF($A150="","",IF(L150="达标",IF(ROW()=2,1,IF(O149="",1,O149+1)),0))</f>
        <v/>
      </c>
      <c r="P150" s="98" t="str">
        <f aca="false">IF($A150="","",IF(ROW()&lt;=8,"基准周",IF(K150&gt;75,"改善",IF(K150&lt;60,"恶化","持平"))))</f>
        <v/>
      </c>
    </row>
    <row r="151" customFormat="false" ht="15" hidden="false" customHeight="true" outlineLevel="0" collapsed="false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97" t="str">
        <f aca="false">IF($A151="","",IF(B151=0,20,IF(B151=1,15,IF(B151=2,10,IF(B151=3,5,0))))+IF(C151="否",20,0)+IF(D151="是",20,0)+IF(E151=1,20,IF(E151=2,15,IF(E151=3,10,IF(E151=4,5,0))))+IF(F151="否",20,0))</f>
        <v/>
      </c>
      <c r="L151" s="98" t="str">
        <f aca="false">IF($A151="","",IF(K151&gt;=80,"达标","未达标"))</f>
        <v/>
      </c>
      <c r="M151" s="99" t="str">
        <f aca="false">IF($A151="","",IFERROR(AVERAGEIFS(K$2:K151,WEEKNUM(A$2:A151,2),WEEKNUM(A151,2)),K151))</f>
        <v/>
      </c>
      <c r="N151" s="100" t="str">
        <f aca="false">IF($A151="","",IFERROR(COUNTIFS(A$2:A151,"&lt;&gt;",L$2:L151,"达标",WEEKNUM(A$2:A151,2),WEEKNUM(A151,2)),0))</f>
        <v/>
      </c>
      <c r="O151" s="97" t="str">
        <f aca="false">IF($A151="","",IF(L151="达标",IF(ROW()=2,1,IF(O150="",1,O150+1)),0))</f>
        <v/>
      </c>
      <c r="P151" s="98" t="str">
        <f aca="false">IF($A151="","",IF(ROW()&lt;=8,"基准周",IF(K151&gt;75,"改善",IF(K151&lt;60,"恶化","持平"))))</f>
        <v/>
      </c>
    </row>
    <row r="152" customFormat="false" ht="15" hidden="false" customHeight="true" outlineLevel="0" collapsed="false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7" t="str">
        <f aca="false">IF($A152="","",IF(B152=0,20,IF(B152=1,15,IF(B152=2,10,IF(B152=3,5,0))))+IF(C152="否",20,0)+IF(D152="是",20,0)+IF(E152=1,20,IF(E152=2,15,IF(E152=3,10,IF(E152=4,5,0))))+IF(F152="否",20,0))</f>
        <v/>
      </c>
      <c r="L152" s="98" t="str">
        <f aca="false">IF($A152="","",IF(K152&gt;=80,"达标","未达标"))</f>
        <v/>
      </c>
      <c r="M152" s="99" t="str">
        <f aca="false">IF($A152="","",IFERROR(AVERAGEIFS(K$2:K152,WEEKNUM(A$2:A152,2),WEEKNUM(A152,2)),K152))</f>
        <v/>
      </c>
      <c r="N152" s="100" t="str">
        <f aca="false">IF($A152="","",IFERROR(COUNTIFS(A$2:A152,"&lt;&gt;",L$2:L152,"达标",WEEKNUM(A$2:A152,2),WEEKNUM(A152,2)),0))</f>
        <v/>
      </c>
      <c r="O152" s="97" t="str">
        <f aca="false">IF($A152="","",IF(L152="达标",IF(ROW()=2,1,IF(O151="",1,O151+1)),0))</f>
        <v/>
      </c>
      <c r="P152" s="98" t="str">
        <f aca="false">IF($A152="","",IF(ROW()&lt;=8,"基准周",IF(K152&gt;75,"改善",IF(K152&lt;60,"恶化","持平"))))</f>
        <v/>
      </c>
    </row>
    <row r="153" customFormat="false" ht="15" hidden="false" customHeight="true" outlineLevel="0" collapsed="false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97" t="str">
        <f aca="false">IF($A153="","",IF(B153=0,20,IF(B153=1,15,IF(B153=2,10,IF(B153=3,5,0))))+IF(C153="否",20,0)+IF(D153="是",20,0)+IF(E153=1,20,IF(E153=2,15,IF(E153=3,10,IF(E153=4,5,0))))+IF(F153="否",20,0))</f>
        <v/>
      </c>
      <c r="L153" s="98" t="str">
        <f aca="false">IF($A153="","",IF(K153&gt;=80,"达标","未达标"))</f>
        <v/>
      </c>
      <c r="M153" s="99" t="str">
        <f aca="false">IF($A153="","",IFERROR(AVERAGEIFS(K$2:K153,WEEKNUM(A$2:A153,2),WEEKNUM(A153,2)),K153))</f>
        <v/>
      </c>
      <c r="N153" s="100" t="str">
        <f aca="false">IF($A153="","",IFERROR(COUNTIFS(A$2:A153,"&lt;&gt;",L$2:L153,"达标",WEEKNUM(A$2:A153,2),WEEKNUM(A153,2)),0))</f>
        <v/>
      </c>
      <c r="O153" s="97" t="str">
        <f aca="false">IF($A153="","",IF(L153="达标",IF(ROW()=2,1,IF(O152="",1,O152+1)),0))</f>
        <v/>
      </c>
      <c r="P153" s="98" t="str">
        <f aca="false">IF($A153="","",IF(ROW()&lt;=8,"基准周",IF(K153&gt;75,"改善",IF(K153&lt;60,"恶化","持平"))))</f>
        <v/>
      </c>
    </row>
    <row r="154" customFormat="false" ht="15" hidden="false" customHeight="true" outlineLevel="0" collapsed="false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7" t="str">
        <f aca="false">IF($A154="","",IF(B154=0,20,IF(B154=1,15,IF(B154=2,10,IF(B154=3,5,0))))+IF(C154="否",20,0)+IF(D154="是",20,0)+IF(E154=1,20,IF(E154=2,15,IF(E154=3,10,IF(E154=4,5,0))))+IF(F154="否",20,0))</f>
        <v/>
      </c>
      <c r="L154" s="98" t="str">
        <f aca="false">IF($A154="","",IF(K154&gt;=80,"达标","未达标"))</f>
        <v/>
      </c>
      <c r="M154" s="99" t="str">
        <f aca="false">IF($A154="","",IFERROR(AVERAGEIFS(K$2:K154,WEEKNUM(A$2:A154,2),WEEKNUM(A154,2)),K154))</f>
        <v/>
      </c>
      <c r="N154" s="100" t="str">
        <f aca="false">IF($A154="","",IFERROR(COUNTIFS(A$2:A154,"&lt;&gt;",L$2:L154,"达标",WEEKNUM(A$2:A154,2),WEEKNUM(A154,2)),0))</f>
        <v/>
      </c>
      <c r="O154" s="97" t="str">
        <f aca="false">IF($A154="","",IF(L154="达标",IF(ROW()=2,1,IF(O153="",1,O153+1)),0))</f>
        <v/>
      </c>
      <c r="P154" s="98" t="str">
        <f aca="false">IF($A154="","",IF(ROW()&lt;=8,"基准周",IF(K154&gt;75,"改善",IF(K154&lt;60,"恶化","持平"))))</f>
        <v/>
      </c>
    </row>
    <row r="155" customFormat="false" ht="15" hidden="false" customHeight="true" outlineLevel="0" collapsed="false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97" t="str">
        <f aca="false">IF($A155="","",IF(B155=0,20,IF(B155=1,15,IF(B155=2,10,IF(B155=3,5,0))))+IF(C155="否",20,0)+IF(D155="是",20,0)+IF(E155=1,20,IF(E155=2,15,IF(E155=3,10,IF(E155=4,5,0))))+IF(F155="否",20,0))</f>
        <v/>
      </c>
      <c r="L155" s="98" t="str">
        <f aca="false">IF($A155="","",IF(K155&gt;=80,"达标","未达标"))</f>
        <v/>
      </c>
      <c r="M155" s="99" t="str">
        <f aca="false">IF($A155="","",IFERROR(AVERAGEIFS(K$2:K155,WEEKNUM(A$2:A155,2),WEEKNUM(A155,2)),K155))</f>
        <v/>
      </c>
      <c r="N155" s="100" t="str">
        <f aca="false">IF($A155="","",IFERROR(COUNTIFS(A$2:A155,"&lt;&gt;",L$2:L155,"达标",WEEKNUM(A$2:A155,2),WEEKNUM(A155,2)),0))</f>
        <v/>
      </c>
      <c r="O155" s="97" t="str">
        <f aca="false">IF($A155="","",IF(L155="达标",IF(ROW()=2,1,IF(O154="",1,O154+1)),0))</f>
        <v/>
      </c>
      <c r="P155" s="98" t="str">
        <f aca="false">IF($A155="","",IF(ROW()&lt;=8,"基准周",IF(K155&gt;75,"改善",IF(K155&lt;60,"恶化","持平"))))</f>
        <v/>
      </c>
    </row>
    <row r="156" customFormat="false" ht="15" hidden="false" customHeight="true" outlineLevel="0" collapsed="false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7" t="str">
        <f aca="false">IF($A156="","",IF(B156=0,20,IF(B156=1,15,IF(B156=2,10,IF(B156=3,5,0))))+IF(C156="否",20,0)+IF(D156="是",20,0)+IF(E156=1,20,IF(E156=2,15,IF(E156=3,10,IF(E156=4,5,0))))+IF(F156="否",20,0))</f>
        <v/>
      </c>
      <c r="L156" s="98" t="str">
        <f aca="false">IF($A156="","",IF(K156&gt;=80,"达标","未达标"))</f>
        <v/>
      </c>
      <c r="M156" s="99" t="str">
        <f aca="false">IF($A156="","",IFERROR(AVERAGEIFS(K$2:K156,WEEKNUM(A$2:A156,2),WEEKNUM(A156,2)),K156))</f>
        <v/>
      </c>
      <c r="N156" s="100" t="str">
        <f aca="false">IF($A156="","",IFERROR(COUNTIFS(A$2:A156,"&lt;&gt;",L$2:L156,"达标",WEEKNUM(A$2:A156,2),WEEKNUM(A156,2)),0))</f>
        <v/>
      </c>
      <c r="O156" s="97" t="str">
        <f aca="false">IF($A156="","",IF(L156="达标",IF(ROW()=2,1,IF(O155="",1,O155+1)),0))</f>
        <v/>
      </c>
      <c r="P156" s="98" t="str">
        <f aca="false">IF($A156="","",IF(ROW()&lt;=8,"基准周",IF(K156&gt;75,"改善",IF(K156&lt;60,"恶化","持平"))))</f>
        <v/>
      </c>
    </row>
    <row r="157" customFormat="false" ht="15" hidden="false" customHeight="true" outlineLevel="0" collapsed="false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97" t="str">
        <f aca="false">IF($A157="","",IF(B157=0,20,IF(B157=1,15,IF(B157=2,10,IF(B157=3,5,0))))+IF(C157="否",20,0)+IF(D157="是",20,0)+IF(E157=1,20,IF(E157=2,15,IF(E157=3,10,IF(E157=4,5,0))))+IF(F157="否",20,0))</f>
        <v/>
      </c>
      <c r="L157" s="98" t="str">
        <f aca="false">IF($A157="","",IF(K157&gt;=80,"达标","未达标"))</f>
        <v/>
      </c>
      <c r="M157" s="99" t="str">
        <f aca="false">IF($A157="","",IFERROR(AVERAGEIFS(K$2:K157,WEEKNUM(A$2:A157,2),WEEKNUM(A157,2)),K157))</f>
        <v/>
      </c>
      <c r="N157" s="100" t="str">
        <f aca="false">IF($A157="","",IFERROR(COUNTIFS(A$2:A157,"&lt;&gt;",L$2:L157,"达标",WEEKNUM(A$2:A157,2),WEEKNUM(A157,2)),0))</f>
        <v/>
      </c>
      <c r="O157" s="97" t="str">
        <f aca="false">IF($A157="","",IF(L157="达标",IF(ROW()=2,1,IF(O156="",1,O156+1)),0))</f>
        <v/>
      </c>
      <c r="P157" s="98" t="str">
        <f aca="false">IF($A157="","",IF(ROW()&lt;=8,"基准周",IF(K157&gt;75,"改善",IF(K157&lt;60,"恶化","持平"))))</f>
        <v/>
      </c>
    </row>
    <row r="158" customFormat="false" ht="15" hidden="false" customHeight="true" outlineLevel="0" collapsed="false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7" t="str">
        <f aca="false">IF($A158="","",IF(B158=0,20,IF(B158=1,15,IF(B158=2,10,IF(B158=3,5,0))))+IF(C158="否",20,0)+IF(D158="是",20,0)+IF(E158=1,20,IF(E158=2,15,IF(E158=3,10,IF(E158=4,5,0))))+IF(F158="否",20,0))</f>
        <v/>
      </c>
      <c r="L158" s="98" t="str">
        <f aca="false">IF($A158="","",IF(K158&gt;=80,"达标","未达标"))</f>
        <v/>
      </c>
      <c r="M158" s="99" t="str">
        <f aca="false">IF($A158="","",IFERROR(AVERAGEIFS(K$2:K158,WEEKNUM(A$2:A158,2),WEEKNUM(A158,2)),K158))</f>
        <v/>
      </c>
      <c r="N158" s="100" t="str">
        <f aca="false">IF($A158="","",IFERROR(COUNTIFS(A$2:A158,"&lt;&gt;",L$2:L158,"达标",WEEKNUM(A$2:A158,2),WEEKNUM(A158,2)),0))</f>
        <v/>
      </c>
      <c r="O158" s="97" t="str">
        <f aca="false">IF($A158="","",IF(L158="达标",IF(ROW()=2,1,IF(O157="",1,O157+1)),0))</f>
        <v/>
      </c>
      <c r="P158" s="98" t="str">
        <f aca="false">IF($A158="","",IF(ROW()&lt;=8,"基准周",IF(K158&gt;75,"改善",IF(K158&lt;60,"恶化","持平"))))</f>
        <v/>
      </c>
    </row>
    <row r="159" customFormat="false" ht="15" hidden="false" customHeight="true" outlineLevel="0" collapsed="false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97" t="str">
        <f aca="false">IF($A159="","",IF(B159=0,20,IF(B159=1,15,IF(B159=2,10,IF(B159=3,5,0))))+IF(C159="否",20,0)+IF(D159="是",20,0)+IF(E159=1,20,IF(E159=2,15,IF(E159=3,10,IF(E159=4,5,0))))+IF(F159="否",20,0))</f>
        <v/>
      </c>
      <c r="L159" s="98" t="str">
        <f aca="false">IF($A159="","",IF(K159&gt;=80,"达标","未达标"))</f>
        <v/>
      </c>
      <c r="M159" s="99" t="str">
        <f aca="false">IF($A159="","",IFERROR(AVERAGEIFS(K$2:K159,WEEKNUM(A$2:A159,2),WEEKNUM(A159,2)),K159))</f>
        <v/>
      </c>
      <c r="N159" s="100" t="str">
        <f aca="false">IF($A159="","",IFERROR(COUNTIFS(A$2:A159,"&lt;&gt;",L$2:L159,"达标",WEEKNUM(A$2:A159,2),WEEKNUM(A159,2)),0))</f>
        <v/>
      </c>
      <c r="O159" s="97" t="str">
        <f aca="false">IF($A159="","",IF(L159="达标",IF(ROW()=2,1,IF(O158="",1,O158+1)),0))</f>
        <v/>
      </c>
      <c r="P159" s="98" t="str">
        <f aca="false">IF($A159="","",IF(ROW()&lt;=8,"基准周",IF(K159&gt;75,"改善",IF(K159&lt;60,"恶化","持平"))))</f>
        <v/>
      </c>
    </row>
    <row r="160" customFormat="false" ht="15" hidden="false" customHeight="true" outlineLevel="0" collapsed="false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7" t="str">
        <f aca="false">IF($A160="","",IF(B160=0,20,IF(B160=1,15,IF(B160=2,10,IF(B160=3,5,0))))+IF(C160="否",20,0)+IF(D160="是",20,0)+IF(E160=1,20,IF(E160=2,15,IF(E160=3,10,IF(E160=4,5,0))))+IF(F160="否",20,0))</f>
        <v/>
      </c>
      <c r="L160" s="98" t="str">
        <f aca="false">IF($A160="","",IF(K160&gt;=80,"达标","未达标"))</f>
        <v/>
      </c>
      <c r="M160" s="99" t="str">
        <f aca="false">IF($A160="","",IFERROR(AVERAGEIFS(K$2:K160,WEEKNUM(A$2:A160,2),WEEKNUM(A160,2)),K160))</f>
        <v/>
      </c>
      <c r="N160" s="100" t="str">
        <f aca="false">IF($A160="","",IFERROR(COUNTIFS(A$2:A160,"&lt;&gt;",L$2:L160,"达标",WEEKNUM(A$2:A160,2),WEEKNUM(A160,2)),0))</f>
        <v/>
      </c>
      <c r="O160" s="97" t="str">
        <f aca="false">IF($A160="","",IF(L160="达标",IF(ROW()=2,1,IF(O159="",1,O159+1)),0))</f>
        <v/>
      </c>
      <c r="P160" s="98" t="str">
        <f aca="false">IF($A160="","",IF(ROW()&lt;=8,"基准周",IF(K160&gt;K153,"改善",IF(K160&lt;K153,"恶化","持平"))))</f>
        <v/>
      </c>
    </row>
    <row r="161" customFormat="false" ht="15" hidden="false" customHeight="true" outlineLevel="0" collapsed="false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97" t="str">
        <f aca="false">IF($A161="","",IF(B161=0,20,IF(B161=1,15,IF(B161=2,10,IF(B161=3,5,0))))+IF(C161="否",20,0)+IF(D161="是",20,0)+IF(E161=1,20,IF(E161=2,15,IF(E161=3,10,IF(E161=4,5,0))))+IF(F161="否",20,0))</f>
        <v/>
      </c>
      <c r="L161" s="98" t="str">
        <f aca="false">IF($A161="","",IF(K161&gt;=80,"达标","未达标"))</f>
        <v/>
      </c>
      <c r="M161" s="99" t="str">
        <f aca="false">IF($A161="","",IFERROR(AVERAGEIFS(K$2:K161,WEEKNUM(A$2:A161,2),WEEKNUM(A161,2)),K161))</f>
        <v/>
      </c>
      <c r="N161" s="100" t="str">
        <f aca="false">IF($A161="","",IFERROR(COUNTIFS(A$2:A161,"&lt;&gt;",L$2:L161,"达标",WEEKNUM(A$2:A161,2),WEEKNUM(A161,2)),0))</f>
        <v/>
      </c>
      <c r="O161" s="97" t="str">
        <f aca="false">IF($A161="","",IF(L161="达标",IF(ROW()=2,1,IF(O160="",1,O160+1)),0))</f>
        <v/>
      </c>
      <c r="P161" s="98" t="str">
        <f aca="false">IF($A161="","",IF(ROW()&lt;=8,"基准周",IF(K161&gt;75,"改善",IF(K161&lt;60,"恶化","持平"))))</f>
        <v/>
      </c>
    </row>
    <row r="162" customFormat="false" ht="15" hidden="false" customHeight="true" outlineLevel="0" collapsed="false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7" t="str">
        <f aca="false">IF($A162="","",IF(B162=0,20,IF(B162=1,15,IF(B162=2,10,IF(B162=3,5,0))))+IF(C162="否",20,0)+IF(D162="是",20,0)+IF(E162=1,20,IF(E162=2,15,IF(E162=3,10,IF(E162=4,5,0))))+IF(F162="否",20,0))</f>
        <v/>
      </c>
      <c r="L162" s="98" t="str">
        <f aca="false">IF($A162="","",IF(K162&gt;=80,"达标","未达标"))</f>
        <v/>
      </c>
      <c r="M162" s="99" t="str">
        <f aca="false">IF($A162="","",IFERROR(AVERAGEIFS(K$2:K162,WEEKNUM(A$2:A162,2),WEEKNUM(A162,2)),K162))</f>
        <v/>
      </c>
      <c r="N162" s="100" t="str">
        <f aca="false">IF($A162="","",IFERROR(COUNTIFS(A$2:A162,"&lt;&gt;",L$2:L162,"达标",WEEKNUM(A$2:A162,2),WEEKNUM(A162,2)),0))</f>
        <v/>
      </c>
      <c r="O162" s="97" t="str">
        <f aca="false">IF($A162="","",IF(L162="达标",IF(ROW()=2,1,IF(O161="",1,O161+1)),0))</f>
        <v/>
      </c>
      <c r="P162" s="98" t="str">
        <f aca="false">IF($A162="","",IF(ROW()&lt;=8,"基准周",IF(K162&gt;75,"改善",IF(K162&lt;60,"恶化","持平"))))</f>
        <v/>
      </c>
    </row>
    <row r="163" customFormat="false" ht="15" hidden="false" customHeight="true" outlineLevel="0" collapsed="false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97" t="str">
        <f aca="false">IF($A163="","",IF(B163=0,20,IF(B163=1,15,IF(B163=2,10,IF(B163=3,5,0))))+IF(C163="否",20,0)+IF(D163="是",20,0)+IF(E163=1,20,IF(E163=2,15,IF(E163=3,10,IF(E163=4,5,0))))+IF(F163="否",20,0))</f>
        <v/>
      </c>
      <c r="L163" s="98" t="str">
        <f aca="false">IF($A163="","",IF(K163&gt;=80,"达标","未达标"))</f>
        <v/>
      </c>
      <c r="M163" s="99" t="str">
        <f aca="false">IF($A163="","",IFERROR(AVERAGEIFS(K$2:K163,WEEKNUM(A$2:A163,2),WEEKNUM(A163,2)),K163))</f>
        <v/>
      </c>
      <c r="N163" s="100" t="str">
        <f aca="false">IF($A163="","",IFERROR(COUNTIFS(A$2:A163,"&lt;&gt;",L$2:L163,"达标",WEEKNUM(A$2:A163,2),WEEKNUM(A163,2)),0))</f>
        <v/>
      </c>
      <c r="O163" s="97" t="str">
        <f aca="false">IF($A163="","",IF(L163="达标",IF(ROW()=2,1,IF(O162="",1,O162+1)),0))</f>
        <v/>
      </c>
      <c r="P163" s="98" t="str">
        <f aca="false">IF($A163="","",IF(ROW()&lt;=8,"基准周",IF(K163&gt;75,"改善",IF(K163&lt;60,"恶化","持平"))))</f>
        <v/>
      </c>
    </row>
    <row r="164" customFormat="false" ht="15" hidden="false" customHeight="true" outlineLevel="0" collapsed="false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7" t="str">
        <f aca="false">IF($A164="","",IF(B164=0,20,IF(B164=1,15,IF(B164=2,10,IF(B164=3,5,0))))+IF(C164="否",20,0)+IF(D164="是",20,0)+IF(E164=1,20,IF(E164=2,15,IF(E164=3,10,IF(E164=4,5,0))))+IF(F164="否",20,0))</f>
        <v/>
      </c>
      <c r="L164" s="98" t="str">
        <f aca="false">IF($A164="","",IF(K164&gt;=80,"达标","未达标"))</f>
        <v/>
      </c>
      <c r="M164" s="99" t="str">
        <f aca="false">IF($A164="","",IFERROR(AVERAGEIFS(K$2:K164,WEEKNUM(A$2:A164,2),WEEKNUM(A164,2)),K164))</f>
        <v/>
      </c>
      <c r="N164" s="100" t="str">
        <f aca="false">IF($A164="","",IFERROR(COUNTIFS(A$2:A164,"&lt;&gt;",L$2:L164,"达标",WEEKNUM(A$2:A164,2),WEEKNUM(A164,2)),0))</f>
        <v/>
      </c>
      <c r="O164" s="97" t="str">
        <f aca="false">IF($A164="","",IF(L164="达标",IF(ROW()=2,1,IF(O163="",1,O163+1)),0))</f>
        <v/>
      </c>
      <c r="P164" s="98" t="str">
        <f aca="false">IF($A164="","",IF(ROW()&lt;=8,"基准周",IF(K164&gt;75,"改善",IF(K164&lt;60,"恶化","持平"))))</f>
        <v/>
      </c>
    </row>
    <row r="165" customFormat="false" ht="15" hidden="false" customHeight="true" outlineLevel="0" collapsed="false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97" t="str">
        <f aca="false">IF($A165="","",IF(B165=0,20,IF(B165=1,15,IF(B165=2,10,IF(B165=3,5,0))))+IF(C165="否",20,0)+IF(D165="是",20,0)+IF(E165=1,20,IF(E165=2,15,IF(E165=3,10,IF(E165=4,5,0))))+IF(F165="否",20,0))</f>
        <v/>
      </c>
      <c r="L165" s="98" t="str">
        <f aca="false">IF($A165="","",IF(K165&gt;=80,"达标","未达标"))</f>
        <v/>
      </c>
      <c r="M165" s="99" t="str">
        <f aca="false">IF($A165="","",IFERROR(AVERAGEIFS(K$2:K165,WEEKNUM(A$2:A165,2),WEEKNUM(A165,2)),K165))</f>
        <v/>
      </c>
      <c r="N165" s="100" t="str">
        <f aca="false">IF($A165="","",IFERROR(COUNTIFS(A$2:A165,"&lt;&gt;",L$2:L165,"达标",WEEKNUM(A$2:A165,2),WEEKNUM(A165,2)),0))</f>
        <v/>
      </c>
      <c r="O165" s="97" t="str">
        <f aca="false">IF($A165="","",IF(L165="达标",IF(ROW()=2,1,IF(O164="",1,O164+1)),0))</f>
        <v/>
      </c>
      <c r="P165" s="98" t="str">
        <f aca="false">IF($A165="","",IF(ROW()&lt;=8,"基准周",IF(K165&gt;75,"改善",IF(K165&lt;60,"恶化","持平"))))</f>
        <v/>
      </c>
    </row>
    <row r="166" customFormat="false" ht="15" hidden="false" customHeight="true" outlineLevel="0" collapsed="false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7" t="str">
        <f aca="false">IF($A166="","",IF(B166=0,20,IF(B166=1,15,IF(B166=2,10,IF(B166=3,5,0))))+IF(C166="否",20,0)+IF(D166="是",20,0)+IF(E166=1,20,IF(E166=2,15,IF(E166=3,10,IF(E166=4,5,0))))+IF(F166="否",20,0))</f>
        <v/>
      </c>
      <c r="L166" s="98" t="str">
        <f aca="false">IF($A166="","",IF(K166&gt;=80,"达标","未达标"))</f>
        <v/>
      </c>
      <c r="M166" s="99" t="str">
        <f aca="false">IF($A166="","",IFERROR(AVERAGEIFS(K$2:K166,WEEKNUM(A$2:A166,2),WEEKNUM(A166,2)),K166))</f>
        <v/>
      </c>
      <c r="N166" s="100" t="str">
        <f aca="false">IF($A166="","",IFERROR(COUNTIFS(A$2:A166,"&lt;&gt;",L$2:L166,"达标",WEEKNUM(A$2:A166,2),WEEKNUM(A166,2)),0))</f>
        <v/>
      </c>
      <c r="O166" s="97" t="str">
        <f aca="false">IF($A166="","",IF(L166="达标",IF(ROW()=2,1,IF(O165="",1,O165+1)),0))</f>
        <v/>
      </c>
      <c r="P166" s="98" t="str">
        <f aca="false">IF($A166="","",IF(ROW()&lt;=8,"基准周",IF(K166&gt;75,"改善",IF(K166&lt;60,"恶化","持平"))))</f>
        <v/>
      </c>
    </row>
    <row r="167" customFormat="false" ht="15" hidden="false" customHeight="true" outlineLevel="0" collapsed="false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97" t="str">
        <f aca="false">IF($A167="","",IF(B167=0,20,IF(B167=1,15,IF(B167=2,10,IF(B167=3,5,0))))+IF(C167="否",20,0)+IF(D167="是",20,0)+IF(E167=1,20,IF(E167=2,15,IF(E167=3,10,IF(E167=4,5,0))))+IF(F167="否",20,0))</f>
        <v/>
      </c>
      <c r="L167" s="98" t="str">
        <f aca="false">IF($A167="","",IF(K167&gt;=80,"达标","未达标"))</f>
        <v/>
      </c>
      <c r="M167" s="99" t="str">
        <f aca="false">IF($A167="","",IFERROR(AVERAGEIFS(K$2:K167,WEEKNUM(A$2:A167,2),WEEKNUM(A167,2)),K167))</f>
        <v/>
      </c>
      <c r="N167" s="100" t="str">
        <f aca="false">IF($A167="","",IFERROR(COUNTIFS(A$2:A167,"&lt;&gt;",L$2:L167,"达标",WEEKNUM(A$2:A167,2),WEEKNUM(A167,2)),0))</f>
        <v/>
      </c>
      <c r="O167" s="97" t="str">
        <f aca="false">IF($A167="","",IF(L167="达标",IF(ROW()=2,1,IF(O166="",1,O166+1)),0))</f>
        <v/>
      </c>
      <c r="P167" s="98" t="str">
        <f aca="false">IF($A167="","",IF(ROW()&lt;=8,"基准周",IF(K167&gt;K160,"改善",IF(K167&lt;K160,"恶化","持平"))))</f>
        <v/>
      </c>
    </row>
    <row r="168" customFormat="false" ht="15" hidden="false" customHeight="true" outlineLevel="0" collapsed="false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7" t="str">
        <f aca="false">IF($A168="","",IF(B168=0,20,IF(B168=1,15,IF(B168=2,10,IF(B168=3,5,0))))+IF(C168="否",20,0)+IF(D168="是",20,0)+IF(E168=1,20,IF(E168=2,15,IF(E168=3,10,IF(E168=4,5,0))))+IF(F168="否",20,0))</f>
        <v/>
      </c>
      <c r="L168" s="98" t="str">
        <f aca="false">IF($A168="","",IF(K168&gt;=80,"达标","未达标"))</f>
        <v/>
      </c>
      <c r="M168" s="99" t="str">
        <f aca="false">IF($A168="","",IFERROR(AVERAGEIFS(K$2:K168,WEEKNUM(A$2:A168,2),WEEKNUM(A168,2)),K168))</f>
        <v/>
      </c>
      <c r="N168" s="100" t="str">
        <f aca="false">IF($A168="","",IFERROR(COUNTIFS(A$2:A168,"&lt;&gt;",L$2:L168,"达标",WEEKNUM(A$2:A168,2),WEEKNUM(A168,2)),0))</f>
        <v/>
      </c>
      <c r="O168" s="97" t="str">
        <f aca="false">IF($A168="","",IF(L168="达标",IF(ROW()=2,1,IF(O167="",1,O167+1)),0))</f>
        <v/>
      </c>
      <c r="P168" s="98" t="str">
        <f aca="false">IF($A168="","",IF(ROW()&lt;=8,"基准周",IF(K168&gt;75,"改善",IF(K168&lt;60,"恶化","持平"))))</f>
        <v/>
      </c>
    </row>
    <row r="169" customFormat="false" ht="15" hidden="false" customHeight="true" outlineLevel="0" collapsed="false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97" t="str">
        <f aca="false">IF($A169="","",IF(B169=0,20,IF(B169=1,15,IF(B169=2,10,IF(B169=3,5,0))))+IF(C169="否",20,0)+IF(D169="是",20,0)+IF(E169=1,20,IF(E169=2,15,IF(E169=3,10,IF(E169=4,5,0))))+IF(F169="否",20,0))</f>
        <v/>
      </c>
      <c r="L169" s="98" t="str">
        <f aca="false">IF($A169="","",IF(K169&gt;=80,"达标","未达标"))</f>
        <v/>
      </c>
      <c r="M169" s="99" t="str">
        <f aca="false">IF($A169="","",IFERROR(AVERAGEIFS(K$2:K169,WEEKNUM(A$2:A169,2),WEEKNUM(A169,2)),K169))</f>
        <v/>
      </c>
      <c r="N169" s="100" t="str">
        <f aca="false">IF($A169="","",IFERROR(COUNTIFS(A$2:A169,"&lt;&gt;",L$2:L169,"达标",WEEKNUM(A$2:A169,2),WEEKNUM(A169,2)),0))</f>
        <v/>
      </c>
      <c r="O169" s="97" t="str">
        <f aca="false">IF($A169="","",IF(L169="达标",IF(ROW()=2,1,IF(O168="",1,O168+1)),0))</f>
        <v/>
      </c>
      <c r="P169" s="98" t="str">
        <f aca="false">IF($A169="","",IF(ROW()&lt;=8,"基准周",IF(K169&gt;75,"改善",IF(K169&lt;60,"恶化","持平"))))</f>
        <v/>
      </c>
    </row>
    <row r="170" customFormat="false" ht="15" hidden="false" customHeight="true" outlineLevel="0" collapsed="false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7" t="str">
        <f aca="false">IF($A170="","",IF(B170=0,20,IF(B170=1,15,IF(B170=2,10,IF(B170=3,5,0))))+IF(C170="否",20,0)+IF(D170="是",20,0)+IF(E170=1,20,IF(E170=2,15,IF(E170=3,10,IF(E170=4,5,0))))+IF(F170="否",20,0))</f>
        <v/>
      </c>
      <c r="L170" s="98" t="str">
        <f aca="false">IF($A170="","",IF(K170&gt;=80,"达标","未达标"))</f>
        <v/>
      </c>
      <c r="M170" s="99" t="str">
        <f aca="false">IF($A170="","",IFERROR(AVERAGEIFS(K$2:K170,WEEKNUM(A$2:A170,2),WEEKNUM(A170,2)),K170))</f>
        <v/>
      </c>
      <c r="N170" s="100" t="str">
        <f aca="false">IF($A170="","",IFERROR(COUNTIFS(A$2:A170,"&lt;&gt;",L$2:L170,"达标",WEEKNUM(A$2:A170,2),WEEKNUM(A170,2)),0))</f>
        <v/>
      </c>
      <c r="O170" s="97" t="str">
        <f aca="false">IF($A170="","",IF(L170="达标",IF(ROW()=2,1,IF(O169="",1,O169+1)),0))</f>
        <v/>
      </c>
      <c r="P170" s="98" t="str">
        <f aca="false">IF($A170="","",IF(ROW()&lt;=8,"基准周",IF(K170&gt;75,"改善",IF(K170&lt;60,"恶化","持平"))))</f>
        <v/>
      </c>
    </row>
    <row r="171" customFormat="false" ht="15" hidden="false" customHeight="true" outlineLevel="0" collapsed="false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97" t="str">
        <f aca="false">IF($A171="","",IF(B171=0,20,IF(B171=1,15,IF(B171=2,10,IF(B171=3,5,0))))+IF(C171="否",20,0)+IF(D171="是",20,0)+IF(E171=1,20,IF(E171=2,15,IF(E171=3,10,IF(E171=4,5,0))))+IF(F171="否",20,0))</f>
        <v/>
      </c>
      <c r="L171" s="98" t="str">
        <f aca="false">IF($A171="","",IF(K171&gt;=80,"达标","未达标"))</f>
        <v/>
      </c>
      <c r="M171" s="99" t="str">
        <f aca="false">IF($A171="","",IFERROR(AVERAGEIFS(K$2:K171,WEEKNUM(A$2:A171,2),WEEKNUM(A171,2)),K171))</f>
        <v/>
      </c>
      <c r="N171" s="100" t="str">
        <f aca="false">IF($A171="","",IFERROR(COUNTIFS(A$2:A171,"&lt;&gt;",L$2:L171,"达标",WEEKNUM(A$2:A171,2),WEEKNUM(A171,2)),0))</f>
        <v/>
      </c>
      <c r="O171" s="97" t="str">
        <f aca="false">IF($A171="","",IF(L171="达标",IF(ROW()=2,1,IF(O170="",1,O170+1)),0))</f>
        <v/>
      </c>
      <c r="P171" s="98" t="str">
        <f aca="false">IF($A171="","",IF(ROW()&lt;=8,"基准周",IF(K171&gt;75,"改善",IF(K171&lt;60,"恶化","持平"))))</f>
        <v/>
      </c>
    </row>
    <row r="172" customFormat="false" ht="15" hidden="false" customHeight="true" outlineLevel="0" collapsed="false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7" t="str">
        <f aca="false">IF($A172="","",IF(B172=0,20,IF(B172=1,15,IF(B172=2,10,IF(B172=3,5,0))))+IF(C172="否",20,0)+IF(D172="是",20,0)+IF(E172=1,20,IF(E172=2,15,IF(E172=3,10,IF(E172=4,5,0))))+IF(F172="否",20,0))</f>
        <v/>
      </c>
      <c r="L172" s="98" t="str">
        <f aca="false">IF($A172="","",IF(K172&gt;=80,"达标","未达标"))</f>
        <v/>
      </c>
      <c r="M172" s="99" t="str">
        <f aca="false">IF($A172="","",IFERROR(AVERAGEIFS(K$2:K172,WEEKNUM(A$2:A172,2),WEEKNUM(A172,2)),K172))</f>
        <v/>
      </c>
      <c r="N172" s="100" t="str">
        <f aca="false">IF($A172="","",IFERROR(COUNTIFS(A$2:A172,"&lt;&gt;",L$2:L172,"达标",WEEKNUM(A$2:A172,2),WEEKNUM(A172,2)),0))</f>
        <v/>
      </c>
      <c r="O172" s="97" t="str">
        <f aca="false">IF($A172="","",IF(L172="达标",IF(ROW()=2,1,IF(O171="",1,O171+1)),0))</f>
        <v/>
      </c>
      <c r="P172" s="98" t="str">
        <f aca="false">IF($A172="","",IF(ROW()&lt;=8,"基准周",IF(K172&gt;75,"改善",IF(K172&lt;60,"恶化","持平"))))</f>
        <v/>
      </c>
    </row>
    <row r="173" customFormat="false" ht="15" hidden="false" customHeight="true" outlineLevel="0" collapsed="false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97" t="str">
        <f aca="false">IF($A173="","",IF(B173=0,20,IF(B173=1,15,IF(B173=2,10,IF(B173=3,5,0))))+IF(C173="否",20,0)+IF(D173="是",20,0)+IF(E173=1,20,IF(E173=2,15,IF(E173=3,10,IF(E173=4,5,0))))+IF(F173="否",20,0))</f>
        <v/>
      </c>
      <c r="L173" s="98" t="str">
        <f aca="false">IF($A173="","",IF(K173&gt;=80,"达标","未达标"))</f>
        <v/>
      </c>
      <c r="M173" s="99" t="str">
        <f aca="false">IF($A173="","",IFERROR(AVERAGEIFS(K$2:K173,WEEKNUM(A$2:A173,2),WEEKNUM(A173,2)),K173))</f>
        <v/>
      </c>
      <c r="N173" s="100" t="str">
        <f aca="false">IF($A173="","",IFERROR(COUNTIFS(A$2:A173,"&lt;&gt;",L$2:L173,"达标",WEEKNUM(A$2:A173,2),WEEKNUM(A173,2)),0))</f>
        <v/>
      </c>
      <c r="O173" s="97" t="str">
        <f aca="false">IF($A173="","",IF(L173="达标",IF(ROW()=2,1,IF(O172="",1,O172+1)),0))</f>
        <v/>
      </c>
      <c r="P173" s="98" t="str">
        <f aca="false">IF($A173="","",IF(ROW()&lt;=8,"基准周",IF(K173&gt;75,"改善",IF(K173&lt;60,"恶化","持平"))))</f>
        <v/>
      </c>
    </row>
    <row r="174" customFormat="false" ht="15" hidden="false" customHeight="true" outlineLevel="0" collapsed="false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7" t="str">
        <f aca="false">IF($A174="","",IF(B174=0,20,IF(B174=1,15,IF(B174=2,10,IF(B174=3,5,0))))+IF(C174="否",20,0)+IF(D174="是",20,0)+IF(E174=1,20,IF(E174=2,15,IF(E174=3,10,IF(E174=4,5,0))))+IF(F174="否",20,0))</f>
        <v/>
      </c>
      <c r="L174" s="98" t="str">
        <f aca="false">IF($A174="","",IF(K174&gt;=80,"达标","未达标"))</f>
        <v/>
      </c>
      <c r="M174" s="99" t="str">
        <f aca="false">IF($A174="","",IFERROR(AVERAGEIFS(K$2:K174,WEEKNUM(A$2:A174,2),WEEKNUM(A174,2)),K174))</f>
        <v/>
      </c>
      <c r="N174" s="100" t="str">
        <f aca="false">IF($A174="","",IFERROR(COUNTIFS(A$2:A174,"&lt;&gt;",L$2:L174,"达标",WEEKNUM(A$2:A174,2),WEEKNUM(A174,2)),0))</f>
        <v/>
      </c>
      <c r="O174" s="97" t="str">
        <f aca="false">IF($A174="","",IF(L174="达标",IF(ROW()=2,1,IF(O173="",1,O173+1)),0))</f>
        <v/>
      </c>
      <c r="P174" s="98" t="str">
        <f aca="false">IF($A174="","",IF(ROW()&lt;=8,"基准周",IF(K174&gt;75,"改善",IF(K174&lt;60,"恶化","持平"))))</f>
        <v/>
      </c>
    </row>
    <row r="175" customFormat="false" ht="15" hidden="false" customHeight="true" outlineLevel="0" collapsed="false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97" t="str">
        <f aca="false">IF($A175="","",IF(B175=0,20,IF(B175=1,15,IF(B175=2,10,IF(B175=3,5,0))))+IF(C175="否",20,0)+IF(D175="是",20,0)+IF(E175=1,20,IF(E175=2,15,IF(E175=3,10,IF(E175=4,5,0))))+IF(F175="否",20,0))</f>
        <v/>
      </c>
      <c r="L175" s="98" t="str">
        <f aca="false">IF($A175="","",IF(K175&gt;=80,"达标","未达标"))</f>
        <v/>
      </c>
      <c r="M175" s="99" t="str">
        <f aca="false">IF($A175="","",IFERROR(AVERAGEIFS(K$2:K175,WEEKNUM(A$2:A175,2),WEEKNUM(A175,2)),K175))</f>
        <v/>
      </c>
      <c r="N175" s="100" t="str">
        <f aca="false">IF($A175="","",IFERROR(COUNTIFS(A$2:A175,"&lt;&gt;",L$2:L175,"达标",WEEKNUM(A$2:A175,2),WEEKNUM(A175,2)),0))</f>
        <v/>
      </c>
      <c r="O175" s="97" t="str">
        <f aca="false">IF($A175="","",IF(L175="达标",IF(ROW()=2,1,IF(O174="",1,O174+1)),0))</f>
        <v/>
      </c>
      <c r="P175" s="98" t="str">
        <f aca="false">IF($A175="","",IF(ROW()&lt;=8,"基准周",IF(K175&gt;K168,"改善",IF(K175&lt;K168,"恶化","持平"))))</f>
        <v/>
      </c>
    </row>
    <row r="176" customFormat="false" ht="15" hidden="false" customHeight="true" outlineLevel="0" collapsed="false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7" t="str">
        <f aca="false">IF($A176="","",IF(B176=0,20,IF(B176=1,15,IF(B176=2,10,IF(B176=3,5,0))))+IF(C176="否",20,0)+IF(D176="是",20,0)+IF(E176=1,20,IF(E176=2,15,IF(E176=3,10,IF(E176=4,5,0))))+IF(F176="否",20,0))</f>
        <v/>
      </c>
      <c r="L176" s="98" t="str">
        <f aca="false">IF($A176="","",IF(K176&gt;=80,"达标","未达标"))</f>
        <v/>
      </c>
      <c r="M176" s="99" t="str">
        <f aca="false">IF($A176="","",IFERROR(AVERAGEIFS(K$2:K176,WEEKNUM(A$2:A176,2),WEEKNUM(A176,2)),K176))</f>
        <v/>
      </c>
      <c r="N176" s="100" t="str">
        <f aca="false">IF($A176="","",IFERROR(COUNTIFS(A$2:A176,"&lt;&gt;",L$2:L176,"达标",WEEKNUM(A$2:A176,2),WEEKNUM(A176,2)),0))</f>
        <v/>
      </c>
      <c r="O176" s="97" t="str">
        <f aca="false">IF($A176="","",IF(L176="达标",IF(ROW()=2,1,IF(O175="",1,O175+1)),0))</f>
        <v/>
      </c>
      <c r="P176" s="98" t="str">
        <f aca="false">IF($A176="","",IF(ROW()&lt;=8,"基准周",IF(K176&gt;75,"改善",IF(K176&lt;60,"恶化","持平"))))</f>
        <v/>
      </c>
    </row>
    <row r="177" customFormat="false" ht="15" hidden="false" customHeight="true" outlineLevel="0" collapsed="false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97" t="str">
        <f aca="false">IF($A177="","",IF(B177=0,20,IF(B177=1,15,IF(B177=2,10,IF(B177=3,5,0))))+IF(C177="否",20,0)+IF(D177="是",20,0)+IF(E177=1,20,IF(E177=2,15,IF(E177=3,10,IF(E177=4,5,0))))+IF(F177="否",20,0))</f>
        <v/>
      </c>
      <c r="L177" s="98" t="str">
        <f aca="false">IF($A177="","",IF(K177&gt;=80,"达标","未达标"))</f>
        <v/>
      </c>
      <c r="M177" s="99" t="str">
        <f aca="false">IF($A177="","",IFERROR(AVERAGEIFS(K$2:K177,WEEKNUM(A$2:A177,2),WEEKNUM(A177,2)),K177))</f>
        <v/>
      </c>
      <c r="N177" s="100" t="str">
        <f aca="false">IF($A177="","",IFERROR(COUNTIFS(A$2:A177,"&lt;&gt;",L$2:L177,"达标",WEEKNUM(A$2:A177,2),WEEKNUM(A177,2)),0))</f>
        <v/>
      </c>
      <c r="O177" s="97" t="str">
        <f aca="false">IF($A177="","",IF(L177="达标",IF(ROW()=2,1,IF(O176="",1,O176+1)),0))</f>
        <v/>
      </c>
      <c r="P177" s="98" t="str">
        <f aca="false">IF($A177="","",IF(ROW()&lt;=8,"基准周",IF(K177&gt;75,"改善",IF(K177&lt;60,"恶化","持平"))))</f>
        <v/>
      </c>
    </row>
    <row r="178" customFormat="false" ht="15" hidden="false" customHeight="true" outlineLevel="0" collapsed="false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7" t="str">
        <f aca="false">IF($A178="","",IF(B178=0,20,IF(B178=1,15,IF(B178=2,10,IF(B178=3,5,0))))+IF(C178="否",20,0)+IF(D178="是",20,0)+IF(E178=1,20,IF(E178=2,15,IF(E178=3,10,IF(E178=4,5,0))))+IF(F178="否",20,0))</f>
        <v/>
      </c>
      <c r="L178" s="98" t="str">
        <f aca="false">IF($A178="","",IF(K178&gt;=80,"达标","未达标"))</f>
        <v/>
      </c>
      <c r="M178" s="99" t="str">
        <f aca="false">IF($A178="","",IFERROR(AVERAGEIFS(K$2:K178,WEEKNUM(A$2:A178,2),WEEKNUM(A178,2)),K178))</f>
        <v/>
      </c>
      <c r="N178" s="100" t="str">
        <f aca="false">IF($A178="","",IFERROR(COUNTIFS(A$2:A178,"&lt;&gt;",L$2:L178,"达标",WEEKNUM(A$2:A178,2),WEEKNUM(A178,2)),0))</f>
        <v/>
      </c>
      <c r="O178" s="97" t="str">
        <f aca="false">IF($A178="","",IF(L178="达标",IF(ROW()=2,1,IF(O177="",1,O177+1)),0))</f>
        <v/>
      </c>
      <c r="P178" s="98" t="str">
        <f aca="false">IF($A178="","",IF(ROW()&lt;=8,"基准周",IF(K178&gt;75,"改善",IF(K178&lt;60,"恶化","持平"))))</f>
        <v/>
      </c>
    </row>
    <row r="179" customFormat="false" ht="15" hidden="false" customHeight="true" outlineLevel="0" collapsed="false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97" t="str">
        <f aca="false">IF($A179="","",IF(B179=0,20,IF(B179=1,15,IF(B179=2,10,IF(B179=3,5,0))))+IF(C179="否",20,0)+IF(D179="是",20,0)+IF(E179=1,20,IF(E179=2,15,IF(E179=3,10,IF(E179=4,5,0))))+IF(F179="否",20,0))</f>
        <v/>
      </c>
      <c r="L179" s="98" t="str">
        <f aca="false">IF($A179="","",IF(K179&gt;=80,"达标","未达标"))</f>
        <v/>
      </c>
      <c r="M179" s="99" t="str">
        <f aca="false">IF($A179="","",IFERROR(AVERAGEIFS(K$2:K179,WEEKNUM(A$2:A179,2),WEEKNUM(A179,2)),K179))</f>
        <v/>
      </c>
      <c r="N179" s="100" t="str">
        <f aca="false">IF($A179="","",IFERROR(COUNTIFS(A$2:A179,"&lt;&gt;",L$2:L179,"达标",WEEKNUM(A$2:A179,2),WEEKNUM(A179,2)),0))</f>
        <v/>
      </c>
      <c r="O179" s="97" t="str">
        <f aca="false">IF($A179="","",IF(L179="达标",IF(ROW()=2,1,IF(O178="",1,O178+1)),0))</f>
        <v/>
      </c>
      <c r="P179" s="98" t="str">
        <f aca="false">IF($A179="","",IF(ROW()&lt;=8,"基准周",IF(K179&gt;75,"改善",IF(K179&lt;60,"恶化","持平"))))</f>
        <v/>
      </c>
    </row>
    <row r="180" customFormat="false" ht="15" hidden="false" customHeight="true" outlineLevel="0" collapsed="false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7" t="str">
        <f aca="false">IF($A180="","",IF(B180=0,20,IF(B180=1,15,IF(B180=2,10,IF(B180=3,5,0))))+IF(C180="否",20,0)+IF(D180="是",20,0)+IF(E180=1,20,IF(E180=2,15,IF(E180=3,10,IF(E180=4,5,0))))+IF(F180="否",20,0))</f>
        <v/>
      </c>
      <c r="L180" s="98" t="str">
        <f aca="false">IF($A180="","",IF(K180&gt;=80,"达标","未达标"))</f>
        <v/>
      </c>
      <c r="M180" s="99" t="str">
        <f aca="false">IF($A180="","",IFERROR(AVERAGEIFS(K$2:K180,WEEKNUM(A$2:A180,2),WEEKNUM(A180,2)),K180))</f>
        <v/>
      </c>
      <c r="N180" s="100" t="str">
        <f aca="false">IF($A180="","",IFERROR(COUNTIFS(A$2:A180,"&lt;&gt;",L$2:L180,"达标",WEEKNUM(A$2:A180,2),WEEKNUM(A180,2)),0))</f>
        <v/>
      </c>
      <c r="O180" s="97" t="str">
        <f aca="false">IF($A180="","",IF(L180="达标",IF(ROW()=2,1,IF(O179="",1,O179+1)),0))</f>
        <v/>
      </c>
      <c r="P180" s="98" t="str">
        <f aca="false">IF($A180="","",IF(ROW()&lt;=8,"基准周",IF(K180&gt;75,"改善",IF(K180&lt;60,"恶化","持平"))))</f>
        <v/>
      </c>
    </row>
    <row r="181" customFormat="false" ht="15" hidden="false" customHeight="true" outlineLevel="0" collapsed="false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97" t="str">
        <f aca="false">IF($A181="","",IF(B181=0,20,IF(B181=1,15,IF(B181=2,10,IF(B181=3,5,0))))+IF(C181="否",20,0)+IF(D181="是",20,0)+IF(E181=1,20,IF(E181=2,15,IF(E181=3,10,IF(E181=4,5,0))))+IF(F181="否",20,0))</f>
        <v/>
      </c>
      <c r="L181" s="98" t="str">
        <f aca="false">IF($A181="","",IF(K181&gt;=80,"达标","未达标"))</f>
        <v/>
      </c>
      <c r="M181" s="99" t="str">
        <f aca="false">IF($A181="","",IFERROR(AVERAGEIFS(K$2:K181,WEEKNUM(A$2:A181,2),WEEKNUM(A181,2)),K181))</f>
        <v/>
      </c>
      <c r="N181" s="100" t="str">
        <f aca="false">IF($A181="","",IFERROR(COUNTIFS(A$2:A181,"&lt;&gt;",L$2:L181,"达标",WEEKNUM(A$2:A181,2),WEEKNUM(A181,2)),0))</f>
        <v/>
      </c>
      <c r="O181" s="97" t="str">
        <f aca="false">IF($A181="","",IF(L181="达标",IF(ROW()=2,1,IF(O180="",1,O180+1)),0))</f>
        <v/>
      </c>
      <c r="P181" s="98" t="str">
        <f aca="false">IF($A181="","",IF(ROW()&lt;=8,"基准周",IF(K181&gt;75,"改善",IF(K181&lt;60,"恶化","持平"))))</f>
        <v/>
      </c>
    </row>
    <row r="182" customFormat="false" ht="15" hidden="false" customHeight="true" outlineLevel="0" collapsed="false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7" t="str">
        <f aca="false">IF($A182="","",IF(B182=0,20,IF(B182=1,15,IF(B182=2,10,IF(B182=3,5,0))))+IF(C182="否",20,0)+IF(D182="是",20,0)+IF(E182=1,20,IF(E182=2,15,IF(E182=3,10,IF(E182=4,5,0))))+IF(F182="否",20,0))</f>
        <v/>
      </c>
      <c r="L182" s="98" t="str">
        <f aca="false">IF($A182="","",IF(K182&gt;=80,"达标","未达标"))</f>
        <v/>
      </c>
      <c r="M182" s="99" t="str">
        <f aca="false">IF($A182="","",IFERROR(AVERAGEIFS(K$2:K182,WEEKNUM(A$2:A182,2),WEEKNUM(A182,2)),K182))</f>
        <v/>
      </c>
      <c r="N182" s="100" t="str">
        <f aca="false">IF($A182="","",IFERROR(COUNTIFS(A$2:A182,"&lt;&gt;",L$2:L182,"达标",WEEKNUM(A$2:A182,2),WEEKNUM(A182,2)),0))</f>
        <v/>
      </c>
      <c r="O182" s="97" t="str">
        <f aca="false">IF($A182="","",IF(L182="达标",IF(ROW()=2,1,IF(O181="",1,O181+1)),0))</f>
        <v/>
      </c>
      <c r="P182" s="98" t="str">
        <f aca="false">IF($A182="","",IF(ROW()&lt;=8,"基准周",IF(K182&gt;K175,"改善",IF(K182&lt;K175,"恶化","持平"))))</f>
        <v/>
      </c>
    </row>
    <row r="183" customFormat="false" ht="15" hidden="false" customHeight="true" outlineLevel="0" collapsed="false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97" t="str">
        <f aca="false">IF($A183="","",IF(B183=0,20,IF(B183=1,15,IF(B183=2,10,IF(B183=3,5,0))))+IF(C183="否",20,0)+IF(D183="是",20,0)+IF(E183=1,20,IF(E183=2,15,IF(E183=3,10,IF(E183=4,5,0))))+IF(F183="否",20,0))</f>
        <v/>
      </c>
      <c r="L183" s="98" t="str">
        <f aca="false">IF($A183="","",IF(K183&gt;=80,"达标","未达标"))</f>
        <v/>
      </c>
      <c r="M183" s="99" t="str">
        <f aca="false">IF($A183="","",IFERROR(AVERAGEIFS(K$2:K183,WEEKNUM(A$2:A183,2),WEEKNUM(A183,2)),K183))</f>
        <v/>
      </c>
      <c r="N183" s="100" t="str">
        <f aca="false">IF($A183="","",IFERROR(COUNTIFS(A$2:A183,"&lt;&gt;",L$2:L183,"达标",WEEKNUM(A$2:A183,2),WEEKNUM(A183,2)),0))</f>
        <v/>
      </c>
      <c r="O183" s="97" t="str">
        <f aca="false">IF($A183="","",IF(L183="达标",IF(ROW()=2,1,IF(O182="",1,O182+1)),0))</f>
        <v/>
      </c>
      <c r="P183" s="98" t="str">
        <f aca="false">IF($A183="","",IF(ROW()&lt;=8,"基准周",IF(K183&gt;75,"改善",IF(K183&lt;60,"恶化","持平"))))</f>
        <v/>
      </c>
    </row>
    <row r="184" customFormat="false" ht="15" hidden="false" customHeight="true" outlineLevel="0" collapsed="false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7" t="str">
        <f aca="false">IF($A184="","",IF(B184=0,20,IF(B184=1,15,IF(B184=2,10,IF(B184=3,5,0))))+IF(C184="否",20,0)+IF(D184="是",20,0)+IF(E184=1,20,IF(E184=2,15,IF(E184=3,10,IF(E184=4,5,0))))+IF(F184="否",20,0))</f>
        <v/>
      </c>
      <c r="L184" s="98" t="str">
        <f aca="false">IF($A184="","",IF(K184&gt;=80,"达标","未达标"))</f>
        <v/>
      </c>
      <c r="M184" s="99" t="str">
        <f aca="false">IF($A184="","",IFERROR(AVERAGEIFS(K$2:K184,WEEKNUM(A$2:A184,2),WEEKNUM(A184,2)),K184))</f>
        <v/>
      </c>
      <c r="N184" s="100" t="str">
        <f aca="false">IF($A184="","",IFERROR(COUNTIFS(A$2:A184,"&lt;&gt;",L$2:L184,"达标",WEEKNUM(A$2:A184,2),WEEKNUM(A184,2)),0))</f>
        <v/>
      </c>
      <c r="O184" s="97" t="str">
        <f aca="false">IF($A184="","",IF(L184="达标",IF(ROW()=2,1,IF(O183="",1,O183+1)),0))</f>
        <v/>
      </c>
      <c r="P184" s="98" t="str">
        <f aca="false">IF($A184="","",IF(ROW()&lt;=8,"基准周",IF(K184&gt;75,"改善",IF(K184&lt;60,"恶化","持平"))))</f>
        <v/>
      </c>
    </row>
    <row r="185" customFormat="false" ht="15" hidden="false" customHeight="true" outlineLevel="0" collapsed="false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97" t="str">
        <f aca="false">IF($A185="","",IF(B185=0,20,IF(B185=1,15,IF(B185=2,10,IF(B185=3,5,0))))+IF(C185="否",20,0)+IF(D185="是",20,0)+IF(E185=1,20,IF(E185=2,15,IF(E185=3,10,IF(E185=4,5,0))))+IF(F185="否",20,0))</f>
        <v/>
      </c>
      <c r="L185" s="98" t="str">
        <f aca="false">IF($A185="","",IF(K185&gt;=80,"达标","未达标"))</f>
        <v/>
      </c>
      <c r="M185" s="99" t="str">
        <f aca="false">IF($A185="","",IFERROR(AVERAGEIFS(K$2:K185,WEEKNUM(A$2:A185,2),WEEKNUM(A185,2)),K185))</f>
        <v/>
      </c>
      <c r="N185" s="100" t="str">
        <f aca="false">IF($A185="","",IFERROR(COUNTIFS(A$2:A185,"&lt;&gt;",L$2:L185,"达标",WEEKNUM(A$2:A185,2),WEEKNUM(A185,2)),0))</f>
        <v/>
      </c>
      <c r="O185" s="97" t="str">
        <f aca="false">IF($A185="","",IF(L185="达标",IF(ROW()=2,1,IF(O184="",1,O184+1)),0))</f>
        <v/>
      </c>
      <c r="P185" s="98" t="str">
        <f aca="false">IF($A185="","",IF(ROW()&lt;=8,"基准周",IF(K185&gt;75,"改善",IF(K185&lt;60,"恶化","持平"))))</f>
        <v/>
      </c>
    </row>
    <row r="186" customFormat="false" ht="15" hidden="false" customHeight="true" outlineLevel="0" collapsed="false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7" t="str">
        <f aca="false">IF($A186="","",IF(B186=0,20,IF(B186=1,15,IF(B186=2,10,IF(B186=3,5,0))))+IF(C186="否",20,0)+IF(D186="是",20,0)+IF(E186=1,20,IF(E186=2,15,IF(E186=3,10,IF(E186=4,5,0))))+IF(F186="否",20,0))</f>
        <v/>
      </c>
      <c r="L186" s="98" t="str">
        <f aca="false">IF($A186="","",IF(K186&gt;=80,"达标","未达标"))</f>
        <v/>
      </c>
      <c r="M186" s="99" t="str">
        <f aca="false">IF($A186="","",IFERROR(AVERAGEIFS(K$2:K186,WEEKNUM(A$2:A186,2),WEEKNUM(A186,2)),K186))</f>
        <v/>
      </c>
      <c r="N186" s="100" t="str">
        <f aca="false">IF($A186="","",IFERROR(COUNTIFS(A$2:A186,"&lt;&gt;",L$2:L186,"达标",WEEKNUM(A$2:A186,2),WEEKNUM(A186,2)),0))</f>
        <v/>
      </c>
      <c r="O186" s="97" t="str">
        <f aca="false">IF($A186="","",IF(L186="达标",IF(ROW()=2,1,IF(O185="",1,O185+1)),0))</f>
        <v/>
      </c>
      <c r="P186" s="98" t="str">
        <f aca="false">IF($A186="","",IF(ROW()&lt;=8,"基准周",IF(K186&gt;75,"改善",IF(K186&lt;60,"恶化","持平"))))</f>
        <v/>
      </c>
    </row>
    <row r="187" customFormat="false" ht="15" hidden="false" customHeight="true" outlineLevel="0" collapsed="false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97" t="str">
        <f aca="false">IF($A187="","",IF(B187=0,20,IF(B187=1,15,IF(B187=2,10,IF(B187=3,5,0))))+IF(C187="否",20,0)+IF(D187="是",20,0)+IF(E187=1,20,IF(E187=2,15,IF(E187=3,10,IF(E187=4,5,0))))+IF(F187="否",20,0))</f>
        <v/>
      </c>
      <c r="L187" s="98" t="str">
        <f aca="false">IF($A187="","",IF(K187&gt;=80,"达标","未达标"))</f>
        <v/>
      </c>
      <c r="M187" s="99" t="str">
        <f aca="false">IF($A187="","",IFERROR(AVERAGEIFS(K$2:K187,WEEKNUM(A$2:A187,2),WEEKNUM(A187,2)),K187))</f>
        <v/>
      </c>
      <c r="N187" s="100" t="str">
        <f aca="false">IF($A187="","",IFERROR(COUNTIFS(A$2:A187,"&lt;&gt;",L$2:L187,"达标",WEEKNUM(A$2:A187,2),WEEKNUM(A187,2)),0))</f>
        <v/>
      </c>
      <c r="O187" s="97" t="str">
        <f aca="false">IF($A187="","",IF(L187="达标",IF(ROW()=2,1,IF(O186="",1,O186+1)),0))</f>
        <v/>
      </c>
      <c r="P187" s="98" t="str">
        <f aca="false">IF($A187="","",IF(ROW()&lt;=8,"基准周",IF(K187&gt;75,"改善",IF(K187&lt;60,"恶化","持平"))))</f>
        <v/>
      </c>
    </row>
    <row r="188" customFormat="false" ht="15" hidden="false" customHeight="true" outlineLevel="0" collapsed="false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7" t="str">
        <f aca="false">IF($A188="","",IF(B188=0,20,IF(B188=1,15,IF(B188=2,10,IF(B188=3,5,0))))+IF(C188="否",20,0)+IF(D188="是",20,0)+IF(E188=1,20,IF(E188=2,15,IF(E188=3,10,IF(E188=4,5,0))))+IF(F188="否",20,0))</f>
        <v/>
      </c>
      <c r="L188" s="98" t="str">
        <f aca="false">IF($A188="","",IF(K188&gt;=80,"达标","未达标"))</f>
        <v/>
      </c>
      <c r="M188" s="99" t="str">
        <f aca="false">IF($A188="","",IFERROR(AVERAGEIFS(K$2:K188,WEEKNUM(A$2:A188,2),WEEKNUM(A188,2)),K188))</f>
        <v/>
      </c>
      <c r="N188" s="100" t="str">
        <f aca="false">IF($A188="","",IFERROR(COUNTIFS(A$2:A188,"&lt;&gt;",L$2:L188,"达标",WEEKNUM(A$2:A188,2),WEEKNUM(A188,2)),0))</f>
        <v/>
      </c>
      <c r="O188" s="97" t="str">
        <f aca="false">IF($A188="","",IF(L188="达标",IF(ROW()=2,1,IF(O187="",1,O187+1)),0))</f>
        <v/>
      </c>
      <c r="P188" s="98" t="str">
        <f aca="false">IF($A188="","",IF(ROW()&lt;=8,"基准周",IF(K188&gt;75,"改善",IF(K188&lt;60,"恶化","持平"))))</f>
        <v/>
      </c>
    </row>
    <row r="189" customFormat="false" ht="15" hidden="false" customHeight="true" outlineLevel="0" collapsed="false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97" t="str">
        <f aca="false">IF($A189="","",IF(B189=0,20,IF(B189=1,15,IF(B189=2,10,IF(B189=3,5,0))))+IF(C189="否",20,0)+IF(D189="是",20,0)+IF(E189=1,20,IF(E189=2,15,IF(E189=3,10,IF(E189=4,5,0))))+IF(F189="否",20,0))</f>
        <v/>
      </c>
      <c r="L189" s="98" t="str">
        <f aca="false">IF($A189="","",IF(K189&gt;=80,"达标","未达标"))</f>
        <v/>
      </c>
      <c r="M189" s="99" t="str">
        <f aca="false">IF($A189="","",IFERROR(AVERAGEIFS(K$2:K189,WEEKNUM(A$2:A189,2),WEEKNUM(A189,2)),K189))</f>
        <v/>
      </c>
      <c r="N189" s="100" t="str">
        <f aca="false">IF($A189="","",IFERROR(COUNTIFS(A$2:A189,"&lt;&gt;",L$2:L189,"达标",WEEKNUM(A$2:A189,2),WEEKNUM(A189,2)),0))</f>
        <v/>
      </c>
      <c r="O189" s="97" t="str">
        <f aca="false">IF($A189="","",IF(L189="达标",IF(ROW()=2,1,IF(O188="",1,O188+1)),0))</f>
        <v/>
      </c>
      <c r="P189" s="98" t="str">
        <f aca="false">IF($A189="","",IF(ROW()&lt;=8,"基准周",IF(K189&gt;75,"改善",IF(K189&lt;60,"恶化","持平"))))</f>
        <v/>
      </c>
    </row>
    <row r="190" customFormat="false" ht="15" hidden="false" customHeight="true" outlineLevel="0" collapsed="false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7" t="str">
        <f aca="false">IF($A190="","",IF(B190=0,20,IF(B190=1,15,IF(B190=2,10,IF(B190=3,5,0))))+IF(C190="否",20,0)+IF(D190="是",20,0)+IF(E190=1,20,IF(E190=2,15,IF(E190=3,10,IF(E190=4,5,0))))+IF(F190="否",20,0))</f>
        <v/>
      </c>
      <c r="L190" s="98" t="str">
        <f aca="false">IF($A190="","",IF(K190&gt;=80,"达标","未达标"))</f>
        <v/>
      </c>
      <c r="M190" s="99" t="str">
        <f aca="false">IF($A190="","",IFERROR(AVERAGEIFS(K$2:K190,WEEKNUM(A$2:A190,2),WEEKNUM(A190,2)),K190))</f>
        <v/>
      </c>
      <c r="N190" s="100" t="str">
        <f aca="false">IF($A190="","",IFERROR(COUNTIFS(A$2:A190,"&lt;&gt;",L$2:L190,"达标",WEEKNUM(A$2:A190,2),WEEKNUM(A190,2)),0))</f>
        <v/>
      </c>
      <c r="O190" s="97" t="str">
        <f aca="false">IF($A190="","",IF(L190="达标",IF(ROW()=2,1,IF(O189="",1,O189+1)),0))</f>
        <v/>
      </c>
      <c r="P190" s="98" t="str">
        <f aca="false">IF($A190="","",IF(ROW()&lt;=8,"基准周",IF(K190&gt;75,"改善",IF(K190&lt;60,"恶化","持平"))))</f>
        <v/>
      </c>
    </row>
    <row r="191" customFormat="false" ht="15" hidden="false" customHeight="true" outlineLevel="0" collapsed="false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97" t="str">
        <f aca="false">IF($A191="","",IF(B191=0,20,IF(B191=1,15,IF(B191=2,10,IF(B191=3,5,0))))+IF(C191="否",20,0)+IF(D191="是",20,0)+IF(E191=1,20,IF(E191=2,15,IF(E191=3,10,IF(E191=4,5,0))))+IF(F191="否",20,0))</f>
        <v/>
      </c>
      <c r="L191" s="98" t="str">
        <f aca="false">IF($A191="","",IF(K191&gt;=80,"达标","未达标"))</f>
        <v/>
      </c>
      <c r="M191" s="99" t="str">
        <f aca="false">IF($A191="","",IFERROR(AVERAGEIFS(K$2:K191,WEEKNUM(A$2:A191,2),WEEKNUM(A191,2)),K191))</f>
        <v/>
      </c>
      <c r="N191" s="100" t="str">
        <f aca="false">IF($A191="","",IFERROR(COUNTIFS(A$2:A191,"&lt;&gt;",L$2:L191,"达标",WEEKNUM(A$2:A191,2),WEEKNUM(A191,2)),0))</f>
        <v/>
      </c>
      <c r="O191" s="97" t="str">
        <f aca="false">IF($A191="","",IF(L191="达标",IF(ROW()=2,1,IF(O190="",1,O190+1)),0))</f>
        <v/>
      </c>
      <c r="P191" s="98" t="str">
        <f aca="false">IF($A191="","",IF(ROW()&lt;=8,"基准周",IF(K191&gt;75,"改善",IF(K191&lt;60,"恶化","持平"))))</f>
        <v/>
      </c>
    </row>
    <row r="192" customFormat="false" ht="15" hidden="false" customHeight="true" outlineLevel="0" collapsed="false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7" t="str">
        <f aca="false">IF($A192="","",IF(B192=0,20,IF(B192=1,15,IF(B192=2,10,IF(B192=3,5,0))))+IF(C192="否",20,0)+IF(D192="是",20,0)+IF(E192=1,20,IF(E192=2,15,IF(E192=3,10,IF(E192=4,5,0))))+IF(F192="否",20,0))</f>
        <v/>
      </c>
      <c r="L192" s="98" t="str">
        <f aca="false">IF($A192="","",IF(K192&gt;=80,"达标","未达标"))</f>
        <v/>
      </c>
      <c r="M192" s="99" t="str">
        <f aca="false">IF($A192="","",IFERROR(AVERAGEIFS(K$2:K192,WEEKNUM(A$2:A192,2),WEEKNUM(A192,2)),K192))</f>
        <v/>
      </c>
      <c r="N192" s="100" t="str">
        <f aca="false">IF($A192="","",IFERROR(COUNTIFS(A$2:A192,"&lt;&gt;",L$2:L192,"达标",WEEKNUM(A$2:A192,2),WEEKNUM(A192,2)),0))</f>
        <v/>
      </c>
      <c r="O192" s="97" t="str">
        <f aca="false">IF($A192="","",IF(L192="达标",IF(ROW()=2,1,IF(O191="",1,O191+1)),0))</f>
        <v/>
      </c>
      <c r="P192" s="98" t="str">
        <f aca="false">IF($A192="","",IF(ROW()&lt;=8,"基准周",IF(K192&gt;75,"改善",IF(K192&lt;60,"恶化","持平"))))</f>
        <v/>
      </c>
    </row>
    <row r="193" customFormat="false" ht="15" hidden="false" customHeight="true" outlineLevel="0" collapsed="false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97" t="str">
        <f aca="false">IF($A193="","",IF(B193=0,20,IF(B193=1,15,IF(B193=2,10,IF(B193=3,5,0))))+IF(C193="否",20,0)+IF(D193="是",20,0)+IF(E193=1,20,IF(E193=2,15,IF(E193=3,10,IF(E193=4,5,0))))+IF(F193="否",20,0))</f>
        <v/>
      </c>
      <c r="L193" s="98" t="str">
        <f aca="false">IF($A193="","",IF(K193&gt;=80,"达标","未达标"))</f>
        <v/>
      </c>
      <c r="M193" s="99" t="str">
        <f aca="false">IF($A193="","",IFERROR(AVERAGEIFS(K$2:K193,WEEKNUM(A$2:A193,2),WEEKNUM(A193,2)),K193))</f>
        <v/>
      </c>
      <c r="N193" s="100" t="str">
        <f aca="false">IF($A193="","",IFERROR(COUNTIFS(A$2:A193,"&lt;&gt;",L$2:L193,"达标",WEEKNUM(A$2:A193,2),WEEKNUM(A193,2)),0))</f>
        <v/>
      </c>
      <c r="O193" s="97" t="str">
        <f aca="false">IF($A193="","",IF(L193="达标",IF(ROW()=2,1,IF(O192="",1,O192+1)),0))</f>
        <v/>
      </c>
      <c r="P193" s="98" t="str">
        <f aca="false">IF($A193="","",IF(ROW()&lt;=8,"基准周",IF(K193&gt;75,"改善",IF(K193&lt;60,"恶化","持平"))))</f>
        <v/>
      </c>
    </row>
    <row r="194" customFormat="false" ht="15" hidden="false" customHeight="true" outlineLevel="0" collapsed="false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7" t="str">
        <f aca="false">IF($A194="","",IF(B194=0,20,IF(B194=1,15,IF(B194=2,10,IF(B194=3,5,0))))+IF(C194="否",20,0)+IF(D194="是",20,0)+IF(E194=1,20,IF(E194=2,15,IF(E194=3,10,IF(E194=4,5,0))))+IF(F194="否",20,0))</f>
        <v/>
      </c>
      <c r="L194" s="98" t="str">
        <f aca="false">IF($A194="","",IF(K194&gt;=80,"达标","未达标"))</f>
        <v/>
      </c>
      <c r="M194" s="99" t="str">
        <f aca="false">IF($A194="","",IFERROR(AVERAGEIFS(K$2:K194,WEEKNUM(A$2:A194,2),WEEKNUM(A194,2)),K194))</f>
        <v/>
      </c>
      <c r="N194" s="100" t="str">
        <f aca="false">IF($A194="","",IFERROR(COUNTIFS(A$2:A194,"&lt;&gt;",L$2:L194,"达标",WEEKNUM(A$2:A194,2),WEEKNUM(A194,2)),0))</f>
        <v/>
      </c>
      <c r="O194" s="97" t="str">
        <f aca="false">IF($A194="","",IF(L194="达标",IF(ROW()=2,1,IF(O193="",1,O193+1)),0))</f>
        <v/>
      </c>
      <c r="P194" s="98" t="str">
        <f aca="false">IF($A194="","",IF(ROW()&lt;=8,"基准周",IF(K194&gt;75,"改善",IF(K194&lt;60,"恶化","持平"))))</f>
        <v/>
      </c>
    </row>
    <row r="195" customFormat="false" ht="15" hidden="false" customHeight="true" outlineLevel="0" collapsed="false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97" t="str">
        <f aca="false">IF($A195="","",IF(B195=0,20,IF(B195=1,15,IF(B195=2,10,IF(B195=3,5,0))))+IF(C195="否",20,0)+IF(D195="是",20,0)+IF(E195=1,20,IF(E195=2,15,IF(E195=3,10,IF(E195=4,5,0))))+IF(F195="否",20,0))</f>
        <v/>
      </c>
      <c r="L195" s="98" t="str">
        <f aca="false">IF($A195="","",IF(K195&gt;=80,"达标","未达标"))</f>
        <v/>
      </c>
      <c r="M195" s="99" t="str">
        <f aca="false">IF($A195="","",IFERROR(AVERAGEIFS(K$2:K195,WEEKNUM(A$2:A195,2),WEEKNUM(A195,2)),K195))</f>
        <v/>
      </c>
      <c r="N195" s="100" t="str">
        <f aca="false">IF($A195="","",IFERROR(COUNTIFS(A$2:A195,"&lt;&gt;",L$2:L195,"达标",WEEKNUM(A$2:A195,2),WEEKNUM(A195,2)),0))</f>
        <v/>
      </c>
      <c r="O195" s="97" t="str">
        <f aca="false">IF($A195="","",IF(L195="达标",IF(ROW()=2,1,IF(O194="",1,O194+1)),0))</f>
        <v/>
      </c>
      <c r="P195" s="98" t="str">
        <f aca="false">IF($A195="","",IF(ROW()&lt;=8,"基准周",IF(K195&gt;75,"改善",IF(K195&lt;60,"恶化","持平"))))</f>
        <v/>
      </c>
    </row>
    <row r="196" customFormat="false" ht="15" hidden="false" customHeight="true" outlineLevel="0" collapsed="false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7" t="str">
        <f aca="false">IF($A196="","",IF(B196=0,20,IF(B196=1,15,IF(B196=2,10,IF(B196=3,5,0))))+IF(C196="否",20,0)+IF(D196="是",20,0)+IF(E196=1,20,IF(E196=2,15,IF(E196=3,10,IF(E196=4,5,0))))+IF(F196="否",20,0))</f>
        <v/>
      </c>
      <c r="L196" s="98" t="str">
        <f aca="false">IF($A196="","",IF(K196&gt;=80,"达标","未达标"))</f>
        <v/>
      </c>
      <c r="M196" s="99" t="str">
        <f aca="false">IF($A196="","",IFERROR(AVERAGEIFS(K$2:K196,WEEKNUM(A$2:A196,2),WEEKNUM(A196,2)),K196))</f>
        <v/>
      </c>
      <c r="N196" s="100" t="str">
        <f aca="false">IF($A196="","",IFERROR(COUNTIFS(A$2:A196,"&lt;&gt;",L$2:L196,"达标",WEEKNUM(A$2:A196,2),WEEKNUM(A196,2)),0))</f>
        <v/>
      </c>
      <c r="O196" s="97" t="str">
        <f aca="false">IF($A196="","",IF(L196="达标",IF(ROW()=2,1,IF(O195="",1,O195+1)),0))</f>
        <v/>
      </c>
      <c r="P196" s="98" t="str">
        <f aca="false">IF($A196="","",IF(ROW()&lt;=8,"基准周",IF(K196&gt;75,"改善",IF(K196&lt;60,"恶化","持平"))))</f>
        <v/>
      </c>
    </row>
    <row r="197" customFormat="false" ht="15" hidden="false" customHeight="true" outlineLevel="0" collapsed="false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97" t="str">
        <f aca="false">IF($A197="","",IF(B197=0,20,IF(B197=1,15,IF(B197=2,10,IF(B197=3,5,0))))+IF(C197="否",20,0)+IF(D197="是",20,0)+IF(E197=1,20,IF(E197=2,15,IF(E197=3,10,IF(E197=4,5,0))))+IF(F197="否",20,0))</f>
        <v/>
      </c>
      <c r="L197" s="98" t="str">
        <f aca="false">IF($A197="","",IF(K197&gt;=80,"达标","未达标"))</f>
        <v/>
      </c>
      <c r="M197" s="99" t="str">
        <f aca="false">IF($A197="","",IFERROR(AVERAGEIFS(K$2:K197,WEEKNUM(A$2:A197,2),WEEKNUM(A197,2)),K197))</f>
        <v/>
      </c>
      <c r="N197" s="100" t="str">
        <f aca="false">IF($A197="","",IFERROR(COUNTIFS(A$2:A197,"&lt;&gt;",L$2:L197,"达标",WEEKNUM(A$2:A197,2),WEEKNUM(A197,2)),0))</f>
        <v/>
      </c>
      <c r="O197" s="97" t="str">
        <f aca="false">IF($A197="","",IF(L197="达标",IF(ROW()=2,1,IF(O196="",1,O196+1)),0))</f>
        <v/>
      </c>
      <c r="P197" s="98" t="str">
        <f aca="false">IF($A197="","",IF(ROW()&lt;=8,"基准周",IF(K197&gt;75,"改善",IF(K197&lt;60,"恶化","持平"))))</f>
        <v/>
      </c>
    </row>
    <row r="198" customFormat="false" ht="15" hidden="false" customHeight="true" outlineLevel="0" collapsed="false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7" t="str">
        <f aca="false">IF($A198="","",IF(B198=0,20,IF(B198=1,15,IF(B198=2,10,IF(B198=3,5,0))))+IF(C198="否",20,0)+IF(D198="是",20,0)+IF(E198=1,20,IF(E198=2,15,IF(E198=3,10,IF(E198=4,5,0))))+IF(F198="否",20,0))</f>
        <v/>
      </c>
      <c r="L198" s="98" t="str">
        <f aca="false">IF($A198="","",IF(K198&gt;=80,"达标","未达标"))</f>
        <v/>
      </c>
      <c r="M198" s="99" t="str">
        <f aca="false">IF($A198="","",IFERROR(AVERAGEIFS(K$2:K198,WEEKNUM(A$2:A198,2),WEEKNUM(A198,2)),K198))</f>
        <v/>
      </c>
      <c r="N198" s="100" t="str">
        <f aca="false">IF($A198="","",IFERROR(COUNTIFS(A$2:A198,"&lt;&gt;",L$2:L198,"达标",WEEKNUM(A$2:A198,2),WEEKNUM(A198,2)),0))</f>
        <v/>
      </c>
      <c r="O198" s="97" t="str">
        <f aca="false">IF($A198="","",IF(L198="达标",IF(ROW()=2,1,IF(O197="",1,O197+1)),0))</f>
        <v/>
      </c>
      <c r="P198" s="98" t="str">
        <f aca="false">IF($A198="","",IF(ROW()&lt;=8,"基准周",IF(K198&gt;75,"改善",IF(K198&lt;60,"恶化","持平"))))</f>
        <v/>
      </c>
    </row>
    <row r="199" customFormat="false" ht="15" hidden="false" customHeight="true" outlineLevel="0" collapsed="false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97" t="str">
        <f aca="false">IF($A199="","",IF(B199=0,20,IF(B199=1,15,IF(B199=2,10,IF(B199=3,5,0))))+IF(C199="否",20,0)+IF(D199="是",20,0)+IF(E199=1,20,IF(E199=2,15,IF(E199=3,10,IF(E199=4,5,0))))+IF(F199="否",20,0))</f>
        <v/>
      </c>
      <c r="L199" s="98" t="str">
        <f aca="false">IF($A199="","",IF(K199&gt;=80,"达标","未达标"))</f>
        <v/>
      </c>
      <c r="M199" s="99" t="str">
        <f aca="false">IF($A199="","",IFERROR(AVERAGEIFS(K$2:K199,WEEKNUM(A$2:A199,2),WEEKNUM(A199,2)),K199))</f>
        <v/>
      </c>
      <c r="N199" s="100" t="str">
        <f aca="false">IF($A199="","",IFERROR(COUNTIFS(A$2:A199,"&lt;&gt;",L$2:L199,"达标",WEEKNUM(A$2:A199,2),WEEKNUM(A199,2)),0))</f>
        <v/>
      </c>
      <c r="O199" s="97" t="str">
        <f aca="false">IF($A199="","",IF(L199="达标",IF(ROW()=2,1,IF(O198="",1,O198+1)),0))</f>
        <v/>
      </c>
      <c r="P199" s="98" t="str">
        <f aca="false">IF($A199="","",IF(ROW()&lt;=8,"基准周",IF(K199&gt;75,"改善",IF(K199&lt;60,"恶化","持平"))))</f>
        <v/>
      </c>
    </row>
    <row r="200" customFormat="false" ht="15" hidden="false" customHeight="true" outlineLevel="0" collapsed="false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7" t="str">
        <f aca="false">IF($A200="","",IF(B200=0,20,IF(B200=1,15,IF(B200=2,10,IF(B200=3,5,0))))+IF(C200="否",20,0)+IF(D200="是",20,0)+IF(E200=1,20,IF(E200=2,15,IF(E200=3,10,IF(E200=4,5,0))))+IF(F200="否",20,0))</f>
        <v/>
      </c>
      <c r="L200" s="98" t="str">
        <f aca="false">IF($A200="","",IF(K200&gt;=80,"达标","未达标"))</f>
        <v/>
      </c>
      <c r="M200" s="99" t="str">
        <f aca="false">IF($A200="","",IFERROR(AVERAGEIFS(K$2:K200,WEEKNUM(A$2:A200,2),WEEKNUM(A200,2)),K200))</f>
        <v/>
      </c>
      <c r="N200" s="100" t="str">
        <f aca="false">IF($A200="","",IFERROR(COUNTIFS(A$2:A200,"&lt;&gt;",L$2:L200,"达标",WEEKNUM(A$2:A200,2),WEEKNUM(A200,2)),0))</f>
        <v/>
      </c>
      <c r="O200" s="97" t="str">
        <f aca="false">IF($A200="","",IF(L200="达标",IF(ROW()=2,1,IF(O199="",1,O199+1)),0))</f>
        <v/>
      </c>
      <c r="P200" s="98" t="str">
        <f aca="false">IF($A200="","",IF(ROW()&lt;=8,"基准周",IF(K200&gt;75,"改善",IF(K200&lt;60,"恶化","持平"))))</f>
        <v/>
      </c>
    </row>
    <row r="201" customFormat="false" ht="15" hidden="false" customHeight="true" outlineLevel="0" collapsed="false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97" t="str">
        <f aca="false">IF($A201="","",IF(B201=0,20,IF(B201=1,15,IF(B201=2,10,IF(B201=3,5,0))))+IF(C201="否",20,0)+IF(D201="是",20,0)+IF(E201=1,20,IF(E201=2,15,IF(E201=3,10,IF(E201=4,5,0))))+IF(F201="否",20,0))</f>
        <v/>
      </c>
      <c r="L201" s="98" t="str">
        <f aca="false">IF($A201="","",IF(K201&gt;=80,"达标","未达标"))</f>
        <v/>
      </c>
      <c r="M201" s="99" t="str">
        <f aca="false">IF($A201="","",IFERROR(AVERAGEIFS(K$2:K201,WEEKNUM(A$2:A201,2),WEEKNUM(A201,2)),K201))</f>
        <v/>
      </c>
      <c r="N201" s="100" t="str">
        <f aca="false">IF($A201="","",IFERROR(COUNTIFS(A$2:A201,"&lt;&gt;",L$2:L201,"达标",WEEKNUM(A$2:A201,2),WEEKNUM(A201,2)),0))</f>
        <v/>
      </c>
      <c r="O201" s="97" t="str">
        <f aca="false">IF($A201="","",IF(L201="达标",IF(ROW()=2,1,IF(O200="",1,O200+1)),0))</f>
        <v/>
      </c>
      <c r="P201" s="98" t="str">
        <f aca="false">IF($A201="","",IF(ROW()&lt;=8,"基准周",IF(K201&gt;75,"改善",IF(K201&lt;60,"恶化","持平"))))</f>
        <v/>
      </c>
    </row>
    <row r="203" customFormat="false" ht="15" hidden="false" customHeight="true" outlineLevel="0" collapsed="false">
      <c r="A203" s="84" t="s">
        <v>818</v>
      </c>
      <c r="M203" s="1" t="n">
        <f aca="false">IF($A203="","",IFERROR(AVERAGEIFS(K$2:K203,WEEKNUM(A$2:A203,2),WEEKNUM(A203,2)),K203))</f>
        <v>0</v>
      </c>
      <c r="N203" s="1" t="n">
        <f aca="false">IF($A203="","",IFERROR(COUNTIFS(A$2:A203,"&lt;&gt;",L$2:L203,"达标",WEEKNUM(A$2:A203,2),WEEKNUM(A203,2)),0))</f>
        <v>0</v>
      </c>
      <c r="O203" s="1" t="n">
        <f aca="false">IF($A203="","",IF(L203="达标",IF(ROW()=2,1,IF(O202="",1,O202+1)),0))</f>
        <v>0</v>
      </c>
      <c r="P203" s="1" t="str">
        <f aca="false">IF($A203="","",IF(ROW()&lt;=8,"基准周",IF(K203&gt;75,"改善",IF(K203&lt;60,"恶化","持平"))))</f>
        <v>恶化</v>
      </c>
    </row>
    <row r="204" customFormat="false" ht="15" hidden="false" customHeight="true" outlineLevel="0" collapsed="false">
      <c r="A204" s="85" t="s">
        <v>819</v>
      </c>
      <c r="B204" s="86" t="n">
        <f aca="false">COUNTA(A2:A200)</f>
        <v>3</v>
      </c>
      <c r="C204" s="86"/>
      <c r="M204" s="1" t="n">
        <f aca="false">IF($A204="","",IFERROR(AVERAGEIFS(K$2:K204,WEEKNUM(A$2:A204,2),WEEKNUM(A204,2)),K204))</f>
        <v>0</v>
      </c>
      <c r="N204" s="1" t="n">
        <f aca="false">IF($A204="","",IFERROR(COUNTIFS(A$2:A204,"&lt;&gt;",L$2:L204,"达标",WEEKNUM(A$2:A204,2),WEEKNUM(A204,2)),0))</f>
        <v>0</v>
      </c>
      <c r="O204" s="1" t="n">
        <f aca="false">IF($A204="","",IF(L204="达标",IF(ROW()=2,1,IF(O203="",1,O203+1)),0))</f>
        <v>0</v>
      </c>
      <c r="P204" s="1" t="str">
        <f aca="false">IF($A204="","",IF(ROW()&lt;=8,"基准周",IF(K204&gt;75,"改善",IF(K204&lt;60,"恶化","持平"))))</f>
        <v>恶化</v>
      </c>
    </row>
    <row r="205" customFormat="false" ht="15" hidden="false" customHeight="true" outlineLevel="0" collapsed="false">
      <c r="A205" s="85" t="s">
        <v>820</v>
      </c>
      <c r="B205" s="86" t="n">
        <f aca="false">COUNTIF(L2:L200,"达标")</f>
        <v>0</v>
      </c>
      <c r="C205" s="86"/>
      <c r="M205" s="1" t="n">
        <f aca="false">IF($A205="","",IFERROR(AVERAGEIFS(K$2:K205,WEEKNUM(A$2:A205,2),WEEKNUM(A205,2)),K205))</f>
        <v>0</v>
      </c>
      <c r="N205" s="1" t="n">
        <f aca="false">IF($A205="","",IFERROR(COUNTIFS(A$2:A205,"&lt;&gt;",L$2:L205,"达标",WEEKNUM(A$2:A205,2),WEEKNUM(A205,2)),0))</f>
        <v>0</v>
      </c>
      <c r="O205" s="1" t="n">
        <f aca="false">IF($A205="","",IF(L205="达标",IF(ROW()=2,1,IF(O204="",1,O204+1)),0))</f>
        <v>0</v>
      </c>
      <c r="P205" s="1" t="str">
        <f aca="false">IF($A205="","",IF(ROW()&lt;=8,"基准周",IF(K205&gt;75,"改善",IF(K205&lt;60,"恶化","持平"))))</f>
        <v>恶化</v>
      </c>
    </row>
    <row r="206" customFormat="false" ht="15" hidden="false" customHeight="true" outlineLevel="0" collapsed="false">
      <c r="A206" s="85" t="s">
        <v>821</v>
      </c>
      <c r="B206" s="86" t="n">
        <f aca="false">IFERROR(B205/B204,0)</f>
        <v>0</v>
      </c>
      <c r="C206" s="86"/>
      <c r="M206" s="1" t="n">
        <f aca="false">IF($A206="","",IFERROR(AVERAGEIFS(K$2:K206,WEEKNUM(A$2:A206,2),WEEKNUM(A206,2)),K206))</f>
        <v>0</v>
      </c>
      <c r="N206" s="1" t="n">
        <f aca="false">IF($A206="","",IFERROR(COUNTIFS(A$2:A206,"&lt;&gt;",L$2:L206,"达标",WEEKNUM(A$2:A206,2),WEEKNUM(A206,2)),0))</f>
        <v>0</v>
      </c>
      <c r="O206" s="1" t="n">
        <f aca="false">IF($A206="","",IF(L206="达标",IF(ROW()=2,1,IF(O205="",1,O205+1)),0))</f>
        <v>0</v>
      </c>
      <c r="P206" s="1" t="str">
        <f aca="false">IF($A206="","",IF(ROW()&lt;=8,"基准周",IF(K206&gt;75,"改善",IF(K206&lt;60,"恶化","持平"))))</f>
        <v>恶化</v>
      </c>
    </row>
    <row r="207" customFormat="false" ht="15" hidden="false" customHeight="true" outlineLevel="0" collapsed="false">
      <c r="A207" s="85" t="s">
        <v>822</v>
      </c>
      <c r="B207" s="86" t="n">
        <f aca="false">IFERROR(AVERAGE(K2:K200),0)</f>
        <v>50</v>
      </c>
      <c r="C207" s="86"/>
      <c r="M207" s="1" t="n">
        <f aca="false">IF($A207="","",IFERROR(AVERAGEIFS(K$2:K207,WEEKNUM(A$2:A207,2),WEEKNUM(A207,2)),K207))</f>
        <v>0</v>
      </c>
      <c r="N207" s="1" t="n">
        <f aca="false">IF($A207="","",IFERROR(COUNTIFS(A$2:A207,"&lt;&gt;",L$2:L207,"达标",WEEKNUM(A$2:A207,2),WEEKNUM(A207,2)),0))</f>
        <v>0</v>
      </c>
      <c r="O207" s="1" t="n">
        <f aca="false">IF($A207="","",IF(L207="达标",IF(ROW()=2,1,IF(O206="",1,O206+1)),0))</f>
        <v>0</v>
      </c>
      <c r="P207" s="1" t="str">
        <f aca="false">IF($A207="","",IF(ROW()&lt;=8,"基准周",IF(K207&gt;75,"改善",IF(K207&lt;60,"恶化","持平"))))</f>
        <v>恶化</v>
      </c>
    </row>
    <row r="208" customFormat="false" ht="15" hidden="false" customHeight="true" outlineLevel="0" collapsed="false">
      <c r="A208" s="85" t="s">
        <v>823</v>
      </c>
      <c r="B208" s="86" t="n">
        <f aca="false">IFERROR(MAX(K2:K200),0)</f>
        <v>70</v>
      </c>
      <c r="C208" s="86"/>
      <c r="M208" s="1" t="n">
        <f aca="false">IF($A208="","",IFERROR(AVERAGEIFS(K$2:K208,WEEKNUM(A$2:A208,2),WEEKNUM(A208,2)),K208))</f>
        <v>0</v>
      </c>
      <c r="N208" s="1" t="n">
        <f aca="false">IF($A208="","",IFERROR(COUNTIFS(A$2:A208,"&lt;&gt;",L$2:L208,"达标",WEEKNUM(A$2:A208,2),WEEKNUM(A208,2)),0))</f>
        <v>0</v>
      </c>
      <c r="O208" s="1" t="n">
        <f aca="false">IF($A208="","",IF(L208="达标",IF(ROW()=2,1,IF(O207="",1,O207+1)),0))</f>
        <v>0</v>
      </c>
      <c r="P208" s="1" t="str">
        <f aca="false">IF($A208="","",IF(ROW()&lt;=8,"基准周",IF(K208&gt;75,"改善",IF(K208&lt;60,"恶化","持平"))))</f>
        <v>恶化</v>
      </c>
    </row>
    <row r="209" customFormat="false" ht="15" hidden="false" customHeight="true" outlineLevel="0" collapsed="false">
      <c r="A209" s="85" t="s">
        <v>824</v>
      </c>
      <c r="B209" s="86" t="n">
        <f aca="false">IFERROR(MIN(K2:K200),0)</f>
        <v>10</v>
      </c>
      <c r="C209" s="86"/>
      <c r="M209" s="1" t="n">
        <f aca="false">IF($A209="","",IFERROR(AVERAGEIFS(K$2:K209,WEEKNUM(A$2:A209,2),WEEKNUM(A209,2)),K209))</f>
        <v>0</v>
      </c>
      <c r="N209" s="1" t="n">
        <f aca="false">IF($A209="","",IFERROR(COUNTIFS(A$2:A209,"&lt;&gt;",L$2:L209,"达标",WEEKNUM(A$2:A209,2),WEEKNUM(A209,2)),0))</f>
        <v>0</v>
      </c>
      <c r="O209" s="1" t="n">
        <f aca="false">IF($A209="","",IF(L209="达标",IF(ROW()=2,1,IF(O208="",1,O208+1)),0))</f>
        <v>0</v>
      </c>
      <c r="P209" s="1" t="str">
        <f aca="false">IF($A209="","",IF(ROW()&lt;=8,"基准周",IF(K209&gt;75,"改善",IF(K209&lt;60,"恶化","持平"))))</f>
        <v>恶化</v>
      </c>
    </row>
    <row r="210" customFormat="false" ht="15" hidden="false" customHeight="true" outlineLevel="0" collapsed="false">
      <c r="A210" s="85" t="s">
        <v>825</v>
      </c>
      <c r="B210" s="86" t="str">
        <f aca="false">IFERROR(O200,0)</f>
        <v/>
      </c>
      <c r="C210" s="86"/>
      <c r="M210" s="1" t="n">
        <f aca="false">IF($A210="","",IFERROR(AVERAGEIFS(K$2:K210,WEEKNUM(A$2:A210,2),WEEKNUM(A210,2)),K210))</f>
        <v>0</v>
      </c>
      <c r="N210" s="1" t="n">
        <f aca="false">IF($A210="","",IFERROR(COUNTIFS(A$2:A210,"&lt;&gt;",L$2:L210,"达标",WEEKNUM(A$2:A210,2),WEEKNUM(A210,2)),0))</f>
        <v>0</v>
      </c>
      <c r="O210" s="1" t="n">
        <f aca="false">IF($A210="","",IF(L210="达标",IF(ROW()=2,1,IF(O209="",1,O209+1)),0))</f>
        <v>0</v>
      </c>
      <c r="P210" s="1" t="str">
        <f aca="false">IF($A210="","",IF(ROW()&lt;=8,"基准周",IF(K210&gt;75,"改善",IF(K210&lt;60,"恶化","持平"))))</f>
        <v>恶化</v>
      </c>
    </row>
    <row r="211" customFormat="false" ht="15" hidden="false" customHeight="true" outlineLevel="0" collapsed="false">
      <c r="A211" s="85" t="s">
        <v>826</v>
      </c>
      <c r="B211" s="86" t="n">
        <f aca="false">IFERROR(MAX(O2:O200),0)</f>
        <v>0</v>
      </c>
      <c r="C211" s="86"/>
      <c r="M211" s="1" t="n">
        <f aca="false">IF($A211="","",IFERROR(AVERAGEIFS(K$2:K211,WEEKNUM(A$2:A211,2),WEEKNUM(A211,2)),K211))</f>
        <v>0</v>
      </c>
      <c r="N211" s="1" t="n">
        <f aca="false">IF($A211="","",IFERROR(COUNTIFS(A$2:A211,"&lt;&gt;",L$2:L211,"达标",WEEKNUM(A$2:A211,2),WEEKNUM(A211,2)),0))</f>
        <v>0</v>
      </c>
      <c r="O211" s="1" t="n">
        <f aca="false">IF($A211="","",IF(L211="达标",IF(ROW()=2,1,IF(O210="",1,O210+1)),0))</f>
        <v>0</v>
      </c>
      <c r="P211" s="1" t="str">
        <f aca="false">IF($A211="","",IF(ROW()&lt;=8,"基准周",IF(K211&gt;75,"改善",IF(K211&lt;60,"恶化","持平"))))</f>
        <v>恶化</v>
      </c>
    </row>
    <row r="212" customFormat="false" ht="15" hidden="false" customHeight="true" outlineLevel="0" collapsed="false">
      <c r="A212" s="85" t="s">
        <v>827</v>
      </c>
      <c r="B212" s="86" t="n">
        <f aca="false">IFERROR(AVERAGE(B2:B200),0)</f>
        <v>4</v>
      </c>
      <c r="C212" s="86"/>
      <c r="M212" s="1" t="n">
        <f aca="false">IF($A212="","",IFERROR(AVERAGEIFS(K$2:K212,WEEKNUM(A$2:A212,2),WEEKNUM(A212,2)),K212))</f>
        <v>0</v>
      </c>
      <c r="N212" s="1" t="n">
        <f aca="false">IF($A212="","",IFERROR(COUNTIFS(A$2:A212,"&lt;&gt;",L$2:L212,"达标",WEEKNUM(A$2:A212,2),WEEKNUM(A212,2)),0))</f>
        <v>0</v>
      </c>
      <c r="O212" s="1" t="n">
        <f aca="false">IF($A212="","",IF(L212="达标",IF(ROW()=2,1,IF(O211="",1,O211+1)),0))</f>
        <v>0</v>
      </c>
      <c r="P212" s="1" t="str">
        <f aca="false">IF($A212="","",IF(ROW()&lt;=8,"基准周",IF(K212&gt;75,"改善",IF(K212&lt;60,"恶化","持平"))))</f>
        <v>恶化</v>
      </c>
    </row>
    <row r="213" customFormat="false" ht="15" hidden="false" customHeight="true" outlineLevel="0" collapsed="false">
      <c r="A213" s="85" t="s">
        <v>828</v>
      </c>
      <c r="B213" s="86" t="n">
        <f aca="false">COUNTIF(C2:C200,"是")</f>
        <v>0</v>
      </c>
      <c r="C213" s="86"/>
      <c r="M213" s="1" t="n">
        <f aca="false">IF($A213="","",IFERROR(AVERAGEIFS(K$2:K213,WEEKNUM(A$2:A213,2),WEEKNUM(A213,2)),K213))</f>
        <v>0</v>
      </c>
      <c r="N213" s="1" t="n">
        <f aca="false">IF($A213="","",IFERROR(COUNTIFS(A$2:A213,"&lt;&gt;",L$2:L213,"达标",WEEKNUM(A$2:A213,2),WEEKNUM(A213,2)),0))</f>
        <v>0</v>
      </c>
      <c r="O213" s="1" t="n">
        <f aca="false">IF($A213="","",IF(L213="达标",IF(ROW()=2,1,IF(O212="",1,O212+1)),0))</f>
        <v>0</v>
      </c>
      <c r="P213" s="1" t="str">
        <f aca="false">IF($A213="","",IF(ROW()&lt;=8,"基准周",IF(K213&gt;75,"改善",IF(K213&lt;60,"恶化","持平"))))</f>
        <v>恶化</v>
      </c>
    </row>
    <row r="214" customFormat="false" ht="15" hidden="false" customHeight="true" outlineLevel="0" collapsed="false">
      <c r="A214" s="85" t="s">
        <v>829</v>
      </c>
      <c r="B214" s="86" t="n">
        <f aca="false">COUNTIF(D2:D200,"否")</f>
        <v>0</v>
      </c>
      <c r="C214" s="86"/>
      <c r="M214" s="1" t="n">
        <f aca="false">IF($A214="","",IFERROR(AVERAGEIFS(K$2:K214,WEEKNUM(A$2:A214,2),WEEKNUM(A214,2)),K214))</f>
        <v>0</v>
      </c>
      <c r="N214" s="1" t="n">
        <f aca="false">IF($A214="","",IFERROR(COUNTIFS(A$2:A214,"&lt;&gt;",L$2:L214,"达标",WEEKNUM(A$2:A214,2),WEEKNUM(A214,2)),0))</f>
        <v>0</v>
      </c>
      <c r="O214" s="1" t="n">
        <f aca="false">IF($A214="","",IF(L214="达标",IF(ROW()=2,1,IF(O213="",1,O213+1)),0))</f>
        <v>0</v>
      </c>
      <c r="P214" s="1" t="str">
        <f aca="false">IF($A214="","",IF(ROW()&lt;=8,"基准周",IF(K214&gt;75,"改善",IF(K214&lt;60,"恶化","持平"))))</f>
        <v>恶化</v>
      </c>
    </row>
    <row r="215" customFormat="false" ht="15" hidden="false" customHeight="true" outlineLevel="0" collapsed="false">
      <c r="A215" s="85" t="s">
        <v>830</v>
      </c>
      <c r="B215" s="86" t="n">
        <f aca="false">COUNTIF(F2:F200,"是")</f>
        <v>0</v>
      </c>
      <c r="C215" s="86"/>
      <c r="M215" s="1" t="n">
        <f aca="false">IF($A215="","",IFERROR(AVERAGEIFS(K$2:K215,WEEKNUM(A$2:A215,2),WEEKNUM(A215,2)),K215))</f>
        <v>0</v>
      </c>
      <c r="N215" s="1" t="n">
        <f aca="false">IF($A215="","",IFERROR(COUNTIFS(A$2:A215,"&lt;&gt;",L$2:L215,"达标",WEEKNUM(A$2:A215,2),WEEKNUM(A215,2)),0))</f>
        <v>0</v>
      </c>
      <c r="O215" s="1" t="n">
        <f aca="false">IF($A215="","",IF(L215="达标",IF(ROW()=2,1,IF(O214="",1,O214+1)),0))</f>
        <v>0</v>
      </c>
      <c r="P215" s="1" t="str">
        <f aca="false">IF($A215="","",IF(ROW()&lt;=8,"基准周",IF(K215&gt;75,"改善",IF(K215&lt;60,"恶化","持平"))))</f>
        <v>恶化</v>
      </c>
    </row>
    <row r="216" customFormat="false" ht="15" hidden="false" customHeight="true" outlineLevel="0" collapsed="false">
      <c r="A216" s="85" t="s">
        <v>831</v>
      </c>
      <c r="B216" s="86" t="n">
        <f aca="false">IFERROR(AVERAGE(E2:E200),0)</f>
        <v>3</v>
      </c>
      <c r="C216" s="86"/>
      <c r="M216" s="1" t="n">
        <f aca="false">IF($A216="","",IFERROR(AVERAGEIFS(K$2:K216,WEEKNUM(A$2:A216,2),WEEKNUM(A216,2)),K216))</f>
        <v>0</v>
      </c>
      <c r="N216" s="1" t="n">
        <f aca="false">IF($A216="","",IFERROR(COUNTIFS(A$2:A216,"&lt;&gt;",L$2:L216,"达标",WEEKNUM(A$2:A216,2),WEEKNUM(A216,2)),0))</f>
        <v>0</v>
      </c>
      <c r="O216" s="1" t="n">
        <f aca="false">IF($A216="","",IF(L216="达标",IF(ROW()=2,1,IF(O215="",1,O215+1)),0))</f>
        <v>0</v>
      </c>
      <c r="P216" s="1" t="str">
        <f aca="false">IF($A216="","",IF(ROW()&lt;=8,"基准周",IF(K216&gt;75,"改善",IF(K216&lt;60,"恶化","持平"))))</f>
        <v>恶化</v>
      </c>
    </row>
    <row r="217" customFormat="false" ht="15" hidden="false" customHeight="true" outlineLevel="0" collapsed="false">
      <c r="A217" s="89" t="s">
        <v>832</v>
      </c>
      <c r="B217" s="89" t="str">
        <f aca="false">IF(B207&gt;=80,"轻态 ✅",IF(B207&gt;=60,"改善中 ⚠️","需调整 ❌"))</f>
        <v>需调整 ❌</v>
      </c>
      <c r="C217" s="86"/>
      <c r="M217" s="1" t="n">
        <f aca="false">IF($A217="","",IFERROR(AVERAGEIFS(K$2:K217,WEEKNUM(A$2:A217,2),WEEKNUM(A217,2)),K217))</f>
        <v>0</v>
      </c>
      <c r="N217" s="1" t="n">
        <f aca="false">IF($A217="","",IFERROR(COUNTIFS(A$2:A217,"&lt;&gt;",L$2:L217,"达标",WEEKNUM(A$2:A217,2),WEEKNUM(A217,2)),0))</f>
        <v>0</v>
      </c>
      <c r="O217" s="1" t="n">
        <f aca="false">IF($A217="","",IF(L217="达标",IF(ROW()=2,1,IF(O216="",1,O216+1)),0))</f>
        <v>0</v>
      </c>
      <c r="P217" s="1" t="str">
        <f aca="false">IF($A217="","",IF(ROW()&lt;=8,"基准周",IF(K217&gt;75,"改善",IF(K217&lt;60,"恶化","持平"))))</f>
        <v>恶化</v>
      </c>
    </row>
    <row r="220" customFormat="false" ht="15" hidden="false" customHeight="true" outlineLevel="0" collapsed="false">
      <c r="A220" s="104" t="s">
        <v>833</v>
      </c>
      <c r="M220" s="1" t="n">
        <f aca="false">IF($A220="","",IFERROR(AVERAGEIFS(K$2:K220,WEEKNUM(A$2:A220,2),WEEKNUM(A220,2)),K220))</f>
        <v>0</v>
      </c>
      <c r="N220" s="1" t="n">
        <f aca="false">IF($A220="","",IFERROR(COUNTIFS(A$2:A220,"&lt;&gt;",L$2:L220,"达标",WEEKNUM(A$2:A220,2),WEEKNUM(A220,2)),0))</f>
        <v>0</v>
      </c>
      <c r="O220" s="1" t="n">
        <f aca="false">IF($A220="","",IF(L220="达标",IF(ROW()=2,1,IF(O219="",1,O219+1)),0))</f>
        <v>0</v>
      </c>
      <c r="P220" s="1" t="str">
        <f aca="false">IF($A220="","",IF(ROW()&lt;=8,"基准周",IF(K220&gt;75,"改善",IF(K220&lt;60,"恶化","持平"))))</f>
        <v>恶化</v>
      </c>
    </row>
    <row r="221" customFormat="false" ht="15" hidden="false" customHeight="true" outlineLevel="0" collapsed="false">
      <c r="A221" s="105" t="s">
        <v>834</v>
      </c>
      <c r="M221" s="1" t="n">
        <f aca="false">IF($A221="","",IFERROR(AVERAGEIFS(K$2:K221,WEEKNUM(A$2:A221,2),WEEKNUM(A221,2)),K221))</f>
        <v>0</v>
      </c>
      <c r="N221" s="1" t="n">
        <f aca="false">IF($A221="","",IFERROR(COUNTIFS(A$2:A221,"&lt;&gt;",L$2:L221,"达标",WEEKNUM(A$2:A221,2),WEEKNUM(A221,2)),0))</f>
        <v>0</v>
      </c>
      <c r="O221" s="1" t="n">
        <f aca="false">IF($A221="","",IF(L221="达标",IF(ROW()=2,1,IF(O220="",1,O220+1)),0))</f>
        <v>0</v>
      </c>
      <c r="P221" s="1" t="str">
        <f aca="false">IF($A221="","",IF(ROW()&lt;=8,"基准周",IF(K221&gt;75,"改善",IF(K221&lt;60,"恶化","持平"))))</f>
        <v>恶化</v>
      </c>
    </row>
    <row r="222" customFormat="false" ht="15" hidden="false" customHeight="true" outlineLevel="0" collapsed="false">
      <c r="A222" s="105" t="s">
        <v>835</v>
      </c>
      <c r="M222" s="1" t="n">
        <f aca="false">IF($A222="","",IFERROR(AVERAGEIFS(K$2:K222,WEEKNUM(A$2:A222,2),WEEKNUM(A222,2)),K222))</f>
        <v>0</v>
      </c>
      <c r="N222" s="1" t="n">
        <f aca="false">IF($A222="","",IFERROR(COUNTIFS(A$2:A222,"&lt;&gt;",L$2:L222,"达标",WEEKNUM(A$2:A222,2),WEEKNUM(A222,2)),0))</f>
        <v>0</v>
      </c>
      <c r="O222" s="1" t="n">
        <f aca="false">IF($A222="","",IF(L222="达标",IF(ROW()=2,1,IF(O221="",1,O221+1)),0))</f>
        <v>0</v>
      </c>
      <c r="P222" s="1" t="str">
        <f aca="false">IF($A222="","",IF(ROW()&lt;=8,"基准周",IF(K222&gt;75,"改善",IF(K222&lt;60,"恶化","持平"))))</f>
        <v>恶化</v>
      </c>
    </row>
    <row r="223" customFormat="false" ht="15" hidden="false" customHeight="true" outlineLevel="0" collapsed="false">
      <c r="A223" s="105" t="s">
        <v>836</v>
      </c>
      <c r="M223" s="1" t="n">
        <f aca="false">IF($A223="","",IFERROR(AVERAGEIFS(K$2:K223,WEEKNUM(A$2:A223,2),WEEKNUM(A223,2)),K223))</f>
        <v>0</v>
      </c>
      <c r="N223" s="1" t="n">
        <f aca="false">IF($A223="","",IFERROR(COUNTIFS(A$2:A223,"&lt;&gt;",L$2:L223,"达标",WEEKNUM(A$2:A223,2),WEEKNUM(A223,2)),0))</f>
        <v>0</v>
      </c>
      <c r="O223" s="1" t="n">
        <f aca="false">IF($A223="","",IF(L223="达标",IF(ROW()=2,1,IF(O222="",1,O222+1)),0))</f>
        <v>0</v>
      </c>
      <c r="P223" s="1" t="str">
        <f aca="false">IF($A223="","",IF(ROW()&lt;=8,"基准周",IF(K223&gt;75,"改善",IF(K223&lt;60,"恶化","持平"))))</f>
        <v>恶化</v>
      </c>
    </row>
    <row r="224" customFormat="false" ht="15" hidden="false" customHeight="true" outlineLevel="0" collapsed="false">
      <c r="A224" s="105" t="s">
        <v>837</v>
      </c>
      <c r="M224" s="1" t="n">
        <f aca="false">IF($A224="","",IFERROR(AVERAGEIFS(K$2:K224,WEEKNUM(A$2:A224,2),WEEKNUM(A224,2)),K224))</f>
        <v>0</v>
      </c>
      <c r="N224" s="1" t="n">
        <f aca="false">IF($A224="","",IFERROR(COUNTIFS(A$2:A224,"&lt;&gt;",L$2:L224,"达标",WEEKNUM(A$2:A224,2),WEEKNUM(A224,2)),0))</f>
        <v>0</v>
      </c>
      <c r="O224" s="1" t="n">
        <f aca="false">IF($A224="","",IF(L224="达标",IF(ROW()=2,1,IF(O223="",1,O223+1)),0))</f>
        <v>0</v>
      </c>
      <c r="P224" s="1" t="str">
        <f aca="false">IF($A224="","",IF(ROW()&lt;=8,"基准周",IF(K224&gt;75,"改善",IF(K224&lt;60,"恶化","持平"))))</f>
        <v>恶化</v>
      </c>
    </row>
    <row r="225" customFormat="false" ht="15" hidden="false" customHeight="true" outlineLevel="0" collapsed="false">
      <c r="A225" s="105" t="s">
        <v>838</v>
      </c>
      <c r="M225" s="1" t="n">
        <f aca="false">IF($A225="","",IFERROR(AVERAGEIFS(K$2:K225,WEEKNUM(A$2:A225,2),WEEKNUM(A225,2)),K225))</f>
        <v>0</v>
      </c>
      <c r="N225" s="1" t="n">
        <f aca="false">IF($A225="","",IFERROR(COUNTIFS(A$2:A225,"&lt;&gt;",L$2:L225,"达标",WEEKNUM(A$2:A225,2),WEEKNUM(A225,2)),0))</f>
        <v>0</v>
      </c>
      <c r="O225" s="1" t="n">
        <f aca="false">IF($A225="","",IF(L225="达标",IF(ROW()=2,1,IF(O224="",1,O224+1)),0))</f>
        <v>0</v>
      </c>
      <c r="P225" s="1" t="str">
        <f aca="false">IF($A225="","",IF(ROW()&lt;=8,"基准周",IF(K225&gt;75,"改善",IF(K225&lt;60,"恶化","持平"))))</f>
        <v>恶化</v>
      </c>
    </row>
    <row r="226" customFormat="false" ht="15" hidden="false" customHeight="true" outlineLevel="0" collapsed="false">
      <c r="A226" s="106" t="s">
        <v>839</v>
      </c>
      <c r="M226" s="1" t="n">
        <f aca="false">IF($A226="","",IFERROR(AVERAGEIFS(K$2:K226,WEEKNUM(A$2:A226,2),WEEKNUM(A226,2)),K226))</f>
        <v>0</v>
      </c>
      <c r="N226" s="1" t="n">
        <f aca="false">IF($A226="","",IFERROR(COUNTIFS(A$2:A226,"&lt;&gt;",L$2:L226,"达标",WEEKNUM(A$2:A226,2),WEEKNUM(A226,2)),0))</f>
        <v>0</v>
      </c>
      <c r="O226" s="1" t="n">
        <f aca="false">IF($A226="","",IF(L226="达标",IF(ROW()=2,1,IF(O225="",1,O225+1)),0))</f>
        <v>0</v>
      </c>
      <c r="P226" s="1" t="str">
        <f aca="false">IF($A226="","",IF(ROW()&lt;=8,"基准周",IF(K226&gt;75,"改善",IF(K226&lt;60,"恶化","持平"))))</f>
        <v>恶化</v>
      </c>
    </row>
    <row r="227" customFormat="false" ht="15" hidden="false" customHeight="true" outlineLevel="0" collapsed="false">
      <c r="A227" s="61" t="n">
        <v>46231</v>
      </c>
      <c r="B227" s="32" t="s">
        <v>80</v>
      </c>
      <c r="C227" s="32" t="s">
        <v>840</v>
      </c>
      <c r="D227" s="32" t="s">
        <v>841</v>
      </c>
      <c r="E227" s="32" t="s">
        <v>842</v>
      </c>
      <c r="M227" s="1" t="n">
        <f aca="false">IF($A227="","",IFERROR(AVERAGEIFS(K$2:K227,WEEKNUM(A$2:A227,2),WEEKNUM(A227,2)),K227))</f>
        <v>0</v>
      </c>
      <c r="N227" s="1" t="n">
        <f aca="false">IF($A227="","",IFERROR(COUNTIFS(A$2:A227,"&lt;&gt;",L$2:L227,"达标",WEEKNUM(A$2:A227,2),WEEKNUM(A227,2)),0))</f>
        <v>0</v>
      </c>
      <c r="O227" s="1" t="n">
        <f aca="false">IF($A227="","",IF(L227="达标",IF(ROW()=2,1,IF(O226="",1,O226+1)),0))</f>
        <v>0</v>
      </c>
      <c r="P227" s="1" t="str">
        <f aca="false">IF($A227="","",IF(ROW()&lt;=8,"基准周",IF(K227&gt;75,"改善",IF(K227&lt;60,"恶化","持平"))))</f>
        <v>恶化</v>
      </c>
    </row>
    <row r="228" customFormat="false" ht="15" hidden="false" customHeight="true" outlineLevel="0" collapsed="false">
      <c r="A228" s="61" t="n">
        <v>46232</v>
      </c>
      <c r="B228" s="1" t="n">
        <v>0</v>
      </c>
      <c r="C228" s="1" t="n">
        <v>0</v>
      </c>
      <c r="D228" s="1" t="n">
        <v>3</v>
      </c>
      <c r="E228" s="1" t="n">
        <v>3</v>
      </c>
      <c r="F228" s="1" t="n">
        <v>1</v>
      </c>
      <c r="G228" s="1" t="n">
        <v>2</v>
      </c>
      <c r="H228" s="1" t="s">
        <v>843</v>
      </c>
      <c r="I228" s="32" t="s">
        <v>844</v>
      </c>
      <c r="J228" s="32" t="s">
        <v>845</v>
      </c>
      <c r="P228" s="1" t="str">
        <f aca="false">IF($A228="","",IF(ROW()&lt;=8,"基准周",IF(K228&gt;75,"改善",IF(K228&lt;60,"恶化","持平"))))</f>
        <v>恶化</v>
      </c>
    </row>
    <row r="229" customFormat="false" ht="15" hidden="false" customHeight="true" outlineLevel="0" collapsed="false">
      <c r="A229" s="61" t="n">
        <v>46232</v>
      </c>
      <c r="B229" s="1" t="n">
        <v>3</v>
      </c>
      <c r="C229" s="1" t="n">
        <v>0</v>
      </c>
      <c r="D229" s="1" t="n">
        <v>4</v>
      </c>
      <c r="E229" s="1" t="n">
        <v>4</v>
      </c>
      <c r="F229" s="1" t="n">
        <v>0</v>
      </c>
      <c r="H229" s="32" t="s">
        <v>846</v>
      </c>
      <c r="I229" s="32"/>
      <c r="J229" s="32" t="s">
        <v>847</v>
      </c>
      <c r="K229" s="1" t="n">
        <v>80</v>
      </c>
      <c r="L229" s="32" t="s">
        <v>848</v>
      </c>
      <c r="M229" s="1" t="n">
        <f aca="false">IF($A229="","",IFERROR(AVERAGEIFS(K$2:K229,WEEKNUM(A$2:A229,2),WEEKNUM(A229,2)),K229))</f>
        <v>80</v>
      </c>
      <c r="N229" s="1" t="n">
        <f aca="false">IF($A229="","",IFERROR(COUNTIFS(A$2:A229,"&lt;&gt;",L$2:L229,"达标",WEEKNUM(A$2:A229,2),WEEKNUM(A229,2)),0))</f>
        <v>0</v>
      </c>
      <c r="O229" s="1" t="n">
        <f aca="false">IF($A229="","",IF(L229="达标",IF(ROW()=2,1,IF(O228="",1,O228+1)),0))</f>
        <v>1</v>
      </c>
      <c r="P229" s="1" t="str">
        <f aca="false">IF($A229="","",IF(ROW()&lt;=8,"基准周",IF(K229&gt;75,"改善",IF(K229&lt;60,"恶化","持平"))))</f>
        <v>改善</v>
      </c>
    </row>
    <row r="230" customFormat="false" ht="15" hidden="false" customHeight="true" outlineLevel="0" collapsed="false">
      <c r="A230" s="55" t="n">
        <v>46233</v>
      </c>
      <c r="B230" s="1" t="n">
        <v>3</v>
      </c>
      <c r="C230" s="1" t="n">
        <v>0</v>
      </c>
      <c r="D230" s="1" t="n">
        <v>5</v>
      </c>
      <c r="E230" s="1" t="n">
        <v>5</v>
      </c>
      <c r="F230" s="1" t="n">
        <v>0</v>
      </c>
      <c r="G230" s="1" t="n">
        <v>6</v>
      </c>
      <c r="H230" s="32" t="s">
        <v>814</v>
      </c>
      <c r="J230" s="32" t="s">
        <v>849</v>
      </c>
      <c r="K230" s="1" t="n">
        <v>95</v>
      </c>
      <c r="L230" s="32" t="s">
        <v>848</v>
      </c>
      <c r="M230" s="1" t="n">
        <f aca="false">IF($A230="","",IFERROR(AVERAGEIFS(K$2:K229,WEEKNUM(A$2:A229,2),WEEKNUM(A230,2)),K230))</f>
        <v>95</v>
      </c>
      <c r="N230" s="1" t="n">
        <f aca="false">IF($A230="","",IFERROR(COUNTIFS(A$2:A229,"&lt;&gt;",L$2:L229,"达标",WEEKNUM(A$2:A229,2),WEEKNUM(A230,2)),0))</f>
        <v>0</v>
      </c>
      <c r="O230" s="1" t="n">
        <f aca="false">IF($A230="","",IF(L230="达标",IF(ROW()=2,1,IF(O228="",1,O228+1)),0))</f>
        <v>1</v>
      </c>
      <c r="P230" s="1" t="str">
        <f aca="false">IF($A230="","",IF(ROW()&lt;=8,"基准周",IF(K230&gt;75,"改善",IF(K230&lt;60,"恶化","持平"))))</f>
        <v>改善</v>
      </c>
    </row>
    <row r="231" customFormat="false" ht="15" hidden="false" customHeight="true" outlineLevel="0" collapsed="false">
      <c r="A231" s="1" t="s">
        <v>850</v>
      </c>
      <c r="B231" s="32" t="s">
        <v>851</v>
      </c>
      <c r="C231" s="32" t="s">
        <v>852</v>
      </c>
      <c r="D231" s="32" t="s">
        <v>853</v>
      </c>
      <c r="P231" s="1" t="str">
        <f aca="false">IF($A231="","",IF(ROW()&lt;=8,"基准周",IF(K231&gt;75,"改善",IF(K231&lt;60,"恶化","持平"))))</f>
        <v>恶化</v>
      </c>
    </row>
    <row r="232" customFormat="false" ht="15" hidden="false" customHeight="true" outlineLevel="0" collapsed="false">
      <c r="A232" s="1" t="s">
        <v>800</v>
      </c>
      <c r="B232" s="1" t="s">
        <v>854</v>
      </c>
      <c r="C232" s="32" t="s">
        <v>855</v>
      </c>
      <c r="D232" s="32" t="s">
        <v>856</v>
      </c>
      <c r="P232" s="1" t="str">
        <f aca="false">IF($A232="","",IF(ROW()&lt;=8,"基准周",IF(K232&gt;75,"改善",IF(K232&lt;60,"恶化","持平"))))</f>
        <v>恶化</v>
      </c>
    </row>
    <row r="233" customFormat="false" ht="15" hidden="false" customHeight="true" outlineLevel="0" collapsed="false">
      <c r="A233" s="61" t="n">
        <v>46234</v>
      </c>
      <c r="B233" s="1" t="n">
        <v>1</v>
      </c>
      <c r="C233" s="1" t="n">
        <v>0</v>
      </c>
      <c r="D233" s="1" t="n">
        <v>3</v>
      </c>
      <c r="E233" s="1" t="n">
        <v>4</v>
      </c>
      <c r="F233" s="1" t="n">
        <v>0</v>
      </c>
      <c r="K233" s="1" t="n">
        <f aca="false">SUM(B2333:J233)*2</f>
        <v>16</v>
      </c>
      <c r="P233" s="1" t="str">
        <f aca="false">IF($A233="","",IF(ROW()&lt;=8,"基准周",IF(K233&gt;75,"改善",IF(K233&lt;60,"恶化","持平"))))</f>
        <v>恶化</v>
      </c>
      <c r="Q233" s="32" t="s">
        <v>857</v>
      </c>
    </row>
    <row r="234" customFormat="false" ht="15" hidden="false" customHeight="true" outlineLevel="0" collapsed="false">
      <c r="A234" s="61" t="n">
        <v>46236</v>
      </c>
      <c r="B234" s="32" t="s">
        <v>858</v>
      </c>
      <c r="C234" s="92" t="s">
        <v>859</v>
      </c>
      <c r="K234" s="1" t="n">
        <f aca="false">SUM(B2344:J234)*2</f>
        <v>0</v>
      </c>
      <c r="P234" s="1" t="str">
        <f aca="false">IF($A234="","",IF(ROW()&lt;=8,"基准周",IF(K234&gt;75,"改善",IF(K234&lt;60,"恶化","持平"))))</f>
        <v>恶化</v>
      </c>
    </row>
    <row r="235" customFormat="false" ht="15" hidden="false" customHeight="true" outlineLevel="0" collapsed="false">
      <c r="A235" s="61" t="n">
        <v>46236</v>
      </c>
      <c r="B235" s="32" t="s">
        <v>860</v>
      </c>
      <c r="C235" s="1" t="s">
        <v>861</v>
      </c>
      <c r="K235" s="1" t="n">
        <f aca="false">SUM(B2354:J235)*2</f>
        <v>0</v>
      </c>
      <c r="P235" s="1" t="str">
        <f aca="false">IF($A235="","",IF(ROW()&lt;=8,"基准周",IF(K235&gt;75,"改善",IF(K235&lt;60,"恶化","持平"))))</f>
        <v>恶化</v>
      </c>
    </row>
  </sheetData>
  <autoFilter ref="A1:P201"/>
  <conditionalFormatting sqref="L2:L201">
    <cfRule type="expression" priority="2" aboveAverage="0" equalAverage="0" bottom="0" percent="0" rank="0" text="" dxfId="9">
      <formula>$L2="达标"</formula>
    </cfRule>
    <cfRule type="expression" priority="3" aboveAverage="0" equalAverage="0" bottom="0" percent="0" rank="0" text="" dxfId="10">
      <formula>$L2="未达标"</formula>
    </cfRule>
  </conditionalFormatting>
  <conditionalFormatting sqref="K2:K201">
    <cfRule type="cellIs" priority="4" operator="greaterThanOrEqual" aboveAverage="0" equalAverage="0" bottom="0" percent="0" rank="0" text="" dxfId="25">
      <formula>80</formula>
    </cfRule>
    <cfRule type="cellIs" priority="5" operator="lessThan" aboveAverage="0" equalAverage="0" bottom="0" percent="0" rank="0" text="" dxfId="26">
      <formula>40</formula>
    </cfRule>
  </conditionalFormatting>
  <conditionalFormatting sqref="P2:P201">
    <cfRule type="expression" priority="6" aboveAverage="0" equalAverage="0" bottom="0" percent="0" rank="0" text="" dxfId="17">
      <formula>$P2="改善"</formula>
    </cfRule>
    <cfRule type="expression" priority="7" aboveAverage="0" equalAverage="0" bottom="0" percent="0" rank="0" text="" dxfId="10">
      <formula>$P2="恶化"</formula>
    </cfRule>
  </conditionalFormatting>
  <dataValidations count="2">
    <dataValidation allowBlank="true" errorStyle="stop" operator="between" showDropDown="false" showErrorMessage="false" showInputMessage="false" sqref="C2:D201 F2:F201 H2:H201" type="list">
      <formula1>"是,否"</formula1>
      <formula2>0</formula2>
    </dataValidation>
    <dataValidation allowBlank="true" errorStyle="stop" operator="between" showDropDown="false" showErrorMessage="false" showInputMessage="false" sqref="E2:E20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3"/>
    <col collapsed="false" customWidth="true" hidden="false" outlineLevel="0" max="15" min="8" style="1" width="12"/>
    <col collapsed="false" customWidth="true" hidden="false" outlineLevel="0" max="17" min="16" style="1" width="26"/>
    <col collapsed="false" customWidth="true" hidden="false" outlineLevel="0" max="18" min="18" style="1" width="12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2" min="21" style="1" width="26"/>
    <col collapsed="false" customWidth="true" hidden="false" outlineLevel="0" max="25" min="23" style="1" width="18"/>
    <col collapsed="false" customWidth="true" hidden="false" outlineLevel="0" max="26" min="26" style="1" width="22"/>
    <col collapsed="false" customWidth="true" hidden="false" outlineLevel="0" max="27" min="27" style="1" width="28"/>
    <col collapsed="false" customWidth="true" hidden="false" outlineLevel="0" max="28" min="28" style="1" width="14"/>
    <col collapsed="false" customWidth="true" hidden="false" outlineLevel="0" max="29" min="29" style="1" width="24"/>
    <col collapsed="false" customWidth="true" hidden="false" outlineLevel="0" max="30" min="30" style="1" width="16"/>
    <col collapsed="false" customWidth="true" hidden="false" outlineLevel="0" max="31" min="31" style="1" width="36"/>
  </cols>
  <sheetData>
    <row r="1" customFormat="false" ht="15" hidden="false" customHeight="true" outlineLevel="0" collapsed="false">
      <c r="A1" s="107" t="s">
        <v>271</v>
      </c>
      <c r="B1" s="107" t="s">
        <v>862</v>
      </c>
      <c r="C1" s="107" t="s">
        <v>863</v>
      </c>
      <c r="D1" s="107" t="s">
        <v>864</v>
      </c>
      <c r="E1" s="107" t="s">
        <v>865</v>
      </c>
      <c r="F1" s="107" t="s">
        <v>866</v>
      </c>
      <c r="G1" s="107" t="s">
        <v>867</v>
      </c>
      <c r="H1" s="107" t="s">
        <v>868</v>
      </c>
      <c r="I1" s="108" t="s">
        <v>869</v>
      </c>
      <c r="J1" s="108" t="s">
        <v>870</v>
      </c>
      <c r="K1" s="107" t="s">
        <v>871</v>
      </c>
      <c r="L1" s="2" t="s">
        <v>872</v>
      </c>
      <c r="M1" s="2" t="s">
        <v>873</v>
      </c>
      <c r="N1" s="2" t="s">
        <v>874</v>
      </c>
      <c r="O1" s="2" t="s">
        <v>875</v>
      </c>
      <c r="P1" s="2" t="s">
        <v>876</v>
      </c>
      <c r="Q1" s="2" t="s">
        <v>877</v>
      </c>
      <c r="R1" s="2" t="s">
        <v>878</v>
      </c>
      <c r="S1" s="2" t="s">
        <v>879</v>
      </c>
      <c r="T1" s="2" t="s">
        <v>880</v>
      </c>
      <c r="U1" s="2" t="s">
        <v>881</v>
      </c>
      <c r="V1" s="2" t="s">
        <v>6</v>
      </c>
      <c r="W1" s="109" t="s">
        <v>882</v>
      </c>
      <c r="X1" s="109" t="s">
        <v>883</v>
      </c>
      <c r="Y1" s="109" t="s">
        <v>884</v>
      </c>
      <c r="Z1" s="109" t="s">
        <v>885</v>
      </c>
      <c r="AA1" s="109" t="s">
        <v>886</v>
      </c>
      <c r="AB1" s="109" t="s">
        <v>887</v>
      </c>
      <c r="AC1" s="109" t="s">
        <v>888</v>
      </c>
      <c r="AD1" s="109" t="s">
        <v>889</v>
      </c>
      <c r="AE1" s="109" t="s">
        <v>890</v>
      </c>
      <c r="AF1" s="109" t="s">
        <v>891</v>
      </c>
      <c r="AG1" s="109" t="s">
        <v>892</v>
      </c>
      <c r="AH1" s="109" t="s">
        <v>893</v>
      </c>
    </row>
    <row r="2" customFormat="false" ht="15" hidden="false" customHeight="true" outlineLevel="0" collapsed="false">
      <c r="A2" s="29" t="s">
        <v>894</v>
      </c>
      <c r="B2" s="34" t="n">
        <v>20326.12</v>
      </c>
      <c r="C2" s="34" t="n">
        <v>20842.32</v>
      </c>
      <c r="D2" s="36" t="n">
        <v>0.0253958945435725</v>
      </c>
      <c r="E2" s="34" t="n">
        <v>21004.83</v>
      </c>
      <c r="F2" s="34" t="n">
        <v>20326.12</v>
      </c>
      <c r="G2" s="36" t="n">
        <v>0.00773679196641925</v>
      </c>
      <c r="H2" s="37" t="n">
        <v>7</v>
      </c>
      <c r="I2" s="37" t="n">
        <v>2</v>
      </c>
      <c r="J2" s="37" t="n">
        <v>0</v>
      </c>
      <c r="K2" s="28" t="s">
        <v>895</v>
      </c>
      <c r="L2" s="37" t="n">
        <v>0</v>
      </c>
      <c r="M2" s="37" t="n">
        <v>2.9</v>
      </c>
      <c r="N2" s="37" t="n">
        <v>2</v>
      </c>
      <c r="O2" s="28" t="s">
        <v>341</v>
      </c>
      <c r="P2" s="60" t="s">
        <v>896</v>
      </c>
      <c r="Q2" s="28" t="s">
        <v>897</v>
      </c>
      <c r="R2" s="39" t="s">
        <v>324</v>
      </c>
      <c r="S2" s="40" t="s">
        <v>236</v>
      </c>
      <c r="T2" s="39" t="s">
        <v>324</v>
      </c>
      <c r="U2" s="28" t="s">
        <v>898</v>
      </c>
      <c r="V2" s="28" t="s">
        <v>899</v>
      </c>
      <c r="W2" s="110" t="s">
        <v>900</v>
      </c>
      <c r="X2" s="110" t="s">
        <v>901</v>
      </c>
      <c r="Y2" s="110" t="s">
        <v>902</v>
      </c>
      <c r="Z2" s="111" t="s">
        <v>903</v>
      </c>
      <c r="AA2" s="112" t="s">
        <v>904</v>
      </c>
      <c r="AB2" s="112" t="n">
        <v>8.38</v>
      </c>
      <c r="AC2" s="112" t="s">
        <v>905</v>
      </c>
      <c r="AD2" s="111" t="s">
        <v>906</v>
      </c>
      <c r="AE2" s="112" t="s">
        <v>907</v>
      </c>
      <c r="AF2" s="111" t="s">
        <v>908</v>
      </c>
      <c r="AG2" s="111" t="s">
        <v>909</v>
      </c>
      <c r="AH2" s="111" t="s">
        <v>910</v>
      </c>
    </row>
    <row r="3" customFormat="false" ht="15" hidden="false" customHeight="true" outlineLevel="0" collapsed="false">
      <c r="A3" s="59" t="s">
        <v>911</v>
      </c>
      <c r="B3" s="44" t="n">
        <v>527.88</v>
      </c>
      <c r="C3" s="44" t="s">
        <v>912</v>
      </c>
      <c r="D3" s="36" t="n">
        <v>20842.92</v>
      </c>
      <c r="E3" s="44" t="n">
        <v>21370.8</v>
      </c>
      <c r="F3" s="44" t="n">
        <v>6</v>
      </c>
      <c r="G3" s="36" t="n">
        <v>11</v>
      </c>
      <c r="H3" s="45" t="n">
        <v>2</v>
      </c>
      <c r="I3" s="45" t="s">
        <v>913</v>
      </c>
      <c r="J3" s="45" t="n">
        <v>68</v>
      </c>
      <c r="K3" s="30" t="s">
        <v>914</v>
      </c>
      <c r="L3" s="45"/>
      <c r="M3" s="45"/>
      <c r="N3" s="45"/>
      <c r="O3" s="31"/>
      <c r="P3" s="30"/>
      <c r="Q3" s="30"/>
      <c r="R3" s="39"/>
      <c r="S3" s="46"/>
      <c r="T3" s="39"/>
      <c r="U3" s="30"/>
      <c r="V3" s="30"/>
    </row>
    <row r="4" customFormat="false" ht="15" hidden="false" customHeight="true" outlineLevel="0" collapsed="false">
      <c r="A4" s="28"/>
      <c r="B4" s="34"/>
      <c r="C4" s="34"/>
      <c r="D4" s="36"/>
      <c r="E4" s="34"/>
      <c r="F4" s="34"/>
      <c r="G4" s="36"/>
      <c r="H4" s="37"/>
      <c r="I4" s="37"/>
      <c r="J4" s="37"/>
      <c r="K4" s="28"/>
      <c r="L4" s="37"/>
      <c r="M4" s="37"/>
      <c r="N4" s="37"/>
      <c r="O4" s="28"/>
      <c r="P4" s="28"/>
      <c r="Q4" s="28"/>
      <c r="R4" s="39"/>
      <c r="S4" s="40"/>
      <c r="T4" s="39"/>
      <c r="U4" s="28"/>
      <c r="V4" s="28"/>
    </row>
    <row r="5" customFormat="false" ht="15" hidden="false" customHeight="true" outlineLevel="0" collapsed="false">
      <c r="A5" s="30"/>
      <c r="B5" s="44"/>
      <c r="C5" s="44"/>
      <c r="D5" s="36"/>
      <c r="E5" s="44"/>
      <c r="F5" s="44"/>
      <c r="G5" s="36"/>
      <c r="H5" s="45"/>
      <c r="I5" s="45"/>
      <c r="J5" s="45"/>
      <c r="K5" s="30"/>
      <c r="L5" s="45"/>
      <c r="M5" s="45"/>
      <c r="N5" s="45"/>
      <c r="O5" s="31"/>
      <c r="P5" s="30"/>
      <c r="Q5" s="30"/>
      <c r="R5" s="39"/>
      <c r="S5" s="46"/>
      <c r="T5" s="39"/>
      <c r="U5" s="30"/>
      <c r="V5" s="30"/>
    </row>
    <row r="6" customFormat="false" ht="15" hidden="false" customHeight="true" outlineLevel="0" collapsed="false">
      <c r="A6" s="28"/>
      <c r="B6" s="34"/>
      <c r="C6" s="34"/>
      <c r="D6" s="36"/>
      <c r="E6" s="34"/>
      <c r="F6" s="34"/>
      <c r="G6" s="36"/>
      <c r="H6" s="37"/>
      <c r="I6" s="37"/>
      <c r="J6" s="37"/>
      <c r="K6" s="28"/>
      <c r="L6" s="37"/>
      <c r="M6" s="37"/>
      <c r="N6" s="37"/>
      <c r="O6" s="28"/>
      <c r="P6" s="28"/>
      <c r="Q6" s="28"/>
      <c r="R6" s="39"/>
      <c r="S6" s="40"/>
      <c r="T6" s="39"/>
      <c r="U6" s="28"/>
      <c r="V6" s="28"/>
    </row>
    <row r="7" customFormat="false" ht="15" hidden="false" customHeight="true" outlineLevel="0" collapsed="false">
      <c r="A7" s="30"/>
      <c r="B7" s="44"/>
      <c r="C7" s="44"/>
      <c r="D7" s="36"/>
      <c r="E7" s="44"/>
      <c r="F7" s="44"/>
      <c r="G7" s="36"/>
      <c r="H7" s="45"/>
      <c r="I7" s="45"/>
      <c r="J7" s="45"/>
      <c r="K7" s="30"/>
      <c r="L7" s="45"/>
      <c r="M7" s="45"/>
      <c r="N7" s="45"/>
      <c r="O7" s="31"/>
      <c r="P7" s="30"/>
      <c r="Q7" s="30"/>
      <c r="R7" s="39"/>
      <c r="S7" s="46"/>
      <c r="T7" s="39"/>
      <c r="U7" s="30"/>
      <c r="V7" s="30"/>
    </row>
    <row r="8" customFormat="false" ht="15" hidden="false" customHeight="true" outlineLevel="0" collapsed="false">
      <c r="A8" s="28"/>
      <c r="B8" s="34"/>
      <c r="C8" s="34"/>
      <c r="D8" s="36"/>
      <c r="E8" s="34"/>
      <c r="F8" s="34"/>
      <c r="G8" s="36"/>
      <c r="H8" s="37"/>
      <c r="I8" s="37"/>
      <c r="J8" s="37"/>
      <c r="K8" s="28"/>
      <c r="L8" s="37"/>
      <c r="M8" s="37"/>
      <c r="N8" s="37"/>
      <c r="O8" s="28"/>
      <c r="P8" s="28"/>
      <c r="Q8" s="28"/>
      <c r="R8" s="39"/>
      <c r="S8" s="40"/>
      <c r="T8" s="39"/>
      <c r="U8" s="28"/>
      <c r="V8" s="28"/>
    </row>
    <row r="9" customFormat="false" ht="15" hidden="false" customHeight="true" outlineLevel="0" collapsed="false">
      <c r="A9" s="30"/>
      <c r="B9" s="44"/>
      <c r="C9" s="44"/>
      <c r="D9" s="36"/>
      <c r="E9" s="44"/>
      <c r="F9" s="44"/>
      <c r="G9" s="36"/>
      <c r="H9" s="45"/>
      <c r="I9" s="45"/>
      <c r="J9" s="45"/>
      <c r="K9" s="30"/>
      <c r="L9" s="45"/>
      <c r="M9" s="45"/>
      <c r="N9" s="45"/>
      <c r="O9" s="31"/>
      <c r="P9" s="30"/>
      <c r="Q9" s="30"/>
      <c r="R9" s="39"/>
      <c r="S9" s="46"/>
      <c r="T9" s="39"/>
      <c r="U9" s="30"/>
      <c r="V9" s="30"/>
    </row>
    <row r="10" customFormat="false" ht="15" hidden="false" customHeight="true" outlineLevel="0" collapsed="false">
      <c r="A10" s="28"/>
      <c r="B10" s="34"/>
      <c r="C10" s="34"/>
      <c r="D10" s="36"/>
      <c r="E10" s="34"/>
      <c r="F10" s="34"/>
      <c r="G10" s="36"/>
      <c r="H10" s="37"/>
      <c r="I10" s="37"/>
      <c r="J10" s="37"/>
      <c r="K10" s="28"/>
      <c r="L10" s="37"/>
      <c r="M10" s="37"/>
      <c r="N10" s="37"/>
      <c r="O10" s="28"/>
      <c r="P10" s="28"/>
      <c r="Q10" s="28"/>
      <c r="R10" s="39"/>
      <c r="S10" s="40"/>
      <c r="T10" s="39"/>
      <c r="U10" s="28"/>
      <c r="V10" s="28"/>
    </row>
    <row r="11" customFormat="false" ht="15" hidden="false" customHeight="true" outlineLevel="0" collapsed="false">
      <c r="A11" s="30"/>
      <c r="B11" s="44"/>
      <c r="C11" s="44"/>
      <c r="D11" s="36"/>
      <c r="E11" s="44"/>
      <c r="F11" s="44"/>
      <c r="G11" s="36"/>
      <c r="H11" s="45"/>
      <c r="I11" s="45"/>
      <c r="J11" s="45"/>
      <c r="K11" s="30"/>
      <c r="L11" s="45"/>
      <c r="M11" s="45"/>
      <c r="N11" s="45"/>
      <c r="O11" s="31"/>
      <c r="P11" s="30"/>
      <c r="Q11" s="30"/>
      <c r="R11" s="39"/>
      <c r="S11" s="46"/>
      <c r="T11" s="39"/>
      <c r="U11" s="30"/>
      <c r="V11" s="30"/>
    </row>
    <row r="12" customFormat="false" ht="15" hidden="false" customHeight="true" outlineLevel="0" collapsed="false">
      <c r="A12" s="28"/>
      <c r="B12" s="34"/>
      <c r="C12" s="34"/>
      <c r="D12" s="36"/>
      <c r="E12" s="34"/>
      <c r="F12" s="34"/>
      <c r="G12" s="36"/>
      <c r="H12" s="37"/>
      <c r="I12" s="37"/>
      <c r="J12" s="37"/>
      <c r="K12" s="28"/>
      <c r="L12" s="37"/>
      <c r="M12" s="37"/>
      <c r="N12" s="37"/>
      <c r="O12" s="28"/>
      <c r="P12" s="28"/>
      <c r="Q12" s="28"/>
      <c r="R12" s="39"/>
      <c r="S12" s="40"/>
      <c r="T12" s="39"/>
      <c r="U12" s="28"/>
      <c r="V12" s="28"/>
    </row>
    <row r="13" customFormat="false" ht="15" hidden="false" customHeight="true" outlineLevel="0" collapsed="false">
      <c r="A13" s="30"/>
      <c r="B13" s="44"/>
      <c r="C13" s="44"/>
      <c r="D13" s="36"/>
      <c r="E13" s="44"/>
      <c r="F13" s="44"/>
      <c r="G13" s="36"/>
      <c r="H13" s="45"/>
      <c r="I13" s="45"/>
      <c r="J13" s="45"/>
      <c r="K13" s="30"/>
      <c r="L13" s="45"/>
      <c r="M13" s="45"/>
      <c r="N13" s="45"/>
      <c r="O13" s="31"/>
      <c r="P13" s="30"/>
      <c r="Q13" s="30"/>
      <c r="R13" s="39"/>
      <c r="S13" s="46"/>
      <c r="T13" s="39"/>
      <c r="U13" s="30"/>
      <c r="V13" s="30"/>
    </row>
    <row r="14" customFormat="false" ht="15" hidden="false" customHeight="true" outlineLevel="0" collapsed="false">
      <c r="A14" s="28"/>
      <c r="B14" s="34"/>
      <c r="C14" s="34"/>
      <c r="D14" s="36"/>
      <c r="E14" s="34"/>
      <c r="F14" s="34"/>
      <c r="G14" s="36"/>
      <c r="H14" s="37"/>
      <c r="I14" s="37"/>
      <c r="J14" s="37"/>
      <c r="K14" s="28"/>
      <c r="L14" s="37"/>
      <c r="M14" s="37"/>
      <c r="N14" s="37"/>
      <c r="O14" s="28"/>
      <c r="P14" s="28"/>
      <c r="Q14" s="28"/>
      <c r="R14" s="39"/>
      <c r="S14" s="40"/>
      <c r="T14" s="39"/>
      <c r="U14" s="28"/>
      <c r="V14" s="28"/>
    </row>
    <row r="15" customFormat="false" ht="15" hidden="false" customHeight="true" outlineLevel="0" collapsed="false">
      <c r="A15" s="30"/>
      <c r="B15" s="44"/>
      <c r="C15" s="44"/>
      <c r="D15" s="36"/>
      <c r="E15" s="44"/>
      <c r="F15" s="44"/>
      <c r="G15" s="36"/>
      <c r="H15" s="45"/>
      <c r="I15" s="45"/>
      <c r="J15" s="45"/>
      <c r="K15" s="30"/>
      <c r="L15" s="45"/>
      <c r="M15" s="45"/>
      <c r="N15" s="45"/>
      <c r="O15" s="31"/>
      <c r="P15" s="30"/>
      <c r="Q15" s="30"/>
      <c r="R15" s="39"/>
      <c r="S15" s="46"/>
      <c r="T15" s="39"/>
      <c r="U15" s="30"/>
      <c r="V15" s="30"/>
    </row>
    <row r="16" customFormat="false" ht="15" hidden="false" customHeight="true" outlineLevel="0" collapsed="false">
      <c r="A16" s="28"/>
      <c r="B16" s="34"/>
      <c r="C16" s="34"/>
      <c r="D16" s="36"/>
      <c r="E16" s="34"/>
      <c r="F16" s="34"/>
      <c r="G16" s="36"/>
      <c r="H16" s="37"/>
      <c r="I16" s="37"/>
      <c r="J16" s="37"/>
      <c r="K16" s="28"/>
      <c r="L16" s="37"/>
      <c r="M16" s="37"/>
      <c r="N16" s="37"/>
      <c r="O16" s="28"/>
      <c r="P16" s="28"/>
      <c r="Q16" s="28"/>
      <c r="R16" s="39"/>
      <c r="S16" s="40"/>
      <c r="T16" s="39"/>
      <c r="U16" s="28"/>
      <c r="V16" s="28"/>
    </row>
    <row r="17" customFormat="false" ht="15" hidden="false" customHeight="true" outlineLevel="0" collapsed="false">
      <c r="A17" s="30"/>
      <c r="B17" s="44"/>
      <c r="C17" s="44"/>
      <c r="D17" s="36"/>
      <c r="E17" s="44"/>
      <c r="F17" s="44"/>
      <c r="G17" s="36"/>
      <c r="H17" s="45"/>
      <c r="I17" s="45"/>
      <c r="J17" s="45"/>
      <c r="K17" s="30"/>
      <c r="L17" s="45"/>
      <c r="M17" s="45"/>
      <c r="N17" s="45"/>
      <c r="O17" s="31"/>
      <c r="P17" s="30"/>
      <c r="Q17" s="30"/>
      <c r="R17" s="39"/>
      <c r="S17" s="46"/>
      <c r="T17" s="39"/>
      <c r="U17" s="30"/>
      <c r="V17" s="30"/>
    </row>
    <row r="18" customFormat="false" ht="15" hidden="false" customHeight="true" outlineLevel="0" collapsed="false">
      <c r="A18" s="28"/>
      <c r="B18" s="34"/>
      <c r="C18" s="34"/>
      <c r="D18" s="36"/>
      <c r="E18" s="34"/>
      <c r="F18" s="34"/>
      <c r="G18" s="36"/>
      <c r="H18" s="37"/>
      <c r="I18" s="37"/>
      <c r="J18" s="37"/>
      <c r="K18" s="28"/>
      <c r="L18" s="37"/>
      <c r="M18" s="37"/>
      <c r="N18" s="37"/>
      <c r="O18" s="28"/>
      <c r="P18" s="28"/>
      <c r="Q18" s="28"/>
      <c r="R18" s="39"/>
      <c r="S18" s="40"/>
      <c r="T18" s="39"/>
      <c r="U18" s="28"/>
      <c r="V18" s="28"/>
    </row>
    <row r="19" customFormat="false" ht="15" hidden="false" customHeight="true" outlineLevel="0" collapsed="false">
      <c r="A19" s="30"/>
      <c r="B19" s="44"/>
      <c r="C19" s="44"/>
      <c r="D19" s="36"/>
      <c r="E19" s="44"/>
      <c r="F19" s="44"/>
      <c r="G19" s="36"/>
      <c r="H19" s="45"/>
      <c r="I19" s="45"/>
      <c r="J19" s="45"/>
      <c r="K19" s="30"/>
      <c r="L19" s="45"/>
      <c r="M19" s="45"/>
      <c r="N19" s="45"/>
      <c r="O19" s="31"/>
      <c r="P19" s="30"/>
      <c r="Q19" s="30"/>
      <c r="R19" s="39"/>
      <c r="S19" s="46"/>
      <c r="T19" s="39"/>
      <c r="U19" s="30"/>
      <c r="V19" s="30"/>
    </row>
    <row r="20" customFormat="false" ht="15" hidden="false" customHeight="true" outlineLevel="0" collapsed="false">
      <c r="A20" s="28"/>
      <c r="B20" s="34"/>
      <c r="C20" s="34"/>
      <c r="D20" s="36"/>
      <c r="E20" s="34"/>
      <c r="F20" s="34"/>
      <c r="G20" s="36"/>
      <c r="H20" s="37"/>
      <c r="I20" s="37"/>
      <c r="J20" s="37"/>
      <c r="K20" s="28"/>
      <c r="L20" s="37"/>
      <c r="M20" s="37"/>
      <c r="N20" s="37"/>
      <c r="O20" s="28"/>
      <c r="P20" s="28"/>
      <c r="Q20" s="28"/>
      <c r="R20" s="39"/>
      <c r="S20" s="40"/>
      <c r="T20" s="39"/>
      <c r="U20" s="28"/>
      <c r="V20" s="28"/>
    </row>
    <row r="21" customFormat="false" ht="15" hidden="false" customHeight="true" outlineLevel="0" collapsed="false">
      <c r="A21" s="30"/>
      <c r="B21" s="44"/>
      <c r="C21" s="44"/>
      <c r="D21" s="36"/>
      <c r="E21" s="44"/>
      <c r="F21" s="44"/>
      <c r="G21" s="36"/>
      <c r="H21" s="45"/>
      <c r="I21" s="45"/>
      <c r="J21" s="45"/>
      <c r="K21" s="30"/>
      <c r="L21" s="45"/>
      <c r="M21" s="45"/>
      <c r="N21" s="45"/>
      <c r="O21" s="31"/>
      <c r="P21" s="30"/>
      <c r="Q21" s="30"/>
      <c r="R21" s="39"/>
      <c r="S21" s="46"/>
      <c r="T21" s="39"/>
      <c r="U21" s="30"/>
      <c r="V21" s="30"/>
    </row>
    <row r="22" customFormat="false" ht="15" hidden="false" customHeight="true" outlineLevel="0" collapsed="false">
      <c r="A22" s="28"/>
      <c r="B22" s="34"/>
      <c r="C22" s="34"/>
      <c r="D22" s="36"/>
      <c r="E22" s="34"/>
      <c r="F22" s="34"/>
      <c r="G22" s="36"/>
      <c r="H22" s="37"/>
      <c r="I22" s="37"/>
      <c r="J22" s="37"/>
      <c r="K22" s="28"/>
      <c r="L22" s="37"/>
      <c r="M22" s="37"/>
      <c r="N22" s="37"/>
      <c r="O22" s="28"/>
      <c r="P22" s="28"/>
      <c r="Q22" s="28"/>
      <c r="R22" s="39"/>
      <c r="S22" s="40"/>
      <c r="T22" s="39"/>
      <c r="U22" s="28"/>
      <c r="V22" s="28"/>
    </row>
    <row r="23" customFormat="false" ht="15" hidden="false" customHeight="true" outlineLevel="0" collapsed="false">
      <c r="A23" s="30"/>
      <c r="B23" s="44"/>
      <c r="C23" s="44"/>
      <c r="D23" s="36"/>
      <c r="E23" s="44"/>
      <c r="F23" s="44"/>
      <c r="G23" s="36"/>
      <c r="H23" s="45"/>
      <c r="I23" s="45"/>
      <c r="J23" s="45"/>
      <c r="K23" s="30"/>
      <c r="L23" s="45"/>
      <c r="M23" s="45"/>
      <c r="N23" s="45"/>
      <c r="O23" s="31"/>
      <c r="P23" s="30"/>
      <c r="Q23" s="30"/>
      <c r="R23" s="39"/>
      <c r="S23" s="46"/>
      <c r="T23" s="39"/>
      <c r="U23" s="30"/>
      <c r="V23" s="30"/>
    </row>
    <row r="24" customFormat="false" ht="15" hidden="false" customHeight="true" outlineLevel="0" collapsed="false">
      <c r="A24" s="28"/>
      <c r="B24" s="34"/>
      <c r="C24" s="34"/>
      <c r="D24" s="36"/>
      <c r="E24" s="34"/>
      <c r="F24" s="34"/>
      <c r="G24" s="36"/>
      <c r="H24" s="37"/>
      <c r="I24" s="37"/>
      <c r="J24" s="37"/>
      <c r="K24" s="28"/>
      <c r="L24" s="37"/>
      <c r="M24" s="37"/>
      <c r="N24" s="37"/>
      <c r="O24" s="28"/>
      <c r="P24" s="28"/>
      <c r="Q24" s="28"/>
      <c r="R24" s="39"/>
      <c r="S24" s="40"/>
      <c r="T24" s="39"/>
      <c r="U24" s="28"/>
      <c r="V24" s="28"/>
    </row>
    <row r="25" customFormat="false" ht="15" hidden="false" customHeight="true" outlineLevel="0" collapsed="false">
      <c r="A25" s="30"/>
      <c r="B25" s="44"/>
      <c r="C25" s="44"/>
      <c r="D25" s="36"/>
      <c r="E25" s="44"/>
      <c r="F25" s="44"/>
      <c r="G25" s="36"/>
      <c r="H25" s="45"/>
      <c r="I25" s="45"/>
      <c r="J25" s="45"/>
      <c r="K25" s="30"/>
      <c r="L25" s="45"/>
      <c r="M25" s="45"/>
      <c r="N25" s="45"/>
      <c r="O25" s="31"/>
      <c r="P25" s="30"/>
      <c r="Q25" s="30"/>
      <c r="R25" s="39"/>
      <c r="S25" s="46"/>
      <c r="T25" s="39"/>
      <c r="U25" s="30"/>
      <c r="V25" s="30"/>
    </row>
    <row r="26" customFormat="false" ht="15" hidden="false" customHeight="true" outlineLevel="0" collapsed="false">
      <c r="A26" s="28"/>
      <c r="B26" s="34"/>
      <c r="C26" s="34"/>
      <c r="D26" s="36"/>
      <c r="E26" s="34"/>
      <c r="F26" s="34"/>
      <c r="G26" s="36"/>
      <c r="H26" s="37"/>
      <c r="I26" s="37"/>
      <c r="J26" s="37"/>
      <c r="K26" s="28"/>
      <c r="L26" s="37"/>
      <c r="M26" s="37"/>
      <c r="N26" s="37"/>
      <c r="O26" s="28"/>
      <c r="P26" s="28"/>
      <c r="Q26" s="28"/>
      <c r="R26" s="39"/>
      <c r="S26" s="40"/>
      <c r="T26" s="39"/>
      <c r="U26" s="28"/>
      <c r="V26" s="28"/>
    </row>
    <row r="27" customFormat="false" ht="15" hidden="false" customHeight="true" outlineLevel="0" collapsed="false">
      <c r="A27" s="30"/>
      <c r="B27" s="44"/>
      <c r="C27" s="44"/>
      <c r="D27" s="36"/>
      <c r="E27" s="44"/>
      <c r="F27" s="44"/>
      <c r="G27" s="36"/>
      <c r="H27" s="45"/>
      <c r="I27" s="45"/>
      <c r="J27" s="45"/>
      <c r="K27" s="30"/>
      <c r="L27" s="45"/>
      <c r="M27" s="45"/>
      <c r="N27" s="45"/>
      <c r="O27" s="31"/>
      <c r="P27" s="30"/>
      <c r="Q27" s="30"/>
      <c r="R27" s="39"/>
      <c r="S27" s="46"/>
      <c r="T27" s="39"/>
      <c r="U27" s="30"/>
      <c r="V27" s="30"/>
    </row>
    <row r="28" customFormat="false" ht="15" hidden="false" customHeight="true" outlineLevel="0" collapsed="false">
      <c r="A28" s="28"/>
      <c r="B28" s="34"/>
      <c r="C28" s="34"/>
      <c r="D28" s="36"/>
      <c r="E28" s="34"/>
      <c r="F28" s="34"/>
      <c r="G28" s="36"/>
      <c r="H28" s="37"/>
      <c r="I28" s="37"/>
      <c r="J28" s="37"/>
      <c r="K28" s="28"/>
      <c r="L28" s="37"/>
      <c r="M28" s="37"/>
      <c r="N28" s="37"/>
      <c r="O28" s="28"/>
      <c r="P28" s="28"/>
      <c r="Q28" s="28"/>
      <c r="R28" s="39"/>
      <c r="S28" s="40"/>
      <c r="T28" s="39"/>
      <c r="U28" s="28"/>
      <c r="V28" s="28"/>
    </row>
    <row r="29" customFormat="false" ht="15" hidden="false" customHeight="true" outlineLevel="0" collapsed="false">
      <c r="A29" s="30"/>
      <c r="B29" s="44"/>
      <c r="C29" s="44"/>
      <c r="D29" s="36"/>
      <c r="E29" s="44"/>
      <c r="F29" s="44"/>
      <c r="G29" s="36"/>
      <c r="H29" s="45"/>
      <c r="I29" s="45"/>
      <c r="J29" s="45"/>
      <c r="K29" s="30"/>
      <c r="L29" s="45"/>
      <c r="M29" s="45"/>
      <c r="N29" s="45"/>
      <c r="O29" s="31"/>
      <c r="P29" s="30"/>
      <c r="Q29" s="30"/>
      <c r="R29" s="39"/>
      <c r="S29" s="46"/>
      <c r="T29" s="39"/>
      <c r="U29" s="30"/>
      <c r="V29" s="30"/>
    </row>
    <row r="30" customFormat="false" ht="15" hidden="false" customHeight="true" outlineLevel="0" collapsed="false">
      <c r="A30" s="28"/>
      <c r="B30" s="34"/>
      <c r="C30" s="34"/>
      <c r="D30" s="36"/>
      <c r="E30" s="34"/>
      <c r="F30" s="34"/>
      <c r="G30" s="36"/>
      <c r="H30" s="37"/>
      <c r="I30" s="37"/>
      <c r="J30" s="37"/>
      <c r="K30" s="28"/>
      <c r="L30" s="37"/>
      <c r="M30" s="37"/>
      <c r="N30" s="37"/>
      <c r="O30" s="28"/>
      <c r="P30" s="28"/>
      <c r="Q30" s="28"/>
      <c r="R30" s="39"/>
      <c r="S30" s="40"/>
      <c r="T30" s="39"/>
      <c r="U30" s="28"/>
      <c r="V30" s="28"/>
    </row>
    <row r="31" customFormat="false" ht="15" hidden="false" customHeight="true" outlineLevel="0" collapsed="false">
      <c r="A31" s="30"/>
      <c r="B31" s="44"/>
      <c r="C31" s="44"/>
      <c r="D31" s="36"/>
      <c r="E31" s="44"/>
      <c r="F31" s="44"/>
      <c r="G31" s="36"/>
      <c r="H31" s="45"/>
      <c r="I31" s="45"/>
      <c r="J31" s="45"/>
      <c r="K31" s="30"/>
      <c r="L31" s="45"/>
      <c r="M31" s="45"/>
      <c r="N31" s="45"/>
      <c r="O31" s="31"/>
      <c r="P31" s="30"/>
      <c r="Q31" s="30"/>
      <c r="R31" s="39"/>
      <c r="S31" s="46"/>
      <c r="T31" s="39"/>
      <c r="U31" s="30"/>
      <c r="V31" s="30"/>
    </row>
    <row r="32" customFormat="false" ht="15" hidden="false" customHeight="true" outlineLevel="0" collapsed="false">
      <c r="A32" s="28"/>
      <c r="B32" s="34"/>
      <c r="C32" s="34"/>
      <c r="D32" s="36"/>
      <c r="E32" s="34"/>
      <c r="F32" s="34"/>
      <c r="G32" s="36"/>
      <c r="H32" s="37"/>
      <c r="I32" s="37"/>
      <c r="J32" s="37"/>
      <c r="K32" s="28"/>
      <c r="L32" s="37"/>
      <c r="M32" s="37"/>
      <c r="N32" s="37"/>
      <c r="O32" s="28"/>
      <c r="P32" s="28"/>
      <c r="Q32" s="28"/>
      <c r="R32" s="39"/>
      <c r="S32" s="40"/>
      <c r="T32" s="39"/>
      <c r="U32" s="28"/>
      <c r="V32" s="28"/>
    </row>
    <row r="33" customFormat="false" ht="15" hidden="false" customHeight="true" outlineLevel="0" collapsed="false">
      <c r="A33" s="30"/>
      <c r="B33" s="44"/>
      <c r="C33" s="44"/>
      <c r="D33" s="36"/>
      <c r="E33" s="44"/>
      <c r="F33" s="44"/>
      <c r="G33" s="36"/>
      <c r="H33" s="45"/>
      <c r="I33" s="45"/>
      <c r="J33" s="45"/>
      <c r="K33" s="30"/>
      <c r="L33" s="45"/>
      <c r="M33" s="45"/>
      <c r="N33" s="45"/>
      <c r="O33" s="31"/>
      <c r="P33" s="30"/>
      <c r="Q33" s="30"/>
      <c r="R33" s="39"/>
      <c r="S33" s="46"/>
      <c r="T33" s="39"/>
      <c r="U33" s="30"/>
      <c r="V33" s="30"/>
    </row>
    <row r="34" customFormat="false" ht="15" hidden="false" customHeight="true" outlineLevel="0" collapsed="false">
      <c r="A34" s="28"/>
      <c r="B34" s="34"/>
      <c r="C34" s="34"/>
      <c r="D34" s="36"/>
      <c r="E34" s="34"/>
      <c r="F34" s="34"/>
      <c r="G34" s="36"/>
      <c r="H34" s="37"/>
      <c r="I34" s="37"/>
      <c r="J34" s="37"/>
      <c r="K34" s="28"/>
      <c r="L34" s="37"/>
      <c r="M34" s="37"/>
      <c r="N34" s="37"/>
      <c r="O34" s="28"/>
      <c r="P34" s="28"/>
      <c r="Q34" s="28"/>
      <c r="R34" s="39"/>
      <c r="S34" s="40"/>
      <c r="T34" s="39"/>
      <c r="U34" s="28"/>
      <c r="V34" s="28"/>
    </row>
    <row r="35" customFormat="false" ht="15" hidden="false" customHeight="true" outlineLevel="0" collapsed="false">
      <c r="A35" s="30"/>
      <c r="B35" s="44"/>
      <c r="C35" s="44"/>
      <c r="D35" s="36"/>
      <c r="E35" s="44"/>
      <c r="F35" s="44"/>
      <c r="G35" s="36"/>
      <c r="H35" s="45"/>
      <c r="I35" s="45"/>
      <c r="J35" s="45"/>
      <c r="K35" s="30"/>
      <c r="L35" s="45"/>
      <c r="M35" s="45"/>
      <c r="N35" s="45"/>
      <c r="O35" s="31"/>
      <c r="P35" s="30"/>
      <c r="Q35" s="30"/>
      <c r="R35" s="39"/>
      <c r="S35" s="46"/>
      <c r="T35" s="39"/>
      <c r="U35" s="30"/>
      <c r="V35" s="30"/>
    </row>
    <row r="36" customFormat="false" ht="15" hidden="false" customHeight="true" outlineLevel="0" collapsed="false">
      <c r="A36" s="28"/>
      <c r="B36" s="34"/>
      <c r="C36" s="34"/>
      <c r="D36" s="36"/>
      <c r="E36" s="34"/>
      <c r="F36" s="34"/>
      <c r="G36" s="36"/>
      <c r="H36" s="37"/>
      <c r="I36" s="37"/>
      <c r="J36" s="37"/>
      <c r="K36" s="28"/>
      <c r="L36" s="37"/>
      <c r="M36" s="37"/>
      <c r="N36" s="37"/>
      <c r="O36" s="28"/>
      <c r="P36" s="28"/>
      <c r="Q36" s="28"/>
      <c r="R36" s="39"/>
      <c r="S36" s="40"/>
      <c r="T36" s="39"/>
      <c r="U36" s="28"/>
      <c r="V36" s="28"/>
    </row>
    <row r="37" customFormat="false" ht="15" hidden="false" customHeight="true" outlineLevel="0" collapsed="false">
      <c r="A37" s="30"/>
      <c r="B37" s="44"/>
      <c r="C37" s="44"/>
      <c r="D37" s="36"/>
      <c r="E37" s="44"/>
      <c r="F37" s="44"/>
      <c r="G37" s="36"/>
      <c r="H37" s="45"/>
      <c r="I37" s="45"/>
      <c r="J37" s="45"/>
      <c r="K37" s="30"/>
      <c r="L37" s="45"/>
      <c r="M37" s="45"/>
      <c r="N37" s="45"/>
      <c r="O37" s="31"/>
      <c r="P37" s="30"/>
      <c r="Q37" s="30"/>
      <c r="R37" s="39"/>
      <c r="S37" s="46"/>
      <c r="T37" s="39"/>
      <c r="U37" s="30"/>
      <c r="V37" s="30"/>
    </row>
    <row r="38" customFormat="false" ht="15" hidden="false" customHeight="true" outlineLevel="0" collapsed="false">
      <c r="A38" s="28"/>
      <c r="B38" s="34"/>
      <c r="C38" s="34"/>
      <c r="D38" s="36"/>
      <c r="E38" s="34"/>
      <c r="F38" s="34"/>
      <c r="G38" s="36"/>
      <c r="H38" s="37"/>
      <c r="I38" s="37"/>
      <c r="J38" s="37"/>
      <c r="K38" s="28"/>
      <c r="L38" s="37"/>
      <c r="M38" s="37"/>
      <c r="N38" s="37"/>
      <c r="O38" s="28"/>
      <c r="P38" s="28"/>
      <c r="Q38" s="28"/>
      <c r="R38" s="39"/>
      <c r="S38" s="40"/>
      <c r="T38" s="39"/>
      <c r="U38" s="28"/>
      <c r="V38" s="28"/>
    </row>
    <row r="39" customFormat="false" ht="15" hidden="false" customHeight="true" outlineLevel="0" collapsed="false">
      <c r="A39" s="30"/>
      <c r="B39" s="44"/>
      <c r="C39" s="44"/>
      <c r="D39" s="36"/>
      <c r="E39" s="44"/>
      <c r="F39" s="44"/>
      <c r="G39" s="36"/>
      <c r="H39" s="45"/>
      <c r="I39" s="45"/>
      <c r="J39" s="45"/>
      <c r="K39" s="30"/>
      <c r="L39" s="45"/>
      <c r="M39" s="45"/>
      <c r="N39" s="45"/>
      <c r="O39" s="31"/>
      <c r="P39" s="30"/>
      <c r="Q39" s="30"/>
      <c r="R39" s="39"/>
      <c r="S39" s="46"/>
      <c r="T39" s="39"/>
      <c r="U39" s="30"/>
      <c r="V39" s="30"/>
    </row>
    <row r="40" customFormat="false" ht="15" hidden="false" customHeight="true" outlineLevel="0" collapsed="false">
      <c r="A40" s="28"/>
      <c r="B40" s="34"/>
      <c r="C40" s="34"/>
      <c r="D40" s="36"/>
      <c r="E40" s="34"/>
      <c r="F40" s="34"/>
      <c r="G40" s="36"/>
      <c r="H40" s="37"/>
      <c r="I40" s="37"/>
      <c r="J40" s="37"/>
      <c r="K40" s="28"/>
      <c r="L40" s="37"/>
      <c r="M40" s="37"/>
      <c r="N40" s="37"/>
      <c r="O40" s="28"/>
      <c r="P40" s="28"/>
      <c r="Q40" s="28"/>
      <c r="R40" s="39"/>
      <c r="S40" s="40"/>
      <c r="T40" s="39"/>
      <c r="U40" s="28"/>
      <c r="V40" s="28"/>
    </row>
    <row r="41" customFormat="false" ht="15" hidden="false" customHeight="true" outlineLevel="0" collapsed="false">
      <c r="A41" s="30"/>
      <c r="B41" s="44"/>
      <c r="C41" s="44"/>
      <c r="D41" s="36"/>
      <c r="E41" s="44"/>
      <c r="F41" s="44"/>
      <c r="G41" s="36"/>
      <c r="H41" s="45"/>
      <c r="I41" s="45"/>
      <c r="J41" s="45"/>
      <c r="K41" s="30"/>
      <c r="L41" s="45"/>
      <c r="M41" s="45"/>
      <c r="N41" s="45"/>
      <c r="O41" s="31"/>
      <c r="P41" s="30"/>
      <c r="Q41" s="30"/>
      <c r="R41" s="39"/>
      <c r="S41" s="46"/>
      <c r="T41" s="39"/>
      <c r="U41" s="30"/>
      <c r="V41" s="30"/>
    </row>
    <row r="42" customFormat="false" ht="15" hidden="false" customHeight="true" outlineLevel="0" collapsed="false">
      <c r="A42" s="28"/>
      <c r="B42" s="34"/>
      <c r="C42" s="34"/>
      <c r="D42" s="36"/>
      <c r="E42" s="34"/>
      <c r="F42" s="34"/>
      <c r="G42" s="36"/>
      <c r="H42" s="37"/>
      <c r="I42" s="37"/>
      <c r="J42" s="37"/>
      <c r="K42" s="28"/>
      <c r="L42" s="37"/>
      <c r="M42" s="37"/>
      <c r="N42" s="37"/>
      <c r="O42" s="28"/>
      <c r="P42" s="28"/>
      <c r="Q42" s="28"/>
      <c r="R42" s="39"/>
      <c r="S42" s="40"/>
      <c r="T42" s="39"/>
      <c r="U42" s="28"/>
      <c r="V42" s="28"/>
    </row>
    <row r="43" customFormat="false" ht="15" hidden="false" customHeight="true" outlineLevel="0" collapsed="false">
      <c r="A43" s="30"/>
      <c r="B43" s="44"/>
      <c r="C43" s="44"/>
      <c r="D43" s="36"/>
      <c r="E43" s="44"/>
      <c r="F43" s="44"/>
      <c r="G43" s="36"/>
      <c r="H43" s="45"/>
      <c r="I43" s="45"/>
      <c r="J43" s="45"/>
      <c r="K43" s="30"/>
      <c r="L43" s="45"/>
      <c r="M43" s="45"/>
      <c r="N43" s="45"/>
      <c r="O43" s="31"/>
      <c r="P43" s="30"/>
      <c r="Q43" s="30"/>
      <c r="R43" s="39"/>
      <c r="S43" s="46"/>
      <c r="T43" s="39"/>
      <c r="U43" s="30"/>
      <c r="V43" s="30"/>
    </row>
    <row r="44" customFormat="false" ht="15" hidden="false" customHeight="true" outlineLevel="0" collapsed="false">
      <c r="A44" s="28"/>
      <c r="B44" s="34"/>
      <c r="C44" s="34"/>
      <c r="D44" s="36"/>
      <c r="E44" s="34"/>
      <c r="F44" s="34"/>
      <c r="G44" s="36"/>
      <c r="H44" s="37"/>
      <c r="I44" s="37"/>
      <c r="J44" s="37"/>
      <c r="K44" s="28"/>
      <c r="L44" s="37"/>
      <c r="M44" s="37"/>
      <c r="N44" s="37"/>
      <c r="O44" s="28"/>
      <c r="P44" s="28"/>
      <c r="Q44" s="28"/>
      <c r="R44" s="39"/>
      <c r="S44" s="40"/>
      <c r="T44" s="39"/>
      <c r="U44" s="28"/>
      <c r="V44" s="28"/>
    </row>
    <row r="45" customFormat="false" ht="15" hidden="false" customHeight="true" outlineLevel="0" collapsed="false">
      <c r="A45" s="30"/>
      <c r="B45" s="44"/>
      <c r="C45" s="44"/>
      <c r="D45" s="36"/>
      <c r="E45" s="44"/>
      <c r="F45" s="44"/>
      <c r="G45" s="36"/>
      <c r="H45" s="45"/>
      <c r="I45" s="45"/>
      <c r="J45" s="45"/>
      <c r="K45" s="30"/>
      <c r="L45" s="45"/>
      <c r="M45" s="45"/>
      <c r="N45" s="45"/>
      <c r="O45" s="31"/>
      <c r="P45" s="30"/>
      <c r="Q45" s="30"/>
      <c r="R45" s="39"/>
      <c r="S45" s="46"/>
      <c r="T45" s="39"/>
      <c r="U45" s="30"/>
      <c r="V45" s="30"/>
    </row>
    <row r="46" customFormat="false" ht="15" hidden="false" customHeight="true" outlineLevel="0" collapsed="false">
      <c r="A46" s="28"/>
      <c r="B46" s="34"/>
      <c r="C46" s="34"/>
      <c r="D46" s="36"/>
      <c r="E46" s="34"/>
      <c r="F46" s="34"/>
      <c r="G46" s="36"/>
      <c r="H46" s="37"/>
      <c r="I46" s="37"/>
      <c r="J46" s="37"/>
      <c r="K46" s="28"/>
      <c r="L46" s="37"/>
      <c r="M46" s="37"/>
      <c r="N46" s="37"/>
      <c r="O46" s="28"/>
      <c r="P46" s="28"/>
      <c r="Q46" s="28"/>
      <c r="R46" s="39"/>
      <c r="S46" s="40"/>
      <c r="T46" s="39"/>
      <c r="U46" s="28"/>
      <c r="V46" s="28"/>
    </row>
    <row r="47" customFormat="false" ht="15" hidden="false" customHeight="true" outlineLevel="0" collapsed="false">
      <c r="A47" s="30"/>
      <c r="B47" s="44"/>
      <c r="C47" s="44"/>
      <c r="D47" s="36"/>
      <c r="E47" s="44"/>
      <c r="F47" s="44"/>
      <c r="G47" s="36"/>
      <c r="H47" s="45"/>
      <c r="I47" s="45"/>
      <c r="J47" s="45"/>
      <c r="K47" s="30"/>
      <c r="L47" s="45"/>
      <c r="M47" s="45"/>
      <c r="N47" s="45"/>
      <c r="O47" s="31"/>
      <c r="P47" s="30"/>
      <c r="Q47" s="30"/>
      <c r="R47" s="39"/>
      <c r="S47" s="46"/>
      <c r="T47" s="39"/>
      <c r="U47" s="30"/>
      <c r="V47" s="30"/>
    </row>
    <row r="48" customFormat="false" ht="15" hidden="false" customHeight="true" outlineLevel="0" collapsed="false">
      <c r="A48" s="28"/>
      <c r="B48" s="34"/>
      <c r="C48" s="34"/>
      <c r="D48" s="36"/>
      <c r="E48" s="34"/>
      <c r="F48" s="34"/>
      <c r="G48" s="36"/>
      <c r="H48" s="37"/>
      <c r="I48" s="37"/>
      <c r="J48" s="37"/>
      <c r="K48" s="28"/>
      <c r="L48" s="37"/>
      <c r="M48" s="37"/>
      <c r="N48" s="37"/>
      <c r="O48" s="28"/>
      <c r="P48" s="28"/>
      <c r="Q48" s="28"/>
      <c r="R48" s="39"/>
      <c r="S48" s="40"/>
      <c r="T48" s="39"/>
      <c r="U48" s="28"/>
      <c r="V48" s="28"/>
    </row>
    <row r="49" customFormat="false" ht="15" hidden="false" customHeight="true" outlineLevel="0" collapsed="false">
      <c r="A49" s="30"/>
      <c r="B49" s="44"/>
      <c r="C49" s="44"/>
      <c r="D49" s="36"/>
      <c r="E49" s="44"/>
      <c r="F49" s="44"/>
      <c r="G49" s="36"/>
      <c r="H49" s="45"/>
      <c r="I49" s="45"/>
      <c r="J49" s="45"/>
      <c r="K49" s="30"/>
      <c r="L49" s="45"/>
      <c r="M49" s="45"/>
      <c r="N49" s="45"/>
      <c r="O49" s="31"/>
      <c r="P49" s="30"/>
      <c r="Q49" s="30"/>
      <c r="R49" s="39"/>
      <c r="S49" s="46"/>
      <c r="T49" s="39"/>
      <c r="U49" s="30"/>
      <c r="V49" s="30"/>
    </row>
    <row r="50" customFormat="false" ht="15" hidden="false" customHeight="true" outlineLevel="0" collapsed="false">
      <c r="A50" s="28"/>
      <c r="B50" s="34"/>
      <c r="C50" s="34"/>
      <c r="D50" s="36"/>
      <c r="E50" s="34"/>
      <c r="F50" s="34"/>
      <c r="G50" s="36"/>
      <c r="H50" s="37"/>
      <c r="I50" s="37"/>
      <c r="J50" s="37"/>
      <c r="K50" s="28"/>
      <c r="L50" s="37"/>
      <c r="M50" s="37"/>
      <c r="N50" s="37"/>
      <c r="O50" s="28"/>
      <c r="P50" s="28"/>
      <c r="Q50" s="28"/>
      <c r="R50" s="39"/>
      <c r="S50" s="40"/>
      <c r="T50" s="39"/>
      <c r="U50" s="28"/>
      <c r="V50" s="28"/>
    </row>
    <row r="51" customFormat="false" ht="15" hidden="false" customHeight="true" outlineLevel="0" collapsed="false">
      <c r="A51" s="30"/>
      <c r="B51" s="44"/>
      <c r="C51" s="44"/>
      <c r="D51" s="36"/>
      <c r="E51" s="44"/>
      <c r="F51" s="44"/>
      <c r="G51" s="36"/>
      <c r="H51" s="45"/>
      <c r="I51" s="45"/>
      <c r="J51" s="45"/>
      <c r="K51" s="30"/>
      <c r="L51" s="45"/>
      <c r="M51" s="45"/>
      <c r="N51" s="45"/>
      <c r="O51" s="31"/>
      <c r="P51" s="30"/>
      <c r="Q51" s="30"/>
      <c r="R51" s="39"/>
      <c r="S51" s="46"/>
      <c r="T51" s="39"/>
      <c r="U51" s="30"/>
      <c r="V51" s="30"/>
    </row>
    <row r="52" customFormat="false" ht="15" hidden="false" customHeight="true" outlineLevel="0" collapsed="false">
      <c r="A52" s="28"/>
      <c r="B52" s="34"/>
      <c r="C52" s="34"/>
      <c r="D52" s="36"/>
      <c r="E52" s="34"/>
      <c r="F52" s="34"/>
      <c r="G52" s="36"/>
      <c r="H52" s="37"/>
      <c r="I52" s="37"/>
      <c r="J52" s="37"/>
      <c r="K52" s="28"/>
      <c r="L52" s="37"/>
      <c r="M52" s="37"/>
      <c r="N52" s="37"/>
      <c r="O52" s="28"/>
      <c r="P52" s="28"/>
      <c r="Q52" s="28"/>
      <c r="R52" s="39"/>
      <c r="S52" s="40"/>
      <c r="T52" s="39"/>
      <c r="U52" s="28"/>
      <c r="V52" s="28"/>
    </row>
    <row r="53" customFormat="false" ht="15" hidden="false" customHeight="true" outlineLevel="0" collapsed="false">
      <c r="A53" s="30"/>
      <c r="B53" s="44"/>
      <c r="C53" s="44"/>
      <c r="D53" s="36"/>
      <c r="E53" s="44"/>
      <c r="F53" s="44"/>
      <c r="G53" s="36"/>
      <c r="H53" s="45"/>
      <c r="I53" s="45"/>
      <c r="J53" s="45"/>
      <c r="K53" s="30"/>
      <c r="L53" s="45"/>
      <c r="M53" s="45"/>
      <c r="N53" s="45"/>
      <c r="O53" s="31"/>
      <c r="P53" s="30"/>
      <c r="Q53" s="30"/>
      <c r="R53" s="39"/>
      <c r="S53" s="46"/>
      <c r="T53" s="39"/>
      <c r="U53" s="30"/>
      <c r="V53" s="30"/>
    </row>
    <row r="54" customFormat="false" ht="15" hidden="false" customHeight="true" outlineLevel="0" collapsed="false">
      <c r="A54" s="28"/>
      <c r="B54" s="34"/>
      <c r="C54" s="34"/>
      <c r="D54" s="36"/>
      <c r="E54" s="34"/>
      <c r="F54" s="34"/>
      <c r="G54" s="36"/>
      <c r="H54" s="37"/>
      <c r="I54" s="37"/>
      <c r="J54" s="37"/>
      <c r="K54" s="28"/>
      <c r="L54" s="37"/>
      <c r="M54" s="37"/>
      <c r="N54" s="37"/>
      <c r="O54" s="28"/>
      <c r="P54" s="28"/>
      <c r="Q54" s="28"/>
      <c r="R54" s="39"/>
      <c r="S54" s="40"/>
      <c r="T54" s="39"/>
      <c r="U54" s="28"/>
      <c r="V54" s="28"/>
    </row>
    <row r="55" customFormat="false" ht="15" hidden="false" customHeight="true" outlineLevel="0" collapsed="false">
      <c r="A55" s="30"/>
      <c r="B55" s="44"/>
      <c r="C55" s="44"/>
      <c r="D55" s="36"/>
      <c r="E55" s="44"/>
      <c r="F55" s="44"/>
      <c r="G55" s="36"/>
      <c r="H55" s="45"/>
      <c r="I55" s="45"/>
      <c r="J55" s="45"/>
      <c r="K55" s="30"/>
      <c r="L55" s="45"/>
      <c r="M55" s="45"/>
      <c r="N55" s="45"/>
      <c r="O55" s="31"/>
      <c r="P55" s="30"/>
      <c r="Q55" s="30"/>
      <c r="R55" s="39"/>
      <c r="S55" s="46"/>
      <c r="T55" s="39"/>
      <c r="U55" s="30"/>
      <c r="V55" s="30"/>
    </row>
    <row r="56" customFormat="false" ht="15" hidden="false" customHeight="true" outlineLevel="0" collapsed="false">
      <c r="A56" s="28"/>
      <c r="B56" s="34"/>
      <c r="C56" s="34"/>
      <c r="D56" s="36"/>
      <c r="E56" s="34"/>
      <c r="F56" s="34"/>
      <c r="G56" s="36"/>
      <c r="H56" s="37"/>
      <c r="I56" s="37"/>
      <c r="J56" s="37"/>
      <c r="K56" s="28"/>
      <c r="L56" s="37"/>
      <c r="M56" s="37"/>
      <c r="N56" s="37"/>
      <c r="O56" s="28"/>
      <c r="P56" s="28"/>
      <c r="Q56" s="28"/>
      <c r="R56" s="39"/>
      <c r="S56" s="40"/>
      <c r="T56" s="39"/>
      <c r="U56" s="28"/>
      <c r="V56" s="28"/>
    </row>
    <row r="57" customFormat="false" ht="15" hidden="false" customHeight="true" outlineLevel="0" collapsed="false">
      <c r="A57" s="30"/>
      <c r="B57" s="44"/>
      <c r="C57" s="44"/>
      <c r="D57" s="36"/>
      <c r="E57" s="44"/>
      <c r="F57" s="44"/>
      <c r="G57" s="36"/>
      <c r="H57" s="45"/>
      <c r="I57" s="45"/>
      <c r="J57" s="45"/>
      <c r="K57" s="30"/>
      <c r="L57" s="45"/>
      <c r="M57" s="45"/>
      <c r="N57" s="45"/>
      <c r="O57" s="31"/>
      <c r="P57" s="30"/>
      <c r="Q57" s="30"/>
      <c r="R57" s="39"/>
      <c r="S57" s="46"/>
      <c r="T57" s="39"/>
      <c r="U57" s="30"/>
      <c r="V57" s="30"/>
    </row>
    <row r="58" customFormat="false" ht="15" hidden="false" customHeight="true" outlineLevel="0" collapsed="false">
      <c r="A58" s="28"/>
      <c r="B58" s="34"/>
      <c r="C58" s="34"/>
      <c r="D58" s="36"/>
      <c r="E58" s="34"/>
      <c r="F58" s="34"/>
      <c r="G58" s="36"/>
      <c r="H58" s="37"/>
      <c r="I58" s="37"/>
      <c r="J58" s="37"/>
      <c r="K58" s="28"/>
      <c r="L58" s="37"/>
      <c r="M58" s="37"/>
      <c r="N58" s="37"/>
      <c r="O58" s="28"/>
      <c r="P58" s="28"/>
      <c r="Q58" s="28"/>
      <c r="R58" s="39"/>
      <c r="S58" s="40"/>
      <c r="T58" s="39"/>
      <c r="U58" s="28"/>
      <c r="V58" s="28"/>
    </row>
    <row r="59" customFormat="false" ht="15" hidden="false" customHeight="true" outlineLevel="0" collapsed="false">
      <c r="A59" s="30"/>
      <c r="B59" s="44"/>
      <c r="C59" s="44"/>
      <c r="D59" s="36"/>
      <c r="E59" s="44"/>
      <c r="F59" s="44"/>
      <c r="G59" s="36"/>
      <c r="H59" s="45"/>
      <c r="I59" s="45"/>
      <c r="J59" s="45"/>
      <c r="K59" s="30"/>
      <c r="L59" s="45"/>
      <c r="M59" s="45"/>
      <c r="N59" s="45"/>
      <c r="O59" s="31"/>
      <c r="P59" s="30"/>
      <c r="Q59" s="30"/>
      <c r="R59" s="39"/>
      <c r="S59" s="46"/>
      <c r="T59" s="39"/>
      <c r="U59" s="30"/>
      <c r="V59" s="30"/>
    </row>
    <row r="60" customFormat="false" ht="15" hidden="false" customHeight="true" outlineLevel="0" collapsed="false">
      <c r="A60" s="28"/>
      <c r="B60" s="34"/>
      <c r="C60" s="34"/>
      <c r="D60" s="36"/>
      <c r="E60" s="34"/>
      <c r="F60" s="34"/>
      <c r="G60" s="36"/>
      <c r="H60" s="37"/>
      <c r="I60" s="37"/>
      <c r="J60" s="37"/>
      <c r="K60" s="28"/>
      <c r="L60" s="37"/>
      <c r="M60" s="37"/>
      <c r="N60" s="37"/>
      <c r="O60" s="28"/>
      <c r="P60" s="28"/>
      <c r="Q60" s="28"/>
      <c r="R60" s="39"/>
      <c r="S60" s="40"/>
      <c r="T60" s="39"/>
      <c r="U60" s="28"/>
      <c r="V60" s="28"/>
    </row>
    <row r="61" customFormat="false" ht="15" hidden="false" customHeight="true" outlineLevel="0" collapsed="false">
      <c r="A61" s="30"/>
      <c r="B61" s="44"/>
      <c r="C61" s="44"/>
      <c r="D61" s="36"/>
      <c r="E61" s="44"/>
      <c r="F61" s="44"/>
      <c r="G61" s="36"/>
      <c r="H61" s="45"/>
      <c r="I61" s="45"/>
      <c r="J61" s="45"/>
      <c r="K61" s="30"/>
      <c r="L61" s="45"/>
      <c r="M61" s="45"/>
      <c r="N61" s="45"/>
      <c r="O61" s="31"/>
      <c r="P61" s="30"/>
      <c r="Q61" s="30"/>
      <c r="R61" s="39"/>
      <c r="S61" s="46"/>
      <c r="T61" s="39"/>
      <c r="U61" s="30"/>
      <c r="V61" s="30"/>
    </row>
    <row r="62" customFormat="false" ht="15" hidden="false" customHeight="true" outlineLevel="0" collapsed="false">
      <c r="A62" s="28"/>
      <c r="B62" s="34"/>
      <c r="C62" s="34"/>
      <c r="D62" s="36"/>
      <c r="E62" s="34"/>
      <c r="F62" s="34"/>
      <c r="G62" s="36"/>
      <c r="H62" s="37"/>
      <c r="I62" s="37"/>
      <c r="J62" s="37"/>
      <c r="K62" s="28"/>
      <c r="L62" s="37"/>
      <c r="M62" s="37"/>
      <c r="N62" s="37"/>
      <c r="O62" s="28"/>
      <c r="P62" s="28"/>
      <c r="Q62" s="28"/>
      <c r="R62" s="39"/>
      <c r="S62" s="40"/>
      <c r="T62" s="39"/>
      <c r="U62" s="28"/>
      <c r="V62" s="28"/>
    </row>
    <row r="63" customFormat="false" ht="15" hidden="false" customHeight="true" outlineLevel="0" collapsed="false">
      <c r="A63" s="30"/>
      <c r="B63" s="44"/>
      <c r="C63" s="44"/>
      <c r="D63" s="36"/>
      <c r="E63" s="44"/>
      <c r="F63" s="44"/>
      <c r="G63" s="36"/>
      <c r="H63" s="45"/>
      <c r="I63" s="45"/>
      <c r="J63" s="45"/>
      <c r="K63" s="30"/>
      <c r="L63" s="45"/>
      <c r="M63" s="45"/>
      <c r="N63" s="45"/>
      <c r="O63" s="31"/>
      <c r="P63" s="30"/>
      <c r="Q63" s="30"/>
      <c r="R63" s="39"/>
      <c r="S63" s="46"/>
      <c r="T63" s="39"/>
      <c r="U63" s="30"/>
      <c r="V63" s="30"/>
    </row>
    <row r="64" customFormat="false" ht="15" hidden="false" customHeight="true" outlineLevel="0" collapsed="false">
      <c r="A64" s="28"/>
      <c r="B64" s="34"/>
      <c r="C64" s="34"/>
      <c r="D64" s="36"/>
      <c r="E64" s="34"/>
      <c r="F64" s="34"/>
      <c r="G64" s="36"/>
      <c r="H64" s="37"/>
      <c r="I64" s="37"/>
      <c r="J64" s="37"/>
      <c r="K64" s="28"/>
      <c r="L64" s="37"/>
      <c r="M64" s="37"/>
      <c r="N64" s="37"/>
      <c r="O64" s="28"/>
      <c r="P64" s="28"/>
      <c r="Q64" s="28"/>
      <c r="R64" s="39"/>
      <c r="S64" s="40"/>
      <c r="T64" s="39"/>
      <c r="U64" s="28"/>
      <c r="V64" s="28"/>
    </row>
    <row r="65" customFormat="false" ht="15" hidden="false" customHeight="true" outlineLevel="0" collapsed="false">
      <c r="A65" s="30"/>
      <c r="B65" s="44"/>
      <c r="C65" s="44"/>
      <c r="D65" s="36"/>
      <c r="E65" s="44"/>
      <c r="F65" s="44"/>
      <c r="G65" s="36"/>
      <c r="H65" s="45"/>
      <c r="I65" s="45"/>
      <c r="J65" s="45"/>
      <c r="K65" s="30"/>
      <c r="L65" s="45"/>
      <c r="M65" s="45"/>
      <c r="N65" s="45"/>
      <c r="O65" s="31"/>
      <c r="P65" s="30"/>
      <c r="Q65" s="30"/>
      <c r="R65" s="39"/>
      <c r="S65" s="46"/>
      <c r="T65" s="39"/>
      <c r="U65" s="30"/>
      <c r="V65" s="30"/>
    </row>
    <row r="66" customFormat="false" ht="15" hidden="false" customHeight="true" outlineLevel="0" collapsed="false">
      <c r="A66" s="28"/>
      <c r="B66" s="34"/>
      <c r="C66" s="34"/>
      <c r="D66" s="36"/>
      <c r="E66" s="34"/>
      <c r="F66" s="34"/>
      <c r="G66" s="36"/>
      <c r="H66" s="37"/>
      <c r="I66" s="37"/>
      <c r="J66" s="37"/>
      <c r="K66" s="28"/>
      <c r="L66" s="37"/>
      <c r="M66" s="37"/>
      <c r="N66" s="37"/>
      <c r="O66" s="28"/>
      <c r="P66" s="28"/>
      <c r="Q66" s="28"/>
      <c r="R66" s="39"/>
      <c r="S66" s="40"/>
      <c r="T66" s="39"/>
      <c r="U66" s="28"/>
      <c r="V66" s="28"/>
    </row>
    <row r="67" customFormat="false" ht="15" hidden="false" customHeight="true" outlineLevel="0" collapsed="false">
      <c r="A67" s="30"/>
      <c r="B67" s="44"/>
      <c r="C67" s="44"/>
      <c r="D67" s="36"/>
      <c r="E67" s="44"/>
      <c r="F67" s="44"/>
      <c r="G67" s="36"/>
      <c r="H67" s="45"/>
      <c r="I67" s="45"/>
      <c r="J67" s="45"/>
      <c r="K67" s="30"/>
      <c r="L67" s="45"/>
      <c r="M67" s="45"/>
      <c r="N67" s="45"/>
      <c r="O67" s="31"/>
      <c r="P67" s="30"/>
      <c r="Q67" s="30"/>
      <c r="R67" s="39"/>
      <c r="S67" s="46"/>
      <c r="T67" s="39"/>
      <c r="U67" s="30"/>
      <c r="V67" s="30"/>
    </row>
    <row r="68" customFormat="false" ht="15" hidden="false" customHeight="true" outlineLevel="0" collapsed="false">
      <c r="A68" s="28"/>
      <c r="B68" s="34"/>
      <c r="C68" s="34"/>
      <c r="D68" s="36"/>
      <c r="E68" s="34"/>
      <c r="F68" s="34"/>
      <c r="G68" s="36"/>
      <c r="H68" s="37"/>
      <c r="I68" s="37"/>
      <c r="J68" s="37"/>
      <c r="K68" s="28"/>
      <c r="L68" s="37"/>
      <c r="M68" s="37"/>
      <c r="N68" s="37"/>
      <c r="O68" s="28"/>
      <c r="P68" s="28"/>
      <c r="Q68" s="28"/>
      <c r="R68" s="39"/>
      <c r="S68" s="40"/>
      <c r="T68" s="39"/>
      <c r="U68" s="28"/>
      <c r="V68" s="28"/>
    </row>
    <row r="69" customFormat="false" ht="15" hidden="false" customHeight="true" outlineLevel="0" collapsed="false">
      <c r="A69" s="30"/>
      <c r="B69" s="44"/>
      <c r="C69" s="44"/>
      <c r="D69" s="36"/>
      <c r="E69" s="44"/>
      <c r="F69" s="44"/>
      <c r="G69" s="36"/>
      <c r="H69" s="45"/>
      <c r="I69" s="45"/>
      <c r="J69" s="45"/>
      <c r="K69" s="30"/>
      <c r="L69" s="45"/>
      <c r="M69" s="45"/>
      <c r="N69" s="45"/>
      <c r="O69" s="31"/>
      <c r="P69" s="30"/>
      <c r="Q69" s="30"/>
      <c r="R69" s="39"/>
      <c r="S69" s="46"/>
      <c r="T69" s="39"/>
      <c r="U69" s="30"/>
      <c r="V69" s="30"/>
    </row>
    <row r="70" customFormat="false" ht="15" hidden="false" customHeight="true" outlineLevel="0" collapsed="false">
      <c r="A70" s="28"/>
      <c r="B70" s="34"/>
      <c r="C70" s="34"/>
      <c r="D70" s="36"/>
      <c r="E70" s="34"/>
      <c r="F70" s="34"/>
      <c r="G70" s="36"/>
      <c r="H70" s="37"/>
      <c r="I70" s="37"/>
      <c r="J70" s="37"/>
      <c r="K70" s="28"/>
      <c r="L70" s="37"/>
      <c r="M70" s="37"/>
      <c r="N70" s="37"/>
      <c r="O70" s="28"/>
      <c r="P70" s="28"/>
      <c r="Q70" s="28"/>
      <c r="R70" s="39"/>
      <c r="S70" s="40"/>
      <c r="T70" s="39"/>
      <c r="U70" s="28"/>
      <c r="V70" s="28"/>
    </row>
    <row r="71" customFormat="false" ht="15" hidden="false" customHeight="true" outlineLevel="0" collapsed="false">
      <c r="A71" s="30"/>
      <c r="B71" s="44"/>
      <c r="C71" s="44"/>
      <c r="D71" s="36"/>
      <c r="E71" s="44"/>
      <c r="F71" s="44"/>
      <c r="G71" s="36"/>
      <c r="H71" s="45"/>
      <c r="I71" s="45"/>
      <c r="J71" s="45"/>
      <c r="K71" s="30"/>
      <c r="L71" s="45"/>
      <c r="M71" s="45"/>
      <c r="N71" s="45"/>
      <c r="O71" s="31"/>
      <c r="P71" s="30"/>
      <c r="Q71" s="30"/>
      <c r="R71" s="39"/>
      <c r="S71" s="46"/>
      <c r="T71" s="39"/>
      <c r="U71" s="30"/>
      <c r="V71" s="30"/>
    </row>
    <row r="72" customFormat="false" ht="15" hidden="false" customHeight="true" outlineLevel="0" collapsed="false">
      <c r="A72" s="28"/>
      <c r="B72" s="34"/>
      <c r="C72" s="34"/>
      <c r="D72" s="36"/>
      <c r="E72" s="34"/>
      <c r="F72" s="34"/>
      <c r="G72" s="36"/>
      <c r="H72" s="37"/>
      <c r="I72" s="37"/>
      <c r="J72" s="37"/>
      <c r="K72" s="28"/>
      <c r="L72" s="37"/>
      <c r="M72" s="37"/>
      <c r="N72" s="37"/>
      <c r="O72" s="28"/>
      <c r="P72" s="28"/>
      <c r="Q72" s="28"/>
      <c r="R72" s="39"/>
      <c r="S72" s="40"/>
      <c r="T72" s="39"/>
      <c r="U72" s="28"/>
      <c r="V72" s="28"/>
    </row>
    <row r="73" customFormat="false" ht="15" hidden="false" customHeight="true" outlineLevel="0" collapsed="false">
      <c r="A73" s="30"/>
      <c r="B73" s="44"/>
      <c r="C73" s="44"/>
      <c r="D73" s="36"/>
      <c r="E73" s="44"/>
      <c r="F73" s="44"/>
      <c r="G73" s="36"/>
      <c r="H73" s="45"/>
      <c r="I73" s="45"/>
      <c r="J73" s="45"/>
      <c r="K73" s="30"/>
      <c r="L73" s="45"/>
      <c r="M73" s="45"/>
      <c r="N73" s="45"/>
      <c r="O73" s="31"/>
      <c r="P73" s="30"/>
      <c r="Q73" s="30"/>
      <c r="R73" s="39"/>
      <c r="S73" s="46"/>
      <c r="T73" s="39"/>
      <c r="U73" s="30"/>
      <c r="V73" s="30"/>
    </row>
    <row r="74" customFormat="false" ht="15" hidden="false" customHeight="true" outlineLevel="0" collapsed="false">
      <c r="A74" s="28"/>
      <c r="B74" s="34"/>
      <c r="C74" s="34"/>
      <c r="D74" s="36"/>
      <c r="E74" s="34"/>
      <c r="F74" s="34"/>
      <c r="G74" s="36"/>
      <c r="H74" s="37"/>
      <c r="I74" s="37"/>
      <c r="J74" s="37"/>
      <c r="K74" s="28"/>
      <c r="L74" s="37"/>
      <c r="M74" s="37"/>
      <c r="N74" s="37"/>
      <c r="O74" s="28"/>
      <c r="P74" s="28"/>
      <c r="Q74" s="28"/>
      <c r="R74" s="39"/>
      <c r="S74" s="40"/>
      <c r="T74" s="39"/>
      <c r="U74" s="28"/>
      <c r="V74" s="28"/>
    </row>
    <row r="75" customFormat="false" ht="15" hidden="false" customHeight="true" outlineLevel="0" collapsed="false">
      <c r="A75" s="30"/>
      <c r="B75" s="44"/>
      <c r="C75" s="44"/>
      <c r="D75" s="36"/>
      <c r="E75" s="44"/>
      <c r="F75" s="44"/>
      <c r="G75" s="36"/>
      <c r="H75" s="45"/>
      <c r="I75" s="45"/>
      <c r="J75" s="45"/>
      <c r="K75" s="30"/>
      <c r="L75" s="45"/>
      <c r="M75" s="45"/>
      <c r="N75" s="45"/>
      <c r="O75" s="31"/>
      <c r="P75" s="30"/>
      <c r="Q75" s="30"/>
      <c r="R75" s="39"/>
      <c r="S75" s="46"/>
      <c r="T75" s="39"/>
      <c r="U75" s="30"/>
      <c r="V75" s="30"/>
    </row>
    <row r="76" customFormat="false" ht="15" hidden="false" customHeight="true" outlineLevel="0" collapsed="false">
      <c r="A76" s="28"/>
      <c r="B76" s="34"/>
      <c r="C76" s="34"/>
      <c r="D76" s="36"/>
      <c r="E76" s="34"/>
      <c r="F76" s="34"/>
      <c r="G76" s="36"/>
      <c r="H76" s="37"/>
      <c r="I76" s="37"/>
      <c r="J76" s="37"/>
      <c r="K76" s="28"/>
      <c r="L76" s="37"/>
      <c r="M76" s="37"/>
      <c r="N76" s="37"/>
      <c r="O76" s="28"/>
      <c r="P76" s="28"/>
      <c r="Q76" s="28"/>
      <c r="R76" s="39"/>
      <c r="S76" s="40"/>
      <c r="T76" s="39"/>
      <c r="U76" s="28"/>
      <c r="V76" s="28"/>
    </row>
    <row r="77" customFormat="false" ht="15" hidden="false" customHeight="true" outlineLevel="0" collapsed="false">
      <c r="A77" s="30"/>
      <c r="B77" s="44"/>
      <c r="C77" s="44"/>
      <c r="D77" s="36"/>
      <c r="E77" s="44"/>
      <c r="F77" s="44"/>
      <c r="G77" s="36"/>
      <c r="H77" s="45"/>
      <c r="I77" s="45"/>
      <c r="J77" s="45"/>
      <c r="K77" s="30"/>
      <c r="L77" s="45"/>
      <c r="M77" s="45"/>
      <c r="N77" s="45"/>
      <c r="O77" s="31"/>
      <c r="P77" s="30"/>
      <c r="Q77" s="30"/>
      <c r="R77" s="39"/>
      <c r="S77" s="46"/>
      <c r="T77" s="39"/>
      <c r="U77" s="30"/>
      <c r="V77" s="30"/>
    </row>
    <row r="78" customFormat="false" ht="15" hidden="false" customHeight="true" outlineLevel="0" collapsed="false">
      <c r="A78" s="28"/>
      <c r="B78" s="34"/>
      <c r="C78" s="34"/>
      <c r="D78" s="36"/>
      <c r="E78" s="34"/>
      <c r="F78" s="34"/>
      <c r="G78" s="36"/>
      <c r="H78" s="37"/>
      <c r="I78" s="37"/>
      <c r="J78" s="37"/>
      <c r="K78" s="28"/>
      <c r="L78" s="37"/>
      <c r="M78" s="37"/>
      <c r="N78" s="37"/>
      <c r="O78" s="28"/>
      <c r="P78" s="28"/>
      <c r="Q78" s="28"/>
      <c r="R78" s="39"/>
      <c r="S78" s="40"/>
      <c r="T78" s="39"/>
      <c r="U78" s="28"/>
      <c r="V78" s="28"/>
    </row>
    <row r="79" customFormat="false" ht="15" hidden="false" customHeight="true" outlineLevel="0" collapsed="false">
      <c r="A79" s="30"/>
      <c r="B79" s="44"/>
      <c r="C79" s="44"/>
      <c r="D79" s="36"/>
      <c r="E79" s="44"/>
      <c r="F79" s="44"/>
      <c r="G79" s="36"/>
      <c r="H79" s="45"/>
      <c r="I79" s="45"/>
      <c r="J79" s="45"/>
      <c r="K79" s="30"/>
      <c r="L79" s="45"/>
      <c r="M79" s="45"/>
      <c r="N79" s="45"/>
      <c r="O79" s="31"/>
      <c r="P79" s="30"/>
      <c r="Q79" s="30"/>
      <c r="R79" s="39"/>
      <c r="S79" s="46"/>
      <c r="T79" s="39"/>
      <c r="U79" s="30"/>
      <c r="V79" s="30"/>
    </row>
    <row r="80" customFormat="false" ht="15" hidden="false" customHeight="true" outlineLevel="0" collapsed="false">
      <c r="A80" s="28"/>
      <c r="B80" s="34"/>
      <c r="C80" s="34"/>
      <c r="D80" s="36"/>
      <c r="E80" s="34"/>
      <c r="F80" s="34"/>
      <c r="G80" s="36"/>
      <c r="H80" s="37"/>
      <c r="I80" s="37"/>
      <c r="J80" s="37"/>
      <c r="K80" s="28"/>
      <c r="L80" s="37"/>
      <c r="M80" s="37"/>
      <c r="N80" s="37"/>
      <c r="O80" s="28"/>
      <c r="P80" s="28"/>
      <c r="Q80" s="28"/>
      <c r="R80" s="39"/>
      <c r="S80" s="40"/>
      <c r="T80" s="39"/>
      <c r="U80" s="28"/>
      <c r="V80" s="28"/>
    </row>
    <row r="81" customFormat="false" ht="15" hidden="false" customHeight="true" outlineLevel="0" collapsed="false">
      <c r="A81" s="30"/>
      <c r="B81" s="44"/>
      <c r="C81" s="44"/>
      <c r="D81" s="36"/>
      <c r="E81" s="44"/>
      <c r="F81" s="44"/>
      <c r="G81" s="36"/>
      <c r="H81" s="45"/>
      <c r="I81" s="45"/>
      <c r="J81" s="45"/>
      <c r="K81" s="30"/>
      <c r="L81" s="45"/>
      <c r="M81" s="45"/>
      <c r="N81" s="45"/>
      <c r="O81" s="31"/>
      <c r="P81" s="30"/>
      <c r="Q81" s="30"/>
      <c r="R81" s="39"/>
      <c r="S81" s="46"/>
      <c r="T81" s="39"/>
      <c r="U81" s="30"/>
      <c r="V81" s="30"/>
    </row>
    <row r="82" customFormat="false" ht="15" hidden="false" customHeight="true" outlineLevel="0" collapsed="false">
      <c r="A82" s="28"/>
      <c r="B82" s="34"/>
      <c r="C82" s="34"/>
      <c r="D82" s="36"/>
      <c r="E82" s="34"/>
      <c r="F82" s="34"/>
      <c r="G82" s="36"/>
      <c r="H82" s="37"/>
      <c r="I82" s="37"/>
      <c r="J82" s="37"/>
      <c r="K82" s="28"/>
      <c r="L82" s="37"/>
      <c r="M82" s="37"/>
      <c r="N82" s="37"/>
      <c r="O82" s="28"/>
      <c r="P82" s="28"/>
      <c r="Q82" s="28"/>
      <c r="R82" s="39"/>
      <c r="S82" s="40"/>
      <c r="T82" s="39"/>
      <c r="U82" s="28"/>
      <c r="V82" s="28"/>
    </row>
    <row r="83" customFormat="false" ht="15" hidden="false" customHeight="true" outlineLevel="0" collapsed="false">
      <c r="A83" s="30"/>
      <c r="B83" s="44"/>
      <c r="C83" s="44"/>
      <c r="D83" s="36"/>
      <c r="E83" s="44"/>
      <c r="F83" s="44"/>
      <c r="G83" s="36"/>
      <c r="H83" s="45"/>
      <c r="I83" s="45"/>
      <c r="J83" s="45"/>
      <c r="K83" s="30"/>
      <c r="L83" s="45"/>
      <c r="M83" s="45"/>
      <c r="N83" s="45"/>
      <c r="O83" s="31"/>
      <c r="P83" s="30"/>
      <c r="Q83" s="30"/>
      <c r="R83" s="39"/>
      <c r="S83" s="46"/>
      <c r="T83" s="39"/>
      <c r="U83" s="30"/>
      <c r="V83" s="30"/>
    </row>
    <row r="84" customFormat="false" ht="15" hidden="false" customHeight="true" outlineLevel="0" collapsed="false">
      <c r="A84" s="28"/>
      <c r="B84" s="34"/>
      <c r="C84" s="34"/>
      <c r="D84" s="36"/>
      <c r="E84" s="34"/>
      <c r="F84" s="34"/>
      <c r="G84" s="36"/>
      <c r="H84" s="37"/>
      <c r="I84" s="37"/>
      <c r="J84" s="37"/>
      <c r="K84" s="28"/>
      <c r="L84" s="37"/>
      <c r="M84" s="37"/>
      <c r="N84" s="37"/>
      <c r="O84" s="28"/>
      <c r="P84" s="28"/>
      <c r="Q84" s="28"/>
      <c r="R84" s="39"/>
      <c r="S84" s="40"/>
      <c r="T84" s="39"/>
      <c r="U84" s="28"/>
      <c r="V84" s="28"/>
    </row>
    <row r="85" customFormat="false" ht="15" hidden="false" customHeight="true" outlineLevel="0" collapsed="false">
      <c r="A85" s="30"/>
      <c r="B85" s="44"/>
      <c r="C85" s="44"/>
      <c r="D85" s="36"/>
      <c r="E85" s="44"/>
      <c r="F85" s="44"/>
      <c r="G85" s="36"/>
      <c r="H85" s="45"/>
      <c r="I85" s="45"/>
      <c r="J85" s="45"/>
      <c r="K85" s="30"/>
      <c r="L85" s="45"/>
      <c r="M85" s="45"/>
      <c r="N85" s="45"/>
      <c r="O85" s="31"/>
      <c r="P85" s="30"/>
      <c r="Q85" s="30"/>
      <c r="R85" s="39"/>
      <c r="S85" s="46"/>
      <c r="T85" s="39"/>
      <c r="U85" s="30"/>
      <c r="V85" s="30"/>
    </row>
    <row r="86" customFormat="false" ht="15" hidden="false" customHeight="true" outlineLevel="0" collapsed="false">
      <c r="A86" s="28"/>
      <c r="B86" s="34"/>
      <c r="C86" s="34"/>
      <c r="D86" s="36"/>
      <c r="E86" s="34"/>
      <c r="F86" s="34"/>
      <c r="G86" s="36"/>
      <c r="H86" s="37"/>
      <c r="I86" s="37"/>
      <c r="J86" s="37"/>
      <c r="K86" s="28"/>
      <c r="L86" s="37"/>
      <c r="M86" s="37"/>
      <c r="N86" s="37"/>
      <c r="O86" s="28"/>
      <c r="P86" s="28"/>
      <c r="Q86" s="28"/>
      <c r="R86" s="39"/>
      <c r="S86" s="40"/>
      <c r="T86" s="39"/>
      <c r="U86" s="28"/>
      <c r="V86" s="28"/>
    </row>
    <row r="87" customFormat="false" ht="15" hidden="false" customHeight="true" outlineLevel="0" collapsed="false">
      <c r="A87" s="30"/>
      <c r="B87" s="44"/>
      <c r="C87" s="44"/>
      <c r="D87" s="36"/>
      <c r="E87" s="44"/>
      <c r="F87" s="44"/>
      <c r="G87" s="36"/>
      <c r="H87" s="45"/>
      <c r="I87" s="45"/>
      <c r="J87" s="45"/>
      <c r="K87" s="30"/>
      <c r="L87" s="45"/>
      <c r="M87" s="45"/>
      <c r="N87" s="45"/>
      <c r="O87" s="31"/>
      <c r="P87" s="30"/>
      <c r="Q87" s="30"/>
      <c r="R87" s="39"/>
      <c r="S87" s="46"/>
      <c r="T87" s="39"/>
      <c r="U87" s="30"/>
      <c r="V87" s="30"/>
    </row>
    <row r="88" customFormat="false" ht="15" hidden="false" customHeight="true" outlineLevel="0" collapsed="false">
      <c r="A88" s="28"/>
      <c r="B88" s="34"/>
      <c r="C88" s="34"/>
      <c r="D88" s="36"/>
      <c r="E88" s="34"/>
      <c r="F88" s="34"/>
      <c r="G88" s="36"/>
      <c r="H88" s="37"/>
      <c r="I88" s="37"/>
      <c r="J88" s="37"/>
      <c r="K88" s="28"/>
      <c r="L88" s="37"/>
      <c r="M88" s="37"/>
      <c r="N88" s="37"/>
      <c r="O88" s="28"/>
      <c r="P88" s="28"/>
      <c r="Q88" s="28"/>
      <c r="R88" s="39"/>
      <c r="S88" s="40"/>
      <c r="T88" s="39"/>
      <c r="U88" s="28"/>
      <c r="V88" s="28"/>
    </row>
    <row r="89" customFormat="false" ht="15" hidden="false" customHeight="true" outlineLevel="0" collapsed="false">
      <c r="A89" s="30"/>
      <c r="B89" s="44"/>
      <c r="C89" s="44"/>
      <c r="D89" s="36"/>
      <c r="E89" s="44"/>
      <c r="F89" s="44"/>
      <c r="G89" s="36"/>
      <c r="H89" s="45"/>
      <c r="I89" s="45"/>
      <c r="J89" s="45"/>
      <c r="K89" s="30"/>
      <c r="L89" s="45"/>
      <c r="M89" s="45"/>
      <c r="N89" s="45"/>
      <c r="O89" s="31"/>
      <c r="P89" s="30"/>
      <c r="Q89" s="30"/>
      <c r="R89" s="39"/>
      <c r="S89" s="46"/>
      <c r="T89" s="39"/>
      <c r="U89" s="30"/>
      <c r="V89" s="30"/>
    </row>
    <row r="90" customFormat="false" ht="15" hidden="false" customHeight="true" outlineLevel="0" collapsed="false">
      <c r="A90" s="28"/>
      <c r="B90" s="34"/>
      <c r="C90" s="34"/>
      <c r="D90" s="36"/>
      <c r="E90" s="34"/>
      <c r="F90" s="34"/>
      <c r="G90" s="36"/>
      <c r="H90" s="37"/>
      <c r="I90" s="37"/>
      <c r="J90" s="37"/>
      <c r="K90" s="28"/>
      <c r="L90" s="37"/>
      <c r="M90" s="37"/>
      <c r="N90" s="37"/>
      <c r="O90" s="28"/>
      <c r="P90" s="28"/>
      <c r="Q90" s="28"/>
      <c r="R90" s="39"/>
      <c r="S90" s="40"/>
      <c r="T90" s="39"/>
      <c r="U90" s="28"/>
      <c r="V90" s="28"/>
    </row>
    <row r="91" customFormat="false" ht="15" hidden="false" customHeight="true" outlineLevel="0" collapsed="false">
      <c r="A91" s="30"/>
      <c r="B91" s="44"/>
      <c r="C91" s="44"/>
      <c r="D91" s="36"/>
      <c r="E91" s="44"/>
      <c r="F91" s="44"/>
      <c r="G91" s="36"/>
      <c r="H91" s="45"/>
      <c r="I91" s="45"/>
      <c r="J91" s="45"/>
      <c r="K91" s="30"/>
      <c r="L91" s="45"/>
      <c r="M91" s="45"/>
      <c r="N91" s="45"/>
      <c r="O91" s="31"/>
      <c r="P91" s="30"/>
      <c r="Q91" s="30"/>
      <c r="R91" s="39"/>
      <c r="S91" s="46"/>
      <c r="T91" s="39"/>
      <c r="U91" s="30"/>
      <c r="V91" s="30"/>
    </row>
    <row r="92" customFormat="false" ht="15" hidden="false" customHeight="true" outlineLevel="0" collapsed="false">
      <c r="A92" s="28"/>
      <c r="B92" s="34"/>
      <c r="C92" s="34"/>
      <c r="D92" s="36"/>
      <c r="E92" s="34"/>
      <c r="F92" s="34"/>
      <c r="G92" s="36"/>
      <c r="H92" s="37"/>
      <c r="I92" s="37"/>
      <c r="J92" s="37"/>
      <c r="K92" s="28"/>
      <c r="L92" s="37"/>
      <c r="M92" s="37"/>
      <c r="N92" s="37"/>
      <c r="O92" s="28"/>
      <c r="P92" s="28"/>
      <c r="Q92" s="28"/>
      <c r="R92" s="39"/>
      <c r="S92" s="40"/>
      <c r="T92" s="39"/>
      <c r="U92" s="28"/>
      <c r="V92" s="28"/>
    </row>
    <row r="93" customFormat="false" ht="15" hidden="false" customHeight="true" outlineLevel="0" collapsed="false">
      <c r="A93" s="30"/>
      <c r="B93" s="44"/>
      <c r="C93" s="44"/>
      <c r="D93" s="36"/>
      <c r="E93" s="44"/>
      <c r="F93" s="44"/>
      <c r="G93" s="36"/>
      <c r="H93" s="45"/>
      <c r="I93" s="45"/>
      <c r="J93" s="45"/>
      <c r="K93" s="30"/>
      <c r="L93" s="45"/>
      <c r="M93" s="45"/>
      <c r="N93" s="45"/>
      <c r="O93" s="31"/>
      <c r="P93" s="30"/>
      <c r="Q93" s="30"/>
      <c r="R93" s="39"/>
      <c r="S93" s="46"/>
      <c r="T93" s="39"/>
      <c r="U93" s="30"/>
      <c r="V93" s="30"/>
    </row>
    <row r="94" customFormat="false" ht="15" hidden="false" customHeight="true" outlineLevel="0" collapsed="false">
      <c r="A94" s="28"/>
      <c r="B94" s="34"/>
      <c r="C94" s="34"/>
      <c r="D94" s="36"/>
      <c r="E94" s="34"/>
      <c r="F94" s="34"/>
      <c r="G94" s="36"/>
      <c r="H94" s="37"/>
      <c r="I94" s="37"/>
      <c r="J94" s="37"/>
      <c r="K94" s="28"/>
      <c r="L94" s="37"/>
      <c r="M94" s="37"/>
      <c r="N94" s="37"/>
      <c r="O94" s="28"/>
      <c r="P94" s="28"/>
      <c r="Q94" s="28"/>
      <c r="R94" s="39"/>
      <c r="S94" s="40"/>
      <c r="T94" s="39"/>
      <c r="U94" s="28"/>
      <c r="V94" s="28"/>
    </row>
    <row r="95" customFormat="false" ht="15" hidden="false" customHeight="true" outlineLevel="0" collapsed="false">
      <c r="A95" s="30"/>
      <c r="B95" s="44"/>
      <c r="C95" s="44"/>
      <c r="D95" s="36"/>
      <c r="E95" s="44"/>
      <c r="F95" s="44"/>
      <c r="G95" s="36"/>
      <c r="H95" s="45"/>
      <c r="I95" s="45"/>
      <c r="J95" s="45"/>
      <c r="K95" s="30"/>
      <c r="L95" s="45"/>
      <c r="M95" s="45"/>
      <c r="N95" s="45"/>
      <c r="O95" s="31"/>
      <c r="P95" s="30"/>
      <c r="Q95" s="30"/>
      <c r="R95" s="39"/>
      <c r="S95" s="46"/>
      <c r="T95" s="39"/>
      <c r="U95" s="30"/>
      <c r="V95" s="30"/>
    </row>
    <row r="96" customFormat="false" ht="15" hidden="false" customHeight="true" outlineLevel="0" collapsed="false">
      <c r="A96" s="28"/>
      <c r="B96" s="34"/>
      <c r="C96" s="34"/>
      <c r="D96" s="36"/>
      <c r="E96" s="34"/>
      <c r="F96" s="34"/>
      <c r="G96" s="36"/>
      <c r="H96" s="37"/>
      <c r="I96" s="37"/>
      <c r="J96" s="37"/>
      <c r="K96" s="28"/>
      <c r="L96" s="37"/>
      <c r="M96" s="37"/>
      <c r="N96" s="37"/>
      <c r="O96" s="28"/>
      <c r="P96" s="28"/>
      <c r="Q96" s="28"/>
      <c r="R96" s="39"/>
      <c r="S96" s="40"/>
      <c r="T96" s="39"/>
      <c r="U96" s="28"/>
      <c r="V96" s="28"/>
    </row>
    <row r="97" customFormat="false" ht="15" hidden="false" customHeight="true" outlineLevel="0" collapsed="false">
      <c r="A97" s="30"/>
      <c r="B97" s="44"/>
      <c r="C97" s="44"/>
      <c r="D97" s="36"/>
      <c r="E97" s="44"/>
      <c r="F97" s="44"/>
      <c r="G97" s="36"/>
      <c r="H97" s="45"/>
      <c r="I97" s="45"/>
      <c r="J97" s="45"/>
      <c r="K97" s="30"/>
      <c r="L97" s="45"/>
      <c r="M97" s="45"/>
      <c r="N97" s="45"/>
      <c r="O97" s="31"/>
      <c r="P97" s="30"/>
      <c r="Q97" s="30"/>
      <c r="R97" s="39"/>
      <c r="S97" s="46"/>
      <c r="T97" s="39"/>
      <c r="U97" s="30"/>
      <c r="V97" s="30"/>
    </row>
    <row r="98" customFormat="false" ht="15" hidden="false" customHeight="true" outlineLevel="0" collapsed="false">
      <c r="A98" s="28"/>
      <c r="B98" s="34"/>
      <c r="C98" s="34"/>
      <c r="D98" s="36"/>
      <c r="E98" s="34"/>
      <c r="F98" s="34"/>
      <c r="G98" s="36"/>
      <c r="H98" s="37"/>
      <c r="I98" s="37"/>
      <c r="J98" s="37"/>
      <c r="K98" s="28"/>
      <c r="L98" s="37"/>
      <c r="M98" s="37"/>
      <c r="N98" s="37"/>
      <c r="O98" s="28"/>
      <c r="P98" s="28"/>
      <c r="Q98" s="28"/>
      <c r="R98" s="39"/>
      <c r="S98" s="40"/>
      <c r="T98" s="39"/>
      <c r="U98" s="28"/>
      <c r="V98" s="28"/>
    </row>
    <row r="99" customFormat="false" ht="15" hidden="false" customHeight="true" outlineLevel="0" collapsed="false">
      <c r="A99" s="30"/>
      <c r="B99" s="44"/>
      <c r="C99" s="44"/>
      <c r="D99" s="36"/>
      <c r="E99" s="44"/>
      <c r="F99" s="44"/>
      <c r="G99" s="36"/>
      <c r="H99" s="45"/>
      <c r="I99" s="45"/>
      <c r="J99" s="45"/>
      <c r="K99" s="30"/>
      <c r="L99" s="45"/>
      <c r="M99" s="45"/>
      <c r="N99" s="45"/>
      <c r="O99" s="31"/>
      <c r="P99" s="30"/>
      <c r="Q99" s="30"/>
      <c r="R99" s="39"/>
      <c r="S99" s="46"/>
      <c r="T99" s="39"/>
      <c r="U99" s="30"/>
      <c r="V99" s="30"/>
    </row>
    <row r="100" customFormat="false" ht="15" hidden="false" customHeight="true" outlineLevel="0" collapsed="false">
      <c r="A100" s="28"/>
      <c r="B100" s="34"/>
      <c r="C100" s="34"/>
      <c r="D100" s="36"/>
      <c r="E100" s="34"/>
      <c r="F100" s="34"/>
      <c r="G100" s="36"/>
      <c r="H100" s="37"/>
      <c r="I100" s="37"/>
      <c r="J100" s="37"/>
      <c r="K100" s="28"/>
      <c r="L100" s="37"/>
      <c r="M100" s="37"/>
      <c r="N100" s="37"/>
      <c r="O100" s="28"/>
      <c r="P100" s="28"/>
      <c r="Q100" s="28"/>
      <c r="R100" s="39"/>
      <c r="S100" s="40"/>
      <c r="T100" s="39"/>
      <c r="U100" s="28"/>
      <c r="V100" s="28"/>
    </row>
    <row r="101" customFormat="false" ht="15" hidden="false" customHeight="true" outlineLevel="0" collapsed="false">
      <c r="A101" s="30"/>
      <c r="B101" s="44"/>
      <c r="C101" s="44"/>
      <c r="D101" s="36"/>
      <c r="E101" s="44"/>
      <c r="F101" s="44"/>
      <c r="G101" s="36"/>
      <c r="H101" s="45"/>
      <c r="I101" s="45"/>
      <c r="J101" s="45"/>
      <c r="K101" s="30"/>
      <c r="L101" s="45"/>
      <c r="M101" s="45"/>
      <c r="N101" s="45"/>
      <c r="O101" s="31"/>
      <c r="P101" s="30"/>
      <c r="Q101" s="30"/>
      <c r="R101" s="39"/>
      <c r="S101" s="46"/>
      <c r="T101" s="39"/>
      <c r="U101" s="30"/>
      <c r="V101" s="30"/>
    </row>
    <row r="102" customFormat="false" ht="15" hidden="false" customHeight="true" outlineLevel="0" collapsed="false">
      <c r="A102" s="28"/>
      <c r="B102" s="34"/>
      <c r="C102" s="34"/>
      <c r="D102" s="36"/>
      <c r="E102" s="34"/>
      <c r="F102" s="34"/>
      <c r="G102" s="36"/>
      <c r="H102" s="37"/>
      <c r="I102" s="37"/>
      <c r="J102" s="37"/>
      <c r="K102" s="28"/>
      <c r="L102" s="37"/>
      <c r="M102" s="37"/>
      <c r="N102" s="37"/>
      <c r="O102" s="28"/>
      <c r="P102" s="28"/>
      <c r="Q102" s="28"/>
      <c r="R102" s="39"/>
      <c r="S102" s="40"/>
      <c r="T102" s="39"/>
      <c r="U102" s="28"/>
      <c r="V102" s="28"/>
    </row>
    <row r="103" customFormat="false" ht="15" hidden="false" customHeight="true" outlineLevel="0" collapsed="false">
      <c r="A103" s="30"/>
      <c r="B103" s="44"/>
      <c r="C103" s="44"/>
      <c r="D103" s="36"/>
      <c r="E103" s="44"/>
      <c r="F103" s="44"/>
      <c r="G103" s="36"/>
      <c r="H103" s="45"/>
      <c r="I103" s="45"/>
      <c r="J103" s="45"/>
      <c r="K103" s="30"/>
      <c r="L103" s="45"/>
      <c r="M103" s="45"/>
      <c r="N103" s="45"/>
      <c r="O103" s="31"/>
      <c r="P103" s="30"/>
      <c r="Q103" s="30"/>
      <c r="R103" s="39"/>
      <c r="S103" s="46"/>
      <c r="T103" s="39"/>
      <c r="U103" s="30"/>
      <c r="V103" s="30"/>
    </row>
    <row r="104" customFormat="false" ht="15" hidden="false" customHeight="true" outlineLevel="0" collapsed="false">
      <c r="A104" s="28"/>
      <c r="B104" s="34"/>
      <c r="C104" s="34"/>
      <c r="D104" s="36"/>
      <c r="E104" s="34"/>
      <c r="F104" s="34"/>
      <c r="G104" s="36"/>
      <c r="H104" s="37"/>
      <c r="I104" s="37"/>
      <c r="J104" s="37"/>
      <c r="K104" s="28"/>
      <c r="L104" s="37"/>
      <c r="M104" s="37"/>
      <c r="N104" s="37"/>
      <c r="O104" s="28"/>
      <c r="P104" s="28"/>
      <c r="Q104" s="28"/>
      <c r="R104" s="39"/>
      <c r="S104" s="40"/>
      <c r="T104" s="39"/>
      <c r="U104" s="28"/>
      <c r="V104" s="28"/>
    </row>
    <row r="105" customFormat="false" ht="15" hidden="false" customHeight="true" outlineLevel="0" collapsed="false">
      <c r="A105" s="30"/>
      <c r="B105" s="44"/>
      <c r="C105" s="44"/>
      <c r="D105" s="36"/>
      <c r="E105" s="44"/>
      <c r="F105" s="44"/>
      <c r="G105" s="36"/>
      <c r="H105" s="45"/>
      <c r="I105" s="45"/>
      <c r="J105" s="45"/>
      <c r="K105" s="30"/>
      <c r="L105" s="45"/>
      <c r="M105" s="45"/>
      <c r="N105" s="45"/>
      <c r="O105" s="31"/>
      <c r="P105" s="30"/>
      <c r="Q105" s="30"/>
      <c r="R105" s="39"/>
      <c r="S105" s="46"/>
      <c r="T105" s="39"/>
      <c r="U105" s="30"/>
      <c r="V105" s="30"/>
    </row>
    <row r="106" customFormat="false" ht="15" hidden="false" customHeight="true" outlineLevel="0" collapsed="false">
      <c r="A106" s="28"/>
      <c r="B106" s="34"/>
      <c r="C106" s="34"/>
      <c r="D106" s="36"/>
      <c r="E106" s="34"/>
      <c r="F106" s="34"/>
      <c r="G106" s="36"/>
      <c r="H106" s="37"/>
      <c r="I106" s="37"/>
      <c r="J106" s="37"/>
      <c r="K106" s="28"/>
      <c r="L106" s="37"/>
      <c r="M106" s="37"/>
      <c r="N106" s="37"/>
      <c r="O106" s="28"/>
      <c r="P106" s="28"/>
      <c r="Q106" s="28"/>
      <c r="R106" s="39"/>
      <c r="S106" s="40"/>
      <c r="T106" s="39"/>
      <c r="U106" s="28"/>
      <c r="V106" s="28"/>
    </row>
    <row r="107" customFormat="false" ht="15" hidden="false" customHeight="true" outlineLevel="0" collapsed="false">
      <c r="A107" s="30"/>
      <c r="B107" s="44"/>
      <c r="C107" s="44"/>
      <c r="D107" s="36"/>
      <c r="E107" s="44"/>
      <c r="F107" s="44"/>
      <c r="G107" s="36"/>
      <c r="H107" s="45"/>
      <c r="I107" s="45"/>
      <c r="J107" s="45"/>
      <c r="K107" s="30"/>
      <c r="L107" s="45"/>
      <c r="M107" s="45"/>
      <c r="N107" s="45"/>
      <c r="O107" s="31"/>
      <c r="P107" s="30"/>
      <c r="Q107" s="30"/>
      <c r="R107" s="39"/>
      <c r="S107" s="46"/>
      <c r="T107" s="39"/>
      <c r="U107" s="30"/>
      <c r="V107" s="30"/>
    </row>
    <row r="108" customFormat="false" ht="15" hidden="false" customHeight="true" outlineLevel="0" collapsed="false">
      <c r="A108" s="28"/>
      <c r="B108" s="34"/>
      <c r="C108" s="34"/>
      <c r="D108" s="36"/>
      <c r="E108" s="34"/>
      <c r="F108" s="34"/>
      <c r="G108" s="36"/>
      <c r="H108" s="37"/>
      <c r="I108" s="37"/>
      <c r="J108" s="37"/>
      <c r="K108" s="28"/>
      <c r="L108" s="37"/>
      <c r="M108" s="37"/>
      <c r="N108" s="37"/>
      <c r="O108" s="28"/>
      <c r="P108" s="28"/>
      <c r="Q108" s="28"/>
      <c r="R108" s="39"/>
      <c r="S108" s="40"/>
      <c r="T108" s="39"/>
      <c r="U108" s="28"/>
      <c r="V108" s="28"/>
    </row>
    <row r="109" customFormat="false" ht="15" hidden="false" customHeight="true" outlineLevel="0" collapsed="false">
      <c r="A109" s="30"/>
      <c r="B109" s="44"/>
      <c r="C109" s="44"/>
      <c r="D109" s="36"/>
      <c r="E109" s="44"/>
      <c r="F109" s="44"/>
      <c r="G109" s="36"/>
      <c r="H109" s="45"/>
      <c r="I109" s="45"/>
      <c r="J109" s="45"/>
      <c r="K109" s="30"/>
      <c r="L109" s="45"/>
      <c r="M109" s="45"/>
      <c r="N109" s="45"/>
      <c r="O109" s="31"/>
      <c r="P109" s="30"/>
      <c r="Q109" s="30"/>
      <c r="R109" s="39"/>
      <c r="S109" s="46"/>
      <c r="T109" s="39"/>
      <c r="U109" s="30"/>
      <c r="V109" s="30"/>
    </row>
    <row r="110" customFormat="false" ht="15" hidden="false" customHeight="true" outlineLevel="0" collapsed="false">
      <c r="A110" s="28"/>
      <c r="B110" s="34"/>
      <c r="C110" s="34"/>
      <c r="D110" s="36"/>
      <c r="E110" s="34"/>
      <c r="F110" s="34"/>
      <c r="G110" s="36"/>
      <c r="H110" s="37"/>
      <c r="I110" s="37"/>
      <c r="J110" s="37"/>
      <c r="K110" s="28"/>
      <c r="L110" s="37"/>
      <c r="M110" s="37"/>
      <c r="N110" s="37"/>
      <c r="O110" s="28"/>
      <c r="P110" s="28"/>
      <c r="Q110" s="28"/>
      <c r="R110" s="39"/>
      <c r="S110" s="40"/>
      <c r="T110" s="39"/>
      <c r="U110" s="28"/>
      <c r="V110" s="28"/>
    </row>
    <row r="111" customFormat="false" ht="15" hidden="false" customHeight="true" outlineLevel="0" collapsed="false">
      <c r="A111" s="30"/>
      <c r="B111" s="44"/>
      <c r="C111" s="44"/>
      <c r="D111" s="36"/>
      <c r="E111" s="44"/>
      <c r="F111" s="44"/>
      <c r="G111" s="36"/>
      <c r="H111" s="45"/>
      <c r="I111" s="45"/>
      <c r="J111" s="45"/>
      <c r="K111" s="30"/>
      <c r="L111" s="45"/>
      <c r="M111" s="45"/>
      <c r="N111" s="45"/>
      <c r="O111" s="31"/>
      <c r="P111" s="30"/>
      <c r="Q111" s="30"/>
      <c r="R111" s="39"/>
      <c r="S111" s="46"/>
      <c r="T111" s="39"/>
      <c r="U111" s="30"/>
      <c r="V111" s="30"/>
    </row>
    <row r="112" customFormat="false" ht="15" hidden="false" customHeight="true" outlineLevel="0" collapsed="false">
      <c r="A112" s="28"/>
      <c r="B112" s="34"/>
      <c r="C112" s="34"/>
      <c r="D112" s="36"/>
      <c r="E112" s="34"/>
      <c r="F112" s="34"/>
      <c r="G112" s="36"/>
      <c r="H112" s="37"/>
      <c r="I112" s="37"/>
      <c r="J112" s="37"/>
      <c r="K112" s="28"/>
      <c r="L112" s="37"/>
      <c r="M112" s="37"/>
      <c r="N112" s="37"/>
      <c r="O112" s="28"/>
      <c r="P112" s="28"/>
      <c r="Q112" s="28"/>
      <c r="R112" s="39"/>
      <c r="S112" s="40"/>
      <c r="T112" s="39"/>
      <c r="U112" s="28"/>
      <c r="V112" s="28"/>
    </row>
    <row r="113" customFormat="false" ht="15" hidden="false" customHeight="true" outlineLevel="0" collapsed="false">
      <c r="A113" s="30"/>
      <c r="B113" s="44"/>
      <c r="C113" s="44"/>
      <c r="D113" s="36"/>
      <c r="E113" s="44"/>
      <c r="F113" s="44"/>
      <c r="G113" s="36"/>
      <c r="H113" s="45"/>
      <c r="I113" s="45"/>
      <c r="J113" s="45"/>
      <c r="K113" s="30"/>
      <c r="L113" s="45"/>
      <c r="M113" s="45"/>
      <c r="N113" s="45"/>
      <c r="O113" s="31"/>
      <c r="P113" s="30"/>
      <c r="Q113" s="30"/>
      <c r="R113" s="39"/>
      <c r="S113" s="46"/>
      <c r="T113" s="39"/>
      <c r="U113" s="30"/>
      <c r="V113" s="30"/>
    </row>
    <row r="114" customFormat="false" ht="15" hidden="false" customHeight="true" outlineLevel="0" collapsed="false">
      <c r="A114" s="28"/>
      <c r="B114" s="34"/>
      <c r="C114" s="34"/>
      <c r="D114" s="36"/>
      <c r="E114" s="34"/>
      <c r="F114" s="34"/>
      <c r="G114" s="36"/>
      <c r="H114" s="37"/>
      <c r="I114" s="37"/>
      <c r="J114" s="37"/>
      <c r="K114" s="28"/>
      <c r="L114" s="37"/>
      <c r="M114" s="37"/>
      <c r="N114" s="37"/>
      <c r="O114" s="28"/>
      <c r="P114" s="28"/>
      <c r="Q114" s="28"/>
      <c r="R114" s="39"/>
      <c r="S114" s="40"/>
      <c r="T114" s="39"/>
      <c r="U114" s="28"/>
      <c r="V114" s="28"/>
    </row>
    <row r="115" customFormat="false" ht="15" hidden="false" customHeight="true" outlineLevel="0" collapsed="false">
      <c r="A115" s="30"/>
      <c r="B115" s="44"/>
      <c r="C115" s="44"/>
      <c r="D115" s="36"/>
      <c r="E115" s="44"/>
      <c r="F115" s="44"/>
      <c r="G115" s="36"/>
      <c r="H115" s="45"/>
      <c r="I115" s="45"/>
      <c r="J115" s="45"/>
      <c r="K115" s="30"/>
      <c r="L115" s="45"/>
      <c r="M115" s="45"/>
      <c r="N115" s="45"/>
      <c r="O115" s="31"/>
      <c r="P115" s="30"/>
      <c r="Q115" s="30"/>
      <c r="R115" s="39"/>
      <c r="S115" s="46"/>
      <c r="T115" s="39"/>
      <c r="U115" s="30"/>
      <c r="V115" s="30"/>
    </row>
    <row r="116" customFormat="false" ht="15" hidden="false" customHeight="true" outlineLevel="0" collapsed="false">
      <c r="A116" s="28"/>
      <c r="B116" s="34"/>
      <c r="C116" s="34"/>
      <c r="D116" s="36"/>
      <c r="E116" s="34"/>
      <c r="F116" s="34"/>
      <c r="G116" s="36"/>
      <c r="H116" s="37"/>
      <c r="I116" s="37"/>
      <c r="J116" s="37"/>
      <c r="K116" s="28"/>
      <c r="L116" s="37"/>
      <c r="M116" s="37"/>
      <c r="N116" s="37"/>
      <c r="O116" s="28"/>
      <c r="P116" s="28"/>
      <c r="Q116" s="28"/>
      <c r="R116" s="39"/>
      <c r="S116" s="40"/>
      <c r="T116" s="39"/>
      <c r="U116" s="28"/>
      <c r="V116" s="28"/>
    </row>
    <row r="117" customFormat="false" ht="15" hidden="false" customHeight="true" outlineLevel="0" collapsed="false">
      <c r="A117" s="30"/>
      <c r="B117" s="44"/>
      <c r="C117" s="44"/>
      <c r="D117" s="36"/>
      <c r="E117" s="44"/>
      <c r="F117" s="44"/>
      <c r="G117" s="36"/>
      <c r="H117" s="45"/>
      <c r="I117" s="45"/>
      <c r="J117" s="45"/>
      <c r="K117" s="30"/>
      <c r="L117" s="45"/>
      <c r="M117" s="45"/>
      <c r="N117" s="45"/>
      <c r="O117" s="31"/>
      <c r="P117" s="30"/>
      <c r="Q117" s="30"/>
      <c r="R117" s="39"/>
      <c r="S117" s="46"/>
      <c r="T117" s="39"/>
      <c r="U117" s="30"/>
      <c r="V117" s="30"/>
    </row>
    <row r="118" customFormat="false" ht="15" hidden="false" customHeight="true" outlineLevel="0" collapsed="false">
      <c r="A118" s="28"/>
      <c r="B118" s="34"/>
      <c r="C118" s="34"/>
      <c r="D118" s="36"/>
      <c r="E118" s="34"/>
      <c r="F118" s="34"/>
      <c r="G118" s="36"/>
      <c r="H118" s="37"/>
      <c r="I118" s="37"/>
      <c r="J118" s="37"/>
      <c r="K118" s="28"/>
      <c r="L118" s="37"/>
      <c r="M118" s="37"/>
      <c r="N118" s="37"/>
      <c r="O118" s="28"/>
      <c r="P118" s="28"/>
      <c r="Q118" s="28"/>
      <c r="R118" s="39"/>
      <c r="S118" s="40"/>
      <c r="T118" s="39"/>
      <c r="U118" s="28"/>
      <c r="V118" s="28"/>
    </row>
    <row r="119" customFormat="false" ht="15" hidden="false" customHeight="true" outlineLevel="0" collapsed="false">
      <c r="A119" s="30"/>
      <c r="B119" s="44"/>
      <c r="C119" s="44"/>
      <c r="D119" s="36"/>
      <c r="E119" s="44"/>
      <c r="F119" s="44"/>
      <c r="G119" s="36"/>
      <c r="H119" s="45"/>
      <c r="I119" s="45"/>
      <c r="J119" s="45"/>
      <c r="K119" s="30"/>
      <c r="L119" s="45"/>
      <c r="M119" s="45"/>
      <c r="N119" s="45"/>
      <c r="O119" s="31"/>
      <c r="P119" s="30"/>
      <c r="Q119" s="30"/>
      <c r="R119" s="39"/>
      <c r="S119" s="46"/>
      <c r="T119" s="39"/>
      <c r="U119" s="30"/>
      <c r="V119" s="30"/>
    </row>
    <row r="120" customFormat="false" ht="15" hidden="false" customHeight="true" outlineLevel="0" collapsed="false">
      <c r="A120" s="28"/>
      <c r="B120" s="34"/>
      <c r="C120" s="34"/>
      <c r="D120" s="36"/>
      <c r="E120" s="34"/>
      <c r="F120" s="34"/>
      <c r="G120" s="36"/>
      <c r="H120" s="37"/>
      <c r="I120" s="37"/>
      <c r="J120" s="37"/>
      <c r="K120" s="28"/>
      <c r="L120" s="37"/>
      <c r="M120" s="37"/>
      <c r="N120" s="37"/>
      <c r="O120" s="28"/>
      <c r="P120" s="28"/>
      <c r="Q120" s="28"/>
      <c r="R120" s="39"/>
      <c r="S120" s="40"/>
      <c r="T120" s="39"/>
      <c r="U120" s="28"/>
      <c r="V120" s="28"/>
    </row>
    <row r="121" customFormat="false" ht="15" hidden="false" customHeight="true" outlineLevel="0" collapsed="false">
      <c r="A121" s="30"/>
      <c r="B121" s="44"/>
      <c r="C121" s="44"/>
      <c r="D121" s="36"/>
      <c r="E121" s="44"/>
      <c r="F121" s="44"/>
      <c r="G121" s="36"/>
      <c r="H121" s="45"/>
      <c r="I121" s="45"/>
      <c r="J121" s="45"/>
      <c r="K121" s="30"/>
      <c r="L121" s="45"/>
      <c r="M121" s="45"/>
      <c r="N121" s="45"/>
      <c r="O121" s="31"/>
      <c r="P121" s="30"/>
      <c r="Q121" s="30"/>
      <c r="R121" s="39"/>
      <c r="S121" s="46"/>
      <c r="T121" s="39"/>
      <c r="U121" s="30"/>
      <c r="V121" s="30"/>
    </row>
    <row r="122" customFormat="false" ht="15" hidden="false" customHeight="true" outlineLevel="0" collapsed="false">
      <c r="A122" s="28"/>
      <c r="B122" s="34"/>
      <c r="C122" s="34"/>
      <c r="D122" s="36"/>
      <c r="E122" s="34"/>
      <c r="F122" s="34"/>
      <c r="G122" s="36"/>
      <c r="H122" s="37"/>
      <c r="I122" s="37"/>
      <c r="J122" s="37"/>
      <c r="K122" s="28"/>
      <c r="L122" s="37"/>
      <c r="M122" s="37"/>
      <c r="N122" s="37"/>
      <c r="O122" s="28"/>
      <c r="P122" s="28"/>
      <c r="Q122" s="28"/>
      <c r="R122" s="39"/>
      <c r="S122" s="40"/>
      <c r="T122" s="39"/>
      <c r="U122" s="28"/>
      <c r="V122" s="28"/>
    </row>
    <row r="123" customFormat="false" ht="15" hidden="false" customHeight="true" outlineLevel="0" collapsed="false">
      <c r="A123" s="30"/>
      <c r="B123" s="44"/>
      <c r="C123" s="44"/>
      <c r="D123" s="36"/>
      <c r="E123" s="44"/>
      <c r="F123" s="44"/>
      <c r="G123" s="36"/>
      <c r="H123" s="45"/>
      <c r="I123" s="45"/>
      <c r="J123" s="45"/>
      <c r="K123" s="30"/>
      <c r="L123" s="45"/>
      <c r="M123" s="45"/>
      <c r="N123" s="45"/>
      <c r="O123" s="31"/>
      <c r="P123" s="30"/>
      <c r="Q123" s="30"/>
      <c r="R123" s="39"/>
      <c r="S123" s="46"/>
      <c r="T123" s="39"/>
      <c r="U123" s="30"/>
      <c r="V123" s="30"/>
    </row>
    <row r="124" customFormat="false" ht="15" hidden="false" customHeight="true" outlineLevel="0" collapsed="false">
      <c r="A124" s="28"/>
      <c r="B124" s="34"/>
      <c r="C124" s="34"/>
      <c r="D124" s="36"/>
      <c r="E124" s="34"/>
      <c r="F124" s="34"/>
      <c r="G124" s="36"/>
      <c r="H124" s="37"/>
      <c r="I124" s="37"/>
      <c r="J124" s="37"/>
      <c r="K124" s="28"/>
      <c r="L124" s="37"/>
      <c r="M124" s="37"/>
      <c r="N124" s="37"/>
      <c r="O124" s="28"/>
      <c r="P124" s="28"/>
      <c r="Q124" s="28"/>
      <c r="R124" s="39"/>
      <c r="S124" s="40"/>
      <c r="T124" s="39"/>
      <c r="U124" s="28"/>
      <c r="V124" s="28"/>
    </row>
    <row r="125" customFormat="false" ht="15" hidden="false" customHeight="true" outlineLevel="0" collapsed="false">
      <c r="A125" s="30"/>
      <c r="B125" s="44"/>
      <c r="C125" s="44"/>
      <c r="D125" s="36"/>
      <c r="E125" s="44"/>
      <c r="F125" s="44"/>
      <c r="G125" s="36"/>
      <c r="H125" s="45"/>
      <c r="I125" s="45"/>
      <c r="J125" s="45"/>
      <c r="K125" s="30"/>
      <c r="L125" s="45"/>
      <c r="M125" s="45"/>
      <c r="N125" s="45"/>
      <c r="O125" s="31"/>
      <c r="P125" s="30"/>
      <c r="Q125" s="30"/>
      <c r="R125" s="39"/>
      <c r="S125" s="46"/>
      <c r="T125" s="39"/>
      <c r="U125" s="30"/>
      <c r="V125" s="30"/>
    </row>
    <row r="126" customFormat="false" ht="15" hidden="false" customHeight="true" outlineLevel="0" collapsed="false">
      <c r="A126" s="28"/>
      <c r="B126" s="34"/>
      <c r="C126" s="34"/>
      <c r="D126" s="36"/>
      <c r="E126" s="34"/>
      <c r="F126" s="34"/>
      <c r="G126" s="36"/>
      <c r="H126" s="37"/>
      <c r="I126" s="37"/>
      <c r="J126" s="37"/>
      <c r="K126" s="28"/>
      <c r="L126" s="37"/>
      <c r="M126" s="37"/>
      <c r="N126" s="37"/>
      <c r="O126" s="28"/>
      <c r="P126" s="28"/>
      <c r="Q126" s="28"/>
      <c r="R126" s="39"/>
      <c r="S126" s="40"/>
      <c r="T126" s="39"/>
      <c r="U126" s="28"/>
      <c r="V126" s="28"/>
    </row>
    <row r="127" customFormat="false" ht="15" hidden="false" customHeight="true" outlineLevel="0" collapsed="false">
      <c r="A127" s="30"/>
      <c r="B127" s="44"/>
      <c r="C127" s="44"/>
      <c r="D127" s="36"/>
      <c r="E127" s="44"/>
      <c r="F127" s="44"/>
      <c r="G127" s="36"/>
      <c r="H127" s="45"/>
      <c r="I127" s="45"/>
      <c r="J127" s="45"/>
      <c r="K127" s="30"/>
      <c r="L127" s="45"/>
      <c r="M127" s="45"/>
      <c r="N127" s="45"/>
      <c r="O127" s="31"/>
      <c r="P127" s="30"/>
      <c r="Q127" s="30"/>
      <c r="R127" s="39"/>
      <c r="S127" s="46"/>
      <c r="T127" s="39"/>
      <c r="U127" s="30"/>
      <c r="V127" s="30"/>
    </row>
    <row r="128" customFormat="false" ht="15" hidden="false" customHeight="true" outlineLevel="0" collapsed="false">
      <c r="A128" s="28"/>
      <c r="B128" s="34"/>
      <c r="C128" s="34"/>
      <c r="D128" s="36"/>
      <c r="E128" s="34"/>
      <c r="F128" s="34"/>
      <c r="G128" s="36"/>
      <c r="H128" s="37"/>
      <c r="I128" s="37"/>
      <c r="J128" s="37"/>
      <c r="K128" s="28"/>
      <c r="L128" s="37"/>
      <c r="M128" s="37"/>
      <c r="N128" s="37"/>
      <c r="O128" s="28"/>
      <c r="P128" s="28"/>
      <c r="Q128" s="28"/>
      <c r="R128" s="39"/>
      <c r="S128" s="40"/>
      <c r="T128" s="39"/>
      <c r="U128" s="28"/>
      <c r="V128" s="28"/>
    </row>
    <row r="129" customFormat="false" ht="15" hidden="false" customHeight="true" outlineLevel="0" collapsed="false">
      <c r="A129" s="30"/>
      <c r="B129" s="44"/>
      <c r="C129" s="44"/>
      <c r="D129" s="36"/>
      <c r="E129" s="44"/>
      <c r="F129" s="44"/>
      <c r="G129" s="36"/>
      <c r="H129" s="45"/>
      <c r="I129" s="45"/>
      <c r="J129" s="45"/>
      <c r="K129" s="30"/>
      <c r="L129" s="45"/>
      <c r="M129" s="45"/>
      <c r="N129" s="45"/>
      <c r="O129" s="31"/>
      <c r="P129" s="30"/>
      <c r="Q129" s="30"/>
      <c r="R129" s="39"/>
      <c r="S129" s="46"/>
      <c r="T129" s="39"/>
      <c r="U129" s="30"/>
      <c r="V129" s="30"/>
    </row>
    <row r="130" customFormat="false" ht="15" hidden="false" customHeight="true" outlineLevel="0" collapsed="false">
      <c r="A130" s="28"/>
      <c r="B130" s="34"/>
      <c r="C130" s="34"/>
      <c r="D130" s="36"/>
      <c r="E130" s="34"/>
      <c r="F130" s="34"/>
      <c r="G130" s="36"/>
      <c r="H130" s="37"/>
      <c r="I130" s="37"/>
      <c r="J130" s="37"/>
      <c r="K130" s="28"/>
      <c r="L130" s="37"/>
      <c r="M130" s="37"/>
      <c r="N130" s="37"/>
      <c r="O130" s="28"/>
      <c r="P130" s="28"/>
      <c r="Q130" s="28"/>
      <c r="R130" s="39"/>
      <c r="S130" s="40"/>
      <c r="T130" s="39"/>
      <c r="U130" s="28"/>
      <c r="V130" s="28"/>
    </row>
    <row r="131" customFormat="false" ht="15" hidden="false" customHeight="true" outlineLevel="0" collapsed="false">
      <c r="A131" s="30"/>
      <c r="B131" s="44"/>
      <c r="C131" s="44"/>
      <c r="D131" s="36"/>
      <c r="E131" s="44"/>
      <c r="F131" s="44"/>
      <c r="G131" s="36"/>
      <c r="H131" s="45"/>
      <c r="I131" s="45"/>
      <c r="J131" s="45"/>
      <c r="K131" s="30"/>
      <c r="L131" s="45"/>
      <c r="M131" s="45"/>
      <c r="N131" s="45"/>
      <c r="O131" s="31"/>
      <c r="P131" s="30"/>
      <c r="Q131" s="30"/>
      <c r="R131" s="39"/>
      <c r="S131" s="46"/>
      <c r="T131" s="39"/>
      <c r="U131" s="30"/>
      <c r="V131" s="30"/>
    </row>
    <row r="132" customFormat="false" ht="15" hidden="false" customHeight="true" outlineLevel="0" collapsed="false">
      <c r="A132" s="28"/>
      <c r="B132" s="34"/>
      <c r="C132" s="34"/>
      <c r="D132" s="36"/>
      <c r="E132" s="34"/>
      <c r="F132" s="34"/>
      <c r="G132" s="36"/>
      <c r="H132" s="37"/>
      <c r="I132" s="37"/>
      <c r="J132" s="37"/>
      <c r="K132" s="28"/>
      <c r="L132" s="37"/>
      <c r="M132" s="37"/>
      <c r="N132" s="37"/>
      <c r="O132" s="28"/>
      <c r="P132" s="28"/>
      <c r="Q132" s="28"/>
      <c r="R132" s="39"/>
      <c r="S132" s="40"/>
      <c r="T132" s="39"/>
      <c r="U132" s="28"/>
      <c r="V132" s="28"/>
    </row>
    <row r="133" customFormat="false" ht="15" hidden="false" customHeight="true" outlineLevel="0" collapsed="false">
      <c r="A133" s="30"/>
      <c r="B133" s="44"/>
      <c r="C133" s="44"/>
      <c r="D133" s="36"/>
      <c r="E133" s="44"/>
      <c r="F133" s="44"/>
      <c r="G133" s="36"/>
      <c r="H133" s="45"/>
      <c r="I133" s="45"/>
      <c r="J133" s="45"/>
      <c r="K133" s="30"/>
      <c r="L133" s="45"/>
      <c r="M133" s="45"/>
      <c r="N133" s="45"/>
      <c r="O133" s="31"/>
      <c r="P133" s="30"/>
      <c r="Q133" s="30"/>
      <c r="R133" s="39"/>
      <c r="S133" s="46"/>
      <c r="T133" s="39"/>
      <c r="U133" s="30"/>
      <c r="V133" s="30"/>
    </row>
    <row r="134" customFormat="false" ht="15" hidden="false" customHeight="true" outlineLevel="0" collapsed="false">
      <c r="A134" s="28"/>
      <c r="B134" s="34"/>
      <c r="C134" s="34"/>
      <c r="D134" s="36"/>
      <c r="E134" s="34"/>
      <c r="F134" s="34"/>
      <c r="G134" s="36"/>
      <c r="H134" s="37"/>
      <c r="I134" s="37"/>
      <c r="J134" s="37"/>
      <c r="K134" s="28"/>
      <c r="L134" s="37"/>
      <c r="M134" s="37"/>
      <c r="N134" s="37"/>
      <c r="O134" s="28"/>
      <c r="P134" s="28"/>
      <c r="Q134" s="28"/>
      <c r="R134" s="39"/>
      <c r="S134" s="40"/>
      <c r="T134" s="39"/>
      <c r="U134" s="28"/>
      <c r="V134" s="28"/>
    </row>
    <row r="135" customFormat="false" ht="15" hidden="false" customHeight="true" outlineLevel="0" collapsed="false">
      <c r="A135" s="30"/>
      <c r="B135" s="44"/>
      <c r="C135" s="44"/>
      <c r="D135" s="36"/>
      <c r="E135" s="44"/>
      <c r="F135" s="44"/>
      <c r="G135" s="36"/>
      <c r="H135" s="45"/>
      <c r="I135" s="45"/>
      <c r="J135" s="45"/>
      <c r="K135" s="30"/>
      <c r="L135" s="45"/>
      <c r="M135" s="45"/>
      <c r="N135" s="45"/>
      <c r="O135" s="31"/>
      <c r="P135" s="30"/>
      <c r="Q135" s="30"/>
      <c r="R135" s="39"/>
      <c r="S135" s="46"/>
      <c r="T135" s="39"/>
      <c r="U135" s="30"/>
      <c r="V135" s="30"/>
    </row>
    <row r="136" customFormat="false" ht="15" hidden="false" customHeight="true" outlineLevel="0" collapsed="false">
      <c r="A136" s="28"/>
      <c r="B136" s="34"/>
      <c r="C136" s="34"/>
      <c r="D136" s="36"/>
      <c r="E136" s="34"/>
      <c r="F136" s="34"/>
      <c r="G136" s="36"/>
      <c r="H136" s="37"/>
      <c r="I136" s="37"/>
      <c r="J136" s="37"/>
      <c r="K136" s="28"/>
      <c r="L136" s="37"/>
      <c r="M136" s="37"/>
      <c r="N136" s="37"/>
      <c r="O136" s="28"/>
      <c r="P136" s="28"/>
      <c r="Q136" s="28"/>
      <c r="R136" s="39"/>
      <c r="S136" s="40"/>
      <c r="T136" s="39"/>
      <c r="U136" s="28"/>
      <c r="V136" s="28"/>
    </row>
    <row r="137" customFormat="false" ht="15" hidden="false" customHeight="true" outlineLevel="0" collapsed="false">
      <c r="A137" s="30"/>
      <c r="B137" s="44"/>
      <c r="C137" s="44"/>
      <c r="D137" s="36"/>
      <c r="E137" s="44"/>
      <c r="F137" s="44"/>
      <c r="G137" s="36"/>
      <c r="H137" s="45"/>
      <c r="I137" s="45"/>
      <c r="J137" s="45"/>
      <c r="K137" s="30"/>
      <c r="L137" s="45"/>
      <c r="M137" s="45"/>
      <c r="N137" s="45"/>
      <c r="O137" s="31"/>
      <c r="P137" s="30"/>
      <c r="Q137" s="30"/>
      <c r="R137" s="39"/>
      <c r="S137" s="46"/>
      <c r="T137" s="39"/>
      <c r="U137" s="30"/>
      <c r="V137" s="30"/>
    </row>
    <row r="138" customFormat="false" ht="15" hidden="false" customHeight="true" outlineLevel="0" collapsed="false">
      <c r="A138" s="28"/>
      <c r="B138" s="34"/>
      <c r="C138" s="34"/>
      <c r="D138" s="36"/>
      <c r="E138" s="34"/>
      <c r="F138" s="34"/>
      <c r="G138" s="36"/>
      <c r="H138" s="37"/>
      <c r="I138" s="37"/>
      <c r="J138" s="37"/>
      <c r="K138" s="28"/>
      <c r="L138" s="37"/>
      <c r="M138" s="37"/>
      <c r="N138" s="37"/>
      <c r="O138" s="28"/>
      <c r="P138" s="28"/>
      <c r="Q138" s="28"/>
      <c r="R138" s="39"/>
      <c r="S138" s="40"/>
      <c r="T138" s="39"/>
      <c r="U138" s="28"/>
      <c r="V138" s="28"/>
    </row>
    <row r="139" customFormat="false" ht="15" hidden="false" customHeight="true" outlineLevel="0" collapsed="false">
      <c r="A139" s="30"/>
      <c r="B139" s="44"/>
      <c r="C139" s="44"/>
      <c r="D139" s="36"/>
      <c r="E139" s="44"/>
      <c r="F139" s="44"/>
      <c r="G139" s="36"/>
      <c r="H139" s="45"/>
      <c r="I139" s="45"/>
      <c r="J139" s="45"/>
      <c r="K139" s="30"/>
      <c r="L139" s="45"/>
      <c r="M139" s="45"/>
      <c r="N139" s="45"/>
      <c r="O139" s="31"/>
      <c r="P139" s="30"/>
      <c r="Q139" s="30"/>
      <c r="R139" s="39"/>
      <c r="S139" s="46"/>
      <c r="T139" s="39"/>
      <c r="U139" s="30"/>
      <c r="V139" s="30"/>
    </row>
    <row r="140" customFormat="false" ht="15" hidden="false" customHeight="true" outlineLevel="0" collapsed="false">
      <c r="A140" s="28"/>
      <c r="B140" s="34"/>
      <c r="C140" s="34"/>
      <c r="D140" s="36"/>
      <c r="E140" s="34"/>
      <c r="F140" s="34"/>
      <c r="G140" s="36"/>
      <c r="H140" s="37"/>
      <c r="I140" s="37"/>
      <c r="J140" s="37"/>
      <c r="K140" s="28"/>
      <c r="L140" s="37"/>
      <c r="M140" s="37"/>
      <c r="N140" s="37"/>
      <c r="O140" s="28"/>
      <c r="P140" s="28"/>
      <c r="Q140" s="28"/>
      <c r="R140" s="39"/>
      <c r="S140" s="40"/>
      <c r="T140" s="39"/>
      <c r="U140" s="28"/>
      <c r="V140" s="28"/>
    </row>
    <row r="141" customFormat="false" ht="15" hidden="false" customHeight="true" outlineLevel="0" collapsed="false">
      <c r="A141" s="30"/>
      <c r="B141" s="44"/>
      <c r="C141" s="44"/>
      <c r="D141" s="36"/>
      <c r="E141" s="44"/>
      <c r="F141" s="44"/>
      <c r="G141" s="36"/>
      <c r="H141" s="45"/>
      <c r="I141" s="45"/>
      <c r="J141" s="45"/>
      <c r="K141" s="30"/>
      <c r="L141" s="45"/>
      <c r="M141" s="45"/>
      <c r="N141" s="45"/>
      <c r="O141" s="31"/>
      <c r="P141" s="30"/>
      <c r="Q141" s="30"/>
      <c r="R141" s="39"/>
      <c r="S141" s="46"/>
      <c r="T141" s="39"/>
      <c r="U141" s="30"/>
      <c r="V141" s="30"/>
    </row>
    <row r="142" customFormat="false" ht="15" hidden="false" customHeight="true" outlineLevel="0" collapsed="false">
      <c r="A142" s="28"/>
      <c r="B142" s="34"/>
      <c r="C142" s="34"/>
      <c r="D142" s="36"/>
      <c r="E142" s="34"/>
      <c r="F142" s="34"/>
      <c r="G142" s="36"/>
      <c r="H142" s="37"/>
      <c r="I142" s="37"/>
      <c r="J142" s="37"/>
      <c r="K142" s="28"/>
      <c r="L142" s="37"/>
      <c r="M142" s="37"/>
      <c r="N142" s="37"/>
      <c r="O142" s="28"/>
      <c r="P142" s="28"/>
      <c r="Q142" s="28"/>
      <c r="R142" s="39"/>
      <c r="S142" s="40"/>
      <c r="T142" s="39"/>
      <c r="U142" s="28"/>
      <c r="V142" s="28"/>
    </row>
    <row r="143" customFormat="false" ht="15" hidden="false" customHeight="true" outlineLevel="0" collapsed="false">
      <c r="A143" s="30"/>
      <c r="B143" s="44"/>
      <c r="C143" s="44"/>
      <c r="D143" s="36"/>
      <c r="E143" s="44"/>
      <c r="F143" s="44"/>
      <c r="G143" s="36"/>
      <c r="H143" s="45"/>
      <c r="I143" s="45"/>
      <c r="J143" s="45"/>
      <c r="K143" s="30"/>
      <c r="L143" s="45"/>
      <c r="M143" s="45"/>
      <c r="N143" s="45"/>
      <c r="O143" s="31"/>
      <c r="P143" s="30"/>
      <c r="Q143" s="30"/>
      <c r="R143" s="39"/>
      <c r="S143" s="46"/>
      <c r="T143" s="39"/>
      <c r="U143" s="30"/>
      <c r="V143" s="30"/>
    </row>
    <row r="144" customFormat="false" ht="15" hidden="false" customHeight="true" outlineLevel="0" collapsed="false">
      <c r="A144" s="28"/>
      <c r="B144" s="34"/>
      <c r="C144" s="34"/>
      <c r="D144" s="36"/>
      <c r="E144" s="34"/>
      <c r="F144" s="34"/>
      <c r="G144" s="36"/>
      <c r="H144" s="37"/>
      <c r="I144" s="37"/>
      <c r="J144" s="37"/>
      <c r="K144" s="28"/>
      <c r="L144" s="37"/>
      <c r="M144" s="37"/>
      <c r="N144" s="37"/>
      <c r="O144" s="28"/>
      <c r="P144" s="28"/>
      <c r="Q144" s="28"/>
      <c r="R144" s="39"/>
      <c r="S144" s="40"/>
      <c r="T144" s="39"/>
      <c r="U144" s="28"/>
      <c r="V144" s="28"/>
    </row>
    <row r="145" customFormat="false" ht="15" hidden="false" customHeight="true" outlineLevel="0" collapsed="false">
      <c r="A145" s="30"/>
      <c r="B145" s="44"/>
      <c r="C145" s="44"/>
      <c r="D145" s="36"/>
      <c r="E145" s="44"/>
      <c r="F145" s="44"/>
      <c r="G145" s="36"/>
      <c r="H145" s="45"/>
      <c r="I145" s="45"/>
      <c r="J145" s="45"/>
      <c r="K145" s="30"/>
      <c r="L145" s="45"/>
      <c r="M145" s="45"/>
      <c r="N145" s="45"/>
      <c r="O145" s="31"/>
      <c r="P145" s="30"/>
      <c r="Q145" s="30"/>
      <c r="R145" s="39"/>
      <c r="S145" s="46"/>
      <c r="T145" s="39"/>
      <c r="U145" s="30"/>
      <c r="V145" s="30"/>
    </row>
    <row r="146" customFormat="false" ht="15" hidden="false" customHeight="true" outlineLevel="0" collapsed="false">
      <c r="A146" s="28"/>
      <c r="B146" s="34"/>
      <c r="C146" s="34"/>
      <c r="D146" s="36"/>
      <c r="E146" s="34"/>
      <c r="F146" s="34"/>
      <c r="G146" s="36"/>
      <c r="H146" s="37"/>
      <c r="I146" s="37"/>
      <c r="J146" s="37"/>
      <c r="K146" s="28"/>
      <c r="L146" s="37"/>
      <c r="M146" s="37"/>
      <c r="N146" s="37"/>
      <c r="O146" s="28"/>
      <c r="P146" s="28"/>
      <c r="Q146" s="28"/>
      <c r="R146" s="39"/>
      <c r="S146" s="40"/>
      <c r="T146" s="39"/>
      <c r="U146" s="28"/>
      <c r="V146" s="28"/>
    </row>
    <row r="147" customFormat="false" ht="15" hidden="false" customHeight="true" outlineLevel="0" collapsed="false">
      <c r="A147" s="30"/>
      <c r="B147" s="44"/>
      <c r="C147" s="44"/>
      <c r="D147" s="36"/>
      <c r="E147" s="44"/>
      <c r="F147" s="44"/>
      <c r="G147" s="36"/>
      <c r="H147" s="45"/>
      <c r="I147" s="45"/>
      <c r="J147" s="45"/>
      <c r="K147" s="30"/>
      <c r="L147" s="45"/>
      <c r="M147" s="45"/>
      <c r="N147" s="45"/>
      <c r="O147" s="31"/>
      <c r="P147" s="30"/>
      <c r="Q147" s="30"/>
      <c r="R147" s="39"/>
      <c r="S147" s="46"/>
      <c r="T147" s="39"/>
      <c r="U147" s="30"/>
      <c r="V147" s="30"/>
    </row>
    <row r="148" customFormat="false" ht="15" hidden="false" customHeight="true" outlineLevel="0" collapsed="false">
      <c r="A148" s="28"/>
      <c r="B148" s="34"/>
      <c r="C148" s="34"/>
      <c r="D148" s="36"/>
      <c r="E148" s="34"/>
      <c r="F148" s="34"/>
      <c r="G148" s="36"/>
      <c r="H148" s="37"/>
      <c r="I148" s="37"/>
      <c r="J148" s="37"/>
      <c r="K148" s="28"/>
      <c r="L148" s="37"/>
      <c r="M148" s="37"/>
      <c r="N148" s="37"/>
      <c r="O148" s="28"/>
      <c r="P148" s="28"/>
      <c r="Q148" s="28"/>
      <c r="R148" s="39"/>
      <c r="S148" s="40"/>
      <c r="T148" s="39"/>
      <c r="U148" s="28"/>
      <c r="V148" s="28"/>
    </row>
    <row r="149" customFormat="false" ht="15" hidden="false" customHeight="true" outlineLevel="0" collapsed="false">
      <c r="A149" s="30"/>
      <c r="B149" s="44"/>
      <c r="C149" s="44"/>
      <c r="D149" s="36"/>
      <c r="E149" s="44"/>
      <c r="F149" s="44"/>
      <c r="G149" s="36"/>
      <c r="H149" s="45"/>
      <c r="I149" s="45"/>
      <c r="J149" s="45"/>
      <c r="K149" s="30"/>
      <c r="L149" s="45"/>
      <c r="M149" s="45"/>
      <c r="N149" s="45"/>
      <c r="O149" s="31"/>
      <c r="P149" s="30"/>
      <c r="Q149" s="30"/>
      <c r="R149" s="39"/>
      <c r="S149" s="46"/>
      <c r="T149" s="39"/>
      <c r="U149" s="30"/>
      <c r="V149" s="30"/>
    </row>
    <row r="150" customFormat="false" ht="15" hidden="false" customHeight="true" outlineLevel="0" collapsed="false">
      <c r="A150" s="28"/>
      <c r="B150" s="34"/>
      <c r="C150" s="34"/>
      <c r="D150" s="36"/>
      <c r="E150" s="34"/>
      <c r="F150" s="34"/>
      <c r="G150" s="36"/>
      <c r="H150" s="37"/>
      <c r="I150" s="37"/>
      <c r="J150" s="37"/>
      <c r="K150" s="28"/>
      <c r="L150" s="37"/>
      <c r="M150" s="37"/>
      <c r="N150" s="37"/>
      <c r="O150" s="28"/>
      <c r="P150" s="28"/>
      <c r="Q150" s="28"/>
      <c r="R150" s="39"/>
      <c r="S150" s="40"/>
      <c r="T150" s="39"/>
      <c r="U150" s="28"/>
      <c r="V150" s="28"/>
    </row>
    <row r="151" customFormat="false" ht="15" hidden="false" customHeight="true" outlineLevel="0" collapsed="false">
      <c r="A151" s="30"/>
      <c r="B151" s="44"/>
      <c r="C151" s="44"/>
      <c r="D151" s="36"/>
      <c r="E151" s="44"/>
      <c r="F151" s="44"/>
      <c r="G151" s="36"/>
      <c r="H151" s="45"/>
      <c r="I151" s="45"/>
      <c r="J151" s="45"/>
      <c r="K151" s="30"/>
      <c r="L151" s="45"/>
      <c r="M151" s="45"/>
      <c r="N151" s="45"/>
      <c r="O151" s="31"/>
      <c r="P151" s="30"/>
      <c r="Q151" s="30"/>
      <c r="R151" s="39"/>
      <c r="S151" s="46"/>
      <c r="T151" s="39"/>
      <c r="U151" s="30"/>
      <c r="V151" s="30"/>
    </row>
    <row r="152" customFormat="false" ht="15" hidden="false" customHeight="true" outlineLevel="0" collapsed="false">
      <c r="A152" s="28"/>
      <c r="B152" s="34"/>
      <c r="C152" s="34"/>
      <c r="D152" s="36"/>
      <c r="E152" s="34"/>
      <c r="F152" s="34"/>
      <c r="G152" s="36"/>
      <c r="H152" s="37"/>
      <c r="I152" s="37"/>
      <c r="J152" s="37"/>
      <c r="K152" s="28"/>
      <c r="L152" s="37"/>
      <c r="M152" s="37"/>
      <c r="N152" s="37"/>
      <c r="O152" s="28"/>
      <c r="P152" s="28"/>
      <c r="Q152" s="28"/>
      <c r="R152" s="39"/>
      <c r="S152" s="40"/>
      <c r="T152" s="39"/>
      <c r="U152" s="28"/>
      <c r="V152" s="28"/>
    </row>
    <row r="153" customFormat="false" ht="15" hidden="false" customHeight="true" outlineLevel="0" collapsed="false">
      <c r="A153" s="30"/>
      <c r="B153" s="44"/>
      <c r="C153" s="44"/>
      <c r="D153" s="36"/>
      <c r="E153" s="44"/>
      <c r="F153" s="44"/>
      <c r="G153" s="36"/>
      <c r="H153" s="45"/>
      <c r="I153" s="45"/>
      <c r="J153" s="45"/>
      <c r="K153" s="30"/>
      <c r="L153" s="45"/>
      <c r="M153" s="45"/>
      <c r="N153" s="45"/>
      <c r="O153" s="31"/>
      <c r="P153" s="30"/>
      <c r="Q153" s="30"/>
      <c r="R153" s="39"/>
      <c r="S153" s="46"/>
      <c r="T153" s="39"/>
      <c r="U153" s="30"/>
      <c r="V153" s="30"/>
    </row>
    <row r="154" customFormat="false" ht="15" hidden="false" customHeight="true" outlineLevel="0" collapsed="false">
      <c r="A154" s="28"/>
      <c r="B154" s="34"/>
      <c r="C154" s="34"/>
      <c r="D154" s="36"/>
      <c r="E154" s="34"/>
      <c r="F154" s="34"/>
      <c r="G154" s="36"/>
      <c r="H154" s="37"/>
      <c r="I154" s="37"/>
      <c r="J154" s="37"/>
      <c r="K154" s="28"/>
      <c r="L154" s="37"/>
      <c r="M154" s="37"/>
      <c r="N154" s="37"/>
      <c r="O154" s="28"/>
      <c r="P154" s="28"/>
      <c r="Q154" s="28"/>
      <c r="R154" s="39"/>
      <c r="S154" s="40"/>
      <c r="T154" s="39"/>
      <c r="U154" s="28"/>
      <c r="V154" s="28"/>
    </row>
    <row r="155" customFormat="false" ht="15" hidden="false" customHeight="true" outlineLevel="0" collapsed="false">
      <c r="A155" s="30"/>
      <c r="B155" s="44"/>
      <c r="C155" s="44"/>
      <c r="D155" s="36"/>
      <c r="E155" s="44"/>
      <c r="F155" s="44"/>
      <c r="G155" s="36"/>
      <c r="H155" s="45"/>
      <c r="I155" s="45"/>
      <c r="J155" s="45"/>
      <c r="K155" s="30"/>
      <c r="L155" s="45"/>
      <c r="M155" s="45"/>
      <c r="N155" s="45"/>
      <c r="O155" s="31"/>
      <c r="P155" s="30"/>
      <c r="Q155" s="30"/>
      <c r="R155" s="39"/>
      <c r="S155" s="46"/>
      <c r="T155" s="39"/>
      <c r="U155" s="30"/>
      <c r="V155" s="30"/>
    </row>
    <row r="156" customFormat="false" ht="15" hidden="false" customHeight="true" outlineLevel="0" collapsed="false">
      <c r="A156" s="28"/>
      <c r="B156" s="34"/>
      <c r="C156" s="34"/>
      <c r="D156" s="36"/>
      <c r="E156" s="34"/>
      <c r="F156" s="34"/>
      <c r="G156" s="36"/>
      <c r="H156" s="37"/>
      <c r="I156" s="37"/>
      <c r="J156" s="37"/>
      <c r="K156" s="28"/>
      <c r="L156" s="37"/>
      <c r="M156" s="37"/>
      <c r="N156" s="37"/>
      <c r="O156" s="28"/>
      <c r="P156" s="28"/>
      <c r="Q156" s="28"/>
      <c r="R156" s="39"/>
      <c r="S156" s="40"/>
      <c r="T156" s="39"/>
      <c r="U156" s="28"/>
      <c r="V156" s="28"/>
    </row>
    <row r="157" customFormat="false" ht="15" hidden="false" customHeight="true" outlineLevel="0" collapsed="false">
      <c r="A157" s="30"/>
      <c r="B157" s="44"/>
      <c r="C157" s="44"/>
      <c r="D157" s="36"/>
      <c r="E157" s="44"/>
      <c r="F157" s="44"/>
      <c r="G157" s="36"/>
      <c r="H157" s="45"/>
      <c r="I157" s="45"/>
      <c r="J157" s="45"/>
      <c r="K157" s="30"/>
      <c r="L157" s="45"/>
      <c r="M157" s="45"/>
      <c r="N157" s="45"/>
      <c r="O157" s="31"/>
      <c r="P157" s="30"/>
      <c r="Q157" s="30"/>
      <c r="R157" s="39"/>
      <c r="S157" s="46"/>
      <c r="T157" s="39"/>
      <c r="U157" s="30"/>
      <c r="V157" s="30"/>
    </row>
    <row r="158" customFormat="false" ht="15" hidden="false" customHeight="true" outlineLevel="0" collapsed="false">
      <c r="A158" s="28"/>
      <c r="B158" s="34"/>
      <c r="C158" s="34"/>
      <c r="D158" s="36"/>
      <c r="E158" s="34"/>
      <c r="F158" s="34"/>
      <c r="G158" s="36"/>
      <c r="H158" s="37"/>
      <c r="I158" s="37"/>
      <c r="J158" s="37"/>
      <c r="K158" s="28"/>
      <c r="L158" s="37"/>
      <c r="M158" s="37"/>
      <c r="N158" s="37"/>
      <c r="O158" s="28"/>
      <c r="P158" s="28"/>
      <c r="Q158" s="28"/>
      <c r="R158" s="39"/>
      <c r="S158" s="40"/>
      <c r="T158" s="39"/>
      <c r="U158" s="28"/>
      <c r="V158" s="28"/>
    </row>
    <row r="159" customFormat="false" ht="15" hidden="false" customHeight="true" outlineLevel="0" collapsed="false">
      <c r="A159" s="30"/>
      <c r="B159" s="44"/>
      <c r="C159" s="44"/>
      <c r="D159" s="36"/>
      <c r="E159" s="44"/>
      <c r="F159" s="44"/>
      <c r="G159" s="36"/>
      <c r="H159" s="45"/>
      <c r="I159" s="45"/>
      <c r="J159" s="45"/>
      <c r="K159" s="30"/>
      <c r="L159" s="45"/>
      <c r="M159" s="45"/>
      <c r="N159" s="45"/>
      <c r="O159" s="31"/>
      <c r="P159" s="30"/>
      <c r="Q159" s="30"/>
      <c r="R159" s="39"/>
      <c r="S159" s="46"/>
      <c r="T159" s="39"/>
      <c r="U159" s="30"/>
      <c r="V159" s="30"/>
    </row>
    <row r="160" customFormat="false" ht="15" hidden="false" customHeight="true" outlineLevel="0" collapsed="false">
      <c r="A160" s="28"/>
      <c r="B160" s="34"/>
      <c r="C160" s="34"/>
      <c r="D160" s="36"/>
      <c r="E160" s="34"/>
      <c r="F160" s="34"/>
      <c r="G160" s="36"/>
      <c r="H160" s="37"/>
      <c r="I160" s="37"/>
      <c r="J160" s="37"/>
      <c r="K160" s="28"/>
      <c r="L160" s="37"/>
      <c r="M160" s="37"/>
      <c r="N160" s="37"/>
      <c r="O160" s="28"/>
      <c r="P160" s="28"/>
      <c r="Q160" s="28"/>
      <c r="R160" s="39"/>
      <c r="S160" s="40"/>
      <c r="T160" s="39"/>
      <c r="U160" s="28"/>
      <c r="V160" s="28"/>
    </row>
    <row r="161" customFormat="false" ht="15" hidden="false" customHeight="true" outlineLevel="0" collapsed="false">
      <c r="A161" s="30"/>
      <c r="B161" s="44"/>
      <c r="C161" s="44"/>
      <c r="D161" s="36"/>
      <c r="E161" s="44"/>
      <c r="F161" s="44"/>
      <c r="G161" s="36"/>
      <c r="H161" s="45"/>
      <c r="I161" s="45"/>
      <c r="J161" s="45"/>
      <c r="K161" s="30"/>
      <c r="L161" s="45"/>
      <c r="M161" s="45"/>
      <c r="N161" s="45"/>
      <c r="O161" s="31"/>
      <c r="P161" s="30"/>
      <c r="Q161" s="30"/>
      <c r="R161" s="39"/>
      <c r="S161" s="46"/>
      <c r="T161" s="39"/>
      <c r="U161" s="30"/>
      <c r="V161" s="30"/>
    </row>
    <row r="162" customFormat="false" ht="15" hidden="false" customHeight="true" outlineLevel="0" collapsed="false">
      <c r="A162" s="28"/>
      <c r="B162" s="34"/>
      <c r="C162" s="34"/>
      <c r="D162" s="36"/>
      <c r="E162" s="34"/>
      <c r="F162" s="34"/>
      <c r="G162" s="36"/>
      <c r="H162" s="37"/>
      <c r="I162" s="37"/>
      <c r="J162" s="37"/>
      <c r="K162" s="28"/>
      <c r="L162" s="37"/>
      <c r="M162" s="37"/>
      <c r="N162" s="37"/>
      <c r="O162" s="28"/>
      <c r="P162" s="28"/>
      <c r="Q162" s="28"/>
      <c r="R162" s="39"/>
      <c r="S162" s="40"/>
      <c r="T162" s="39"/>
      <c r="U162" s="28"/>
      <c r="V162" s="28"/>
    </row>
    <row r="163" customFormat="false" ht="15" hidden="false" customHeight="true" outlineLevel="0" collapsed="false">
      <c r="A163" s="30"/>
      <c r="B163" s="44"/>
      <c r="C163" s="44"/>
      <c r="D163" s="36"/>
      <c r="E163" s="44"/>
      <c r="F163" s="44"/>
      <c r="G163" s="36"/>
      <c r="H163" s="45"/>
      <c r="I163" s="45"/>
      <c r="J163" s="45"/>
      <c r="K163" s="30"/>
      <c r="L163" s="45"/>
      <c r="M163" s="45"/>
      <c r="N163" s="45"/>
      <c r="O163" s="31"/>
      <c r="P163" s="30"/>
      <c r="Q163" s="30"/>
      <c r="R163" s="39"/>
      <c r="S163" s="46"/>
      <c r="T163" s="39"/>
      <c r="U163" s="30"/>
      <c r="V163" s="30"/>
    </row>
    <row r="164" customFormat="false" ht="15" hidden="false" customHeight="true" outlineLevel="0" collapsed="false">
      <c r="A164" s="28"/>
      <c r="B164" s="34"/>
      <c r="C164" s="34"/>
      <c r="D164" s="36"/>
      <c r="E164" s="34"/>
      <c r="F164" s="34"/>
      <c r="G164" s="36"/>
      <c r="H164" s="37"/>
      <c r="I164" s="37"/>
      <c r="J164" s="37"/>
      <c r="K164" s="28"/>
      <c r="L164" s="37"/>
      <c r="M164" s="37"/>
      <c r="N164" s="37"/>
      <c r="O164" s="28"/>
      <c r="P164" s="28"/>
      <c r="Q164" s="28"/>
      <c r="R164" s="39"/>
      <c r="S164" s="40"/>
      <c r="T164" s="39"/>
      <c r="U164" s="28"/>
      <c r="V164" s="28"/>
    </row>
    <row r="165" customFormat="false" ht="15" hidden="false" customHeight="true" outlineLevel="0" collapsed="false">
      <c r="A165" s="30"/>
      <c r="B165" s="44"/>
      <c r="C165" s="44"/>
      <c r="D165" s="36"/>
      <c r="E165" s="44"/>
      <c r="F165" s="44"/>
      <c r="G165" s="36"/>
      <c r="H165" s="45"/>
      <c r="I165" s="45"/>
      <c r="J165" s="45"/>
      <c r="K165" s="30"/>
      <c r="L165" s="45"/>
      <c r="M165" s="45"/>
      <c r="N165" s="45"/>
      <c r="O165" s="31"/>
      <c r="P165" s="30"/>
      <c r="Q165" s="30"/>
      <c r="R165" s="39"/>
      <c r="S165" s="46"/>
      <c r="T165" s="39"/>
      <c r="U165" s="30"/>
      <c r="V165" s="30"/>
    </row>
    <row r="166" customFormat="false" ht="15" hidden="false" customHeight="true" outlineLevel="0" collapsed="false">
      <c r="A166" s="28"/>
      <c r="B166" s="34"/>
      <c r="C166" s="34"/>
      <c r="D166" s="36"/>
      <c r="E166" s="34"/>
      <c r="F166" s="34"/>
      <c r="G166" s="36"/>
      <c r="H166" s="37"/>
      <c r="I166" s="37"/>
      <c r="J166" s="37"/>
      <c r="K166" s="28"/>
      <c r="L166" s="37"/>
      <c r="M166" s="37"/>
      <c r="N166" s="37"/>
      <c r="O166" s="28"/>
      <c r="P166" s="28"/>
      <c r="Q166" s="28"/>
      <c r="R166" s="39"/>
      <c r="S166" s="40"/>
      <c r="T166" s="39"/>
      <c r="U166" s="28"/>
      <c r="V166" s="28"/>
    </row>
    <row r="167" customFormat="false" ht="15" hidden="false" customHeight="true" outlineLevel="0" collapsed="false">
      <c r="A167" s="30"/>
      <c r="B167" s="44"/>
      <c r="C167" s="44"/>
      <c r="D167" s="36"/>
      <c r="E167" s="44"/>
      <c r="F167" s="44"/>
      <c r="G167" s="36"/>
      <c r="H167" s="45"/>
      <c r="I167" s="45"/>
      <c r="J167" s="45"/>
      <c r="K167" s="30"/>
      <c r="L167" s="45"/>
      <c r="M167" s="45"/>
      <c r="N167" s="45"/>
      <c r="O167" s="31"/>
      <c r="P167" s="30"/>
      <c r="Q167" s="30"/>
      <c r="R167" s="39"/>
      <c r="S167" s="46"/>
      <c r="T167" s="39"/>
      <c r="U167" s="30"/>
      <c r="V167" s="30"/>
    </row>
    <row r="168" customFormat="false" ht="15" hidden="false" customHeight="true" outlineLevel="0" collapsed="false">
      <c r="A168" s="28"/>
      <c r="B168" s="34"/>
      <c r="C168" s="34"/>
      <c r="D168" s="36"/>
      <c r="E168" s="34"/>
      <c r="F168" s="34"/>
      <c r="G168" s="36"/>
      <c r="H168" s="37"/>
      <c r="I168" s="37"/>
      <c r="J168" s="37"/>
      <c r="K168" s="28"/>
      <c r="L168" s="37"/>
      <c r="M168" s="37"/>
      <c r="N168" s="37"/>
      <c r="O168" s="28"/>
      <c r="P168" s="28"/>
      <c r="Q168" s="28"/>
      <c r="R168" s="39"/>
      <c r="S168" s="40"/>
      <c r="T168" s="39"/>
      <c r="U168" s="28"/>
      <c r="V168" s="28"/>
    </row>
    <row r="169" customFormat="false" ht="15" hidden="false" customHeight="true" outlineLevel="0" collapsed="false">
      <c r="A169" s="30"/>
      <c r="B169" s="44"/>
      <c r="C169" s="44"/>
      <c r="D169" s="36"/>
      <c r="E169" s="44"/>
      <c r="F169" s="44"/>
      <c r="G169" s="36"/>
      <c r="H169" s="45"/>
      <c r="I169" s="45"/>
      <c r="J169" s="45"/>
      <c r="K169" s="30"/>
      <c r="L169" s="45"/>
      <c r="M169" s="45"/>
      <c r="N169" s="45"/>
      <c r="O169" s="31"/>
      <c r="P169" s="30"/>
      <c r="Q169" s="30"/>
      <c r="R169" s="39"/>
      <c r="S169" s="46"/>
      <c r="T169" s="39"/>
      <c r="U169" s="30"/>
      <c r="V169" s="30"/>
    </row>
    <row r="170" customFormat="false" ht="15" hidden="false" customHeight="true" outlineLevel="0" collapsed="false">
      <c r="A170" s="28"/>
      <c r="B170" s="34"/>
      <c r="C170" s="34"/>
      <c r="D170" s="36"/>
      <c r="E170" s="34"/>
      <c r="F170" s="34"/>
      <c r="G170" s="36"/>
      <c r="H170" s="37"/>
      <c r="I170" s="37"/>
      <c r="J170" s="37"/>
      <c r="K170" s="28"/>
      <c r="L170" s="37"/>
      <c r="M170" s="37"/>
      <c r="N170" s="37"/>
      <c r="O170" s="28"/>
      <c r="P170" s="28"/>
      <c r="Q170" s="28"/>
      <c r="R170" s="39"/>
      <c r="S170" s="40"/>
      <c r="T170" s="39"/>
      <c r="U170" s="28"/>
      <c r="V170" s="28"/>
    </row>
    <row r="171" customFormat="false" ht="15" hidden="false" customHeight="true" outlineLevel="0" collapsed="false">
      <c r="A171" s="30"/>
      <c r="B171" s="44"/>
      <c r="C171" s="44"/>
      <c r="D171" s="36"/>
      <c r="E171" s="44"/>
      <c r="F171" s="44"/>
      <c r="G171" s="36"/>
      <c r="H171" s="45"/>
      <c r="I171" s="45"/>
      <c r="J171" s="45"/>
      <c r="K171" s="30"/>
      <c r="L171" s="45"/>
      <c r="M171" s="45"/>
      <c r="N171" s="45"/>
      <c r="O171" s="31"/>
      <c r="P171" s="30"/>
      <c r="Q171" s="30"/>
      <c r="R171" s="39"/>
      <c r="S171" s="46"/>
      <c r="T171" s="39"/>
      <c r="U171" s="30"/>
      <c r="V171" s="30"/>
    </row>
    <row r="172" customFormat="false" ht="15" hidden="false" customHeight="true" outlineLevel="0" collapsed="false">
      <c r="A172" s="28"/>
      <c r="B172" s="34"/>
      <c r="C172" s="34"/>
      <c r="D172" s="36"/>
      <c r="E172" s="34"/>
      <c r="F172" s="34"/>
      <c r="G172" s="36"/>
      <c r="H172" s="37"/>
      <c r="I172" s="37"/>
      <c r="J172" s="37"/>
      <c r="K172" s="28"/>
      <c r="L172" s="37"/>
      <c r="M172" s="37"/>
      <c r="N172" s="37"/>
      <c r="O172" s="28"/>
      <c r="P172" s="28"/>
      <c r="Q172" s="28"/>
      <c r="R172" s="39"/>
      <c r="S172" s="40"/>
      <c r="T172" s="39"/>
      <c r="U172" s="28"/>
      <c r="V172" s="28"/>
    </row>
    <row r="173" customFormat="false" ht="15" hidden="false" customHeight="true" outlineLevel="0" collapsed="false">
      <c r="A173" s="30"/>
      <c r="B173" s="44"/>
      <c r="C173" s="44"/>
      <c r="D173" s="36"/>
      <c r="E173" s="44"/>
      <c r="F173" s="44"/>
      <c r="G173" s="36"/>
      <c r="H173" s="45"/>
      <c r="I173" s="45"/>
      <c r="J173" s="45"/>
      <c r="K173" s="30"/>
      <c r="L173" s="45"/>
      <c r="M173" s="45"/>
      <c r="N173" s="45"/>
      <c r="O173" s="31"/>
      <c r="P173" s="30"/>
      <c r="Q173" s="30"/>
      <c r="R173" s="39"/>
      <c r="S173" s="46"/>
      <c r="T173" s="39"/>
      <c r="U173" s="30"/>
      <c r="V173" s="30"/>
    </row>
    <row r="174" customFormat="false" ht="15" hidden="false" customHeight="true" outlineLevel="0" collapsed="false">
      <c r="A174" s="28"/>
      <c r="B174" s="34"/>
      <c r="C174" s="34"/>
      <c r="D174" s="36"/>
      <c r="E174" s="34"/>
      <c r="F174" s="34"/>
      <c r="G174" s="36"/>
      <c r="H174" s="37"/>
      <c r="I174" s="37"/>
      <c r="J174" s="37"/>
      <c r="K174" s="28"/>
      <c r="L174" s="37"/>
      <c r="M174" s="37"/>
      <c r="N174" s="37"/>
      <c r="O174" s="28"/>
      <c r="P174" s="28"/>
      <c r="Q174" s="28"/>
      <c r="R174" s="39"/>
      <c r="S174" s="40"/>
      <c r="T174" s="39"/>
      <c r="U174" s="28"/>
      <c r="V174" s="28"/>
    </row>
    <row r="175" customFormat="false" ht="15" hidden="false" customHeight="true" outlineLevel="0" collapsed="false">
      <c r="A175" s="30"/>
      <c r="B175" s="44"/>
      <c r="C175" s="44"/>
      <c r="D175" s="36"/>
      <c r="E175" s="44"/>
      <c r="F175" s="44"/>
      <c r="G175" s="36"/>
      <c r="H175" s="45"/>
      <c r="I175" s="45"/>
      <c r="J175" s="45"/>
      <c r="K175" s="30"/>
      <c r="L175" s="45"/>
      <c r="M175" s="45"/>
      <c r="N175" s="45"/>
      <c r="O175" s="31"/>
      <c r="P175" s="30"/>
      <c r="Q175" s="30"/>
      <c r="R175" s="39"/>
      <c r="S175" s="46"/>
      <c r="T175" s="39"/>
      <c r="U175" s="30"/>
      <c r="V175" s="30"/>
    </row>
    <row r="176" customFormat="false" ht="15" hidden="false" customHeight="true" outlineLevel="0" collapsed="false">
      <c r="A176" s="28"/>
      <c r="B176" s="34"/>
      <c r="C176" s="34"/>
      <c r="D176" s="36"/>
      <c r="E176" s="34"/>
      <c r="F176" s="34"/>
      <c r="G176" s="36"/>
      <c r="H176" s="37"/>
      <c r="I176" s="37"/>
      <c r="J176" s="37"/>
      <c r="K176" s="28"/>
      <c r="L176" s="37"/>
      <c r="M176" s="37"/>
      <c r="N176" s="37"/>
      <c r="O176" s="28"/>
      <c r="P176" s="28"/>
      <c r="Q176" s="28"/>
      <c r="R176" s="39"/>
      <c r="S176" s="40"/>
      <c r="T176" s="39"/>
      <c r="U176" s="28"/>
      <c r="V176" s="28"/>
    </row>
    <row r="177" customFormat="false" ht="15" hidden="false" customHeight="true" outlineLevel="0" collapsed="false">
      <c r="A177" s="30"/>
      <c r="B177" s="44"/>
      <c r="C177" s="44"/>
      <c r="D177" s="36"/>
      <c r="E177" s="44"/>
      <c r="F177" s="44"/>
      <c r="G177" s="36"/>
      <c r="H177" s="45"/>
      <c r="I177" s="45"/>
      <c r="J177" s="45"/>
      <c r="K177" s="30"/>
      <c r="L177" s="45"/>
      <c r="M177" s="45"/>
      <c r="N177" s="45"/>
      <c r="O177" s="31"/>
      <c r="P177" s="30"/>
      <c r="Q177" s="30"/>
      <c r="R177" s="39"/>
      <c r="S177" s="46"/>
      <c r="T177" s="39"/>
      <c r="U177" s="30"/>
      <c r="V177" s="30"/>
    </row>
    <row r="178" customFormat="false" ht="15" hidden="false" customHeight="true" outlineLevel="0" collapsed="false">
      <c r="A178" s="28"/>
      <c r="B178" s="34"/>
      <c r="C178" s="34"/>
      <c r="D178" s="36"/>
      <c r="E178" s="34"/>
      <c r="F178" s="34"/>
      <c r="G178" s="36"/>
      <c r="H178" s="37"/>
      <c r="I178" s="37"/>
      <c r="J178" s="37"/>
      <c r="K178" s="28"/>
      <c r="L178" s="37"/>
      <c r="M178" s="37"/>
      <c r="N178" s="37"/>
      <c r="O178" s="28"/>
      <c r="P178" s="28"/>
      <c r="Q178" s="28"/>
      <c r="R178" s="39"/>
      <c r="S178" s="40"/>
      <c r="T178" s="39"/>
      <c r="U178" s="28"/>
      <c r="V178" s="28"/>
    </row>
    <row r="179" customFormat="false" ht="15" hidden="false" customHeight="true" outlineLevel="0" collapsed="false">
      <c r="A179" s="30"/>
      <c r="B179" s="44"/>
      <c r="C179" s="44"/>
      <c r="D179" s="36"/>
      <c r="E179" s="44"/>
      <c r="F179" s="44"/>
      <c r="G179" s="36"/>
      <c r="H179" s="45"/>
      <c r="I179" s="45"/>
      <c r="J179" s="45"/>
      <c r="K179" s="30"/>
      <c r="L179" s="45"/>
      <c r="M179" s="45"/>
      <c r="N179" s="45"/>
      <c r="O179" s="31"/>
      <c r="P179" s="30"/>
      <c r="Q179" s="30"/>
      <c r="R179" s="39"/>
      <c r="S179" s="46"/>
      <c r="T179" s="39"/>
      <c r="U179" s="30"/>
      <c r="V179" s="30"/>
    </row>
    <row r="180" customFormat="false" ht="15" hidden="false" customHeight="true" outlineLevel="0" collapsed="false">
      <c r="A180" s="28"/>
      <c r="B180" s="34"/>
      <c r="C180" s="34"/>
      <c r="D180" s="36"/>
      <c r="E180" s="34"/>
      <c r="F180" s="34"/>
      <c r="G180" s="36"/>
      <c r="H180" s="37"/>
      <c r="I180" s="37"/>
      <c r="J180" s="37"/>
      <c r="K180" s="28"/>
      <c r="L180" s="37"/>
      <c r="M180" s="37"/>
      <c r="N180" s="37"/>
      <c r="O180" s="28"/>
      <c r="P180" s="28"/>
      <c r="Q180" s="28"/>
      <c r="R180" s="39"/>
      <c r="S180" s="40"/>
      <c r="T180" s="39"/>
      <c r="U180" s="28"/>
      <c r="V180" s="28"/>
    </row>
    <row r="181" customFormat="false" ht="15" hidden="false" customHeight="true" outlineLevel="0" collapsed="false">
      <c r="A181" s="30"/>
      <c r="B181" s="44"/>
      <c r="C181" s="44"/>
      <c r="D181" s="36"/>
      <c r="E181" s="44"/>
      <c r="F181" s="44"/>
      <c r="G181" s="36"/>
      <c r="H181" s="45"/>
      <c r="I181" s="45"/>
      <c r="J181" s="45"/>
      <c r="K181" s="30"/>
      <c r="L181" s="45"/>
      <c r="M181" s="45"/>
      <c r="N181" s="45"/>
      <c r="O181" s="31"/>
      <c r="P181" s="30"/>
      <c r="Q181" s="30"/>
      <c r="R181" s="39"/>
      <c r="S181" s="46"/>
      <c r="T181" s="39"/>
      <c r="U181" s="30"/>
      <c r="V181" s="30"/>
    </row>
    <row r="182" customFormat="false" ht="15" hidden="false" customHeight="true" outlineLevel="0" collapsed="false">
      <c r="A182" s="28"/>
      <c r="B182" s="34"/>
      <c r="C182" s="34"/>
      <c r="D182" s="36"/>
      <c r="E182" s="34"/>
      <c r="F182" s="34"/>
      <c r="G182" s="36"/>
      <c r="H182" s="37"/>
      <c r="I182" s="37"/>
      <c r="J182" s="37"/>
      <c r="K182" s="28"/>
      <c r="L182" s="37"/>
      <c r="M182" s="37"/>
      <c r="N182" s="37"/>
      <c r="O182" s="28"/>
      <c r="P182" s="28"/>
      <c r="Q182" s="28"/>
      <c r="R182" s="39"/>
      <c r="S182" s="40"/>
      <c r="T182" s="39"/>
      <c r="U182" s="28"/>
      <c r="V182" s="28"/>
    </row>
    <row r="183" customFormat="false" ht="15" hidden="false" customHeight="true" outlineLevel="0" collapsed="false">
      <c r="A183" s="30"/>
      <c r="B183" s="44"/>
      <c r="C183" s="44"/>
      <c r="D183" s="36"/>
      <c r="E183" s="44"/>
      <c r="F183" s="44"/>
      <c r="G183" s="36"/>
      <c r="H183" s="45"/>
      <c r="I183" s="45"/>
      <c r="J183" s="45"/>
      <c r="K183" s="30"/>
      <c r="L183" s="45"/>
      <c r="M183" s="45"/>
      <c r="N183" s="45"/>
      <c r="O183" s="31"/>
      <c r="P183" s="30"/>
      <c r="Q183" s="30"/>
      <c r="R183" s="39"/>
      <c r="S183" s="46"/>
      <c r="T183" s="39"/>
      <c r="U183" s="30"/>
      <c r="V183" s="30"/>
    </row>
    <row r="184" customFormat="false" ht="15" hidden="false" customHeight="true" outlineLevel="0" collapsed="false">
      <c r="A184" s="28"/>
      <c r="B184" s="34"/>
      <c r="C184" s="34"/>
      <c r="D184" s="36"/>
      <c r="E184" s="34"/>
      <c r="F184" s="34"/>
      <c r="G184" s="36"/>
      <c r="H184" s="37"/>
      <c r="I184" s="37"/>
      <c r="J184" s="37"/>
      <c r="K184" s="28"/>
      <c r="L184" s="37"/>
      <c r="M184" s="37"/>
      <c r="N184" s="37"/>
      <c r="O184" s="28"/>
      <c r="P184" s="28"/>
      <c r="Q184" s="28"/>
      <c r="R184" s="39"/>
      <c r="S184" s="40"/>
      <c r="T184" s="39"/>
      <c r="U184" s="28"/>
      <c r="V184" s="28"/>
    </row>
    <row r="185" customFormat="false" ht="15" hidden="false" customHeight="true" outlineLevel="0" collapsed="false">
      <c r="A185" s="30"/>
      <c r="B185" s="44"/>
      <c r="C185" s="44"/>
      <c r="D185" s="36"/>
      <c r="E185" s="44"/>
      <c r="F185" s="44"/>
      <c r="G185" s="36"/>
      <c r="H185" s="45"/>
      <c r="I185" s="45"/>
      <c r="J185" s="45"/>
      <c r="K185" s="30"/>
      <c r="L185" s="45"/>
      <c r="M185" s="45"/>
      <c r="N185" s="45"/>
      <c r="O185" s="31"/>
      <c r="P185" s="30"/>
      <c r="Q185" s="30"/>
      <c r="R185" s="39"/>
      <c r="S185" s="46"/>
      <c r="T185" s="39"/>
      <c r="U185" s="30"/>
      <c r="V185" s="30"/>
    </row>
    <row r="186" customFormat="false" ht="15" hidden="false" customHeight="true" outlineLevel="0" collapsed="false">
      <c r="A186" s="28"/>
      <c r="B186" s="34"/>
      <c r="C186" s="34"/>
      <c r="D186" s="36"/>
      <c r="E186" s="34"/>
      <c r="F186" s="34"/>
      <c r="G186" s="36"/>
      <c r="H186" s="37"/>
      <c r="I186" s="37"/>
      <c r="J186" s="37"/>
      <c r="K186" s="28"/>
      <c r="L186" s="37"/>
      <c r="M186" s="37"/>
      <c r="N186" s="37"/>
      <c r="O186" s="28"/>
      <c r="P186" s="28"/>
      <c r="Q186" s="28"/>
      <c r="R186" s="39"/>
      <c r="S186" s="40"/>
      <c r="T186" s="39"/>
      <c r="U186" s="28"/>
      <c r="V186" s="28"/>
    </row>
    <row r="187" customFormat="false" ht="15" hidden="false" customHeight="true" outlineLevel="0" collapsed="false">
      <c r="A187" s="30"/>
      <c r="B187" s="44"/>
      <c r="C187" s="44"/>
      <c r="D187" s="36"/>
      <c r="E187" s="44"/>
      <c r="F187" s="44"/>
      <c r="G187" s="36"/>
      <c r="H187" s="45"/>
      <c r="I187" s="45"/>
      <c r="J187" s="45"/>
      <c r="K187" s="30"/>
      <c r="L187" s="45"/>
      <c r="M187" s="45"/>
      <c r="N187" s="45"/>
      <c r="O187" s="31"/>
      <c r="P187" s="30"/>
      <c r="Q187" s="30"/>
      <c r="R187" s="39"/>
      <c r="S187" s="46"/>
      <c r="T187" s="39"/>
      <c r="U187" s="30"/>
      <c r="V187" s="30"/>
    </row>
    <row r="188" customFormat="false" ht="15" hidden="false" customHeight="true" outlineLevel="0" collapsed="false">
      <c r="A188" s="28"/>
      <c r="B188" s="34"/>
      <c r="C188" s="34"/>
      <c r="D188" s="36"/>
      <c r="E188" s="34"/>
      <c r="F188" s="34"/>
      <c r="G188" s="36"/>
      <c r="H188" s="37"/>
      <c r="I188" s="37"/>
      <c r="J188" s="37"/>
      <c r="K188" s="28"/>
      <c r="L188" s="37"/>
      <c r="M188" s="37"/>
      <c r="N188" s="37"/>
      <c r="O188" s="28"/>
      <c r="P188" s="28"/>
      <c r="Q188" s="28"/>
      <c r="R188" s="39"/>
      <c r="S188" s="40"/>
      <c r="T188" s="39"/>
      <c r="U188" s="28"/>
      <c r="V188" s="28"/>
    </row>
    <row r="189" customFormat="false" ht="15" hidden="false" customHeight="true" outlineLevel="0" collapsed="false">
      <c r="A189" s="30"/>
      <c r="B189" s="44"/>
      <c r="C189" s="44"/>
      <c r="D189" s="36"/>
      <c r="E189" s="44"/>
      <c r="F189" s="44"/>
      <c r="G189" s="36"/>
      <c r="H189" s="45"/>
      <c r="I189" s="45"/>
      <c r="J189" s="45"/>
      <c r="K189" s="30"/>
      <c r="L189" s="45"/>
      <c r="M189" s="45"/>
      <c r="N189" s="45"/>
      <c r="O189" s="31"/>
      <c r="P189" s="30"/>
      <c r="Q189" s="30"/>
      <c r="R189" s="39"/>
      <c r="S189" s="46"/>
      <c r="T189" s="39"/>
      <c r="U189" s="30"/>
      <c r="V189" s="30"/>
    </row>
    <row r="190" customFormat="false" ht="15" hidden="false" customHeight="true" outlineLevel="0" collapsed="false">
      <c r="A190" s="28"/>
      <c r="B190" s="34"/>
      <c r="C190" s="34"/>
      <c r="D190" s="36"/>
      <c r="E190" s="34"/>
      <c r="F190" s="34"/>
      <c r="G190" s="36"/>
      <c r="H190" s="37"/>
      <c r="I190" s="37"/>
      <c r="J190" s="37"/>
      <c r="K190" s="28"/>
      <c r="L190" s="37"/>
      <c r="M190" s="37"/>
      <c r="N190" s="37"/>
      <c r="O190" s="28"/>
      <c r="P190" s="28"/>
      <c r="Q190" s="28"/>
      <c r="R190" s="39"/>
      <c r="S190" s="40"/>
      <c r="T190" s="39"/>
      <c r="U190" s="28"/>
      <c r="V190" s="28"/>
    </row>
    <row r="191" customFormat="false" ht="15" hidden="false" customHeight="true" outlineLevel="0" collapsed="false">
      <c r="A191" s="30"/>
      <c r="B191" s="44"/>
      <c r="C191" s="44"/>
      <c r="D191" s="36"/>
      <c r="E191" s="44"/>
      <c r="F191" s="44"/>
      <c r="G191" s="36"/>
      <c r="H191" s="45"/>
      <c r="I191" s="45"/>
      <c r="J191" s="45"/>
      <c r="K191" s="30"/>
      <c r="L191" s="45"/>
      <c r="M191" s="45"/>
      <c r="N191" s="45"/>
      <c r="O191" s="31"/>
      <c r="P191" s="30"/>
      <c r="Q191" s="30"/>
      <c r="R191" s="39"/>
      <c r="S191" s="46"/>
      <c r="T191" s="39"/>
      <c r="U191" s="30"/>
      <c r="V191" s="30"/>
    </row>
    <row r="192" customFormat="false" ht="15" hidden="false" customHeight="true" outlineLevel="0" collapsed="false">
      <c r="A192" s="28"/>
      <c r="B192" s="34"/>
      <c r="C192" s="34"/>
      <c r="D192" s="36"/>
      <c r="E192" s="34"/>
      <c r="F192" s="34"/>
      <c r="G192" s="36"/>
      <c r="H192" s="37"/>
      <c r="I192" s="37"/>
      <c r="J192" s="37"/>
      <c r="K192" s="28"/>
      <c r="L192" s="37"/>
      <c r="M192" s="37"/>
      <c r="N192" s="37"/>
      <c r="O192" s="28"/>
      <c r="P192" s="28"/>
      <c r="Q192" s="28"/>
      <c r="R192" s="39"/>
      <c r="S192" s="40"/>
      <c r="T192" s="39"/>
      <c r="U192" s="28"/>
      <c r="V192" s="28"/>
    </row>
    <row r="193" customFormat="false" ht="15" hidden="false" customHeight="true" outlineLevel="0" collapsed="false">
      <c r="A193" s="30"/>
      <c r="B193" s="44"/>
      <c r="C193" s="44"/>
      <c r="D193" s="36"/>
      <c r="E193" s="44"/>
      <c r="F193" s="44"/>
      <c r="G193" s="36"/>
      <c r="H193" s="45"/>
      <c r="I193" s="45"/>
      <c r="J193" s="45"/>
      <c r="K193" s="30"/>
      <c r="L193" s="45"/>
      <c r="M193" s="45"/>
      <c r="N193" s="45"/>
      <c r="O193" s="31"/>
      <c r="P193" s="30"/>
      <c r="Q193" s="30"/>
      <c r="R193" s="39"/>
      <c r="S193" s="46"/>
      <c r="T193" s="39"/>
      <c r="U193" s="30"/>
      <c r="V193" s="30"/>
    </row>
    <row r="194" customFormat="false" ht="15" hidden="false" customHeight="true" outlineLevel="0" collapsed="false">
      <c r="A194" s="28"/>
      <c r="B194" s="34"/>
      <c r="C194" s="34"/>
      <c r="D194" s="36"/>
      <c r="E194" s="34"/>
      <c r="F194" s="34"/>
      <c r="G194" s="36"/>
      <c r="H194" s="37"/>
      <c r="I194" s="37"/>
      <c r="J194" s="37"/>
      <c r="K194" s="28"/>
      <c r="L194" s="37"/>
      <c r="M194" s="37"/>
      <c r="N194" s="37"/>
      <c r="O194" s="28"/>
      <c r="P194" s="28"/>
      <c r="Q194" s="28"/>
      <c r="R194" s="39"/>
      <c r="S194" s="40"/>
      <c r="T194" s="39"/>
      <c r="U194" s="28"/>
      <c r="V194" s="28"/>
    </row>
    <row r="195" customFormat="false" ht="15" hidden="false" customHeight="true" outlineLevel="0" collapsed="false">
      <c r="A195" s="30"/>
      <c r="B195" s="44"/>
      <c r="C195" s="44"/>
      <c r="D195" s="36"/>
      <c r="E195" s="44"/>
      <c r="F195" s="44"/>
      <c r="G195" s="36"/>
      <c r="H195" s="45"/>
      <c r="I195" s="45"/>
      <c r="J195" s="45"/>
      <c r="K195" s="30"/>
      <c r="L195" s="45"/>
      <c r="M195" s="45"/>
      <c r="N195" s="45"/>
      <c r="O195" s="31"/>
      <c r="P195" s="30"/>
      <c r="Q195" s="30"/>
      <c r="R195" s="39"/>
      <c r="S195" s="46"/>
      <c r="T195" s="39"/>
      <c r="U195" s="30"/>
      <c r="V195" s="30"/>
    </row>
    <row r="196" customFormat="false" ht="15" hidden="false" customHeight="true" outlineLevel="0" collapsed="false">
      <c r="A196" s="28"/>
      <c r="B196" s="34"/>
      <c r="C196" s="34"/>
      <c r="D196" s="36"/>
      <c r="E196" s="34"/>
      <c r="F196" s="34"/>
      <c r="G196" s="36"/>
      <c r="H196" s="37"/>
      <c r="I196" s="37"/>
      <c r="J196" s="37"/>
      <c r="K196" s="28"/>
      <c r="L196" s="37"/>
      <c r="M196" s="37"/>
      <c r="N196" s="37"/>
      <c r="O196" s="28"/>
      <c r="P196" s="28"/>
      <c r="Q196" s="28"/>
      <c r="R196" s="39"/>
      <c r="S196" s="40"/>
      <c r="T196" s="39"/>
      <c r="U196" s="28"/>
      <c r="V196" s="28"/>
    </row>
    <row r="197" customFormat="false" ht="15" hidden="false" customHeight="true" outlineLevel="0" collapsed="false">
      <c r="A197" s="30"/>
      <c r="B197" s="44"/>
      <c r="C197" s="44"/>
      <c r="D197" s="36"/>
      <c r="E197" s="44"/>
      <c r="F197" s="44"/>
      <c r="G197" s="36"/>
      <c r="H197" s="45"/>
      <c r="I197" s="45"/>
      <c r="J197" s="45"/>
      <c r="K197" s="30"/>
      <c r="L197" s="45"/>
      <c r="M197" s="45"/>
      <c r="N197" s="45"/>
      <c r="O197" s="31"/>
      <c r="P197" s="30"/>
      <c r="Q197" s="30"/>
      <c r="R197" s="39"/>
      <c r="S197" s="46"/>
      <c r="T197" s="39"/>
      <c r="U197" s="30"/>
      <c r="V197" s="30"/>
    </row>
    <row r="198" customFormat="false" ht="15" hidden="false" customHeight="true" outlineLevel="0" collapsed="false">
      <c r="A198" s="28"/>
      <c r="B198" s="34"/>
      <c r="C198" s="34"/>
      <c r="D198" s="36"/>
      <c r="E198" s="34"/>
      <c r="F198" s="34"/>
      <c r="G198" s="36"/>
      <c r="H198" s="37"/>
      <c r="I198" s="37"/>
      <c r="J198" s="37"/>
      <c r="K198" s="28"/>
      <c r="L198" s="37"/>
      <c r="M198" s="37"/>
      <c r="N198" s="37"/>
      <c r="O198" s="28"/>
      <c r="P198" s="28"/>
      <c r="Q198" s="28"/>
      <c r="R198" s="39"/>
      <c r="S198" s="40"/>
      <c r="T198" s="39"/>
      <c r="U198" s="28"/>
      <c r="V198" s="28"/>
    </row>
    <row r="199" customFormat="false" ht="15" hidden="false" customHeight="true" outlineLevel="0" collapsed="false">
      <c r="A199" s="30"/>
      <c r="B199" s="44"/>
      <c r="C199" s="44"/>
      <c r="D199" s="36"/>
      <c r="E199" s="44"/>
      <c r="F199" s="44"/>
      <c r="G199" s="36"/>
      <c r="H199" s="45"/>
      <c r="I199" s="45"/>
      <c r="J199" s="45"/>
      <c r="K199" s="30"/>
      <c r="L199" s="45"/>
      <c r="M199" s="45"/>
      <c r="N199" s="45"/>
      <c r="O199" s="31"/>
      <c r="P199" s="30"/>
      <c r="Q199" s="30"/>
      <c r="R199" s="39"/>
      <c r="S199" s="46"/>
      <c r="T199" s="39"/>
      <c r="U199" s="30"/>
      <c r="V199" s="30"/>
    </row>
    <row r="200" customFormat="false" ht="15" hidden="false" customHeight="true" outlineLevel="0" collapsed="false">
      <c r="A200" s="28"/>
      <c r="B200" s="34"/>
      <c r="C200" s="34"/>
      <c r="D200" s="36"/>
      <c r="E200" s="34"/>
      <c r="F200" s="34"/>
      <c r="G200" s="36"/>
      <c r="H200" s="37"/>
      <c r="I200" s="37"/>
      <c r="J200" s="37"/>
      <c r="K200" s="28"/>
      <c r="L200" s="37"/>
      <c r="M200" s="37"/>
      <c r="N200" s="37"/>
      <c r="O200" s="28"/>
      <c r="P200" s="28"/>
      <c r="Q200" s="28"/>
      <c r="R200" s="39"/>
      <c r="S200" s="40"/>
      <c r="T200" s="39"/>
      <c r="U200" s="28"/>
      <c r="V200" s="28"/>
    </row>
    <row r="201" customFormat="false" ht="15" hidden="false" customHeight="true" outlineLevel="0" collapsed="false">
      <c r="A201" s="30"/>
      <c r="B201" s="44"/>
      <c r="C201" s="44"/>
      <c r="D201" s="36"/>
      <c r="E201" s="44"/>
      <c r="F201" s="44"/>
      <c r="G201" s="36"/>
      <c r="H201" s="45"/>
      <c r="I201" s="45"/>
      <c r="J201" s="45"/>
      <c r="K201" s="30"/>
      <c r="L201" s="45"/>
      <c r="M201" s="45"/>
      <c r="N201" s="45"/>
      <c r="O201" s="31"/>
      <c r="P201" s="30"/>
      <c r="Q201" s="30"/>
      <c r="R201" s="39"/>
      <c r="S201" s="46"/>
      <c r="T201" s="39"/>
      <c r="U201" s="30"/>
      <c r="V201" s="30"/>
    </row>
  </sheetData>
  <sheetProtection sheet="true" password="c42e"/>
  <autoFilter ref="A1:V201"/>
  <conditionalFormatting sqref="R2:R201">
    <cfRule type="expression" priority="2" aboveAverage="0" equalAverage="0" bottom="0" percent="0" rank="0" text="" dxfId="9">
      <formula>R2="是"</formula>
    </cfRule>
    <cfRule type="expression" priority="3" aboveAverage="0" equalAverage="0" bottom="0" percent="0" rank="0" text="" dxfId="10">
      <formula>R2="否"</formula>
    </cfRule>
  </conditionalFormatting>
  <conditionalFormatting sqref="T2:T201">
    <cfRule type="expression" priority="4" aboveAverage="0" equalAverage="0" bottom="0" percent="0" rank="0" text="" dxfId="9">
      <formula>T2="是"</formula>
    </cfRule>
    <cfRule type="expression" priority="5" aboveAverage="0" equalAverage="0" bottom="0" percent="0" rank="0" text="" dxfId="10">
      <formula>T2="否"</formula>
    </cfRule>
  </conditionalFormatting>
  <conditionalFormatting sqref="G2:G201">
    <cfRule type="cellIs" priority="6" operator="lessThan" aboveAverage="0" equalAverage="0" bottom="0" percent="0" rank="0" text="" dxfId="18">
      <formula>-0.05</formula>
    </cfRule>
  </conditionalFormatting>
  <dataValidations count="3">
    <dataValidation allowBlank="true" errorStyle="stop" operator="between" showDropDown="false" showErrorMessage="false" showInputMessage="false" sqref="T2:T201" type="list">
      <formula1>"是,否"</formula1>
      <formula2>0</formula2>
    </dataValidation>
    <dataValidation allowBlank="true" errorStyle="stop" operator="between" showDropDown="false" showErrorMessage="false" showInputMessage="false" sqref="O2:O201" type="list">
      <formula1>"强,中性,弱"</formula1>
      <formula2>0</formula2>
    </dataValidation>
    <dataValidation allowBlank="true" errorStyle="stop" operator="between" showDropDown="false" showErrorMessage="false" showInputMessage="false" sqref="R2:R20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7" min="4" style="1" width="10"/>
    <col collapsed="false" customWidth="true" hidden="false" outlineLevel="0" max="9" min="8" style="1" width="12"/>
    <col collapsed="false" customWidth="true" hidden="false" outlineLevel="0" max="12" min="10" style="1" width="14"/>
    <col collapsed="false" customWidth="true" hidden="false" outlineLevel="0" max="13" min="13" style="1" width="12"/>
  </cols>
  <sheetData>
    <row r="1" customFormat="false" ht="15" hidden="false" customHeight="true" outlineLevel="0" collapsed="false">
      <c r="A1" s="33" t="s">
        <v>271</v>
      </c>
      <c r="B1" s="33" t="s">
        <v>346</v>
      </c>
      <c r="C1" s="33" t="s">
        <v>345</v>
      </c>
      <c r="D1" s="63" t="s">
        <v>915</v>
      </c>
      <c r="E1" s="63" t="s">
        <v>360</v>
      </c>
      <c r="F1" s="63" t="s">
        <v>361</v>
      </c>
      <c r="G1" s="63" t="s">
        <v>916</v>
      </c>
      <c r="H1" s="33" t="s">
        <v>917</v>
      </c>
      <c r="I1" s="33" t="s">
        <v>427</v>
      </c>
      <c r="J1" s="33" t="s">
        <v>918</v>
      </c>
      <c r="K1" s="33" t="s">
        <v>919</v>
      </c>
      <c r="L1" s="33" t="s">
        <v>443</v>
      </c>
      <c r="M1" s="33" t="s">
        <v>920</v>
      </c>
    </row>
    <row r="2" customFormat="false" ht="15" hidden="false" customHeight="true" outlineLevel="0" collapsed="false">
      <c r="A2" s="55" t="n">
        <v>46229</v>
      </c>
      <c r="B2" s="1" t="s">
        <v>921</v>
      </c>
      <c r="C2" s="32" t="s">
        <v>922</v>
      </c>
      <c r="D2" s="1" t="n">
        <v>23.98</v>
      </c>
      <c r="E2" s="1" t="n">
        <v>0.18020228134431</v>
      </c>
      <c r="F2" s="1" t="n">
        <v>0.942257901343378</v>
      </c>
      <c r="G2" s="32" t="s">
        <v>923</v>
      </c>
      <c r="H2" s="1" t="n">
        <v>100</v>
      </c>
      <c r="I2" s="1" t="n">
        <v>0</v>
      </c>
      <c r="J2" s="1" t="str">
        <f aca="false">IFERROR(INDEX($G$2:$G2,MATCH(1,($B$2:$B2=B2)*($A$2:$A2&lt;A2),0)),"")</f>
        <v/>
      </c>
      <c r="K2" s="1" t="n">
        <f aca="false">IF(AND(J2="观察池",G2="核心池"),1,0)</f>
        <v>0</v>
      </c>
      <c r="L2" s="1" t="n">
        <f aca="false">IF(G2&lt;&gt;"核心池",0,IF(J2="核心池",L2+1,1))</f>
        <v>1</v>
      </c>
      <c r="M2" s="1" t="str">
        <f aca="false">IF(L2&gt;=3,"信号强化",IF(K2=1,"观察转核心",""))</f>
        <v/>
      </c>
    </row>
    <row r="3" customFormat="false" ht="15" hidden="false" customHeight="true" outlineLevel="0" collapsed="false">
      <c r="A3" s="55" t="n">
        <v>46229</v>
      </c>
      <c r="B3" s="1" t="s">
        <v>924</v>
      </c>
      <c r="C3" s="32" t="s">
        <v>925</v>
      </c>
      <c r="D3" s="1" t="n">
        <v>3.1</v>
      </c>
      <c r="E3" s="1" t="n">
        <v>0.0219614970942553</v>
      </c>
      <c r="F3" s="1" t="n">
        <v>0.937046817900879</v>
      </c>
      <c r="G3" s="32" t="s">
        <v>923</v>
      </c>
      <c r="H3" s="1" t="n">
        <v>300</v>
      </c>
      <c r="I3" s="1" t="n">
        <v>0</v>
      </c>
      <c r="J3" s="1" t="str">
        <f aca="false">IFERROR(INDEX($G$2:$G3,MATCH(1,($B$2:$B3=B3)*($A$2:$A3&lt;A3),0)),"")</f>
        <v/>
      </c>
      <c r="K3" s="1" t="n">
        <f aca="false">IF(AND(J3="观察池",G3="核心池"),1,0)</f>
        <v>0</v>
      </c>
      <c r="L3" s="1" t="n">
        <f aca="false">IF(G3&lt;&gt;"核心池",0,IF(J3="核心池",L3+1,1))</f>
        <v>1</v>
      </c>
      <c r="M3" s="1" t="str">
        <f aca="false">IF(L3&gt;=3,"信号强化",IF(K3=1,"观察转核心",""))</f>
        <v/>
      </c>
    </row>
    <row r="4" customFormat="false" ht="15" hidden="false" customHeight="true" outlineLevel="0" collapsed="false">
      <c r="A4" s="55" t="n">
        <v>46229</v>
      </c>
      <c r="B4" s="1" t="s">
        <v>513</v>
      </c>
      <c r="C4" s="32" t="s">
        <v>512</v>
      </c>
      <c r="D4" s="1" t="n">
        <v>18.74</v>
      </c>
      <c r="E4" s="1" t="n">
        <v>0.0722104792657035</v>
      </c>
      <c r="F4" s="1" t="n">
        <v>0.933669096017595</v>
      </c>
      <c r="G4" s="32" t="s">
        <v>923</v>
      </c>
      <c r="H4" s="1" t="n">
        <v>100</v>
      </c>
      <c r="I4" s="1" t="n">
        <v>0</v>
      </c>
      <c r="J4" s="1" t="str">
        <f aca="false">IFERROR(INDEX($G$2:$G4,MATCH(1,($B$2:$B4=B4)*($A$2:$A4&lt;A4),0)),"")</f>
        <v/>
      </c>
      <c r="K4" s="1" t="n">
        <f aca="false">IF(AND(J4="观察池",G4="核心池"),1,0)</f>
        <v>0</v>
      </c>
      <c r="L4" s="1" t="n">
        <f aca="false">IF(G4&lt;&gt;"核心池",0,IF(J4="核心池",L4+1,1))</f>
        <v>1</v>
      </c>
      <c r="M4" s="1" t="str">
        <f aca="false">IF(L4&gt;=3,"信号强化",IF(K4=1,"观察转核心",""))</f>
        <v/>
      </c>
    </row>
    <row r="5" customFormat="false" ht="15" hidden="false" customHeight="true" outlineLevel="0" collapsed="false">
      <c r="A5" s="55" t="n">
        <v>46229</v>
      </c>
      <c r="B5" s="1" t="s">
        <v>926</v>
      </c>
      <c r="C5" s="32" t="s">
        <v>927</v>
      </c>
      <c r="D5" s="1" t="n">
        <v>28.58</v>
      </c>
      <c r="E5" s="1" t="n">
        <v>0.136356199625273</v>
      </c>
      <c r="F5" s="1" t="n">
        <v>0.932773404270058</v>
      </c>
      <c r="G5" s="32" t="s">
        <v>923</v>
      </c>
      <c r="H5" s="1" t="n">
        <v>100</v>
      </c>
      <c r="I5" s="1" t="n">
        <v>0</v>
      </c>
      <c r="J5" s="1" t="str">
        <f aca="false">IFERROR(INDEX($G$2:$G5,MATCH(1,($B$2:$B5=B5)*($A$2:$A5&lt;A5),0)),"")</f>
        <v/>
      </c>
      <c r="K5" s="1" t="n">
        <f aca="false">IF(AND(J5="观察池",G5="核心池"),1,0)</f>
        <v>0</v>
      </c>
      <c r="L5" s="1" t="n">
        <f aca="false">IF(G5&lt;&gt;"核心池",0,IF(J5="核心池",L5+1,1))</f>
        <v>1</v>
      </c>
      <c r="M5" s="1" t="str">
        <f aca="false">IF(L5&gt;=3,"信号强化",IF(K5=1,"观察转核心",""))</f>
        <v/>
      </c>
    </row>
    <row r="6" customFormat="false" ht="15" hidden="false" customHeight="true" outlineLevel="0" collapsed="false">
      <c r="A6" s="55" t="n">
        <v>46229</v>
      </c>
      <c r="B6" s="1" t="s">
        <v>406</v>
      </c>
      <c r="C6" s="32" t="s">
        <v>405</v>
      </c>
      <c r="D6" s="1" t="n">
        <v>4.07</v>
      </c>
      <c r="E6" s="1" t="n">
        <v>0.148936427931102</v>
      </c>
      <c r="F6" s="1" t="n">
        <v>0.931021321884339</v>
      </c>
      <c r="G6" s="32" t="s">
        <v>923</v>
      </c>
      <c r="H6" s="1" t="n">
        <v>200</v>
      </c>
      <c r="I6" s="1" t="n">
        <v>0</v>
      </c>
      <c r="J6" s="1" t="str">
        <f aca="false">IFERROR(INDEX($G$2:$G6,MATCH(1,($B$2:$B6=B6)*($A$2:$A6&lt;A6),0)),"")</f>
        <v/>
      </c>
      <c r="K6" s="1" t="n">
        <f aca="false">IF(AND(J6="观察池",G6="核心池"),1,0)</f>
        <v>0</v>
      </c>
      <c r="L6" s="1" t="n">
        <f aca="false">IF(G6&lt;&gt;"核心池",0,IF(J6="核心池",L6+1,1))</f>
        <v>1</v>
      </c>
      <c r="M6" s="1" t="str">
        <f aca="false">IF(L6&gt;=3,"信号强化",IF(K6=1,"观察转核心",""))</f>
        <v/>
      </c>
    </row>
    <row r="7" customFormat="false" ht="15" hidden="false" customHeight="true" outlineLevel="0" collapsed="false">
      <c r="A7" s="55" t="n">
        <v>46229</v>
      </c>
      <c r="B7" s="1" t="s">
        <v>404</v>
      </c>
      <c r="C7" s="32" t="s">
        <v>403</v>
      </c>
      <c r="D7" s="1" t="n">
        <v>5.8</v>
      </c>
      <c r="E7" s="1" t="n">
        <v>0.151260284559991</v>
      </c>
      <c r="F7" s="1" t="n">
        <v>0.925849573092616</v>
      </c>
      <c r="G7" s="32" t="s">
        <v>923</v>
      </c>
      <c r="H7" s="1" t="n">
        <v>200</v>
      </c>
      <c r="I7" s="1" t="n">
        <v>0</v>
      </c>
      <c r="J7" s="1" t="str">
        <f aca="false">IFERROR(INDEX($G$2:$G7,MATCH(1,($B$2:$B7=B7)*($A$2:$A7&lt;A7),0)),"")</f>
        <v/>
      </c>
      <c r="K7" s="1" t="n">
        <f aca="false">IF(AND(J7="观察池",G7="核心池"),1,0)</f>
        <v>0</v>
      </c>
      <c r="L7" s="1" t="n">
        <f aca="false">IF(G7&lt;&gt;"核心池",0,IF(J7="核心池",L7+1,1))</f>
        <v>1</v>
      </c>
      <c r="M7" s="1" t="str">
        <f aca="false">IF(L7&gt;=3,"信号强化",IF(K7=1,"观察转核心",""))</f>
        <v/>
      </c>
    </row>
    <row r="8" customFormat="false" ht="15" hidden="false" customHeight="true" outlineLevel="0" collapsed="false">
      <c r="A8" s="55" t="n">
        <v>46229</v>
      </c>
      <c r="B8" s="1" t="s">
        <v>685</v>
      </c>
      <c r="C8" s="32" t="s">
        <v>684</v>
      </c>
      <c r="D8" s="1" t="n">
        <v>347.8</v>
      </c>
      <c r="E8" s="1" t="n">
        <v>0.150557882767282</v>
      </c>
      <c r="F8" s="1" t="n">
        <v>0.923640505971024</v>
      </c>
      <c r="G8" s="32" t="s">
        <v>923</v>
      </c>
      <c r="H8" s="1" t="n">
        <v>100</v>
      </c>
      <c r="I8" s="1" t="n">
        <v>0</v>
      </c>
      <c r="J8" s="1" t="str">
        <f aca="false">IFERROR(INDEX($G$2:$G8,MATCH(1,($B$2:$B8=B8)*($A$2:$A8&lt;A8),0)),"")</f>
        <v/>
      </c>
      <c r="K8" s="1" t="n">
        <f aca="false">IF(AND(J8="观察池",G8="核心池"),1,0)</f>
        <v>0</v>
      </c>
      <c r="L8" s="1" t="n">
        <f aca="false">IF(G8&lt;&gt;"核心池",0,IF(J8="核心池",L8+1,1))</f>
        <v>1</v>
      </c>
      <c r="M8" s="1" t="str">
        <f aca="false">IF(L8&gt;=3,"信号强化",IF(K8=1,"观察转核心",""))</f>
        <v/>
      </c>
    </row>
    <row r="9" customFormat="false" ht="15" hidden="false" customHeight="true" outlineLevel="0" collapsed="false">
      <c r="A9" s="55" t="n">
        <v>46229</v>
      </c>
      <c r="B9" s="1" t="s">
        <v>928</v>
      </c>
      <c r="C9" s="32" t="s">
        <v>929</v>
      </c>
      <c r="D9" s="1" t="n">
        <v>6.46</v>
      </c>
      <c r="E9" s="1" t="n">
        <v>0.0651159258248686</v>
      </c>
      <c r="F9" s="1" t="n">
        <v>0.921375970201785</v>
      </c>
      <c r="G9" s="32" t="s">
        <v>923</v>
      </c>
      <c r="H9" s="1" t="n">
        <v>200</v>
      </c>
      <c r="I9" s="1" t="n">
        <v>0</v>
      </c>
      <c r="J9" s="1" t="str">
        <f aca="false">IFERROR(INDEX($G$2:$G9,MATCH(1,($B$2:$B9=B9)*($A$2:$A9&lt;A9),0)),"")</f>
        <v/>
      </c>
      <c r="K9" s="1" t="n">
        <f aca="false">IF(AND(J9="观察池",G9="核心池"),1,0)</f>
        <v>0</v>
      </c>
      <c r="L9" s="1" t="n">
        <f aca="false">IF(G9&lt;&gt;"核心池",0,IF(J9="核心池",L9+1,1))</f>
        <v>1</v>
      </c>
      <c r="M9" s="1" t="str">
        <f aca="false">IF(L9&gt;=3,"信号强化",IF(K9=1,"观察转核心",""))</f>
        <v/>
      </c>
    </row>
    <row r="10" customFormat="false" ht="15" hidden="false" customHeight="true" outlineLevel="0" collapsed="false">
      <c r="A10" s="55" t="n">
        <v>46229</v>
      </c>
      <c r="B10" s="1" t="s">
        <v>408</v>
      </c>
      <c r="C10" s="32" t="s">
        <v>407</v>
      </c>
      <c r="D10" s="1" t="n">
        <v>8.24</v>
      </c>
      <c r="E10" s="1" t="n">
        <v>0.121339732883122</v>
      </c>
      <c r="F10" s="1" t="n">
        <v>0.916751649432289</v>
      </c>
      <c r="G10" s="32" t="s">
        <v>923</v>
      </c>
      <c r="H10" s="1" t="n">
        <v>100</v>
      </c>
      <c r="I10" s="1" t="n">
        <v>0</v>
      </c>
      <c r="J10" s="1" t="str">
        <f aca="false">IFERROR(INDEX($G$2:$G10,MATCH(1,($B$2:$B10=B10)*($A$2:$A10&lt;A10),0)),"")</f>
        <v/>
      </c>
      <c r="K10" s="1" t="n">
        <f aca="false">IF(AND(J10="观察池",G10="核心池"),1,0)</f>
        <v>0</v>
      </c>
      <c r="L10" s="1" t="n">
        <f aca="false">IF(G10&lt;&gt;"核心池",0,IF(J10="核心池",L10+1,1))</f>
        <v>1</v>
      </c>
      <c r="M10" s="1" t="str">
        <f aca="false">IF(L10&gt;=3,"信号强化",IF(K10=1,"观察转核心",""))</f>
        <v/>
      </c>
    </row>
    <row r="11" customFormat="false" ht="15" hidden="false" customHeight="true" outlineLevel="0" collapsed="false">
      <c r="A11" s="55" t="n">
        <v>46229</v>
      </c>
      <c r="B11" s="1" t="s">
        <v>930</v>
      </c>
      <c r="C11" s="32" t="s">
        <v>931</v>
      </c>
      <c r="D11" s="1" t="n">
        <v>21.5</v>
      </c>
      <c r="E11" s="1" t="n">
        <v>0.115884894387187</v>
      </c>
      <c r="F11" s="1" t="n">
        <v>0.916649957764473</v>
      </c>
      <c r="G11" s="32" t="s">
        <v>923</v>
      </c>
      <c r="H11" s="1" t="n">
        <v>100</v>
      </c>
      <c r="I11" s="1" t="n">
        <v>0</v>
      </c>
      <c r="J11" s="1" t="str">
        <f aca="false">IFERROR(INDEX($G$2:$G11,MATCH(1,($B$2:$B11=B11)*($A$2:$A11&lt;A11),0)),"")</f>
        <v/>
      </c>
      <c r="K11" s="1" t="n">
        <f aca="false">IF(AND(J11="观察池",G11="核心池"),1,0)</f>
        <v>0</v>
      </c>
      <c r="L11" s="1" t="n">
        <f aca="false">IF(G11&lt;&gt;"核心池",0,IF(J11="核心池",L11+1,1))</f>
        <v>1</v>
      </c>
      <c r="M11" s="1" t="str">
        <f aca="false">IF(L11&gt;=3,"信号强化",IF(K11=1,"观察转核心",""))</f>
        <v/>
      </c>
    </row>
    <row r="12" customFormat="false" ht="15" hidden="false" customHeight="true" outlineLevel="0" collapsed="false">
      <c r="A12" s="55" t="n">
        <v>46229</v>
      </c>
      <c r="B12" s="1" t="s">
        <v>932</v>
      </c>
      <c r="C12" s="32" t="s">
        <v>933</v>
      </c>
      <c r="D12" s="1" t="n">
        <v>18.87</v>
      </c>
      <c r="E12" s="1" t="n">
        <v>0.121148586472636</v>
      </c>
      <c r="F12" s="1" t="n">
        <v>0.906724814708502</v>
      </c>
      <c r="G12" s="32" t="s">
        <v>923</v>
      </c>
      <c r="H12" s="1" t="n">
        <v>100</v>
      </c>
      <c r="I12" s="1" t="n">
        <v>0</v>
      </c>
      <c r="J12" s="1" t="str">
        <f aca="false">IFERROR(INDEX($G$2:$G12,MATCH(1,($B$2:$B12=B12)*($A$2:$A12&lt;A12),0)),"")</f>
        <v/>
      </c>
      <c r="K12" s="1" t="n">
        <f aca="false">IF(AND(J12="观察池",G12="核心池"),1,0)</f>
        <v>0</v>
      </c>
      <c r="L12" s="1" t="n">
        <f aca="false">IF(G12&lt;&gt;"核心池",0,IF(J12="核心池",L12+1,1))</f>
        <v>1</v>
      </c>
      <c r="M12" s="1" t="str">
        <f aca="false">IF(L12&gt;=3,"信号强化",IF(K12=1,"观察转核心",""))</f>
        <v/>
      </c>
    </row>
    <row r="13" customFormat="false" ht="15" hidden="false" customHeight="true" outlineLevel="0" collapsed="false">
      <c r="A13" s="55" t="n">
        <v>46229</v>
      </c>
      <c r="B13" s="1" t="s">
        <v>934</v>
      </c>
      <c r="C13" s="32" t="s">
        <v>935</v>
      </c>
      <c r="D13" s="1" t="n">
        <v>5.03</v>
      </c>
      <c r="E13" s="1" t="n">
        <v>0.230295547470064</v>
      </c>
      <c r="F13" s="1" t="n">
        <v>0.966349594345001</v>
      </c>
      <c r="G13" s="32" t="s">
        <v>936</v>
      </c>
      <c r="H13" s="1" t="n">
        <v>200</v>
      </c>
      <c r="I13" s="1" t="n">
        <v>0</v>
      </c>
      <c r="J13" s="1" t="str">
        <f aca="false">IFERROR(INDEX($G$2:$G13,MATCH(1,($B$2:$B13=B13)*($A$2:$A13&lt;A13),0)),"")</f>
        <v/>
      </c>
      <c r="K13" s="1" t="n">
        <f aca="false">IF(AND(J13="观察池",G13="核心池"),1,0)</f>
        <v>0</v>
      </c>
      <c r="L13" s="1" t="n">
        <f aca="false">IF(G13&lt;&gt;"核心池",0,IF(J13="核心池",L13+1,1))</f>
        <v>0</v>
      </c>
      <c r="M13" s="1" t="str">
        <f aca="false">IF(L13&gt;=3,"信号强化",IF(K13=1,"观察转核心",""))</f>
        <v/>
      </c>
    </row>
    <row r="14" customFormat="false" ht="15" hidden="false" customHeight="true" outlineLevel="0" collapsed="false">
      <c r="A14" s="55" t="n">
        <v>46229</v>
      </c>
      <c r="B14" s="1" t="s">
        <v>937</v>
      </c>
      <c r="C14" s="32" t="s">
        <v>938</v>
      </c>
      <c r="D14" s="1" t="n">
        <v>5.43</v>
      </c>
      <c r="E14" s="1" t="n">
        <v>0.264315091191391</v>
      </c>
      <c r="F14" s="1" t="n">
        <v>0.946183041529521</v>
      </c>
      <c r="G14" s="32" t="s">
        <v>936</v>
      </c>
      <c r="H14" s="1" t="n">
        <v>200</v>
      </c>
      <c r="I14" s="1" t="n">
        <v>0</v>
      </c>
      <c r="J14" s="1" t="str">
        <f aca="false">IFERROR(INDEX($G$2:$G14,MATCH(1,($B$2:$B14=B14)*($A$2:$A14&lt;A14),0)),"")</f>
        <v/>
      </c>
      <c r="K14" s="1" t="n">
        <f aca="false">IF(AND(J14="观察池",G14="核心池"),1,0)</f>
        <v>0</v>
      </c>
      <c r="L14" s="1" t="n">
        <f aca="false">IF(G14&lt;&gt;"核心池",0,IF(J14="核心池",L14+1,1))</f>
        <v>0</v>
      </c>
      <c r="M14" s="1" t="str">
        <f aca="false">IF(L14&gt;=3,"信号强化",IF(K14=1,"观察转核心",""))</f>
        <v/>
      </c>
    </row>
    <row r="15" customFormat="false" ht="15" hidden="false" customHeight="true" outlineLevel="0" collapsed="false">
      <c r="A15" s="55" t="n">
        <v>46229</v>
      </c>
      <c r="B15" s="1" t="s">
        <v>939</v>
      </c>
      <c r="C15" s="32" t="s">
        <v>940</v>
      </c>
      <c r="D15" s="1" t="n">
        <v>5.29</v>
      </c>
      <c r="E15" s="1" t="n">
        <v>0.294214346271889</v>
      </c>
      <c r="F15" s="1" t="n">
        <v>0.944844424311078</v>
      </c>
      <c r="G15" s="32" t="s">
        <v>936</v>
      </c>
      <c r="H15" s="1" t="n">
        <v>200</v>
      </c>
      <c r="I15" s="1" t="n">
        <v>0</v>
      </c>
      <c r="J15" s="1" t="str">
        <f aca="false">IFERROR(INDEX($G$2:$G15,MATCH(1,($B$2:$B15=B15)*($A$2:$A15&lt;A15),0)),"")</f>
        <v/>
      </c>
      <c r="K15" s="1" t="n">
        <f aca="false">IF(AND(J15="观察池",G15="核心池"),1,0)</f>
        <v>0</v>
      </c>
      <c r="L15" s="1" t="n">
        <f aca="false">IF(G15&lt;&gt;"核心池",0,IF(J15="核心池",L15+1,1))</f>
        <v>0</v>
      </c>
      <c r="M15" s="1" t="str">
        <f aca="false">IF(L15&gt;=3,"信号强化",IF(K15=1,"观察转核心",""))</f>
        <v/>
      </c>
    </row>
    <row r="16" customFormat="false" ht="15" hidden="false" customHeight="true" outlineLevel="0" collapsed="false">
      <c r="A16" s="55" t="n">
        <v>46229</v>
      </c>
      <c r="B16" s="1" t="s">
        <v>941</v>
      </c>
      <c r="C16" s="32" t="s">
        <v>942</v>
      </c>
      <c r="D16" s="1" t="n">
        <v>10.12</v>
      </c>
      <c r="E16" s="1" t="n">
        <v>0.127084861361356</v>
      </c>
      <c r="F16" s="1" t="n">
        <v>0.899729521998906</v>
      </c>
      <c r="G16" s="32" t="s">
        <v>936</v>
      </c>
      <c r="H16" s="1" t="n">
        <v>100</v>
      </c>
      <c r="I16" s="1" t="n">
        <v>0</v>
      </c>
      <c r="J16" s="1" t="str">
        <f aca="false">IFERROR(INDEX($G$2:$G16,MATCH(1,($B$2:$B16=B16)*($A$2:$A16&lt;A16),0)),"")</f>
        <v/>
      </c>
      <c r="K16" s="1" t="n">
        <f aca="false">IF(AND(J16="观察池",G16="核心池"),1,0)</f>
        <v>0</v>
      </c>
      <c r="L16" s="1" t="n">
        <f aca="false">IF(G16&lt;&gt;"核心池",0,IF(J16="核心池",L16+1,1))</f>
        <v>0</v>
      </c>
      <c r="M16" s="1" t="str">
        <f aca="false">IF(L16&gt;=3,"信号强化",IF(K16=1,"观察转核心",""))</f>
        <v/>
      </c>
    </row>
    <row r="17" customFormat="false" ht="15" hidden="false" customHeight="true" outlineLevel="0" collapsed="false">
      <c r="A17" s="55" t="n">
        <v>46229</v>
      </c>
      <c r="B17" s="1" t="s">
        <v>943</v>
      </c>
      <c r="C17" s="32" t="s">
        <v>944</v>
      </c>
      <c r="D17" s="1" t="n">
        <v>11.53</v>
      </c>
      <c r="E17" s="1" t="n">
        <v>0.246630945795256</v>
      </c>
      <c r="F17" s="1" t="n">
        <v>0.894431562682973</v>
      </c>
      <c r="G17" s="32" t="s">
        <v>936</v>
      </c>
      <c r="H17" s="1" t="n">
        <v>100</v>
      </c>
      <c r="I17" s="1" t="n">
        <v>0</v>
      </c>
      <c r="J17" s="1" t="str">
        <f aca="false">IFERROR(INDEX($G$2:$G17,MATCH(1,($B$2:$B17=B17)*($A$2:$A17&lt;A17),0)),"")</f>
        <v/>
      </c>
      <c r="K17" s="1" t="n">
        <f aca="false">IF(AND(J17="观察池",G17="核心池"),1,0)</f>
        <v>0</v>
      </c>
      <c r="L17" s="1" t="n">
        <f aca="false">IF(G17&lt;&gt;"核心池",0,IF(J17="核心池",L17+1,1))</f>
        <v>0</v>
      </c>
      <c r="M17" s="1" t="str">
        <f aca="false">IF(L17&gt;=3,"信号强化",IF(K17=1,"观察转核心",""))</f>
        <v/>
      </c>
    </row>
    <row r="18" customFormat="false" ht="15" hidden="false" customHeight="true" outlineLevel="0" collapsed="false">
      <c r="A18" s="55" t="n">
        <v>46229</v>
      </c>
      <c r="B18" s="1" t="s">
        <v>945</v>
      </c>
      <c r="C18" s="32" t="s">
        <v>946</v>
      </c>
      <c r="D18" s="1" t="n">
        <v>1.98</v>
      </c>
      <c r="E18" s="1" t="n">
        <v>0.232351791787116</v>
      </c>
      <c r="F18" s="1" t="n">
        <v>0.891396922045184</v>
      </c>
      <c r="G18" s="32" t="s">
        <v>936</v>
      </c>
      <c r="H18" s="1" t="n">
        <v>500</v>
      </c>
      <c r="I18" s="1" t="n">
        <v>0</v>
      </c>
      <c r="J18" s="1" t="str">
        <f aca="false">IFERROR(INDEX($G$2:$G18,MATCH(1,($B$2:$B18=B18)*($A$2:$A18&lt;A18),0)),"")</f>
        <v/>
      </c>
      <c r="K18" s="1" t="n">
        <f aca="false">IF(AND(J18="观察池",G18="核心池"),1,0)</f>
        <v>0</v>
      </c>
      <c r="L18" s="1" t="n">
        <f aca="false">IF(G18&lt;&gt;"核心池",0,IF(J18="核心池",L18+1,1))</f>
        <v>0</v>
      </c>
      <c r="M18" s="1" t="str">
        <f aca="false">IF(L18&gt;=3,"信号强化",IF(K18=1,"观察转核心",""))</f>
        <v/>
      </c>
    </row>
    <row r="19" customFormat="false" ht="15" hidden="false" customHeight="true" outlineLevel="0" collapsed="false">
      <c r="A19" s="55" t="n">
        <v>46229</v>
      </c>
      <c r="B19" s="1" t="s">
        <v>399</v>
      </c>
      <c r="C19" s="32" t="s">
        <v>398</v>
      </c>
      <c r="D19" s="1" t="n">
        <v>15.18</v>
      </c>
      <c r="E19" s="1" t="n">
        <v>0.240501831073785</v>
      </c>
      <c r="F19" s="1" t="n">
        <v>0.880243329150861</v>
      </c>
      <c r="G19" s="32" t="s">
        <v>936</v>
      </c>
      <c r="H19" s="1" t="n">
        <v>100</v>
      </c>
      <c r="I19" s="1" t="n">
        <v>0</v>
      </c>
      <c r="J19" s="1" t="str">
        <f aca="false">IFERROR(INDEX($G$2:$G19,MATCH(1,($B$2:$B19=B19)*($A$2:$A19&lt;A19),0)),"")</f>
        <v/>
      </c>
      <c r="K19" s="1" t="n">
        <f aca="false">IF(AND(J19="观察池",G19="核心池"),1,0)</f>
        <v>0</v>
      </c>
      <c r="L19" s="1" t="n">
        <f aca="false">IF(G19&lt;&gt;"核心池",0,IF(J19="核心池",L19+1,1))</f>
        <v>0</v>
      </c>
      <c r="M19" s="1" t="str">
        <f aca="false">IF(L19&gt;=3,"信号强化",IF(K19=1,"观察转核心",""))</f>
        <v/>
      </c>
    </row>
    <row r="20" customFormat="false" ht="15" hidden="false" customHeight="true" outlineLevel="0" collapsed="false">
      <c r="A20" s="55" t="n">
        <v>46229</v>
      </c>
      <c r="B20" s="1" t="s">
        <v>947</v>
      </c>
      <c r="C20" s="32" t="s">
        <v>948</v>
      </c>
      <c r="D20" s="1" t="n">
        <v>2.12</v>
      </c>
      <c r="E20" s="1" t="n">
        <v>0.174050352294355</v>
      </c>
      <c r="F20" s="1" t="n">
        <v>0.876951353251519</v>
      </c>
      <c r="G20" s="32" t="s">
        <v>936</v>
      </c>
      <c r="H20" s="1" t="n">
        <v>400</v>
      </c>
      <c r="I20" s="1" t="n">
        <v>0</v>
      </c>
      <c r="J20" s="1" t="str">
        <f aca="false">IFERROR(INDEX($G$2:$G20,MATCH(1,($B$2:$B20=B20)*($A$2:$A20&lt;A20),0)),"")</f>
        <v/>
      </c>
      <c r="K20" s="1" t="n">
        <f aca="false">IF(AND(J20="观察池",G20="核心池"),1,0)</f>
        <v>0</v>
      </c>
      <c r="L20" s="1" t="n">
        <f aca="false">IF(G20&lt;&gt;"核心池",0,IF(J20="核心池",L20+1,1))</f>
        <v>0</v>
      </c>
      <c r="M20" s="1" t="str">
        <f aca="false">IF(L20&gt;=3,"信号强化",IF(K20=1,"观察转核心",""))</f>
        <v/>
      </c>
    </row>
    <row r="21" customFormat="false" ht="15" hidden="false" customHeight="true" outlineLevel="0" collapsed="false">
      <c r="A21" s="55" t="n">
        <v>46229</v>
      </c>
      <c r="B21" s="1" t="s">
        <v>949</v>
      </c>
      <c r="C21" s="32" t="s">
        <v>950</v>
      </c>
      <c r="D21" s="1" t="n">
        <v>7.08</v>
      </c>
      <c r="E21" s="1" t="n">
        <v>0.294703066087429</v>
      </c>
      <c r="F21" s="1" t="n">
        <v>0.867559280835112</v>
      </c>
      <c r="G21" s="32" t="s">
        <v>936</v>
      </c>
      <c r="H21" s="1" t="n">
        <v>200</v>
      </c>
      <c r="I21" s="1" t="n">
        <v>0</v>
      </c>
      <c r="J21" s="1" t="str">
        <f aca="false">IFERROR(INDEX($G$2:$G21,MATCH(1,($B$2:$B21=B21)*($A$2:$A21&lt;A21),0)),"")</f>
        <v/>
      </c>
      <c r="K21" s="1" t="n">
        <f aca="false">IF(AND(J21="观察池",G21="核心池"),1,0)</f>
        <v>0</v>
      </c>
      <c r="L21" s="1" t="n">
        <f aca="false">IF(G21&lt;&gt;"核心池",0,IF(J21="核心池",L21+1,1))</f>
        <v>0</v>
      </c>
      <c r="M21" s="1" t="str">
        <f aca="false">IF(L21&gt;=3,"信号强化",IF(K21=1,"观察转核心",""))</f>
        <v/>
      </c>
    </row>
    <row r="22" customFormat="false" ht="15" hidden="false" customHeight="true" outlineLevel="0" collapsed="false">
      <c r="A22" s="55" t="n">
        <v>46229</v>
      </c>
      <c r="B22" s="1" t="s">
        <v>951</v>
      </c>
      <c r="C22" s="32" t="s">
        <v>952</v>
      </c>
      <c r="D22" s="1" t="n">
        <v>14.88</v>
      </c>
      <c r="E22" s="1" t="n">
        <v>0.165948265449632</v>
      </c>
      <c r="F22" s="1" t="n">
        <v>0.867253369822946</v>
      </c>
      <c r="G22" s="32" t="s">
        <v>936</v>
      </c>
      <c r="H22" s="1" t="n">
        <v>100</v>
      </c>
      <c r="I22" s="1" t="n">
        <v>0</v>
      </c>
      <c r="J22" s="1" t="str">
        <f aca="false">IFERROR(INDEX($G$2:$G22,MATCH(1,($B$2:$B22=B22)*($A$2:$A22&lt;A22),0)),"")</f>
        <v/>
      </c>
      <c r="K22" s="1" t="n">
        <f aca="false">IF(AND(J22="观察池",G22="核心池"),1,0)</f>
        <v>0</v>
      </c>
      <c r="L22" s="1" t="n">
        <f aca="false">IF(G22&lt;&gt;"核心池",0,IF(J22="核心池",L22+1,1))</f>
        <v>0</v>
      </c>
      <c r="M22" s="1" t="str">
        <f aca="false">IF(L22&gt;=3,"信号强化",IF(K22=1,"观察转核心",""))</f>
        <v/>
      </c>
    </row>
    <row r="23" customFormat="false" ht="15" hidden="false" customHeight="true" outlineLevel="0" collapsed="false">
      <c r="A23" s="55" t="n">
        <v>46229</v>
      </c>
      <c r="B23" s="1" t="s">
        <v>953</v>
      </c>
      <c r="C23" s="32" t="s">
        <v>954</v>
      </c>
      <c r="D23" s="1" t="n">
        <v>17.61</v>
      </c>
      <c r="E23" s="1" t="n">
        <v>0.253402303330322</v>
      </c>
      <c r="F23" s="1" t="n">
        <v>0.846751691580814</v>
      </c>
      <c r="G23" s="32" t="s">
        <v>955</v>
      </c>
      <c r="H23" s="1" t="n">
        <v>100</v>
      </c>
      <c r="I23" s="1" t="n">
        <v>0</v>
      </c>
      <c r="J23" s="1" t="str">
        <f aca="false">IFERROR(INDEX($G$2:$G23,MATCH(1,($B$2:$B23=B23)*($A$2:$A23&lt;A23),0)),"")</f>
        <v/>
      </c>
      <c r="K23" s="1" t="n">
        <f aca="false">IF(AND(J23="观察池",G23="核心池"),1,0)</f>
        <v>0</v>
      </c>
      <c r="L23" s="1" t="n">
        <f aca="false">IF(G23&lt;&gt;"核心池",0,IF(J23="核心池",L23+1,1))</f>
        <v>0</v>
      </c>
      <c r="M23" s="1" t="str">
        <f aca="false">IF(L23&gt;=3,"信号强化",IF(K23=1,"观察转核心",""))</f>
        <v/>
      </c>
    </row>
    <row r="24" customFormat="false" ht="15" hidden="false" customHeight="true" outlineLevel="0" collapsed="false">
      <c r="A24" s="55" t="n">
        <v>46229</v>
      </c>
      <c r="B24" s="1" t="s">
        <v>956</v>
      </c>
      <c r="C24" s="32" t="s">
        <v>957</v>
      </c>
      <c r="D24" s="1" t="n">
        <v>38.51</v>
      </c>
      <c r="E24" s="1" t="n">
        <v>0.188976912364795</v>
      </c>
      <c r="F24" s="1" t="n">
        <v>0.846564729481012</v>
      </c>
      <c r="G24" s="32" t="s">
        <v>955</v>
      </c>
      <c r="H24" s="1" t="n">
        <v>100</v>
      </c>
      <c r="I24" s="1" t="n">
        <v>0</v>
      </c>
      <c r="J24" s="1" t="str">
        <f aca="false">IFERROR(INDEX($G$2:$G24,MATCH(1,($B$2:$B24=B24)*($A$2:$A24&lt;A24),0)),"")</f>
        <v/>
      </c>
      <c r="K24" s="1" t="n">
        <f aca="false">IF(AND(J24="观察池",G24="核心池"),1,0)</f>
        <v>0</v>
      </c>
      <c r="L24" s="1" t="n">
        <f aca="false">IF(G24&lt;&gt;"核心池",0,IF(J24="核心池",L24+1,1))</f>
        <v>0</v>
      </c>
      <c r="M24" s="1" t="str">
        <f aca="false">IF(L24&gt;=3,"信号强化",IF(K24=1,"观察转核心",""))</f>
        <v/>
      </c>
    </row>
    <row r="25" customFormat="false" ht="15" hidden="false" customHeight="true" outlineLevel="0" collapsed="false">
      <c r="A25" s="55" t="n">
        <v>46229</v>
      </c>
      <c r="B25" s="1" t="s">
        <v>503</v>
      </c>
      <c r="C25" s="32" t="s">
        <v>502</v>
      </c>
      <c r="D25" s="1" t="n">
        <v>8.46</v>
      </c>
      <c r="E25" s="1" t="n">
        <v>0.384101052971927</v>
      </c>
      <c r="F25" s="1" t="n">
        <v>0.842620091964338</v>
      </c>
      <c r="G25" s="32" t="s">
        <v>955</v>
      </c>
      <c r="H25" s="1" t="n">
        <v>100</v>
      </c>
      <c r="I25" s="1" t="n">
        <v>0</v>
      </c>
      <c r="J25" s="1" t="str">
        <f aca="false">IFERROR(INDEX($G$2:$G25,MATCH(1,($B$2:$B25=B25)*($A$2:$A25&lt;A25),0)),"")</f>
        <v/>
      </c>
      <c r="K25" s="1" t="n">
        <f aca="false">IF(AND(J25="观察池",G25="核心池"),1,0)</f>
        <v>0</v>
      </c>
      <c r="L25" s="1" t="n">
        <f aca="false">IF(G25&lt;&gt;"核心池",0,IF(J25="核心池",L25+1,1))</f>
        <v>0</v>
      </c>
      <c r="M25" s="1" t="str">
        <f aca="false">IF(L25&gt;=3,"信号强化",IF(K25=1,"观察转核心",""))</f>
        <v/>
      </c>
    </row>
    <row r="26" customFormat="false" ht="15" hidden="false" customHeight="true" outlineLevel="0" collapsed="false">
      <c r="A26" s="55" t="n">
        <v>46229</v>
      </c>
      <c r="B26" s="1" t="s">
        <v>958</v>
      </c>
      <c r="C26" s="32" t="s">
        <v>959</v>
      </c>
      <c r="D26" s="1" t="n">
        <v>16.01</v>
      </c>
      <c r="E26" s="1" t="n">
        <v>0.193741864254793</v>
      </c>
      <c r="F26" s="1" t="n">
        <v>0.84110522239601</v>
      </c>
      <c r="G26" s="32" t="s">
        <v>955</v>
      </c>
      <c r="H26" s="1" t="n">
        <v>100</v>
      </c>
      <c r="I26" s="1" t="n">
        <v>0</v>
      </c>
      <c r="J26" s="1" t="str">
        <f aca="false">IFERROR(INDEX($G$2:$G26,MATCH(1,($B$2:$B26=B26)*($A$2:$A26&lt;A26),0)),"")</f>
        <v/>
      </c>
      <c r="K26" s="1" t="n">
        <f aca="false">IF(AND(J26="观察池",G26="核心池"),1,0)</f>
        <v>0</v>
      </c>
      <c r="L26" s="1" t="n">
        <f aca="false">IF(G26&lt;&gt;"核心池",0,IF(J26="核心池",L26+1,1))</f>
        <v>0</v>
      </c>
      <c r="M26" s="1" t="str">
        <f aca="false">IF(L26&gt;=3,"信号强化",IF(K26=1,"观察转核心",""))</f>
        <v/>
      </c>
    </row>
    <row r="27" customFormat="false" ht="15" hidden="false" customHeight="true" outlineLevel="0" collapsed="false">
      <c r="A27" s="55" t="n">
        <v>46229</v>
      </c>
      <c r="B27" s="1" t="s">
        <v>960</v>
      </c>
      <c r="C27" s="32" t="s">
        <v>961</v>
      </c>
      <c r="D27" s="1" t="n">
        <v>8.49</v>
      </c>
      <c r="E27" s="1" t="n">
        <v>0.306636304093562</v>
      </c>
      <c r="F27" s="1" t="n">
        <v>0.825728706833739</v>
      </c>
      <c r="G27" s="32" t="s">
        <v>955</v>
      </c>
      <c r="H27" s="1" t="n">
        <v>100</v>
      </c>
      <c r="I27" s="1" t="n">
        <v>0</v>
      </c>
      <c r="J27" s="1" t="str">
        <f aca="false">IFERROR(INDEX($G$2:$G27,MATCH(1,($B$2:$B27=B27)*($A$2:$A27&lt;A27),0)),"")</f>
        <v/>
      </c>
      <c r="K27" s="1" t="n">
        <f aca="false">IF(AND(J27="观察池",G27="核心池"),1,0)</f>
        <v>0</v>
      </c>
      <c r="L27" s="1" t="n">
        <f aca="false">IF(G27&lt;&gt;"核心池",0,IF(J27="核心池",L27+1,1))</f>
        <v>0</v>
      </c>
      <c r="M27" s="1" t="str">
        <f aca="false">IF(L27&gt;=3,"信号强化",IF(K27=1,"观察转核心",""))</f>
        <v/>
      </c>
    </row>
    <row r="28" customFormat="false" ht="15" hidden="false" customHeight="true" outlineLevel="0" collapsed="false">
      <c r="A28" s="55" t="n">
        <v>46229</v>
      </c>
      <c r="B28" s="1" t="s">
        <v>401</v>
      </c>
      <c r="C28" s="32" t="s">
        <v>400</v>
      </c>
      <c r="D28" s="1" t="n">
        <v>9.06</v>
      </c>
      <c r="E28" s="1" t="n">
        <v>0.198604737837616</v>
      </c>
      <c r="F28" s="1" t="n">
        <v>0.821510721573981</v>
      </c>
      <c r="G28" s="32" t="s">
        <v>955</v>
      </c>
      <c r="H28" s="1" t="n">
        <v>100</v>
      </c>
      <c r="I28" s="1" t="n">
        <v>0</v>
      </c>
      <c r="J28" s="1" t="str">
        <f aca="false">IFERROR(INDEX($G$2:$G28,MATCH(1,($B$2:$B28=B28)*($A$2:$A28&lt;A28),0)),"")</f>
        <v/>
      </c>
      <c r="K28" s="1" t="n">
        <f aca="false">IF(AND(J28="观察池",G28="核心池"),1,0)</f>
        <v>0</v>
      </c>
      <c r="L28" s="1" t="n">
        <f aca="false">IF(G28&lt;&gt;"核心池",0,IF(J28="核心池",L28+1,1))</f>
        <v>0</v>
      </c>
      <c r="M28" s="1" t="str">
        <f aca="false">IF(L28&gt;=3,"信号强化",IF(K28=1,"观察转核心",""))</f>
        <v/>
      </c>
    </row>
    <row r="29" customFormat="false" ht="15" hidden="false" customHeight="true" outlineLevel="0" collapsed="false">
      <c r="A29" s="55" t="n">
        <v>46229</v>
      </c>
      <c r="B29" s="1" t="s">
        <v>962</v>
      </c>
      <c r="C29" s="32" t="s">
        <v>963</v>
      </c>
      <c r="D29" s="1" t="n">
        <v>30.78</v>
      </c>
      <c r="E29" s="1" t="n">
        <v>0.256598300008733</v>
      </c>
      <c r="F29" s="1" t="n">
        <v>0.818224023423837</v>
      </c>
      <c r="G29" s="32" t="s">
        <v>955</v>
      </c>
      <c r="H29" s="1" t="n">
        <v>100</v>
      </c>
      <c r="I29" s="1" t="n">
        <v>0</v>
      </c>
      <c r="J29" s="1" t="str">
        <f aca="false">IFERROR(INDEX($G$2:$G29,MATCH(1,($B$2:$B29=B29)*($A$2:$A29&lt;A29),0)),"")</f>
        <v/>
      </c>
      <c r="K29" s="1" t="n">
        <f aca="false">IF(AND(J29="观察池",G29="核心池"),1,0)</f>
        <v>0</v>
      </c>
      <c r="L29" s="1" t="n">
        <f aca="false">IF(G29&lt;&gt;"核心池",0,IF(J29="核心池",L29+1,1))</f>
        <v>0</v>
      </c>
      <c r="M29" s="1" t="str">
        <f aca="false">IF(L29&gt;=3,"信号强化",IF(K29=1,"观察转核心",""))</f>
        <v/>
      </c>
    </row>
    <row r="30" customFormat="false" ht="15" hidden="false" customHeight="true" outlineLevel="0" collapsed="false">
      <c r="A30" s="55" t="n">
        <v>46229</v>
      </c>
      <c r="B30" s="1" t="s">
        <v>964</v>
      </c>
      <c r="C30" s="32" t="s">
        <v>965</v>
      </c>
      <c r="D30" s="1" t="n">
        <v>14.68</v>
      </c>
      <c r="E30" s="1" t="n">
        <v>0.263771783517079</v>
      </c>
      <c r="F30" s="1" t="n">
        <v>0.816513962155352</v>
      </c>
      <c r="G30" s="32" t="s">
        <v>955</v>
      </c>
      <c r="H30" s="1" t="n">
        <v>100</v>
      </c>
      <c r="I30" s="1" t="n">
        <v>0</v>
      </c>
      <c r="J30" s="1" t="str">
        <f aca="false">IFERROR(INDEX($G$2:$G30,MATCH(1,($B$2:$B30=B30)*($A$2:$A30&lt;A30),0)),"")</f>
        <v/>
      </c>
      <c r="K30" s="1" t="n">
        <f aca="false">IF(AND(J30="观察池",G30="核心池"),1,0)</f>
        <v>0</v>
      </c>
      <c r="L30" s="1" t="n">
        <f aca="false">IF(G30&lt;&gt;"核心池",0,IF(J30="核心池",L30+1,1))</f>
        <v>0</v>
      </c>
      <c r="M30" s="1" t="str">
        <f aca="false">IF(L30&gt;=3,"信号强化",IF(K30=1,"观察转核心",""))</f>
        <v/>
      </c>
    </row>
    <row r="31" customFormat="false" ht="15" hidden="false" customHeight="true" outlineLevel="0" collapsed="false">
      <c r="A31" s="55" t="n">
        <v>46229</v>
      </c>
      <c r="B31" s="1" t="s">
        <v>966</v>
      </c>
      <c r="C31" s="32" t="s">
        <v>967</v>
      </c>
      <c r="D31" s="1" t="n">
        <v>7.71</v>
      </c>
      <c r="E31" s="1" t="n">
        <v>0.17665125667976</v>
      </c>
      <c r="F31" s="1" t="n">
        <v>0.810842164228016</v>
      </c>
      <c r="G31" s="32" t="s">
        <v>955</v>
      </c>
      <c r="H31" s="1" t="n">
        <v>200</v>
      </c>
      <c r="I31" s="1" t="n">
        <v>0</v>
      </c>
      <c r="J31" s="1" t="str">
        <f aca="false">IFERROR(INDEX($G$2:$G31,MATCH(1,($B$2:$B31=B31)*($A$2:$A31&lt;A31),0)),"")</f>
        <v/>
      </c>
      <c r="K31" s="1" t="n">
        <f aca="false">IF(AND(J31="观察池",G31="核心池"),1,0)</f>
        <v>0</v>
      </c>
      <c r="L31" s="1" t="n">
        <f aca="false">IF(G31&lt;&gt;"核心池",0,IF(J31="核心池",L31+1,1))</f>
        <v>0</v>
      </c>
      <c r="M31" s="1" t="str">
        <f aca="false">IF(L31&gt;=3,"信号强化",IF(K31=1,"观察转核心",""))</f>
        <v/>
      </c>
    </row>
    <row r="32" customFormat="false" ht="15" hidden="false" customHeight="true" outlineLevel="0" collapsed="false">
      <c r="A32" s="1" t="s">
        <v>968</v>
      </c>
      <c r="B32" s="1" t="s">
        <v>964</v>
      </c>
      <c r="C32" s="32" t="s">
        <v>965</v>
      </c>
      <c r="G32" s="32" t="s">
        <v>969</v>
      </c>
      <c r="M32" s="1" t="s">
        <v>970</v>
      </c>
    </row>
    <row r="33" customFormat="false" ht="15" hidden="false" customHeight="true" outlineLevel="0" collapsed="false">
      <c r="A33" s="1" t="s">
        <v>968</v>
      </c>
      <c r="B33" s="1" t="s">
        <v>401</v>
      </c>
      <c r="C33" s="32" t="s">
        <v>400</v>
      </c>
      <c r="G33" s="32" t="s">
        <v>969</v>
      </c>
      <c r="M33" s="1" t="s">
        <v>970</v>
      </c>
    </row>
    <row r="34" customFormat="false" ht="15" hidden="false" customHeight="true" outlineLevel="0" collapsed="false">
      <c r="A34" s="1" t="s">
        <v>968</v>
      </c>
      <c r="B34" s="1" t="s">
        <v>951</v>
      </c>
      <c r="C34" s="32" t="s">
        <v>952</v>
      </c>
      <c r="G34" s="32" t="s">
        <v>969</v>
      </c>
      <c r="M34" s="1" t="s">
        <v>970</v>
      </c>
    </row>
    <row r="35" customFormat="false" ht="15" hidden="false" customHeight="true" outlineLevel="0" collapsed="false">
      <c r="A35" s="1" t="s">
        <v>968</v>
      </c>
      <c r="B35" s="1" t="s">
        <v>949</v>
      </c>
      <c r="C35" s="32" t="s">
        <v>950</v>
      </c>
      <c r="G35" s="32" t="s">
        <v>969</v>
      </c>
      <c r="M35" s="1" t="s">
        <v>970</v>
      </c>
    </row>
    <row r="36" customFormat="false" ht="15" hidden="false" customHeight="true" outlineLevel="0" collapsed="false">
      <c r="A36" s="1" t="s">
        <v>968</v>
      </c>
      <c r="B36" s="1" t="s">
        <v>943</v>
      </c>
      <c r="C36" s="32" t="s">
        <v>944</v>
      </c>
      <c r="G36" s="32" t="s">
        <v>969</v>
      </c>
      <c r="M36" s="1" t="s">
        <v>970</v>
      </c>
    </row>
    <row r="37" customFormat="false" ht="15" hidden="false" customHeight="true" outlineLevel="0" collapsed="false">
      <c r="A37" s="1" t="s">
        <v>968</v>
      </c>
      <c r="B37" s="1" t="s">
        <v>934</v>
      </c>
      <c r="C37" s="32" t="s">
        <v>935</v>
      </c>
      <c r="G37" s="32" t="s">
        <v>969</v>
      </c>
      <c r="M37" s="1" t="s">
        <v>970</v>
      </c>
    </row>
    <row r="38" customFormat="false" ht="15" hidden="false" customHeight="true" outlineLevel="0" collapsed="false">
      <c r="A38" s="1" t="s">
        <v>968</v>
      </c>
      <c r="B38" s="1" t="s">
        <v>408</v>
      </c>
      <c r="C38" s="32" t="s">
        <v>407</v>
      </c>
      <c r="G38" s="32" t="s">
        <v>969</v>
      </c>
      <c r="M38" s="1" t="s">
        <v>970</v>
      </c>
    </row>
    <row r="39" customFormat="false" ht="15" hidden="false" customHeight="true" outlineLevel="0" collapsed="false">
      <c r="A39" s="1" t="s">
        <v>968</v>
      </c>
      <c r="B39" s="1" t="s">
        <v>928</v>
      </c>
      <c r="C39" s="32" t="s">
        <v>929</v>
      </c>
      <c r="G39" s="32" t="s">
        <v>969</v>
      </c>
      <c r="M39" s="1" t="s">
        <v>970</v>
      </c>
    </row>
    <row r="40" customFormat="false" ht="15" hidden="false" customHeight="true" outlineLevel="0" collapsed="false">
      <c r="A40" s="1" t="s">
        <v>968</v>
      </c>
      <c r="B40" s="1" t="s">
        <v>513</v>
      </c>
      <c r="C40" s="32" t="s">
        <v>512</v>
      </c>
      <c r="G40" s="32" t="s">
        <v>969</v>
      </c>
      <c r="M40" s="1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2026-07-20T23:39:09Z</dcterms:created>
  <dc:creator>openpyxl</dc:creator>
  <dc:description/>
  <dc:language>en-US</dc:language>
  <cp:lastModifiedBy/>
  <dcterms:modified xsi:type="dcterms:W3CDTF">2026-10-13T15:18:48Z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