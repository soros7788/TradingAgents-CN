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执行清单" sheetId="1" state="visible" r:id="rId2"/>
    <sheet name="关键变量表" sheetId="2" state="visible" r:id="rId3"/>
    <sheet name="账户总表" sheetId="3" state="visible" r:id="rId4"/>
    <sheet name="持仓表" sheetId="4" state="visible" r:id="rId5"/>
    <sheet name="候选池" sheetId="5" state="visible" r:id="rId6"/>
    <sheet name="交易记录" sheetId="6" state="visible" r:id="rId7"/>
    <sheet name="心态日志" sheetId="7" state="visible" r:id="rId8"/>
    <sheet name="周复盘" sheetId="8" state="visible" r:id="rId9"/>
  </sheets>
  <definedNames>
    <definedName function="false" hidden="true" localSheetId="5" name="_xlnm._FilterDatabase" vbProcedure="false">交易记录!$A$1:$U$201</definedName>
    <definedName function="false" hidden="true" localSheetId="4" name="_xlnm._FilterDatabase" vbProcedure="false">候选池!$A$1:$AE$201</definedName>
    <definedName function="false" hidden="true" localSheetId="1" name="_xlnm._FilterDatabase" vbProcedure="false">关键变量表!$A$1:$H$18</definedName>
    <definedName function="false" hidden="true" localSheetId="7" name="_xlnm._FilterDatabase" vbProcedure="false">周复盘!$A$1:$V$201</definedName>
    <definedName function="false" hidden="true" localSheetId="6" name="_xlnm._FilterDatabase" vbProcedure="false">心态日志!$A$1:$P$201</definedName>
    <definedName function="false" hidden="true" localSheetId="0" name="_xlnm._FilterDatabase" vbProcedure="false">执行清单!$A$1:$G$21</definedName>
    <definedName function="false" hidden="true" localSheetId="3" name="_xlnm._FilterDatabase" vbProcedure="false">持仓表!$A$1:$AD$201</definedName>
    <definedName function="false" hidden="true" localSheetId="2" name="_xlnm._FilterDatabase" vbProcedure="false">账户总表!$A$1:$AE$201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<sst xmlns="http://schemas.openxmlformats.org/spreadsheetml/2006/main" count="815" uniqueCount="557">
  <si>
    <t xml:space="preserve">流程</t>
  </si>
  <si>
    <t xml:space="preserve">检查项</t>
  </si>
  <si>
    <t xml:space="preserve">判断依据</t>
  </si>
  <si>
    <t xml:space="preserve">自动结论</t>
  </si>
  <si>
    <t xml:space="preserve">手动确认</t>
  </si>
  <si>
    <t xml:space="preserve">不通过动作</t>
  </si>
  <si>
    <t xml:space="preserve">备注</t>
  </si>
  <si>
    <t xml:space="preserve">周末</t>
  </si>
  <si>
    <t xml:space="preserve">赚钱效应分数已更新</t>
  </si>
  <si>
    <t xml:space="preserve">账户总表!赚钱效应分数</t>
  </si>
  <si>
    <t xml:space="preserve">未更新则不生成下周买入计划</t>
  </si>
  <si>
    <t xml:space="preserve">亏钱效应分数已更新</t>
  </si>
  <si>
    <t xml:space="preserve">账户总表!亏钱效应分数</t>
  </si>
  <si>
    <t xml:space="preserve">未更新则默认按警戒处理</t>
  </si>
  <si>
    <t xml:space="preserve">候选池已生成</t>
  </si>
  <si>
    <t xml:space="preserve">ratio / DL_P / valid / SignalType</t>
  </si>
  <si>
    <t xml:space="preserve">没有候选池则周一不新开仓</t>
  </si>
  <si>
    <t xml:space="preserve">周一盘前</t>
  </si>
  <si>
    <t xml:space="preserve">账户状态不是防守</t>
  </si>
  <si>
    <t xml:space="preserve">当前状态 &lt;&gt; 防守</t>
  </si>
  <si>
    <t xml:space="preserve">防守状态只处理持仓风险</t>
  </si>
  <si>
    <t xml:space="preserve">允许新开仓</t>
  </si>
  <si>
    <t xml:space="preserve">账户总表!是否允许新开仓</t>
  </si>
  <si>
    <t xml:space="preserve">不允许则取消新增买入</t>
  </si>
  <si>
    <t xml:space="preserve">未暂停买入</t>
  </si>
  <si>
    <t xml:space="preserve">账户总表!是否暂停买入 = 否</t>
  </si>
  <si>
    <t xml:space="preserve">暂停买入时只允许卖出/减仓</t>
  </si>
  <si>
    <t xml:space="preserve">总仓位未超上限</t>
  </si>
  <si>
    <t xml:space="preserve">总仓位 &lt;= 总仓位上限</t>
  </si>
  <si>
    <t xml:space="preserve">超限先减仓，不新买</t>
  </si>
  <si>
    <t xml:space="preserve">有效持仓数未超上限</t>
  </si>
  <si>
    <t xml:space="preserve">有效持仓数 &lt;= 有效持仓上限</t>
  </si>
  <si>
    <t xml:space="preserve">超限则不新增标的</t>
  </si>
  <si>
    <t xml:space="preserve">亏钱效应可控</t>
  </si>
  <si>
    <t xml:space="preserve">亏钱效应分数 &lt;= 2</t>
  </si>
  <si>
    <t xml:space="preserve">亏钱效应偏高则暂停转入/新开</t>
  </si>
  <si>
    <t xml:space="preserve">存在最终可买候选</t>
  </si>
  <si>
    <t xml:space="preserve">候选池!最终是否可买 = 是</t>
  </si>
  <si>
    <t xml:space="preserve">没有可买候选则不下单</t>
  </si>
  <si>
    <t xml:space="preserve">盘中买入</t>
  </si>
  <si>
    <t xml:space="preserve">只买最终可买=是的标的</t>
  </si>
  <si>
    <t xml:space="preserve">候选池!最终是否可买</t>
  </si>
  <si>
    <t xml:space="preserve">任一条件为否则不买</t>
  </si>
  <si>
    <t xml:space="preserve">止损价和失效条件已写</t>
  </si>
  <si>
    <r>
      <rPr>
        <sz val="11"/>
        <color rgb="FF000000"/>
        <rFont val="Calibri"/>
        <family val="2"/>
        <charset val="1"/>
      </rPr>
      <t xml:space="preserve">StopPrice &gt; 0 </t>
    </r>
    <r>
      <rPr>
        <sz val="11"/>
        <color rgb="FF000000"/>
        <rFont val="Noto Sans CJK SC"/>
        <family val="2"/>
      </rPr>
      <t xml:space="preserve">且 </t>
    </r>
    <r>
      <rPr>
        <sz val="11"/>
        <color rgb="FF000000"/>
        <rFont val="Calibri"/>
        <family val="2"/>
        <charset val="1"/>
      </rPr>
      <t xml:space="preserve">InvalidationCondition </t>
    </r>
    <r>
      <rPr>
        <sz val="11"/>
        <color rgb="FF000000"/>
        <rFont val="Noto Sans CJK SC"/>
        <family val="2"/>
      </rPr>
      <t xml:space="preserve">非空</t>
    </r>
  </si>
  <si>
    <t xml:space="preserve">没写清楚不下单</t>
  </si>
  <si>
    <t xml:space="preserve">不是追价情绪单</t>
  </si>
  <si>
    <r>
      <rPr>
        <sz val="11"/>
        <color rgb="FF000000"/>
        <rFont val="Calibri"/>
        <family val="2"/>
        <charset val="1"/>
      </rPr>
      <t xml:space="preserve">Price &lt;= SignalPrice * 1.02 </t>
    </r>
    <r>
      <rPr>
        <sz val="11"/>
        <color rgb="FF000000"/>
        <rFont val="Noto Sans CJK SC"/>
        <family val="2"/>
      </rPr>
      <t xml:space="preserve">或回踩确认</t>
    </r>
  </si>
  <si>
    <t xml:space="preserve">追价则取消委托</t>
  </si>
  <si>
    <t xml:space="preserve">持仓处理</t>
  </si>
  <si>
    <t xml:space="preserve">没有必须卖出的持仓</t>
  </si>
  <si>
    <t xml:space="preserve">执行结论不含立即卖出/次日卖出</t>
  </si>
  <si>
    <t xml:space="preserve">先卖出，再考虑新买</t>
  </si>
  <si>
    <r>
      <rPr>
        <sz val="11"/>
        <color rgb="FF000000"/>
        <rFont val="Calibri"/>
        <family val="2"/>
        <charset val="1"/>
      </rPr>
      <t xml:space="preserve">RiskWatch </t>
    </r>
    <r>
      <rPr>
        <sz val="11"/>
        <color rgb="FF000000"/>
        <rFont val="Noto Sans CJK SC"/>
        <family val="2"/>
      </rPr>
      <t xml:space="preserve">已复核</t>
    </r>
  </si>
  <si>
    <r>
      <rPr>
        <sz val="11"/>
        <color rgb="FF000000"/>
        <rFont val="Calibri"/>
        <family val="2"/>
        <charset val="1"/>
      </rPr>
      <t xml:space="preserve">RiskWatch = </t>
    </r>
    <r>
      <rPr>
        <sz val="11"/>
        <color rgb="FF000000"/>
        <rFont val="Noto Sans CJK SC"/>
        <family val="2"/>
      </rPr>
      <t xml:space="preserve">是的持仓逐只检查</t>
    </r>
  </si>
  <si>
    <t xml:space="preserve">观察股不加仓，重点看止损</t>
  </si>
  <si>
    <t xml:space="preserve">转入转出</t>
  </si>
  <si>
    <t xml:space="preserve">转入只服务合规缺口</t>
  </si>
  <si>
    <t xml:space="preserve">是否允许转入=是 且 候选池提示缺口</t>
  </si>
  <si>
    <t xml:space="preserve">先有合规候选，再转入</t>
  </si>
  <si>
    <t xml:space="preserve">防守转出已检查</t>
  </si>
  <si>
    <t xml:space="preserve">账户计划转出金额</t>
  </si>
  <si>
    <t xml:space="preserve">防守/利润转出分开处理</t>
  </si>
  <si>
    <t xml:space="preserve">收盘后</t>
  </si>
  <si>
    <t xml:space="preserve">交易记录已补全</t>
  </si>
  <si>
    <t xml:space="preserve">成交价/股数/金额/止损/原因</t>
  </si>
  <si>
    <t xml:space="preserve">不记录则次日不新增交易</t>
  </si>
  <si>
    <t xml:space="preserve">持仓表已更新</t>
  </si>
  <si>
    <t xml:space="preserve">Close / ratio / DL_P / valid</t>
  </si>
  <si>
    <t xml:space="preserve">未更新则不依赖次日公式结论</t>
  </si>
  <si>
    <t xml:space="preserve">周复盘</t>
  </si>
  <si>
    <t xml:space="preserve">本周最大问题只写一条</t>
  </si>
  <si>
    <t xml:space="preserve">周复盘!本周最大问题</t>
  </si>
  <si>
    <t xml:space="preserve">只修最主要的执行偏差</t>
  </si>
  <si>
    <t xml:space="preserve">每日</t>
  </si>
  <si>
    <t xml:space="preserve">心态日志已填写</t>
  </si>
  <si>
    <t xml:space="preserve">盘中看盘/情绪/执行</t>
  </si>
  <si>
    <t xml:space="preserve">未填写则心态得分缺失</t>
  </si>
  <si>
    <t xml:space="preserve">盘中看盘次数&lt;=1</t>
  </si>
  <si>
    <t xml:space="preserve">心态日志!盘中看盘次数</t>
  </si>
  <si>
    <t xml:space="preserve">超1次需说明原因</t>
  </si>
  <si>
    <t xml:space="preserve">无止损外操作</t>
  </si>
  <si>
    <t xml:space="preserve">心态日志!是否有止损外操作</t>
  </si>
  <si>
    <t xml:space="preserve">偏离系统=心态偏离</t>
  </si>
  <si>
    <t xml:space="preserve">每周</t>
  </si>
  <si>
    <t xml:space="preserve">心态趋势已复盘</t>
  </si>
  <si>
    <t xml:space="preserve">心态日志!心态趋势</t>
  </si>
  <si>
    <t xml:space="preserve">连续恶化需调整策略</t>
  </si>
  <si>
    <t xml:space="preserve">连续达标天数&gt;=3</t>
  </si>
  <si>
    <t xml:space="preserve">心态日志!连续达标天数</t>
  </si>
  <si>
    <t xml:space="preserve">低于3天需加强纪律</t>
  </si>
  <si>
    <t xml:space="preserve">类型</t>
  </si>
  <si>
    <t xml:space="preserve">变量名</t>
  </si>
  <si>
    <r>
      <rPr>
        <b val="true"/>
        <sz val="11"/>
        <color rgb="FFFFFFFF"/>
        <rFont val="Cambria"/>
        <family val="0"/>
        <charset val="1"/>
      </rPr>
      <t xml:space="preserve">Excel</t>
    </r>
    <r>
      <rPr>
        <b val="true"/>
        <sz val="11"/>
        <color rgb="FFFFFFFF"/>
        <rFont val="Noto Sans CJK SC"/>
        <family val="2"/>
      </rPr>
      <t xml:space="preserve">字段</t>
    </r>
  </si>
  <si>
    <t xml:space="preserve">计算方式</t>
  </si>
  <si>
    <t xml:space="preserve">触发阈值</t>
  </si>
  <si>
    <t xml:space="preserve">影响动作</t>
  </si>
  <si>
    <t xml:space="preserve">复盘频率</t>
  </si>
  <si>
    <t xml:space="preserve">生存变量</t>
  </si>
  <si>
    <t xml:space="preserve">MaxDrawdown</t>
  </si>
  <si>
    <t xml:space="preserve">账户总表!最大回撤</t>
  </si>
  <si>
    <t xml:space="preserve">(TotalAsset-PeakAsset)/PeakAsset</t>
  </si>
  <si>
    <t xml:space="preserve">&lt;=-10%, &lt;=-15%</t>
  </si>
  <si>
    <t xml:space="preserve">降总仓位/禁止新买入</t>
  </si>
  <si>
    <t xml:space="preserve">每日+周复盘</t>
  </si>
  <si>
    <t xml:space="preserve">决定系统是否降速</t>
  </si>
  <si>
    <t xml:space="preserve">单笔止损</t>
  </si>
  <si>
    <t xml:space="preserve">持仓表!止损价</t>
  </si>
  <si>
    <t xml:space="preserve">max(BuyPointLow*0.98, EntryPrice*0.92)</t>
  </si>
  <si>
    <t xml:space="preserve">Price&lt;=StopPrice</t>
  </si>
  <si>
    <t xml:space="preserve">次日卖出或立即卖出</t>
  </si>
  <si>
    <t xml:space="preserve">买前必须定义</t>
  </si>
  <si>
    <t xml:space="preserve">连续亏损</t>
  </si>
  <si>
    <t xml:space="preserve">交易记录!结果分类</t>
  </si>
  <si>
    <t xml:space="preserve">近5笔亏损数</t>
  </si>
  <si>
    <r>
      <rPr>
        <sz val="11"/>
        <color rgb="FF1F4E79"/>
        <rFont val="Cambria"/>
        <family val="0"/>
        <charset val="1"/>
      </rPr>
      <t xml:space="preserve">&gt;=3</t>
    </r>
    <r>
      <rPr>
        <sz val="11"/>
        <color rgb="FF1F4E79"/>
        <rFont val="Noto Sans CJK SC"/>
        <family val="2"/>
      </rPr>
      <t xml:space="preserve">笔</t>
    </r>
  </si>
  <si>
    <t xml:space="preserve">暂停新开仓5个交易日</t>
  </si>
  <si>
    <t xml:space="preserve">每次成交后</t>
  </si>
  <si>
    <t xml:space="preserve">后续可扩展公式</t>
  </si>
  <si>
    <t xml:space="preserve">扩张变量</t>
  </si>
  <si>
    <t xml:space="preserve">赚钱效应分数</t>
  </si>
  <si>
    <r>
      <rPr>
        <sz val="11"/>
        <color rgb="FF1F4E79"/>
        <rFont val="Cambria"/>
        <family val="0"/>
        <charset val="1"/>
      </rPr>
      <t xml:space="preserve">0-5</t>
    </r>
    <r>
      <rPr>
        <sz val="11"/>
        <color rgb="FF1F4E79"/>
        <rFont val="Noto Sans CJK SC"/>
        <family val="2"/>
      </rPr>
      <t xml:space="preserve">分</t>
    </r>
  </si>
  <si>
    <t xml:space="preserve">&gt;=3</t>
  </si>
  <si>
    <t xml:space="preserve">允许转入/扩大执行</t>
  </si>
  <si>
    <t xml:space="preserve">强时按系数放大转入</t>
  </si>
  <si>
    <t xml:space="preserve">合规候选数量</t>
  </si>
  <si>
    <r>
      <rPr>
        <sz val="11"/>
        <color rgb="FF1F4E79"/>
        <rFont val="Cambria"/>
        <family val="0"/>
        <charset val="1"/>
      </rPr>
      <t xml:space="preserve">COUNTIF(...,"</t>
    </r>
    <r>
      <rPr>
        <sz val="11"/>
        <color rgb="FF1F4E79"/>
        <rFont val="Noto Sans CJK SC"/>
        <family val="2"/>
      </rPr>
      <t xml:space="preserve">是</t>
    </r>
    <r>
      <rPr>
        <sz val="11"/>
        <color rgb="FF1F4E79"/>
        <rFont val="Cambria"/>
        <family val="0"/>
        <charset val="1"/>
      </rPr>
      <t xml:space="preserve">")</t>
    </r>
  </si>
  <si>
    <t xml:space="preserve">&gt;=1</t>
  </si>
  <si>
    <t xml:space="preserve">准备买入计划</t>
  </si>
  <si>
    <t xml:space="preserve">周末+盘前</t>
  </si>
  <si>
    <t xml:space="preserve">只统计规则通过标的</t>
  </si>
  <si>
    <t xml:space="preserve">收缩变量</t>
  </si>
  <si>
    <t xml:space="preserve">亏钱效应分数</t>
  </si>
  <si>
    <r>
      <rPr>
        <sz val="11"/>
        <color rgb="FF1F4E79"/>
        <rFont val="Cambria"/>
        <family val="0"/>
        <charset val="1"/>
      </rPr>
      <t xml:space="preserve">0-6</t>
    </r>
    <r>
      <rPr>
        <sz val="11"/>
        <color rgb="FF1F4E79"/>
        <rFont val="Noto Sans CJK SC"/>
        <family val="2"/>
      </rPr>
      <t xml:space="preserve">分</t>
    </r>
  </si>
  <si>
    <r>
      <rPr>
        <sz val="11"/>
        <color rgb="FF1F4E79"/>
        <rFont val="Cambria"/>
        <family val="0"/>
        <charset val="1"/>
      </rPr>
      <t xml:space="preserve">&gt;=3</t>
    </r>
    <r>
      <rPr>
        <sz val="11"/>
        <color rgb="FF1F4E79"/>
        <rFont val="Noto Sans CJK SC"/>
        <family val="2"/>
      </rPr>
      <t xml:space="preserve">警戒</t>
    </r>
    <r>
      <rPr>
        <sz val="11"/>
        <color rgb="FF1F4E79"/>
        <rFont val="Cambria"/>
        <family val="0"/>
        <charset val="1"/>
      </rPr>
      <t xml:space="preserve">, &gt;=4</t>
    </r>
    <r>
      <rPr>
        <sz val="11"/>
        <color rgb="FF1F4E79"/>
        <rFont val="Noto Sans CJK SC"/>
        <family val="2"/>
      </rPr>
      <t xml:space="preserve">防守</t>
    </r>
  </si>
  <si>
    <t xml:space="preserve">暂停转入/提高现金</t>
  </si>
  <si>
    <t xml:space="preserve">每日+周末</t>
  </si>
  <si>
    <t xml:space="preserve">优先级高于赚钱效应</t>
  </si>
  <si>
    <t xml:space="preserve">RiskWatch</t>
  </si>
  <si>
    <t xml:space="preserve">持仓表!RiskWatch</t>
  </si>
  <si>
    <t xml:space="preserve">Close&lt;EntryPrice AND DL_P&lt;0.8</t>
  </si>
  <si>
    <t xml:space="preserve">True</t>
  </si>
  <si>
    <t xml:space="preserve">重点盯防</t>
  </si>
  <si>
    <t xml:space="preserve">观察不等于立即卖出</t>
  </si>
  <si>
    <t xml:space="preserve">仓位变量</t>
  </si>
  <si>
    <t xml:space="preserve">TotalPositionCap</t>
  </si>
  <si>
    <t xml:space="preserve">账户总表!总仓位上限</t>
  </si>
  <si>
    <t xml:space="preserve">市场状态+信号等级+回撤保护</t>
  </si>
  <si>
    <t xml:space="preserve">最高70%</t>
  </si>
  <si>
    <t xml:space="preserve">限制新增买入</t>
  </si>
  <si>
    <t xml:space="preserve">硬性仓位上限</t>
  </si>
  <si>
    <t xml:space="preserve">SingleStockCap</t>
  </si>
  <si>
    <t xml:space="preserve">账户总表!单股上限</t>
  </si>
  <si>
    <t xml:space="preserve">按总资产分档</t>
  </si>
  <si>
    <t xml:space="preserve">20%-35%</t>
  </si>
  <si>
    <t xml:space="preserve">限制单票暴露</t>
  </si>
  <si>
    <t xml:space="preserve">非WAIVED适用</t>
  </si>
  <si>
    <t xml:space="preserve">MaxShares/MinShares</t>
  </si>
  <si>
    <t xml:space="preserve">候选池!最大/最小可买股数</t>
  </si>
  <si>
    <r>
      <rPr>
        <sz val="11"/>
        <color rgb="FF1F4E79"/>
        <rFont val="Cambria"/>
        <family val="0"/>
        <charset val="1"/>
      </rPr>
      <t xml:space="preserve">100</t>
    </r>
    <r>
      <rPr>
        <sz val="11"/>
        <color rgb="FF1F4E79"/>
        <rFont val="Noto Sans CJK SC"/>
        <family val="2"/>
      </rPr>
      <t xml:space="preserve">股整数约束</t>
    </r>
  </si>
  <si>
    <t xml:space="preserve">Max&gt;=Min</t>
  </si>
  <si>
    <t xml:space="preserve">决定是否可落地交易</t>
  </si>
  <si>
    <t xml:space="preserve">盘前</t>
  </si>
  <si>
    <r>
      <rPr>
        <sz val="11"/>
        <color rgb="FF1F4E79"/>
        <rFont val="Cambria"/>
        <family val="0"/>
        <charset val="1"/>
      </rPr>
      <t xml:space="preserve">A</t>
    </r>
    <r>
      <rPr>
        <sz val="11"/>
        <color rgb="FF1F4E79"/>
        <rFont val="Noto Sans CJK SC"/>
        <family val="2"/>
      </rPr>
      <t xml:space="preserve">股最小单位适配</t>
    </r>
  </si>
  <si>
    <t xml:space="preserve">执行变量</t>
  </si>
  <si>
    <t xml:space="preserve">NotChasing</t>
  </si>
  <si>
    <t xml:space="preserve">候选池!是否未追价</t>
  </si>
  <si>
    <t xml:space="preserve">Price&lt;=SignalPrice*1.02</t>
  </si>
  <si>
    <t xml:space="preserve">是</t>
  </si>
  <si>
    <t xml:space="preserve">禁止情绪追价</t>
  </si>
  <si>
    <t xml:space="preserve">盘前+盘中</t>
  </si>
  <si>
    <t xml:space="preserve">高开无回踩不买</t>
  </si>
  <si>
    <t xml:space="preserve">StopDefined</t>
  </si>
  <si>
    <t xml:space="preserve">候选池!止损价</t>
  </si>
  <si>
    <t xml:space="preserve">StopPrice&gt;0</t>
  </si>
  <si>
    <t xml:space="preserve">买入资格前提</t>
  </si>
  <si>
    <t xml:space="preserve">没有止损不买</t>
  </si>
  <si>
    <t xml:space="preserve">Buy</t>
  </si>
  <si>
    <t xml:space="preserve">多条件AND</t>
  </si>
  <si>
    <t xml:space="preserve">允许下单</t>
  </si>
  <si>
    <t xml:space="preserve">盘中只看是/否</t>
  </si>
  <si>
    <t xml:space="preserve">复利变量</t>
  </si>
  <si>
    <t xml:space="preserve">初始本金</t>
  </si>
  <si>
    <t xml:space="preserve">账户总表!初始本金</t>
  </si>
  <si>
    <t xml:space="preserve">手工输入</t>
  </si>
  <si>
    <t xml:space="preserve">&gt;0</t>
  </si>
  <si>
    <t xml:space="preserve">复利基准</t>
  </si>
  <si>
    <t xml:space="preserve">首次入金时</t>
  </si>
  <si>
    <t xml:space="preserve">只在AA2输入一次</t>
  </si>
  <si>
    <t xml:space="preserve">目标年化收益率</t>
  </si>
  <si>
    <t xml:space="preserve">账户总表!目标年化收益率</t>
  </si>
  <si>
    <t xml:space="preserve">手工输入(默认30%)</t>
  </si>
  <si>
    <t xml:space="preserve">0-100%</t>
  </si>
  <si>
    <t xml:space="preserve">复利目标</t>
  </si>
  <si>
    <t xml:space="preserve">可根据阶段调整</t>
  </si>
  <si>
    <t xml:space="preserve">目标超额转出比例</t>
  </si>
  <si>
    <t xml:space="preserve">账户总表!Y列转出系数</t>
  </si>
  <si>
    <r>
      <rPr>
        <sz val="11"/>
        <color rgb="FF1F4E79"/>
        <rFont val="Cambria"/>
        <family val="0"/>
        <charset val="1"/>
      </rPr>
      <t xml:space="preserve">(</t>
    </r>
    <r>
      <rPr>
        <sz val="11"/>
        <color rgb="FF1F4E79"/>
        <rFont val="Noto Sans CJK SC"/>
        <family val="2"/>
      </rPr>
      <t xml:space="preserve">总资产</t>
    </r>
    <r>
      <rPr>
        <sz val="11"/>
        <color rgb="FF1F4E79"/>
        <rFont val="Cambria"/>
        <family val="0"/>
        <charset val="1"/>
      </rPr>
      <t xml:space="preserve">-</t>
    </r>
    <r>
      <rPr>
        <sz val="11"/>
        <color rgb="FF1F4E79"/>
        <rFont val="Noto Sans CJK SC"/>
        <family val="2"/>
      </rPr>
      <t xml:space="preserve">目标资产</t>
    </r>
    <r>
      <rPr>
        <sz val="11"/>
        <color rgb="FF1F4E79"/>
        <rFont val="Cambria"/>
        <family val="0"/>
        <charset val="1"/>
      </rPr>
      <t xml:space="preserve">)*30%</t>
    </r>
  </si>
  <si>
    <t xml:space="preserve">30%</t>
  </si>
  <si>
    <t xml:space="preserve">超目标后转出比例</t>
  </si>
  <si>
    <t xml:space="preserve">只有超过目标才转出</t>
  </si>
  <si>
    <t xml:space="preserve">复利偏离度</t>
  </si>
  <si>
    <t xml:space="preserve">账户总表!复利偏离度</t>
  </si>
  <si>
    <t xml:space="preserve">总资产/目标资产-1</t>
  </si>
  <si>
    <r>
      <rPr>
        <sz val="11"/>
        <color rgb="FF1F4E79"/>
        <rFont val="Cambria"/>
        <family val="0"/>
        <charset val="1"/>
      </rPr>
      <t xml:space="preserve">&gt;=10%</t>
    </r>
    <r>
      <rPr>
        <sz val="11"/>
        <color rgb="FF1F4E79"/>
        <rFont val="Noto Sans CJK SC"/>
        <family val="2"/>
      </rPr>
      <t xml:space="preserve">绿 </t>
    </r>
    <r>
      <rPr>
        <sz val="11"/>
        <color rgb="FF1F4E79"/>
        <rFont val="Cambria"/>
        <family val="0"/>
        <charset val="1"/>
      </rPr>
      <t xml:space="preserve">&gt;=0</t>
    </r>
    <r>
      <rPr>
        <sz val="11"/>
        <color rgb="FF1F4E79"/>
        <rFont val="Noto Sans CJK SC"/>
        <family val="2"/>
      </rPr>
      <t xml:space="preserve">浅绿 </t>
    </r>
    <r>
      <rPr>
        <sz val="11"/>
        <color rgb="FF1F4E79"/>
        <rFont val="Cambria"/>
        <family val="0"/>
        <charset val="1"/>
      </rPr>
      <t xml:space="preserve">&lt;0</t>
    </r>
    <r>
      <rPr>
        <sz val="11"/>
        <color rgb="FF1F4E79"/>
        <rFont val="Noto Sans CJK SC"/>
        <family val="2"/>
      </rPr>
      <t xml:space="preserve">黄 </t>
    </r>
    <r>
      <rPr>
        <sz val="11"/>
        <color rgb="FF1F4E79"/>
        <rFont val="Cambria"/>
        <family val="0"/>
        <charset val="1"/>
      </rPr>
      <t xml:space="preserve">&lt;-10%</t>
    </r>
    <r>
      <rPr>
        <sz val="11"/>
        <color rgb="FF1F4E79"/>
        <rFont val="Noto Sans CJK SC"/>
        <family val="2"/>
      </rPr>
      <t xml:space="preserve">红</t>
    </r>
  </si>
  <si>
    <t xml:space="preserve">目标进度指示</t>
  </si>
  <si>
    <t xml:space="preserve">绿=跑赢 红=落后</t>
  </si>
  <si>
    <t xml:space="preserve">心态变量</t>
  </si>
  <si>
    <t xml:space="preserve">心态得分</t>
  </si>
  <si>
    <t xml:space="preserve">心态日志!心态得分</t>
  </si>
  <si>
    <r>
      <rPr>
        <sz val="11"/>
        <color rgb="FF1F4E79"/>
        <rFont val="Cambria"/>
        <family val="0"/>
        <charset val="1"/>
      </rPr>
      <t xml:space="preserve">0-100</t>
    </r>
    <r>
      <rPr>
        <sz val="11"/>
        <color rgb="FF1F4E79"/>
        <rFont val="Noto Sans CJK SC"/>
        <family val="2"/>
      </rPr>
      <t xml:space="preserve">分，</t>
    </r>
    <r>
      <rPr>
        <sz val="11"/>
        <color rgb="FF1F4E79"/>
        <rFont val="Cambria"/>
        <family val="0"/>
        <charset val="1"/>
      </rPr>
      <t xml:space="preserve">5</t>
    </r>
    <r>
      <rPr>
        <sz val="11"/>
        <color rgb="FF1F4E79"/>
        <rFont val="Noto Sans CJK SC"/>
        <family val="2"/>
      </rPr>
      <t xml:space="preserve">项各</t>
    </r>
    <r>
      <rPr>
        <sz val="11"/>
        <color rgb="FF1F4E79"/>
        <rFont val="Cambria"/>
        <family val="0"/>
        <charset val="1"/>
      </rPr>
      <t xml:space="preserve">20</t>
    </r>
    <r>
      <rPr>
        <sz val="11"/>
        <color rgb="FF1F4E79"/>
        <rFont val="Noto Sans CJK SC"/>
        <family val="2"/>
      </rPr>
      <t xml:space="preserve">分</t>
    </r>
  </si>
  <si>
    <r>
      <rPr>
        <sz val="11"/>
        <color rgb="FF1F4E79"/>
        <rFont val="Cambria"/>
        <family val="0"/>
        <charset val="1"/>
      </rPr>
      <t xml:space="preserve">&gt;=80</t>
    </r>
    <r>
      <rPr>
        <sz val="11"/>
        <color rgb="FF1F4E79"/>
        <rFont val="Noto Sans CJK SC"/>
        <family val="2"/>
      </rPr>
      <t xml:space="preserve">达标</t>
    </r>
  </si>
  <si>
    <t xml:space="preserve">达标=轻态化执行好</t>
  </si>
  <si>
    <t xml:space="preserve">第四角指标</t>
  </si>
  <si>
    <t xml:space="preserve">轻态化达标</t>
  </si>
  <si>
    <t xml:space="preserve">心态日志!轻态化达标</t>
  </si>
  <si>
    <t xml:space="preserve">得分&gt;=80%</t>
  </si>
  <si>
    <t xml:space="preserve">达标天数/总天数</t>
  </si>
  <si>
    <t xml:space="preserve">不达标需复盘原因</t>
  </si>
  <si>
    <t xml:space="preserve">趋势跟踪</t>
  </si>
  <si>
    <t xml:space="preserve">连续达标天数</t>
  </si>
  <si>
    <t xml:space="preserve">连续达标记录</t>
  </si>
  <si>
    <r>
      <rPr>
        <sz val="11"/>
        <color rgb="FF1F4E79"/>
        <rFont val="Cambria"/>
        <family val="0"/>
        <charset val="1"/>
      </rPr>
      <t xml:space="preserve">&gt;=5</t>
    </r>
    <r>
      <rPr>
        <sz val="11"/>
        <color rgb="FF1F4E79"/>
        <rFont val="Noto Sans CJK SC"/>
        <family val="2"/>
      </rPr>
      <t xml:space="preserve">天</t>
    </r>
    <r>
      <rPr>
        <sz val="11"/>
        <color rgb="FF1F4E79"/>
        <rFont val="Cambria"/>
        <family val="0"/>
        <charset val="1"/>
      </rPr>
      <t xml:space="preserve">=</t>
    </r>
    <r>
      <rPr>
        <sz val="11"/>
        <color rgb="FF1F4E79"/>
        <rFont val="Noto Sans CJK SC"/>
        <family val="2"/>
      </rPr>
      <t xml:space="preserve">好习惯养成</t>
    </r>
  </si>
  <si>
    <t xml:space="preserve">中断时分析原因</t>
  </si>
  <si>
    <t xml:space="preserve">纪律性指标</t>
  </si>
  <si>
    <t xml:space="preserve">盘中看盘次数</t>
  </si>
  <si>
    <t xml:space="preserve">每日看盘次数</t>
  </si>
  <si>
    <r>
      <rPr>
        <sz val="11"/>
        <color rgb="FF1F4E79"/>
        <rFont val="Cambria"/>
        <family val="0"/>
        <charset val="1"/>
      </rPr>
      <t xml:space="preserve">0</t>
    </r>
    <r>
      <rPr>
        <sz val="11"/>
        <color rgb="FF1F4E79"/>
        <rFont val="Noto Sans CJK SC"/>
        <family val="2"/>
      </rPr>
      <t xml:space="preserve">次</t>
    </r>
    <r>
      <rPr>
        <sz val="11"/>
        <color rgb="FF1F4E79"/>
        <rFont val="Cambria"/>
        <family val="0"/>
        <charset val="1"/>
      </rPr>
      <t xml:space="preserve">=</t>
    </r>
    <r>
      <rPr>
        <sz val="11"/>
        <color rgb="FF1F4E79"/>
        <rFont val="Noto Sans CJK SC"/>
        <family val="2"/>
      </rPr>
      <t xml:space="preserve">满分</t>
    </r>
  </si>
  <si>
    <t xml:space="preserve">目标逐步降至0次</t>
  </si>
  <si>
    <t xml:space="preserve">信息节食核心指标</t>
  </si>
  <si>
    <t xml:space="preserve">日期</t>
  </si>
  <si>
    <t xml:space="preserve">总资产 TotalAsset</t>
  </si>
  <si>
    <t xml:space="preserve">可用现金 CashAvailable</t>
  </si>
  <si>
    <t xml:space="preserve">持仓市值</t>
  </si>
  <si>
    <t xml:space="preserve">总仓位 TotalPositionRatio</t>
  </si>
  <si>
    <t xml:space="preserve">净入金 NetDeposit</t>
  </si>
  <si>
    <t xml:space="preserve">阶段高点资产 PeakAsset</t>
  </si>
  <si>
    <t xml:space="preserve">账户收益率 AccountReturn</t>
  </si>
  <si>
    <t xml:space="preserve">最大回撤 MaxDrawdown</t>
  </si>
  <si>
    <t xml:space="preserve">当前市场状态 MarketState</t>
  </si>
  <si>
    <t xml:space="preserve">本周最高信号等级</t>
  </si>
  <si>
    <t xml:space="preserve">总仓位上限 TotalPositionCap</t>
  </si>
  <si>
    <t xml:space="preserve">单股上限 SingleStockCap</t>
  </si>
  <si>
    <t xml:space="preserve">总持仓数</t>
  </si>
  <si>
    <r>
      <rPr>
        <b val="true"/>
        <sz val="11"/>
        <color rgb="FFFFFFFF"/>
        <rFont val="Cambria"/>
        <family val="0"/>
        <charset val="1"/>
      </rPr>
      <t xml:space="preserve">WAIVED</t>
    </r>
    <r>
      <rPr>
        <b val="true"/>
        <sz val="11"/>
        <color rgb="FFFFFFFF"/>
        <rFont val="Noto Sans CJK SC"/>
        <family val="2"/>
      </rPr>
      <t xml:space="preserve">数</t>
    </r>
  </si>
  <si>
    <t xml:space="preserve">有效持仓数</t>
  </si>
  <si>
    <t xml:space="preserve">有效持仓上限</t>
  </si>
  <si>
    <t xml:space="preserve">当前状态</t>
  </si>
  <si>
    <t xml:space="preserve">是否允许转入</t>
  </si>
  <si>
    <t xml:space="preserve">是否允许新开仓</t>
  </si>
  <si>
    <t xml:space="preserve">是否暂停买入</t>
  </si>
  <si>
    <t xml:space="preserve">本周计划转入金额</t>
  </si>
  <si>
    <t xml:space="preserve">本周计划转出金额</t>
  </si>
  <si>
    <t xml:space="preserve">初始本金 Principal</t>
  </si>
  <si>
    <t xml:space="preserve">目标年化收益率 TargetAnnualReturn</t>
  </si>
  <si>
    <t xml:space="preserve">运行月数 MonthsRunning</t>
  </si>
  <si>
    <t xml:space="preserve">目标资产 TargetAsset</t>
  </si>
  <si>
    <t xml:space="preserve">复利偏离度 CompoundDeviation</t>
  </si>
  <si>
    <t xml:space="preserve">交易股票数 TradeCount</t>
  </si>
  <si>
    <t xml:space="preserve">账户阶段</t>
  </si>
  <si>
    <t xml:space="preserve">平均仓位 AvgPosition</t>
  </si>
  <si>
    <t xml:space="preserve">平均持仓天数 AvgHoldDays</t>
  </si>
  <si>
    <t xml:space="preserve">交易成功率 SuccessRate</t>
  </si>
  <si>
    <t xml:space="preserve">资金周转率 CapitalTurnover</t>
  </si>
  <si>
    <t xml:space="preserve">做T次数 T0Count</t>
  </si>
  <si>
    <t xml:space="preserve">做T成功率 T0SuccessRate</t>
  </si>
  <si>
    <t xml:space="preserve">重仓行业 HeavySector</t>
  </si>
  <si>
    <t xml:space="preserve">投资风格 Style</t>
  </si>
  <si>
    <t xml:space="preserve">跑赢上证 BeatIndex</t>
  </si>
  <si>
    <t xml:space="preserve">净入金后累计盈利 RealPnL</t>
  </si>
  <si>
    <t xml:space="preserve">2026-01-31</t>
  </si>
  <si>
    <t xml:space="preserve">中性</t>
  </si>
  <si>
    <t xml:space="preserve">B</t>
  </si>
  <si>
    <t xml:space="preserve">汽车</t>
  </si>
  <si>
    <t xml:space="preserve">小盘</t>
  </si>
  <si>
    <t xml:space="preserve">否</t>
  </si>
  <si>
    <t xml:space="preserve">2026-02-28</t>
  </si>
  <si>
    <t xml:space="preserve">强</t>
  </si>
  <si>
    <t xml:space="preserve">A</t>
  </si>
  <si>
    <t xml:space="preserve">电子</t>
  </si>
  <si>
    <t xml:space="preserve">中盘成长</t>
  </si>
  <si>
    <t xml:space="preserve">2026-03-31</t>
  </si>
  <si>
    <t xml:space="preserve">弱</t>
  </si>
  <si>
    <t xml:space="preserve">C</t>
  </si>
  <si>
    <t xml:space="preserve">2026-04-30</t>
  </si>
  <si>
    <t xml:space="preserve">2026-05-31</t>
  </si>
  <si>
    <t xml:space="preserve">电力</t>
  </si>
  <si>
    <t xml:space="preserve">中盘价值</t>
  </si>
  <si>
    <t xml:space="preserve">2026-06-30</t>
  </si>
  <si>
    <r>
      <rPr>
        <sz val="11"/>
        <color rgb="FF1F4E79"/>
        <rFont val="Cambria"/>
        <family val="0"/>
        <charset val="1"/>
      </rPr>
      <t xml:space="preserve">12:36</t>
    </r>
    <r>
      <rPr>
        <sz val="11"/>
        <color rgb="FF1F4E79"/>
        <rFont val="Noto Sans CJK SC"/>
        <family val="2"/>
      </rPr>
      <t xml:space="preserve">录入</t>
    </r>
    <r>
      <rPr>
        <sz val="11"/>
        <color rgb="FF1F4E79"/>
        <rFont val="Cambria"/>
        <family val="0"/>
        <charset val="1"/>
      </rPr>
      <t xml:space="preserve">,</t>
    </r>
    <r>
      <rPr>
        <sz val="11"/>
        <color rgb="FF1F4E79"/>
        <rFont val="Noto Sans CJK SC"/>
        <family val="2"/>
      </rPr>
      <t xml:space="preserve">当日盈亏</t>
    </r>
    <r>
      <rPr>
        <sz val="11"/>
        <color rgb="FF1F4E79"/>
        <rFont val="Cambria"/>
        <family val="0"/>
        <charset val="1"/>
      </rPr>
      <t xml:space="preserve">-143</t>
    </r>
    <r>
      <rPr>
        <sz val="11"/>
        <color rgb="FF1F4E79"/>
        <rFont val="Noto Sans CJK SC"/>
        <family val="2"/>
      </rPr>
      <t xml:space="preserve">元</t>
    </r>
  </si>
  <si>
    <t xml:space="preserve">化工</t>
  </si>
  <si>
    <t xml:space="preserve">大盘价值</t>
  </si>
  <si>
    <t xml:space="preserve">股票名称</t>
  </si>
  <si>
    <t xml:space="preserve">代码</t>
  </si>
  <si>
    <t xml:space="preserve">是否WAIVED</t>
  </si>
  <si>
    <r>
      <rPr>
        <b val="true"/>
        <sz val="11"/>
        <color rgb="FFFFFFFF"/>
        <rFont val="Cambria"/>
        <family val="0"/>
        <charset val="1"/>
      </rPr>
      <t xml:space="preserve">WAIVED</t>
    </r>
    <r>
      <rPr>
        <b val="true"/>
        <sz val="11"/>
        <color rgb="FFFFFFFF"/>
        <rFont val="Noto Sans CJK SC"/>
        <family val="2"/>
      </rPr>
      <t xml:space="preserve">基准价</t>
    </r>
  </si>
  <si>
    <t xml:space="preserve">买入日期</t>
  </si>
  <si>
    <t xml:space="preserve">持股数量 Shares</t>
  </si>
  <si>
    <t xml:space="preserve">持仓均价 EntryPrice</t>
  </si>
  <si>
    <t xml:space="preserve">当前价 Close</t>
  </si>
  <si>
    <t xml:space="preserve">成本金额</t>
  </si>
  <si>
    <t xml:space="preserve">浮盈亏金额</t>
  </si>
  <si>
    <t xml:space="preserve">浮盈亏比 ProfitRatio</t>
  </si>
  <si>
    <t xml:space="preserve">持仓占比 PositionRatio</t>
  </si>
  <si>
    <t xml:space="preserve">买点低点 BuyPointLow</t>
  </si>
  <si>
    <t xml:space="preserve">止损价 StopPrice</t>
  </si>
  <si>
    <t xml:space="preserve">是否破止损</t>
  </si>
  <si>
    <t xml:space="preserve">ratio</t>
  </si>
  <si>
    <t xml:space="preserve">DL_P</t>
  </si>
  <si>
    <t xml:space="preserve">valid</t>
  </si>
  <si>
    <t xml:space="preserve">SignalType</t>
  </si>
  <si>
    <t xml:space="preserve">SignalInvalid</t>
  </si>
  <si>
    <t xml:space="preserve">是否确认一卖</t>
  </si>
  <si>
    <t xml:space="preserve">是否超单股上限</t>
  </si>
  <si>
    <t xml:space="preserve">盈亏状态</t>
  </si>
  <si>
    <t xml:space="preserve">处置动作</t>
  </si>
  <si>
    <t xml:space="preserve">执行结论</t>
  </si>
  <si>
    <t xml:space="preserve">处置原因</t>
  </si>
  <si>
    <t xml:space="preserve">东风股份</t>
  </si>
  <si>
    <t xml:space="preserve">600006</t>
  </si>
  <si>
    <t xml:space="preserve">万华化学</t>
  </si>
  <si>
    <t xml:space="preserve">600309</t>
  </si>
  <si>
    <t xml:space="preserve">隆基绿能</t>
  </si>
  <si>
    <t xml:space="preserve">601012</t>
  </si>
  <si>
    <t xml:space="preserve">创力集团</t>
  </si>
  <si>
    <t xml:space="preserve">603012</t>
  </si>
  <si>
    <t xml:space="preserve">2026-07-24</t>
  </si>
  <si>
    <t xml:space="preserve">新五丰</t>
  </si>
  <si>
    <t xml:space="preserve">600975</t>
  </si>
  <si>
    <t xml:space="preserve">方盛制药</t>
  </si>
  <si>
    <t xml:space="preserve">603998</t>
  </si>
  <si>
    <t xml:space="preserve">建研院</t>
  </si>
  <si>
    <t xml:space="preserve">603183</t>
  </si>
  <si>
    <t xml:space="preserve">曲美家居</t>
  </si>
  <si>
    <t xml:space="preserve">603818</t>
  </si>
  <si>
    <t xml:space="preserve">当前价 Price</t>
  </si>
  <si>
    <t xml:space="preserve">信号价 SignalPrice</t>
  </si>
  <si>
    <t xml:space="preserve">信号等级</t>
  </si>
  <si>
    <t xml:space="preserve">是否确认信号 ConfirmedSignal</t>
  </si>
  <si>
    <t xml:space="preserve">是否未追价 NotChasing</t>
  </si>
  <si>
    <t xml:space="preserve">最大持仓金额 MaxPositionValue</t>
  </si>
  <si>
    <t xml:space="preserve">理论最大股数 RawShares</t>
  </si>
  <si>
    <t xml:space="preserve">最大可买股数 MaxShares</t>
  </si>
  <si>
    <t xml:space="preserve">最小可买股数 MinShares</t>
  </si>
  <si>
    <t xml:space="preserve">计划买入股数 BuyShares</t>
  </si>
  <si>
    <t xml:space="preserve">计划买入金额</t>
  </si>
  <si>
    <t xml:space="preserve">新增仓位占比</t>
  </si>
  <si>
    <t xml:space="preserve">买入后总仓位</t>
  </si>
  <si>
    <t xml:space="preserve">是否满足总仓位上限</t>
  </si>
  <si>
    <t xml:space="preserve">失效条件 InvalidationCondition</t>
  </si>
  <si>
    <t xml:space="preserve">是否需要转入</t>
  </si>
  <si>
    <t xml:space="preserve">最低转入金额</t>
  </si>
  <si>
    <t xml:space="preserve">建议转入金额</t>
  </si>
  <si>
    <t xml:space="preserve">最终是否可买 Buy</t>
  </si>
  <si>
    <t xml:space="preserve">不可买原因</t>
  </si>
  <si>
    <t xml:space="preserve">开滦股份</t>
  </si>
  <si>
    <t xml:space="preserve">600997</t>
  </si>
  <si>
    <t xml:space="preserve">一买</t>
  </si>
  <si>
    <t xml:space="preserve">接近确认,缺:DL_P=0.67</t>
  </si>
  <si>
    <t xml:space="preserve">汇嘉时代</t>
  </si>
  <si>
    <t xml:space="preserve">603101</t>
  </si>
  <si>
    <t xml:space="preserve">接近确认,缺:DL_P=0.73</t>
  </si>
  <si>
    <t xml:space="preserve">宝钢包装</t>
  </si>
  <si>
    <t xml:space="preserve">601968</t>
  </si>
  <si>
    <t xml:space="preserve">接近确认,缺:DL_P=0.71</t>
  </si>
  <si>
    <t xml:space="preserve">家家悦</t>
  </si>
  <si>
    <t xml:space="preserve">603708</t>
  </si>
  <si>
    <t xml:space="preserve">接近确认,缺:DL_P=0.63</t>
  </si>
  <si>
    <t xml:space="preserve">一鸣食品</t>
  </si>
  <si>
    <t xml:space="preserve">605179</t>
  </si>
  <si>
    <t xml:space="preserve">接近确认,缺:DL_P=0.72</t>
  </si>
  <si>
    <t xml:space="preserve">南方传媒</t>
  </si>
  <si>
    <t xml:space="preserve">601900</t>
  </si>
  <si>
    <t xml:space="preserve">接近确认,缺:DL_P=0.62</t>
  </si>
  <si>
    <t xml:space="preserve">东鹏饮料</t>
  </si>
  <si>
    <t xml:space="preserve">605499</t>
  </si>
  <si>
    <t xml:space="preserve">接近确认,缺:DL_P=0.76 | 需转入224元</t>
  </si>
  <si>
    <t xml:space="preserve">健友股份</t>
  </si>
  <si>
    <t xml:space="preserve">603707</t>
  </si>
  <si>
    <t xml:space="preserve">今世缘</t>
  </si>
  <si>
    <t xml:space="preserve">603369</t>
  </si>
  <si>
    <t xml:space="preserve">新城控股</t>
  </si>
  <si>
    <t xml:space="preserve">601155</t>
  </si>
  <si>
    <t xml:space="preserve">接近确认,缺:DL_P=0.66</t>
  </si>
  <si>
    <t xml:space="preserve">福然德</t>
  </si>
  <si>
    <t xml:space="preserve">605050</t>
  </si>
  <si>
    <t xml:space="preserve">接近确认,缺:DL_P=0.65</t>
  </si>
  <si>
    <t xml:space="preserve">欧派家居</t>
  </si>
  <si>
    <t xml:space="preserve">603833</t>
  </si>
  <si>
    <t xml:space="preserve">接近确认,缺:DL_P=0.74</t>
  </si>
  <si>
    <t xml:space="preserve">科沃斯</t>
  </si>
  <si>
    <t xml:space="preserve">603486</t>
  </si>
  <si>
    <t xml:space="preserve">捷昌驱动</t>
  </si>
  <si>
    <t xml:space="preserve">603583</t>
  </si>
  <si>
    <t xml:space="preserve">接近确认,缺:DL_P=0.68</t>
  </si>
  <si>
    <t xml:space="preserve">天新药业</t>
  </si>
  <si>
    <t xml:space="preserve">603235</t>
  </si>
  <si>
    <t xml:space="preserve">接近确认,缺:DL_P=0.60</t>
  </si>
  <si>
    <t xml:space="preserve">山金国际</t>
  </si>
  <si>
    <t xml:space="preserve">000975</t>
  </si>
  <si>
    <t xml:space="preserve">接近确认,缺:DL_P=0.76</t>
  </si>
  <si>
    <t xml:space="preserve">交易日期</t>
  </si>
  <si>
    <t xml:space="preserve">买卖方向</t>
  </si>
  <si>
    <t xml:space="preserve">信号类型</t>
  </si>
  <si>
    <t xml:space="preserve">成交价格</t>
  </si>
  <si>
    <t xml:space="preserve">成交股数</t>
  </si>
  <si>
    <t xml:space="preserve">成交金额</t>
  </si>
  <si>
    <t xml:space="preserve">手续费</t>
  </si>
  <si>
    <t xml:space="preserve">成交后持仓股数</t>
  </si>
  <si>
    <t xml:space="preserve">成交后仓位占比</t>
  </si>
  <si>
    <t xml:space="preserve">止损价</t>
  </si>
  <si>
    <t xml:space="preserve">失效条件</t>
  </si>
  <si>
    <t xml:space="preserve">执行动作是否合规</t>
  </si>
  <si>
    <t xml:space="preserve">交易原因</t>
  </si>
  <si>
    <t xml:space="preserve">结果分类</t>
  </si>
  <si>
    <t xml:space="preserve">平仓日期</t>
  </si>
  <si>
    <t xml:space="preserve">平仓收益率</t>
  </si>
  <si>
    <t xml:space="preserve">是否触发止损</t>
  </si>
  <si>
    <t xml:space="preserve">是否情绪化交易</t>
  </si>
  <si>
    <t xml:space="preserve">买入价</t>
  </si>
  <si>
    <t xml:space="preserve">止损风险额</t>
  </si>
  <si>
    <r>
      <rPr>
        <b val="true"/>
        <sz val="11"/>
        <color rgb="FFFFFFFF"/>
        <rFont val="Cambria"/>
        <family val="0"/>
        <charset val="1"/>
      </rPr>
      <t xml:space="preserve">R</t>
    </r>
    <r>
      <rPr>
        <b val="true"/>
        <sz val="11"/>
        <color rgb="FFFFFFFF"/>
        <rFont val="Noto Sans CJK SC"/>
        <family val="2"/>
      </rPr>
      <t xml:space="preserve">倍数</t>
    </r>
  </si>
  <si>
    <t xml:space="preserve">累计R</t>
  </si>
  <si>
    <t xml:space="preserve">连胜/连亏</t>
  </si>
  <si>
    <t xml:space="preserve">最大回撤(%)</t>
  </si>
  <si>
    <t xml:space="preserve">2026-01-05</t>
  </si>
  <si>
    <t xml:space="preserve">亚通精工</t>
  </si>
  <si>
    <t xml:space="preserve">603190</t>
  </si>
  <si>
    <t xml:space="preserve">买入</t>
  </si>
  <si>
    <t xml:space="preserve">缠论日线一买</t>
  </si>
  <si>
    <t xml:space="preserve">2026-01-12</t>
  </si>
  <si>
    <t xml:space="preserve">黄河旋风</t>
  </si>
  <si>
    <t xml:space="preserve">600172</t>
  </si>
  <si>
    <t xml:space="preserve">2026-01-25</t>
  </si>
  <si>
    <t xml:space="preserve">卖出</t>
  </si>
  <si>
    <t xml:space="preserve">一卖</t>
  </si>
  <si>
    <t xml:space="preserve">缠论30min一卖/止损</t>
  </si>
  <si>
    <t xml:space="preserve">2026-01-28</t>
  </si>
  <si>
    <t xml:space="preserve">缠论日线一卖/止盈+45%</t>
  </si>
  <si>
    <t xml:space="preserve">2026-02-03</t>
  </si>
  <si>
    <t xml:space="preserve">沪电股份</t>
  </si>
  <si>
    <t xml:space="preserve">002463</t>
  </si>
  <si>
    <t xml:space="preserve">缠论日线一买(电子PCB)</t>
  </si>
  <si>
    <t xml:space="preserve">2026-03-05</t>
  </si>
  <si>
    <t xml:space="preserve">做T</t>
  </si>
  <si>
    <r>
      <rPr>
        <sz val="11"/>
        <color rgb="FF1F4E79"/>
        <rFont val="Cambria"/>
        <family val="0"/>
        <charset val="1"/>
      </rPr>
      <t xml:space="preserve">30min</t>
    </r>
    <r>
      <rPr>
        <sz val="11"/>
        <color rgb="FF1F4E79"/>
        <rFont val="Noto Sans CJK SC"/>
        <family val="2"/>
      </rPr>
      <t xml:space="preserve">一卖做</t>
    </r>
    <r>
      <rPr>
        <sz val="11"/>
        <color rgb="FF1F4E79"/>
        <rFont val="Cambria"/>
        <family val="0"/>
        <charset val="1"/>
      </rPr>
      <t xml:space="preserve">T</t>
    </r>
  </si>
  <si>
    <r>
      <rPr>
        <sz val="11"/>
        <color rgb="FF1F4E79"/>
        <rFont val="Cambria"/>
        <family val="0"/>
        <charset val="1"/>
      </rPr>
      <t xml:space="preserve">5min</t>
    </r>
    <r>
      <rPr>
        <sz val="11"/>
        <color rgb="FF1F4E79"/>
        <rFont val="Noto Sans CJK SC"/>
        <family val="2"/>
      </rPr>
      <t xml:space="preserve">一买回补</t>
    </r>
  </si>
  <si>
    <t xml:space="preserve">2026-03-18</t>
  </si>
  <si>
    <t xml:space="preserve">2026-04-08</t>
  </si>
  <si>
    <t xml:space="preserve">缠论日线一卖/止盈+29%</t>
  </si>
  <si>
    <t xml:space="preserve">2026-04-15</t>
  </si>
  <si>
    <t xml:space="preserve">长江电力</t>
  </si>
  <si>
    <t xml:space="preserve">600900</t>
  </si>
  <si>
    <t xml:space="preserve">缠论日线一买(电力公用)</t>
  </si>
  <si>
    <t xml:space="preserve">2026-04-22</t>
  </si>
  <si>
    <t xml:space="preserve">缠论30min一买</t>
  </si>
  <si>
    <t xml:space="preserve">2026-05-20</t>
  </si>
  <si>
    <t xml:space="preserve">缠论30min一卖/止损-2%</t>
  </si>
  <si>
    <t xml:space="preserve">2026-06-12</t>
  </si>
  <si>
    <t xml:space="preserve">缠论日线一卖/止盈+1.4%</t>
  </si>
  <si>
    <t xml:space="preserve">2026-06-20</t>
  </si>
  <si>
    <t xml:space="preserve">2026-07-18</t>
  </si>
  <si>
    <t xml:space="preserve">加仓</t>
  </si>
  <si>
    <r>
      <rPr>
        <sz val="11"/>
        <color rgb="FF1F4E79"/>
        <rFont val="Cambria"/>
        <family val="0"/>
        <charset val="1"/>
      </rPr>
      <t xml:space="preserve">30min</t>
    </r>
    <r>
      <rPr>
        <sz val="11"/>
        <color rgb="FF1F4E79"/>
        <rFont val="Noto Sans CJK SC"/>
        <family val="2"/>
      </rPr>
      <t xml:space="preserve">一买加仓</t>
    </r>
  </si>
  <si>
    <t xml:space="preserve">2026-07-19</t>
  </si>
  <si>
    <t xml:space="preserve">缠论日+30min共振一买</t>
  </si>
  <si>
    <t xml:space="preserve">2026-03-20</t>
  </si>
  <si>
    <t xml:space="preserve">分红</t>
  </si>
  <si>
    <t xml:space="preserve">现金分红</t>
  </si>
  <si>
    <t xml:space="preserve">系统健康度仪表盘</t>
  </si>
  <si>
    <t xml:space="preserve">总交易次数(不含分红)</t>
  </si>
  <si>
    <t xml:space="preserve">卖出次数</t>
  </si>
  <si>
    <t xml:space="preserve">盈利次数(R&gt;0)</t>
  </si>
  <si>
    <t xml:space="preserve">亏损次数(R&lt;0)</t>
  </si>
  <si>
    <t xml:space="preserve">胜率</t>
  </si>
  <si>
    <t xml:space="preserve">平均R倍数</t>
  </si>
  <si>
    <t xml:space="preserve">总R倍数</t>
  </si>
  <si>
    <t xml:space="preserve">最大单笔R</t>
  </si>
  <si>
    <t xml:space="preserve">最大单笔亏损R</t>
  </si>
  <si>
    <t xml:space="preserve">最大连续盈利(笔)</t>
  </si>
  <si>
    <r>
      <rPr>
        <sz val="11"/>
        <color rgb="FF000000"/>
        <rFont val="Calibri"/>
        <family val="2"/>
        <charset val="1"/>
      </rPr>
      <t xml:space="preserve">"</t>
    </r>
    <r>
      <rPr>
        <sz val="11"/>
        <color rgb="FF000000"/>
        <rFont val="Noto Sans CJK SC"/>
        <family val="2"/>
      </rPr>
      <t xml:space="preserve">见</t>
    </r>
    <r>
      <rPr>
        <sz val="11"/>
        <color rgb="FF000000"/>
        <rFont val="Calibri"/>
        <family val="2"/>
        <charset val="1"/>
      </rPr>
      <t xml:space="preserve">Z</t>
    </r>
    <r>
      <rPr>
        <sz val="11"/>
        <color rgb="FF000000"/>
        <rFont val="Noto Sans CJK SC"/>
        <family val="2"/>
      </rPr>
      <t xml:space="preserve">列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连胜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连亏</t>
    </r>
    <r>
      <rPr>
        <sz val="11"/>
        <color rgb="FF000000"/>
        <rFont val="Calibri"/>
        <family val="2"/>
        <charset val="1"/>
      </rPr>
      <t xml:space="preserve">)"</t>
    </r>
  </si>
  <si>
    <t xml:space="preserve">最大连续亏损(笔)</t>
  </si>
  <si>
    <t xml:space="preserve">累计R最大回撤</t>
  </si>
  <si>
    <t xml:space="preserve">盈亏比</t>
  </si>
  <si>
    <t xml:space="preserve">系统状态</t>
  </si>
  <si>
    <t xml:space="preserve">减仓降超限</t>
  </si>
  <si>
    <t xml:space="preserve">合规</t>
  </si>
  <si>
    <r>
      <rPr>
        <sz val="11"/>
        <color rgb="FF000000"/>
        <rFont val="Calibri"/>
        <family val="2"/>
        <charset val="1"/>
      </rPr>
      <t xml:space="preserve">30min</t>
    </r>
    <r>
      <rPr>
        <sz val="11"/>
        <color rgb="FF000000"/>
        <rFont val="Noto Sans CJK SC"/>
        <family val="2"/>
      </rPr>
      <t xml:space="preserve">卖点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仓位</t>
    </r>
    <r>
      <rPr>
        <sz val="11"/>
        <color rgb="FF000000"/>
        <rFont val="Calibri"/>
        <family val="2"/>
        <charset val="1"/>
      </rPr>
      <t xml:space="preserve">37%</t>
    </r>
    <r>
      <rPr>
        <sz val="11"/>
        <color rgb="FF000000"/>
        <rFont val="Noto Sans CJK SC"/>
        <family val="2"/>
      </rPr>
      <t xml:space="preserve">超限</t>
    </r>
  </si>
  <si>
    <t xml:space="preserve">盈利+774元</t>
  </si>
  <si>
    <t xml:space="preserve">日线一买确认</t>
  </si>
  <si>
    <t xml:space="preserve">破止损</t>
  </si>
  <si>
    <t xml:space="preserve">日线ratio=3.7% DL_P=0.70 valid</t>
  </si>
  <si>
    <t xml:space="preserve">持仓中</t>
  </si>
  <si>
    <t xml:space="preserve">日线ratio=5.7% DL_P=0.70 valid</t>
  </si>
  <si>
    <t xml:space="preserve">合规(已减量)</t>
  </si>
  <si>
    <t xml:space="preserve">日线ratio=9.7% 原挂2100股减至500股</t>
  </si>
  <si>
    <t xml:space="preserve">日线ratio=2.7% DL_P=0.70 全买点</t>
  </si>
  <si>
    <t xml:space="preserve">日线ratio=12.1% 三级全买点</t>
  </si>
  <si>
    <t xml:space="preserve">非工作流看盘次数</t>
  </si>
  <si>
    <t xml:space="preserve">是否追价操作</t>
  </si>
  <si>
    <t xml:space="preserve">是否按系统执行</t>
  </si>
  <si>
    <t xml:space="preserve">情绪状态(1-5)</t>
  </si>
  <si>
    <t xml:space="preserve">是否有止损外操作</t>
  </si>
  <si>
    <t xml:space="preserve">当日交易次数</t>
  </si>
  <si>
    <t xml:space="preserve">当日系统判定(全部合规)</t>
  </si>
  <si>
    <t xml:space="preserve">焦虑事件描述</t>
  </si>
  <si>
    <t xml:space="preserve">今日心态感悟</t>
  </si>
  <si>
    <t xml:space="preserve">本周平均心态得分</t>
  </si>
  <si>
    <t xml:space="preserve">本周达标天数</t>
  </si>
  <si>
    <t xml:space="preserve">心态趋势</t>
  </si>
  <si>
    <t xml:space="preserve">全部合规</t>
  </si>
  <si>
    <t xml:space="preserve">未达标</t>
  </si>
  <si>
    <t xml:space="preserve">曲美家居原挂2100股(33%仓位)超限,减至500股后合规</t>
  </si>
  <si>
    <t xml:space="preserve">普跌日执行6笔交易,卖超限万华回收资金,建仓4只多级别买点标的。大盘1min买点ratio=55%未确认,属正常回调。严格执行仓位管理,未追涨未恐慌卖出。</t>
  </si>
  <si>
    <t xml:space="preserve">心态轻态化仪表盘</t>
  </si>
  <si>
    <t xml:space="preserve">填写天数</t>
  </si>
  <si>
    <t xml:space="preserve">达标天数</t>
  </si>
  <si>
    <t xml:space="preserve">达标率</t>
  </si>
  <si>
    <t xml:space="preserve">平均心态得分</t>
  </si>
  <si>
    <t xml:space="preserve">最佳心态得分</t>
  </si>
  <si>
    <t xml:space="preserve">最差心态得分</t>
  </si>
  <si>
    <t xml:space="preserve">当前连续达标</t>
  </si>
  <si>
    <t xml:space="preserve">历史最长连续达标</t>
  </si>
  <si>
    <t xml:space="preserve">平均看盘次数/天</t>
  </si>
  <si>
    <t xml:space="preserve">追价违规次数</t>
  </si>
  <si>
    <t xml:space="preserve">系统偏离次数</t>
  </si>
  <si>
    <t xml:space="preserve">止损外操作次数</t>
  </si>
  <si>
    <t xml:space="preserve">平均情绪评分</t>
  </si>
  <si>
    <t xml:space="preserve">心态状态</t>
  </si>
  <si>
    <t xml:space="preserve">评分说明</t>
  </si>
  <si>
    <r>
      <rPr>
        <sz val="11"/>
        <color rgb="FF6B7280"/>
        <rFont val="Cambria"/>
        <family val="0"/>
        <charset val="1"/>
      </rPr>
      <t xml:space="preserve">B</t>
    </r>
    <r>
      <rPr>
        <sz val="11"/>
        <color rgb="FF6B7280"/>
        <rFont val="Noto Sans CJK SC"/>
        <family val="2"/>
      </rPr>
      <t xml:space="preserve">列</t>
    </r>
    <r>
      <rPr>
        <sz val="11"/>
        <color rgb="FF6B7280"/>
        <rFont val="Cambria"/>
        <family val="0"/>
        <charset val="1"/>
      </rPr>
      <t xml:space="preserve">: </t>
    </r>
    <r>
      <rPr>
        <sz val="11"/>
        <color rgb="FF6B7280"/>
        <rFont val="Noto Sans CJK SC"/>
        <family val="2"/>
      </rPr>
      <t xml:space="preserve">非工作流看盘次数 — 收盘后截图录入</t>
    </r>
    <r>
      <rPr>
        <sz val="11"/>
        <color rgb="FF6B7280"/>
        <rFont val="Cambria"/>
        <family val="0"/>
        <charset val="1"/>
      </rPr>
      <t xml:space="preserve">=</t>
    </r>
    <r>
      <rPr>
        <sz val="11"/>
        <color rgb="FF6B7280"/>
        <rFont val="Noto Sans CJK SC"/>
        <family val="2"/>
      </rPr>
      <t xml:space="preserve">工作流</t>
    </r>
    <r>
      <rPr>
        <sz val="11"/>
        <color rgb="FF6B7280"/>
        <rFont val="Cambria"/>
        <family val="0"/>
        <charset val="1"/>
      </rPr>
      <t xml:space="preserve">,</t>
    </r>
    <r>
      <rPr>
        <sz val="11"/>
        <color rgb="FF6B7280"/>
        <rFont val="Noto Sans CJK SC"/>
        <family val="2"/>
      </rPr>
      <t xml:space="preserve">不计入。盘中反复刷新</t>
    </r>
    <r>
      <rPr>
        <sz val="11"/>
        <color rgb="FF6B7280"/>
        <rFont val="Cambria"/>
        <family val="0"/>
        <charset val="1"/>
      </rPr>
      <t xml:space="preserve">App=</t>
    </r>
    <r>
      <rPr>
        <sz val="11"/>
        <color rgb="FF6B7280"/>
        <rFont val="Noto Sans CJK SC"/>
        <family val="2"/>
      </rPr>
      <t xml:space="preserve">焦虑看盘</t>
    </r>
    <r>
      <rPr>
        <sz val="11"/>
        <color rgb="FF6B7280"/>
        <rFont val="Cambria"/>
        <family val="0"/>
        <charset val="1"/>
      </rPr>
      <t xml:space="preserve">,</t>
    </r>
    <r>
      <rPr>
        <sz val="11"/>
        <color rgb="FF6B7280"/>
        <rFont val="Noto Sans CJK SC"/>
        <family val="2"/>
      </rPr>
      <t xml:space="preserve">计入。</t>
    </r>
  </si>
  <si>
    <r>
      <rPr>
        <sz val="11"/>
        <color rgb="FF6B7280"/>
        <rFont val="Cambria"/>
        <family val="0"/>
        <charset val="1"/>
      </rPr>
      <t xml:space="preserve">C</t>
    </r>
    <r>
      <rPr>
        <sz val="11"/>
        <color rgb="FF6B7280"/>
        <rFont val="Noto Sans CJK SC"/>
        <family val="2"/>
      </rPr>
      <t xml:space="preserve">列</t>
    </r>
    <r>
      <rPr>
        <sz val="11"/>
        <color rgb="FF6B7280"/>
        <rFont val="Cambria"/>
        <family val="0"/>
        <charset val="1"/>
      </rPr>
      <t xml:space="preserve">: </t>
    </r>
    <r>
      <rPr>
        <sz val="11"/>
        <color rgb="FF6B7280"/>
        <rFont val="Noto Sans CJK SC"/>
        <family val="2"/>
      </rPr>
      <t xml:space="preserve">是否追价 — 系统未确认信号时主动买入</t>
    </r>
    <r>
      <rPr>
        <sz val="11"/>
        <color rgb="FF6B7280"/>
        <rFont val="Cambria"/>
        <family val="0"/>
        <charset val="1"/>
      </rPr>
      <t xml:space="preserve">=</t>
    </r>
    <r>
      <rPr>
        <sz val="11"/>
        <color rgb="FF6B7280"/>
        <rFont val="Noto Sans CJK SC"/>
        <family val="2"/>
      </rPr>
      <t xml:space="preserve">追价。系统确认后买入</t>
    </r>
    <r>
      <rPr>
        <sz val="11"/>
        <color rgb="FF6B7280"/>
        <rFont val="Cambria"/>
        <family val="0"/>
        <charset val="1"/>
      </rPr>
      <t xml:space="preserve">=</t>
    </r>
    <r>
      <rPr>
        <sz val="11"/>
        <color rgb="FF6B7280"/>
        <rFont val="Noto Sans CJK SC"/>
        <family val="2"/>
      </rPr>
      <t xml:space="preserve">正常执行。</t>
    </r>
  </si>
  <si>
    <r>
      <rPr>
        <sz val="11"/>
        <color rgb="FF6B7280"/>
        <rFont val="Cambria"/>
        <family val="0"/>
        <charset val="1"/>
      </rPr>
      <t xml:space="preserve">D</t>
    </r>
    <r>
      <rPr>
        <sz val="11"/>
        <color rgb="FF6B7280"/>
        <rFont val="Noto Sans CJK SC"/>
        <family val="2"/>
      </rPr>
      <t xml:space="preserve">列</t>
    </r>
    <r>
      <rPr>
        <sz val="11"/>
        <color rgb="FF6B7280"/>
        <rFont val="Cambria"/>
        <family val="0"/>
        <charset val="1"/>
      </rPr>
      <t xml:space="preserve">: </t>
    </r>
    <r>
      <rPr>
        <sz val="11"/>
        <color rgb="FF6B7280"/>
        <rFont val="Noto Sans CJK SC"/>
        <family val="2"/>
      </rPr>
      <t xml:space="preserve">是否按系统执行 — 持仓表</t>
    </r>
    <r>
      <rPr>
        <sz val="11"/>
        <color rgb="FF6B7280"/>
        <rFont val="Cambria"/>
        <family val="0"/>
        <charset val="1"/>
      </rPr>
      <t xml:space="preserve">AB</t>
    </r>
    <r>
      <rPr>
        <sz val="11"/>
        <color rgb="FF6B7280"/>
        <rFont val="Noto Sans CJK SC"/>
        <family val="2"/>
      </rPr>
      <t xml:space="preserve">列结论 </t>
    </r>
    <r>
      <rPr>
        <sz val="11"/>
        <color rgb="FF6B7280"/>
        <rFont val="Cambria"/>
        <family val="0"/>
        <charset val="1"/>
      </rPr>
      <t xml:space="preserve">vs </t>
    </r>
    <r>
      <rPr>
        <sz val="11"/>
        <color rgb="FF6B7280"/>
        <rFont val="Noto Sans CJK SC"/>
        <family val="2"/>
      </rPr>
      <t xml:space="preserve">实际操作是否一致。</t>
    </r>
  </si>
  <si>
    <r>
      <rPr>
        <sz val="11"/>
        <color rgb="FF6B7280"/>
        <rFont val="Cambria"/>
        <family val="0"/>
        <charset val="1"/>
      </rPr>
      <t xml:space="preserve">E</t>
    </r>
    <r>
      <rPr>
        <sz val="11"/>
        <color rgb="FF6B7280"/>
        <rFont val="Noto Sans CJK SC"/>
        <family val="2"/>
      </rPr>
      <t xml:space="preserve">列</t>
    </r>
    <r>
      <rPr>
        <sz val="11"/>
        <color rgb="FF6B7280"/>
        <rFont val="Cambria"/>
        <family val="0"/>
        <charset val="1"/>
      </rPr>
      <t xml:space="preserve">: </t>
    </r>
    <r>
      <rPr>
        <sz val="11"/>
        <color rgb="FF6B7280"/>
        <rFont val="Noto Sans CJK SC"/>
        <family val="2"/>
      </rPr>
      <t xml:space="preserve">情绪</t>
    </r>
    <r>
      <rPr>
        <sz val="11"/>
        <color rgb="FF6B7280"/>
        <rFont val="Cambria"/>
        <family val="0"/>
        <charset val="1"/>
      </rPr>
      <t xml:space="preserve">1-5 — 1=</t>
    </r>
    <r>
      <rPr>
        <sz val="11"/>
        <color rgb="FF6B7280"/>
        <rFont val="Noto Sans CJK SC"/>
        <family val="2"/>
      </rPr>
      <t xml:space="preserve">平静</t>
    </r>
    <r>
      <rPr>
        <sz val="11"/>
        <color rgb="FF6B7280"/>
        <rFont val="Cambria"/>
        <family val="0"/>
        <charset val="1"/>
      </rPr>
      <t xml:space="preserve">(</t>
    </r>
    <r>
      <rPr>
        <sz val="11"/>
        <color rgb="FF6B7280"/>
        <rFont val="Noto Sans CJK SC"/>
        <family val="2"/>
      </rPr>
      <t xml:space="preserve">不急不躁</t>
    </r>
    <r>
      <rPr>
        <sz val="11"/>
        <color rgb="FF6B7280"/>
        <rFont val="Cambria"/>
        <family val="0"/>
        <charset val="1"/>
      </rPr>
      <t xml:space="preserve">) 2=</t>
    </r>
    <r>
      <rPr>
        <sz val="11"/>
        <color rgb="FF6B7280"/>
        <rFont val="Noto Sans CJK SC"/>
        <family val="2"/>
      </rPr>
      <t xml:space="preserve">轻微波动 </t>
    </r>
    <r>
      <rPr>
        <sz val="11"/>
        <color rgb="FF6B7280"/>
        <rFont val="Cambria"/>
        <family val="0"/>
        <charset val="1"/>
      </rPr>
      <t xml:space="preserve">3=</t>
    </r>
    <r>
      <rPr>
        <sz val="11"/>
        <color rgb="FF6B7280"/>
        <rFont val="Noto Sans CJK SC"/>
        <family val="2"/>
      </rPr>
      <t xml:space="preserve">有些焦虑 </t>
    </r>
    <r>
      <rPr>
        <sz val="11"/>
        <color rgb="FF6B7280"/>
        <rFont val="Cambria"/>
        <family val="0"/>
        <charset val="1"/>
      </rPr>
      <t xml:space="preserve">4=</t>
    </r>
    <r>
      <rPr>
        <sz val="11"/>
        <color rgb="FF6B7280"/>
        <rFont val="Noto Sans CJK SC"/>
        <family val="2"/>
      </rPr>
      <t xml:space="preserve">明显焦虑 </t>
    </r>
    <r>
      <rPr>
        <sz val="11"/>
        <color rgb="FF6B7280"/>
        <rFont val="Cambria"/>
        <family val="0"/>
        <charset val="1"/>
      </rPr>
      <t xml:space="preserve">5=</t>
    </r>
    <r>
      <rPr>
        <sz val="11"/>
        <color rgb="FF6B7280"/>
        <rFont val="Noto Sans CJK SC"/>
        <family val="2"/>
      </rPr>
      <t xml:space="preserve">极度焦虑影响判断。</t>
    </r>
  </si>
  <si>
    <r>
      <rPr>
        <sz val="11"/>
        <color rgb="FF6B7280"/>
        <rFont val="Cambria"/>
        <family val="0"/>
        <charset val="1"/>
      </rPr>
      <t xml:space="preserve">F</t>
    </r>
    <r>
      <rPr>
        <sz val="11"/>
        <color rgb="FF6B7280"/>
        <rFont val="Noto Sans CJK SC"/>
        <family val="2"/>
      </rPr>
      <t xml:space="preserve">列</t>
    </r>
    <r>
      <rPr>
        <sz val="11"/>
        <color rgb="FF6B7280"/>
        <rFont val="Cambria"/>
        <family val="0"/>
        <charset val="1"/>
      </rPr>
      <t xml:space="preserve">: </t>
    </r>
    <r>
      <rPr>
        <sz val="11"/>
        <color rgb="FF6B7280"/>
        <rFont val="Noto Sans CJK SC"/>
        <family val="2"/>
      </rPr>
      <t xml:space="preserve">止损外操作 — 在止损价未触发时提前卖出</t>
    </r>
    <r>
      <rPr>
        <sz val="11"/>
        <color rgb="FF6B7280"/>
        <rFont val="Cambria"/>
        <family val="0"/>
        <charset val="1"/>
      </rPr>
      <t xml:space="preserve">,</t>
    </r>
    <r>
      <rPr>
        <sz val="11"/>
        <color rgb="FF6B7280"/>
        <rFont val="Noto Sans CJK SC"/>
        <family val="2"/>
      </rPr>
      <t xml:space="preserve">或超出仓位上限买入。</t>
    </r>
  </si>
  <si>
    <t xml:space="preserve">工作流截图: 每日收盘后1次账户总览+持仓明细截图,属于必要工作流,不计入B列。</t>
  </si>
  <si>
    <t xml:space="preserve">周期</t>
  </si>
  <si>
    <t xml:space="preserve">周初总资产</t>
  </si>
  <si>
    <t xml:space="preserve">周末总资产</t>
  </si>
  <si>
    <t xml:space="preserve">周收益率</t>
  </si>
  <si>
    <t xml:space="preserve">本周最高资产</t>
  </si>
  <si>
    <t xml:space="preserve">本周最低资产</t>
  </si>
  <si>
    <t xml:space="preserve">本周最大回撤</t>
  </si>
  <si>
    <t xml:space="preserve">本周交易次数</t>
  </si>
  <si>
    <t xml:space="preserve">盈利交易数</t>
  </si>
  <si>
    <t xml:space="preserve">亏损交易数</t>
  </si>
  <si>
    <t xml:space="preserve">最近5笔胜负</t>
  </si>
  <si>
    <t xml:space="preserve">止损次数</t>
  </si>
  <si>
    <t xml:space="preserve">赚钱效应分数均值</t>
  </si>
  <si>
    <t xml:space="preserve">亏钱效应分数均值</t>
  </si>
  <si>
    <t xml:space="preserve">当前市场状态主判断</t>
  </si>
  <si>
    <t xml:space="preserve">本周最大问题</t>
  </si>
  <si>
    <t xml:space="preserve">本周执行最好的点</t>
  </si>
  <si>
    <t xml:space="preserve">下周是否允许新开仓</t>
  </si>
  <si>
    <t xml:space="preserve">下周总仓位建议</t>
  </si>
  <si>
    <t xml:space="preserve">下周是否考虑转入</t>
  </si>
  <si>
    <t xml:space="preserve">下周重点观察股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</si>
</sst>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¥#,##0.00"/>
    <numFmt numFmtId="166" formatCode="0.00%"/>
    <numFmt numFmtId="167" formatCode="#,##0"/>
    <numFmt numFmtId="168" formatCode="yyyy\-mm\-dd\ h:mm:ss"/>
    <numFmt numFmtId="169" formatCode="yyyy\-mm\-dd"/>
    <numFmt numFmtId="170" formatCode="General"/>
    <numFmt numFmtId="171" formatCode="#,##0.00"/>
    <numFmt numFmtId="172" formatCode="0.00"/>
    <numFmt numFmtId="173" formatCode="0.0%"/>
    <numFmt numFmtId="174" formatCode="0"/>
    <numFmt numFmtId="175" formatCode="0.0"/>
  </numFmts>
  <fonts count="2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  <charset val="1"/>
    </font>
    <font>
      <sz val="11"/>
      <color rgb="FF000000"/>
      <name val="Noto Sans CJK SC"/>
      <family val="2"/>
      <charset val="1"/>
    </font>
    <font>
      <sz val="11"/>
      <color rgb="FF000000"/>
      <name val="Cambria"/>
      <family val="0"/>
      <charset val="1"/>
    </font>
    <font>
      <sz val="11"/>
      <color rgb="FF1F4E79"/>
      <name val="Cambria"/>
      <family val="0"/>
      <charset val="1"/>
    </font>
    <font>
      <sz val="11"/>
      <color rgb="FF000000"/>
      <name val="Noto Sans CJK SC"/>
      <family val="2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Noto Sans CJK SC"/>
      <family val="2"/>
    </font>
    <font>
      <sz val="11"/>
      <color rgb="FF1F4E79"/>
      <name val="Noto Sans CJK SC"/>
      <family val="2"/>
      <charset val="1"/>
    </font>
    <font>
      <sz val="11"/>
      <color rgb="FF1F4E79"/>
      <name val="Noto Sans CJK SC"/>
      <family val="2"/>
    </font>
    <font>
      <b val="true"/>
      <sz val="14"/>
      <color rgb="FF17365D"/>
      <name val="Noto Sans CJK SC"/>
      <family val="2"/>
      <charset val="1"/>
    </font>
    <font>
      <b val="true"/>
      <sz val="11"/>
      <color rgb="FF1F4E79"/>
      <name val="Noto Sans CJK SC"/>
      <family val="2"/>
      <charset val="1"/>
    </font>
    <font>
      <b val="true"/>
      <sz val="12"/>
      <name val="Noto Sans CJK SC"/>
      <family val="2"/>
      <charset val="1"/>
    </font>
    <font>
      <b val="true"/>
      <sz val="12"/>
      <color rgb="FF17365D"/>
      <name val="Noto Sans CJK SC"/>
      <family val="2"/>
      <charset val="1"/>
    </font>
    <font>
      <sz val="11"/>
      <color rgb="FF6B7280"/>
      <name val="Cambria"/>
      <family val="0"/>
      <charset val="1"/>
    </font>
    <font>
      <sz val="11"/>
      <color rgb="FF6B7280"/>
      <name val="Noto Sans CJK SC"/>
      <family val="2"/>
    </font>
    <font>
      <sz val="11"/>
      <color rgb="FF6B7280"/>
      <name val="Noto Sans CJK SC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F3F6F8"/>
        <bgColor rgb="FFEEF3F8"/>
      </patternFill>
    </fill>
    <fill>
      <patternFill patternType="solid">
        <fgColor rgb="FFEEF3F8"/>
        <bgColor rgb="FFEAF2FF"/>
      </patternFill>
    </fill>
    <fill>
      <patternFill patternType="solid">
        <fgColor rgb="FFFFFFFF"/>
        <bgColor rgb="FFF3F6F8"/>
      </patternFill>
    </fill>
    <fill>
      <patternFill patternType="solid">
        <fgColor rgb="FF90EE90"/>
        <bgColor rgb="FFC6EFCE"/>
      </patternFill>
    </fill>
    <fill>
      <patternFill patternType="solid">
        <fgColor rgb="FFEAF2FF"/>
        <bgColor rgb="FFEEF3F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  <border diagonalUp="false" diagonalDown="false"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5" fillId="5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7" fillId="5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0" fillId="3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0" fillId="5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1" fillId="5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7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0" fillId="3" borderId="1" xfId="0" applyFont="fals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7" fontId="7" fillId="5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7" fillId="5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0" fillId="5" borderId="1" xfId="0" applyFont="false" applyBorder="true" applyAlignment="true" applyProtection="true">
      <alignment horizontal="general" vertical="center" textRotation="0" wrapText="true" indent="0" shrinkToFit="false"/>
      <protection locked="false" hidden="false"/>
    </xf>
    <xf numFmtId="168" fontId="7" fillId="3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9" fontId="7" fillId="5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9" fontId="7" fillId="3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8" fontId="7" fillId="5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9" fontId="7" fillId="6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1" fillId="6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7" fillId="6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7" fillId="6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7" fillId="6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5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6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70" fontId="5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1" fillId="0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7" fillId="0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7" fillId="0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7" fillId="0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4" fontId="6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5" fontId="6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6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7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ill>
        <patternFill patternType="solid">
          <fgColor rgb="FF17365D"/>
        </patternFill>
      </fill>
    </dxf>
    <dxf>
      <fill>
        <patternFill patternType="solid">
          <fgColor rgb="FFF3F6F8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EEF3F8"/>
        </patternFill>
      </fill>
    </dxf>
    <dxf>
      <fill>
        <patternFill patternType="solid">
          <fgColor rgb="FFFCE4D6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 patternType="solid">
          <fgColor rgb="FF1F4E79"/>
        </patternFill>
      </fill>
    </dxf>
    <dxf>
      <fill>
        <patternFill patternType="solid">
          <fgColor rgb="FFD9EAF7"/>
        </patternFill>
      </fill>
    </dxf>
    <dxf>
      <fill>
        <patternFill patternType="solid">
          <fgColor rgb="FFFFF2CC"/>
        </patternFill>
      </fill>
    </dxf>
    <dxf>
      <fill>
        <patternFill>
          <bgColor rgb="FFD9EAF7"/>
        </patternFill>
      </fill>
    </dxf>
    <dxf>
      <fill>
        <patternFill>
          <bgColor rgb="FFFFF2CC"/>
        </patternFill>
      </fill>
    </dxf>
    <dxf>
      <fill>
        <patternFill patternType="solid">
          <fgColor rgb="FF90EE9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3F6F8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E2EA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F"/>
      <rgbColor rgb="FFC6EFCE"/>
      <rgbColor rgb="FFE2F0D9"/>
      <rgbColor rgb="FF90EE90"/>
      <rgbColor rgb="FFFCE4D6"/>
      <rgbColor rgb="FFEEF3F8"/>
      <rgbColor rgb="FFFFC7CE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7365D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4"/>
    <col collapsed="false" customWidth="true" hidden="false" outlineLevel="0" max="3" min="3" style="1" width="34"/>
    <col collapsed="false" customWidth="true" hidden="false" outlineLevel="0" max="5" min="4" style="1" width="12"/>
    <col collapsed="false" customWidth="true" hidden="false" outlineLevel="0" max="6" min="6" style="1" width="30"/>
    <col collapsed="false" customWidth="true" hidden="false" outlineLevel="0" max="7" min="7" style="1" width="26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true" outlineLevel="0" collapsed="false">
      <c r="A2" s="3" t="s">
        <v>7</v>
      </c>
      <c r="B2" s="3" t="s">
        <v>8</v>
      </c>
      <c r="C2" s="3" t="s">
        <v>9</v>
      </c>
      <c r="D2" s="4"/>
      <c r="E2" s="5"/>
      <c r="F2" s="3" t="s">
        <v>10</v>
      </c>
      <c r="G2" s="5"/>
    </row>
    <row r="3" customFormat="false" ht="15" hidden="false" customHeight="true" outlineLevel="0" collapsed="false">
      <c r="A3" s="6" t="s">
        <v>7</v>
      </c>
      <c r="B3" s="6" t="s">
        <v>11</v>
      </c>
      <c r="C3" s="6" t="s">
        <v>12</v>
      </c>
      <c r="D3" s="4"/>
      <c r="E3" s="7"/>
      <c r="F3" s="6" t="s">
        <v>13</v>
      </c>
      <c r="G3" s="7"/>
    </row>
    <row r="4" customFormat="false" ht="15" hidden="false" customHeight="true" outlineLevel="0" collapsed="false">
      <c r="A4" s="3" t="s">
        <v>7</v>
      </c>
      <c r="B4" s="3" t="s">
        <v>14</v>
      </c>
      <c r="C4" s="8" t="s">
        <v>15</v>
      </c>
      <c r="D4" s="4"/>
      <c r="E4" s="5"/>
      <c r="F4" s="3" t="s">
        <v>16</v>
      </c>
      <c r="G4" s="5"/>
    </row>
    <row r="5" customFormat="false" ht="15" hidden="false" customHeight="true" outlineLevel="0" collapsed="false">
      <c r="A5" s="6" t="s">
        <v>17</v>
      </c>
      <c r="B5" s="6" t="s">
        <v>18</v>
      </c>
      <c r="C5" s="6" t="s">
        <v>19</v>
      </c>
      <c r="D5" s="4" t="str">
        <f aca="false">IFERROR(IF(LOOKUP(2,1/(账户总表!$A:$A&lt;&gt;""),账户总表!$T:$T)&lt;&gt;"防守","是","否"),"否")</f>
        <v>是</v>
      </c>
      <c r="E5" s="7"/>
      <c r="F5" s="6" t="s">
        <v>20</v>
      </c>
      <c r="G5" s="7"/>
    </row>
    <row r="6" customFormat="false" ht="15" hidden="false" customHeight="true" outlineLevel="0" collapsed="false">
      <c r="A6" s="3" t="s">
        <v>17</v>
      </c>
      <c r="B6" s="3" t="s">
        <v>21</v>
      </c>
      <c r="C6" s="3" t="s">
        <v>22</v>
      </c>
      <c r="D6" s="4" t="str">
        <f aca="false">IFERROR(LOOKUP(2,1/(账户总表!$A:$A&lt;&gt;""),账户总表!$V:$V),"否")</f>
        <v>否</v>
      </c>
      <c r="E6" s="5"/>
      <c r="F6" s="3" t="s">
        <v>23</v>
      </c>
      <c r="G6" s="5"/>
    </row>
    <row r="7" customFormat="false" ht="15" hidden="false" customHeight="true" outlineLevel="0" collapsed="false">
      <c r="A7" s="6" t="s">
        <v>17</v>
      </c>
      <c r="B7" s="6" t="s">
        <v>24</v>
      </c>
      <c r="C7" s="6" t="s">
        <v>25</v>
      </c>
      <c r="D7" s="4" t="str">
        <f aca="false">IFERROR(IF(LOOKUP(2,1/(账户总表!$A:$A&lt;&gt;""),账户总表!$W:$W)="否","是","否"),"否")</f>
        <v>是</v>
      </c>
      <c r="E7" s="7"/>
      <c r="F7" s="6" t="s">
        <v>26</v>
      </c>
      <c r="G7" s="7"/>
    </row>
    <row r="8" customFormat="false" ht="15" hidden="false" customHeight="true" outlineLevel="0" collapsed="false">
      <c r="A8" s="3" t="s">
        <v>17</v>
      </c>
      <c r="B8" s="3" t="s">
        <v>27</v>
      </c>
      <c r="C8" s="3" t="s">
        <v>28</v>
      </c>
      <c r="D8" s="4" t="str">
        <f aca="false">IFERROR(IF(LOOKUP(2,1/(账户总表!$A:$A&lt;&gt;""),账户总表!$E:$E)&lt;=LOOKUP(2,1/(账户总表!$A:$A&lt;&gt;""),账户总表!$N:$N),"是","否"),"否")</f>
        <v>否</v>
      </c>
      <c r="E8" s="5"/>
      <c r="F8" s="3" t="s">
        <v>29</v>
      </c>
      <c r="G8" s="5"/>
    </row>
    <row r="9" customFormat="false" ht="15" hidden="false" customHeight="true" outlineLevel="0" collapsed="false">
      <c r="A9" s="6" t="s">
        <v>17</v>
      </c>
      <c r="B9" s="6" t="s">
        <v>30</v>
      </c>
      <c r="C9" s="6" t="s">
        <v>31</v>
      </c>
      <c r="D9" s="4" t="str">
        <f aca="false">IFERROR(IF(LOOKUP(2,1/(账户总表!$A:$A&lt;&gt;""),账户总表!$R:$R)&lt;=LOOKUP(2,1/(账户总表!$A:$A&lt;&gt;""),账户总表!$S:$S),"是","否"),"否")</f>
        <v>否</v>
      </c>
      <c r="E9" s="7"/>
      <c r="F9" s="6" t="s">
        <v>32</v>
      </c>
      <c r="G9" s="7"/>
    </row>
    <row r="10" customFormat="false" ht="15" hidden="false" customHeight="true" outlineLevel="0" collapsed="false">
      <c r="A10" s="3" t="s">
        <v>17</v>
      </c>
      <c r="B10" s="3" t="s">
        <v>33</v>
      </c>
      <c r="C10" s="3" t="s">
        <v>34</v>
      </c>
      <c r="D10" s="4" t="str">
        <f aca="false">IFERROR(IF(LOOKUP(2,1/(账户总表!$A:$A&lt;&gt;""),账户总表!$M:$M)&lt;=2,"是","否"),"否")</f>
        <v>是</v>
      </c>
      <c r="E10" s="5"/>
      <c r="F10" s="3" t="s">
        <v>35</v>
      </c>
      <c r="G10" s="5"/>
    </row>
    <row r="11" customFormat="false" ht="15" hidden="false" customHeight="true" outlineLevel="0" collapsed="false">
      <c r="A11" s="6" t="s">
        <v>17</v>
      </c>
      <c r="B11" s="6" t="s">
        <v>36</v>
      </c>
      <c r="C11" s="6" t="s">
        <v>37</v>
      </c>
      <c r="D11" s="4" t="str">
        <f aca="false">IFERROR(IF(COUNTIFS(候选池!$A:$A,LOOKUP(2,1/(账户总表!$A:$A&lt;&gt;""),账户总表!$A:$A),候选池!$AC:$AC,"是")&gt;0,"是","否"),"否")</f>
        <v>否</v>
      </c>
      <c r="E11" s="7"/>
      <c r="F11" s="6" t="s">
        <v>38</v>
      </c>
      <c r="G11" s="7"/>
    </row>
    <row r="12" customFormat="false" ht="15" hidden="false" customHeight="true" outlineLevel="0" collapsed="false">
      <c r="A12" s="3" t="s">
        <v>39</v>
      </c>
      <c r="B12" s="3" t="s">
        <v>40</v>
      </c>
      <c r="C12" s="3" t="s">
        <v>41</v>
      </c>
      <c r="D12" s="4"/>
      <c r="E12" s="5"/>
      <c r="F12" s="3" t="s">
        <v>42</v>
      </c>
      <c r="G12" s="5"/>
    </row>
    <row r="13" customFormat="false" ht="15" hidden="false" customHeight="true" outlineLevel="0" collapsed="false">
      <c r="A13" s="6" t="s">
        <v>39</v>
      </c>
      <c r="B13" s="6" t="s">
        <v>43</v>
      </c>
      <c r="C13" s="9" t="s">
        <v>44</v>
      </c>
      <c r="D13" s="4"/>
      <c r="E13" s="7"/>
      <c r="F13" s="6" t="s">
        <v>45</v>
      </c>
      <c r="G13" s="7"/>
    </row>
    <row r="14" customFormat="false" ht="15" hidden="false" customHeight="true" outlineLevel="0" collapsed="false">
      <c r="A14" s="3" t="s">
        <v>39</v>
      </c>
      <c r="B14" s="3" t="s">
        <v>46</v>
      </c>
      <c r="C14" s="8" t="s">
        <v>47</v>
      </c>
      <c r="D14" s="4"/>
      <c r="E14" s="5"/>
      <c r="F14" s="3" t="s">
        <v>48</v>
      </c>
      <c r="G14" s="5"/>
    </row>
    <row r="15" customFormat="false" ht="15" hidden="false" customHeight="true" outlineLevel="0" collapsed="false">
      <c r="A15" s="6" t="s">
        <v>49</v>
      </c>
      <c r="B15" s="6" t="s">
        <v>50</v>
      </c>
      <c r="C15" s="6" t="s">
        <v>51</v>
      </c>
      <c r="D15" s="4" t="str">
        <f aca="false">IFERROR(IF(COUNTIFS(持仓表!$A:$A,LOOKUP(2,1/(账户总表!$A:$A&lt;&gt;""),账户总表!$A:$A),持仓表!$AB:$AB,"立即卖出")+COUNTIFS(持仓表!$A:$A,LOOKUP(2,1/(账户总表!$A:$A&lt;&gt;""),账户总表!$A:$A),持仓表!$AB:$AB,"次日卖出")=0,"是","否"),"否")</f>
        <v>是</v>
      </c>
      <c r="E15" s="7"/>
      <c r="F15" s="6" t="s">
        <v>52</v>
      </c>
      <c r="G15" s="7"/>
    </row>
    <row r="16" customFormat="false" ht="15" hidden="false" customHeight="true" outlineLevel="0" collapsed="false">
      <c r="A16" s="3" t="s">
        <v>49</v>
      </c>
      <c r="B16" s="8" t="s">
        <v>53</v>
      </c>
      <c r="C16" s="8" t="s">
        <v>54</v>
      </c>
      <c r="D16" s="4"/>
      <c r="E16" s="5"/>
      <c r="F16" s="3" t="s">
        <v>55</v>
      </c>
      <c r="G16" s="5"/>
    </row>
    <row r="17" customFormat="false" ht="15" hidden="false" customHeight="true" outlineLevel="0" collapsed="false">
      <c r="A17" s="6" t="s">
        <v>56</v>
      </c>
      <c r="B17" s="6" t="s">
        <v>57</v>
      </c>
      <c r="C17" s="6" t="s">
        <v>58</v>
      </c>
      <c r="D17" s="4" t="str">
        <f aca="false">IFERROR(IF(AND(LOOKUP(2,1/(账户总表!$A:$A&lt;&gt;""),账户总表!$U:$U)="是",maxifs(候选池!$AB:$AB,候选池!$A:$A,LOOKUP(2,1/(账户总表!$A:$A&lt;&gt;""),账户总表!$A:$A))&gt;0),"是","不适用"),"不适用")</f>
        <v>不适用</v>
      </c>
      <c r="E17" s="7"/>
      <c r="F17" s="6" t="s">
        <v>59</v>
      </c>
      <c r="G17" s="7"/>
    </row>
    <row r="18" customFormat="false" ht="15" hidden="false" customHeight="true" outlineLevel="0" collapsed="false">
      <c r="A18" s="3" t="s">
        <v>56</v>
      </c>
      <c r="B18" s="3" t="s">
        <v>60</v>
      </c>
      <c r="C18" s="3" t="s">
        <v>61</v>
      </c>
      <c r="D18" s="4" t="str">
        <f aca="false">IFERROR(IF(LOOKUP(2,1/(账户总表!$A:$A&lt;&gt;""),账户总表!$Y:$Y)&gt;0,"是","不适用"),"不适用")</f>
        <v>不适用</v>
      </c>
      <c r="E18" s="5"/>
      <c r="F18" s="3" t="s">
        <v>62</v>
      </c>
      <c r="G18" s="5"/>
    </row>
    <row r="19" customFormat="false" ht="15" hidden="false" customHeight="true" outlineLevel="0" collapsed="false">
      <c r="A19" s="6" t="s">
        <v>63</v>
      </c>
      <c r="B19" s="6" t="s">
        <v>64</v>
      </c>
      <c r="C19" s="6" t="s">
        <v>65</v>
      </c>
      <c r="D19" s="4"/>
      <c r="E19" s="7"/>
      <c r="F19" s="6" t="s">
        <v>66</v>
      </c>
      <c r="G19" s="7"/>
    </row>
    <row r="20" customFormat="false" ht="15" hidden="false" customHeight="true" outlineLevel="0" collapsed="false">
      <c r="A20" s="3" t="s">
        <v>63</v>
      </c>
      <c r="B20" s="3" t="s">
        <v>67</v>
      </c>
      <c r="C20" s="8" t="s">
        <v>68</v>
      </c>
      <c r="D20" s="4"/>
      <c r="E20" s="5"/>
      <c r="F20" s="3" t="s">
        <v>69</v>
      </c>
      <c r="G20" s="5"/>
    </row>
    <row r="21" customFormat="false" ht="15" hidden="false" customHeight="true" outlineLevel="0" collapsed="false">
      <c r="A21" s="6" t="s">
        <v>70</v>
      </c>
      <c r="B21" s="6" t="s">
        <v>71</v>
      </c>
      <c r="C21" s="6" t="s">
        <v>72</v>
      </c>
      <c r="D21" s="4"/>
      <c r="E21" s="7"/>
      <c r="F21" s="6" t="s">
        <v>73</v>
      </c>
      <c r="G21" s="7"/>
    </row>
    <row r="22" customFormat="false" ht="15" hidden="false" customHeight="true" outlineLevel="0" collapsed="false">
      <c r="A22" s="3" t="s">
        <v>74</v>
      </c>
      <c r="B22" s="3" t="s">
        <v>75</v>
      </c>
      <c r="C22" s="3" t="s">
        <v>76</v>
      </c>
      <c r="D22" s="4"/>
      <c r="E22" s="5"/>
      <c r="F22" s="3" t="s">
        <v>77</v>
      </c>
      <c r="G22" s="5"/>
    </row>
    <row r="23" customFormat="false" ht="15" hidden="false" customHeight="true" outlineLevel="0" collapsed="false">
      <c r="A23" s="6" t="s">
        <v>74</v>
      </c>
      <c r="B23" s="6" t="s">
        <v>78</v>
      </c>
      <c r="C23" s="6" t="s">
        <v>79</v>
      </c>
      <c r="D23" s="4"/>
      <c r="E23" s="7"/>
      <c r="F23" s="6" t="s">
        <v>80</v>
      </c>
      <c r="G23" s="7"/>
    </row>
    <row r="24" customFormat="false" ht="15" hidden="false" customHeight="true" outlineLevel="0" collapsed="false">
      <c r="A24" s="3" t="s">
        <v>74</v>
      </c>
      <c r="B24" s="3" t="s">
        <v>81</v>
      </c>
      <c r="C24" s="3" t="s">
        <v>82</v>
      </c>
      <c r="D24" s="4"/>
      <c r="E24" s="5"/>
      <c r="F24" s="3" t="s">
        <v>83</v>
      </c>
      <c r="G24" s="5"/>
    </row>
    <row r="25" customFormat="false" ht="15" hidden="false" customHeight="true" outlineLevel="0" collapsed="false">
      <c r="A25" s="6" t="s">
        <v>84</v>
      </c>
      <c r="B25" s="6" t="s">
        <v>85</v>
      </c>
      <c r="C25" s="6" t="s">
        <v>86</v>
      </c>
      <c r="D25" s="4"/>
      <c r="E25" s="7"/>
      <c r="F25" s="6" t="s">
        <v>87</v>
      </c>
      <c r="G25" s="7"/>
    </row>
    <row r="26" customFormat="false" ht="15" hidden="false" customHeight="true" outlineLevel="0" collapsed="false">
      <c r="A26" s="3" t="s">
        <v>84</v>
      </c>
      <c r="B26" s="3" t="s">
        <v>88</v>
      </c>
      <c r="C26" s="3" t="s">
        <v>89</v>
      </c>
      <c r="D26" s="4"/>
      <c r="E26" s="5"/>
      <c r="F26" s="3" t="s">
        <v>90</v>
      </c>
      <c r="G26" s="5"/>
    </row>
    <row r="27" customFormat="false" ht="15" hidden="false" customHeight="true" outlineLevel="0" collapsed="false">
      <c r="A27" s="9"/>
      <c r="B27" s="9"/>
      <c r="C27" s="9"/>
      <c r="D27" s="4"/>
      <c r="E27" s="7"/>
      <c r="F27" s="9"/>
      <c r="G27" s="7"/>
    </row>
    <row r="28" customFormat="false" ht="15" hidden="false" customHeight="true" outlineLevel="0" collapsed="false">
      <c r="A28" s="8"/>
      <c r="B28" s="8"/>
      <c r="C28" s="8"/>
      <c r="D28" s="4"/>
      <c r="E28" s="5"/>
      <c r="F28" s="8"/>
      <c r="G28" s="5"/>
    </row>
    <row r="29" customFormat="false" ht="15" hidden="false" customHeight="true" outlineLevel="0" collapsed="false">
      <c r="A29" s="9"/>
      <c r="B29" s="9"/>
      <c r="C29" s="9"/>
      <c r="D29" s="4"/>
      <c r="E29" s="7"/>
      <c r="F29" s="9"/>
      <c r="G29" s="7"/>
    </row>
    <row r="30" customFormat="false" ht="15" hidden="false" customHeight="true" outlineLevel="0" collapsed="false">
      <c r="A30" s="8"/>
      <c r="B30" s="8"/>
      <c r="C30" s="8"/>
      <c r="D30" s="4"/>
      <c r="E30" s="5"/>
      <c r="F30" s="8"/>
      <c r="G30" s="5"/>
    </row>
    <row r="31" customFormat="false" ht="15" hidden="false" customHeight="true" outlineLevel="0" collapsed="false">
      <c r="A31" s="9"/>
      <c r="B31" s="9"/>
      <c r="C31" s="9"/>
      <c r="D31" s="4"/>
      <c r="E31" s="7"/>
      <c r="F31" s="9"/>
      <c r="G31" s="7"/>
    </row>
    <row r="32" customFormat="false" ht="15" hidden="false" customHeight="true" outlineLevel="0" collapsed="false">
      <c r="A32" s="8"/>
      <c r="B32" s="8"/>
      <c r="C32" s="8"/>
      <c r="D32" s="4"/>
      <c r="E32" s="5"/>
      <c r="F32" s="8"/>
      <c r="G32" s="5"/>
    </row>
    <row r="33" customFormat="false" ht="15" hidden="false" customHeight="true" outlineLevel="0" collapsed="false">
      <c r="A33" s="9"/>
      <c r="B33" s="9"/>
      <c r="C33" s="9"/>
      <c r="D33" s="4"/>
      <c r="E33" s="7"/>
      <c r="F33" s="9"/>
      <c r="G33" s="7"/>
    </row>
    <row r="34" customFormat="false" ht="15" hidden="false" customHeight="true" outlineLevel="0" collapsed="false">
      <c r="A34" s="8"/>
      <c r="B34" s="8"/>
      <c r="C34" s="8"/>
      <c r="D34" s="4"/>
      <c r="E34" s="5"/>
      <c r="F34" s="8"/>
      <c r="G34" s="5"/>
    </row>
    <row r="35" customFormat="false" ht="15" hidden="false" customHeight="true" outlineLevel="0" collapsed="false">
      <c r="A35" s="9"/>
      <c r="B35" s="9"/>
      <c r="C35" s="9"/>
      <c r="D35" s="4"/>
      <c r="E35" s="7"/>
      <c r="F35" s="9"/>
      <c r="G35" s="7"/>
    </row>
    <row r="36" customFormat="false" ht="15" hidden="false" customHeight="true" outlineLevel="0" collapsed="false">
      <c r="A36" s="8"/>
      <c r="B36" s="8"/>
      <c r="C36" s="8"/>
      <c r="D36" s="4"/>
      <c r="E36" s="5"/>
      <c r="F36" s="8"/>
      <c r="G36" s="5"/>
    </row>
    <row r="37" customFormat="false" ht="15" hidden="false" customHeight="true" outlineLevel="0" collapsed="false">
      <c r="A37" s="9"/>
      <c r="B37" s="9"/>
      <c r="C37" s="9"/>
      <c r="D37" s="4"/>
      <c r="E37" s="7"/>
      <c r="F37" s="9"/>
      <c r="G37" s="7"/>
    </row>
    <row r="38" customFormat="false" ht="15" hidden="false" customHeight="true" outlineLevel="0" collapsed="false">
      <c r="A38" s="8"/>
      <c r="B38" s="8"/>
      <c r="C38" s="8"/>
      <c r="D38" s="4"/>
      <c r="E38" s="5"/>
      <c r="F38" s="8"/>
      <c r="G38" s="5"/>
    </row>
    <row r="39" customFormat="false" ht="15" hidden="false" customHeight="true" outlineLevel="0" collapsed="false">
      <c r="A39" s="9"/>
      <c r="B39" s="9"/>
      <c r="C39" s="9"/>
      <c r="D39" s="4"/>
      <c r="E39" s="7"/>
      <c r="F39" s="9"/>
      <c r="G39" s="7"/>
    </row>
    <row r="40" customFormat="false" ht="15" hidden="false" customHeight="true" outlineLevel="0" collapsed="false">
      <c r="A40" s="8"/>
      <c r="B40" s="8"/>
      <c r="C40" s="8"/>
      <c r="D40" s="4"/>
      <c r="E40" s="5"/>
      <c r="F40" s="8"/>
      <c r="G40" s="5"/>
    </row>
    <row r="41" customFormat="false" ht="15" hidden="false" customHeight="true" outlineLevel="0" collapsed="false">
      <c r="A41" s="9"/>
      <c r="B41" s="9"/>
      <c r="C41" s="9"/>
      <c r="D41" s="4"/>
      <c r="E41" s="7"/>
      <c r="F41" s="9"/>
      <c r="G41" s="7"/>
    </row>
    <row r="42" customFormat="false" ht="15" hidden="false" customHeight="true" outlineLevel="0" collapsed="false">
      <c r="A42" s="8"/>
      <c r="B42" s="8"/>
      <c r="C42" s="8"/>
      <c r="D42" s="4"/>
      <c r="E42" s="5"/>
      <c r="F42" s="8"/>
      <c r="G42" s="5"/>
    </row>
    <row r="43" customFormat="false" ht="15" hidden="false" customHeight="true" outlineLevel="0" collapsed="false">
      <c r="A43" s="9"/>
      <c r="B43" s="9"/>
      <c r="C43" s="9"/>
      <c r="D43" s="4"/>
      <c r="E43" s="7"/>
      <c r="F43" s="9"/>
      <c r="G43" s="7"/>
    </row>
    <row r="44" customFormat="false" ht="15" hidden="false" customHeight="true" outlineLevel="0" collapsed="false">
      <c r="A44" s="8"/>
      <c r="B44" s="8"/>
      <c r="C44" s="8"/>
      <c r="D44" s="4"/>
      <c r="E44" s="5"/>
      <c r="F44" s="8"/>
      <c r="G44" s="5"/>
    </row>
    <row r="45" customFormat="false" ht="15" hidden="false" customHeight="true" outlineLevel="0" collapsed="false">
      <c r="A45" s="9"/>
      <c r="B45" s="9"/>
      <c r="C45" s="9"/>
      <c r="D45" s="4"/>
      <c r="E45" s="7"/>
      <c r="F45" s="9"/>
      <c r="G45" s="7"/>
    </row>
    <row r="46" customFormat="false" ht="15" hidden="false" customHeight="true" outlineLevel="0" collapsed="false">
      <c r="A46" s="8"/>
      <c r="B46" s="8"/>
      <c r="C46" s="8"/>
      <c r="D46" s="4"/>
      <c r="E46" s="5"/>
      <c r="F46" s="8"/>
      <c r="G46" s="5"/>
    </row>
    <row r="47" customFormat="false" ht="15" hidden="false" customHeight="true" outlineLevel="0" collapsed="false">
      <c r="A47" s="9"/>
      <c r="B47" s="9"/>
      <c r="C47" s="9"/>
      <c r="D47" s="4"/>
      <c r="E47" s="7"/>
      <c r="F47" s="9"/>
      <c r="G47" s="7"/>
    </row>
    <row r="48" customFormat="false" ht="15" hidden="false" customHeight="true" outlineLevel="0" collapsed="false">
      <c r="A48" s="8"/>
      <c r="B48" s="8"/>
      <c r="C48" s="8"/>
      <c r="D48" s="4"/>
      <c r="E48" s="5"/>
      <c r="F48" s="8"/>
      <c r="G48" s="5"/>
    </row>
    <row r="49" customFormat="false" ht="15" hidden="false" customHeight="true" outlineLevel="0" collapsed="false">
      <c r="A49" s="9"/>
      <c r="B49" s="9"/>
      <c r="C49" s="9"/>
      <c r="D49" s="4"/>
      <c r="E49" s="7"/>
      <c r="F49" s="9"/>
      <c r="G49" s="7"/>
    </row>
    <row r="50" customFormat="false" ht="15" hidden="false" customHeight="true" outlineLevel="0" collapsed="false">
      <c r="A50" s="8"/>
      <c r="B50" s="8"/>
      <c r="C50" s="8"/>
      <c r="D50" s="4"/>
      <c r="E50" s="5"/>
      <c r="F50" s="8"/>
      <c r="G50" s="5"/>
    </row>
    <row r="51" customFormat="false" ht="15" hidden="false" customHeight="true" outlineLevel="0" collapsed="false">
      <c r="A51" s="9"/>
      <c r="B51" s="9"/>
      <c r="C51" s="9"/>
      <c r="D51" s="4"/>
      <c r="E51" s="7"/>
      <c r="F51" s="9"/>
      <c r="G51" s="7"/>
    </row>
    <row r="52" customFormat="false" ht="15" hidden="false" customHeight="true" outlineLevel="0" collapsed="false">
      <c r="A52" s="8"/>
      <c r="B52" s="8"/>
      <c r="C52" s="8"/>
      <c r="D52" s="4"/>
      <c r="E52" s="5"/>
      <c r="F52" s="8"/>
      <c r="G52" s="5"/>
    </row>
    <row r="53" customFormat="false" ht="15" hidden="false" customHeight="true" outlineLevel="0" collapsed="false">
      <c r="A53" s="9"/>
      <c r="B53" s="9"/>
      <c r="C53" s="9"/>
      <c r="D53" s="4"/>
      <c r="E53" s="7"/>
      <c r="F53" s="9"/>
      <c r="G53" s="7"/>
    </row>
    <row r="54" customFormat="false" ht="15" hidden="false" customHeight="true" outlineLevel="0" collapsed="false">
      <c r="A54" s="8"/>
      <c r="B54" s="8"/>
      <c r="C54" s="8"/>
      <c r="D54" s="4"/>
      <c r="E54" s="5"/>
      <c r="F54" s="8"/>
      <c r="G54" s="5"/>
    </row>
    <row r="55" customFormat="false" ht="15" hidden="false" customHeight="true" outlineLevel="0" collapsed="false">
      <c r="A55" s="9"/>
      <c r="B55" s="9"/>
      <c r="C55" s="9"/>
      <c r="D55" s="4"/>
      <c r="E55" s="7"/>
      <c r="F55" s="9"/>
      <c r="G55" s="7"/>
    </row>
    <row r="56" customFormat="false" ht="15" hidden="false" customHeight="true" outlineLevel="0" collapsed="false">
      <c r="A56" s="8"/>
      <c r="B56" s="8"/>
      <c r="C56" s="8"/>
      <c r="D56" s="4"/>
      <c r="E56" s="5"/>
      <c r="F56" s="8"/>
      <c r="G56" s="5"/>
    </row>
    <row r="57" customFormat="false" ht="15" hidden="false" customHeight="true" outlineLevel="0" collapsed="false">
      <c r="A57" s="9"/>
      <c r="B57" s="9"/>
      <c r="C57" s="9"/>
      <c r="D57" s="4"/>
      <c r="E57" s="7"/>
      <c r="F57" s="9"/>
      <c r="G57" s="7"/>
    </row>
    <row r="58" customFormat="false" ht="15" hidden="false" customHeight="true" outlineLevel="0" collapsed="false">
      <c r="A58" s="8"/>
      <c r="B58" s="8"/>
      <c r="C58" s="8"/>
      <c r="D58" s="4"/>
      <c r="E58" s="5"/>
      <c r="F58" s="8"/>
      <c r="G58" s="5"/>
    </row>
    <row r="59" customFormat="false" ht="15" hidden="false" customHeight="true" outlineLevel="0" collapsed="false">
      <c r="A59" s="9"/>
      <c r="B59" s="9"/>
      <c r="C59" s="9"/>
      <c r="D59" s="4"/>
      <c r="E59" s="7"/>
      <c r="F59" s="9"/>
      <c r="G59" s="7"/>
    </row>
    <row r="60" customFormat="false" ht="15" hidden="false" customHeight="true" outlineLevel="0" collapsed="false">
      <c r="A60" s="8"/>
      <c r="B60" s="8"/>
      <c r="C60" s="8"/>
      <c r="D60" s="4"/>
      <c r="E60" s="5"/>
      <c r="F60" s="8"/>
      <c r="G60" s="5"/>
    </row>
    <row r="61" customFormat="false" ht="15" hidden="false" customHeight="true" outlineLevel="0" collapsed="false">
      <c r="A61" s="9"/>
      <c r="B61" s="9"/>
      <c r="C61" s="9"/>
      <c r="D61" s="4"/>
      <c r="E61" s="7"/>
      <c r="F61" s="9"/>
      <c r="G61" s="7"/>
    </row>
    <row r="62" customFormat="false" ht="15" hidden="false" customHeight="true" outlineLevel="0" collapsed="false">
      <c r="A62" s="8"/>
      <c r="B62" s="8"/>
      <c r="C62" s="8"/>
      <c r="D62" s="4"/>
      <c r="E62" s="5"/>
      <c r="F62" s="8"/>
      <c r="G62" s="5"/>
    </row>
    <row r="63" customFormat="false" ht="15" hidden="false" customHeight="true" outlineLevel="0" collapsed="false">
      <c r="A63" s="9"/>
      <c r="B63" s="9"/>
      <c r="C63" s="9"/>
      <c r="D63" s="4"/>
      <c r="E63" s="7"/>
      <c r="F63" s="9"/>
      <c r="G63" s="7"/>
    </row>
    <row r="64" customFormat="false" ht="15" hidden="false" customHeight="true" outlineLevel="0" collapsed="false">
      <c r="A64" s="8"/>
      <c r="B64" s="8"/>
      <c r="C64" s="8"/>
      <c r="D64" s="4"/>
      <c r="E64" s="5"/>
      <c r="F64" s="8"/>
      <c r="G64" s="5"/>
    </row>
    <row r="65" customFormat="false" ht="15" hidden="false" customHeight="true" outlineLevel="0" collapsed="false">
      <c r="A65" s="9"/>
      <c r="B65" s="9"/>
      <c r="C65" s="9"/>
      <c r="D65" s="4"/>
      <c r="E65" s="7"/>
      <c r="F65" s="9"/>
      <c r="G65" s="7"/>
    </row>
    <row r="66" customFormat="false" ht="15" hidden="false" customHeight="true" outlineLevel="0" collapsed="false">
      <c r="A66" s="8"/>
      <c r="B66" s="8"/>
      <c r="C66" s="8"/>
      <c r="D66" s="4"/>
      <c r="E66" s="5"/>
      <c r="F66" s="8"/>
      <c r="G66" s="5"/>
    </row>
    <row r="67" customFormat="false" ht="15" hidden="false" customHeight="true" outlineLevel="0" collapsed="false">
      <c r="A67" s="9"/>
      <c r="B67" s="9"/>
      <c r="C67" s="9"/>
      <c r="D67" s="4"/>
      <c r="E67" s="7"/>
      <c r="F67" s="9"/>
      <c r="G67" s="7"/>
    </row>
    <row r="68" customFormat="false" ht="15" hidden="false" customHeight="true" outlineLevel="0" collapsed="false">
      <c r="A68" s="8"/>
      <c r="B68" s="8"/>
      <c r="C68" s="8"/>
      <c r="D68" s="4"/>
      <c r="E68" s="5"/>
      <c r="F68" s="8"/>
      <c r="G68" s="5"/>
    </row>
    <row r="69" customFormat="false" ht="15" hidden="false" customHeight="true" outlineLevel="0" collapsed="false">
      <c r="A69" s="9"/>
      <c r="B69" s="9"/>
      <c r="C69" s="9"/>
      <c r="D69" s="4"/>
      <c r="E69" s="7"/>
      <c r="F69" s="9"/>
      <c r="G69" s="7"/>
    </row>
    <row r="70" customFormat="false" ht="15" hidden="false" customHeight="true" outlineLevel="0" collapsed="false">
      <c r="A70" s="8"/>
      <c r="B70" s="8"/>
      <c r="C70" s="8"/>
      <c r="D70" s="4"/>
      <c r="E70" s="5"/>
      <c r="F70" s="8"/>
      <c r="G70" s="5"/>
    </row>
    <row r="71" customFormat="false" ht="15" hidden="false" customHeight="true" outlineLevel="0" collapsed="false">
      <c r="A71" s="9"/>
      <c r="B71" s="9"/>
      <c r="C71" s="9"/>
      <c r="D71" s="4"/>
      <c r="E71" s="7"/>
      <c r="F71" s="9"/>
      <c r="G71" s="7"/>
    </row>
    <row r="72" customFormat="false" ht="15" hidden="false" customHeight="true" outlineLevel="0" collapsed="false">
      <c r="A72" s="8"/>
      <c r="B72" s="8"/>
      <c r="C72" s="8"/>
      <c r="D72" s="4"/>
      <c r="E72" s="5"/>
      <c r="F72" s="8"/>
      <c r="G72" s="5"/>
    </row>
    <row r="73" customFormat="false" ht="15" hidden="false" customHeight="true" outlineLevel="0" collapsed="false">
      <c r="A73" s="9"/>
      <c r="B73" s="9"/>
      <c r="C73" s="9"/>
      <c r="D73" s="4"/>
      <c r="E73" s="7"/>
      <c r="F73" s="9"/>
      <c r="G73" s="7"/>
    </row>
    <row r="74" customFormat="false" ht="15" hidden="false" customHeight="true" outlineLevel="0" collapsed="false">
      <c r="A74" s="8"/>
      <c r="B74" s="8"/>
      <c r="C74" s="8"/>
      <c r="D74" s="4"/>
      <c r="E74" s="5"/>
      <c r="F74" s="8"/>
      <c r="G74" s="5"/>
    </row>
    <row r="75" customFormat="false" ht="15" hidden="false" customHeight="true" outlineLevel="0" collapsed="false">
      <c r="A75" s="9"/>
      <c r="B75" s="9"/>
      <c r="C75" s="9"/>
      <c r="D75" s="4"/>
      <c r="E75" s="7"/>
      <c r="F75" s="9"/>
      <c r="G75" s="7"/>
    </row>
    <row r="76" customFormat="false" ht="15" hidden="false" customHeight="true" outlineLevel="0" collapsed="false">
      <c r="A76" s="8"/>
      <c r="B76" s="8"/>
      <c r="C76" s="8"/>
      <c r="D76" s="4"/>
      <c r="E76" s="5"/>
      <c r="F76" s="8"/>
      <c r="G76" s="5"/>
    </row>
    <row r="77" customFormat="false" ht="15" hidden="false" customHeight="true" outlineLevel="0" collapsed="false">
      <c r="A77" s="9"/>
      <c r="B77" s="9"/>
      <c r="C77" s="9"/>
      <c r="D77" s="4"/>
      <c r="E77" s="7"/>
      <c r="F77" s="9"/>
      <c r="G77" s="7"/>
    </row>
    <row r="78" customFormat="false" ht="15" hidden="false" customHeight="true" outlineLevel="0" collapsed="false">
      <c r="A78" s="8"/>
      <c r="B78" s="8"/>
      <c r="C78" s="8"/>
      <c r="D78" s="4"/>
      <c r="E78" s="5"/>
      <c r="F78" s="8"/>
      <c r="G78" s="5"/>
    </row>
    <row r="79" customFormat="false" ht="15" hidden="false" customHeight="true" outlineLevel="0" collapsed="false">
      <c r="A79" s="9"/>
      <c r="B79" s="9"/>
      <c r="C79" s="9"/>
      <c r="D79" s="4"/>
      <c r="E79" s="7"/>
      <c r="F79" s="9"/>
      <c r="G79" s="7"/>
    </row>
    <row r="80" customFormat="false" ht="15" hidden="false" customHeight="true" outlineLevel="0" collapsed="false">
      <c r="A80" s="8"/>
      <c r="B80" s="8"/>
      <c r="C80" s="8"/>
      <c r="D80" s="4"/>
      <c r="E80" s="5"/>
      <c r="F80" s="8"/>
      <c r="G80" s="5"/>
    </row>
    <row r="81" customFormat="false" ht="15" hidden="false" customHeight="true" outlineLevel="0" collapsed="false">
      <c r="A81" s="9"/>
      <c r="B81" s="9"/>
      <c r="C81" s="9"/>
      <c r="D81" s="4"/>
      <c r="E81" s="7"/>
      <c r="F81" s="9"/>
      <c r="G81" s="7"/>
    </row>
    <row r="82" customFormat="false" ht="15" hidden="false" customHeight="true" outlineLevel="0" collapsed="false">
      <c r="A82" s="8"/>
      <c r="B82" s="8"/>
      <c r="C82" s="8"/>
      <c r="D82" s="4"/>
      <c r="E82" s="5"/>
      <c r="F82" s="8"/>
      <c r="G82" s="5"/>
    </row>
    <row r="83" customFormat="false" ht="15" hidden="false" customHeight="true" outlineLevel="0" collapsed="false">
      <c r="A83" s="9"/>
      <c r="B83" s="9"/>
      <c r="C83" s="9"/>
      <c r="D83" s="4"/>
      <c r="E83" s="7"/>
      <c r="F83" s="9"/>
      <c r="G83" s="7"/>
    </row>
    <row r="84" customFormat="false" ht="15" hidden="false" customHeight="true" outlineLevel="0" collapsed="false">
      <c r="A84" s="8"/>
      <c r="B84" s="8"/>
      <c r="C84" s="8"/>
      <c r="D84" s="4"/>
      <c r="E84" s="5"/>
      <c r="F84" s="8"/>
      <c r="G84" s="5"/>
    </row>
    <row r="85" customFormat="false" ht="15" hidden="false" customHeight="true" outlineLevel="0" collapsed="false">
      <c r="A85" s="9"/>
      <c r="B85" s="9"/>
      <c r="C85" s="9"/>
      <c r="D85" s="4"/>
      <c r="E85" s="7"/>
      <c r="F85" s="9"/>
      <c r="G85" s="7"/>
    </row>
    <row r="86" customFormat="false" ht="15" hidden="false" customHeight="true" outlineLevel="0" collapsed="false">
      <c r="A86" s="8"/>
      <c r="B86" s="8"/>
      <c r="C86" s="8"/>
      <c r="D86" s="4"/>
      <c r="E86" s="5"/>
      <c r="F86" s="8"/>
      <c r="G86" s="5"/>
    </row>
    <row r="87" customFormat="false" ht="15" hidden="false" customHeight="true" outlineLevel="0" collapsed="false">
      <c r="A87" s="9"/>
      <c r="B87" s="9"/>
      <c r="C87" s="9"/>
      <c r="D87" s="4"/>
      <c r="E87" s="7"/>
      <c r="F87" s="9"/>
      <c r="G87" s="7"/>
    </row>
    <row r="88" customFormat="false" ht="15" hidden="false" customHeight="true" outlineLevel="0" collapsed="false">
      <c r="A88" s="8"/>
      <c r="B88" s="8"/>
      <c r="C88" s="8"/>
      <c r="D88" s="4"/>
      <c r="E88" s="5"/>
      <c r="F88" s="8"/>
      <c r="G88" s="5"/>
    </row>
    <row r="89" customFormat="false" ht="15" hidden="false" customHeight="true" outlineLevel="0" collapsed="false">
      <c r="A89" s="9"/>
      <c r="B89" s="9"/>
      <c r="C89" s="9"/>
      <c r="D89" s="4"/>
      <c r="E89" s="7"/>
      <c r="F89" s="9"/>
      <c r="G89" s="7"/>
    </row>
    <row r="90" customFormat="false" ht="15" hidden="false" customHeight="true" outlineLevel="0" collapsed="false">
      <c r="A90" s="8"/>
      <c r="B90" s="8"/>
      <c r="C90" s="8"/>
      <c r="D90" s="4"/>
      <c r="E90" s="5"/>
      <c r="F90" s="8"/>
      <c r="G90" s="5"/>
    </row>
    <row r="91" customFormat="false" ht="15" hidden="false" customHeight="true" outlineLevel="0" collapsed="false">
      <c r="A91" s="9"/>
      <c r="B91" s="9"/>
      <c r="C91" s="9"/>
      <c r="D91" s="4"/>
      <c r="E91" s="7"/>
      <c r="F91" s="9"/>
      <c r="G91" s="7"/>
    </row>
    <row r="92" customFormat="false" ht="15" hidden="false" customHeight="true" outlineLevel="0" collapsed="false">
      <c r="A92" s="8"/>
      <c r="B92" s="8"/>
      <c r="C92" s="8"/>
      <c r="D92" s="4"/>
      <c r="E92" s="5"/>
      <c r="F92" s="8"/>
      <c r="G92" s="5"/>
    </row>
    <row r="93" customFormat="false" ht="15" hidden="false" customHeight="true" outlineLevel="0" collapsed="false">
      <c r="A93" s="9"/>
      <c r="B93" s="9"/>
      <c r="C93" s="9"/>
      <c r="D93" s="4"/>
      <c r="E93" s="7"/>
      <c r="F93" s="9"/>
      <c r="G93" s="7"/>
    </row>
    <row r="94" customFormat="false" ht="15" hidden="false" customHeight="true" outlineLevel="0" collapsed="false">
      <c r="A94" s="8"/>
      <c r="B94" s="8"/>
      <c r="C94" s="8"/>
      <c r="D94" s="4"/>
      <c r="E94" s="5"/>
      <c r="F94" s="8"/>
      <c r="G94" s="5"/>
    </row>
    <row r="95" customFormat="false" ht="15" hidden="false" customHeight="true" outlineLevel="0" collapsed="false">
      <c r="A95" s="9"/>
      <c r="B95" s="9"/>
      <c r="C95" s="9"/>
      <c r="D95" s="4"/>
      <c r="E95" s="7"/>
      <c r="F95" s="9"/>
      <c r="G95" s="7"/>
    </row>
    <row r="96" customFormat="false" ht="15" hidden="false" customHeight="true" outlineLevel="0" collapsed="false">
      <c r="A96" s="8"/>
      <c r="B96" s="8"/>
      <c r="C96" s="8"/>
      <c r="D96" s="4"/>
      <c r="E96" s="5"/>
      <c r="F96" s="8"/>
      <c r="G96" s="5"/>
    </row>
    <row r="97" customFormat="false" ht="15" hidden="false" customHeight="true" outlineLevel="0" collapsed="false">
      <c r="A97" s="9"/>
      <c r="B97" s="9"/>
      <c r="C97" s="9"/>
      <c r="D97" s="4"/>
      <c r="E97" s="7"/>
      <c r="F97" s="9"/>
      <c r="G97" s="7"/>
    </row>
    <row r="98" customFormat="false" ht="15" hidden="false" customHeight="true" outlineLevel="0" collapsed="false">
      <c r="A98" s="8"/>
      <c r="B98" s="8"/>
      <c r="C98" s="8"/>
      <c r="D98" s="4"/>
      <c r="E98" s="5"/>
      <c r="F98" s="8"/>
      <c r="G98" s="5"/>
    </row>
    <row r="99" customFormat="false" ht="15" hidden="false" customHeight="true" outlineLevel="0" collapsed="false">
      <c r="A99" s="9"/>
      <c r="B99" s="9"/>
      <c r="C99" s="9"/>
      <c r="D99" s="4"/>
      <c r="E99" s="7"/>
      <c r="F99" s="9"/>
      <c r="G99" s="7"/>
    </row>
    <row r="100" customFormat="false" ht="15" hidden="false" customHeight="true" outlineLevel="0" collapsed="false">
      <c r="A100" s="8"/>
      <c r="B100" s="8"/>
      <c r="C100" s="8"/>
      <c r="D100" s="4"/>
      <c r="E100" s="5"/>
      <c r="F100" s="8"/>
      <c r="G100" s="5"/>
    </row>
    <row r="101" customFormat="false" ht="15" hidden="false" customHeight="true" outlineLevel="0" collapsed="false">
      <c r="A101" s="9"/>
      <c r="B101" s="9"/>
      <c r="C101" s="9"/>
      <c r="D101" s="4"/>
      <c r="E101" s="7"/>
      <c r="F101" s="9"/>
      <c r="G101" s="7"/>
    </row>
    <row r="102" customFormat="false" ht="15" hidden="false" customHeight="true" outlineLevel="0" collapsed="false">
      <c r="A102" s="8"/>
      <c r="B102" s="8"/>
      <c r="C102" s="8"/>
      <c r="D102" s="4"/>
      <c r="E102" s="5"/>
      <c r="F102" s="8"/>
      <c r="G102" s="5"/>
    </row>
    <row r="103" customFormat="false" ht="15" hidden="false" customHeight="true" outlineLevel="0" collapsed="false">
      <c r="A103" s="9"/>
      <c r="B103" s="9"/>
      <c r="C103" s="9"/>
      <c r="D103" s="4"/>
      <c r="E103" s="7"/>
      <c r="F103" s="9"/>
      <c r="G103" s="7"/>
    </row>
    <row r="104" customFormat="false" ht="15" hidden="false" customHeight="true" outlineLevel="0" collapsed="false">
      <c r="A104" s="8"/>
      <c r="B104" s="8"/>
      <c r="C104" s="8"/>
      <c r="D104" s="4"/>
      <c r="E104" s="5"/>
      <c r="F104" s="8"/>
      <c r="G104" s="5"/>
    </row>
    <row r="105" customFormat="false" ht="15" hidden="false" customHeight="true" outlineLevel="0" collapsed="false">
      <c r="A105" s="9"/>
      <c r="B105" s="9"/>
      <c r="C105" s="9"/>
      <c r="D105" s="4"/>
      <c r="E105" s="7"/>
      <c r="F105" s="9"/>
      <c r="G105" s="7"/>
    </row>
    <row r="106" customFormat="false" ht="15" hidden="false" customHeight="true" outlineLevel="0" collapsed="false">
      <c r="A106" s="8"/>
      <c r="B106" s="8"/>
      <c r="C106" s="8"/>
      <c r="D106" s="4"/>
      <c r="E106" s="5"/>
      <c r="F106" s="8"/>
      <c r="G106" s="5"/>
    </row>
    <row r="107" customFormat="false" ht="15" hidden="false" customHeight="true" outlineLevel="0" collapsed="false">
      <c r="A107" s="9"/>
      <c r="B107" s="9"/>
      <c r="C107" s="9"/>
      <c r="D107" s="4"/>
      <c r="E107" s="7"/>
      <c r="F107" s="9"/>
      <c r="G107" s="7"/>
    </row>
    <row r="108" customFormat="false" ht="15" hidden="false" customHeight="true" outlineLevel="0" collapsed="false">
      <c r="A108" s="8"/>
      <c r="B108" s="8"/>
      <c r="C108" s="8"/>
      <c r="D108" s="4"/>
      <c r="E108" s="5"/>
      <c r="F108" s="8"/>
      <c r="G108" s="5"/>
    </row>
    <row r="109" customFormat="false" ht="15" hidden="false" customHeight="true" outlineLevel="0" collapsed="false">
      <c r="A109" s="9"/>
      <c r="B109" s="9"/>
      <c r="C109" s="9"/>
      <c r="D109" s="4"/>
      <c r="E109" s="7"/>
      <c r="F109" s="9"/>
      <c r="G109" s="7"/>
    </row>
    <row r="110" customFormat="false" ht="15" hidden="false" customHeight="true" outlineLevel="0" collapsed="false">
      <c r="A110" s="8"/>
      <c r="B110" s="8"/>
      <c r="C110" s="8"/>
      <c r="D110" s="4"/>
      <c r="E110" s="5"/>
      <c r="F110" s="8"/>
      <c r="G110" s="5"/>
    </row>
    <row r="111" customFormat="false" ht="15" hidden="false" customHeight="true" outlineLevel="0" collapsed="false">
      <c r="A111" s="9"/>
      <c r="B111" s="9"/>
      <c r="C111" s="9"/>
      <c r="D111" s="4"/>
      <c r="E111" s="7"/>
      <c r="F111" s="9"/>
      <c r="G111" s="7"/>
    </row>
    <row r="112" customFormat="false" ht="15" hidden="false" customHeight="true" outlineLevel="0" collapsed="false">
      <c r="A112" s="8"/>
      <c r="B112" s="8"/>
      <c r="C112" s="8"/>
      <c r="D112" s="4"/>
      <c r="E112" s="5"/>
      <c r="F112" s="8"/>
      <c r="G112" s="5"/>
    </row>
    <row r="113" customFormat="false" ht="15" hidden="false" customHeight="true" outlineLevel="0" collapsed="false">
      <c r="A113" s="9"/>
      <c r="B113" s="9"/>
      <c r="C113" s="9"/>
      <c r="D113" s="4"/>
      <c r="E113" s="7"/>
      <c r="F113" s="9"/>
      <c r="G113" s="7"/>
    </row>
    <row r="114" customFormat="false" ht="15" hidden="false" customHeight="true" outlineLevel="0" collapsed="false">
      <c r="A114" s="8"/>
      <c r="B114" s="8"/>
      <c r="C114" s="8"/>
      <c r="D114" s="4"/>
      <c r="E114" s="5"/>
      <c r="F114" s="8"/>
      <c r="G114" s="5"/>
    </row>
    <row r="115" customFormat="false" ht="15" hidden="false" customHeight="true" outlineLevel="0" collapsed="false">
      <c r="A115" s="9"/>
      <c r="B115" s="9"/>
      <c r="C115" s="9"/>
      <c r="D115" s="4"/>
      <c r="E115" s="7"/>
      <c r="F115" s="9"/>
      <c r="G115" s="7"/>
    </row>
    <row r="116" customFormat="false" ht="15" hidden="false" customHeight="true" outlineLevel="0" collapsed="false">
      <c r="A116" s="8"/>
      <c r="B116" s="8"/>
      <c r="C116" s="8"/>
      <c r="D116" s="4"/>
      <c r="E116" s="5"/>
      <c r="F116" s="8"/>
      <c r="G116" s="5"/>
    </row>
    <row r="117" customFormat="false" ht="15" hidden="false" customHeight="true" outlineLevel="0" collapsed="false">
      <c r="A117" s="9"/>
      <c r="B117" s="9"/>
      <c r="C117" s="9"/>
      <c r="D117" s="4"/>
      <c r="E117" s="7"/>
      <c r="F117" s="9"/>
      <c r="G117" s="7"/>
    </row>
    <row r="118" customFormat="false" ht="15" hidden="false" customHeight="true" outlineLevel="0" collapsed="false">
      <c r="A118" s="8"/>
      <c r="B118" s="8"/>
      <c r="C118" s="8"/>
      <c r="D118" s="4"/>
      <c r="E118" s="5"/>
      <c r="F118" s="8"/>
      <c r="G118" s="5"/>
    </row>
    <row r="119" customFormat="false" ht="15" hidden="false" customHeight="true" outlineLevel="0" collapsed="false">
      <c r="A119" s="9"/>
      <c r="B119" s="9"/>
      <c r="C119" s="9"/>
      <c r="D119" s="4"/>
      <c r="E119" s="7"/>
      <c r="F119" s="9"/>
      <c r="G119" s="7"/>
    </row>
    <row r="120" customFormat="false" ht="15" hidden="false" customHeight="true" outlineLevel="0" collapsed="false">
      <c r="A120" s="8"/>
      <c r="B120" s="8"/>
      <c r="C120" s="8"/>
      <c r="D120" s="4"/>
      <c r="E120" s="5"/>
      <c r="F120" s="8"/>
      <c r="G120" s="5"/>
    </row>
    <row r="121" customFormat="false" ht="15" hidden="false" customHeight="true" outlineLevel="0" collapsed="false">
      <c r="A121" s="9"/>
      <c r="B121" s="9"/>
      <c r="C121" s="9"/>
      <c r="D121" s="4"/>
      <c r="E121" s="7"/>
      <c r="F121" s="9"/>
      <c r="G121" s="7"/>
    </row>
    <row r="122" customFormat="false" ht="15" hidden="false" customHeight="true" outlineLevel="0" collapsed="false">
      <c r="A122" s="8"/>
      <c r="B122" s="8"/>
      <c r="C122" s="8"/>
      <c r="D122" s="4"/>
      <c r="E122" s="5"/>
      <c r="F122" s="8"/>
      <c r="G122" s="5"/>
    </row>
    <row r="123" customFormat="false" ht="15" hidden="false" customHeight="true" outlineLevel="0" collapsed="false">
      <c r="A123" s="9"/>
      <c r="B123" s="9"/>
      <c r="C123" s="9"/>
      <c r="D123" s="4"/>
      <c r="E123" s="7"/>
      <c r="F123" s="9"/>
      <c r="G123" s="7"/>
    </row>
    <row r="124" customFormat="false" ht="15" hidden="false" customHeight="true" outlineLevel="0" collapsed="false">
      <c r="A124" s="8"/>
      <c r="B124" s="8"/>
      <c r="C124" s="8"/>
      <c r="D124" s="4"/>
      <c r="E124" s="5"/>
      <c r="F124" s="8"/>
      <c r="G124" s="5"/>
    </row>
    <row r="125" customFormat="false" ht="15" hidden="false" customHeight="true" outlineLevel="0" collapsed="false">
      <c r="A125" s="9"/>
      <c r="B125" s="9"/>
      <c r="C125" s="9"/>
      <c r="D125" s="4"/>
      <c r="E125" s="7"/>
      <c r="F125" s="9"/>
      <c r="G125" s="7"/>
    </row>
    <row r="126" customFormat="false" ht="15" hidden="false" customHeight="true" outlineLevel="0" collapsed="false">
      <c r="A126" s="8"/>
      <c r="B126" s="8"/>
      <c r="C126" s="8"/>
      <c r="D126" s="4"/>
      <c r="E126" s="5"/>
      <c r="F126" s="8"/>
      <c r="G126" s="5"/>
    </row>
    <row r="127" customFormat="false" ht="15" hidden="false" customHeight="true" outlineLevel="0" collapsed="false">
      <c r="A127" s="9"/>
      <c r="B127" s="9"/>
      <c r="C127" s="9"/>
      <c r="D127" s="4"/>
      <c r="E127" s="7"/>
      <c r="F127" s="9"/>
      <c r="G127" s="7"/>
    </row>
    <row r="128" customFormat="false" ht="15" hidden="false" customHeight="true" outlineLevel="0" collapsed="false">
      <c r="A128" s="8"/>
      <c r="B128" s="8"/>
      <c r="C128" s="8"/>
      <c r="D128" s="4"/>
      <c r="E128" s="5"/>
      <c r="F128" s="8"/>
      <c r="G128" s="5"/>
    </row>
    <row r="129" customFormat="false" ht="15" hidden="false" customHeight="true" outlineLevel="0" collapsed="false">
      <c r="A129" s="9"/>
      <c r="B129" s="9"/>
      <c r="C129" s="9"/>
      <c r="D129" s="4"/>
      <c r="E129" s="7"/>
      <c r="F129" s="9"/>
      <c r="G129" s="7"/>
    </row>
    <row r="130" customFormat="false" ht="15" hidden="false" customHeight="true" outlineLevel="0" collapsed="false">
      <c r="A130" s="8"/>
      <c r="B130" s="8"/>
      <c r="C130" s="8"/>
      <c r="D130" s="4"/>
      <c r="E130" s="5"/>
      <c r="F130" s="8"/>
      <c r="G130" s="5"/>
    </row>
    <row r="131" customFormat="false" ht="15" hidden="false" customHeight="true" outlineLevel="0" collapsed="false">
      <c r="A131" s="9"/>
      <c r="B131" s="9"/>
      <c r="C131" s="9"/>
      <c r="D131" s="4"/>
      <c r="E131" s="7"/>
      <c r="F131" s="9"/>
      <c r="G131" s="7"/>
    </row>
    <row r="132" customFormat="false" ht="15" hidden="false" customHeight="true" outlineLevel="0" collapsed="false">
      <c r="A132" s="8"/>
      <c r="B132" s="8"/>
      <c r="C132" s="8"/>
      <c r="D132" s="4"/>
      <c r="E132" s="5"/>
      <c r="F132" s="8"/>
      <c r="G132" s="5"/>
    </row>
    <row r="133" customFormat="false" ht="15" hidden="false" customHeight="true" outlineLevel="0" collapsed="false">
      <c r="A133" s="9"/>
      <c r="B133" s="9"/>
      <c r="C133" s="9"/>
      <c r="D133" s="4"/>
      <c r="E133" s="7"/>
      <c r="F133" s="9"/>
      <c r="G133" s="7"/>
    </row>
    <row r="134" customFormat="false" ht="15" hidden="false" customHeight="true" outlineLevel="0" collapsed="false">
      <c r="A134" s="8"/>
      <c r="B134" s="8"/>
      <c r="C134" s="8"/>
      <c r="D134" s="4"/>
      <c r="E134" s="5"/>
      <c r="F134" s="8"/>
      <c r="G134" s="5"/>
    </row>
    <row r="135" customFormat="false" ht="15" hidden="false" customHeight="true" outlineLevel="0" collapsed="false">
      <c r="A135" s="9"/>
      <c r="B135" s="9"/>
      <c r="C135" s="9"/>
      <c r="D135" s="4"/>
      <c r="E135" s="7"/>
      <c r="F135" s="9"/>
      <c r="G135" s="7"/>
    </row>
    <row r="136" customFormat="false" ht="15" hidden="false" customHeight="true" outlineLevel="0" collapsed="false">
      <c r="A136" s="8"/>
      <c r="B136" s="8"/>
      <c r="C136" s="8"/>
      <c r="D136" s="4"/>
      <c r="E136" s="5"/>
      <c r="F136" s="8"/>
      <c r="G136" s="5"/>
    </row>
    <row r="137" customFormat="false" ht="15" hidden="false" customHeight="true" outlineLevel="0" collapsed="false">
      <c r="A137" s="9"/>
      <c r="B137" s="9"/>
      <c r="C137" s="9"/>
      <c r="D137" s="4"/>
      <c r="E137" s="7"/>
      <c r="F137" s="9"/>
      <c r="G137" s="7"/>
    </row>
    <row r="138" customFormat="false" ht="15" hidden="false" customHeight="true" outlineLevel="0" collapsed="false">
      <c r="A138" s="8"/>
      <c r="B138" s="8"/>
      <c r="C138" s="8"/>
      <c r="D138" s="4"/>
      <c r="E138" s="5"/>
      <c r="F138" s="8"/>
      <c r="G138" s="5"/>
    </row>
    <row r="139" customFormat="false" ht="15" hidden="false" customHeight="true" outlineLevel="0" collapsed="false">
      <c r="A139" s="9"/>
      <c r="B139" s="9"/>
      <c r="C139" s="9"/>
      <c r="D139" s="4"/>
      <c r="E139" s="7"/>
      <c r="F139" s="9"/>
      <c r="G139" s="7"/>
    </row>
    <row r="140" customFormat="false" ht="15" hidden="false" customHeight="true" outlineLevel="0" collapsed="false">
      <c r="A140" s="8"/>
      <c r="B140" s="8"/>
      <c r="C140" s="8"/>
      <c r="D140" s="4"/>
      <c r="E140" s="5"/>
      <c r="F140" s="8"/>
      <c r="G140" s="5"/>
    </row>
    <row r="141" customFormat="false" ht="15" hidden="false" customHeight="true" outlineLevel="0" collapsed="false">
      <c r="A141" s="9"/>
      <c r="B141" s="9"/>
      <c r="C141" s="9"/>
      <c r="D141" s="4"/>
      <c r="E141" s="7"/>
      <c r="F141" s="9"/>
      <c r="G141" s="7"/>
    </row>
    <row r="142" customFormat="false" ht="15" hidden="false" customHeight="true" outlineLevel="0" collapsed="false">
      <c r="A142" s="8"/>
      <c r="B142" s="8"/>
      <c r="C142" s="8"/>
      <c r="D142" s="4"/>
      <c r="E142" s="5"/>
      <c r="F142" s="8"/>
      <c r="G142" s="5"/>
    </row>
    <row r="143" customFormat="false" ht="15" hidden="false" customHeight="true" outlineLevel="0" collapsed="false">
      <c r="A143" s="9"/>
      <c r="B143" s="9"/>
      <c r="C143" s="9"/>
      <c r="D143" s="4"/>
      <c r="E143" s="7"/>
      <c r="F143" s="9"/>
      <c r="G143" s="7"/>
    </row>
    <row r="144" customFormat="false" ht="15" hidden="false" customHeight="true" outlineLevel="0" collapsed="false">
      <c r="A144" s="8"/>
      <c r="B144" s="8"/>
      <c r="C144" s="8"/>
      <c r="D144" s="4"/>
      <c r="E144" s="5"/>
      <c r="F144" s="8"/>
      <c r="G144" s="5"/>
    </row>
    <row r="145" customFormat="false" ht="15" hidden="false" customHeight="true" outlineLevel="0" collapsed="false">
      <c r="A145" s="9"/>
      <c r="B145" s="9"/>
      <c r="C145" s="9"/>
      <c r="D145" s="4"/>
      <c r="E145" s="7"/>
      <c r="F145" s="9"/>
      <c r="G145" s="7"/>
    </row>
    <row r="146" customFormat="false" ht="15" hidden="false" customHeight="true" outlineLevel="0" collapsed="false">
      <c r="A146" s="8"/>
      <c r="B146" s="8"/>
      <c r="C146" s="8"/>
      <c r="D146" s="4"/>
      <c r="E146" s="5"/>
      <c r="F146" s="8"/>
      <c r="G146" s="5"/>
    </row>
    <row r="147" customFormat="false" ht="15" hidden="false" customHeight="true" outlineLevel="0" collapsed="false">
      <c r="A147" s="9"/>
      <c r="B147" s="9"/>
      <c r="C147" s="9"/>
      <c r="D147" s="4"/>
      <c r="E147" s="7"/>
      <c r="F147" s="9"/>
      <c r="G147" s="7"/>
    </row>
    <row r="148" customFormat="false" ht="15" hidden="false" customHeight="true" outlineLevel="0" collapsed="false">
      <c r="A148" s="8"/>
      <c r="B148" s="8"/>
      <c r="C148" s="8"/>
      <c r="D148" s="4"/>
      <c r="E148" s="5"/>
      <c r="F148" s="8"/>
      <c r="G148" s="5"/>
    </row>
    <row r="149" customFormat="false" ht="15" hidden="false" customHeight="true" outlineLevel="0" collapsed="false">
      <c r="A149" s="9"/>
      <c r="B149" s="9"/>
      <c r="C149" s="9"/>
      <c r="D149" s="4"/>
      <c r="E149" s="7"/>
      <c r="F149" s="9"/>
      <c r="G149" s="7"/>
    </row>
    <row r="150" customFormat="false" ht="15" hidden="false" customHeight="true" outlineLevel="0" collapsed="false">
      <c r="A150" s="8"/>
      <c r="B150" s="8"/>
      <c r="C150" s="8"/>
      <c r="D150" s="4"/>
      <c r="E150" s="5"/>
      <c r="F150" s="8"/>
      <c r="G150" s="5"/>
    </row>
    <row r="151" customFormat="false" ht="15" hidden="false" customHeight="true" outlineLevel="0" collapsed="false">
      <c r="A151" s="9"/>
      <c r="B151" s="9"/>
      <c r="C151" s="9"/>
      <c r="D151" s="4"/>
      <c r="E151" s="7"/>
      <c r="F151" s="9"/>
      <c r="G151" s="7"/>
    </row>
    <row r="152" customFormat="false" ht="15" hidden="false" customHeight="true" outlineLevel="0" collapsed="false">
      <c r="A152" s="8"/>
      <c r="B152" s="8"/>
      <c r="C152" s="8"/>
      <c r="D152" s="4"/>
      <c r="E152" s="5"/>
      <c r="F152" s="8"/>
      <c r="G152" s="5"/>
    </row>
    <row r="153" customFormat="false" ht="15" hidden="false" customHeight="true" outlineLevel="0" collapsed="false">
      <c r="A153" s="9"/>
      <c r="B153" s="9"/>
      <c r="C153" s="9"/>
      <c r="D153" s="4"/>
      <c r="E153" s="7"/>
      <c r="F153" s="9"/>
      <c r="G153" s="7"/>
    </row>
    <row r="154" customFormat="false" ht="15" hidden="false" customHeight="true" outlineLevel="0" collapsed="false">
      <c r="A154" s="8"/>
      <c r="B154" s="8"/>
      <c r="C154" s="8"/>
      <c r="D154" s="4"/>
      <c r="E154" s="5"/>
      <c r="F154" s="8"/>
      <c r="G154" s="5"/>
    </row>
    <row r="155" customFormat="false" ht="15" hidden="false" customHeight="true" outlineLevel="0" collapsed="false">
      <c r="A155" s="9"/>
      <c r="B155" s="9"/>
      <c r="C155" s="9"/>
      <c r="D155" s="4"/>
      <c r="E155" s="7"/>
      <c r="F155" s="9"/>
      <c r="G155" s="7"/>
    </row>
    <row r="156" customFormat="false" ht="15" hidden="false" customHeight="true" outlineLevel="0" collapsed="false">
      <c r="A156" s="8"/>
      <c r="B156" s="8"/>
      <c r="C156" s="8"/>
      <c r="D156" s="4"/>
      <c r="E156" s="5"/>
      <c r="F156" s="8"/>
      <c r="G156" s="5"/>
    </row>
    <row r="157" customFormat="false" ht="15" hidden="false" customHeight="true" outlineLevel="0" collapsed="false">
      <c r="A157" s="9"/>
      <c r="B157" s="9"/>
      <c r="C157" s="9"/>
      <c r="D157" s="4"/>
      <c r="E157" s="7"/>
      <c r="F157" s="9"/>
      <c r="G157" s="7"/>
    </row>
    <row r="158" customFormat="false" ht="15" hidden="false" customHeight="true" outlineLevel="0" collapsed="false">
      <c r="A158" s="8"/>
      <c r="B158" s="8"/>
      <c r="C158" s="8"/>
      <c r="D158" s="4"/>
      <c r="E158" s="5"/>
      <c r="F158" s="8"/>
      <c r="G158" s="5"/>
    </row>
    <row r="159" customFormat="false" ht="15" hidden="false" customHeight="true" outlineLevel="0" collapsed="false">
      <c r="A159" s="9"/>
      <c r="B159" s="9"/>
      <c r="C159" s="9"/>
      <c r="D159" s="4"/>
      <c r="E159" s="7"/>
      <c r="F159" s="9"/>
      <c r="G159" s="7"/>
    </row>
    <row r="160" customFormat="false" ht="15" hidden="false" customHeight="true" outlineLevel="0" collapsed="false">
      <c r="A160" s="8"/>
      <c r="B160" s="8"/>
      <c r="C160" s="8"/>
      <c r="D160" s="4"/>
      <c r="E160" s="5"/>
      <c r="F160" s="8"/>
      <c r="G160" s="5"/>
    </row>
    <row r="161" customFormat="false" ht="15" hidden="false" customHeight="true" outlineLevel="0" collapsed="false">
      <c r="A161" s="9"/>
      <c r="B161" s="9"/>
      <c r="C161" s="9"/>
      <c r="D161" s="4"/>
      <c r="E161" s="7"/>
      <c r="F161" s="9"/>
      <c r="G161" s="7"/>
    </row>
    <row r="162" customFormat="false" ht="15" hidden="false" customHeight="true" outlineLevel="0" collapsed="false">
      <c r="A162" s="8"/>
      <c r="B162" s="8"/>
      <c r="C162" s="8"/>
      <c r="D162" s="4"/>
      <c r="E162" s="5"/>
      <c r="F162" s="8"/>
      <c r="G162" s="5"/>
    </row>
    <row r="163" customFormat="false" ht="15" hidden="false" customHeight="true" outlineLevel="0" collapsed="false">
      <c r="A163" s="9"/>
      <c r="B163" s="9"/>
      <c r="C163" s="9"/>
      <c r="D163" s="4"/>
      <c r="E163" s="7"/>
      <c r="F163" s="9"/>
      <c r="G163" s="7"/>
    </row>
    <row r="164" customFormat="false" ht="15" hidden="false" customHeight="true" outlineLevel="0" collapsed="false">
      <c r="A164" s="8"/>
      <c r="B164" s="8"/>
      <c r="C164" s="8"/>
      <c r="D164" s="4"/>
      <c r="E164" s="5"/>
      <c r="F164" s="8"/>
      <c r="G164" s="5"/>
    </row>
    <row r="165" customFormat="false" ht="15" hidden="false" customHeight="true" outlineLevel="0" collapsed="false">
      <c r="A165" s="9"/>
      <c r="B165" s="9"/>
      <c r="C165" s="9"/>
      <c r="D165" s="4"/>
      <c r="E165" s="7"/>
      <c r="F165" s="9"/>
      <c r="G165" s="7"/>
    </row>
    <row r="166" customFormat="false" ht="15" hidden="false" customHeight="true" outlineLevel="0" collapsed="false">
      <c r="A166" s="8"/>
      <c r="B166" s="8"/>
      <c r="C166" s="8"/>
      <c r="D166" s="4"/>
      <c r="E166" s="5"/>
      <c r="F166" s="8"/>
      <c r="G166" s="5"/>
    </row>
    <row r="167" customFormat="false" ht="15" hidden="false" customHeight="true" outlineLevel="0" collapsed="false">
      <c r="A167" s="9"/>
      <c r="B167" s="9"/>
      <c r="C167" s="9"/>
      <c r="D167" s="4"/>
      <c r="E167" s="7"/>
      <c r="F167" s="9"/>
      <c r="G167" s="7"/>
    </row>
    <row r="168" customFormat="false" ht="15" hidden="false" customHeight="true" outlineLevel="0" collapsed="false">
      <c r="A168" s="8"/>
      <c r="B168" s="8"/>
      <c r="C168" s="8"/>
      <c r="D168" s="4"/>
      <c r="E168" s="5"/>
      <c r="F168" s="8"/>
      <c r="G168" s="5"/>
    </row>
    <row r="169" customFormat="false" ht="15" hidden="false" customHeight="true" outlineLevel="0" collapsed="false">
      <c r="A169" s="9"/>
      <c r="B169" s="9"/>
      <c r="C169" s="9"/>
      <c r="D169" s="4"/>
      <c r="E169" s="7"/>
      <c r="F169" s="9"/>
      <c r="G169" s="7"/>
    </row>
    <row r="170" customFormat="false" ht="15" hidden="false" customHeight="true" outlineLevel="0" collapsed="false">
      <c r="A170" s="8"/>
      <c r="B170" s="8"/>
      <c r="C170" s="8"/>
      <c r="D170" s="4"/>
      <c r="E170" s="5"/>
      <c r="F170" s="8"/>
      <c r="G170" s="5"/>
    </row>
    <row r="171" customFormat="false" ht="15" hidden="false" customHeight="true" outlineLevel="0" collapsed="false">
      <c r="A171" s="9"/>
      <c r="B171" s="9"/>
      <c r="C171" s="9"/>
      <c r="D171" s="4"/>
      <c r="E171" s="7"/>
      <c r="F171" s="9"/>
      <c r="G171" s="7"/>
    </row>
    <row r="172" customFormat="false" ht="15" hidden="false" customHeight="true" outlineLevel="0" collapsed="false">
      <c r="A172" s="8"/>
      <c r="B172" s="8"/>
      <c r="C172" s="8"/>
      <c r="D172" s="4"/>
      <c r="E172" s="5"/>
      <c r="F172" s="8"/>
      <c r="G172" s="5"/>
    </row>
    <row r="173" customFormat="false" ht="15" hidden="false" customHeight="true" outlineLevel="0" collapsed="false">
      <c r="A173" s="9"/>
      <c r="B173" s="9"/>
      <c r="C173" s="9"/>
      <c r="D173" s="4"/>
      <c r="E173" s="7"/>
      <c r="F173" s="9"/>
      <c r="G173" s="7"/>
    </row>
    <row r="174" customFormat="false" ht="15" hidden="false" customHeight="true" outlineLevel="0" collapsed="false">
      <c r="A174" s="8"/>
      <c r="B174" s="8"/>
      <c r="C174" s="8"/>
      <c r="D174" s="4"/>
      <c r="E174" s="5"/>
      <c r="F174" s="8"/>
      <c r="G174" s="5"/>
    </row>
    <row r="175" customFormat="false" ht="15" hidden="false" customHeight="true" outlineLevel="0" collapsed="false">
      <c r="A175" s="9"/>
      <c r="B175" s="9"/>
      <c r="C175" s="9"/>
      <c r="D175" s="4"/>
      <c r="E175" s="7"/>
      <c r="F175" s="9"/>
      <c r="G175" s="7"/>
    </row>
    <row r="176" customFormat="false" ht="15" hidden="false" customHeight="true" outlineLevel="0" collapsed="false">
      <c r="A176" s="8"/>
      <c r="B176" s="8"/>
      <c r="C176" s="8"/>
      <c r="D176" s="4"/>
      <c r="E176" s="5"/>
      <c r="F176" s="8"/>
      <c r="G176" s="5"/>
    </row>
    <row r="177" customFormat="false" ht="15" hidden="false" customHeight="true" outlineLevel="0" collapsed="false">
      <c r="A177" s="9"/>
      <c r="B177" s="9"/>
      <c r="C177" s="9"/>
      <c r="D177" s="4"/>
      <c r="E177" s="7"/>
      <c r="F177" s="9"/>
      <c r="G177" s="7"/>
    </row>
    <row r="178" customFormat="false" ht="15" hidden="false" customHeight="true" outlineLevel="0" collapsed="false">
      <c r="A178" s="8"/>
      <c r="B178" s="8"/>
      <c r="C178" s="8"/>
      <c r="D178" s="4"/>
      <c r="E178" s="5"/>
      <c r="F178" s="8"/>
      <c r="G178" s="5"/>
    </row>
    <row r="179" customFormat="false" ht="15" hidden="false" customHeight="true" outlineLevel="0" collapsed="false">
      <c r="A179" s="9"/>
      <c r="B179" s="9"/>
      <c r="C179" s="9"/>
      <c r="D179" s="4"/>
      <c r="E179" s="7"/>
      <c r="F179" s="9"/>
      <c r="G179" s="7"/>
    </row>
    <row r="180" customFormat="false" ht="15" hidden="false" customHeight="true" outlineLevel="0" collapsed="false">
      <c r="A180" s="8"/>
      <c r="B180" s="8"/>
      <c r="C180" s="8"/>
      <c r="D180" s="4"/>
      <c r="E180" s="5"/>
      <c r="F180" s="8"/>
      <c r="G180" s="5"/>
    </row>
    <row r="181" customFormat="false" ht="15" hidden="false" customHeight="true" outlineLevel="0" collapsed="false">
      <c r="A181" s="9"/>
      <c r="B181" s="9"/>
      <c r="C181" s="9"/>
      <c r="D181" s="4"/>
      <c r="E181" s="7"/>
      <c r="F181" s="9"/>
      <c r="G181" s="7"/>
    </row>
    <row r="182" customFormat="false" ht="15" hidden="false" customHeight="true" outlineLevel="0" collapsed="false">
      <c r="A182" s="8"/>
      <c r="B182" s="8"/>
      <c r="C182" s="8"/>
      <c r="D182" s="4"/>
      <c r="E182" s="5"/>
      <c r="F182" s="8"/>
      <c r="G182" s="5"/>
    </row>
    <row r="183" customFormat="false" ht="15" hidden="false" customHeight="true" outlineLevel="0" collapsed="false">
      <c r="A183" s="9"/>
      <c r="B183" s="9"/>
      <c r="C183" s="9"/>
      <c r="D183" s="4"/>
      <c r="E183" s="7"/>
      <c r="F183" s="9"/>
      <c r="G183" s="7"/>
    </row>
    <row r="184" customFormat="false" ht="15" hidden="false" customHeight="true" outlineLevel="0" collapsed="false">
      <c r="A184" s="8"/>
      <c r="B184" s="8"/>
      <c r="C184" s="8"/>
      <c r="D184" s="4"/>
      <c r="E184" s="5"/>
      <c r="F184" s="8"/>
      <c r="G184" s="5"/>
    </row>
    <row r="185" customFormat="false" ht="15" hidden="false" customHeight="true" outlineLevel="0" collapsed="false">
      <c r="A185" s="9"/>
      <c r="B185" s="9"/>
      <c r="C185" s="9"/>
      <c r="D185" s="4"/>
      <c r="E185" s="7"/>
      <c r="F185" s="9"/>
      <c r="G185" s="7"/>
    </row>
    <row r="186" customFormat="false" ht="15" hidden="false" customHeight="true" outlineLevel="0" collapsed="false">
      <c r="A186" s="8"/>
      <c r="B186" s="8"/>
      <c r="C186" s="8"/>
      <c r="D186" s="4"/>
      <c r="E186" s="5"/>
      <c r="F186" s="8"/>
      <c r="G186" s="5"/>
    </row>
    <row r="187" customFormat="false" ht="15" hidden="false" customHeight="true" outlineLevel="0" collapsed="false">
      <c r="A187" s="9"/>
      <c r="B187" s="9"/>
      <c r="C187" s="9"/>
      <c r="D187" s="4"/>
      <c r="E187" s="7"/>
      <c r="F187" s="9"/>
      <c r="G187" s="7"/>
    </row>
    <row r="188" customFormat="false" ht="15" hidden="false" customHeight="true" outlineLevel="0" collapsed="false">
      <c r="A188" s="8"/>
      <c r="B188" s="8"/>
      <c r="C188" s="8"/>
      <c r="D188" s="4"/>
      <c r="E188" s="5"/>
      <c r="F188" s="8"/>
      <c r="G188" s="5"/>
    </row>
    <row r="189" customFormat="false" ht="15" hidden="false" customHeight="true" outlineLevel="0" collapsed="false">
      <c r="A189" s="9"/>
      <c r="B189" s="9"/>
      <c r="C189" s="9"/>
      <c r="D189" s="4"/>
      <c r="E189" s="7"/>
      <c r="F189" s="9"/>
      <c r="G189" s="7"/>
    </row>
    <row r="190" customFormat="false" ht="15" hidden="false" customHeight="true" outlineLevel="0" collapsed="false">
      <c r="A190" s="8"/>
      <c r="B190" s="8"/>
      <c r="C190" s="8"/>
      <c r="D190" s="4"/>
      <c r="E190" s="5"/>
      <c r="F190" s="8"/>
      <c r="G190" s="5"/>
    </row>
    <row r="191" customFormat="false" ht="15" hidden="false" customHeight="true" outlineLevel="0" collapsed="false">
      <c r="A191" s="9"/>
      <c r="B191" s="9"/>
      <c r="C191" s="9"/>
      <c r="D191" s="4"/>
      <c r="E191" s="7"/>
      <c r="F191" s="9"/>
      <c r="G191" s="7"/>
    </row>
    <row r="192" customFormat="false" ht="15" hidden="false" customHeight="true" outlineLevel="0" collapsed="false">
      <c r="A192" s="8"/>
      <c r="B192" s="8"/>
      <c r="C192" s="8"/>
      <c r="D192" s="4"/>
      <c r="E192" s="5"/>
      <c r="F192" s="8"/>
      <c r="G192" s="5"/>
    </row>
    <row r="193" customFormat="false" ht="15" hidden="false" customHeight="true" outlineLevel="0" collapsed="false">
      <c r="A193" s="9"/>
      <c r="B193" s="9"/>
      <c r="C193" s="9"/>
      <c r="D193" s="4"/>
      <c r="E193" s="7"/>
      <c r="F193" s="9"/>
      <c r="G193" s="7"/>
    </row>
    <row r="194" customFormat="false" ht="15" hidden="false" customHeight="true" outlineLevel="0" collapsed="false">
      <c r="A194" s="8"/>
      <c r="B194" s="8"/>
      <c r="C194" s="8"/>
      <c r="D194" s="4"/>
      <c r="E194" s="5"/>
      <c r="F194" s="8"/>
      <c r="G194" s="5"/>
    </row>
    <row r="195" customFormat="false" ht="15" hidden="false" customHeight="true" outlineLevel="0" collapsed="false">
      <c r="A195" s="9"/>
      <c r="B195" s="9"/>
      <c r="C195" s="9"/>
      <c r="D195" s="4"/>
      <c r="E195" s="7"/>
      <c r="F195" s="9"/>
      <c r="G195" s="7"/>
    </row>
    <row r="196" customFormat="false" ht="15" hidden="false" customHeight="true" outlineLevel="0" collapsed="false">
      <c r="A196" s="8"/>
      <c r="B196" s="8"/>
      <c r="C196" s="8"/>
      <c r="D196" s="4"/>
      <c r="E196" s="5"/>
      <c r="F196" s="8"/>
      <c r="G196" s="5"/>
    </row>
    <row r="197" customFormat="false" ht="15" hidden="false" customHeight="true" outlineLevel="0" collapsed="false">
      <c r="A197" s="9"/>
      <c r="B197" s="9"/>
      <c r="C197" s="9"/>
      <c r="D197" s="4"/>
      <c r="E197" s="7"/>
      <c r="F197" s="9"/>
      <c r="G197" s="7"/>
    </row>
    <row r="198" customFormat="false" ht="15" hidden="false" customHeight="true" outlineLevel="0" collapsed="false">
      <c r="A198" s="8"/>
      <c r="B198" s="8"/>
      <c r="C198" s="8"/>
      <c r="D198" s="4"/>
      <c r="E198" s="5"/>
      <c r="F198" s="8"/>
      <c r="G198" s="5"/>
    </row>
    <row r="199" customFormat="false" ht="15" hidden="false" customHeight="true" outlineLevel="0" collapsed="false">
      <c r="A199" s="9"/>
      <c r="B199" s="9"/>
      <c r="C199" s="9"/>
      <c r="D199" s="4"/>
      <c r="E199" s="7"/>
      <c r="F199" s="9"/>
      <c r="G199" s="7"/>
    </row>
    <row r="200" customFormat="false" ht="15" hidden="false" customHeight="true" outlineLevel="0" collapsed="false">
      <c r="A200" s="8"/>
      <c r="B200" s="8"/>
      <c r="C200" s="8"/>
      <c r="D200" s="4"/>
      <c r="E200" s="5"/>
      <c r="F200" s="8"/>
      <c r="G200" s="5"/>
    </row>
    <row r="201" customFormat="false" ht="15" hidden="false" customHeight="true" outlineLevel="0" collapsed="false">
      <c r="A201" s="9"/>
      <c r="B201" s="9"/>
      <c r="C201" s="9"/>
      <c r="D201" s="4"/>
      <c r="E201" s="7"/>
      <c r="F201" s="9"/>
      <c r="G201" s="7"/>
    </row>
  </sheetData>
  <sheetProtection sheet="true" password="c42e"/>
  <autoFilter ref="A1:G21"/>
  <conditionalFormatting sqref="D2:D201">
    <cfRule type="expression" priority="2" aboveAverage="0" equalAverage="0" bottom="0" percent="0" rank="0" text="" dxfId="7">
      <formula>D2="是"</formula>
    </cfRule>
    <cfRule type="expression" priority="3" aboveAverage="0" equalAverage="0" bottom="0" percent="0" rank="0" text="" dxfId="8">
      <formula>D2="否"</formula>
    </cfRule>
  </conditionalFormatting>
  <conditionalFormatting sqref="E2:E201">
    <cfRule type="expression" priority="4" aboveAverage="0" equalAverage="0" bottom="0" percent="0" rank="0" text="" dxfId="7">
      <formula>E2="是"</formula>
    </cfRule>
    <cfRule type="expression" priority="5" aboveAverage="0" equalAverage="0" bottom="0" percent="0" rank="0" text="" dxfId="8">
      <formula>E2="否"</formula>
    </cfRule>
  </conditionalFormatting>
  <dataValidations count="1">
    <dataValidation allowBlank="true" errorStyle="stop" operator="between" showDropDown="false" showErrorMessage="false" showInputMessage="false" sqref="E2:E201" type="list">
      <formula1>"是,否,不适用"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7" min="1" style="1" width="12"/>
    <col collapsed="false" customWidth="true" hidden="false" outlineLevel="0" max="8" min="8" style="1" width="26"/>
  </cols>
  <sheetData>
    <row r="1" customFormat="false" ht="15" hidden="false" customHeight="true" outlineLevel="0" collapsed="false">
      <c r="A1" s="2" t="s">
        <v>91</v>
      </c>
      <c r="B1" s="2" t="s">
        <v>92</v>
      </c>
      <c r="C1" s="10" t="s">
        <v>93</v>
      </c>
      <c r="D1" s="2" t="s">
        <v>94</v>
      </c>
      <c r="E1" s="2" t="s">
        <v>95</v>
      </c>
      <c r="F1" s="2" t="s">
        <v>96</v>
      </c>
      <c r="G1" s="2" t="s">
        <v>97</v>
      </c>
      <c r="H1" s="2" t="s">
        <v>6</v>
      </c>
    </row>
    <row r="2" customFormat="false" ht="15" hidden="false" customHeight="true" outlineLevel="0" collapsed="false">
      <c r="A2" s="11" t="s">
        <v>98</v>
      </c>
      <c r="B2" s="5" t="s">
        <v>99</v>
      </c>
      <c r="C2" s="11" t="s">
        <v>100</v>
      </c>
      <c r="D2" s="5" t="s">
        <v>101</v>
      </c>
      <c r="E2" s="5" t="s">
        <v>102</v>
      </c>
      <c r="F2" s="11" t="s">
        <v>103</v>
      </c>
      <c r="G2" s="11" t="s">
        <v>104</v>
      </c>
      <c r="H2" s="11" t="s">
        <v>105</v>
      </c>
    </row>
    <row r="3" customFormat="false" ht="15" hidden="false" customHeight="true" outlineLevel="0" collapsed="false">
      <c r="A3" s="12" t="s">
        <v>98</v>
      </c>
      <c r="B3" s="12" t="s">
        <v>106</v>
      </c>
      <c r="C3" s="12" t="s">
        <v>107</v>
      </c>
      <c r="D3" s="7" t="s">
        <v>108</v>
      </c>
      <c r="E3" s="7" t="s">
        <v>109</v>
      </c>
      <c r="F3" s="12" t="s">
        <v>110</v>
      </c>
      <c r="G3" s="12" t="s">
        <v>74</v>
      </c>
      <c r="H3" s="12" t="s">
        <v>111</v>
      </c>
    </row>
    <row r="4" customFormat="false" ht="15" hidden="false" customHeight="true" outlineLevel="0" collapsed="false">
      <c r="A4" s="11" t="s">
        <v>98</v>
      </c>
      <c r="B4" s="11" t="s">
        <v>112</v>
      </c>
      <c r="C4" s="11" t="s">
        <v>113</v>
      </c>
      <c r="D4" s="11" t="s">
        <v>114</v>
      </c>
      <c r="E4" s="5" t="s">
        <v>115</v>
      </c>
      <c r="F4" s="11" t="s">
        <v>116</v>
      </c>
      <c r="G4" s="11" t="s">
        <v>117</v>
      </c>
      <c r="H4" s="11" t="s">
        <v>118</v>
      </c>
    </row>
    <row r="5" customFormat="false" ht="15" hidden="false" customHeight="true" outlineLevel="0" collapsed="false">
      <c r="A5" s="12" t="s">
        <v>119</v>
      </c>
      <c r="B5" s="12" t="s">
        <v>120</v>
      </c>
      <c r="C5" s="12" t="s">
        <v>9</v>
      </c>
      <c r="D5" s="7" t="s">
        <v>121</v>
      </c>
      <c r="E5" s="7" t="s">
        <v>122</v>
      </c>
      <c r="F5" s="12" t="s">
        <v>123</v>
      </c>
      <c r="G5" s="12" t="s">
        <v>7</v>
      </c>
      <c r="H5" s="12" t="s">
        <v>124</v>
      </c>
    </row>
    <row r="6" customFormat="false" ht="15" hidden="false" customHeight="true" outlineLevel="0" collapsed="false">
      <c r="A6" s="11" t="s">
        <v>119</v>
      </c>
      <c r="B6" s="11" t="s">
        <v>125</v>
      </c>
      <c r="C6" s="11" t="s">
        <v>41</v>
      </c>
      <c r="D6" s="5" t="s">
        <v>126</v>
      </c>
      <c r="E6" s="5" t="s">
        <v>127</v>
      </c>
      <c r="F6" s="11" t="s">
        <v>128</v>
      </c>
      <c r="G6" s="11" t="s">
        <v>129</v>
      </c>
      <c r="H6" s="11" t="s">
        <v>130</v>
      </c>
    </row>
    <row r="7" customFormat="false" ht="15" hidden="false" customHeight="true" outlineLevel="0" collapsed="false">
      <c r="A7" s="12" t="s">
        <v>131</v>
      </c>
      <c r="B7" s="12" t="s">
        <v>132</v>
      </c>
      <c r="C7" s="12" t="s">
        <v>12</v>
      </c>
      <c r="D7" s="7" t="s">
        <v>133</v>
      </c>
      <c r="E7" s="7" t="s">
        <v>134</v>
      </c>
      <c r="F7" s="12" t="s">
        <v>135</v>
      </c>
      <c r="G7" s="12" t="s">
        <v>136</v>
      </c>
      <c r="H7" s="12" t="s">
        <v>137</v>
      </c>
    </row>
    <row r="8" customFormat="false" ht="15" hidden="false" customHeight="true" outlineLevel="0" collapsed="false">
      <c r="A8" s="11" t="s">
        <v>131</v>
      </c>
      <c r="B8" s="5" t="s">
        <v>138</v>
      </c>
      <c r="C8" s="11" t="s">
        <v>139</v>
      </c>
      <c r="D8" s="5" t="s">
        <v>140</v>
      </c>
      <c r="E8" s="5" t="s">
        <v>141</v>
      </c>
      <c r="F8" s="11" t="s">
        <v>142</v>
      </c>
      <c r="G8" s="11" t="s">
        <v>74</v>
      </c>
      <c r="H8" s="11" t="s">
        <v>143</v>
      </c>
    </row>
    <row r="9" customFormat="false" ht="15" hidden="false" customHeight="true" outlineLevel="0" collapsed="false">
      <c r="A9" s="12" t="s">
        <v>144</v>
      </c>
      <c r="B9" s="7" t="s">
        <v>145</v>
      </c>
      <c r="C9" s="12" t="s">
        <v>146</v>
      </c>
      <c r="D9" s="12" t="s">
        <v>147</v>
      </c>
      <c r="E9" s="12" t="s">
        <v>148</v>
      </c>
      <c r="F9" s="12" t="s">
        <v>149</v>
      </c>
      <c r="G9" s="12" t="s">
        <v>17</v>
      </c>
      <c r="H9" s="12" t="s">
        <v>150</v>
      </c>
    </row>
    <row r="10" customFormat="false" ht="15" hidden="false" customHeight="true" outlineLevel="0" collapsed="false">
      <c r="A10" s="11" t="s">
        <v>144</v>
      </c>
      <c r="B10" s="5" t="s">
        <v>151</v>
      </c>
      <c r="C10" s="11" t="s">
        <v>152</v>
      </c>
      <c r="D10" s="11" t="s">
        <v>153</v>
      </c>
      <c r="E10" s="5" t="s">
        <v>154</v>
      </c>
      <c r="F10" s="11" t="s">
        <v>155</v>
      </c>
      <c r="G10" s="11" t="s">
        <v>74</v>
      </c>
      <c r="H10" s="11" t="s">
        <v>156</v>
      </c>
    </row>
    <row r="11" customFormat="false" ht="15" hidden="false" customHeight="true" outlineLevel="0" collapsed="false">
      <c r="A11" s="12" t="s">
        <v>144</v>
      </c>
      <c r="B11" s="7" t="s">
        <v>157</v>
      </c>
      <c r="C11" s="12" t="s">
        <v>158</v>
      </c>
      <c r="D11" s="7" t="s">
        <v>159</v>
      </c>
      <c r="E11" s="7" t="s">
        <v>160</v>
      </c>
      <c r="F11" s="12" t="s">
        <v>161</v>
      </c>
      <c r="G11" s="12" t="s">
        <v>162</v>
      </c>
      <c r="H11" s="7" t="s">
        <v>163</v>
      </c>
    </row>
    <row r="12" customFormat="false" ht="15" hidden="false" customHeight="true" outlineLevel="0" collapsed="false">
      <c r="A12" s="11" t="s">
        <v>164</v>
      </c>
      <c r="B12" s="5" t="s">
        <v>165</v>
      </c>
      <c r="C12" s="11" t="s">
        <v>166</v>
      </c>
      <c r="D12" s="5" t="s">
        <v>167</v>
      </c>
      <c r="E12" s="11" t="s">
        <v>168</v>
      </c>
      <c r="F12" s="11" t="s">
        <v>169</v>
      </c>
      <c r="G12" s="11" t="s">
        <v>170</v>
      </c>
      <c r="H12" s="11" t="s">
        <v>171</v>
      </c>
    </row>
    <row r="13" customFormat="false" ht="15" hidden="false" customHeight="true" outlineLevel="0" collapsed="false">
      <c r="A13" s="12" t="s">
        <v>164</v>
      </c>
      <c r="B13" s="7" t="s">
        <v>172</v>
      </c>
      <c r="C13" s="12" t="s">
        <v>173</v>
      </c>
      <c r="D13" s="7" t="s">
        <v>174</v>
      </c>
      <c r="E13" s="12" t="s">
        <v>168</v>
      </c>
      <c r="F13" s="12" t="s">
        <v>175</v>
      </c>
      <c r="G13" s="12" t="s">
        <v>162</v>
      </c>
      <c r="H13" s="12" t="s">
        <v>176</v>
      </c>
    </row>
    <row r="14" customFormat="false" ht="15" hidden="false" customHeight="true" outlineLevel="0" collapsed="false">
      <c r="A14" s="11" t="s">
        <v>164</v>
      </c>
      <c r="B14" s="5" t="s">
        <v>177</v>
      </c>
      <c r="C14" s="11" t="s">
        <v>41</v>
      </c>
      <c r="D14" s="11" t="s">
        <v>178</v>
      </c>
      <c r="E14" s="11" t="s">
        <v>168</v>
      </c>
      <c r="F14" s="11" t="s">
        <v>179</v>
      </c>
      <c r="G14" s="11" t="s">
        <v>170</v>
      </c>
      <c r="H14" s="11" t="s">
        <v>180</v>
      </c>
    </row>
    <row r="15" customFormat="false" ht="15" hidden="false" customHeight="true" outlineLevel="0" collapsed="false">
      <c r="A15" s="12" t="s">
        <v>181</v>
      </c>
      <c r="B15" s="12" t="s">
        <v>182</v>
      </c>
      <c r="C15" s="12" t="s">
        <v>183</v>
      </c>
      <c r="D15" s="12" t="s">
        <v>184</v>
      </c>
      <c r="E15" s="7" t="s">
        <v>185</v>
      </c>
      <c r="F15" s="12" t="s">
        <v>186</v>
      </c>
      <c r="G15" s="12" t="s">
        <v>187</v>
      </c>
      <c r="H15" s="12" t="s">
        <v>188</v>
      </c>
    </row>
    <row r="16" customFormat="false" ht="15" hidden="false" customHeight="true" outlineLevel="0" collapsed="false">
      <c r="A16" s="11" t="s">
        <v>181</v>
      </c>
      <c r="B16" s="11" t="s">
        <v>189</v>
      </c>
      <c r="C16" s="11" t="s">
        <v>190</v>
      </c>
      <c r="D16" s="11" t="s">
        <v>191</v>
      </c>
      <c r="E16" s="5" t="s">
        <v>192</v>
      </c>
      <c r="F16" s="11" t="s">
        <v>193</v>
      </c>
      <c r="G16" s="11" t="s">
        <v>187</v>
      </c>
      <c r="H16" s="11" t="s">
        <v>194</v>
      </c>
    </row>
    <row r="17" customFormat="false" ht="15" hidden="false" customHeight="true" outlineLevel="0" collapsed="false">
      <c r="A17" s="12" t="s">
        <v>181</v>
      </c>
      <c r="B17" s="12" t="s">
        <v>195</v>
      </c>
      <c r="C17" s="12" t="s">
        <v>196</v>
      </c>
      <c r="D17" s="7" t="s">
        <v>197</v>
      </c>
      <c r="E17" s="7" t="s">
        <v>198</v>
      </c>
      <c r="F17" s="12" t="s">
        <v>199</v>
      </c>
      <c r="G17" s="12" t="s">
        <v>7</v>
      </c>
      <c r="H17" s="12" t="s">
        <v>200</v>
      </c>
    </row>
    <row r="18" customFormat="false" ht="15" hidden="false" customHeight="true" outlineLevel="0" collapsed="false">
      <c r="A18" s="11" t="s">
        <v>181</v>
      </c>
      <c r="B18" s="11" t="s">
        <v>201</v>
      </c>
      <c r="C18" s="11" t="s">
        <v>202</v>
      </c>
      <c r="D18" s="11" t="s">
        <v>203</v>
      </c>
      <c r="E18" s="5" t="s">
        <v>204</v>
      </c>
      <c r="F18" s="11" t="s">
        <v>205</v>
      </c>
      <c r="G18" s="11" t="s">
        <v>74</v>
      </c>
      <c r="H18" s="11" t="s">
        <v>206</v>
      </c>
    </row>
    <row r="19" customFormat="false" ht="15" hidden="false" customHeight="true" outlineLevel="0" collapsed="false">
      <c r="A19" s="12" t="s">
        <v>207</v>
      </c>
      <c r="B19" s="12" t="s">
        <v>208</v>
      </c>
      <c r="C19" s="12" t="s">
        <v>209</v>
      </c>
      <c r="D19" s="7" t="s">
        <v>210</v>
      </c>
      <c r="E19" s="7" t="s">
        <v>211</v>
      </c>
      <c r="F19" s="12" t="s">
        <v>212</v>
      </c>
      <c r="G19" s="12" t="s">
        <v>74</v>
      </c>
      <c r="H19" s="12" t="s">
        <v>213</v>
      </c>
    </row>
    <row r="20" customFormat="false" ht="15" hidden="false" customHeight="true" outlineLevel="0" collapsed="false">
      <c r="A20" s="11" t="s">
        <v>207</v>
      </c>
      <c r="B20" s="11" t="s">
        <v>214</v>
      </c>
      <c r="C20" s="11" t="s">
        <v>215</v>
      </c>
      <c r="D20" s="11" t="s">
        <v>216</v>
      </c>
      <c r="E20" s="11" t="s">
        <v>217</v>
      </c>
      <c r="F20" s="11" t="s">
        <v>218</v>
      </c>
      <c r="G20" s="11" t="s">
        <v>84</v>
      </c>
      <c r="H20" s="11" t="s">
        <v>219</v>
      </c>
    </row>
    <row r="21" customFormat="false" ht="15" hidden="false" customHeight="true" outlineLevel="0" collapsed="false">
      <c r="A21" s="12" t="s">
        <v>207</v>
      </c>
      <c r="B21" s="12" t="s">
        <v>220</v>
      </c>
      <c r="C21" s="12" t="s">
        <v>89</v>
      </c>
      <c r="D21" s="12" t="s">
        <v>221</v>
      </c>
      <c r="E21" s="7" t="s">
        <v>222</v>
      </c>
      <c r="F21" s="12" t="s">
        <v>223</v>
      </c>
      <c r="G21" s="12" t="s">
        <v>74</v>
      </c>
      <c r="H21" s="12" t="s">
        <v>224</v>
      </c>
    </row>
    <row r="22" customFormat="false" ht="15" hidden="false" customHeight="true" outlineLevel="0" collapsed="false">
      <c r="A22" s="11" t="s">
        <v>207</v>
      </c>
      <c r="B22" s="11" t="s">
        <v>225</v>
      </c>
      <c r="C22" s="11" t="s">
        <v>79</v>
      </c>
      <c r="D22" s="11" t="s">
        <v>226</v>
      </c>
      <c r="E22" s="5" t="s">
        <v>227</v>
      </c>
      <c r="F22" s="11" t="s">
        <v>228</v>
      </c>
      <c r="G22" s="11" t="s">
        <v>74</v>
      </c>
      <c r="H22" s="11" t="s">
        <v>229</v>
      </c>
    </row>
    <row r="23" customFormat="false" ht="15" hidden="false" customHeight="true" outlineLevel="0" collapsed="false">
      <c r="A23" s="7"/>
      <c r="B23" s="7"/>
      <c r="C23" s="7"/>
      <c r="D23" s="7"/>
      <c r="E23" s="7"/>
      <c r="F23" s="7"/>
      <c r="G23" s="7"/>
      <c r="H23" s="7"/>
    </row>
    <row r="24" customFormat="false" ht="15" hidden="false" customHeight="true" outlineLevel="0" collapsed="false">
      <c r="A24" s="5"/>
      <c r="B24" s="5"/>
      <c r="C24" s="5"/>
      <c r="D24" s="5"/>
      <c r="E24" s="5"/>
      <c r="F24" s="5"/>
      <c r="G24" s="5"/>
      <c r="H24" s="5"/>
    </row>
    <row r="25" customFormat="false" ht="15" hidden="false" customHeight="true" outlineLevel="0" collapsed="false">
      <c r="A25" s="7"/>
      <c r="B25" s="7"/>
      <c r="C25" s="7"/>
      <c r="D25" s="7"/>
      <c r="E25" s="7"/>
      <c r="F25" s="7"/>
      <c r="G25" s="7"/>
      <c r="H25" s="7"/>
    </row>
    <row r="26" customFormat="false" ht="15" hidden="false" customHeight="true" outlineLevel="0" collapsed="false">
      <c r="A26" s="5"/>
      <c r="B26" s="5"/>
      <c r="C26" s="5"/>
      <c r="D26" s="5"/>
      <c r="E26" s="5"/>
      <c r="F26" s="5"/>
      <c r="G26" s="5"/>
      <c r="H26" s="5"/>
    </row>
    <row r="27" customFormat="false" ht="15" hidden="false" customHeight="true" outlineLevel="0" collapsed="false">
      <c r="A27" s="7"/>
      <c r="B27" s="7"/>
      <c r="C27" s="7"/>
      <c r="D27" s="7"/>
      <c r="E27" s="7"/>
      <c r="F27" s="7"/>
      <c r="G27" s="7"/>
      <c r="H27" s="7"/>
    </row>
    <row r="28" customFormat="false" ht="15" hidden="false" customHeight="true" outlineLevel="0" collapsed="false">
      <c r="A28" s="5"/>
      <c r="B28" s="5"/>
      <c r="C28" s="5"/>
      <c r="D28" s="5"/>
      <c r="E28" s="5"/>
      <c r="F28" s="5"/>
      <c r="G28" s="5"/>
      <c r="H28" s="5"/>
    </row>
    <row r="29" customFormat="false" ht="15" hidden="false" customHeight="true" outlineLevel="0" collapsed="false">
      <c r="A29" s="7"/>
      <c r="B29" s="7"/>
      <c r="C29" s="7"/>
      <c r="D29" s="7"/>
      <c r="E29" s="7"/>
      <c r="F29" s="7"/>
      <c r="G29" s="7"/>
      <c r="H29" s="7"/>
    </row>
    <row r="30" customFormat="false" ht="15" hidden="false" customHeight="true" outlineLevel="0" collapsed="false">
      <c r="A30" s="5"/>
      <c r="B30" s="5"/>
      <c r="C30" s="5"/>
      <c r="D30" s="5"/>
      <c r="E30" s="5"/>
      <c r="F30" s="5"/>
      <c r="G30" s="5"/>
      <c r="H30" s="5"/>
    </row>
    <row r="31" customFormat="false" ht="15" hidden="false" customHeight="true" outlineLevel="0" collapsed="false">
      <c r="A31" s="7"/>
      <c r="B31" s="7"/>
      <c r="C31" s="7"/>
      <c r="D31" s="7"/>
      <c r="E31" s="7"/>
      <c r="F31" s="7"/>
      <c r="G31" s="7"/>
      <c r="H31" s="7"/>
    </row>
    <row r="32" customFormat="false" ht="15" hidden="false" customHeight="true" outlineLevel="0" collapsed="false">
      <c r="A32" s="5"/>
      <c r="B32" s="5"/>
      <c r="C32" s="5"/>
      <c r="D32" s="5"/>
      <c r="E32" s="5"/>
      <c r="F32" s="5"/>
      <c r="G32" s="5"/>
      <c r="H32" s="5"/>
    </row>
    <row r="33" customFormat="false" ht="15" hidden="false" customHeight="true" outlineLevel="0" collapsed="false">
      <c r="A33" s="7"/>
      <c r="B33" s="7"/>
      <c r="C33" s="7"/>
      <c r="D33" s="7"/>
      <c r="E33" s="7"/>
      <c r="F33" s="7"/>
      <c r="G33" s="7"/>
      <c r="H33" s="7"/>
    </row>
    <row r="34" customFormat="false" ht="15" hidden="false" customHeight="true" outlineLevel="0" collapsed="false">
      <c r="A34" s="5"/>
      <c r="B34" s="5"/>
      <c r="C34" s="5"/>
      <c r="D34" s="5"/>
      <c r="E34" s="5"/>
      <c r="F34" s="5"/>
      <c r="G34" s="5"/>
      <c r="H34" s="5"/>
    </row>
    <row r="35" customFormat="false" ht="15" hidden="false" customHeight="true" outlineLevel="0" collapsed="false">
      <c r="A35" s="7"/>
      <c r="B35" s="7"/>
      <c r="C35" s="7"/>
      <c r="D35" s="7"/>
      <c r="E35" s="7"/>
      <c r="F35" s="7"/>
      <c r="G35" s="7"/>
      <c r="H35" s="7"/>
    </row>
    <row r="36" customFormat="false" ht="15" hidden="false" customHeight="true" outlineLevel="0" collapsed="false">
      <c r="A36" s="5"/>
      <c r="B36" s="5"/>
      <c r="C36" s="5"/>
      <c r="D36" s="5"/>
      <c r="E36" s="5"/>
      <c r="F36" s="5"/>
      <c r="G36" s="5"/>
      <c r="H36" s="5"/>
    </row>
    <row r="37" customFormat="false" ht="15" hidden="false" customHeight="true" outlineLevel="0" collapsed="false">
      <c r="A37" s="7"/>
      <c r="B37" s="7"/>
      <c r="C37" s="7"/>
      <c r="D37" s="7"/>
      <c r="E37" s="7"/>
      <c r="F37" s="7"/>
      <c r="G37" s="7"/>
      <c r="H37" s="7"/>
    </row>
    <row r="38" customFormat="false" ht="15" hidden="false" customHeight="true" outlineLevel="0" collapsed="false">
      <c r="A38" s="5"/>
      <c r="B38" s="5"/>
      <c r="C38" s="5"/>
      <c r="D38" s="5"/>
      <c r="E38" s="5"/>
      <c r="F38" s="5"/>
      <c r="G38" s="5"/>
      <c r="H38" s="5"/>
    </row>
    <row r="39" customFormat="false" ht="15" hidden="false" customHeight="true" outlineLevel="0" collapsed="false">
      <c r="A39" s="7"/>
      <c r="B39" s="7"/>
      <c r="C39" s="7"/>
      <c r="D39" s="7"/>
      <c r="E39" s="7"/>
      <c r="F39" s="7"/>
      <c r="G39" s="7"/>
      <c r="H39" s="7"/>
    </row>
    <row r="40" customFormat="false" ht="15" hidden="false" customHeight="true" outlineLevel="0" collapsed="false">
      <c r="A40" s="5"/>
      <c r="B40" s="5"/>
      <c r="C40" s="5"/>
      <c r="D40" s="5"/>
      <c r="E40" s="5"/>
      <c r="F40" s="5"/>
      <c r="G40" s="5"/>
      <c r="H40" s="5"/>
    </row>
    <row r="41" customFormat="false" ht="15" hidden="false" customHeight="true" outlineLevel="0" collapsed="false">
      <c r="A41" s="7"/>
      <c r="B41" s="7"/>
      <c r="C41" s="7"/>
      <c r="D41" s="7"/>
      <c r="E41" s="7"/>
      <c r="F41" s="7"/>
      <c r="G41" s="7"/>
      <c r="H41" s="7"/>
    </row>
    <row r="42" customFormat="false" ht="15" hidden="false" customHeight="true" outlineLevel="0" collapsed="false">
      <c r="A42" s="5"/>
      <c r="B42" s="5"/>
      <c r="C42" s="5"/>
      <c r="D42" s="5"/>
      <c r="E42" s="5"/>
      <c r="F42" s="5"/>
      <c r="G42" s="5"/>
      <c r="H42" s="5"/>
    </row>
    <row r="43" customFormat="false" ht="15" hidden="false" customHeight="true" outlineLevel="0" collapsed="false">
      <c r="A43" s="7"/>
      <c r="B43" s="7"/>
      <c r="C43" s="7"/>
      <c r="D43" s="7"/>
      <c r="E43" s="7"/>
      <c r="F43" s="7"/>
      <c r="G43" s="7"/>
      <c r="H43" s="7"/>
    </row>
    <row r="44" customFormat="false" ht="15" hidden="false" customHeight="true" outlineLevel="0" collapsed="false">
      <c r="A44" s="5"/>
      <c r="B44" s="5"/>
      <c r="C44" s="5"/>
      <c r="D44" s="5"/>
      <c r="E44" s="5"/>
      <c r="F44" s="5"/>
      <c r="G44" s="5"/>
      <c r="H44" s="5"/>
    </row>
    <row r="45" customFormat="false" ht="15" hidden="false" customHeight="true" outlineLevel="0" collapsed="false">
      <c r="A45" s="7"/>
      <c r="B45" s="7"/>
      <c r="C45" s="7"/>
      <c r="D45" s="7"/>
      <c r="E45" s="7"/>
      <c r="F45" s="7"/>
      <c r="G45" s="7"/>
      <c r="H45" s="7"/>
    </row>
    <row r="46" customFormat="false" ht="15" hidden="false" customHeight="true" outlineLevel="0" collapsed="false">
      <c r="A46" s="5"/>
      <c r="B46" s="5"/>
      <c r="C46" s="5"/>
      <c r="D46" s="5"/>
      <c r="E46" s="5"/>
      <c r="F46" s="5"/>
      <c r="G46" s="5"/>
      <c r="H46" s="5"/>
    </row>
    <row r="47" customFormat="false" ht="15" hidden="false" customHeight="true" outlineLevel="0" collapsed="false">
      <c r="A47" s="7"/>
      <c r="B47" s="7"/>
      <c r="C47" s="7"/>
      <c r="D47" s="7"/>
      <c r="E47" s="7"/>
      <c r="F47" s="7"/>
      <c r="G47" s="7"/>
      <c r="H47" s="7"/>
    </row>
    <row r="48" customFormat="false" ht="15" hidden="false" customHeight="true" outlineLevel="0" collapsed="false">
      <c r="A48" s="5"/>
      <c r="B48" s="5"/>
      <c r="C48" s="5"/>
      <c r="D48" s="5"/>
      <c r="E48" s="5"/>
      <c r="F48" s="5"/>
      <c r="G48" s="5"/>
      <c r="H48" s="5"/>
    </row>
    <row r="49" customFormat="false" ht="15" hidden="false" customHeight="true" outlineLevel="0" collapsed="false">
      <c r="A49" s="7"/>
      <c r="B49" s="7"/>
      <c r="C49" s="7"/>
      <c r="D49" s="7"/>
      <c r="E49" s="7"/>
      <c r="F49" s="7"/>
      <c r="G49" s="7"/>
      <c r="H49" s="7"/>
    </row>
    <row r="50" customFormat="false" ht="15" hidden="false" customHeight="true" outlineLevel="0" collapsed="false">
      <c r="A50" s="5"/>
      <c r="B50" s="5"/>
      <c r="C50" s="5"/>
      <c r="D50" s="5"/>
      <c r="E50" s="5"/>
      <c r="F50" s="5"/>
      <c r="G50" s="5"/>
      <c r="H50" s="5"/>
    </row>
    <row r="51" customFormat="false" ht="15" hidden="false" customHeight="true" outlineLevel="0" collapsed="false">
      <c r="A51" s="7"/>
      <c r="B51" s="7"/>
      <c r="C51" s="7"/>
      <c r="D51" s="7"/>
      <c r="E51" s="7"/>
      <c r="F51" s="7"/>
      <c r="G51" s="7"/>
      <c r="H51" s="7"/>
    </row>
    <row r="52" customFormat="false" ht="15" hidden="false" customHeight="true" outlineLevel="0" collapsed="false">
      <c r="A52" s="5"/>
      <c r="B52" s="5"/>
      <c r="C52" s="5"/>
      <c r="D52" s="5"/>
      <c r="E52" s="5"/>
      <c r="F52" s="5"/>
      <c r="G52" s="5"/>
      <c r="H52" s="5"/>
    </row>
    <row r="53" customFormat="false" ht="15" hidden="false" customHeight="true" outlineLevel="0" collapsed="false">
      <c r="A53" s="7"/>
      <c r="B53" s="7"/>
      <c r="C53" s="7"/>
      <c r="D53" s="7"/>
      <c r="E53" s="7"/>
      <c r="F53" s="7"/>
      <c r="G53" s="7"/>
      <c r="H53" s="7"/>
    </row>
    <row r="54" customFormat="false" ht="15" hidden="false" customHeight="true" outlineLevel="0" collapsed="false">
      <c r="A54" s="5"/>
      <c r="B54" s="5"/>
      <c r="C54" s="5"/>
      <c r="D54" s="5"/>
      <c r="E54" s="5"/>
      <c r="F54" s="5"/>
      <c r="G54" s="5"/>
      <c r="H54" s="5"/>
    </row>
    <row r="55" customFormat="false" ht="15" hidden="false" customHeight="true" outlineLevel="0" collapsed="false">
      <c r="A55" s="7"/>
      <c r="B55" s="7"/>
      <c r="C55" s="7"/>
      <c r="D55" s="7"/>
      <c r="E55" s="7"/>
      <c r="F55" s="7"/>
      <c r="G55" s="7"/>
      <c r="H55" s="7"/>
    </row>
    <row r="56" customFormat="false" ht="15" hidden="false" customHeight="true" outlineLevel="0" collapsed="false">
      <c r="A56" s="5"/>
      <c r="B56" s="5"/>
      <c r="C56" s="5"/>
      <c r="D56" s="5"/>
      <c r="E56" s="5"/>
      <c r="F56" s="5"/>
      <c r="G56" s="5"/>
      <c r="H56" s="5"/>
    </row>
    <row r="57" customFormat="false" ht="15" hidden="false" customHeight="true" outlineLevel="0" collapsed="false">
      <c r="A57" s="7"/>
      <c r="B57" s="7"/>
      <c r="C57" s="7"/>
      <c r="D57" s="7"/>
      <c r="E57" s="7"/>
      <c r="F57" s="7"/>
      <c r="G57" s="7"/>
      <c r="H57" s="7"/>
    </row>
    <row r="58" customFormat="false" ht="15" hidden="false" customHeight="true" outlineLevel="0" collapsed="false">
      <c r="A58" s="5"/>
      <c r="B58" s="5"/>
      <c r="C58" s="5"/>
      <c r="D58" s="5"/>
      <c r="E58" s="5"/>
      <c r="F58" s="5"/>
      <c r="G58" s="5"/>
      <c r="H58" s="5"/>
    </row>
    <row r="59" customFormat="false" ht="15" hidden="false" customHeight="true" outlineLevel="0" collapsed="false">
      <c r="A59" s="7"/>
      <c r="B59" s="7"/>
      <c r="C59" s="7"/>
      <c r="D59" s="7"/>
      <c r="E59" s="7"/>
      <c r="F59" s="7"/>
      <c r="G59" s="7"/>
      <c r="H59" s="7"/>
    </row>
    <row r="60" customFormat="false" ht="15" hidden="false" customHeight="true" outlineLevel="0" collapsed="false">
      <c r="A60" s="5"/>
      <c r="B60" s="5"/>
      <c r="C60" s="5"/>
      <c r="D60" s="5"/>
      <c r="E60" s="5"/>
      <c r="F60" s="5"/>
      <c r="G60" s="5"/>
      <c r="H60" s="5"/>
    </row>
    <row r="61" customFormat="false" ht="15" hidden="false" customHeight="true" outlineLevel="0" collapsed="false">
      <c r="A61" s="7"/>
      <c r="B61" s="7"/>
      <c r="C61" s="7"/>
      <c r="D61" s="7"/>
      <c r="E61" s="7"/>
      <c r="F61" s="7"/>
      <c r="G61" s="7"/>
      <c r="H61" s="7"/>
    </row>
    <row r="62" customFormat="false" ht="15" hidden="false" customHeight="true" outlineLevel="0" collapsed="false">
      <c r="A62" s="5"/>
      <c r="B62" s="5"/>
      <c r="C62" s="5"/>
      <c r="D62" s="5"/>
      <c r="E62" s="5"/>
      <c r="F62" s="5"/>
      <c r="G62" s="5"/>
      <c r="H62" s="5"/>
    </row>
    <row r="63" customFormat="false" ht="15" hidden="false" customHeight="true" outlineLevel="0" collapsed="false">
      <c r="A63" s="7"/>
      <c r="B63" s="7"/>
      <c r="C63" s="7"/>
      <c r="D63" s="7"/>
      <c r="E63" s="7"/>
      <c r="F63" s="7"/>
      <c r="G63" s="7"/>
      <c r="H63" s="7"/>
    </row>
    <row r="64" customFormat="false" ht="15" hidden="false" customHeight="true" outlineLevel="0" collapsed="false">
      <c r="A64" s="5"/>
      <c r="B64" s="5"/>
      <c r="C64" s="5"/>
      <c r="D64" s="5"/>
      <c r="E64" s="5"/>
      <c r="F64" s="5"/>
      <c r="G64" s="5"/>
      <c r="H64" s="5"/>
    </row>
    <row r="65" customFormat="false" ht="15" hidden="false" customHeight="true" outlineLevel="0" collapsed="false">
      <c r="A65" s="7"/>
      <c r="B65" s="7"/>
      <c r="C65" s="7"/>
      <c r="D65" s="7"/>
      <c r="E65" s="7"/>
      <c r="F65" s="7"/>
      <c r="G65" s="7"/>
      <c r="H65" s="7"/>
    </row>
    <row r="66" customFormat="false" ht="15" hidden="false" customHeight="true" outlineLevel="0" collapsed="false">
      <c r="A66" s="5"/>
      <c r="B66" s="5"/>
      <c r="C66" s="5"/>
      <c r="D66" s="5"/>
      <c r="E66" s="5"/>
      <c r="F66" s="5"/>
      <c r="G66" s="5"/>
      <c r="H66" s="5"/>
    </row>
    <row r="67" customFormat="false" ht="15" hidden="false" customHeight="true" outlineLevel="0" collapsed="false">
      <c r="A67" s="7"/>
      <c r="B67" s="7"/>
      <c r="C67" s="7"/>
      <c r="D67" s="7"/>
      <c r="E67" s="7"/>
      <c r="F67" s="7"/>
      <c r="G67" s="7"/>
      <c r="H67" s="7"/>
    </row>
    <row r="68" customFormat="false" ht="15" hidden="false" customHeight="true" outlineLevel="0" collapsed="false">
      <c r="A68" s="5"/>
      <c r="B68" s="5"/>
      <c r="C68" s="5"/>
      <c r="D68" s="5"/>
      <c r="E68" s="5"/>
      <c r="F68" s="5"/>
      <c r="G68" s="5"/>
      <c r="H68" s="5"/>
    </row>
    <row r="69" customFormat="false" ht="15" hidden="false" customHeight="true" outlineLevel="0" collapsed="false">
      <c r="A69" s="7"/>
      <c r="B69" s="7"/>
      <c r="C69" s="7"/>
      <c r="D69" s="7"/>
      <c r="E69" s="7"/>
      <c r="F69" s="7"/>
      <c r="G69" s="7"/>
      <c r="H69" s="7"/>
    </row>
    <row r="70" customFormat="false" ht="15" hidden="false" customHeight="true" outlineLevel="0" collapsed="false">
      <c r="A70" s="5"/>
      <c r="B70" s="5"/>
      <c r="C70" s="5"/>
      <c r="D70" s="5"/>
      <c r="E70" s="5"/>
      <c r="F70" s="5"/>
      <c r="G70" s="5"/>
      <c r="H70" s="5"/>
    </row>
    <row r="71" customFormat="false" ht="15" hidden="false" customHeight="true" outlineLevel="0" collapsed="false">
      <c r="A71" s="7"/>
      <c r="B71" s="7"/>
      <c r="C71" s="7"/>
      <c r="D71" s="7"/>
      <c r="E71" s="7"/>
      <c r="F71" s="7"/>
      <c r="G71" s="7"/>
      <c r="H71" s="7"/>
    </row>
    <row r="72" customFormat="false" ht="15" hidden="false" customHeight="true" outlineLevel="0" collapsed="false">
      <c r="A72" s="5"/>
      <c r="B72" s="5"/>
      <c r="C72" s="5"/>
      <c r="D72" s="5"/>
      <c r="E72" s="5"/>
      <c r="F72" s="5"/>
      <c r="G72" s="5"/>
      <c r="H72" s="5"/>
    </row>
    <row r="73" customFormat="false" ht="15" hidden="false" customHeight="true" outlineLevel="0" collapsed="false">
      <c r="A73" s="7"/>
      <c r="B73" s="7"/>
      <c r="C73" s="7"/>
      <c r="D73" s="7"/>
      <c r="E73" s="7"/>
      <c r="F73" s="7"/>
      <c r="G73" s="7"/>
      <c r="H73" s="7"/>
    </row>
    <row r="74" customFormat="false" ht="15" hidden="false" customHeight="true" outlineLevel="0" collapsed="false">
      <c r="A74" s="5"/>
      <c r="B74" s="5"/>
      <c r="C74" s="5"/>
      <c r="D74" s="5"/>
      <c r="E74" s="5"/>
      <c r="F74" s="5"/>
      <c r="G74" s="5"/>
      <c r="H74" s="5"/>
    </row>
    <row r="75" customFormat="false" ht="15" hidden="false" customHeight="true" outlineLevel="0" collapsed="false">
      <c r="A75" s="7"/>
      <c r="B75" s="7"/>
      <c r="C75" s="7"/>
      <c r="D75" s="7"/>
      <c r="E75" s="7"/>
      <c r="F75" s="7"/>
      <c r="G75" s="7"/>
      <c r="H75" s="7"/>
    </row>
    <row r="76" customFormat="false" ht="15" hidden="false" customHeight="true" outlineLevel="0" collapsed="false">
      <c r="A76" s="5"/>
      <c r="B76" s="5"/>
      <c r="C76" s="5"/>
      <c r="D76" s="5"/>
      <c r="E76" s="5"/>
      <c r="F76" s="5"/>
      <c r="G76" s="5"/>
      <c r="H76" s="5"/>
    </row>
    <row r="77" customFormat="false" ht="15" hidden="false" customHeight="true" outlineLevel="0" collapsed="false">
      <c r="A77" s="7"/>
      <c r="B77" s="7"/>
      <c r="C77" s="7"/>
      <c r="D77" s="7"/>
      <c r="E77" s="7"/>
      <c r="F77" s="7"/>
      <c r="G77" s="7"/>
      <c r="H77" s="7"/>
    </row>
    <row r="78" customFormat="false" ht="15" hidden="false" customHeight="true" outlineLevel="0" collapsed="false">
      <c r="A78" s="5"/>
      <c r="B78" s="5"/>
      <c r="C78" s="5"/>
      <c r="D78" s="5"/>
      <c r="E78" s="5"/>
      <c r="F78" s="5"/>
      <c r="G78" s="5"/>
      <c r="H78" s="5"/>
    </row>
    <row r="79" customFormat="false" ht="15" hidden="false" customHeight="true" outlineLevel="0" collapsed="false">
      <c r="A79" s="7"/>
      <c r="B79" s="7"/>
      <c r="C79" s="7"/>
      <c r="D79" s="7"/>
      <c r="E79" s="7"/>
      <c r="F79" s="7"/>
      <c r="G79" s="7"/>
      <c r="H79" s="7"/>
    </row>
    <row r="80" customFormat="false" ht="15" hidden="false" customHeight="true" outlineLevel="0" collapsed="false">
      <c r="A80" s="5"/>
      <c r="B80" s="5"/>
      <c r="C80" s="5"/>
      <c r="D80" s="5"/>
      <c r="E80" s="5"/>
      <c r="F80" s="5"/>
      <c r="G80" s="5"/>
      <c r="H80" s="5"/>
    </row>
    <row r="81" customFormat="false" ht="15" hidden="false" customHeight="true" outlineLevel="0" collapsed="false">
      <c r="A81" s="7"/>
      <c r="B81" s="7"/>
      <c r="C81" s="7"/>
      <c r="D81" s="7"/>
      <c r="E81" s="7"/>
      <c r="F81" s="7"/>
      <c r="G81" s="7"/>
      <c r="H81" s="7"/>
    </row>
    <row r="82" customFormat="false" ht="15" hidden="false" customHeight="true" outlineLevel="0" collapsed="false">
      <c r="A82" s="5"/>
      <c r="B82" s="5"/>
      <c r="C82" s="5"/>
      <c r="D82" s="5"/>
      <c r="E82" s="5"/>
      <c r="F82" s="5"/>
      <c r="G82" s="5"/>
      <c r="H82" s="5"/>
    </row>
    <row r="83" customFormat="false" ht="15" hidden="false" customHeight="true" outlineLevel="0" collapsed="false">
      <c r="A83" s="7"/>
      <c r="B83" s="7"/>
      <c r="C83" s="7"/>
      <c r="D83" s="7"/>
      <c r="E83" s="7"/>
      <c r="F83" s="7"/>
      <c r="G83" s="7"/>
      <c r="H83" s="7"/>
    </row>
    <row r="84" customFormat="false" ht="15" hidden="false" customHeight="true" outlineLevel="0" collapsed="false">
      <c r="A84" s="5"/>
      <c r="B84" s="5"/>
      <c r="C84" s="5"/>
      <c r="D84" s="5"/>
      <c r="E84" s="5"/>
      <c r="F84" s="5"/>
      <c r="G84" s="5"/>
      <c r="H84" s="5"/>
    </row>
    <row r="85" customFormat="false" ht="15" hidden="false" customHeight="true" outlineLevel="0" collapsed="false">
      <c r="A85" s="7"/>
      <c r="B85" s="7"/>
      <c r="C85" s="7"/>
      <c r="D85" s="7"/>
      <c r="E85" s="7"/>
      <c r="F85" s="7"/>
      <c r="G85" s="7"/>
      <c r="H85" s="7"/>
    </row>
    <row r="86" customFormat="false" ht="15" hidden="false" customHeight="true" outlineLevel="0" collapsed="false">
      <c r="A86" s="5"/>
      <c r="B86" s="5"/>
      <c r="C86" s="5"/>
      <c r="D86" s="5"/>
      <c r="E86" s="5"/>
      <c r="F86" s="5"/>
      <c r="G86" s="5"/>
      <c r="H86" s="5"/>
    </row>
    <row r="87" customFormat="false" ht="15" hidden="false" customHeight="true" outlineLevel="0" collapsed="false">
      <c r="A87" s="7"/>
      <c r="B87" s="7"/>
      <c r="C87" s="7"/>
      <c r="D87" s="7"/>
      <c r="E87" s="7"/>
      <c r="F87" s="7"/>
      <c r="G87" s="7"/>
      <c r="H87" s="7"/>
    </row>
    <row r="88" customFormat="false" ht="15" hidden="false" customHeight="true" outlineLevel="0" collapsed="false">
      <c r="A88" s="5"/>
      <c r="B88" s="5"/>
      <c r="C88" s="5"/>
      <c r="D88" s="5"/>
      <c r="E88" s="5"/>
      <c r="F88" s="5"/>
      <c r="G88" s="5"/>
      <c r="H88" s="5"/>
    </row>
    <row r="89" customFormat="false" ht="15" hidden="false" customHeight="true" outlineLevel="0" collapsed="false">
      <c r="A89" s="7"/>
      <c r="B89" s="7"/>
      <c r="C89" s="7"/>
      <c r="D89" s="7"/>
      <c r="E89" s="7"/>
      <c r="F89" s="7"/>
      <c r="G89" s="7"/>
      <c r="H89" s="7"/>
    </row>
    <row r="90" customFormat="false" ht="15" hidden="false" customHeight="true" outlineLevel="0" collapsed="false">
      <c r="A90" s="5"/>
      <c r="B90" s="5"/>
      <c r="C90" s="5"/>
      <c r="D90" s="5"/>
      <c r="E90" s="5"/>
      <c r="F90" s="5"/>
      <c r="G90" s="5"/>
      <c r="H90" s="5"/>
    </row>
    <row r="91" customFormat="false" ht="15" hidden="false" customHeight="true" outlineLevel="0" collapsed="false">
      <c r="A91" s="7"/>
      <c r="B91" s="7"/>
      <c r="C91" s="7"/>
      <c r="D91" s="7"/>
      <c r="E91" s="7"/>
      <c r="F91" s="7"/>
      <c r="G91" s="7"/>
      <c r="H91" s="7"/>
    </row>
    <row r="92" customFormat="false" ht="15" hidden="false" customHeight="true" outlineLevel="0" collapsed="false">
      <c r="A92" s="5"/>
      <c r="B92" s="5"/>
      <c r="C92" s="5"/>
      <c r="D92" s="5"/>
      <c r="E92" s="5"/>
      <c r="F92" s="5"/>
      <c r="G92" s="5"/>
      <c r="H92" s="5"/>
    </row>
    <row r="93" customFormat="false" ht="15" hidden="false" customHeight="true" outlineLevel="0" collapsed="false">
      <c r="A93" s="7"/>
      <c r="B93" s="7"/>
      <c r="C93" s="7"/>
      <c r="D93" s="7"/>
      <c r="E93" s="7"/>
      <c r="F93" s="7"/>
      <c r="G93" s="7"/>
      <c r="H93" s="7"/>
    </row>
    <row r="94" customFormat="false" ht="15" hidden="false" customHeight="true" outlineLevel="0" collapsed="false">
      <c r="A94" s="5"/>
      <c r="B94" s="5"/>
      <c r="C94" s="5"/>
      <c r="D94" s="5"/>
      <c r="E94" s="5"/>
      <c r="F94" s="5"/>
      <c r="G94" s="5"/>
      <c r="H94" s="5"/>
    </row>
    <row r="95" customFormat="false" ht="15" hidden="false" customHeight="true" outlineLevel="0" collapsed="false">
      <c r="A95" s="7"/>
      <c r="B95" s="7"/>
      <c r="C95" s="7"/>
      <c r="D95" s="7"/>
      <c r="E95" s="7"/>
      <c r="F95" s="7"/>
      <c r="G95" s="7"/>
      <c r="H95" s="7"/>
    </row>
    <row r="96" customFormat="false" ht="15" hidden="false" customHeight="true" outlineLevel="0" collapsed="false">
      <c r="A96" s="5"/>
      <c r="B96" s="5"/>
      <c r="C96" s="5"/>
      <c r="D96" s="5"/>
      <c r="E96" s="5"/>
      <c r="F96" s="5"/>
      <c r="G96" s="5"/>
      <c r="H96" s="5"/>
    </row>
    <row r="97" customFormat="false" ht="15" hidden="false" customHeight="true" outlineLevel="0" collapsed="false">
      <c r="A97" s="7"/>
      <c r="B97" s="7"/>
      <c r="C97" s="7"/>
      <c r="D97" s="7"/>
      <c r="E97" s="7"/>
      <c r="F97" s="7"/>
      <c r="G97" s="7"/>
      <c r="H97" s="7"/>
    </row>
    <row r="98" customFormat="false" ht="15" hidden="false" customHeight="true" outlineLevel="0" collapsed="false">
      <c r="A98" s="5"/>
      <c r="B98" s="5"/>
      <c r="C98" s="5"/>
      <c r="D98" s="5"/>
      <c r="E98" s="5"/>
      <c r="F98" s="5"/>
      <c r="G98" s="5"/>
      <c r="H98" s="5"/>
    </row>
    <row r="99" customFormat="false" ht="15" hidden="false" customHeight="true" outlineLevel="0" collapsed="false">
      <c r="A99" s="7"/>
      <c r="B99" s="7"/>
      <c r="C99" s="7"/>
      <c r="D99" s="7"/>
      <c r="E99" s="7"/>
      <c r="F99" s="7"/>
      <c r="G99" s="7"/>
      <c r="H99" s="7"/>
    </row>
    <row r="100" customFormat="false" ht="15" hidden="false" customHeight="true" outlineLevel="0" collapsed="false">
      <c r="A100" s="5"/>
      <c r="B100" s="5"/>
      <c r="C100" s="5"/>
      <c r="D100" s="5"/>
      <c r="E100" s="5"/>
      <c r="F100" s="5"/>
      <c r="G100" s="5"/>
      <c r="H100" s="5"/>
    </row>
    <row r="101" customFormat="false" ht="15" hidden="false" customHeight="true" outlineLevel="0" collapsed="false">
      <c r="A101" s="7"/>
      <c r="B101" s="7"/>
      <c r="C101" s="7"/>
      <c r="D101" s="7"/>
      <c r="E101" s="7"/>
      <c r="F101" s="7"/>
      <c r="G101" s="7"/>
      <c r="H101" s="7"/>
    </row>
    <row r="102" customFormat="false" ht="15" hidden="false" customHeight="true" outlineLevel="0" collapsed="false">
      <c r="A102" s="5"/>
      <c r="B102" s="5"/>
      <c r="C102" s="5"/>
      <c r="D102" s="5"/>
      <c r="E102" s="5"/>
      <c r="F102" s="5"/>
      <c r="G102" s="5"/>
      <c r="H102" s="5"/>
    </row>
    <row r="103" customFormat="false" ht="15" hidden="false" customHeight="true" outlineLevel="0" collapsed="false">
      <c r="A103" s="7"/>
      <c r="B103" s="7"/>
      <c r="C103" s="7"/>
      <c r="D103" s="7"/>
      <c r="E103" s="7"/>
      <c r="F103" s="7"/>
      <c r="G103" s="7"/>
      <c r="H103" s="7"/>
    </row>
    <row r="104" customFormat="false" ht="15" hidden="false" customHeight="true" outlineLevel="0" collapsed="false">
      <c r="A104" s="5"/>
      <c r="B104" s="5"/>
      <c r="C104" s="5"/>
      <c r="D104" s="5"/>
      <c r="E104" s="5"/>
      <c r="F104" s="5"/>
      <c r="G104" s="5"/>
      <c r="H104" s="5"/>
    </row>
    <row r="105" customFormat="false" ht="15" hidden="false" customHeight="true" outlineLevel="0" collapsed="false">
      <c r="A105" s="7"/>
      <c r="B105" s="7"/>
      <c r="C105" s="7"/>
      <c r="D105" s="7"/>
      <c r="E105" s="7"/>
      <c r="F105" s="7"/>
      <c r="G105" s="7"/>
      <c r="H105" s="7"/>
    </row>
    <row r="106" customFormat="false" ht="15" hidden="false" customHeight="true" outlineLevel="0" collapsed="false">
      <c r="A106" s="5"/>
      <c r="B106" s="5"/>
      <c r="C106" s="5"/>
      <c r="D106" s="5"/>
      <c r="E106" s="5"/>
      <c r="F106" s="5"/>
      <c r="G106" s="5"/>
      <c r="H106" s="5"/>
    </row>
    <row r="107" customFormat="false" ht="15" hidden="false" customHeight="true" outlineLevel="0" collapsed="false">
      <c r="A107" s="7"/>
      <c r="B107" s="7"/>
      <c r="C107" s="7"/>
      <c r="D107" s="7"/>
      <c r="E107" s="7"/>
      <c r="F107" s="7"/>
      <c r="G107" s="7"/>
      <c r="H107" s="7"/>
    </row>
    <row r="108" customFormat="false" ht="15" hidden="false" customHeight="true" outlineLevel="0" collapsed="false">
      <c r="A108" s="5"/>
      <c r="B108" s="5"/>
      <c r="C108" s="5"/>
      <c r="D108" s="5"/>
      <c r="E108" s="5"/>
      <c r="F108" s="5"/>
      <c r="G108" s="5"/>
      <c r="H108" s="5"/>
    </row>
    <row r="109" customFormat="false" ht="15" hidden="false" customHeight="true" outlineLevel="0" collapsed="false">
      <c r="A109" s="7"/>
      <c r="B109" s="7"/>
      <c r="C109" s="7"/>
      <c r="D109" s="7"/>
      <c r="E109" s="7"/>
      <c r="F109" s="7"/>
      <c r="G109" s="7"/>
      <c r="H109" s="7"/>
    </row>
    <row r="110" customFormat="false" ht="15" hidden="false" customHeight="true" outlineLevel="0" collapsed="false">
      <c r="A110" s="5"/>
      <c r="B110" s="5"/>
      <c r="C110" s="5"/>
      <c r="D110" s="5"/>
      <c r="E110" s="5"/>
      <c r="F110" s="5"/>
      <c r="G110" s="5"/>
      <c r="H110" s="5"/>
    </row>
    <row r="111" customFormat="false" ht="15" hidden="false" customHeight="true" outlineLevel="0" collapsed="false">
      <c r="A111" s="7"/>
      <c r="B111" s="7"/>
      <c r="C111" s="7"/>
      <c r="D111" s="7"/>
      <c r="E111" s="7"/>
      <c r="F111" s="7"/>
      <c r="G111" s="7"/>
      <c r="H111" s="7"/>
    </row>
    <row r="112" customFormat="false" ht="15" hidden="false" customHeight="true" outlineLevel="0" collapsed="false">
      <c r="A112" s="5"/>
      <c r="B112" s="5"/>
      <c r="C112" s="5"/>
      <c r="D112" s="5"/>
      <c r="E112" s="5"/>
      <c r="F112" s="5"/>
      <c r="G112" s="5"/>
      <c r="H112" s="5"/>
    </row>
    <row r="113" customFormat="false" ht="15" hidden="false" customHeight="true" outlineLevel="0" collapsed="false">
      <c r="A113" s="7"/>
      <c r="B113" s="7"/>
      <c r="C113" s="7"/>
      <c r="D113" s="7"/>
      <c r="E113" s="7"/>
      <c r="F113" s="7"/>
      <c r="G113" s="7"/>
      <c r="H113" s="7"/>
    </row>
    <row r="114" customFormat="false" ht="15" hidden="false" customHeight="true" outlineLevel="0" collapsed="false">
      <c r="A114" s="5"/>
      <c r="B114" s="5"/>
      <c r="C114" s="5"/>
      <c r="D114" s="5"/>
      <c r="E114" s="5"/>
      <c r="F114" s="5"/>
      <c r="G114" s="5"/>
      <c r="H114" s="5"/>
    </row>
    <row r="115" customFormat="false" ht="15" hidden="false" customHeight="true" outlineLevel="0" collapsed="false">
      <c r="A115" s="7"/>
      <c r="B115" s="7"/>
      <c r="C115" s="7"/>
      <c r="D115" s="7"/>
      <c r="E115" s="7"/>
      <c r="F115" s="7"/>
      <c r="G115" s="7"/>
      <c r="H115" s="7"/>
    </row>
    <row r="116" customFormat="false" ht="15" hidden="false" customHeight="true" outlineLevel="0" collapsed="false">
      <c r="A116" s="5"/>
      <c r="B116" s="5"/>
      <c r="C116" s="5"/>
      <c r="D116" s="5"/>
      <c r="E116" s="5"/>
      <c r="F116" s="5"/>
      <c r="G116" s="5"/>
      <c r="H116" s="5"/>
    </row>
    <row r="117" customFormat="false" ht="15" hidden="false" customHeight="true" outlineLevel="0" collapsed="false">
      <c r="A117" s="7"/>
      <c r="B117" s="7"/>
      <c r="C117" s="7"/>
      <c r="D117" s="7"/>
      <c r="E117" s="7"/>
      <c r="F117" s="7"/>
      <c r="G117" s="7"/>
      <c r="H117" s="7"/>
    </row>
    <row r="118" customFormat="false" ht="15" hidden="false" customHeight="true" outlineLevel="0" collapsed="false">
      <c r="A118" s="5"/>
      <c r="B118" s="5"/>
      <c r="C118" s="5"/>
      <c r="D118" s="5"/>
      <c r="E118" s="5"/>
      <c r="F118" s="5"/>
      <c r="G118" s="5"/>
      <c r="H118" s="5"/>
    </row>
    <row r="119" customFormat="false" ht="15" hidden="false" customHeight="true" outlineLevel="0" collapsed="false">
      <c r="A119" s="7"/>
      <c r="B119" s="7"/>
      <c r="C119" s="7"/>
      <c r="D119" s="7"/>
      <c r="E119" s="7"/>
      <c r="F119" s="7"/>
      <c r="G119" s="7"/>
      <c r="H119" s="7"/>
    </row>
    <row r="120" customFormat="false" ht="15" hidden="false" customHeight="true" outlineLevel="0" collapsed="false">
      <c r="A120" s="5"/>
      <c r="B120" s="5"/>
      <c r="C120" s="5"/>
      <c r="D120" s="5"/>
      <c r="E120" s="5"/>
      <c r="F120" s="5"/>
      <c r="G120" s="5"/>
      <c r="H120" s="5"/>
    </row>
    <row r="121" customFormat="false" ht="15" hidden="false" customHeight="true" outlineLevel="0" collapsed="false">
      <c r="A121" s="7"/>
      <c r="B121" s="7"/>
      <c r="C121" s="7"/>
      <c r="D121" s="7"/>
      <c r="E121" s="7"/>
      <c r="F121" s="7"/>
      <c r="G121" s="7"/>
      <c r="H121" s="7"/>
    </row>
    <row r="122" customFormat="false" ht="15" hidden="false" customHeight="true" outlineLevel="0" collapsed="false">
      <c r="A122" s="5"/>
      <c r="B122" s="5"/>
      <c r="C122" s="5"/>
      <c r="D122" s="5"/>
      <c r="E122" s="5"/>
      <c r="F122" s="5"/>
      <c r="G122" s="5"/>
      <c r="H122" s="5"/>
    </row>
    <row r="123" customFormat="false" ht="15" hidden="false" customHeight="true" outlineLevel="0" collapsed="false">
      <c r="A123" s="7"/>
      <c r="B123" s="7"/>
      <c r="C123" s="7"/>
      <c r="D123" s="7"/>
      <c r="E123" s="7"/>
      <c r="F123" s="7"/>
      <c r="G123" s="7"/>
      <c r="H123" s="7"/>
    </row>
    <row r="124" customFormat="false" ht="15" hidden="false" customHeight="true" outlineLevel="0" collapsed="false">
      <c r="A124" s="5"/>
      <c r="B124" s="5"/>
      <c r="C124" s="5"/>
      <c r="D124" s="5"/>
      <c r="E124" s="5"/>
      <c r="F124" s="5"/>
      <c r="G124" s="5"/>
      <c r="H124" s="5"/>
    </row>
    <row r="125" customFormat="false" ht="15" hidden="false" customHeight="true" outlineLevel="0" collapsed="false">
      <c r="A125" s="7"/>
      <c r="B125" s="7"/>
      <c r="C125" s="7"/>
      <c r="D125" s="7"/>
      <c r="E125" s="7"/>
      <c r="F125" s="7"/>
      <c r="G125" s="7"/>
      <c r="H125" s="7"/>
    </row>
    <row r="126" customFormat="false" ht="15" hidden="false" customHeight="true" outlineLevel="0" collapsed="false">
      <c r="A126" s="5"/>
      <c r="B126" s="5"/>
      <c r="C126" s="5"/>
      <c r="D126" s="5"/>
      <c r="E126" s="5"/>
      <c r="F126" s="5"/>
      <c r="G126" s="5"/>
      <c r="H126" s="5"/>
    </row>
    <row r="127" customFormat="false" ht="15" hidden="false" customHeight="true" outlineLevel="0" collapsed="false">
      <c r="A127" s="7"/>
      <c r="B127" s="7"/>
      <c r="C127" s="7"/>
      <c r="D127" s="7"/>
      <c r="E127" s="7"/>
      <c r="F127" s="7"/>
      <c r="G127" s="7"/>
      <c r="H127" s="7"/>
    </row>
    <row r="128" customFormat="false" ht="15" hidden="false" customHeight="true" outlineLevel="0" collapsed="false">
      <c r="A128" s="5"/>
      <c r="B128" s="5"/>
      <c r="C128" s="5"/>
      <c r="D128" s="5"/>
      <c r="E128" s="5"/>
      <c r="F128" s="5"/>
      <c r="G128" s="5"/>
      <c r="H128" s="5"/>
    </row>
    <row r="129" customFormat="false" ht="15" hidden="false" customHeight="true" outlineLevel="0" collapsed="false">
      <c r="A129" s="7"/>
      <c r="B129" s="7"/>
      <c r="C129" s="7"/>
      <c r="D129" s="7"/>
      <c r="E129" s="7"/>
      <c r="F129" s="7"/>
      <c r="G129" s="7"/>
      <c r="H129" s="7"/>
    </row>
    <row r="130" customFormat="false" ht="15" hidden="false" customHeight="true" outlineLevel="0" collapsed="false">
      <c r="A130" s="5"/>
      <c r="B130" s="5"/>
      <c r="C130" s="5"/>
      <c r="D130" s="5"/>
      <c r="E130" s="5"/>
      <c r="F130" s="5"/>
      <c r="G130" s="5"/>
      <c r="H130" s="5"/>
    </row>
    <row r="131" customFormat="false" ht="15" hidden="false" customHeight="true" outlineLevel="0" collapsed="false">
      <c r="A131" s="7"/>
      <c r="B131" s="7"/>
      <c r="C131" s="7"/>
      <c r="D131" s="7"/>
      <c r="E131" s="7"/>
      <c r="F131" s="7"/>
      <c r="G131" s="7"/>
      <c r="H131" s="7"/>
    </row>
    <row r="132" customFormat="false" ht="15" hidden="false" customHeight="true" outlineLevel="0" collapsed="false">
      <c r="A132" s="5"/>
      <c r="B132" s="5"/>
      <c r="C132" s="5"/>
      <c r="D132" s="5"/>
      <c r="E132" s="5"/>
      <c r="F132" s="5"/>
      <c r="G132" s="5"/>
      <c r="H132" s="5"/>
    </row>
    <row r="133" customFormat="false" ht="15" hidden="false" customHeight="true" outlineLevel="0" collapsed="false">
      <c r="A133" s="7"/>
      <c r="B133" s="7"/>
      <c r="C133" s="7"/>
      <c r="D133" s="7"/>
      <c r="E133" s="7"/>
      <c r="F133" s="7"/>
      <c r="G133" s="7"/>
      <c r="H133" s="7"/>
    </row>
    <row r="134" customFormat="false" ht="15" hidden="false" customHeight="true" outlineLevel="0" collapsed="false">
      <c r="A134" s="5"/>
      <c r="B134" s="5"/>
      <c r="C134" s="5"/>
      <c r="D134" s="5"/>
      <c r="E134" s="5"/>
      <c r="F134" s="5"/>
      <c r="G134" s="5"/>
      <c r="H134" s="5"/>
    </row>
    <row r="135" customFormat="false" ht="15" hidden="false" customHeight="true" outlineLevel="0" collapsed="false">
      <c r="A135" s="7"/>
      <c r="B135" s="7"/>
      <c r="C135" s="7"/>
      <c r="D135" s="7"/>
      <c r="E135" s="7"/>
      <c r="F135" s="7"/>
      <c r="G135" s="7"/>
      <c r="H135" s="7"/>
    </row>
    <row r="136" customFormat="false" ht="15" hidden="false" customHeight="true" outlineLevel="0" collapsed="false">
      <c r="A136" s="5"/>
      <c r="B136" s="5"/>
      <c r="C136" s="5"/>
      <c r="D136" s="5"/>
      <c r="E136" s="5"/>
      <c r="F136" s="5"/>
      <c r="G136" s="5"/>
      <c r="H136" s="5"/>
    </row>
    <row r="137" customFormat="false" ht="15" hidden="false" customHeight="true" outlineLevel="0" collapsed="false">
      <c r="A137" s="7"/>
      <c r="B137" s="7"/>
      <c r="C137" s="7"/>
      <c r="D137" s="7"/>
      <c r="E137" s="7"/>
      <c r="F137" s="7"/>
      <c r="G137" s="7"/>
      <c r="H137" s="7"/>
    </row>
    <row r="138" customFormat="false" ht="15" hidden="false" customHeight="true" outlineLevel="0" collapsed="false">
      <c r="A138" s="5"/>
      <c r="B138" s="5"/>
      <c r="C138" s="5"/>
      <c r="D138" s="5"/>
      <c r="E138" s="5"/>
      <c r="F138" s="5"/>
      <c r="G138" s="5"/>
      <c r="H138" s="5"/>
    </row>
    <row r="139" customFormat="false" ht="15" hidden="false" customHeight="true" outlineLevel="0" collapsed="false">
      <c r="A139" s="7"/>
      <c r="B139" s="7"/>
      <c r="C139" s="7"/>
      <c r="D139" s="7"/>
      <c r="E139" s="7"/>
      <c r="F139" s="7"/>
      <c r="G139" s="7"/>
      <c r="H139" s="7"/>
    </row>
    <row r="140" customFormat="false" ht="15" hidden="false" customHeight="true" outlineLevel="0" collapsed="false">
      <c r="A140" s="5"/>
      <c r="B140" s="5"/>
      <c r="C140" s="5"/>
      <c r="D140" s="5"/>
      <c r="E140" s="5"/>
      <c r="F140" s="5"/>
      <c r="G140" s="5"/>
      <c r="H140" s="5"/>
    </row>
    <row r="141" customFormat="false" ht="15" hidden="false" customHeight="true" outlineLevel="0" collapsed="false">
      <c r="A141" s="7"/>
      <c r="B141" s="7"/>
      <c r="C141" s="7"/>
      <c r="D141" s="7"/>
      <c r="E141" s="7"/>
      <c r="F141" s="7"/>
      <c r="G141" s="7"/>
      <c r="H141" s="7"/>
    </row>
    <row r="142" customFormat="false" ht="15" hidden="false" customHeight="true" outlineLevel="0" collapsed="false">
      <c r="A142" s="5"/>
      <c r="B142" s="5"/>
      <c r="C142" s="5"/>
      <c r="D142" s="5"/>
      <c r="E142" s="5"/>
      <c r="F142" s="5"/>
      <c r="G142" s="5"/>
      <c r="H142" s="5"/>
    </row>
    <row r="143" customFormat="false" ht="15" hidden="false" customHeight="true" outlineLevel="0" collapsed="false">
      <c r="A143" s="7"/>
      <c r="B143" s="7"/>
      <c r="C143" s="7"/>
      <c r="D143" s="7"/>
      <c r="E143" s="7"/>
      <c r="F143" s="7"/>
      <c r="G143" s="7"/>
      <c r="H143" s="7"/>
    </row>
    <row r="144" customFormat="false" ht="15" hidden="false" customHeight="true" outlineLevel="0" collapsed="false">
      <c r="A144" s="5"/>
      <c r="B144" s="5"/>
      <c r="C144" s="5"/>
      <c r="D144" s="5"/>
      <c r="E144" s="5"/>
      <c r="F144" s="5"/>
      <c r="G144" s="5"/>
      <c r="H144" s="5"/>
    </row>
    <row r="145" customFormat="false" ht="15" hidden="false" customHeight="true" outlineLevel="0" collapsed="false">
      <c r="A145" s="7"/>
      <c r="B145" s="7"/>
      <c r="C145" s="7"/>
      <c r="D145" s="7"/>
      <c r="E145" s="7"/>
      <c r="F145" s="7"/>
      <c r="G145" s="7"/>
      <c r="H145" s="7"/>
    </row>
    <row r="146" customFormat="false" ht="15" hidden="false" customHeight="true" outlineLevel="0" collapsed="false">
      <c r="A146" s="5"/>
      <c r="B146" s="5"/>
      <c r="C146" s="5"/>
      <c r="D146" s="5"/>
      <c r="E146" s="5"/>
      <c r="F146" s="5"/>
      <c r="G146" s="5"/>
      <c r="H146" s="5"/>
    </row>
    <row r="147" customFormat="false" ht="15" hidden="false" customHeight="true" outlineLevel="0" collapsed="false">
      <c r="A147" s="7"/>
      <c r="B147" s="7"/>
      <c r="C147" s="7"/>
      <c r="D147" s="7"/>
      <c r="E147" s="7"/>
      <c r="F147" s="7"/>
      <c r="G147" s="7"/>
      <c r="H147" s="7"/>
    </row>
    <row r="148" customFormat="false" ht="15" hidden="false" customHeight="true" outlineLevel="0" collapsed="false">
      <c r="A148" s="5"/>
      <c r="B148" s="5"/>
      <c r="C148" s="5"/>
      <c r="D148" s="5"/>
      <c r="E148" s="5"/>
      <c r="F148" s="5"/>
      <c r="G148" s="5"/>
      <c r="H148" s="5"/>
    </row>
    <row r="149" customFormat="false" ht="15" hidden="false" customHeight="true" outlineLevel="0" collapsed="false">
      <c r="A149" s="7"/>
      <c r="B149" s="7"/>
      <c r="C149" s="7"/>
      <c r="D149" s="7"/>
      <c r="E149" s="7"/>
      <c r="F149" s="7"/>
      <c r="G149" s="7"/>
      <c r="H149" s="7"/>
    </row>
    <row r="150" customFormat="false" ht="15" hidden="false" customHeight="true" outlineLevel="0" collapsed="false">
      <c r="A150" s="5"/>
      <c r="B150" s="5"/>
      <c r="C150" s="5"/>
      <c r="D150" s="5"/>
      <c r="E150" s="5"/>
      <c r="F150" s="5"/>
      <c r="G150" s="5"/>
      <c r="H150" s="5"/>
    </row>
    <row r="151" customFormat="false" ht="15" hidden="false" customHeight="true" outlineLevel="0" collapsed="false">
      <c r="A151" s="7"/>
      <c r="B151" s="7"/>
      <c r="C151" s="7"/>
      <c r="D151" s="7"/>
      <c r="E151" s="7"/>
      <c r="F151" s="7"/>
      <c r="G151" s="7"/>
      <c r="H151" s="7"/>
    </row>
    <row r="152" customFormat="false" ht="15" hidden="false" customHeight="true" outlineLevel="0" collapsed="false">
      <c r="A152" s="5"/>
      <c r="B152" s="5"/>
      <c r="C152" s="5"/>
      <c r="D152" s="5"/>
      <c r="E152" s="5"/>
      <c r="F152" s="5"/>
      <c r="G152" s="5"/>
      <c r="H152" s="5"/>
    </row>
    <row r="153" customFormat="false" ht="15" hidden="false" customHeight="true" outlineLevel="0" collapsed="false">
      <c r="A153" s="7"/>
      <c r="B153" s="7"/>
      <c r="C153" s="7"/>
      <c r="D153" s="7"/>
      <c r="E153" s="7"/>
      <c r="F153" s="7"/>
      <c r="G153" s="7"/>
      <c r="H153" s="7"/>
    </row>
    <row r="154" customFormat="false" ht="15" hidden="false" customHeight="true" outlineLevel="0" collapsed="false">
      <c r="A154" s="5"/>
      <c r="B154" s="5"/>
      <c r="C154" s="5"/>
      <c r="D154" s="5"/>
      <c r="E154" s="5"/>
      <c r="F154" s="5"/>
      <c r="G154" s="5"/>
      <c r="H154" s="5"/>
    </row>
    <row r="155" customFormat="false" ht="15" hidden="false" customHeight="true" outlineLevel="0" collapsed="false">
      <c r="A155" s="7"/>
      <c r="B155" s="7"/>
      <c r="C155" s="7"/>
      <c r="D155" s="7"/>
      <c r="E155" s="7"/>
      <c r="F155" s="7"/>
      <c r="G155" s="7"/>
      <c r="H155" s="7"/>
    </row>
    <row r="156" customFormat="false" ht="15" hidden="false" customHeight="true" outlineLevel="0" collapsed="false">
      <c r="A156" s="5"/>
      <c r="B156" s="5"/>
      <c r="C156" s="5"/>
      <c r="D156" s="5"/>
      <c r="E156" s="5"/>
      <c r="F156" s="5"/>
      <c r="G156" s="5"/>
      <c r="H156" s="5"/>
    </row>
    <row r="157" customFormat="false" ht="15" hidden="false" customHeight="true" outlineLevel="0" collapsed="false">
      <c r="A157" s="7"/>
      <c r="B157" s="7"/>
      <c r="C157" s="7"/>
      <c r="D157" s="7"/>
      <c r="E157" s="7"/>
      <c r="F157" s="7"/>
      <c r="G157" s="7"/>
      <c r="H157" s="7"/>
    </row>
    <row r="158" customFormat="false" ht="15" hidden="false" customHeight="true" outlineLevel="0" collapsed="false">
      <c r="A158" s="5"/>
      <c r="B158" s="5"/>
      <c r="C158" s="5"/>
      <c r="D158" s="5"/>
      <c r="E158" s="5"/>
      <c r="F158" s="5"/>
      <c r="G158" s="5"/>
      <c r="H158" s="5"/>
    </row>
    <row r="159" customFormat="false" ht="15" hidden="false" customHeight="true" outlineLevel="0" collapsed="false">
      <c r="A159" s="7"/>
      <c r="B159" s="7"/>
      <c r="C159" s="7"/>
      <c r="D159" s="7"/>
      <c r="E159" s="7"/>
      <c r="F159" s="7"/>
      <c r="G159" s="7"/>
      <c r="H159" s="7"/>
    </row>
    <row r="160" customFormat="false" ht="15" hidden="false" customHeight="true" outlineLevel="0" collapsed="false">
      <c r="A160" s="5"/>
      <c r="B160" s="5"/>
      <c r="C160" s="5"/>
      <c r="D160" s="5"/>
      <c r="E160" s="5"/>
      <c r="F160" s="5"/>
      <c r="G160" s="5"/>
      <c r="H160" s="5"/>
    </row>
    <row r="161" customFormat="false" ht="15" hidden="false" customHeight="true" outlineLevel="0" collapsed="false">
      <c r="A161" s="7"/>
      <c r="B161" s="7"/>
      <c r="C161" s="7"/>
      <c r="D161" s="7"/>
      <c r="E161" s="7"/>
      <c r="F161" s="7"/>
      <c r="G161" s="7"/>
      <c r="H161" s="7"/>
    </row>
    <row r="162" customFormat="false" ht="15" hidden="false" customHeight="true" outlineLevel="0" collapsed="false">
      <c r="A162" s="5"/>
      <c r="B162" s="5"/>
      <c r="C162" s="5"/>
      <c r="D162" s="5"/>
      <c r="E162" s="5"/>
      <c r="F162" s="5"/>
      <c r="G162" s="5"/>
      <c r="H162" s="5"/>
    </row>
    <row r="163" customFormat="false" ht="15" hidden="false" customHeight="true" outlineLevel="0" collapsed="false">
      <c r="A163" s="7"/>
      <c r="B163" s="7"/>
      <c r="C163" s="7"/>
      <c r="D163" s="7"/>
      <c r="E163" s="7"/>
      <c r="F163" s="7"/>
      <c r="G163" s="7"/>
      <c r="H163" s="7"/>
    </row>
    <row r="164" customFormat="false" ht="15" hidden="false" customHeight="true" outlineLevel="0" collapsed="false">
      <c r="A164" s="5"/>
      <c r="B164" s="5"/>
      <c r="C164" s="5"/>
      <c r="D164" s="5"/>
      <c r="E164" s="5"/>
      <c r="F164" s="5"/>
      <c r="G164" s="5"/>
      <c r="H164" s="5"/>
    </row>
    <row r="165" customFormat="false" ht="15" hidden="false" customHeight="true" outlineLevel="0" collapsed="false">
      <c r="A165" s="7"/>
      <c r="B165" s="7"/>
      <c r="C165" s="7"/>
      <c r="D165" s="7"/>
      <c r="E165" s="7"/>
      <c r="F165" s="7"/>
      <c r="G165" s="7"/>
      <c r="H165" s="7"/>
    </row>
    <row r="166" customFormat="false" ht="15" hidden="false" customHeight="true" outlineLevel="0" collapsed="false">
      <c r="A166" s="5"/>
      <c r="B166" s="5"/>
      <c r="C166" s="5"/>
      <c r="D166" s="5"/>
      <c r="E166" s="5"/>
      <c r="F166" s="5"/>
      <c r="G166" s="5"/>
      <c r="H166" s="5"/>
    </row>
    <row r="167" customFormat="false" ht="15" hidden="false" customHeight="true" outlineLevel="0" collapsed="false">
      <c r="A167" s="7"/>
      <c r="B167" s="7"/>
      <c r="C167" s="7"/>
      <c r="D167" s="7"/>
      <c r="E167" s="7"/>
      <c r="F167" s="7"/>
      <c r="G167" s="7"/>
      <c r="H167" s="7"/>
    </row>
    <row r="168" customFormat="false" ht="15" hidden="false" customHeight="true" outlineLevel="0" collapsed="false">
      <c r="A168" s="5"/>
      <c r="B168" s="5"/>
      <c r="C168" s="5"/>
      <c r="D168" s="5"/>
      <c r="E168" s="5"/>
      <c r="F168" s="5"/>
      <c r="G168" s="5"/>
      <c r="H168" s="5"/>
    </row>
    <row r="169" customFormat="false" ht="15" hidden="false" customHeight="true" outlineLevel="0" collapsed="false">
      <c r="A169" s="7"/>
      <c r="B169" s="7"/>
      <c r="C169" s="7"/>
      <c r="D169" s="7"/>
      <c r="E169" s="7"/>
      <c r="F169" s="7"/>
      <c r="G169" s="7"/>
      <c r="H169" s="7"/>
    </row>
    <row r="170" customFormat="false" ht="15" hidden="false" customHeight="true" outlineLevel="0" collapsed="false">
      <c r="A170" s="5"/>
      <c r="B170" s="5"/>
      <c r="C170" s="5"/>
      <c r="D170" s="5"/>
      <c r="E170" s="5"/>
      <c r="F170" s="5"/>
      <c r="G170" s="5"/>
      <c r="H170" s="5"/>
    </row>
    <row r="171" customFormat="false" ht="15" hidden="false" customHeight="true" outlineLevel="0" collapsed="false">
      <c r="A171" s="7"/>
      <c r="B171" s="7"/>
      <c r="C171" s="7"/>
      <c r="D171" s="7"/>
      <c r="E171" s="7"/>
      <c r="F171" s="7"/>
      <c r="G171" s="7"/>
      <c r="H171" s="7"/>
    </row>
    <row r="172" customFormat="false" ht="15" hidden="false" customHeight="true" outlineLevel="0" collapsed="false">
      <c r="A172" s="5"/>
      <c r="B172" s="5"/>
      <c r="C172" s="5"/>
      <c r="D172" s="5"/>
      <c r="E172" s="5"/>
      <c r="F172" s="5"/>
      <c r="G172" s="5"/>
      <c r="H172" s="5"/>
    </row>
    <row r="173" customFormat="false" ht="15" hidden="false" customHeight="true" outlineLevel="0" collapsed="false">
      <c r="A173" s="7"/>
      <c r="B173" s="7"/>
      <c r="C173" s="7"/>
      <c r="D173" s="7"/>
      <c r="E173" s="7"/>
      <c r="F173" s="7"/>
      <c r="G173" s="7"/>
      <c r="H173" s="7"/>
    </row>
    <row r="174" customFormat="false" ht="15" hidden="false" customHeight="true" outlineLevel="0" collapsed="false">
      <c r="A174" s="5"/>
      <c r="B174" s="5"/>
      <c r="C174" s="5"/>
      <c r="D174" s="5"/>
      <c r="E174" s="5"/>
      <c r="F174" s="5"/>
      <c r="G174" s="5"/>
      <c r="H174" s="5"/>
    </row>
    <row r="175" customFormat="false" ht="15" hidden="false" customHeight="true" outlineLevel="0" collapsed="false">
      <c r="A175" s="7"/>
      <c r="B175" s="7"/>
      <c r="C175" s="7"/>
      <c r="D175" s="7"/>
      <c r="E175" s="7"/>
      <c r="F175" s="7"/>
      <c r="G175" s="7"/>
      <c r="H175" s="7"/>
    </row>
    <row r="176" customFormat="false" ht="15" hidden="false" customHeight="true" outlineLevel="0" collapsed="false">
      <c r="A176" s="5"/>
      <c r="B176" s="5"/>
      <c r="C176" s="5"/>
      <c r="D176" s="5"/>
      <c r="E176" s="5"/>
      <c r="F176" s="5"/>
      <c r="G176" s="5"/>
      <c r="H176" s="5"/>
    </row>
    <row r="177" customFormat="false" ht="15" hidden="false" customHeight="true" outlineLevel="0" collapsed="false">
      <c r="A177" s="7"/>
      <c r="B177" s="7"/>
      <c r="C177" s="7"/>
      <c r="D177" s="7"/>
      <c r="E177" s="7"/>
      <c r="F177" s="7"/>
      <c r="G177" s="7"/>
      <c r="H177" s="7"/>
    </row>
    <row r="178" customFormat="false" ht="15" hidden="false" customHeight="true" outlineLevel="0" collapsed="false">
      <c r="A178" s="5"/>
      <c r="B178" s="5"/>
      <c r="C178" s="5"/>
      <c r="D178" s="5"/>
      <c r="E178" s="5"/>
      <c r="F178" s="5"/>
      <c r="G178" s="5"/>
      <c r="H178" s="5"/>
    </row>
    <row r="179" customFormat="false" ht="15" hidden="false" customHeight="true" outlineLevel="0" collapsed="false">
      <c r="A179" s="7"/>
      <c r="B179" s="7"/>
      <c r="C179" s="7"/>
      <c r="D179" s="7"/>
      <c r="E179" s="7"/>
      <c r="F179" s="7"/>
      <c r="G179" s="7"/>
      <c r="H179" s="7"/>
    </row>
    <row r="180" customFormat="false" ht="15" hidden="false" customHeight="true" outlineLevel="0" collapsed="false">
      <c r="A180" s="5"/>
      <c r="B180" s="5"/>
      <c r="C180" s="5"/>
      <c r="D180" s="5"/>
      <c r="E180" s="5"/>
      <c r="F180" s="5"/>
      <c r="G180" s="5"/>
      <c r="H180" s="5"/>
    </row>
    <row r="181" customFormat="false" ht="15" hidden="false" customHeight="true" outlineLevel="0" collapsed="false">
      <c r="A181" s="7"/>
      <c r="B181" s="7"/>
      <c r="C181" s="7"/>
      <c r="D181" s="7"/>
      <c r="E181" s="7"/>
      <c r="F181" s="7"/>
      <c r="G181" s="7"/>
      <c r="H181" s="7"/>
    </row>
    <row r="182" customFormat="false" ht="15" hidden="false" customHeight="true" outlineLevel="0" collapsed="false">
      <c r="A182" s="5"/>
      <c r="B182" s="5"/>
      <c r="C182" s="5"/>
      <c r="D182" s="5"/>
      <c r="E182" s="5"/>
      <c r="F182" s="5"/>
      <c r="G182" s="5"/>
      <c r="H182" s="5"/>
    </row>
    <row r="183" customFormat="false" ht="15" hidden="false" customHeight="true" outlineLevel="0" collapsed="false">
      <c r="A183" s="7"/>
      <c r="B183" s="7"/>
      <c r="C183" s="7"/>
      <c r="D183" s="7"/>
      <c r="E183" s="7"/>
      <c r="F183" s="7"/>
      <c r="G183" s="7"/>
      <c r="H183" s="7"/>
    </row>
    <row r="184" customFormat="false" ht="15" hidden="false" customHeight="true" outlineLevel="0" collapsed="false">
      <c r="A184" s="5"/>
      <c r="B184" s="5"/>
      <c r="C184" s="5"/>
      <c r="D184" s="5"/>
      <c r="E184" s="5"/>
      <c r="F184" s="5"/>
      <c r="G184" s="5"/>
      <c r="H184" s="5"/>
    </row>
    <row r="185" customFormat="false" ht="15" hidden="false" customHeight="true" outlineLevel="0" collapsed="false">
      <c r="A185" s="7"/>
      <c r="B185" s="7"/>
      <c r="C185" s="7"/>
      <c r="D185" s="7"/>
      <c r="E185" s="7"/>
      <c r="F185" s="7"/>
      <c r="G185" s="7"/>
      <c r="H185" s="7"/>
    </row>
    <row r="186" customFormat="false" ht="15" hidden="false" customHeight="true" outlineLevel="0" collapsed="false">
      <c r="A186" s="5"/>
      <c r="B186" s="5"/>
      <c r="C186" s="5"/>
      <c r="D186" s="5"/>
      <c r="E186" s="5"/>
      <c r="F186" s="5"/>
      <c r="G186" s="5"/>
      <c r="H186" s="5"/>
    </row>
    <row r="187" customFormat="false" ht="15" hidden="false" customHeight="true" outlineLevel="0" collapsed="false">
      <c r="A187" s="7"/>
      <c r="B187" s="7"/>
      <c r="C187" s="7"/>
      <c r="D187" s="7"/>
      <c r="E187" s="7"/>
      <c r="F187" s="7"/>
      <c r="G187" s="7"/>
      <c r="H187" s="7"/>
    </row>
    <row r="188" customFormat="false" ht="15" hidden="false" customHeight="true" outlineLevel="0" collapsed="false">
      <c r="A188" s="5"/>
      <c r="B188" s="5"/>
      <c r="C188" s="5"/>
      <c r="D188" s="5"/>
      <c r="E188" s="5"/>
      <c r="F188" s="5"/>
      <c r="G188" s="5"/>
      <c r="H188" s="5"/>
    </row>
    <row r="189" customFormat="false" ht="15" hidden="false" customHeight="true" outlineLevel="0" collapsed="false">
      <c r="A189" s="7"/>
      <c r="B189" s="7"/>
      <c r="C189" s="7"/>
      <c r="D189" s="7"/>
      <c r="E189" s="7"/>
      <c r="F189" s="7"/>
      <c r="G189" s="7"/>
      <c r="H189" s="7"/>
    </row>
    <row r="190" customFormat="false" ht="15" hidden="false" customHeight="true" outlineLevel="0" collapsed="false">
      <c r="A190" s="5"/>
      <c r="B190" s="5"/>
      <c r="C190" s="5"/>
      <c r="D190" s="5"/>
      <c r="E190" s="5"/>
      <c r="F190" s="5"/>
      <c r="G190" s="5"/>
      <c r="H190" s="5"/>
    </row>
    <row r="191" customFormat="false" ht="15" hidden="false" customHeight="true" outlineLevel="0" collapsed="false">
      <c r="A191" s="7"/>
      <c r="B191" s="7"/>
      <c r="C191" s="7"/>
      <c r="D191" s="7"/>
      <c r="E191" s="7"/>
      <c r="F191" s="7"/>
      <c r="G191" s="7"/>
      <c r="H191" s="7"/>
    </row>
    <row r="192" customFormat="false" ht="15" hidden="false" customHeight="true" outlineLevel="0" collapsed="false">
      <c r="A192" s="5"/>
      <c r="B192" s="5"/>
      <c r="C192" s="5"/>
      <c r="D192" s="5"/>
      <c r="E192" s="5"/>
      <c r="F192" s="5"/>
      <c r="G192" s="5"/>
      <c r="H192" s="5"/>
    </row>
    <row r="193" customFormat="false" ht="15" hidden="false" customHeight="true" outlineLevel="0" collapsed="false">
      <c r="A193" s="7"/>
      <c r="B193" s="7"/>
      <c r="C193" s="7"/>
      <c r="D193" s="7"/>
      <c r="E193" s="7"/>
      <c r="F193" s="7"/>
      <c r="G193" s="7"/>
      <c r="H193" s="7"/>
    </row>
    <row r="194" customFormat="false" ht="15" hidden="false" customHeight="true" outlineLevel="0" collapsed="false">
      <c r="A194" s="5"/>
      <c r="B194" s="5"/>
      <c r="C194" s="5"/>
      <c r="D194" s="5"/>
      <c r="E194" s="5"/>
      <c r="F194" s="5"/>
      <c r="G194" s="5"/>
      <c r="H194" s="5"/>
    </row>
    <row r="195" customFormat="false" ht="15" hidden="false" customHeight="true" outlineLevel="0" collapsed="false">
      <c r="A195" s="7"/>
      <c r="B195" s="7"/>
      <c r="C195" s="7"/>
      <c r="D195" s="7"/>
      <c r="E195" s="7"/>
      <c r="F195" s="7"/>
      <c r="G195" s="7"/>
      <c r="H195" s="7"/>
    </row>
    <row r="196" customFormat="false" ht="15" hidden="false" customHeight="true" outlineLevel="0" collapsed="false">
      <c r="A196" s="5"/>
      <c r="B196" s="5"/>
      <c r="C196" s="5"/>
      <c r="D196" s="5"/>
      <c r="E196" s="5"/>
      <c r="F196" s="5"/>
      <c r="G196" s="5"/>
      <c r="H196" s="5"/>
    </row>
    <row r="197" customFormat="false" ht="15" hidden="false" customHeight="true" outlineLevel="0" collapsed="false">
      <c r="A197" s="7"/>
      <c r="B197" s="7"/>
      <c r="C197" s="7"/>
      <c r="D197" s="7"/>
      <c r="E197" s="7"/>
      <c r="F197" s="7"/>
      <c r="G197" s="7"/>
      <c r="H197" s="7"/>
    </row>
    <row r="198" customFormat="false" ht="15" hidden="false" customHeight="true" outlineLevel="0" collapsed="false">
      <c r="A198" s="5"/>
      <c r="B198" s="5"/>
      <c r="C198" s="5"/>
      <c r="D198" s="5"/>
      <c r="E198" s="5"/>
      <c r="F198" s="5"/>
      <c r="G198" s="5"/>
      <c r="H198" s="5"/>
    </row>
    <row r="199" customFormat="false" ht="15" hidden="false" customHeight="true" outlineLevel="0" collapsed="false">
      <c r="A199" s="7"/>
      <c r="B199" s="7"/>
      <c r="C199" s="7"/>
      <c r="D199" s="7"/>
      <c r="E199" s="7"/>
      <c r="F199" s="7"/>
      <c r="G199" s="7"/>
      <c r="H199" s="7"/>
    </row>
    <row r="200" customFormat="false" ht="15" hidden="false" customHeight="true" outlineLevel="0" collapsed="false">
      <c r="A200" s="5"/>
      <c r="B200" s="5"/>
      <c r="C200" s="5"/>
      <c r="D200" s="5"/>
      <c r="E200" s="5"/>
      <c r="F200" s="5"/>
      <c r="G200" s="5"/>
      <c r="H200" s="5"/>
    </row>
    <row r="201" customFormat="false" ht="15" hidden="false" customHeight="true" outlineLevel="0" collapsed="false">
      <c r="A201" s="7"/>
      <c r="B201" s="7"/>
      <c r="C201" s="7"/>
      <c r="D201" s="7"/>
      <c r="E201" s="7"/>
      <c r="F201" s="7"/>
      <c r="G201" s="7"/>
      <c r="H201" s="7"/>
    </row>
  </sheetData>
  <autoFilter ref="A1:H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Q2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4" min="2" style="1" width="14"/>
    <col collapsed="false" customWidth="true" hidden="false" outlineLevel="0" max="5" min="5" style="1" width="13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9" min="8" style="1" width="13"/>
    <col collapsed="false" customWidth="true" hidden="false" outlineLevel="0" max="13" min="10" style="1" width="12"/>
    <col collapsed="false" customWidth="true" hidden="false" outlineLevel="0" max="15" min="14" style="1" width="13"/>
    <col collapsed="false" customWidth="true" hidden="false" outlineLevel="0" max="18" min="16" style="1" width="12"/>
    <col collapsed="false" customWidth="true" hidden="false" outlineLevel="0" max="19" min="19" style="1" width="13"/>
    <col collapsed="false" customWidth="true" hidden="false" outlineLevel="0" max="23" min="20" style="1" width="12"/>
    <col collapsed="false" customWidth="true" hidden="false" outlineLevel="0" max="25" min="24" style="1" width="14"/>
    <col collapsed="false" customWidth="true" hidden="false" outlineLevel="0" max="26" min="26" style="1" width="26"/>
    <col collapsed="false" customWidth="true" hidden="false" outlineLevel="0" max="27" min="27" style="1" width="12"/>
    <col collapsed="false" customWidth="true" hidden="false" outlineLevel="0" max="28" min="28" style="1" width="13"/>
    <col collapsed="false" customWidth="true" hidden="false" outlineLevel="0" max="29" min="29" style="1" width="12"/>
    <col collapsed="false" customWidth="true" hidden="false" outlineLevel="0" max="30" min="30" style="1" width="14"/>
    <col collapsed="false" customWidth="true" hidden="false" outlineLevel="0" max="31" min="31" style="1" width="12"/>
    <col collapsed="false" customWidth="true" hidden="false" outlineLevel="0" max="43" min="32" style="1" width="14"/>
  </cols>
  <sheetData>
    <row r="1" customFormat="false" ht="15" hidden="false" customHeight="true" outlineLevel="0" collapsed="false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120</v>
      </c>
      <c r="M1" s="2" t="s">
        <v>132</v>
      </c>
      <c r="N1" s="2" t="s">
        <v>241</v>
      </c>
      <c r="O1" s="2" t="s">
        <v>242</v>
      </c>
      <c r="P1" s="2" t="s">
        <v>243</v>
      </c>
      <c r="Q1" s="10" t="s">
        <v>244</v>
      </c>
      <c r="R1" s="2" t="s">
        <v>245</v>
      </c>
      <c r="S1" s="2" t="s">
        <v>246</v>
      </c>
      <c r="T1" s="2" t="s">
        <v>247</v>
      </c>
      <c r="U1" s="2" t="s">
        <v>248</v>
      </c>
      <c r="V1" s="2" t="s">
        <v>249</v>
      </c>
      <c r="W1" s="2" t="s">
        <v>250</v>
      </c>
      <c r="X1" s="2" t="s">
        <v>251</v>
      </c>
      <c r="Y1" s="2" t="s">
        <v>252</v>
      </c>
      <c r="Z1" s="2" t="s">
        <v>6</v>
      </c>
      <c r="AA1" s="2" t="s">
        <v>253</v>
      </c>
      <c r="AB1" s="2" t="s">
        <v>254</v>
      </c>
      <c r="AC1" s="2" t="s">
        <v>255</v>
      </c>
      <c r="AD1" s="2" t="s">
        <v>256</v>
      </c>
      <c r="AE1" s="2" t="s">
        <v>257</v>
      </c>
      <c r="AF1" s="13" t="s">
        <v>258</v>
      </c>
      <c r="AG1" s="13" t="s">
        <v>259</v>
      </c>
      <c r="AH1" s="13" t="s">
        <v>260</v>
      </c>
      <c r="AI1" s="13" t="s">
        <v>261</v>
      </c>
      <c r="AJ1" s="13" t="s">
        <v>262</v>
      </c>
      <c r="AK1" s="13" t="s">
        <v>263</v>
      </c>
      <c r="AL1" s="13" t="s">
        <v>264</v>
      </c>
      <c r="AM1" s="13" t="s">
        <v>265</v>
      </c>
      <c r="AN1" s="13" t="s">
        <v>266</v>
      </c>
      <c r="AO1" s="13" t="s">
        <v>267</v>
      </c>
      <c r="AP1" s="13" t="s">
        <v>268</v>
      </c>
      <c r="AQ1" s="13" t="s">
        <v>269</v>
      </c>
    </row>
    <row r="2" customFormat="false" ht="15" hidden="false" customHeight="true" outlineLevel="0" collapsed="false">
      <c r="A2" s="5" t="s">
        <v>270</v>
      </c>
      <c r="B2" s="14" t="n">
        <v>6683.54</v>
      </c>
      <c r="C2" s="14" t="n">
        <v>0</v>
      </c>
      <c r="D2" s="15" t="n">
        <f aca="false">IF($A2="","",SUMIFS(持仓表!$J:$J,持仓表!$A:$A,$A2))</f>
        <v>0</v>
      </c>
      <c r="E2" s="16" t="n">
        <f aca="false">IFERROR(D2/B2,0)</f>
        <v>0</v>
      </c>
      <c r="F2" s="14" t="n">
        <v>2700</v>
      </c>
      <c r="G2" s="15" t="n">
        <f aca="false">IF($B2="","",MAX($B$2:B2))</f>
        <v>6683.54</v>
      </c>
      <c r="H2" s="16" t="n">
        <f aca="false">IFERROR((B2-F2)/F2,0)</f>
        <v>1.47538518518519</v>
      </c>
      <c r="I2" s="16" t="n">
        <f aca="false">IFERROR((B2-G2)/G2,0)</f>
        <v>0</v>
      </c>
      <c r="J2" s="11" t="s">
        <v>271</v>
      </c>
      <c r="K2" s="5" t="s">
        <v>272</v>
      </c>
      <c r="L2" s="17" t="n">
        <v>2</v>
      </c>
      <c r="M2" s="17" t="n">
        <v>2</v>
      </c>
      <c r="N2" s="16" t="n">
        <f aca="false">IF($B2="","",MIN(70%,IF($I2&lt;=-15%,10%,IF($I2&lt;=-10%,30%,IF($M2&gt;=4,10%,IF($M2&gt;=3,30%,IF($J2="强",IF($K2="A",70%,IF($K2="B",60%,40%)),IF($J2="中性",IF($K2="A",50%,IF($K2="B",40%,25%)),IF($K2="A",30%,IF($K2="B",20%,10%))))))))))</f>
        <v>0.4</v>
      </c>
      <c r="O2" s="16" t="n">
        <f aca="false">IF($B2="","",IF(B2&lt;30000,35%,IF(B2&lt;50000,30%,IF(B2&lt;100000,25%,20%))))</f>
        <v>0.35</v>
      </c>
      <c r="P2" s="18" t="n">
        <f aca="false">IF($A2="","",COUNTIFS(持仓表!$A:$A,$A2,持仓表!$G:$G,"&gt;0"))</f>
        <v>0</v>
      </c>
      <c r="Q2" s="18" t="n">
        <f aca="false">IF($A2="","",COUNTIFS(持仓表!$A:$A,$A2,持仓表!$D:$D,"是",持仓表!$G:$G,"&gt;0"))</f>
        <v>0</v>
      </c>
      <c r="R2" s="18" t="n">
        <f aca="false">IF($A2="","",MAX(0,P2-Q2))</f>
        <v>0</v>
      </c>
      <c r="S2" s="18" t="n">
        <f aca="false">IF($B2="","",IF(B2&lt;50000,3,IF(B2&lt;100000,4,5)))</f>
        <v>3</v>
      </c>
      <c r="T2" s="19" t="str">
        <f aca="false">IF($A2="","",IF(OR(M2&gt;=4,I2&lt;=-8%),"防守",IF(OR(M2&gt;=2,I2&lt;=-5%),"警戒","正常")))</f>
        <v>警戒</v>
      </c>
      <c r="U2" s="19" t="str">
        <f aca="false">IF($A2="","",IF(AND(L2&gt;=3,M2&lt;=2,T2&lt;&gt;"防守"),"是","否"))</f>
        <v>否</v>
      </c>
      <c r="V2" s="19" t="str">
        <f aca="false">IF($A2="","",IF(AND(E2&lt;N2,R2&lt;S2,M2&lt;=2,I2&gt;-15%),"是","否"))</f>
        <v>是</v>
      </c>
      <c r="W2" s="19" t="str">
        <f aca="false">IF($A2="","",IF(OR(M2&gt;=3,I2&lt;=-15%),"是","否"))</f>
        <v>否</v>
      </c>
      <c r="X2" s="15" t="n">
        <f aca="false">IF($A2="","",IFERROR(maxifs(候选池!$AB:$AB,候选池!$A:$A,$A2),0))</f>
        <v>0</v>
      </c>
      <c r="Y2" s="15" t="n">
        <f aca="false">IF($A2="","",IF(OR(M2&gt;=4,I2&lt;=-8%),MAX(0,B2*60%-C2),IF(AND(ISNUMBER(AD2),B2&gt;AD2),IF(B2&lt;30000,0,IF(B2&lt;100000,MAX(0,(B2-AD2)*0.2),MAX(0,(B2-AD2)*0.3))),0)))</f>
        <v>0</v>
      </c>
      <c r="Z2" s="5"/>
      <c r="AA2" s="19" t="n">
        <v>6683.54</v>
      </c>
      <c r="AB2" s="20" t="n">
        <f aca="false">IF($A2="","",IF(B2&lt;30000,0.03,IF(B2&lt;100000,0.02,0.015)))</f>
        <v>0.03</v>
      </c>
      <c r="AC2" s="18" t="n">
        <f aca="false">IF($A2="","",IFERROR(DATEDIF($A$2,$A2,"m"),0))</f>
        <v>0</v>
      </c>
      <c r="AD2" s="15" t="n">
        <f aca="false">IF($A2="","",IF(OR(AA2="",AB2="",AC2=""),"",AA2*POWER(1+AB2,AC2)))</f>
        <v>6683.54</v>
      </c>
      <c r="AE2" s="21" t="n">
        <f aca="false">IF($A2="","",IF(OR(AD2="",AD2=0),"",B2/AD2-1))</f>
        <v>0</v>
      </c>
      <c r="AF2" s="1" t="n">
        <v>2</v>
      </c>
      <c r="AG2" s="1" t="str">
        <f aca="false">IF($A2="","",IF(B2&lt;30000,"婴儿",IF(B2&lt;100000,"成长","成熟")))</f>
        <v>婴儿</v>
      </c>
      <c r="AH2" s="22" t="n">
        <v>0.7073</v>
      </c>
      <c r="AI2" s="1" t="n">
        <v>38</v>
      </c>
      <c r="AJ2" s="22" t="n">
        <v>1</v>
      </c>
      <c r="AK2" s="22" t="n">
        <v>0.0002</v>
      </c>
      <c r="AL2" s="1" t="n">
        <v>0</v>
      </c>
      <c r="AM2" s="22" t="n">
        <v>0</v>
      </c>
      <c r="AN2" s="13" t="s">
        <v>273</v>
      </c>
      <c r="AO2" s="13" t="s">
        <v>274</v>
      </c>
      <c r="AP2" s="13" t="s">
        <v>275</v>
      </c>
      <c r="AQ2" s="23" t="n">
        <f aca="false">IF($A2="","",B2-$AA$2-SUM($F$2:F2))</f>
        <v>-2700</v>
      </c>
    </row>
    <row r="3" customFormat="false" ht="15" hidden="false" customHeight="true" outlineLevel="0" collapsed="false">
      <c r="A3" s="7" t="s">
        <v>276</v>
      </c>
      <c r="B3" s="24" t="n">
        <v>9520.45</v>
      </c>
      <c r="C3" s="24" t="n">
        <v>0</v>
      </c>
      <c r="D3" s="15" t="n">
        <f aca="false">IF($A3="","",SUMIFS(持仓表!$J:$J,持仓表!$A:$A,$A3))</f>
        <v>0</v>
      </c>
      <c r="E3" s="16" t="n">
        <f aca="false">IFERROR(D3/B3,0)</f>
        <v>0</v>
      </c>
      <c r="F3" s="24" t="n">
        <v>0</v>
      </c>
      <c r="G3" s="15" t="n">
        <f aca="false">IF($B3="","",MAX($B$2:B3))</f>
        <v>9520.45</v>
      </c>
      <c r="H3" s="16" t="n">
        <f aca="false">IFERROR((B3-F3)/F3,0)</f>
        <v>0</v>
      </c>
      <c r="I3" s="16" t="n">
        <f aca="false">IFERROR((B3-G3)/G3,0)</f>
        <v>0</v>
      </c>
      <c r="J3" s="12" t="s">
        <v>277</v>
      </c>
      <c r="K3" s="7" t="s">
        <v>278</v>
      </c>
      <c r="L3" s="25" t="n">
        <v>3</v>
      </c>
      <c r="M3" s="25" t="n">
        <v>1</v>
      </c>
      <c r="N3" s="16" t="n">
        <f aca="false">IF($B3="","",MIN(70%,IF($I3&lt;=-15%,10%,IF($I3&lt;=-10%,30%,IF($M3&gt;=4,10%,IF($M3&gt;=3,30%,IF($J3="强",IF($K3="A",70%,IF($K3="B",60%,40%)),IF($J3="中性",IF($K3="A",50%,IF($K3="B",40%,25%)),IF($K3="A",30%,IF($K3="B",20%,10%))))))))))</f>
        <v>0.7</v>
      </c>
      <c r="O3" s="16" t="n">
        <f aca="false">IF($B3="","",IF(B3&lt;30000,35%,IF(B3&lt;50000,30%,IF(B3&lt;100000,25%,20%))))</f>
        <v>0.35</v>
      </c>
      <c r="P3" s="18" t="n">
        <f aca="false">IF($A3="","",COUNTIFS(持仓表!$A:$A,$A3,持仓表!$G:$G,"&gt;0"))</f>
        <v>0</v>
      </c>
      <c r="Q3" s="18" t="n">
        <f aca="false">IF($A3="","",COUNTIFS(持仓表!$A:$A,$A3,持仓表!$D:$D,"是",持仓表!$G:$G,"&gt;0"))</f>
        <v>0</v>
      </c>
      <c r="R3" s="18" t="n">
        <f aca="false">IF($A3="","",MAX(0,P3-Q3))</f>
        <v>0</v>
      </c>
      <c r="S3" s="18" t="n">
        <f aca="false">IF($B3="","",IF(B3&lt;50000,3,IF(B3&lt;100000,4,5)))</f>
        <v>3</v>
      </c>
      <c r="T3" s="19" t="str">
        <f aca="false">IF($A3="","",IF(OR(M3&gt;=4,I3&lt;=-8%),"防守",IF(OR(M3&gt;=2,I3&lt;=-5%),"警戒","正常")))</f>
        <v>正常</v>
      </c>
      <c r="U3" s="19" t="str">
        <f aca="false">IF($A3="","",IF(AND(L3&gt;=3,M3&lt;=2,T3&lt;&gt;"防守"),"是","否"))</f>
        <v>是</v>
      </c>
      <c r="V3" s="19" t="str">
        <f aca="false">IF($A3="","",IF(AND(E3&lt;N3,R3&lt;S3,M3&lt;=2,I3&gt;-15%),"是","否"))</f>
        <v>是</v>
      </c>
      <c r="W3" s="19" t="str">
        <f aca="false">IF($A3="","",IF(OR(M3&gt;=3,I3&lt;=-15%),"是","否"))</f>
        <v>否</v>
      </c>
      <c r="X3" s="15" t="n">
        <f aca="false">IF($A3="","",IFERROR(maxifs(候选池!$AB:$AB,候选池!$A:$A,$A3),0))</f>
        <v>0</v>
      </c>
      <c r="Y3" s="15" t="n">
        <f aca="false">IF($A3="","",IF(OR(M3&gt;=4,I3&lt;=-8%),MAX(0,B3*60%-C3),IF(AND(ISNUMBER(AD3),B3&gt;AD3),IF(B3&lt;30000,0,IF(B3&lt;100000,MAX(0,(B3-AD3)*0.2),MAX(0,(B3-AD3)*0.3))),0)))</f>
        <v>0</v>
      </c>
      <c r="Z3" s="7"/>
      <c r="AA3" s="19" t="n">
        <f aca="false">IF($A3="","",IF($AA$2&lt;&gt;"",$AA$2,""))</f>
        <v>6683.54</v>
      </c>
      <c r="AB3" s="26" t="n">
        <f aca="false">IF($A3="","",IF(B3&lt;30000,0.03,IF(B3&lt;100000,0.02,0.015)))</f>
        <v>0.03</v>
      </c>
      <c r="AC3" s="18" t="n">
        <f aca="false">IF($A3="","",IFERROR(DATEDIF($A$2,$A3,"m"),0))</f>
        <v>0</v>
      </c>
      <c r="AD3" s="15" t="n">
        <f aca="false">IF($A3="","",IF(OR(AA3="",AB3="",AC3=""),"",AA3*POWER(1+AB3,AC3)))</f>
        <v>6683.54</v>
      </c>
      <c r="AE3" s="27" t="n">
        <f aca="false">IF($A3="","",IF(OR(AD3="",AD3=0),"",B3/AD3-1))</f>
        <v>0.424462186206711</v>
      </c>
      <c r="AF3" s="1" t="n">
        <v>1</v>
      </c>
      <c r="AG3" s="1" t="str">
        <f aca="false">IF($A3="","",IF(B3&lt;30000,"婴儿",IF(B3&lt;100000,"成长","成熟")))</f>
        <v>婴儿</v>
      </c>
      <c r="AH3" s="22" t="n">
        <v>0.5625</v>
      </c>
      <c r="AI3" s="1" t="n">
        <v>62</v>
      </c>
      <c r="AJ3" s="22" t="n">
        <v>1</v>
      </c>
      <c r="AK3" s="22" t="n">
        <v>0.2272</v>
      </c>
      <c r="AL3" s="1" t="n">
        <v>0</v>
      </c>
      <c r="AM3" s="22" t="n">
        <v>0</v>
      </c>
      <c r="AN3" s="13" t="s">
        <v>279</v>
      </c>
      <c r="AO3" s="13" t="s">
        <v>280</v>
      </c>
      <c r="AP3" s="13" t="s">
        <v>168</v>
      </c>
      <c r="AQ3" s="23" t="n">
        <f aca="false">IF($A3="","",B3-$AA$2-SUM($F$2:F3))</f>
        <v>136.910000000001</v>
      </c>
    </row>
    <row r="4" customFormat="false" ht="15" hidden="false" customHeight="true" outlineLevel="0" collapsed="false">
      <c r="A4" s="5" t="s">
        <v>281</v>
      </c>
      <c r="B4" s="14" t="n">
        <v>11454.37</v>
      </c>
      <c r="C4" s="14" t="n">
        <v>0</v>
      </c>
      <c r="D4" s="15" t="n">
        <f aca="false">IF($A4="","",SUMIFS(持仓表!$J:$J,持仓表!$A:$A,$A4))</f>
        <v>0</v>
      </c>
      <c r="E4" s="16" t="n">
        <f aca="false">IFERROR(D4/B4,0)</f>
        <v>0</v>
      </c>
      <c r="F4" s="14" t="n">
        <v>0</v>
      </c>
      <c r="G4" s="15" t="n">
        <f aca="false">IF($B4="","",MAX($B$2:B4))</f>
        <v>11454.37</v>
      </c>
      <c r="H4" s="16" t="n">
        <f aca="false">IFERROR((B4-F4)/F4,0)</f>
        <v>0</v>
      </c>
      <c r="I4" s="16" t="n">
        <f aca="false">IFERROR((B4-G4)/G4,0)</f>
        <v>0</v>
      </c>
      <c r="J4" s="11" t="s">
        <v>282</v>
      </c>
      <c r="K4" s="5" t="s">
        <v>283</v>
      </c>
      <c r="L4" s="17" t="n">
        <v>1</v>
      </c>
      <c r="M4" s="17" t="n">
        <v>3</v>
      </c>
      <c r="N4" s="16" t="n">
        <f aca="false">IF($B4="","",MIN(70%,IF($I4&lt;=-15%,10%,IF($I4&lt;=-10%,30%,IF($M4&gt;=4,10%,IF($M4&gt;=3,30%,IF($J4="强",IF($K4="A",70%,IF($K4="B",60%,40%)),IF($J4="中性",IF($K4="A",50%,IF($K4="B",40%,25%)),IF($K4="A",30%,IF($K4="B",20%,10%))))))))))</f>
        <v>0.3</v>
      </c>
      <c r="O4" s="16" t="n">
        <f aca="false">IF($B4="","",IF(B4&lt;30000,35%,IF(B4&lt;50000,30%,IF(B4&lt;100000,25%,20%))))</f>
        <v>0.35</v>
      </c>
      <c r="P4" s="18" t="n">
        <f aca="false">IF($A4="","",COUNTIFS(持仓表!$A:$A,$A4,持仓表!$G:$G,"&gt;0"))</f>
        <v>0</v>
      </c>
      <c r="Q4" s="18" t="n">
        <f aca="false">IF($A4="","",COUNTIFS(持仓表!$A:$A,$A4,持仓表!$D:$D,"是",持仓表!$G:$G,"&gt;0"))</f>
        <v>0</v>
      </c>
      <c r="R4" s="18" t="n">
        <f aca="false">IF($A4="","",MAX(0,P4-Q4))</f>
        <v>0</v>
      </c>
      <c r="S4" s="18" t="n">
        <f aca="false">IF($B4="","",IF(B4&lt;50000,3,IF(B4&lt;100000,4,5)))</f>
        <v>3</v>
      </c>
      <c r="T4" s="19" t="str">
        <f aca="false">IF($A4="","",IF(OR(M4&gt;=4,I4&lt;=-8%),"防守",IF(OR(M4&gt;=2,I4&lt;=-5%),"警戒","正常")))</f>
        <v>警戒</v>
      </c>
      <c r="U4" s="19" t="str">
        <f aca="false">IF($A4="","",IF(AND(L4&gt;=3,M4&lt;=2,T4&lt;&gt;"防守"),"是","否"))</f>
        <v>否</v>
      </c>
      <c r="V4" s="19" t="str">
        <f aca="false">IF($A4="","",IF(AND(E4&lt;N4,R4&lt;S4,M4&lt;=2,I4&gt;-15%),"是","否"))</f>
        <v>否</v>
      </c>
      <c r="W4" s="19" t="str">
        <f aca="false">IF($A4="","",IF(OR(M4&gt;=3,I4&lt;=-15%),"是","否"))</f>
        <v>是</v>
      </c>
      <c r="X4" s="15" t="n">
        <f aca="false">IF($A4="","",IFERROR(maxifs(候选池!$AB:$AB,候选池!$A:$A,$A4),0))</f>
        <v>0</v>
      </c>
      <c r="Y4" s="15" t="n">
        <f aca="false">IF($A4="","",IF(OR(M4&gt;=4,I4&lt;=-8%),MAX(0,B4*60%-C4),IF(AND(ISNUMBER(AD4),B4&gt;AD4),IF(B4&lt;30000,0,IF(B4&lt;100000,MAX(0,(B4-AD4)*0.2),MAX(0,(B4-AD4)*0.3))),0)))</f>
        <v>0</v>
      </c>
      <c r="Z4" s="5"/>
      <c r="AA4" s="19" t="n">
        <f aca="false">IF($A4="","",IF($AA$2&lt;&gt;"",$AA$2,""))</f>
        <v>6683.54</v>
      </c>
      <c r="AB4" s="20" t="n">
        <f aca="false">IF($A4="","",IF(B4&lt;30000,0.03,IF(B4&lt;100000,0.02,0.015)))</f>
        <v>0.03</v>
      </c>
      <c r="AC4" s="18" t="n">
        <f aca="false">IF($A4="","",IFERROR(DATEDIF($A$2,$A4,"m"),0))</f>
        <v>2</v>
      </c>
      <c r="AD4" s="15" t="n">
        <f aca="false">IF($A4="","",IF(OR(AA4="",AB4="",AC4=""),"",AA4*POWER(1+AB4,AC4)))</f>
        <v>7090.567586</v>
      </c>
      <c r="AE4" s="21" t="n">
        <f aca="false">IF($A4="","",IF(OR(AD4="",AD4=0),"",B4/AD4-1))</f>
        <v>0.615437672805789</v>
      </c>
      <c r="AF4" s="1" t="n">
        <v>0</v>
      </c>
      <c r="AG4" s="1" t="str">
        <f aca="false">IF($A4="","",IF(B4&lt;30000,"婴儿",IF(B4&lt;100000,"成长","成熟")))</f>
        <v>婴儿</v>
      </c>
      <c r="AH4" s="22" t="n">
        <v>0.7306</v>
      </c>
      <c r="AI4" s="1" t="n">
        <v>0</v>
      </c>
      <c r="AJ4" s="22" t="n">
        <v>0</v>
      </c>
      <c r="AK4" s="22" t="n">
        <v>0</v>
      </c>
      <c r="AL4" s="1" t="n">
        <v>2</v>
      </c>
      <c r="AM4" s="22" t="n">
        <v>1</v>
      </c>
      <c r="AN4" s="13" t="s">
        <v>279</v>
      </c>
      <c r="AO4" s="13" t="s">
        <v>280</v>
      </c>
      <c r="AP4" s="13" t="s">
        <v>168</v>
      </c>
      <c r="AQ4" s="23" t="n">
        <f aca="false">IF($A4="","",B4-$AA$2-SUM($F$2:F4))</f>
        <v>2070.83</v>
      </c>
    </row>
    <row r="5" customFormat="false" ht="15" hidden="false" customHeight="true" outlineLevel="0" collapsed="false">
      <c r="A5" s="7" t="s">
        <v>284</v>
      </c>
      <c r="B5" s="24" t="n">
        <v>14148.37</v>
      </c>
      <c r="C5" s="24" t="n">
        <v>0</v>
      </c>
      <c r="D5" s="15" t="n">
        <f aca="false">IF($A5="","",SUMIFS(持仓表!$J:$J,持仓表!$A:$A,$A5))</f>
        <v>0</v>
      </c>
      <c r="E5" s="16" t="n">
        <f aca="false">IFERROR(D5/B5,0)</f>
        <v>0</v>
      </c>
      <c r="F5" s="24" t="n">
        <v>0</v>
      </c>
      <c r="G5" s="15" t="n">
        <f aca="false">IF($B5="","",MAX($B$2:B5))</f>
        <v>14148.37</v>
      </c>
      <c r="H5" s="16" t="n">
        <f aca="false">IFERROR((B5-F5)/F5,0)</f>
        <v>0</v>
      </c>
      <c r="I5" s="16" t="n">
        <f aca="false">IFERROR((B5-G5)/G5,0)</f>
        <v>0</v>
      </c>
      <c r="J5" s="12" t="s">
        <v>277</v>
      </c>
      <c r="K5" s="7" t="s">
        <v>278</v>
      </c>
      <c r="L5" s="25" t="n">
        <v>4</v>
      </c>
      <c r="M5" s="25" t="n">
        <v>1</v>
      </c>
      <c r="N5" s="16" t="n">
        <f aca="false">IF($B5="","",MIN(70%,IF($I5&lt;=-15%,10%,IF($I5&lt;=-10%,30%,IF($M5&gt;=4,10%,IF($M5&gt;=3,30%,IF($J5="强",IF($K5="A",70%,IF($K5="B",60%,40%)),IF($J5="中性",IF($K5="A",50%,IF($K5="B",40%,25%)),IF($K5="A",30%,IF($K5="B",20%,10%))))))))))</f>
        <v>0.7</v>
      </c>
      <c r="O5" s="16" t="n">
        <f aca="false">IF($B5="","",IF(B5&lt;30000,35%,IF(B5&lt;50000,30%,IF(B5&lt;100000,25%,20%))))</f>
        <v>0.35</v>
      </c>
      <c r="P5" s="18" t="n">
        <f aca="false">IF($A5="","",COUNTIFS(持仓表!$A:$A,$A5,持仓表!$G:$G,"&gt;0"))</f>
        <v>0</v>
      </c>
      <c r="Q5" s="18" t="n">
        <f aca="false">IF($A5="","",COUNTIFS(持仓表!$A:$A,$A5,持仓表!$D:$D,"是",持仓表!$G:$G,"&gt;0"))</f>
        <v>0</v>
      </c>
      <c r="R5" s="18" t="n">
        <f aca="false">IF($A5="","",MAX(0,P5-Q5))</f>
        <v>0</v>
      </c>
      <c r="S5" s="18" t="n">
        <f aca="false">IF($B5="","",IF(B5&lt;50000,3,IF(B5&lt;100000,4,5)))</f>
        <v>3</v>
      </c>
      <c r="T5" s="19" t="str">
        <f aca="false">IF($A5="","",IF(OR(M5&gt;=4,I5&lt;=-8%),"防守",IF(OR(M5&gt;=2,I5&lt;=-5%),"警戒","正常")))</f>
        <v>正常</v>
      </c>
      <c r="U5" s="19" t="str">
        <f aca="false">IF($A5="","",IF(AND(L5&gt;=3,M5&lt;=2,T5&lt;&gt;"防守"),"是","否"))</f>
        <v>是</v>
      </c>
      <c r="V5" s="19" t="str">
        <f aca="false">IF($A5="","",IF(AND(E5&lt;N5,R5&lt;S5,M5&lt;=2,I5&gt;-15%),"是","否"))</f>
        <v>是</v>
      </c>
      <c r="W5" s="19" t="str">
        <f aca="false">IF($A5="","",IF(OR(M5&gt;=3,I5&lt;=-15%),"是","否"))</f>
        <v>否</v>
      </c>
      <c r="X5" s="15" t="n">
        <f aca="false">IF($A5="","",IFERROR(maxifs(候选池!$AB:$AB,候选池!$A:$A,$A5),0))</f>
        <v>0</v>
      </c>
      <c r="Y5" s="15" t="n">
        <f aca="false">IF($A5="","",IF(OR(M5&gt;=4,I5&lt;=-8%),MAX(0,B5*60%-C5),IF(AND(ISNUMBER(AD5),B5&gt;AD5),IF(B5&lt;30000,0,IF(B5&lt;100000,MAX(0,(B5-AD5)*0.2),MAX(0,(B5-AD5)*0.3))),0)))</f>
        <v>0</v>
      </c>
      <c r="Z5" s="7"/>
      <c r="AA5" s="19" t="n">
        <f aca="false">IF($A5="","",IF($AA$2&lt;&gt;"",$AA$2,""))</f>
        <v>6683.54</v>
      </c>
      <c r="AB5" s="26" t="n">
        <f aca="false">IF($A5="","",IF(B5&lt;30000,0.03,IF(B5&lt;100000,0.02,0.015)))</f>
        <v>0.03</v>
      </c>
      <c r="AC5" s="18" t="n">
        <f aca="false">IF($A5="","",IFERROR(DATEDIF($A$2,$A5,"m"),0))</f>
        <v>2</v>
      </c>
      <c r="AD5" s="15" t="n">
        <f aca="false">IF($A5="","",IF(OR(AA5="",AB5="",AC5=""),"",AA5*POWER(1+AB5,AC5)))</f>
        <v>7090.567586</v>
      </c>
      <c r="AE5" s="27" t="n">
        <f aca="false">IF($A5="","",IF(OR(AD5="",AD5=0),"",B5/AD5-1))</f>
        <v>0.995379048065956</v>
      </c>
      <c r="AF5" s="1" t="n">
        <v>2</v>
      </c>
      <c r="AG5" s="1" t="str">
        <f aca="false">IF($A5="","",IF(B5&lt;30000,"婴儿",IF(B5&lt;100000,"成长","成熟")))</f>
        <v>婴儿</v>
      </c>
      <c r="AH5" s="22" t="n">
        <v>0.7543</v>
      </c>
      <c r="AI5" s="1" t="n">
        <v>0</v>
      </c>
      <c r="AJ5" s="22" t="n">
        <v>0</v>
      </c>
      <c r="AK5" s="22" t="n">
        <v>0</v>
      </c>
      <c r="AL5" s="1" t="n">
        <v>0</v>
      </c>
      <c r="AM5" s="22" t="n">
        <v>0</v>
      </c>
      <c r="AN5" s="13" t="s">
        <v>279</v>
      </c>
      <c r="AO5" s="13" t="s">
        <v>280</v>
      </c>
      <c r="AP5" s="13" t="s">
        <v>168</v>
      </c>
      <c r="AQ5" s="23" t="n">
        <f aca="false">IF($A5="","",B5-$AA$2-SUM($F$2:F5))</f>
        <v>4764.83</v>
      </c>
    </row>
    <row r="6" customFormat="false" ht="15" hidden="false" customHeight="true" outlineLevel="0" collapsed="false">
      <c r="A6" s="5" t="s">
        <v>285</v>
      </c>
      <c r="B6" s="14" t="n">
        <v>17086.37</v>
      </c>
      <c r="C6" s="14" t="n">
        <v>0</v>
      </c>
      <c r="D6" s="15" t="n">
        <f aca="false">IF($A6="","",SUMIFS(持仓表!$J:$J,持仓表!$A:$A,$A6))</f>
        <v>0</v>
      </c>
      <c r="E6" s="16" t="n">
        <f aca="false">IFERROR(D6/B6,0)</f>
        <v>0</v>
      </c>
      <c r="F6" s="14" t="n">
        <v>0</v>
      </c>
      <c r="G6" s="15" t="n">
        <f aca="false">IF($B6="","",MAX($B$2:B6))</f>
        <v>17086.37</v>
      </c>
      <c r="H6" s="16" t="n">
        <f aca="false">IFERROR((B6-F6)/F6,0)</f>
        <v>0</v>
      </c>
      <c r="I6" s="16" t="n">
        <f aca="false">IFERROR((B6-G6)/G6,0)</f>
        <v>0</v>
      </c>
      <c r="J6" s="11" t="s">
        <v>277</v>
      </c>
      <c r="K6" s="5" t="s">
        <v>278</v>
      </c>
      <c r="L6" s="17" t="n">
        <v>4</v>
      </c>
      <c r="M6" s="17" t="n">
        <v>1</v>
      </c>
      <c r="N6" s="16" t="n">
        <f aca="false">IF($B6="","",MIN(70%,IF($I6&lt;=-15%,10%,IF($I6&lt;=-10%,30%,IF($M6&gt;=4,10%,IF($M6&gt;=3,30%,IF($J6="强",IF($K6="A",70%,IF($K6="B",60%,40%)),IF($J6="中性",IF($K6="A",50%,IF($K6="B",40%,25%)),IF($K6="A",30%,IF($K6="B",20%,10%))))))))))</f>
        <v>0.7</v>
      </c>
      <c r="O6" s="16" t="n">
        <f aca="false">IF($B6="","",IF(B6&lt;30000,35%,IF(B6&lt;50000,30%,IF(B6&lt;100000,25%,20%))))</f>
        <v>0.35</v>
      </c>
      <c r="P6" s="18" t="n">
        <f aca="false">IF($A6="","",COUNTIFS(持仓表!$A:$A,$A6,持仓表!$G:$G,"&gt;0"))</f>
        <v>0</v>
      </c>
      <c r="Q6" s="18" t="n">
        <f aca="false">IF($A6="","",COUNTIFS(持仓表!$A:$A,$A6,持仓表!$D:$D,"是",持仓表!$G:$G,"&gt;0"))</f>
        <v>0</v>
      </c>
      <c r="R6" s="18" t="n">
        <f aca="false">IF($A6="","",MAX(0,P6-Q6))</f>
        <v>0</v>
      </c>
      <c r="S6" s="18" t="n">
        <f aca="false">IF($B6="","",IF(B6&lt;50000,3,IF(B6&lt;100000,4,5)))</f>
        <v>3</v>
      </c>
      <c r="T6" s="19" t="str">
        <f aca="false">IF($A6="","",IF(OR(M6&gt;=4,I6&lt;=-8%),"防守",IF(OR(M6&gt;=2,I6&lt;=-5%),"警戒","正常")))</f>
        <v>正常</v>
      </c>
      <c r="U6" s="19" t="str">
        <f aca="false">IF($A6="","",IF(AND(L6&gt;=3,M6&lt;=2,T6&lt;&gt;"防守"),"是","否"))</f>
        <v>是</v>
      </c>
      <c r="V6" s="19" t="str">
        <f aca="false">IF($A6="","",IF(AND(E6&lt;N6,R6&lt;S6,M6&lt;=2,I6&gt;-15%),"是","否"))</f>
        <v>是</v>
      </c>
      <c r="W6" s="19" t="str">
        <f aca="false">IF($A6="","",IF(OR(M6&gt;=3,I6&lt;=-15%),"是","否"))</f>
        <v>否</v>
      </c>
      <c r="X6" s="15" t="n">
        <f aca="false">IF($A6="","",IFERROR(maxifs(候选池!$AB:$AB,候选池!$A:$A,$A6),0))</f>
        <v>0</v>
      </c>
      <c r="Y6" s="15" t="n">
        <f aca="false">IF($A6="","",IF(OR(M6&gt;=4,I6&lt;=-8%),MAX(0,B6*60%-C6),IF(AND(ISNUMBER(AD6),B6&gt;AD6),IF(B6&lt;30000,0,IF(B6&lt;100000,MAX(0,(B6-AD6)*0.2),MAX(0,(B6-AD6)*0.3))),0)))</f>
        <v>0</v>
      </c>
      <c r="Z6" s="5"/>
      <c r="AA6" s="19" t="n">
        <f aca="false">IF($A6="","",IF($AA$2&lt;&gt;"",$AA$2,""))</f>
        <v>6683.54</v>
      </c>
      <c r="AB6" s="20" t="n">
        <f aca="false">IF($A6="","",IF(B6&lt;30000,0.03,IF(B6&lt;100000,0.02,0.015)))</f>
        <v>0.03</v>
      </c>
      <c r="AC6" s="18" t="n">
        <f aca="false">IF($A6="","",IFERROR(DATEDIF($A$2,$A6,"m"),0))</f>
        <v>4</v>
      </c>
      <c r="AD6" s="15" t="n">
        <f aca="false">IF($A6="","",IF(OR(AA6="",AB6="",AC6=""),"",AA6*POWER(1+AB6,AC6)))</f>
        <v>7522.3831519874</v>
      </c>
      <c r="AE6" s="21" t="n">
        <f aca="false">IF($A6="","",IF(OR(AD6="",AD6=0),"",B6/AD6-1))</f>
        <v>1.27140384300763</v>
      </c>
      <c r="AF6" s="1" t="n">
        <v>1</v>
      </c>
      <c r="AG6" s="1" t="str">
        <f aca="false">IF($A6="","",IF(B6&lt;30000,"婴儿",IF(B6&lt;100000,"成长","成熟")))</f>
        <v>婴儿</v>
      </c>
      <c r="AH6" s="22" t="n">
        <v>0.7849</v>
      </c>
      <c r="AI6" s="1" t="n">
        <v>0</v>
      </c>
      <c r="AJ6" s="22" t="n">
        <v>0</v>
      </c>
      <c r="AK6" s="22" t="n">
        <v>0</v>
      </c>
      <c r="AL6" s="1" t="n">
        <v>0</v>
      </c>
      <c r="AM6" s="22" t="n">
        <v>0</v>
      </c>
      <c r="AN6" s="13" t="s">
        <v>286</v>
      </c>
      <c r="AO6" s="13" t="s">
        <v>287</v>
      </c>
      <c r="AP6" s="13" t="s">
        <v>168</v>
      </c>
      <c r="AQ6" s="23" t="n">
        <f aca="false">IF($A6="","",B6-$AA$2-SUM($F$2:F6))</f>
        <v>7702.83</v>
      </c>
    </row>
    <row r="7" customFormat="false" ht="15" hidden="false" customHeight="true" outlineLevel="0" collapsed="false">
      <c r="A7" s="7" t="s">
        <v>288</v>
      </c>
      <c r="B7" s="24" t="n">
        <v>18504</v>
      </c>
      <c r="C7" s="24" t="n">
        <v>0</v>
      </c>
      <c r="D7" s="15" t="n">
        <f aca="false">IF($A7="","",SUMIFS(持仓表!$J:$J,持仓表!$A:$A,$A7))</f>
        <v>0</v>
      </c>
      <c r="E7" s="16" t="n">
        <f aca="false">IFERROR(D7/B7,0)</f>
        <v>0</v>
      </c>
      <c r="F7" s="24" t="n">
        <v>0</v>
      </c>
      <c r="G7" s="15" t="n">
        <f aca="false">IF($B7="","",MAX($B$2:B7))</f>
        <v>18504</v>
      </c>
      <c r="H7" s="16" t="n">
        <f aca="false">IFERROR((B7-F7)/F7,0)</f>
        <v>0</v>
      </c>
      <c r="I7" s="16" t="n">
        <f aca="false">IFERROR((B7-G7)/G7,0)</f>
        <v>0</v>
      </c>
      <c r="J7" s="12" t="s">
        <v>271</v>
      </c>
      <c r="K7" s="7" t="s">
        <v>272</v>
      </c>
      <c r="L7" s="25" t="n">
        <v>3</v>
      </c>
      <c r="M7" s="25" t="n">
        <v>2</v>
      </c>
      <c r="N7" s="16" t="n">
        <f aca="false">IF($B7="","",MIN(70%,IF($I7&lt;=-15%,10%,IF($I7&lt;=-10%,30%,IF($M7&gt;=4,10%,IF($M7&gt;=3,30%,IF($J7="强",IF($K7="A",70%,IF($K7="B",60%,40%)),IF($J7="中性",IF($K7="A",50%,IF($K7="B",40%,25%)),IF($K7="A",30%,IF($K7="B",20%,10%))))))))))</f>
        <v>0.4</v>
      </c>
      <c r="O7" s="16" t="n">
        <f aca="false">IF($B7="","",IF(B7&lt;30000,35%,IF(B7&lt;50000,30%,IF(B7&lt;100000,25%,20%))))</f>
        <v>0.35</v>
      </c>
      <c r="P7" s="18" t="n">
        <f aca="false">IF($A7="","",COUNTIFS(持仓表!$A:$A,$A7,持仓表!$G:$G,"&gt;0"))</f>
        <v>0</v>
      </c>
      <c r="Q7" s="18" t="n">
        <f aca="false">IF($A7="","",COUNTIFS(持仓表!$A:$A,$A7,持仓表!$D:$D,"是",持仓表!$G:$G,"&gt;0"))</f>
        <v>0</v>
      </c>
      <c r="R7" s="18" t="n">
        <f aca="false">IF($A7="","",MAX(0,P7-Q7))</f>
        <v>0</v>
      </c>
      <c r="S7" s="18" t="n">
        <f aca="false">IF($B7="","",IF(B7&lt;50000,3,IF(B7&lt;100000,4,5)))</f>
        <v>3</v>
      </c>
      <c r="T7" s="19" t="str">
        <f aca="false">IF($A7="","",IF(OR(M7&gt;=4,I7&lt;=-8%),"防守",IF(OR(M7&gt;=2,I7&lt;=-5%),"警戒","正常")))</f>
        <v>警戒</v>
      </c>
      <c r="U7" s="19" t="str">
        <f aca="false">IF($A7="","",IF(AND(L7&gt;=3,M7&lt;=2,T7&lt;&gt;"防守"),"是","否"))</f>
        <v>是</v>
      </c>
      <c r="V7" s="19" t="str">
        <f aca="false">IF($A7="","",IF(AND(E7&lt;N7,R7&lt;S7,M7&lt;=2,I7&gt;-15%),"是","否"))</f>
        <v>是</v>
      </c>
      <c r="W7" s="19" t="str">
        <f aca="false">IF($A7="","",IF(OR(M7&gt;=3,I7&lt;=-15%),"是","否"))</f>
        <v>否</v>
      </c>
      <c r="X7" s="15" t="n">
        <f aca="false">IF($A7="","",IFERROR(maxifs(候选池!$AB:$AB,候选池!$A:$A,$A7),0))</f>
        <v>0</v>
      </c>
      <c r="Y7" s="15" t="n">
        <f aca="false">IF($A7="","",IF(OR(M7&gt;=4,I7&lt;=-8%),MAX(0,B7*60%-C7),IF(AND(ISNUMBER(AD7),B7&gt;AD7),IF(B7&lt;30000,0,IF(B7&lt;100000,MAX(0,(B7-AD7)*0.2),MAX(0,(B7-AD7)*0.3))),0)))</f>
        <v>0</v>
      </c>
      <c r="Z7" s="7"/>
      <c r="AA7" s="19" t="n">
        <f aca="false">IF($A7="","",IF($AA$2&lt;&gt;"",$AA$2,""))</f>
        <v>6683.54</v>
      </c>
      <c r="AB7" s="26" t="n">
        <f aca="false">IF($A7="","",IF(B7&lt;30000,0.03,IF(B7&lt;100000,0.02,0.015)))</f>
        <v>0.03</v>
      </c>
      <c r="AC7" s="18" t="n">
        <f aca="false">IF($A7="","",IFERROR(DATEDIF($A$2,$A7,"m"),0))</f>
        <v>4</v>
      </c>
      <c r="AD7" s="15" t="n">
        <f aca="false">IF($A7="","",IF(OR(AA7="",AB7="",AC7=""),"",AA7*POWER(1+AB7,AC7)))</f>
        <v>7522.3831519874</v>
      </c>
      <c r="AE7" s="27" t="n">
        <f aca="false">IF($A7="","",IF(OR(AD7="",AD7=0),"",B7/AD7-1))</f>
        <v>1.45985874770435</v>
      </c>
      <c r="AF7" s="1" t="n">
        <v>2</v>
      </c>
      <c r="AG7" s="1" t="str">
        <f aca="false">IF($A7="","",IF(B7&lt;30000,"婴儿",IF(B7&lt;100000,"成长","成熟")))</f>
        <v>婴儿</v>
      </c>
      <c r="AH7" s="22" t="n">
        <v>0.7012</v>
      </c>
      <c r="AI7" s="1" t="n">
        <v>80</v>
      </c>
      <c r="AJ7" s="22" t="n">
        <v>1</v>
      </c>
      <c r="AK7" s="22" t="n">
        <v>0.3937</v>
      </c>
      <c r="AL7" s="1" t="n">
        <v>0</v>
      </c>
      <c r="AM7" s="22" t="n">
        <v>0</v>
      </c>
      <c r="AN7" s="13" t="s">
        <v>286</v>
      </c>
      <c r="AO7" s="13" t="s">
        <v>287</v>
      </c>
      <c r="AP7" s="13" t="s">
        <v>168</v>
      </c>
      <c r="AQ7" s="23" t="n">
        <f aca="false">IF($A7="","",B7-$AA$2-SUM($F$2:F7))</f>
        <v>9120.46</v>
      </c>
    </row>
    <row r="8" customFormat="false" ht="15" hidden="false" customHeight="true" outlineLevel="0" collapsed="false">
      <c r="A8" s="28" t="n">
        <v>46224</v>
      </c>
      <c r="B8" s="14" t="n">
        <v>20326.12</v>
      </c>
      <c r="C8" s="14" t="n">
        <v>7847.12</v>
      </c>
      <c r="D8" s="15" t="n">
        <f aca="false">IF($A8="","",SUMIFS(持仓表!$J:$J,持仓表!$A:$A,$A8))</f>
        <v>10642</v>
      </c>
      <c r="E8" s="16" t="n">
        <f aca="false">IFERROR(D8/B8,0)</f>
        <v>0.523562785224135</v>
      </c>
      <c r="F8" s="14" t="n">
        <v>1309</v>
      </c>
      <c r="G8" s="15" t="n">
        <f aca="false">IF($B8="","",MAX($B$2:B8))</f>
        <v>20326.12</v>
      </c>
      <c r="H8" s="16" t="n">
        <f aca="false">IFERROR((B8-F8)/F8,0)</f>
        <v>14.5279755538579</v>
      </c>
      <c r="I8" s="16" t="n">
        <f aca="false">IFERROR((B8-G8)/G8,0)</f>
        <v>0</v>
      </c>
      <c r="J8" s="11" t="s">
        <v>271</v>
      </c>
      <c r="K8" s="5" t="s">
        <v>272</v>
      </c>
      <c r="L8" s="17" t="n">
        <v>3</v>
      </c>
      <c r="M8" s="17" t="n">
        <v>2</v>
      </c>
      <c r="N8" s="16" t="n">
        <f aca="false">IF($B8="","",MIN(70%,IF($I8&lt;=-15%,10%,IF($I8&lt;=-10%,30%,IF($M8&gt;=4,10%,IF($M8&gt;=3,30%,IF($J8="强",IF($K8="A",70%,IF($K8="B",60%,40%)),IF($J8="中性",IF($K8="A",50%,IF($K8="B",40%,25%)),IF($K8="A",30%,IF($K8="B",20%,10%))))))))))</f>
        <v>0.4</v>
      </c>
      <c r="O8" s="16" t="n">
        <f aca="false">IF($B8="","",IF(B8&lt;30000,35%,IF(B8&lt;50000,30%,IF(B8&lt;100000,25%,20%))))</f>
        <v>0.35</v>
      </c>
      <c r="P8" s="18" t="n">
        <f aca="false">IF($A8="","",COUNTIFS(持仓表!$A:$A,$A8,持仓表!$G:$G,"&gt;0"))</f>
        <v>3</v>
      </c>
      <c r="Q8" s="18" t="n">
        <f aca="false">IF($A8="","",COUNTIFS(持仓表!$A:$A,$A8,持仓表!$D:$D,"是",持仓表!$G:$G,"&gt;0"))</f>
        <v>1</v>
      </c>
      <c r="R8" s="18" t="n">
        <f aca="false">IF($A8="","",MAX(0,P8-Q8))</f>
        <v>2</v>
      </c>
      <c r="S8" s="18" t="n">
        <f aca="false">IF($B8="","",IF(B8&lt;50000,3,IF(B8&lt;100000,4,5)))</f>
        <v>3</v>
      </c>
      <c r="T8" s="19" t="str">
        <f aca="false">IF($A8="","",IF(OR(M8&gt;=4,I8&lt;=-8%),"防守",IF(OR(M8&gt;=2,I8&lt;=-5%),"警戒","正常")))</f>
        <v>警戒</v>
      </c>
      <c r="U8" s="19" t="str">
        <f aca="false">IF($A8="","",IF(AND(L8&gt;=3,M8&lt;=2,T8&lt;&gt;"防守"),"是","否"))</f>
        <v>是</v>
      </c>
      <c r="V8" s="19" t="str">
        <f aca="false">IF($A8="","",IF(AND(E8&lt;N8,R8&lt;S8,M8&lt;=2,I8&gt;-15%),"是","否"))</f>
        <v>否</v>
      </c>
      <c r="W8" s="19" t="str">
        <f aca="false">IF($A8="","",IF(OR(M8&gt;=3,I8&lt;=-15%),"是","否"))</f>
        <v>否</v>
      </c>
      <c r="X8" s="15" t="n">
        <f aca="false">IF($A8="","",IFERROR(maxifs(候选池!$AB:$AB,候选池!$A:$A,$A8),0))</f>
        <v>0</v>
      </c>
      <c r="Y8" s="15" t="n">
        <f aca="false">IF($A8="","",IF(OR(M8&gt;=4,I8&lt;=-8%),MAX(0,B8*60%-C8),IF(AND(ISNUMBER(AD8),B8&gt;AD8),IF(B8&lt;30000,0,IF(B8&lt;100000,MAX(0,(B8-AD8)*0.2),MAX(0,(B8-AD8)*0.3))),0)))</f>
        <v>0</v>
      </c>
      <c r="Z8" s="5" t="s">
        <v>289</v>
      </c>
      <c r="AA8" s="19" t="n">
        <f aca="false">IF($A8="","",IF($AA$2&lt;&gt;"",$AA$2,""))</f>
        <v>6683.54</v>
      </c>
      <c r="AB8" s="20" t="n">
        <f aca="false">IF($A8="","",IF(B8&lt;30000,0.03,IF(B8&lt;100000,0.02,0.015)))</f>
        <v>0.03</v>
      </c>
      <c r="AC8" s="18" t="n">
        <f aca="false">IF($A8="","",IFERROR(DATEDIF($A$2,$A8,"m"),0))</f>
        <v>5</v>
      </c>
      <c r="AD8" s="15" t="n">
        <f aca="false">IF($A8="","",IF(OR(AA8="",AB8="",AC8=""),"",AA8*POWER(1+AB8,AC8)))</f>
        <v>7748.05464654702</v>
      </c>
      <c r="AE8" s="21" t="n">
        <f aca="false">IF($A8="","",IF(OR(AD8="",AD8=0),"",B8/AD8-1))</f>
        <v>1.62338366560934</v>
      </c>
      <c r="AF8" s="1" t="n">
        <v>2</v>
      </c>
      <c r="AG8" s="1" t="str">
        <f aca="false">IF($A8="","",IF(B8&lt;30000,"婴儿",IF(B8&lt;100000,"成长","成熟")))</f>
        <v>婴儿</v>
      </c>
      <c r="AH8" s="22" t="n">
        <v>0.3423</v>
      </c>
      <c r="AI8" s="1" t="n">
        <v>5</v>
      </c>
      <c r="AJ8" s="22" t="n">
        <v>1</v>
      </c>
      <c r="AK8" s="22" t="n">
        <v>0.0058</v>
      </c>
      <c r="AL8" s="1" t="n">
        <v>1</v>
      </c>
      <c r="AM8" s="22" t="n">
        <v>0</v>
      </c>
      <c r="AN8" s="13" t="s">
        <v>290</v>
      </c>
      <c r="AO8" s="13" t="s">
        <v>291</v>
      </c>
      <c r="AP8" s="13" t="s">
        <v>168</v>
      </c>
      <c r="AQ8" s="23" t="n">
        <f aca="false">IF($A8="","",B8-$AA$2-SUM($F$2:F8))</f>
        <v>9633.58</v>
      </c>
    </row>
    <row r="9" customFormat="false" ht="15" hidden="false" customHeight="true" outlineLevel="0" collapsed="false">
      <c r="A9" s="29" t="n">
        <v>46225</v>
      </c>
      <c r="B9" s="24" t="n">
        <v>20798.12</v>
      </c>
      <c r="C9" s="24" t="n">
        <v>7847.12</v>
      </c>
      <c r="D9" s="15" t="n">
        <f aca="false">IF($A9="","",SUMIFS(持仓表!$J:$J,持仓表!$A:$A,$A9))</f>
        <v>0</v>
      </c>
      <c r="E9" s="16" t="n">
        <f aca="false">IFERROR(D9/B9,0)</f>
        <v>0</v>
      </c>
      <c r="F9" s="24"/>
      <c r="G9" s="15" t="n">
        <f aca="false">IF($B9="","",MAX($B$2:B9))</f>
        <v>20798.12</v>
      </c>
      <c r="H9" s="16" t="n">
        <f aca="false">IFERROR((B9-F9)/F9,0)</f>
        <v>0</v>
      </c>
      <c r="I9" s="16" t="n">
        <f aca="false">IFERROR((B9-G9)/G9,0)</f>
        <v>0</v>
      </c>
      <c r="J9" s="12"/>
      <c r="K9" s="7"/>
      <c r="L9" s="25"/>
      <c r="M9" s="25"/>
      <c r="N9" s="16" t="n">
        <f aca="false">IF($B9="","",MIN(70%,IF($I9&lt;=-15%,10%,IF($I9&lt;=-10%,30%,IF($M9&gt;=4,10%,IF($M9&gt;=3,30%,IF($J9="强",IF($K9="A",70%,IF($K9="B",60%,40%)),IF($J9="中性",IF($K9="A",50%,IF($K9="B",40%,25%)),IF($K9="A",30%,IF($K9="B",20%,10%))))))))))</f>
        <v>0.1</v>
      </c>
      <c r="O9" s="16" t="n">
        <f aca="false">IF($B9="","",IF(B9&lt;30000,35%,IF(B9&lt;50000,30%,IF(B9&lt;100000,25%,20%))))</f>
        <v>0.35</v>
      </c>
      <c r="P9" s="18" t="n">
        <f aca="false">IF($A9="","",COUNTIFS(持仓表!$A:$A,$A9,持仓表!$G:$G,"&gt;0"))</f>
        <v>0</v>
      </c>
      <c r="Q9" s="18" t="n">
        <f aca="false">IF($A9="","",COUNTIFS(持仓表!$A:$A,$A9,持仓表!$D:$D,"是",持仓表!$G:$G,"&gt;0"))</f>
        <v>0</v>
      </c>
      <c r="R9" s="18" t="n">
        <f aca="false">IF($A9="","",MAX(0,P9-Q9))</f>
        <v>0</v>
      </c>
      <c r="S9" s="18" t="n">
        <f aca="false">IF($B9="","",IF(B9&lt;50000,3,IF(B9&lt;100000,4,5)))</f>
        <v>3</v>
      </c>
      <c r="T9" s="19" t="str">
        <f aca="false">IF($A9="","",IF(OR(M9&gt;=4,I9&lt;=-8%),"防守",IF(OR(M9&gt;=2,I9&lt;=-5%),"警戒","正常")))</f>
        <v>正常</v>
      </c>
      <c r="U9" s="19" t="str">
        <f aca="false">IF($A9="","",IF(AND(L9&gt;=3,M9&lt;=2,T9&lt;&gt;"防守"),"是","否"))</f>
        <v>否</v>
      </c>
      <c r="V9" s="19" t="str">
        <f aca="false">IF($A9="","",IF(AND(E9&lt;N9,R9&lt;S9,M9&lt;=2,I9&gt;-15%),"是","否"))</f>
        <v>是</v>
      </c>
      <c r="W9" s="19" t="str">
        <f aca="false">IF($A9="","",IF(OR(M9&gt;=3,I9&lt;=-15%),"是","否"))</f>
        <v>否</v>
      </c>
      <c r="X9" s="15" t="n">
        <f aca="false">IF($A9="","",IFERROR(maxifs(候选池!$AB:$AB,候选池!$A:$A,$A9),0))</f>
        <v>0</v>
      </c>
      <c r="Y9" s="15" t="n">
        <f aca="false">IF($A9="","",IF(OR(M9&gt;=4,I9&lt;=-8%),MAX(0,B9*60%-C9),IF(AND(ISNUMBER(AD9),B9&gt;AD9),IF(B9&lt;30000,0,IF(B9&lt;100000,MAX(0,(B9-AD9)*0.2),MAX(0,(B9-AD9)*0.3))),0)))</f>
        <v>0</v>
      </c>
      <c r="Z9" s="7"/>
      <c r="AA9" s="19" t="n">
        <f aca="false">IF($A9="","",IF($AA$2&lt;&gt;"",$AA$2,""))</f>
        <v>6683.54</v>
      </c>
      <c r="AB9" s="7" t="n">
        <f aca="false">IF($A9="","",IF(B9&lt;30000,0.03,IF(B9&lt;100000,0.02,0.015)))</f>
        <v>0.03</v>
      </c>
      <c r="AC9" s="18" t="n">
        <f aca="false">IF($A9="","",IFERROR(DATEDIF($A$2,$A9,"m"),0))</f>
        <v>5</v>
      </c>
      <c r="AD9" s="15" t="n">
        <f aca="false">IF($A9="","",IF(OR(AA9="",AB9="",AC9=""),"",AA9*POWER(1+AB9,AC9)))</f>
        <v>7748.05464654702</v>
      </c>
      <c r="AE9" s="27" t="n">
        <f aca="false">IF($A9="","",IF(OR(AD9="",AD9=0),"",B9/AD9-1))</f>
        <v>1.68430218277679</v>
      </c>
      <c r="AG9" s="1" t="str">
        <f aca="false">IF($A9="","",IF(B9&lt;30000,"婴儿",IF(B9&lt;100000,"成长","成熟")))</f>
        <v>婴儿</v>
      </c>
      <c r="AH9" s="22"/>
      <c r="AJ9" s="22"/>
      <c r="AK9" s="22"/>
      <c r="AM9" s="22"/>
      <c r="AP9" s="13"/>
      <c r="AQ9" s="23" t="n">
        <f aca="false">IF($A9="","",B9-$AA$2-SUM($F$2:F9))</f>
        <v>10105.58</v>
      </c>
    </row>
    <row r="10" customFormat="false" ht="15" hidden="false" customHeight="true" outlineLevel="0" collapsed="false">
      <c r="A10" s="30" t="n">
        <v>46226</v>
      </c>
      <c r="B10" s="14" t="n">
        <v>20959.73</v>
      </c>
      <c r="C10" s="14" t="n">
        <v>10362.73</v>
      </c>
      <c r="D10" s="15" t="n">
        <f aca="false">IF($A10="","",SUMIFS(持仓表!$J:$J,持仓表!$A:$A,$A10))</f>
        <v>0</v>
      </c>
      <c r="E10" s="16" t="n">
        <f aca="false">IFERROR(D10/B10,0)</f>
        <v>0</v>
      </c>
      <c r="F10" s="14"/>
      <c r="G10" s="15" t="n">
        <f aca="false">IF($B10="","",MAX($B$2:B10))</f>
        <v>20959.73</v>
      </c>
      <c r="H10" s="16" t="n">
        <f aca="false">IFERROR((B10-F10)/F10,0)</f>
        <v>0</v>
      </c>
      <c r="I10" s="16" t="n">
        <f aca="false">IFERROR((B10-G10)/G10,0)</f>
        <v>0</v>
      </c>
      <c r="J10" s="11"/>
      <c r="K10" s="5"/>
      <c r="L10" s="17"/>
      <c r="M10" s="17"/>
      <c r="N10" s="16" t="n">
        <f aca="false">IF($B10="","",MIN(70%,IF($I10&lt;=-15%,10%,IF($I10&lt;=-10%,30%,IF($M10&gt;=4,10%,IF($M10&gt;=3,30%,IF($J10="强",IF($K10="A",70%,IF($K10="B",60%,40%)),IF($J10="中性",IF($K10="A",50%,IF($K10="B",40%,25%)),IF($K10="A",30%,IF($K10="B",20%,10%))))))))))</f>
        <v>0.1</v>
      </c>
      <c r="O10" s="16" t="n">
        <f aca="false">IF($B10="","",IF(B10&lt;30000,35%,IF(B10&lt;50000,30%,IF(B10&lt;100000,25%,20%))))</f>
        <v>0.35</v>
      </c>
      <c r="P10" s="18" t="n">
        <f aca="false">IF($A10="","",COUNTIFS(持仓表!$A:$A,$A10,持仓表!$G:$G,"&gt;0"))</f>
        <v>0</v>
      </c>
      <c r="Q10" s="18" t="n">
        <f aca="false">IF($A10="","",COUNTIFS(持仓表!$A:$A,$A10,持仓表!$D:$D,"是",持仓表!$G:$G,"&gt;0"))</f>
        <v>0</v>
      </c>
      <c r="R10" s="18" t="n">
        <f aca="false">IF($A10="","",MAX(0,P10-Q10))</f>
        <v>0</v>
      </c>
      <c r="S10" s="18" t="n">
        <f aca="false">IF($B10="","",IF(B10&lt;50000,3,IF(B10&lt;100000,4,5)))</f>
        <v>3</v>
      </c>
      <c r="T10" s="19" t="str">
        <f aca="false">IF($A10="","",IF(OR(M10&gt;=4,I10&lt;=-8%),"防守",IF(OR(M10&gt;=2,I10&lt;=-5%),"警戒","正常")))</f>
        <v>正常</v>
      </c>
      <c r="U10" s="19" t="str">
        <f aca="false">IF($A10="","",IF(AND(L10&gt;=3,M10&lt;=2,T10&lt;&gt;"防守"),"是","否"))</f>
        <v>否</v>
      </c>
      <c r="V10" s="19" t="str">
        <f aca="false">IF($A10="","",IF(AND(E10&lt;N10,R10&lt;S10,M10&lt;=2,I10&gt;-15%),"是","否"))</f>
        <v>是</v>
      </c>
      <c r="W10" s="19" t="str">
        <f aca="false">IF($A10="","",IF(OR(M10&gt;=3,I10&lt;=-15%),"是","否"))</f>
        <v>否</v>
      </c>
      <c r="X10" s="15" t="n">
        <f aca="false">IF($A10="","",IFERROR(maxifs(候选池!$AB:$AB,候选池!$A:$A,$A10),0))</f>
        <v>0</v>
      </c>
      <c r="Y10" s="15" t="n">
        <f aca="false">IF($A10="","",IF(OR(M10&gt;=4,I10&lt;=-8%),MAX(0,B10*60%-C10),IF(AND(ISNUMBER(AD10),B10&gt;AD10),IF(B10&lt;30000,0,IF(B10&lt;100000,MAX(0,(B10-AD10)*0.2),MAX(0,(B10-AD10)*0.3))),0)))</f>
        <v>0</v>
      </c>
      <c r="Z10" s="5"/>
      <c r="AA10" s="19" t="n">
        <f aca="false">IF($A10="","",IF($AA$2&lt;&gt;"",$AA$2,""))</f>
        <v>6683.54</v>
      </c>
      <c r="AB10" s="5" t="n">
        <f aca="false">IF($A10="","",IF(B10&lt;30000,0.03,IF(B10&lt;100000,0.02,0.015)))</f>
        <v>0.03</v>
      </c>
      <c r="AC10" s="18" t="n">
        <f aca="false">IF($A10="","",IFERROR(DATEDIF($A$2,$A10,"m"),0))</f>
        <v>5</v>
      </c>
      <c r="AD10" s="15" t="n">
        <f aca="false">IF($A10="","",IF(OR(AA10="",AB10="",AC10=""),"",AA10*POWER(1+AB10,AC10)))</f>
        <v>7748.05464654702</v>
      </c>
      <c r="AE10" s="21" t="n">
        <f aca="false">IF($A10="","",IF(OR(AD10="",AD10=0),"",B10/AD10-1))</f>
        <v>1.70516032167389</v>
      </c>
      <c r="AG10" s="1" t="str">
        <f aca="false">IF($A10="","",IF(B10&lt;30000,"婴儿",IF(B10&lt;100000,"成长","成熟")))</f>
        <v>婴儿</v>
      </c>
      <c r="AH10" s="22"/>
      <c r="AJ10" s="22"/>
      <c r="AK10" s="22"/>
      <c r="AM10" s="22"/>
      <c r="AP10" s="13"/>
      <c r="AQ10" s="23" t="n">
        <f aca="false">IF($A10="","",B10-$AA$2-SUM($F$2:F10))</f>
        <v>10267.19</v>
      </c>
    </row>
    <row r="11" customFormat="false" ht="15" hidden="false" customHeight="true" outlineLevel="0" collapsed="false">
      <c r="A11" s="29" t="n">
        <v>46226</v>
      </c>
      <c r="B11" s="24" t="n">
        <v>21004.83</v>
      </c>
      <c r="C11" s="24" t="n">
        <v>10362.83</v>
      </c>
      <c r="D11" s="15" t="n">
        <f aca="false">IF($A11="","",SUMIFS(持仓表!$J:$J,持仓表!$A:$A,$A11))</f>
        <v>0</v>
      </c>
      <c r="E11" s="16" t="n">
        <f aca="false">IFERROR(D11/B11,0)</f>
        <v>0</v>
      </c>
      <c r="F11" s="24"/>
      <c r="G11" s="15" t="n">
        <f aca="false">IF($B11="","",MAX($B$2:B11))</f>
        <v>21004.83</v>
      </c>
      <c r="H11" s="16" t="n">
        <f aca="false">IFERROR((B11-F11)/F11,0)</f>
        <v>0</v>
      </c>
      <c r="I11" s="16" t="n">
        <f aca="false">IFERROR((B11-G11)/G11,0)</f>
        <v>0</v>
      </c>
      <c r="J11" s="12"/>
      <c r="K11" s="7"/>
      <c r="L11" s="25"/>
      <c r="M11" s="25"/>
      <c r="N11" s="16" t="n">
        <f aca="false">IF($B11="","",MIN(70%,IF($I11&lt;=-15%,10%,IF($I11&lt;=-10%,30%,IF($M11&gt;=4,10%,IF($M11&gt;=3,30%,IF($J11="强",IF($K11="A",70%,IF($K11="B",60%,40%)),IF($J11="中性",IF($K11="A",50%,IF($K11="B",40%,25%)),IF($K11="A",30%,IF($K11="B",20%,10%))))))))))</f>
        <v>0.1</v>
      </c>
      <c r="O11" s="16" t="n">
        <f aca="false">IF($B11="","",IF(B11&lt;30000,35%,IF(B11&lt;50000,30%,IF(B11&lt;100000,25%,20%))))</f>
        <v>0.35</v>
      </c>
      <c r="P11" s="18" t="n">
        <f aca="false">IF($A11="","",COUNTIFS(持仓表!$A:$A,$A11,持仓表!$G:$G,"&gt;0"))</f>
        <v>0</v>
      </c>
      <c r="Q11" s="18" t="n">
        <f aca="false">IF($A11="","",COUNTIFS(持仓表!$A:$A,$A11,持仓表!$D:$D,"是",持仓表!$G:$G,"&gt;0"))</f>
        <v>0</v>
      </c>
      <c r="R11" s="18" t="n">
        <f aca="false">IF($A11="","",MAX(0,P11-Q11))</f>
        <v>0</v>
      </c>
      <c r="S11" s="18" t="n">
        <f aca="false">IF($B11="","",IF(B11&lt;50000,3,IF(B11&lt;100000,4,5)))</f>
        <v>3</v>
      </c>
      <c r="T11" s="19" t="str">
        <f aca="false">IF($A11="","",IF(OR(M11&gt;=4,I11&lt;=-8%),"防守",IF(OR(M11&gt;=2,I11&lt;=-5%),"警戒","正常")))</f>
        <v>正常</v>
      </c>
      <c r="U11" s="19" t="str">
        <f aca="false">IF($A11="","",IF(AND(L11&gt;=3,M11&lt;=2,T11&lt;&gt;"防守"),"是","否"))</f>
        <v>否</v>
      </c>
      <c r="V11" s="19" t="str">
        <f aca="false">IF($A11="","",IF(AND(E11&lt;N11,R11&lt;S11,M11&lt;=2,I11&gt;-15%),"是","否"))</f>
        <v>是</v>
      </c>
      <c r="W11" s="19" t="str">
        <f aca="false">IF($A11="","",IF(OR(M11&gt;=3,I11&lt;=-15%),"是","否"))</f>
        <v>否</v>
      </c>
      <c r="X11" s="15" t="n">
        <f aca="false">IF($A11="","",IFERROR(maxifs(候选池!$AB:$AB,候选池!$A:$A,$A11),0))</f>
        <v>0</v>
      </c>
      <c r="Y11" s="15" t="n">
        <f aca="false">IF($A11="","",IF(OR(M11&gt;=4,I11&lt;=-8%),MAX(0,B11*60%-C11),IF(AND(ISNUMBER(AD11),B11&gt;AD11),IF(B11&lt;30000,0,IF(B11&lt;100000,MAX(0,(B11-AD11)*0.2),MAX(0,(B11-AD11)*0.3))),0)))</f>
        <v>0</v>
      </c>
      <c r="Z11" s="7"/>
      <c r="AA11" s="19" t="n">
        <f aca="false">IF($A11="","",IF($AA$2&lt;&gt;"",$AA$2,""))</f>
        <v>6683.54</v>
      </c>
      <c r="AB11" s="7" t="n">
        <f aca="false">IF($A11="","",IF(B11&lt;30000,0.03,IF(B11&lt;100000,0.02,0.015)))</f>
        <v>0.03</v>
      </c>
      <c r="AC11" s="18" t="n">
        <f aca="false">IF($A11="","",IFERROR(DATEDIF($A$2,$A11,"m"),0))</f>
        <v>5</v>
      </c>
      <c r="AD11" s="15" t="n">
        <f aca="false">IF($A11="","",IF(OR(AA11="",AB11="",AC11=""),"",AA11*POWER(1+AB11,AC11)))</f>
        <v>7748.05464654702</v>
      </c>
      <c r="AE11" s="27" t="n">
        <f aca="false">IF($A11="","",IF(OR(AD11="",AD11=0),"",B11/AD11-1))</f>
        <v>1.7109811376151</v>
      </c>
      <c r="AG11" s="1" t="str">
        <f aca="false">IF($A11="","",IF(B11&lt;30000,"婴儿",IF(B11&lt;100000,"成长","成熟")))</f>
        <v>婴儿</v>
      </c>
      <c r="AH11" s="22"/>
      <c r="AJ11" s="22"/>
      <c r="AK11" s="22"/>
      <c r="AM11" s="22"/>
      <c r="AP11" s="13"/>
      <c r="AQ11" s="23" t="n">
        <f aca="false">IF($A11="","",B11-$AA$2-SUM($F$2:F11))</f>
        <v>10312.29</v>
      </c>
    </row>
    <row r="12" customFormat="false" ht="15" hidden="false" customHeight="true" outlineLevel="0" collapsed="false">
      <c r="A12" s="30" t="n">
        <v>46227</v>
      </c>
      <c r="B12" s="14" t="n">
        <v>20842.32</v>
      </c>
      <c r="C12" s="14" t="n">
        <v>12358.32</v>
      </c>
      <c r="D12" s="15" t="n">
        <f aca="false">IF($A12="","",SUMIFS(持仓表!$J:$J,持仓表!$A:$A,$A12))</f>
        <v>8484</v>
      </c>
      <c r="E12" s="16" t="n">
        <f aca="false">IFERROR(D12/B12,0)</f>
        <v>0.407056412146057</v>
      </c>
      <c r="F12" s="14" t="n">
        <v>0</v>
      </c>
      <c r="G12" s="15" t="n">
        <f aca="false">IF($B12="","",MAX($B$2:B12))</f>
        <v>21004.83</v>
      </c>
      <c r="H12" s="16" t="n">
        <f aca="false">IFERROR((B12-F12)/F12,0)</f>
        <v>0</v>
      </c>
      <c r="I12" s="16" t="n">
        <f aca="false">IFERROR((B12-G12)/G12,0)</f>
        <v>-0.00773679196641925</v>
      </c>
      <c r="J12" s="11"/>
      <c r="K12" s="5"/>
      <c r="L12" s="17"/>
      <c r="M12" s="17"/>
      <c r="N12" s="16" t="n">
        <f aca="false">IF($B12="","",MIN(70%,IF($I12&lt;=-15%,10%,IF($I12&lt;=-10%,30%,IF($M12&gt;=4,10%,IF($M12&gt;=3,30%,IF($J12="强",IF($K12="A",70%,IF($K12="B",60%,40%)),IF($J12="中性",IF($K12="A",50%,IF($K12="B",40%,25%)),IF($K12="A",30%,IF($K12="B",20%,10%))))))))))</f>
        <v>0.1</v>
      </c>
      <c r="O12" s="16" t="n">
        <f aca="false">IF($B12="","",IF(B12&lt;30000,35%,IF(B12&lt;50000,30%,IF(B12&lt;100000,25%,20%))))</f>
        <v>0.35</v>
      </c>
      <c r="P12" s="18" t="n">
        <f aca="false">IF($A12="","",COUNTIFS(持仓表!$A:$A,$A12,持仓表!$G:$G,"&gt;0"))</f>
        <v>7</v>
      </c>
      <c r="Q12" s="18" t="n">
        <f aca="false">IF($A12="","",COUNTIFS(持仓表!$A:$A,$A12,持仓表!$D:$D,"是",持仓表!$G:$G,"&gt;0"))</f>
        <v>1</v>
      </c>
      <c r="R12" s="18" t="n">
        <f aca="false">IF($A12="","",MAX(0,P12-Q12))</f>
        <v>6</v>
      </c>
      <c r="S12" s="18" t="n">
        <f aca="false">IF($B12="","",IF(B12&lt;50000,3,IF(B12&lt;100000,4,5)))</f>
        <v>3</v>
      </c>
      <c r="T12" s="19" t="str">
        <f aca="false">IF($A12="","",IF(OR(M12&gt;=4,I12&lt;=-8%),"防守",IF(OR(M12&gt;=2,I12&lt;=-5%),"警戒","正常")))</f>
        <v>正常</v>
      </c>
      <c r="U12" s="19" t="str">
        <f aca="false">IF($A12="","",IF(AND(L12&gt;=3,M12&lt;=2,T12&lt;&gt;"防守"),"是","否"))</f>
        <v>否</v>
      </c>
      <c r="V12" s="19" t="str">
        <f aca="false">IF($A12="","",IF(AND(E12&lt;N12,R12&lt;S12,M12&lt;=2,I12&gt;-15%),"是","否"))</f>
        <v>否</v>
      </c>
      <c r="W12" s="19" t="str">
        <f aca="false">IF($A12="","",IF(OR(M12&gt;=3,I12&lt;=-15%),"是","否"))</f>
        <v>否</v>
      </c>
      <c r="X12" s="15" t="n">
        <f aca="false">IF($A12="","",IFERROR(maxifs(候选池!$AB:$AB,候选池!$A:$A,$A12),0))</f>
        <v>0</v>
      </c>
      <c r="Y12" s="15" t="n">
        <f aca="false">IF($A12="","",IF(OR(M12&gt;=4,I12&lt;=-8%),MAX(0,B12*60%-C12),IF(AND(ISNUMBER(AD12),B12&gt;AD12),IF(B12&lt;30000,0,IF(B12&lt;100000,MAX(0,(B12-AD12)*0.2),MAX(0,(B12-AD12)*0.3))),0)))</f>
        <v>0</v>
      </c>
      <c r="Z12" s="5"/>
      <c r="AA12" s="19" t="n">
        <f aca="false">IF($A12="","",IF($AA$2&lt;&gt;"",$AA$2,""))</f>
        <v>6683.54</v>
      </c>
      <c r="AB12" s="5" t="n">
        <f aca="false">IF($A12="","",IF(B12&lt;30000,0.03,IF(B12&lt;100000,0.02,0.015)))</f>
        <v>0.03</v>
      </c>
      <c r="AC12" s="18" t="n">
        <f aca="false">IF($A12="","",IFERROR(DATEDIF($A$2,$A12,"m"),0))</f>
        <v>5</v>
      </c>
      <c r="AD12" s="15" t="n">
        <f aca="false">IF($A12="","",IF(OR(AA12="",AB12="",AC12=""),"",AA12*POWER(1+AB12,AC12)))</f>
        <v>7748.05464654702</v>
      </c>
      <c r="AE12" s="21" t="n">
        <f aca="false">IF($A12="","",IF(OR(AD12="",AD12=0),"",B12/AD12-1))</f>
        <v>1.69000684052848</v>
      </c>
      <c r="AG12" s="1" t="str">
        <f aca="false">IF($A12="","",IF(B12&lt;30000,"婴儿",IF(B12&lt;100000,"成长","成熟")))</f>
        <v>婴儿</v>
      </c>
      <c r="AH12" s="22"/>
      <c r="AJ12" s="22"/>
      <c r="AK12" s="22"/>
      <c r="AM12" s="22"/>
      <c r="AP12" s="13"/>
      <c r="AQ12" s="23" t="n">
        <f aca="false">IF($A12="","",B12-$AA$2-SUM($F$2:F12))</f>
        <v>10149.78</v>
      </c>
    </row>
    <row r="13" customFormat="false" ht="15" hidden="false" customHeight="true" outlineLevel="0" collapsed="false">
      <c r="A13" s="7"/>
      <c r="B13" s="24"/>
      <c r="C13" s="24"/>
      <c r="D13" s="15" t="str">
        <f aca="false">IF($A13="","",SUMIFS(持仓表!$J:$J,持仓表!$A:$A,$A13))</f>
        <v/>
      </c>
      <c r="E13" s="16" t="n">
        <f aca="false">IFERROR(D13/B13,0)</f>
        <v>0</v>
      </c>
      <c r="F13" s="24"/>
      <c r="G13" s="15" t="str">
        <f aca="false">IF($B13="","",MAX($B$2:B13))</f>
        <v/>
      </c>
      <c r="H13" s="16" t="n">
        <f aca="false">IFERROR((B13-F13)/F13,0)</f>
        <v>0</v>
      </c>
      <c r="I13" s="16" t="n">
        <f aca="false">IFERROR((B13-G13)/G13,0)</f>
        <v>0</v>
      </c>
      <c r="J13" s="12"/>
      <c r="K13" s="7"/>
      <c r="L13" s="25"/>
      <c r="M13" s="25"/>
      <c r="N13" s="16" t="str">
        <f aca="false">IF($B13="","",MIN(70%,IF($I13&lt;=-15%,10%,IF($I13&lt;=-10%,30%,IF($M13&gt;=4,10%,IF($M13&gt;=3,30%,IF($J13="强",IF($K13="A",70%,IF($K13="B",60%,40%)),IF($J13="中性",IF($K13="A",50%,IF($K13="B",40%,25%)),IF($K13="A",30%,IF($K13="B",20%,10%))))))))))</f>
        <v/>
      </c>
      <c r="O13" s="16" t="str">
        <f aca="false">IF($B13="","",IF(B13&lt;30000,35%,IF(B13&lt;50000,30%,IF(B13&lt;100000,25%,20%))))</f>
        <v/>
      </c>
      <c r="P13" s="18" t="str">
        <f aca="false">IF($A13="","",COUNTIFS(持仓表!$A:$A,$A13,持仓表!$G:$G,"&gt;0"))</f>
        <v/>
      </c>
      <c r="Q13" s="18" t="str">
        <f aca="false">IF($A13="","",COUNTIFS(持仓表!$A:$A,$A13,持仓表!$D:$D,"是",持仓表!$G:$G,"&gt;0"))</f>
        <v/>
      </c>
      <c r="R13" s="18" t="str">
        <f aca="false">IF($A13="","",MAX(0,P13-Q13))</f>
        <v/>
      </c>
      <c r="S13" s="18" t="str">
        <f aca="false">IF($B13="","",IF(B13&lt;50000,3,IF(B13&lt;100000,4,5)))</f>
        <v/>
      </c>
      <c r="T13" s="19" t="str">
        <f aca="false">IF($A13="","",IF(OR(M13&gt;=4,I13&lt;=-8%),"防守",IF(OR(M13&gt;=2,I13&lt;=-5%),"警戒","正常")))</f>
        <v/>
      </c>
      <c r="U13" s="19" t="str">
        <f aca="false">IF($A13="","",IF(AND(L13&gt;=3,M13&lt;=2,T13&lt;&gt;"防守"),"是","否"))</f>
        <v/>
      </c>
      <c r="V13" s="19" t="str">
        <f aca="false">IF($A13="","",IF(AND(E13&lt;N13,R13&lt;S13,M13&lt;=2,I13&gt;-15%),"是","否"))</f>
        <v/>
      </c>
      <c r="W13" s="19" t="str">
        <f aca="false">IF($A13="","",IF(OR(M13&gt;=3,I13&lt;=-15%),"是","否"))</f>
        <v/>
      </c>
      <c r="X13" s="15" t="str">
        <f aca="false">IF($A13="","",IFERROR(maxifs(候选池!$AB:$AB,候选池!$A:$A,$A13),0))</f>
        <v/>
      </c>
      <c r="Y13" s="15" t="str">
        <f aca="false">IF($A13="","",IF(OR(M13&gt;=4,I13&lt;=-8%),MAX(0,B13*60%-C13),IF(AND(ISNUMBER(AD13),B13&gt;AD13),IF(B13&lt;30000,0,IF(B13&lt;100000,MAX(0,(B13-AD13)*0.2),MAX(0,(B13-AD13)*0.3))),0)))</f>
        <v/>
      </c>
      <c r="Z13" s="7"/>
      <c r="AA13" s="19" t="str">
        <f aca="false">IF($A13="","",IF($AA$2&lt;&gt;"",$AA$2,""))</f>
        <v/>
      </c>
      <c r="AB13" s="7" t="str">
        <f aca="false">IF($A13="","",IF(B13&lt;30000,0.03,IF(B13&lt;100000,0.02,0.015)))</f>
        <v/>
      </c>
      <c r="AC13" s="18" t="str">
        <f aca="false">IF($A13="","",IFERROR(DATEDIF($A$2,$A13,"m"),0))</f>
        <v/>
      </c>
      <c r="AD13" s="15" t="str">
        <f aca="false">IF($A13="","",IF(OR(AA13="",AB13="",AC13=""),"",AA13*POWER(1+AB13,AC13)))</f>
        <v/>
      </c>
      <c r="AE13" s="27" t="str">
        <f aca="false">IF($A13="","",IF(OR(AD13="",AD13=0),"",B13/AD13-1))</f>
        <v/>
      </c>
      <c r="AG13" s="1" t="str">
        <f aca="false">IF($A13="","",IF(B13&lt;30000,"婴儿",IF(B13&lt;100000,"成长","成熟")))</f>
        <v/>
      </c>
      <c r="AH13" s="22"/>
      <c r="AJ13" s="22"/>
      <c r="AK13" s="22"/>
      <c r="AM13" s="22"/>
      <c r="AP13" s="13"/>
      <c r="AQ13" s="23" t="str">
        <f aca="false">IF($A13="","",B13-$AA$2-SUM($F$2:F13))</f>
        <v/>
      </c>
    </row>
    <row r="14" customFormat="false" ht="15" hidden="false" customHeight="true" outlineLevel="0" collapsed="false">
      <c r="A14" s="5"/>
      <c r="B14" s="14"/>
      <c r="C14" s="14"/>
      <c r="D14" s="15" t="str">
        <f aca="false">IF($A14="","",SUMIFS(持仓表!$J:$J,持仓表!$A:$A,$A14))</f>
        <v/>
      </c>
      <c r="E14" s="16" t="n">
        <f aca="false">IFERROR(D14/B14,0)</f>
        <v>0</v>
      </c>
      <c r="F14" s="14"/>
      <c r="G14" s="15" t="str">
        <f aca="false">IF($B14="","",MAX($B$2:B14))</f>
        <v/>
      </c>
      <c r="H14" s="16" t="n">
        <f aca="false">IFERROR((B14-F14)/F14,0)</f>
        <v>0</v>
      </c>
      <c r="I14" s="16" t="n">
        <f aca="false">IFERROR((B14-G14)/G14,0)</f>
        <v>0</v>
      </c>
      <c r="J14" s="11"/>
      <c r="K14" s="5"/>
      <c r="L14" s="17"/>
      <c r="M14" s="17"/>
      <c r="N14" s="16" t="str">
        <f aca="false">IF($B14="","",MIN(70%,IF($I14&lt;=-15%,10%,IF($I14&lt;=-10%,30%,IF($M14&gt;=4,10%,IF($M14&gt;=3,30%,IF($J14="强",IF($K14="A",70%,IF($K14="B",60%,40%)),IF($J14="中性",IF($K14="A",50%,IF($K14="B",40%,25%)),IF($K14="A",30%,IF($K14="B",20%,10%))))))))))</f>
        <v/>
      </c>
      <c r="O14" s="16" t="str">
        <f aca="false">IF($B14="","",IF(B14&lt;30000,35%,IF(B14&lt;50000,30%,IF(B14&lt;100000,25%,20%))))</f>
        <v/>
      </c>
      <c r="P14" s="18" t="str">
        <f aca="false">IF($A14="","",COUNTIFS(持仓表!$A:$A,$A14,持仓表!$G:$G,"&gt;0"))</f>
        <v/>
      </c>
      <c r="Q14" s="18" t="str">
        <f aca="false">IF($A14="","",COUNTIFS(持仓表!$A:$A,$A14,持仓表!$D:$D,"是",持仓表!$G:$G,"&gt;0"))</f>
        <v/>
      </c>
      <c r="R14" s="18" t="str">
        <f aca="false">IF($A14="","",MAX(0,P14-Q14))</f>
        <v/>
      </c>
      <c r="S14" s="18" t="str">
        <f aca="false">IF($B14="","",IF(B14&lt;50000,3,IF(B14&lt;100000,4,5)))</f>
        <v/>
      </c>
      <c r="T14" s="19" t="str">
        <f aca="false">IF($A14="","",IF(OR(M14&gt;=4,I14&lt;=-8%),"防守",IF(OR(M14&gt;=2,I14&lt;=-5%),"警戒","正常")))</f>
        <v/>
      </c>
      <c r="U14" s="19" t="str">
        <f aca="false">IF($A14="","",IF(AND(L14&gt;=3,M14&lt;=2,T14&lt;&gt;"防守"),"是","否"))</f>
        <v/>
      </c>
      <c r="V14" s="19" t="str">
        <f aca="false">IF($A14="","",IF(AND(E14&lt;N14,R14&lt;S14,M14&lt;=2,I14&gt;-15%),"是","否"))</f>
        <v/>
      </c>
      <c r="W14" s="19" t="str">
        <f aca="false">IF($A14="","",IF(OR(M14&gt;=3,I14&lt;=-15%),"是","否"))</f>
        <v/>
      </c>
      <c r="X14" s="15" t="str">
        <f aca="false">IF($A14="","",IFERROR(maxifs(候选池!$AB:$AB,候选池!$A:$A,$A14),0))</f>
        <v/>
      </c>
      <c r="Y14" s="15" t="str">
        <f aca="false">IF($A14="","",IF(OR(M14&gt;=4,I14&lt;=-8%),MAX(0,B14*60%-C14),IF(AND(ISNUMBER(AD14),B14&gt;AD14),IF(B14&lt;30000,0,IF(B14&lt;100000,MAX(0,(B14-AD14)*0.2),MAX(0,(B14-AD14)*0.3))),0)))</f>
        <v/>
      </c>
      <c r="Z14" s="5"/>
      <c r="AA14" s="19" t="str">
        <f aca="false">IF($A14="","",IF($AA$2&lt;&gt;"",$AA$2,""))</f>
        <v/>
      </c>
      <c r="AB14" s="5" t="str">
        <f aca="false">IF($A14="","",IF(B14&lt;30000,0.03,IF(B14&lt;100000,0.02,0.015)))</f>
        <v/>
      </c>
      <c r="AC14" s="18" t="str">
        <f aca="false">IF($A14="","",IFERROR(DATEDIF($A$2,$A14,"m"),0))</f>
        <v/>
      </c>
      <c r="AD14" s="15" t="str">
        <f aca="false">IF($A14="","",IF(OR(AA14="",AB14="",AC14=""),"",AA14*POWER(1+AB14,AC14)))</f>
        <v/>
      </c>
      <c r="AE14" s="21" t="str">
        <f aca="false">IF($A14="","",IF(OR(AD14="",AD14=0),"",B14/AD14-1))</f>
        <v/>
      </c>
      <c r="AG14" s="1" t="str">
        <f aca="false">IF($A14="","",IF(B14&lt;30000,"婴儿",IF(B14&lt;100000,"成长","成熟")))</f>
        <v/>
      </c>
      <c r="AH14" s="22"/>
      <c r="AJ14" s="22"/>
      <c r="AK14" s="22"/>
      <c r="AM14" s="22"/>
      <c r="AP14" s="13"/>
      <c r="AQ14" s="23" t="str">
        <f aca="false">IF($A14="","",B14-$AA$2-SUM($F$2:F14))</f>
        <v/>
      </c>
    </row>
    <row r="15" customFormat="false" ht="15" hidden="false" customHeight="true" outlineLevel="0" collapsed="false">
      <c r="A15" s="7"/>
      <c r="B15" s="24"/>
      <c r="C15" s="24"/>
      <c r="D15" s="15" t="str">
        <f aca="false">IF($A15="","",SUMIFS(持仓表!$J:$J,持仓表!$A:$A,$A15))</f>
        <v/>
      </c>
      <c r="E15" s="16" t="n">
        <f aca="false">IFERROR(D15/B15,0)</f>
        <v>0</v>
      </c>
      <c r="F15" s="24"/>
      <c r="G15" s="15" t="str">
        <f aca="false">IF($B15="","",MAX($B$2:B15))</f>
        <v/>
      </c>
      <c r="H15" s="16" t="n">
        <f aca="false">IFERROR((B15-F15)/F15,0)</f>
        <v>0</v>
      </c>
      <c r="I15" s="16" t="n">
        <f aca="false">IFERROR((B15-G15)/G15,0)</f>
        <v>0</v>
      </c>
      <c r="J15" s="12"/>
      <c r="K15" s="7"/>
      <c r="L15" s="25"/>
      <c r="M15" s="25"/>
      <c r="N15" s="16" t="str">
        <f aca="false">IF($B15="","",MIN(70%,IF($I15&lt;=-15%,10%,IF($I15&lt;=-10%,30%,IF($M15&gt;=4,10%,IF($M15&gt;=3,30%,IF($J15="强",IF($K15="A",70%,IF($K15="B",60%,40%)),IF($J15="中性",IF($K15="A",50%,IF($K15="B",40%,25%)),IF($K15="A",30%,IF($K15="B",20%,10%))))))))))</f>
        <v/>
      </c>
      <c r="O15" s="16" t="str">
        <f aca="false">IF($B15="","",IF(B15&lt;30000,35%,IF(B15&lt;50000,30%,IF(B15&lt;100000,25%,20%))))</f>
        <v/>
      </c>
      <c r="P15" s="18" t="str">
        <f aca="false">IF($A15="","",COUNTIFS(持仓表!$A:$A,$A15,持仓表!$G:$G,"&gt;0"))</f>
        <v/>
      </c>
      <c r="Q15" s="18" t="str">
        <f aca="false">IF($A15="","",COUNTIFS(持仓表!$A:$A,$A15,持仓表!$D:$D,"是",持仓表!$G:$G,"&gt;0"))</f>
        <v/>
      </c>
      <c r="R15" s="18" t="str">
        <f aca="false">IF($A15="","",MAX(0,P15-Q15))</f>
        <v/>
      </c>
      <c r="S15" s="18" t="str">
        <f aca="false">IF($B15="","",IF(B15&lt;50000,3,IF(B15&lt;100000,4,5)))</f>
        <v/>
      </c>
      <c r="T15" s="19" t="str">
        <f aca="false">IF($A15="","",IF(OR(M15&gt;=4,I15&lt;=-8%),"防守",IF(OR(M15&gt;=2,I15&lt;=-5%),"警戒","正常")))</f>
        <v/>
      </c>
      <c r="U15" s="19" t="str">
        <f aca="false">IF($A15="","",IF(AND(L15&gt;=3,M15&lt;=2,T15&lt;&gt;"防守"),"是","否"))</f>
        <v/>
      </c>
      <c r="V15" s="19" t="str">
        <f aca="false">IF($A15="","",IF(AND(E15&lt;N15,R15&lt;S15,M15&lt;=2,I15&gt;-15%),"是","否"))</f>
        <v/>
      </c>
      <c r="W15" s="19" t="str">
        <f aca="false">IF($A15="","",IF(OR(M15&gt;=3,I15&lt;=-15%),"是","否"))</f>
        <v/>
      </c>
      <c r="X15" s="15" t="str">
        <f aca="false">IF($A15="","",IFERROR(maxifs(候选池!$AB:$AB,候选池!$A:$A,$A15),0))</f>
        <v/>
      </c>
      <c r="Y15" s="15" t="str">
        <f aca="false">IF($A15="","",IF(OR(M15&gt;=4,I15&lt;=-8%),MAX(0,B15*60%-C15),IF(AND(ISNUMBER(AD15),B15&gt;AD15),IF(B15&lt;30000,0,IF(B15&lt;100000,MAX(0,(B15-AD15)*0.2),MAX(0,(B15-AD15)*0.3))),0)))</f>
        <v/>
      </c>
      <c r="Z15" s="7"/>
      <c r="AA15" s="19" t="str">
        <f aca="false">IF($A15="","",IF($AA$2&lt;&gt;"",$AA$2,""))</f>
        <v/>
      </c>
      <c r="AB15" s="7" t="str">
        <f aca="false">IF($A15="","",IF(B15&lt;30000,0.03,IF(B15&lt;100000,0.02,0.015)))</f>
        <v/>
      </c>
      <c r="AC15" s="18" t="str">
        <f aca="false">IF($A15="","",IFERROR(DATEDIF($A$2,$A15,"m"),0))</f>
        <v/>
      </c>
      <c r="AD15" s="15" t="str">
        <f aca="false">IF($A15="","",IF(OR(AA15="",AB15="",AC15=""),"",AA15*POWER(1+AB15,AC15)))</f>
        <v/>
      </c>
      <c r="AE15" s="27" t="str">
        <f aca="false">IF($A15="","",IF(OR(AD15="",AD15=0),"",B15/AD15-1))</f>
        <v/>
      </c>
      <c r="AG15" s="1" t="str">
        <f aca="false">IF($A15="","",IF(B15&lt;30000,"婴儿",IF(B15&lt;100000,"成长","成熟")))</f>
        <v/>
      </c>
      <c r="AH15" s="22"/>
      <c r="AJ15" s="22"/>
      <c r="AK15" s="22"/>
      <c r="AM15" s="22"/>
      <c r="AP15" s="13"/>
      <c r="AQ15" s="23" t="str">
        <f aca="false">IF($A15="","",B15-$AA$2-SUM($F$2:F15))</f>
        <v/>
      </c>
    </row>
    <row r="16" customFormat="false" ht="15" hidden="false" customHeight="true" outlineLevel="0" collapsed="false">
      <c r="A16" s="5"/>
      <c r="B16" s="14"/>
      <c r="C16" s="14"/>
      <c r="D16" s="15" t="str">
        <f aca="false">IF($A16="","",SUMIFS(持仓表!$J:$J,持仓表!$A:$A,$A16))</f>
        <v/>
      </c>
      <c r="E16" s="16" t="n">
        <f aca="false">IFERROR(D16/B16,0)</f>
        <v>0</v>
      </c>
      <c r="F16" s="14"/>
      <c r="G16" s="15" t="str">
        <f aca="false">IF($B16="","",MAX($B$2:B16))</f>
        <v/>
      </c>
      <c r="H16" s="16" t="n">
        <f aca="false">IFERROR((B16-F16)/F16,0)</f>
        <v>0</v>
      </c>
      <c r="I16" s="16" t="n">
        <f aca="false">IFERROR((B16-G16)/G16,0)</f>
        <v>0</v>
      </c>
      <c r="J16" s="11"/>
      <c r="K16" s="5"/>
      <c r="L16" s="17"/>
      <c r="M16" s="17"/>
      <c r="N16" s="16" t="str">
        <f aca="false">IF($B16="","",MIN(70%,IF($I16&lt;=-15%,10%,IF($I16&lt;=-10%,30%,IF($M16&gt;=4,10%,IF($M16&gt;=3,30%,IF($J16="强",IF($K16="A",70%,IF($K16="B",60%,40%)),IF($J16="中性",IF($K16="A",50%,IF($K16="B",40%,25%)),IF($K16="A",30%,IF($K16="B",20%,10%))))))))))</f>
        <v/>
      </c>
      <c r="O16" s="16" t="str">
        <f aca="false">IF($B16="","",IF(B16&lt;30000,35%,IF(B16&lt;50000,30%,IF(B16&lt;100000,25%,20%))))</f>
        <v/>
      </c>
      <c r="P16" s="18" t="str">
        <f aca="false">IF($A16="","",COUNTIFS(持仓表!$A:$A,$A16,持仓表!$G:$G,"&gt;0"))</f>
        <v/>
      </c>
      <c r="Q16" s="18" t="str">
        <f aca="false">IF($A16="","",COUNTIFS(持仓表!$A:$A,$A16,持仓表!$D:$D,"是",持仓表!$G:$G,"&gt;0"))</f>
        <v/>
      </c>
      <c r="R16" s="18" t="str">
        <f aca="false">IF($A16="","",MAX(0,P16-Q16))</f>
        <v/>
      </c>
      <c r="S16" s="18" t="str">
        <f aca="false">IF($B16="","",IF(B16&lt;50000,3,IF(B16&lt;100000,4,5)))</f>
        <v/>
      </c>
      <c r="T16" s="19" t="str">
        <f aca="false">IF($A16="","",IF(OR(M16&gt;=4,I16&lt;=-8%),"防守",IF(OR(M16&gt;=2,I16&lt;=-5%),"警戒","正常")))</f>
        <v/>
      </c>
      <c r="U16" s="19" t="str">
        <f aca="false">IF($A16="","",IF(AND(L16&gt;=3,M16&lt;=2,T16&lt;&gt;"防守"),"是","否"))</f>
        <v/>
      </c>
      <c r="V16" s="19" t="str">
        <f aca="false">IF($A16="","",IF(AND(E16&lt;N16,R16&lt;S16,M16&lt;=2,I16&gt;-15%),"是","否"))</f>
        <v/>
      </c>
      <c r="W16" s="19" t="str">
        <f aca="false">IF($A16="","",IF(OR(M16&gt;=3,I16&lt;=-15%),"是","否"))</f>
        <v/>
      </c>
      <c r="X16" s="15" t="str">
        <f aca="false">IF($A16="","",IFERROR(maxifs(候选池!$AB:$AB,候选池!$A:$A,$A16),0))</f>
        <v/>
      </c>
      <c r="Y16" s="15" t="str">
        <f aca="false">IF($A16="","",IF(OR(M16&gt;=4,I16&lt;=-8%),MAX(0,B16*60%-C16),IF(AND(ISNUMBER(AD16),B16&gt;AD16),IF(B16&lt;30000,0,IF(B16&lt;100000,MAX(0,(B16-AD16)*0.2),MAX(0,(B16-AD16)*0.3))),0)))</f>
        <v/>
      </c>
      <c r="Z16" s="5"/>
      <c r="AA16" s="19" t="str">
        <f aca="false">IF($A16="","",IF($AA$2&lt;&gt;"",$AA$2,""))</f>
        <v/>
      </c>
      <c r="AB16" s="5" t="str">
        <f aca="false">IF($A16="","",IF(B16&lt;30000,0.03,IF(B16&lt;100000,0.02,0.015)))</f>
        <v/>
      </c>
      <c r="AC16" s="18" t="str">
        <f aca="false">IF($A16="","",IFERROR(DATEDIF($A$2,$A16,"m"),0))</f>
        <v/>
      </c>
      <c r="AD16" s="15" t="str">
        <f aca="false">IF($A16="","",IF(OR(AA16="",AB16="",AC16=""),"",AA16*POWER(1+AB16,AC16)))</f>
        <v/>
      </c>
      <c r="AE16" s="21" t="str">
        <f aca="false">IF($A16="","",IF(OR(AD16="",AD16=0),"",B16/AD16-1))</f>
        <v/>
      </c>
      <c r="AG16" s="1" t="str">
        <f aca="false">IF($A16="","",IF(B16&lt;30000,"婴儿",IF(B16&lt;100000,"成长","成熟")))</f>
        <v/>
      </c>
      <c r="AH16" s="22"/>
      <c r="AJ16" s="22"/>
      <c r="AK16" s="22"/>
      <c r="AM16" s="22"/>
      <c r="AP16" s="13"/>
      <c r="AQ16" s="23" t="str">
        <f aca="false">IF($A16="","",B16-$AA$2-SUM($F$2:F16))</f>
        <v/>
      </c>
    </row>
    <row r="17" customFormat="false" ht="15" hidden="false" customHeight="true" outlineLevel="0" collapsed="false">
      <c r="A17" s="7"/>
      <c r="B17" s="24"/>
      <c r="C17" s="24"/>
      <c r="D17" s="15" t="str">
        <f aca="false">IF($A17="","",SUMIFS(持仓表!$J:$J,持仓表!$A:$A,$A17))</f>
        <v/>
      </c>
      <c r="E17" s="16" t="n">
        <f aca="false">IFERROR(D17/B17,0)</f>
        <v>0</v>
      </c>
      <c r="F17" s="24"/>
      <c r="G17" s="15" t="str">
        <f aca="false">IF($B17="","",MAX($B$2:B17))</f>
        <v/>
      </c>
      <c r="H17" s="16" t="n">
        <f aca="false">IFERROR((B17-F17)/F17,0)</f>
        <v>0</v>
      </c>
      <c r="I17" s="16" t="n">
        <f aca="false">IFERROR((B17-G17)/G17,0)</f>
        <v>0</v>
      </c>
      <c r="J17" s="12"/>
      <c r="K17" s="7"/>
      <c r="L17" s="25"/>
      <c r="M17" s="25"/>
      <c r="N17" s="16" t="str">
        <f aca="false">IF($B17="","",MIN(70%,IF($I17&lt;=-15%,10%,IF($I17&lt;=-10%,30%,IF($M17&gt;=4,10%,IF($M17&gt;=3,30%,IF($J17="强",IF($K17="A",70%,IF($K17="B",60%,40%)),IF($J17="中性",IF($K17="A",50%,IF($K17="B",40%,25%)),IF($K17="A",30%,IF($K17="B",20%,10%))))))))))</f>
        <v/>
      </c>
      <c r="O17" s="16" t="str">
        <f aca="false">IF($B17="","",IF(B17&lt;30000,35%,IF(B17&lt;50000,30%,IF(B17&lt;100000,25%,20%))))</f>
        <v/>
      </c>
      <c r="P17" s="18" t="str">
        <f aca="false">IF($A17="","",COUNTIFS(持仓表!$A:$A,$A17,持仓表!$G:$G,"&gt;0"))</f>
        <v/>
      </c>
      <c r="Q17" s="18" t="str">
        <f aca="false">IF($A17="","",COUNTIFS(持仓表!$A:$A,$A17,持仓表!$D:$D,"是",持仓表!$G:$G,"&gt;0"))</f>
        <v/>
      </c>
      <c r="R17" s="18" t="str">
        <f aca="false">IF($A17="","",MAX(0,P17-Q17))</f>
        <v/>
      </c>
      <c r="S17" s="18" t="str">
        <f aca="false">IF($B17="","",IF(B17&lt;50000,3,IF(B17&lt;100000,4,5)))</f>
        <v/>
      </c>
      <c r="T17" s="19" t="str">
        <f aca="false">IF($A17="","",IF(OR(M17&gt;=4,I17&lt;=-8%),"防守",IF(OR(M17&gt;=2,I17&lt;=-5%),"警戒","正常")))</f>
        <v/>
      </c>
      <c r="U17" s="19" t="str">
        <f aca="false">IF($A17="","",IF(AND(L17&gt;=3,M17&lt;=2,T17&lt;&gt;"防守"),"是","否"))</f>
        <v/>
      </c>
      <c r="V17" s="19" t="str">
        <f aca="false">IF($A17="","",IF(AND(E17&lt;N17,R17&lt;S17,M17&lt;=2,I17&gt;-15%),"是","否"))</f>
        <v/>
      </c>
      <c r="W17" s="19" t="str">
        <f aca="false">IF($A17="","",IF(OR(M17&gt;=3,I17&lt;=-15%),"是","否"))</f>
        <v/>
      </c>
      <c r="X17" s="15" t="str">
        <f aca="false">IF($A17="","",IFERROR(maxifs(候选池!$AB:$AB,候选池!$A:$A,$A17),0))</f>
        <v/>
      </c>
      <c r="Y17" s="15" t="str">
        <f aca="false">IF($A17="","",IF(OR(M17&gt;=4,I17&lt;=-8%),MAX(0,B17*60%-C17),IF(AND(ISNUMBER(AD17),B17&gt;AD17),IF(B17&lt;30000,0,IF(B17&lt;100000,MAX(0,(B17-AD17)*0.2),MAX(0,(B17-AD17)*0.3))),0)))</f>
        <v/>
      </c>
      <c r="Z17" s="7"/>
      <c r="AA17" s="19" t="str">
        <f aca="false">IF($A17="","",IF($AA$2&lt;&gt;"",$AA$2,""))</f>
        <v/>
      </c>
      <c r="AB17" s="7" t="str">
        <f aca="false">IF($A17="","",IF(B17&lt;30000,0.03,IF(B17&lt;100000,0.02,0.015)))</f>
        <v/>
      </c>
      <c r="AC17" s="18" t="str">
        <f aca="false">IF($A17="","",IFERROR(DATEDIF($A$2,$A17,"m"),0))</f>
        <v/>
      </c>
      <c r="AD17" s="15" t="str">
        <f aca="false">IF($A17="","",IF(OR(AA17="",AB17="",AC17=""),"",AA17*POWER(1+AB17,AC17)))</f>
        <v/>
      </c>
      <c r="AE17" s="27" t="str">
        <f aca="false">IF($A17="","",IF(OR(AD17="",AD17=0),"",B17/AD17-1))</f>
        <v/>
      </c>
      <c r="AG17" s="1" t="str">
        <f aca="false">IF($A17="","",IF(B17&lt;30000,"婴儿",IF(B17&lt;100000,"成长","成熟")))</f>
        <v/>
      </c>
      <c r="AH17" s="22"/>
      <c r="AJ17" s="22"/>
      <c r="AK17" s="22"/>
      <c r="AM17" s="22"/>
      <c r="AP17" s="13"/>
      <c r="AQ17" s="23" t="str">
        <f aca="false">IF($A17="","",B17-$AA$2-SUM($F$2:F17))</f>
        <v/>
      </c>
    </row>
    <row r="18" customFormat="false" ht="15" hidden="false" customHeight="true" outlineLevel="0" collapsed="false">
      <c r="A18" s="5"/>
      <c r="B18" s="14"/>
      <c r="C18" s="14"/>
      <c r="D18" s="15" t="str">
        <f aca="false">IF($A18="","",SUMIFS(持仓表!$J:$J,持仓表!$A:$A,$A18))</f>
        <v/>
      </c>
      <c r="E18" s="16" t="n">
        <f aca="false">IFERROR(D18/B18,0)</f>
        <v>0</v>
      </c>
      <c r="F18" s="14"/>
      <c r="G18" s="15" t="str">
        <f aca="false">IF($B18="","",MAX($B$2:B18))</f>
        <v/>
      </c>
      <c r="H18" s="16" t="n">
        <f aca="false">IFERROR((B18-F18)/F18,0)</f>
        <v>0</v>
      </c>
      <c r="I18" s="16" t="n">
        <f aca="false">IFERROR((B18-G18)/G18,0)</f>
        <v>0</v>
      </c>
      <c r="J18" s="11"/>
      <c r="K18" s="5"/>
      <c r="L18" s="17"/>
      <c r="M18" s="17"/>
      <c r="N18" s="16" t="str">
        <f aca="false">IF($B18="","",MIN(70%,IF($I18&lt;=-15%,10%,IF($I18&lt;=-10%,30%,IF($M18&gt;=4,10%,IF($M18&gt;=3,30%,IF($J18="强",IF($K18="A",70%,IF($K18="B",60%,40%)),IF($J18="中性",IF($K18="A",50%,IF($K18="B",40%,25%)),IF($K18="A",30%,IF($K18="B",20%,10%))))))))))</f>
        <v/>
      </c>
      <c r="O18" s="16" t="str">
        <f aca="false">IF($B18="","",IF(B18&lt;30000,35%,IF(B18&lt;50000,30%,IF(B18&lt;100000,25%,20%))))</f>
        <v/>
      </c>
      <c r="P18" s="18" t="str">
        <f aca="false">IF($A18="","",COUNTIFS(持仓表!$A:$A,$A18,持仓表!$G:$G,"&gt;0"))</f>
        <v/>
      </c>
      <c r="Q18" s="18" t="str">
        <f aca="false">IF($A18="","",COUNTIFS(持仓表!$A:$A,$A18,持仓表!$D:$D,"是",持仓表!$G:$G,"&gt;0"))</f>
        <v/>
      </c>
      <c r="R18" s="18" t="str">
        <f aca="false">IF($A18="","",MAX(0,P18-Q18))</f>
        <v/>
      </c>
      <c r="S18" s="18" t="str">
        <f aca="false">IF($B18="","",IF(B18&lt;50000,3,IF(B18&lt;100000,4,5)))</f>
        <v/>
      </c>
      <c r="T18" s="19" t="str">
        <f aca="false">IF($A18="","",IF(OR(M18&gt;=4,I18&lt;=-8%),"防守",IF(OR(M18&gt;=2,I18&lt;=-5%),"警戒","正常")))</f>
        <v/>
      </c>
      <c r="U18" s="19" t="str">
        <f aca="false">IF($A18="","",IF(AND(L18&gt;=3,M18&lt;=2,T18&lt;&gt;"防守"),"是","否"))</f>
        <v/>
      </c>
      <c r="V18" s="19" t="str">
        <f aca="false">IF($A18="","",IF(AND(E18&lt;N18,R18&lt;S18,M18&lt;=2,I18&gt;-15%),"是","否"))</f>
        <v/>
      </c>
      <c r="W18" s="19" t="str">
        <f aca="false">IF($A18="","",IF(OR(M18&gt;=3,I18&lt;=-15%),"是","否"))</f>
        <v/>
      </c>
      <c r="X18" s="15" t="str">
        <f aca="false">IF($A18="","",IFERROR(maxifs(候选池!$AB:$AB,候选池!$A:$A,$A18),0))</f>
        <v/>
      </c>
      <c r="Y18" s="15" t="str">
        <f aca="false">IF($A18="","",IF(OR(M18&gt;=4,I18&lt;=-8%),MAX(0,B18*60%-C18),IF(AND(ISNUMBER(AD18),B18&gt;AD18),IF(B18&lt;30000,0,IF(B18&lt;100000,MAX(0,(B18-AD18)*0.2),MAX(0,(B18-AD18)*0.3))),0)))</f>
        <v/>
      </c>
      <c r="Z18" s="5"/>
      <c r="AA18" s="19" t="str">
        <f aca="false">IF($A18="","",IF($AA$2&lt;&gt;"",$AA$2,""))</f>
        <v/>
      </c>
      <c r="AB18" s="5" t="str">
        <f aca="false">IF($A18="","",IF(B18&lt;30000,0.03,IF(B18&lt;100000,0.02,0.015)))</f>
        <v/>
      </c>
      <c r="AC18" s="18" t="str">
        <f aca="false">IF($A18="","",IFERROR(DATEDIF($A$2,$A18,"m"),0))</f>
        <v/>
      </c>
      <c r="AD18" s="15" t="str">
        <f aca="false">IF($A18="","",IF(OR(AA18="",AB18="",AC18=""),"",AA18*POWER(1+AB18,AC18)))</f>
        <v/>
      </c>
      <c r="AE18" s="21" t="str">
        <f aca="false">IF($A18="","",IF(OR(AD18="",AD18=0),"",B18/AD18-1))</f>
        <v/>
      </c>
      <c r="AG18" s="1" t="str">
        <f aca="false">IF($A18="","",IF(B18&lt;30000,"婴儿",IF(B18&lt;100000,"成长","成熟")))</f>
        <v/>
      </c>
      <c r="AH18" s="22"/>
      <c r="AJ18" s="22"/>
      <c r="AK18" s="22"/>
      <c r="AM18" s="22"/>
      <c r="AP18" s="13"/>
      <c r="AQ18" s="23" t="str">
        <f aca="false">IF($A18="","",B18-$AA$2-SUM($F$2:F18))</f>
        <v/>
      </c>
    </row>
    <row r="19" customFormat="false" ht="15" hidden="false" customHeight="true" outlineLevel="0" collapsed="false">
      <c r="A19" s="7"/>
      <c r="B19" s="24"/>
      <c r="C19" s="24"/>
      <c r="D19" s="15" t="str">
        <f aca="false">IF($A19="","",SUMIFS(持仓表!$J:$J,持仓表!$A:$A,$A19))</f>
        <v/>
      </c>
      <c r="E19" s="16" t="n">
        <f aca="false">IFERROR(D19/B19,0)</f>
        <v>0</v>
      </c>
      <c r="F19" s="24"/>
      <c r="G19" s="15" t="str">
        <f aca="false">IF($B19="","",MAX($B$2:B19))</f>
        <v/>
      </c>
      <c r="H19" s="16" t="n">
        <f aca="false">IFERROR((B19-F19)/F19,0)</f>
        <v>0</v>
      </c>
      <c r="I19" s="16" t="n">
        <f aca="false">IFERROR((B19-G19)/G19,0)</f>
        <v>0</v>
      </c>
      <c r="J19" s="12"/>
      <c r="K19" s="7"/>
      <c r="L19" s="25"/>
      <c r="M19" s="25"/>
      <c r="N19" s="16" t="str">
        <f aca="false">IF($B19="","",MIN(70%,IF($I19&lt;=-15%,10%,IF($I19&lt;=-10%,30%,IF($M19&gt;=4,10%,IF($M19&gt;=3,30%,IF($J19="强",IF($K19="A",70%,IF($K19="B",60%,40%)),IF($J19="中性",IF($K19="A",50%,IF($K19="B",40%,25%)),IF($K19="A",30%,IF($K19="B",20%,10%))))))))))</f>
        <v/>
      </c>
      <c r="O19" s="16" t="str">
        <f aca="false">IF($B19="","",IF(B19&lt;30000,35%,IF(B19&lt;50000,30%,IF(B19&lt;100000,25%,20%))))</f>
        <v/>
      </c>
      <c r="P19" s="18" t="str">
        <f aca="false">IF($A19="","",COUNTIFS(持仓表!$A:$A,$A19,持仓表!$G:$G,"&gt;0"))</f>
        <v/>
      </c>
      <c r="Q19" s="18" t="str">
        <f aca="false">IF($A19="","",COUNTIFS(持仓表!$A:$A,$A19,持仓表!$D:$D,"是",持仓表!$G:$G,"&gt;0"))</f>
        <v/>
      </c>
      <c r="R19" s="18" t="str">
        <f aca="false">IF($A19="","",MAX(0,P19-Q19))</f>
        <v/>
      </c>
      <c r="S19" s="18" t="str">
        <f aca="false">IF($B19="","",IF(B19&lt;50000,3,IF(B19&lt;100000,4,5)))</f>
        <v/>
      </c>
      <c r="T19" s="19" t="str">
        <f aca="false">IF($A19="","",IF(OR(M19&gt;=4,I19&lt;=-8%),"防守",IF(OR(M19&gt;=2,I19&lt;=-5%),"警戒","正常")))</f>
        <v/>
      </c>
      <c r="U19" s="19" t="str">
        <f aca="false">IF($A19="","",IF(AND(L19&gt;=3,M19&lt;=2,T19&lt;&gt;"防守"),"是","否"))</f>
        <v/>
      </c>
      <c r="V19" s="19" t="str">
        <f aca="false">IF($A19="","",IF(AND(E19&lt;N19,R19&lt;S19,M19&lt;=2,I19&gt;-15%),"是","否"))</f>
        <v/>
      </c>
      <c r="W19" s="19" t="str">
        <f aca="false">IF($A19="","",IF(OR(M19&gt;=3,I19&lt;=-15%),"是","否"))</f>
        <v/>
      </c>
      <c r="X19" s="15" t="str">
        <f aca="false">IF($A19="","",IFERROR(maxifs(候选池!$AB:$AB,候选池!$A:$A,$A19),0))</f>
        <v/>
      </c>
      <c r="Y19" s="15" t="str">
        <f aca="false">IF($A19="","",IF(OR(M19&gt;=4,I19&lt;=-8%),MAX(0,B19*60%-C19),IF(AND(ISNUMBER(AD19),B19&gt;AD19),IF(B19&lt;30000,0,IF(B19&lt;100000,MAX(0,(B19-AD19)*0.2),MAX(0,(B19-AD19)*0.3))),0)))</f>
        <v/>
      </c>
      <c r="Z19" s="7"/>
      <c r="AA19" s="19" t="str">
        <f aca="false">IF($A19="","",IF($AA$2&lt;&gt;"",$AA$2,""))</f>
        <v/>
      </c>
      <c r="AB19" s="7" t="str">
        <f aca="false">IF($A19="","",IF(B19&lt;30000,0.03,IF(B19&lt;100000,0.02,0.015)))</f>
        <v/>
      </c>
      <c r="AC19" s="18" t="str">
        <f aca="false">IF($A19="","",IFERROR(DATEDIF($A$2,$A19,"m"),0))</f>
        <v/>
      </c>
      <c r="AD19" s="15" t="str">
        <f aca="false">IF($A19="","",IF(OR(AA19="",AB19="",AC19=""),"",AA19*POWER(1+AB19,AC19)))</f>
        <v/>
      </c>
      <c r="AE19" s="27" t="str">
        <f aca="false">IF($A19="","",IF(OR(AD19="",AD19=0),"",B19/AD19-1))</f>
        <v/>
      </c>
      <c r="AG19" s="1" t="str">
        <f aca="false">IF($A19="","",IF(B19&lt;30000,"婴儿",IF(B19&lt;100000,"成长","成熟")))</f>
        <v/>
      </c>
      <c r="AH19" s="22"/>
      <c r="AJ19" s="22"/>
      <c r="AK19" s="22"/>
      <c r="AM19" s="22"/>
      <c r="AP19" s="13"/>
      <c r="AQ19" s="23" t="str">
        <f aca="false">IF($A19="","",B19-$AA$2-SUM($F$2:F19))</f>
        <v/>
      </c>
    </row>
    <row r="20" customFormat="false" ht="15" hidden="false" customHeight="true" outlineLevel="0" collapsed="false">
      <c r="A20" s="5"/>
      <c r="B20" s="14"/>
      <c r="C20" s="14"/>
      <c r="D20" s="15" t="str">
        <f aca="false">IF($A20="","",SUMIFS(持仓表!$J:$J,持仓表!$A:$A,$A20))</f>
        <v/>
      </c>
      <c r="E20" s="16" t="n">
        <f aca="false">IFERROR(D20/B20,0)</f>
        <v>0</v>
      </c>
      <c r="F20" s="14"/>
      <c r="G20" s="15" t="str">
        <f aca="false">IF($B20="","",MAX($B$2:B20))</f>
        <v/>
      </c>
      <c r="H20" s="16" t="n">
        <f aca="false">IFERROR((B20-F20)/F20,0)</f>
        <v>0</v>
      </c>
      <c r="I20" s="16" t="n">
        <f aca="false">IFERROR((B20-G20)/G20,0)</f>
        <v>0</v>
      </c>
      <c r="J20" s="11"/>
      <c r="K20" s="5"/>
      <c r="L20" s="17"/>
      <c r="M20" s="17"/>
      <c r="N20" s="16" t="str">
        <f aca="false">IF($B20="","",MIN(70%,IF($I20&lt;=-15%,10%,IF($I20&lt;=-10%,30%,IF($M20&gt;=4,10%,IF($M20&gt;=3,30%,IF($J20="强",IF($K20="A",70%,IF($K20="B",60%,40%)),IF($J20="中性",IF($K20="A",50%,IF($K20="B",40%,25%)),IF($K20="A",30%,IF($K20="B",20%,10%))))))))))</f>
        <v/>
      </c>
      <c r="O20" s="16" t="str">
        <f aca="false">IF($B20="","",IF(B20&lt;30000,35%,IF(B20&lt;50000,30%,IF(B20&lt;100000,25%,20%))))</f>
        <v/>
      </c>
      <c r="P20" s="18" t="str">
        <f aca="false">IF($A20="","",COUNTIFS(持仓表!$A:$A,$A20,持仓表!$G:$G,"&gt;0"))</f>
        <v/>
      </c>
      <c r="Q20" s="18" t="str">
        <f aca="false">IF($A20="","",COUNTIFS(持仓表!$A:$A,$A20,持仓表!$D:$D,"是",持仓表!$G:$G,"&gt;0"))</f>
        <v/>
      </c>
      <c r="R20" s="18" t="str">
        <f aca="false">IF($A20="","",MAX(0,P20-Q20))</f>
        <v/>
      </c>
      <c r="S20" s="18" t="str">
        <f aca="false">IF($B20="","",IF(B20&lt;50000,3,IF(B20&lt;100000,4,5)))</f>
        <v/>
      </c>
      <c r="T20" s="19" t="str">
        <f aca="false">IF($A20="","",IF(OR(M20&gt;=4,I20&lt;=-8%),"防守",IF(OR(M20&gt;=2,I20&lt;=-5%),"警戒","正常")))</f>
        <v/>
      </c>
      <c r="U20" s="19" t="str">
        <f aca="false">IF($A20="","",IF(AND(L20&gt;=3,M20&lt;=2,T20&lt;&gt;"防守"),"是","否"))</f>
        <v/>
      </c>
      <c r="V20" s="19" t="str">
        <f aca="false">IF($A20="","",IF(AND(E20&lt;N20,R20&lt;S20,M20&lt;=2,I20&gt;-15%),"是","否"))</f>
        <v/>
      </c>
      <c r="W20" s="19" t="str">
        <f aca="false">IF($A20="","",IF(OR(M20&gt;=3,I20&lt;=-15%),"是","否"))</f>
        <v/>
      </c>
      <c r="X20" s="15" t="str">
        <f aca="false">IF($A20="","",IFERROR(maxifs(候选池!$AB:$AB,候选池!$A:$A,$A20),0))</f>
        <v/>
      </c>
      <c r="Y20" s="15" t="str">
        <f aca="false">IF($A20="","",IF(OR(M20&gt;=4,I20&lt;=-8%),MAX(0,B20*60%-C20),IF(AND(ISNUMBER(AD20),B20&gt;AD20),IF(B20&lt;30000,0,IF(B20&lt;100000,MAX(0,(B20-AD20)*0.2),MAX(0,(B20-AD20)*0.3))),0)))</f>
        <v/>
      </c>
      <c r="Z20" s="5"/>
      <c r="AA20" s="19" t="str">
        <f aca="false">IF($A20="","",IF($AA$2&lt;&gt;"",$AA$2,""))</f>
        <v/>
      </c>
      <c r="AB20" s="5" t="str">
        <f aca="false">IF($A20="","",IF(B20&lt;30000,0.03,IF(B20&lt;100000,0.02,0.015)))</f>
        <v/>
      </c>
      <c r="AC20" s="18" t="str">
        <f aca="false">IF($A20="","",IFERROR(DATEDIF($A$2,$A20,"m"),0))</f>
        <v/>
      </c>
      <c r="AD20" s="15" t="str">
        <f aca="false">IF($A20="","",IF(OR(AA20="",AB20="",AC20=""),"",AA20*POWER(1+AB20,AC20)))</f>
        <v/>
      </c>
      <c r="AE20" s="21" t="str">
        <f aca="false">IF($A20="","",IF(OR(AD20="",AD20=0),"",B20/AD20-1))</f>
        <v/>
      </c>
      <c r="AG20" s="1" t="str">
        <f aca="false">IF($A20="","",IF(B20&lt;30000,"婴儿",IF(B20&lt;100000,"成长","成熟")))</f>
        <v/>
      </c>
      <c r="AH20" s="22"/>
      <c r="AJ20" s="22"/>
      <c r="AK20" s="22"/>
      <c r="AM20" s="22"/>
      <c r="AP20" s="13"/>
      <c r="AQ20" s="23" t="str">
        <f aca="false">IF($A20="","",B20-$AA$2-SUM($F$2:F20))</f>
        <v/>
      </c>
    </row>
    <row r="21" customFormat="false" ht="15" hidden="false" customHeight="true" outlineLevel="0" collapsed="false">
      <c r="A21" s="7"/>
      <c r="B21" s="24"/>
      <c r="C21" s="24"/>
      <c r="D21" s="15" t="str">
        <f aca="false">IF($A21="","",SUMIFS(持仓表!$J:$J,持仓表!$A:$A,$A21))</f>
        <v/>
      </c>
      <c r="E21" s="16" t="n">
        <f aca="false">IFERROR(D21/B21,0)</f>
        <v>0</v>
      </c>
      <c r="F21" s="24"/>
      <c r="G21" s="15" t="str">
        <f aca="false">IF($B21="","",MAX($B$2:B21))</f>
        <v/>
      </c>
      <c r="H21" s="16" t="n">
        <f aca="false">IFERROR((B21-F21)/F21,0)</f>
        <v>0</v>
      </c>
      <c r="I21" s="16" t="n">
        <f aca="false">IFERROR((B21-G21)/G21,0)</f>
        <v>0</v>
      </c>
      <c r="J21" s="12"/>
      <c r="K21" s="7"/>
      <c r="L21" s="25"/>
      <c r="M21" s="25"/>
      <c r="N21" s="16" t="str">
        <f aca="false">IF($B21="","",MIN(70%,IF($I21&lt;=-15%,10%,IF($I21&lt;=-10%,30%,IF($M21&gt;=4,10%,IF($M21&gt;=3,30%,IF($J21="强",IF($K21="A",70%,IF($K21="B",60%,40%)),IF($J21="中性",IF($K21="A",50%,IF($K21="B",40%,25%)),IF($K21="A",30%,IF($K21="B",20%,10%))))))))))</f>
        <v/>
      </c>
      <c r="O21" s="16" t="str">
        <f aca="false">IF($B21="","",IF(B21&lt;30000,35%,IF(B21&lt;50000,30%,IF(B21&lt;100000,25%,20%))))</f>
        <v/>
      </c>
      <c r="P21" s="18" t="str">
        <f aca="false">IF($A21="","",COUNTIFS(持仓表!$A:$A,$A21,持仓表!$G:$G,"&gt;0"))</f>
        <v/>
      </c>
      <c r="Q21" s="18" t="str">
        <f aca="false">IF($A21="","",COUNTIFS(持仓表!$A:$A,$A21,持仓表!$D:$D,"是",持仓表!$G:$G,"&gt;0"))</f>
        <v/>
      </c>
      <c r="R21" s="18" t="str">
        <f aca="false">IF($A21="","",MAX(0,P21-Q21))</f>
        <v/>
      </c>
      <c r="S21" s="18" t="str">
        <f aca="false">IF($B21="","",IF(B21&lt;50000,3,IF(B21&lt;100000,4,5)))</f>
        <v/>
      </c>
      <c r="T21" s="19" t="str">
        <f aca="false">IF($A21="","",IF(OR(M21&gt;=4,I21&lt;=-8%),"防守",IF(OR(M21&gt;=2,I21&lt;=-5%),"警戒","正常")))</f>
        <v/>
      </c>
      <c r="U21" s="19" t="str">
        <f aca="false">IF($A21="","",IF(AND(L21&gt;=3,M21&lt;=2,T21&lt;&gt;"防守"),"是","否"))</f>
        <v/>
      </c>
      <c r="V21" s="19" t="str">
        <f aca="false">IF($A21="","",IF(AND(E21&lt;N21,R21&lt;S21,M21&lt;=2,I21&gt;-15%),"是","否"))</f>
        <v/>
      </c>
      <c r="W21" s="19" t="str">
        <f aca="false">IF($A21="","",IF(OR(M21&gt;=3,I21&lt;=-15%),"是","否"))</f>
        <v/>
      </c>
      <c r="X21" s="15" t="str">
        <f aca="false">IF($A21="","",IFERROR(maxifs(候选池!$AB:$AB,候选池!$A:$A,$A21),0))</f>
        <v/>
      </c>
      <c r="Y21" s="15" t="str">
        <f aca="false">IF($A21="","",IF(OR(M21&gt;=4,I21&lt;=-8%),MAX(0,B21*60%-C21),IF(AND(ISNUMBER(AD21),B21&gt;AD21),IF(B21&lt;30000,0,IF(B21&lt;100000,MAX(0,(B21-AD21)*0.2),MAX(0,(B21-AD21)*0.3))),0)))</f>
        <v/>
      </c>
      <c r="Z21" s="7"/>
      <c r="AA21" s="19" t="str">
        <f aca="false">IF($A21="","",IF($AA$2&lt;&gt;"",$AA$2,""))</f>
        <v/>
      </c>
      <c r="AB21" s="7" t="str">
        <f aca="false">IF($A21="","",IF(B21&lt;30000,0.03,IF(B21&lt;100000,0.02,0.015)))</f>
        <v/>
      </c>
      <c r="AC21" s="18" t="str">
        <f aca="false">IF($A21="","",IFERROR(DATEDIF($A$2,$A21,"m"),0))</f>
        <v/>
      </c>
      <c r="AD21" s="15" t="str">
        <f aca="false">IF($A21="","",IF(OR(AA21="",AB21="",AC21=""),"",AA21*POWER(1+AB21,AC21)))</f>
        <v/>
      </c>
      <c r="AE21" s="27" t="str">
        <f aca="false">IF($A21="","",IF(OR(AD21="",AD21=0),"",B21/AD21-1))</f>
        <v/>
      </c>
      <c r="AG21" s="1" t="str">
        <f aca="false">IF($A21="","",IF(B21&lt;30000,"婴儿",IF(B21&lt;100000,"成长","成熟")))</f>
        <v/>
      </c>
      <c r="AH21" s="22"/>
      <c r="AJ21" s="22"/>
      <c r="AK21" s="22"/>
      <c r="AM21" s="22"/>
      <c r="AP21" s="13"/>
      <c r="AQ21" s="23" t="str">
        <f aca="false">IF($A21="","",B21-$AA$2-SUM($F$2:F21))</f>
        <v/>
      </c>
    </row>
    <row r="22" customFormat="false" ht="15" hidden="false" customHeight="true" outlineLevel="0" collapsed="false">
      <c r="A22" s="5"/>
      <c r="B22" s="14"/>
      <c r="C22" s="14"/>
      <c r="D22" s="15" t="str">
        <f aca="false">IF($A22="","",SUMIFS(持仓表!$J:$J,持仓表!$A:$A,$A22))</f>
        <v/>
      </c>
      <c r="E22" s="16" t="n">
        <f aca="false">IFERROR(D22/B22,0)</f>
        <v>0</v>
      </c>
      <c r="F22" s="14"/>
      <c r="G22" s="15" t="str">
        <f aca="false">IF($B22="","",MAX($B$2:B22))</f>
        <v/>
      </c>
      <c r="H22" s="16" t="n">
        <f aca="false">IFERROR((B22-F22)/F22,0)</f>
        <v>0</v>
      </c>
      <c r="I22" s="16" t="n">
        <f aca="false">IFERROR((B22-G22)/G22,0)</f>
        <v>0</v>
      </c>
      <c r="J22" s="11"/>
      <c r="K22" s="5"/>
      <c r="L22" s="17"/>
      <c r="M22" s="17"/>
      <c r="N22" s="16" t="str">
        <f aca="false">IF($B22="","",MIN(70%,IF($I22&lt;=-15%,10%,IF($I22&lt;=-10%,30%,IF($M22&gt;=4,10%,IF($M22&gt;=3,30%,IF($J22="强",IF($K22="A",70%,IF($K22="B",60%,40%)),IF($J22="中性",IF($K22="A",50%,IF($K22="B",40%,25%)),IF($K22="A",30%,IF($K22="B",20%,10%))))))))))</f>
        <v/>
      </c>
      <c r="O22" s="16" t="str">
        <f aca="false">IF($B22="","",IF(B22&lt;30000,35%,IF(B22&lt;50000,30%,IF(B22&lt;100000,25%,20%))))</f>
        <v/>
      </c>
      <c r="P22" s="18" t="str">
        <f aca="false">IF($A22="","",COUNTIFS(持仓表!$A:$A,$A22,持仓表!$G:$G,"&gt;0"))</f>
        <v/>
      </c>
      <c r="Q22" s="18" t="str">
        <f aca="false">IF($A22="","",COUNTIFS(持仓表!$A:$A,$A22,持仓表!$D:$D,"是",持仓表!$G:$G,"&gt;0"))</f>
        <v/>
      </c>
      <c r="R22" s="18" t="str">
        <f aca="false">IF($A22="","",MAX(0,P22-Q22))</f>
        <v/>
      </c>
      <c r="S22" s="18" t="str">
        <f aca="false">IF($B22="","",IF(B22&lt;50000,3,IF(B22&lt;100000,4,5)))</f>
        <v/>
      </c>
      <c r="T22" s="19" t="str">
        <f aca="false">IF($A22="","",IF(OR(M22&gt;=4,I22&lt;=-8%),"防守",IF(OR(M22&gt;=2,I22&lt;=-5%),"警戒","正常")))</f>
        <v/>
      </c>
      <c r="U22" s="19" t="str">
        <f aca="false">IF($A22="","",IF(AND(L22&gt;=3,M22&lt;=2,T22&lt;&gt;"防守"),"是","否"))</f>
        <v/>
      </c>
      <c r="V22" s="19" t="str">
        <f aca="false">IF($A22="","",IF(AND(E22&lt;N22,R22&lt;S22,M22&lt;=2,I22&gt;-15%),"是","否"))</f>
        <v/>
      </c>
      <c r="W22" s="19" t="str">
        <f aca="false">IF($A22="","",IF(OR(M22&gt;=3,I22&lt;=-15%),"是","否"))</f>
        <v/>
      </c>
      <c r="X22" s="15" t="str">
        <f aca="false">IF($A22="","",IFERROR(maxifs(候选池!$AB:$AB,候选池!$A:$A,$A22),0))</f>
        <v/>
      </c>
      <c r="Y22" s="15" t="str">
        <f aca="false">IF($A22="","",IF(OR(M22&gt;=4,I22&lt;=-8%),MAX(0,B22*60%-C22),IF(AND(ISNUMBER(AD22),B22&gt;AD22),IF(B22&lt;30000,0,IF(B22&lt;100000,MAX(0,(B22-AD22)*0.2),MAX(0,(B22-AD22)*0.3))),0)))</f>
        <v/>
      </c>
      <c r="Z22" s="5"/>
      <c r="AA22" s="19" t="str">
        <f aca="false">IF($A22="","",IF($AA$2&lt;&gt;"",$AA$2,""))</f>
        <v/>
      </c>
      <c r="AB22" s="5" t="str">
        <f aca="false">IF($A22="","",IF(B22&lt;30000,0.03,IF(B22&lt;100000,0.02,0.015)))</f>
        <v/>
      </c>
      <c r="AC22" s="18" t="str">
        <f aca="false">IF($A22="","",IFERROR(DATEDIF($A$2,$A22,"m"),0))</f>
        <v/>
      </c>
      <c r="AD22" s="15" t="str">
        <f aca="false">IF($A22="","",IF(OR(AA22="",AB22="",AC22=""),"",AA22*POWER(1+AB22,AC22)))</f>
        <v/>
      </c>
      <c r="AE22" s="21" t="str">
        <f aca="false">IF($A22="","",IF(OR(AD22="",AD22=0),"",B22/AD22-1))</f>
        <v/>
      </c>
      <c r="AG22" s="1" t="str">
        <f aca="false">IF($A22="","",IF(B22&lt;30000,"婴儿",IF(B22&lt;100000,"成长","成熟")))</f>
        <v/>
      </c>
      <c r="AH22" s="22"/>
      <c r="AJ22" s="22"/>
      <c r="AK22" s="22"/>
      <c r="AM22" s="22"/>
      <c r="AP22" s="13"/>
      <c r="AQ22" s="23" t="str">
        <f aca="false">IF($A22="","",B22-$AA$2-SUM($F$2:F22))</f>
        <v/>
      </c>
    </row>
    <row r="23" customFormat="false" ht="15" hidden="false" customHeight="true" outlineLevel="0" collapsed="false">
      <c r="A23" s="7"/>
      <c r="B23" s="24"/>
      <c r="C23" s="24"/>
      <c r="D23" s="15" t="str">
        <f aca="false">IF($A23="","",SUMIFS(持仓表!$J:$J,持仓表!$A:$A,$A23))</f>
        <v/>
      </c>
      <c r="E23" s="16" t="n">
        <f aca="false">IFERROR(D23/B23,0)</f>
        <v>0</v>
      </c>
      <c r="F23" s="24"/>
      <c r="G23" s="15" t="str">
        <f aca="false">IF($B23="","",MAX($B$2:B23))</f>
        <v/>
      </c>
      <c r="H23" s="16" t="n">
        <f aca="false">IFERROR((B23-F23)/F23,0)</f>
        <v>0</v>
      </c>
      <c r="I23" s="16" t="n">
        <f aca="false">IFERROR((B23-G23)/G23,0)</f>
        <v>0</v>
      </c>
      <c r="J23" s="12"/>
      <c r="K23" s="7"/>
      <c r="L23" s="25"/>
      <c r="M23" s="25"/>
      <c r="N23" s="16" t="str">
        <f aca="false">IF($B23="","",MIN(70%,IF($I23&lt;=-15%,10%,IF($I23&lt;=-10%,30%,IF($M23&gt;=4,10%,IF($M23&gt;=3,30%,IF($J23="强",IF($K23="A",70%,IF($K23="B",60%,40%)),IF($J23="中性",IF($K23="A",50%,IF($K23="B",40%,25%)),IF($K23="A",30%,IF($K23="B",20%,10%))))))))))</f>
        <v/>
      </c>
      <c r="O23" s="16" t="str">
        <f aca="false">IF($B23="","",IF(B23&lt;30000,35%,IF(B23&lt;50000,30%,IF(B23&lt;100000,25%,20%))))</f>
        <v/>
      </c>
      <c r="P23" s="18" t="str">
        <f aca="false">IF($A23="","",COUNTIFS(持仓表!$A:$A,$A23,持仓表!$G:$G,"&gt;0"))</f>
        <v/>
      </c>
      <c r="Q23" s="18" t="str">
        <f aca="false">IF($A23="","",COUNTIFS(持仓表!$A:$A,$A23,持仓表!$D:$D,"是",持仓表!$G:$G,"&gt;0"))</f>
        <v/>
      </c>
      <c r="R23" s="18" t="str">
        <f aca="false">IF($A23="","",MAX(0,P23-Q23))</f>
        <v/>
      </c>
      <c r="S23" s="18" t="str">
        <f aca="false">IF($B23="","",IF(B23&lt;50000,3,IF(B23&lt;100000,4,5)))</f>
        <v/>
      </c>
      <c r="T23" s="19" t="str">
        <f aca="false">IF($A23="","",IF(OR(M23&gt;=4,I23&lt;=-8%),"防守",IF(OR(M23&gt;=2,I23&lt;=-5%),"警戒","正常")))</f>
        <v/>
      </c>
      <c r="U23" s="19" t="str">
        <f aca="false">IF($A23="","",IF(AND(L23&gt;=3,M23&lt;=2,T23&lt;&gt;"防守"),"是","否"))</f>
        <v/>
      </c>
      <c r="V23" s="19" t="str">
        <f aca="false">IF($A23="","",IF(AND(E23&lt;N23,R23&lt;S23,M23&lt;=2,I23&gt;-15%),"是","否"))</f>
        <v/>
      </c>
      <c r="W23" s="19" t="str">
        <f aca="false">IF($A23="","",IF(OR(M23&gt;=3,I23&lt;=-15%),"是","否"))</f>
        <v/>
      </c>
      <c r="X23" s="15" t="str">
        <f aca="false">IF($A23="","",IFERROR(maxifs(候选池!$AB:$AB,候选池!$A:$A,$A23),0))</f>
        <v/>
      </c>
      <c r="Y23" s="15" t="str">
        <f aca="false">IF($A23="","",IF(OR(M23&gt;=4,I23&lt;=-8%),MAX(0,B23*60%-C23),IF(AND(ISNUMBER(AD23),B23&gt;AD23),IF(B23&lt;30000,0,IF(B23&lt;100000,MAX(0,(B23-AD23)*0.2),MAX(0,(B23-AD23)*0.3))),0)))</f>
        <v/>
      </c>
      <c r="Z23" s="7"/>
      <c r="AA23" s="19" t="str">
        <f aca="false">IF($A23="","",IF($AA$2&lt;&gt;"",$AA$2,""))</f>
        <v/>
      </c>
      <c r="AB23" s="7" t="str">
        <f aca="false">IF($A23="","",IF(B23&lt;30000,0.03,IF(B23&lt;100000,0.02,0.015)))</f>
        <v/>
      </c>
      <c r="AC23" s="18" t="str">
        <f aca="false">IF($A23="","",IFERROR(DATEDIF($A$2,$A23,"m"),0))</f>
        <v/>
      </c>
      <c r="AD23" s="15" t="str">
        <f aca="false">IF($A23="","",IF(OR(AA23="",AB23="",AC23=""),"",AA23*POWER(1+AB23,AC23)))</f>
        <v/>
      </c>
      <c r="AE23" s="27" t="str">
        <f aca="false">IF($A23="","",IF(OR(AD23="",AD23=0),"",B23/AD23-1))</f>
        <v/>
      </c>
      <c r="AG23" s="1" t="str">
        <f aca="false">IF($A23="","",IF(B23&lt;30000,"婴儿",IF(B23&lt;100000,"成长","成熟")))</f>
        <v/>
      </c>
      <c r="AH23" s="22"/>
      <c r="AJ23" s="22"/>
      <c r="AK23" s="22"/>
      <c r="AM23" s="22"/>
      <c r="AP23" s="13"/>
      <c r="AQ23" s="23" t="str">
        <f aca="false">IF($A23="","",B23-$AA$2-SUM($F$2:F23))</f>
        <v/>
      </c>
    </row>
    <row r="24" customFormat="false" ht="15" hidden="false" customHeight="true" outlineLevel="0" collapsed="false">
      <c r="A24" s="5"/>
      <c r="B24" s="14"/>
      <c r="C24" s="14"/>
      <c r="D24" s="15" t="str">
        <f aca="false">IF($A24="","",SUMIFS(持仓表!$J:$J,持仓表!$A:$A,$A24))</f>
        <v/>
      </c>
      <c r="E24" s="16" t="n">
        <f aca="false">IFERROR(D24/B24,0)</f>
        <v>0</v>
      </c>
      <c r="F24" s="14"/>
      <c r="G24" s="15" t="str">
        <f aca="false">IF($B24="","",MAX($B$2:B24))</f>
        <v/>
      </c>
      <c r="H24" s="16" t="n">
        <f aca="false">IFERROR((B24-F24)/F24,0)</f>
        <v>0</v>
      </c>
      <c r="I24" s="16" t="n">
        <f aca="false">IFERROR((B24-G24)/G24,0)</f>
        <v>0</v>
      </c>
      <c r="J24" s="11"/>
      <c r="K24" s="5"/>
      <c r="L24" s="17"/>
      <c r="M24" s="17"/>
      <c r="N24" s="16" t="str">
        <f aca="false">IF($B24="","",MIN(70%,IF($I24&lt;=-15%,10%,IF($I24&lt;=-10%,30%,IF($M24&gt;=4,10%,IF($M24&gt;=3,30%,IF($J24="强",IF($K24="A",70%,IF($K24="B",60%,40%)),IF($J24="中性",IF($K24="A",50%,IF($K24="B",40%,25%)),IF($K24="A",30%,IF($K24="B",20%,10%))))))))))</f>
        <v/>
      </c>
      <c r="O24" s="16" t="str">
        <f aca="false">IF($B24="","",IF(B24&lt;30000,35%,IF(B24&lt;50000,30%,IF(B24&lt;100000,25%,20%))))</f>
        <v/>
      </c>
      <c r="P24" s="18" t="str">
        <f aca="false">IF($A24="","",COUNTIFS(持仓表!$A:$A,$A24,持仓表!$G:$G,"&gt;0"))</f>
        <v/>
      </c>
      <c r="Q24" s="18" t="str">
        <f aca="false">IF($A24="","",COUNTIFS(持仓表!$A:$A,$A24,持仓表!$D:$D,"是",持仓表!$G:$G,"&gt;0"))</f>
        <v/>
      </c>
      <c r="R24" s="18" t="str">
        <f aca="false">IF($A24="","",MAX(0,P24-Q24))</f>
        <v/>
      </c>
      <c r="S24" s="18" t="str">
        <f aca="false">IF($B24="","",IF(B24&lt;50000,3,IF(B24&lt;100000,4,5)))</f>
        <v/>
      </c>
      <c r="T24" s="19" t="str">
        <f aca="false">IF($A24="","",IF(OR(M24&gt;=4,I24&lt;=-8%),"防守",IF(OR(M24&gt;=2,I24&lt;=-5%),"警戒","正常")))</f>
        <v/>
      </c>
      <c r="U24" s="19" t="str">
        <f aca="false">IF($A24="","",IF(AND(L24&gt;=3,M24&lt;=2,T24&lt;&gt;"防守"),"是","否"))</f>
        <v/>
      </c>
      <c r="V24" s="19" t="str">
        <f aca="false">IF($A24="","",IF(AND(E24&lt;N24,R24&lt;S24,M24&lt;=2,I24&gt;-15%),"是","否"))</f>
        <v/>
      </c>
      <c r="W24" s="19" t="str">
        <f aca="false">IF($A24="","",IF(OR(M24&gt;=3,I24&lt;=-15%),"是","否"))</f>
        <v/>
      </c>
      <c r="X24" s="15" t="str">
        <f aca="false">IF($A24="","",IFERROR(maxifs(候选池!$AB:$AB,候选池!$A:$A,$A24),0))</f>
        <v/>
      </c>
      <c r="Y24" s="15" t="str">
        <f aca="false">IF($A24="","",IF(OR(M24&gt;=4,I24&lt;=-8%),MAX(0,B24*60%-C24),IF(AND(ISNUMBER(AD24),B24&gt;AD24),IF(B24&lt;30000,0,IF(B24&lt;100000,MAX(0,(B24-AD24)*0.2),MAX(0,(B24-AD24)*0.3))),0)))</f>
        <v/>
      </c>
      <c r="Z24" s="5"/>
      <c r="AA24" s="19" t="str">
        <f aca="false">IF($A24="","",IF($AA$2&lt;&gt;"",$AA$2,""))</f>
        <v/>
      </c>
      <c r="AB24" s="5" t="str">
        <f aca="false">IF($A24="","",IF(B24&lt;30000,0.03,IF(B24&lt;100000,0.02,0.015)))</f>
        <v/>
      </c>
      <c r="AC24" s="18" t="str">
        <f aca="false">IF($A24="","",IFERROR(DATEDIF($A$2,$A24,"m"),0))</f>
        <v/>
      </c>
      <c r="AD24" s="15" t="str">
        <f aca="false">IF($A24="","",IF(OR(AA24="",AB24="",AC24=""),"",AA24*POWER(1+AB24,AC24)))</f>
        <v/>
      </c>
      <c r="AE24" s="21" t="str">
        <f aca="false">IF($A24="","",IF(OR(AD24="",AD24=0),"",B24/AD24-1))</f>
        <v/>
      </c>
      <c r="AG24" s="1" t="str">
        <f aca="false">IF($A24="","",IF(B24&lt;30000,"婴儿",IF(B24&lt;100000,"成长","成熟")))</f>
        <v/>
      </c>
      <c r="AH24" s="22"/>
      <c r="AJ24" s="22"/>
      <c r="AK24" s="22"/>
      <c r="AM24" s="22"/>
      <c r="AP24" s="13"/>
      <c r="AQ24" s="23" t="str">
        <f aca="false">IF($A24="","",B24-$AA$2-SUM($F$2:F24))</f>
        <v/>
      </c>
    </row>
    <row r="25" customFormat="false" ht="15" hidden="false" customHeight="true" outlineLevel="0" collapsed="false">
      <c r="A25" s="7"/>
      <c r="B25" s="24"/>
      <c r="C25" s="24"/>
      <c r="D25" s="15" t="str">
        <f aca="false">IF($A25="","",SUMIFS(持仓表!$J:$J,持仓表!$A:$A,$A25))</f>
        <v/>
      </c>
      <c r="E25" s="16" t="n">
        <f aca="false">IFERROR(D25/B25,0)</f>
        <v>0</v>
      </c>
      <c r="F25" s="24"/>
      <c r="G25" s="15" t="str">
        <f aca="false">IF($B25="","",MAX($B$2:B25))</f>
        <v/>
      </c>
      <c r="H25" s="16" t="n">
        <f aca="false">IFERROR((B25-F25)/F25,0)</f>
        <v>0</v>
      </c>
      <c r="I25" s="16" t="n">
        <f aca="false">IFERROR((B25-G25)/G25,0)</f>
        <v>0</v>
      </c>
      <c r="J25" s="12"/>
      <c r="K25" s="7"/>
      <c r="L25" s="25"/>
      <c r="M25" s="25"/>
      <c r="N25" s="16" t="str">
        <f aca="false">IF($B25="","",MIN(70%,IF($I25&lt;=-15%,10%,IF($I25&lt;=-10%,30%,IF($M25&gt;=4,10%,IF($M25&gt;=3,30%,IF($J25="强",IF($K25="A",70%,IF($K25="B",60%,40%)),IF($J25="中性",IF($K25="A",50%,IF($K25="B",40%,25%)),IF($K25="A",30%,IF($K25="B",20%,10%))))))))))</f>
        <v/>
      </c>
      <c r="O25" s="16" t="str">
        <f aca="false">IF($B25="","",IF(B25&lt;30000,35%,IF(B25&lt;50000,30%,IF(B25&lt;100000,25%,20%))))</f>
        <v/>
      </c>
      <c r="P25" s="18" t="str">
        <f aca="false">IF($A25="","",COUNTIFS(持仓表!$A:$A,$A25,持仓表!$G:$G,"&gt;0"))</f>
        <v/>
      </c>
      <c r="Q25" s="18" t="str">
        <f aca="false">IF($A25="","",COUNTIFS(持仓表!$A:$A,$A25,持仓表!$D:$D,"是",持仓表!$G:$G,"&gt;0"))</f>
        <v/>
      </c>
      <c r="R25" s="18" t="str">
        <f aca="false">IF($A25="","",MAX(0,P25-Q25))</f>
        <v/>
      </c>
      <c r="S25" s="18" t="str">
        <f aca="false">IF($B25="","",IF(B25&lt;50000,3,IF(B25&lt;100000,4,5)))</f>
        <v/>
      </c>
      <c r="T25" s="19" t="str">
        <f aca="false">IF($A25="","",IF(OR(M25&gt;=4,I25&lt;=-8%),"防守",IF(OR(M25&gt;=2,I25&lt;=-5%),"警戒","正常")))</f>
        <v/>
      </c>
      <c r="U25" s="19" t="str">
        <f aca="false">IF($A25="","",IF(AND(L25&gt;=3,M25&lt;=2,T25&lt;&gt;"防守"),"是","否"))</f>
        <v/>
      </c>
      <c r="V25" s="19" t="str">
        <f aca="false">IF($A25="","",IF(AND(E25&lt;N25,R25&lt;S25,M25&lt;=2,I25&gt;-15%),"是","否"))</f>
        <v/>
      </c>
      <c r="W25" s="19" t="str">
        <f aca="false">IF($A25="","",IF(OR(M25&gt;=3,I25&lt;=-15%),"是","否"))</f>
        <v/>
      </c>
      <c r="X25" s="15" t="str">
        <f aca="false">IF($A25="","",IFERROR(maxifs(候选池!$AB:$AB,候选池!$A:$A,$A25),0))</f>
        <v/>
      </c>
      <c r="Y25" s="15" t="str">
        <f aca="false">IF($A25="","",IF(OR(M25&gt;=4,I25&lt;=-8%),MAX(0,B25*60%-C25),IF(AND(ISNUMBER(AD25),B25&gt;AD25),IF(B25&lt;30000,0,IF(B25&lt;100000,MAX(0,(B25-AD25)*0.2),MAX(0,(B25-AD25)*0.3))),0)))</f>
        <v/>
      </c>
      <c r="Z25" s="7"/>
      <c r="AA25" s="19" t="str">
        <f aca="false">IF($A25="","",IF($AA$2&lt;&gt;"",$AA$2,""))</f>
        <v/>
      </c>
      <c r="AB25" s="7" t="str">
        <f aca="false">IF($A25="","",IF(B25&lt;30000,0.03,IF(B25&lt;100000,0.02,0.015)))</f>
        <v/>
      </c>
      <c r="AC25" s="18" t="str">
        <f aca="false">IF($A25="","",IFERROR(DATEDIF($A$2,$A25,"m"),0))</f>
        <v/>
      </c>
      <c r="AD25" s="15" t="str">
        <f aca="false">IF($A25="","",IF(OR(AA25="",AB25="",AC25=""),"",AA25*POWER(1+AB25,AC25)))</f>
        <v/>
      </c>
      <c r="AE25" s="27" t="str">
        <f aca="false">IF($A25="","",IF(OR(AD25="",AD25=0),"",B25/AD25-1))</f>
        <v/>
      </c>
      <c r="AG25" s="1" t="str">
        <f aca="false">IF($A25="","",IF(B25&lt;30000,"婴儿",IF(B25&lt;100000,"成长","成熟")))</f>
        <v/>
      </c>
      <c r="AH25" s="22"/>
      <c r="AJ25" s="22"/>
      <c r="AK25" s="22"/>
      <c r="AM25" s="22"/>
      <c r="AP25" s="13"/>
      <c r="AQ25" s="23" t="str">
        <f aca="false">IF($A25="","",B25-$AA$2-SUM($F$2:F25))</f>
        <v/>
      </c>
    </row>
    <row r="26" customFormat="false" ht="15" hidden="false" customHeight="true" outlineLevel="0" collapsed="false">
      <c r="A26" s="5"/>
      <c r="B26" s="14"/>
      <c r="C26" s="14"/>
      <c r="D26" s="15" t="str">
        <f aca="false">IF($A26="","",SUMIFS(持仓表!$J:$J,持仓表!$A:$A,$A26))</f>
        <v/>
      </c>
      <c r="E26" s="16" t="n">
        <f aca="false">IFERROR(D26/B26,0)</f>
        <v>0</v>
      </c>
      <c r="F26" s="14"/>
      <c r="G26" s="15" t="str">
        <f aca="false">IF($B26="","",MAX($B$2:B26))</f>
        <v/>
      </c>
      <c r="H26" s="16" t="n">
        <f aca="false">IFERROR((B26-F26)/F26,0)</f>
        <v>0</v>
      </c>
      <c r="I26" s="16" t="n">
        <f aca="false">IFERROR((B26-G26)/G26,0)</f>
        <v>0</v>
      </c>
      <c r="J26" s="11"/>
      <c r="K26" s="5"/>
      <c r="L26" s="17"/>
      <c r="M26" s="17"/>
      <c r="N26" s="16" t="str">
        <f aca="false">IF($B26="","",MIN(70%,IF($I26&lt;=-15%,10%,IF($I26&lt;=-10%,30%,IF($M26&gt;=4,10%,IF($M26&gt;=3,30%,IF($J26="强",IF($K26="A",70%,IF($K26="B",60%,40%)),IF($J26="中性",IF($K26="A",50%,IF($K26="B",40%,25%)),IF($K26="A",30%,IF($K26="B",20%,10%))))))))))</f>
        <v/>
      </c>
      <c r="O26" s="16" t="str">
        <f aca="false">IF($B26="","",IF(B26&lt;30000,35%,IF(B26&lt;50000,30%,IF(B26&lt;100000,25%,20%))))</f>
        <v/>
      </c>
      <c r="P26" s="18" t="str">
        <f aca="false">IF($A26="","",COUNTIFS(持仓表!$A:$A,$A26,持仓表!$G:$G,"&gt;0"))</f>
        <v/>
      </c>
      <c r="Q26" s="18" t="str">
        <f aca="false">IF($A26="","",COUNTIFS(持仓表!$A:$A,$A26,持仓表!$D:$D,"是",持仓表!$G:$G,"&gt;0"))</f>
        <v/>
      </c>
      <c r="R26" s="18" t="str">
        <f aca="false">IF($A26="","",MAX(0,P26-Q26))</f>
        <v/>
      </c>
      <c r="S26" s="18" t="str">
        <f aca="false">IF($B26="","",IF(B26&lt;50000,3,IF(B26&lt;100000,4,5)))</f>
        <v/>
      </c>
      <c r="T26" s="19" t="str">
        <f aca="false">IF($A26="","",IF(OR(M26&gt;=4,I26&lt;=-8%),"防守",IF(OR(M26&gt;=2,I26&lt;=-5%),"警戒","正常")))</f>
        <v/>
      </c>
      <c r="U26" s="19" t="str">
        <f aca="false">IF($A26="","",IF(AND(L26&gt;=3,M26&lt;=2,T26&lt;&gt;"防守"),"是","否"))</f>
        <v/>
      </c>
      <c r="V26" s="19" t="str">
        <f aca="false">IF($A26="","",IF(AND(E26&lt;N26,R26&lt;S26,M26&lt;=2,I26&gt;-15%),"是","否"))</f>
        <v/>
      </c>
      <c r="W26" s="19" t="str">
        <f aca="false">IF($A26="","",IF(OR(M26&gt;=3,I26&lt;=-15%),"是","否"))</f>
        <v/>
      </c>
      <c r="X26" s="15" t="str">
        <f aca="false">IF($A26="","",IFERROR(maxifs(候选池!$AB:$AB,候选池!$A:$A,$A26),0))</f>
        <v/>
      </c>
      <c r="Y26" s="15" t="str">
        <f aca="false">IF($A26="","",IF(OR(M26&gt;=4,I26&lt;=-8%),MAX(0,B26*60%-C26),IF(AND(ISNUMBER(AD26),B26&gt;AD26),IF(B26&lt;30000,0,IF(B26&lt;100000,MAX(0,(B26-AD26)*0.2),MAX(0,(B26-AD26)*0.3))),0)))</f>
        <v/>
      </c>
      <c r="Z26" s="5"/>
      <c r="AA26" s="19" t="str">
        <f aca="false">IF($A26="","",IF($AA$2&lt;&gt;"",$AA$2,""))</f>
        <v/>
      </c>
      <c r="AB26" s="5" t="str">
        <f aca="false">IF($A26="","",IF(B26&lt;30000,0.03,IF(B26&lt;100000,0.02,0.015)))</f>
        <v/>
      </c>
      <c r="AC26" s="18" t="str">
        <f aca="false">IF($A26="","",IFERROR(DATEDIF($A$2,$A26,"m"),0))</f>
        <v/>
      </c>
      <c r="AD26" s="15" t="str">
        <f aca="false">IF($A26="","",IF(OR(AA26="",AB26="",AC26=""),"",AA26*POWER(1+AB26,AC26)))</f>
        <v/>
      </c>
      <c r="AE26" s="21" t="str">
        <f aca="false">IF($A26="","",IF(OR(AD26="",AD26=0),"",B26/AD26-1))</f>
        <v/>
      </c>
      <c r="AG26" s="1" t="str">
        <f aca="false">IF($A26="","",IF(B26&lt;30000,"婴儿",IF(B26&lt;100000,"成长","成熟")))</f>
        <v/>
      </c>
      <c r="AH26" s="22"/>
      <c r="AJ26" s="22"/>
      <c r="AK26" s="22"/>
      <c r="AM26" s="22"/>
      <c r="AP26" s="13"/>
      <c r="AQ26" s="23" t="str">
        <f aca="false">IF($A26="","",B26-$AA$2-SUM($F$2:F26))</f>
        <v/>
      </c>
    </row>
    <row r="27" customFormat="false" ht="15" hidden="false" customHeight="true" outlineLevel="0" collapsed="false">
      <c r="A27" s="7"/>
      <c r="B27" s="24"/>
      <c r="C27" s="24"/>
      <c r="D27" s="15" t="str">
        <f aca="false">IF($A27="","",SUMIFS(持仓表!$J:$J,持仓表!$A:$A,$A27))</f>
        <v/>
      </c>
      <c r="E27" s="16" t="n">
        <f aca="false">IFERROR(D27/B27,0)</f>
        <v>0</v>
      </c>
      <c r="F27" s="24"/>
      <c r="G27" s="15" t="str">
        <f aca="false">IF($B27="","",MAX($B$2:B27))</f>
        <v/>
      </c>
      <c r="H27" s="16" t="n">
        <f aca="false">IFERROR((B27-F27)/F27,0)</f>
        <v>0</v>
      </c>
      <c r="I27" s="16" t="n">
        <f aca="false">IFERROR((B27-G27)/G27,0)</f>
        <v>0</v>
      </c>
      <c r="J27" s="12"/>
      <c r="K27" s="7"/>
      <c r="L27" s="25"/>
      <c r="M27" s="25"/>
      <c r="N27" s="16" t="str">
        <f aca="false">IF($B27="","",MIN(70%,IF($I27&lt;=-15%,10%,IF($I27&lt;=-10%,30%,IF($M27&gt;=4,10%,IF($M27&gt;=3,30%,IF($J27="强",IF($K27="A",70%,IF($K27="B",60%,40%)),IF($J27="中性",IF($K27="A",50%,IF($K27="B",40%,25%)),IF($K27="A",30%,IF($K27="B",20%,10%))))))))))</f>
        <v/>
      </c>
      <c r="O27" s="16" t="str">
        <f aca="false">IF($B27="","",IF(B27&lt;30000,35%,IF(B27&lt;50000,30%,IF(B27&lt;100000,25%,20%))))</f>
        <v/>
      </c>
      <c r="P27" s="18" t="str">
        <f aca="false">IF($A27="","",COUNTIFS(持仓表!$A:$A,$A27,持仓表!$G:$G,"&gt;0"))</f>
        <v/>
      </c>
      <c r="Q27" s="18" t="str">
        <f aca="false">IF($A27="","",COUNTIFS(持仓表!$A:$A,$A27,持仓表!$D:$D,"是",持仓表!$G:$G,"&gt;0"))</f>
        <v/>
      </c>
      <c r="R27" s="18" t="str">
        <f aca="false">IF($A27="","",MAX(0,P27-Q27))</f>
        <v/>
      </c>
      <c r="S27" s="18" t="str">
        <f aca="false">IF($B27="","",IF(B27&lt;50000,3,IF(B27&lt;100000,4,5)))</f>
        <v/>
      </c>
      <c r="T27" s="19" t="str">
        <f aca="false">IF($A27="","",IF(OR(M27&gt;=4,I27&lt;=-8%),"防守",IF(OR(M27&gt;=2,I27&lt;=-5%),"警戒","正常")))</f>
        <v/>
      </c>
      <c r="U27" s="19" t="str">
        <f aca="false">IF($A27="","",IF(AND(L27&gt;=3,M27&lt;=2,T27&lt;&gt;"防守"),"是","否"))</f>
        <v/>
      </c>
      <c r="V27" s="19" t="str">
        <f aca="false">IF($A27="","",IF(AND(E27&lt;N27,R27&lt;S27,M27&lt;=2,I27&gt;-15%),"是","否"))</f>
        <v/>
      </c>
      <c r="W27" s="19" t="str">
        <f aca="false">IF($A27="","",IF(OR(M27&gt;=3,I27&lt;=-15%),"是","否"))</f>
        <v/>
      </c>
      <c r="X27" s="15" t="str">
        <f aca="false">IF($A27="","",IFERROR(maxifs(候选池!$AB:$AB,候选池!$A:$A,$A27),0))</f>
        <v/>
      </c>
      <c r="Y27" s="15" t="str">
        <f aca="false">IF($A27="","",IF(OR(M27&gt;=4,I27&lt;=-8%),MAX(0,B27*60%-C27),IF(AND(ISNUMBER(AD27),B27&gt;AD27),IF(B27&lt;30000,0,IF(B27&lt;100000,MAX(0,(B27-AD27)*0.2),MAX(0,(B27-AD27)*0.3))),0)))</f>
        <v/>
      </c>
      <c r="Z27" s="7"/>
      <c r="AA27" s="19" t="str">
        <f aca="false">IF($A27="","",IF($AA$2&lt;&gt;"",$AA$2,""))</f>
        <v/>
      </c>
      <c r="AB27" s="7" t="str">
        <f aca="false">IF($A27="","",IF(B27&lt;30000,0.03,IF(B27&lt;100000,0.02,0.015)))</f>
        <v/>
      </c>
      <c r="AC27" s="18" t="str">
        <f aca="false">IF($A27="","",IFERROR(DATEDIF($A$2,$A27,"m"),0))</f>
        <v/>
      </c>
      <c r="AD27" s="15" t="str">
        <f aca="false">IF($A27="","",IF(OR(AA27="",AB27="",AC27=""),"",AA27*POWER(1+AB27,AC27)))</f>
        <v/>
      </c>
      <c r="AE27" s="27" t="str">
        <f aca="false">IF($A27="","",IF(OR(AD27="",AD27=0),"",B27/AD27-1))</f>
        <v/>
      </c>
      <c r="AG27" s="1" t="str">
        <f aca="false">IF($A27="","",IF(B27&lt;30000,"婴儿",IF(B27&lt;100000,"成长","成熟")))</f>
        <v/>
      </c>
      <c r="AH27" s="22"/>
      <c r="AJ27" s="22"/>
      <c r="AK27" s="22"/>
      <c r="AM27" s="22"/>
      <c r="AP27" s="13"/>
      <c r="AQ27" s="23" t="str">
        <f aca="false">IF($A27="","",B27-$AA$2-SUM($F$2:F27))</f>
        <v/>
      </c>
    </row>
    <row r="28" customFormat="false" ht="15" hidden="false" customHeight="true" outlineLevel="0" collapsed="false">
      <c r="A28" s="5"/>
      <c r="B28" s="14"/>
      <c r="C28" s="14"/>
      <c r="D28" s="15" t="str">
        <f aca="false">IF($A28="","",SUMIFS(持仓表!$J:$J,持仓表!$A:$A,$A28))</f>
        <v/>
      </c>
      <c r="E28" s="16" t="n">
        <f aca="false">IFERROR(D28/B28,0)</f>
        <v>0</v>
      </c>
      <c r="F28" s="14"/>
      <c r="G28" s="15" t="str">
        <f aca="false">IF($B28="","",MAX($B$2:B28))</f>
        <v/>
      </c>
      <c r="H28" s="16" t="n">
        <f aca="false">IFERROR((B28-F28)/F28,0)</f>
        <v>0</v>
      </c>
      <c r="I28" s="16" t="n">
        <f aca="false">IFERROR((B28-G28)/G28,0)</f>
        <v>0</v>
      </c>
      <c r="J28" s="11"/>
      <c r="K28" s="5"/>
      <c r="L28" s="17"/>
      <c r="M28" s="17"/>
      <c r="N28" s="16" t="str">
        <f aca="false">IF($B28="","",MIN(70%,IF($I28&lt;=-15%,10%,IF($I28&lt;=-10%,30%,IF($M28&gt;=4,10%,IF($M28&gt;=3,30%,IF($J28="强",IF($K28="A",70%,IF($K28="B",60%,40%)),IF($J28="中性",IF($K28="A",50%,IF($K28="B",40%,25%)),IF($K28="A",30%,IF($K28="B",20%,10%))))))))))</f>
        <v/>
      </c>
      <c r="O28" s="16" t="str">
        <f aca="false">IF($B28="","",IF(B28&lt;30000,35%,IF(B28&lt;50000,30%,IF(B28&lt;100000,25%,20%))))</f>
        <v/>
      </c>
      <c r="P28" s="18" t="str">
        <f aca="false">IF($A28="","",COUNTIFS(持仓表!$A:$A,$A28,持仓表!$G:$G,"&gt;0"))</f>
        <v/>
      </c>
      <c r="Q28" s="18" t="str">
        <f aca="false">IF($A28="","",COUNTIFS(持仓表!$A:$A,$A28,持仓表!$D:$D,"是",持仓表!$G:$G,"&gt;0"))</f>
        <v/>
      </c>
      <c r="R28" s="18" t="str">
        <f aca="false">IF($A28="","",MAX(0,P28-Q28))</f>
        <v/>
      </c>
      <c r="S28" s="18" t="str">
        <f aca="false">IF($B28="","",IF(B28&lt;50000,3,IF(B28&lt;100000,4,5)))</f>
        <v/>
      </c>
      <c r="T28" s="19" t="str">
        <f aca="false">IF($A28="","",IF(OR(M28&gt;=4,I28&lt;=-8%),"防守",IF(OR(M28&gt;=2,I28&lt;=-5%),"警戒","正常")))</f>
        <v/>
      </c>
      <c r="U28" s="19" t="str">
        <f aca="false">IF($A28="","",IF(AND(L28&gt;=3,M28&lt;=2,T28&lt;&gt;"防守"),"是","否"))</f>
        <v/>
      </c>
      <c r="V28" s="19" t="str">
        <f aca="false">IF($A28="","",IF(AND(E28&lt;N28,R28&lt;S28,M28&lt;=2,I28&gt;-15%),"是","否"))</f>
        <v/>
      </c>
      <c r="W28" s="19" t="str">
        <f aca="false">IF($A28="","",IF(OR(M28&gt;=3,I28&lt;=-15%),"是","否"))</f>
        <v/>
      </c>
      <c r="X28" s="15" t="str">
        <f aca="false">IF($A28="","",IFERROR(maxifs(候选池!$AB:$AB,候选池!$A:$A,$A28),0))</f>
        <v/>
      </c>
      <c r="Y28" s="15" t="str">
        <f aca="false">IF($A28="","",IF(OR(M28&gt;=4,I28&lt;=-8%),MAX(0,B28*60%-C28),IF(AND(ISNUMBER(AD28),B28&gt;AD28),IF(B28&lt;30000,0,IF(B28&lt;100000,MAX(0,(B28-AD28)*0.2),MAX(0,(B28-AD28)*0.3))),0)))</f>
        <v/>
      </c>
      <c r="Z28" s="5"/>
      <c r="AA28" s="19" t="str">
        <f aca="false">IF($A28="","",IF($AA$2&lt;&gt;"",$AA$2,""))</f>
        <v/>
      </c>
      <c r="AB28" s="5" t="str">
        <f aca="false">IF($A28="","",IF(B28&lt;30000,0.03,IF(B28&lt;100000,0.02,0.015)))</f>
        <v/>
      </c>
      <c r="AC28" s="18" t="str">
        <f aca="false">IF($A28="","",IFERROR(DATEDIF($A$2,$A28,"m"),0))</f>
        <v/>
      </c>
      <c r="AD28" s="15" t="str">
        <f aca="false">IF($A28="","",IF(OR(AA28="",AB28="",AC28=""),"",AA28*POWER(1+AB28,AC28)))</f>
        <v/>
      </c>
      <c r="AE28" s="21" t="str">
        <f aca="false">IF($A28="","",IF(OR(AD28="",AD28=0),"",B28/AD28-1))</f>
        <v/>
      </c>
      <c r="AG28" s="1" t="str">
        <f aca="false">IF($A28="","",IF(B28&lt;30000,"婴儿",IF(B28&lt;100000,"成长","成熟")))</f>
        <v/>
      </c>
      <c r="AH28" s="22"/>
      <c r="AJ28" s="22"/>
      <c r="AK28" s="22"/>
      <c r="AM28" s="22"/>
      <c r="AP28" s="13"/>
      <c r="AQ28" s="23" t="str">
        <f aca="false">IF($A28="","",B28-$AA$2-SUM($F$2:F28))</f>
        <v/>
      </c>
    </row>
    <row r="29" customFormat="false" ht="15" hidden="false" customHeight="true" outlineLevel="0" collapsed="false">
      <c r="A29" s="7"/>
      <c r="B29" s="24"/>
      <c r="C29" s="24"/>
      <c r="D29" s="15" t="str">
        <f aca="false">IF($A29="","",SUMIFS(持仓表!$J:$J,持仓表!$A:$A,$A29))</f>
        <v/>
      </c>
      <c r="E29" s="16" t="n">
        <f aca="false">IFERROR(D29/B29,0)</f>
        <v>0</v>
      </c>
      <c r="F29" s="24"/>
      <c r="G29" s="15" t="str">
        <f aca="false">IF($B29="","",MAX($B$2:B29))</f>
        <v/>
      </c>
      <c r="H29" s="16" t="n">
        <f aca="false">IFERROR((B29-F29)/F29,0)</f>
        <v>0</v>
      </c>
      <c r="I29" s="16" t="n">
        <f aca="false">IFERROR((B29-G29)/G29,0)</f>
        <v>0</v>
      </c>
      <c r="J29" s="12"/>
      <c r="K29" s="7"/>
      <c r="L29" s="25"/>
      <c r="M29" s="25"/>
      <c r="N29" s="16" t="str">
        <f aca="false">IF($B29="","",MIN(70%,IF($I29&lt;=-15%,10%,IF($I29&lt;=-10%,30%,IF($M29&gt;=4,10%,IF($M29&gt;=3,30%,IF($J29="强",IF($K29="A",70%,IF($K29="B",60%,40%)),IF($J29="中性",IF($K29="A",50%,IF($K29="B",40%,25%)),IF($K29="A",30%,IF($K29="B",20%,10%))))))))))</f>
        <v/>
      </c>
      <c r="O29" s="16" t="str">
        <f aca="false">IF($B29="","",IF(B29&lt;30000,35%,IF(B29&lt;50000,30%,IF(B29&lt;100000,25%,20%))))</f>
        <v/>
      </c>
      <c r="P29" s="18" t="str">
        <f aca="false">IF($A29="","",COUNTIFS(持仓表!$A:$A,$A29,持仓表!$G:$G,"&gt;0"))</f>
        <v/>
      </c>
      <c r="Q29" s="18" t="str">
        <f aca="false">IF($A29="","",COUNTIFS(持仓表!$A:$A,$A29,持仓表!$D:$D,"是",持仓表!$G:$G,"&gt;0"))</f>
        <v/>
      </c>
      <c r="R29" s="18" t="str">
        <f aca="false">IF($A29="","",MAX(0,P29-Q29))</f>
        <v/>
      </c>
      <c r="S29" s="18" t="str">
        <f aca="false">IF($B29="","",IF(B29&lt;50000,3,IF(B29&lt;100000,4,5)))</f>
        <v/>
      </c>
      <c r="T29" s="19" t="str">
        <f aca="false">IF($A29="","",IF(OR(M29&gt;=4,I29&lt;=-8%),"防守",IF(OR(M29&gt;=2,I29&lt;=-5%),"警戒","正常")))</f>
        <v/>
      </c>
      <c r="U29" s="19" t="str">
        <f aca="false">IF($A29="","",IF(AND(L29&gt;=3,M29&lt;=2,T29&lt;&gt;"防守"),"是","否"))</f>
        <v/>
      </c>
      <c r="V29" s="19" t="str">
        <f aca="false">IF($A29="","",IF(AND(E29&lt;N29,R29&lt;S29,M29&lt;=2,I29&gt;-15%),"是","否"))</f>
        <v/>
      </c>
      <c r="W29" s="19" t="str">
        <f aca="false">IF($A29="","",IF(OR(M29&gt;=3,I29&lt;=-15%),"是","否"))</f>
        <v/>
      </c>
      <c r="X29" s="15" t="str">
        <f aca="false">IF($A29="","",IFERROR(maxifs(候选池!$AB:$AB,候选池!$A:$A,$A29),0))</f>
        <v/>
      </c>
      <c r="Y29" s="15" t="str">
        <f aca="false">IF($A29="","",IF(OR(M29&gt;=4,I29&lt;=-8%),MAX(0,B29*60%-C29),IF(AND(ISNUMBER(AD29),B29&gt;AD29),IF(B29&lt;30000,0,IF(B29&lt;100000,MAX(0,(B29-AD29)*0.2),MAX(0,(B29-AD29)*0.3))),0)))</f>
        <v/>
      </c>
      <c r="Z29" s="7"/>
      <c r="AA29" s="19" t="str">
        <f aca="false">IF($A29="","",IF($AA$2&lt;&gt;"",$AA$2,""))</f>
        <v/>
      </c>
      <c r="AB29" s="7" t="str">
        <f aca="false">IF($A29="","",IF(B29&lt;30000,0.03,IF(B29&lt;100000,0.02,0.015)))</f>
        <v/>
      </c>
      <c r="AC29" s="18" t="str">
        <f aca="false">IF($A29="","",IFERROR(DATEDIF($A$2,$A29,"m"),0))</f>
        <v/>
      </c>
      <c r="AD29" s="15" t="str">
        <f aca="false">IF($A29="","",IF(OR(AA29="",AB29="",AC29=""),"",AA29*POWER(1+AB29,AC29)))</f>
        <v/>
      </c>
      <c r="AE29" s="27" t="str">
        <f aca="false">IF($A29="","",IF(OR(AD29="",AD29=0),"",B29/AD29-1))</f>
        <v/>
      </c>
      <c r="AG29" s="1" t="str">
        <f aca="false">IF($A29="","",IF(B29&lt;30000,"婴儿",IF(B29&lt;100000,"成长","成熟")))</f>
        <v/>
      </c>
      <c r="AH29" s="22"/>
      <c r="AJ29" s="22"/>
      <c r="AK29" s="22"/>
      <c r="AM29" s="22"/>
      <c r="AP29" s="13"/>
      <c r="AQ29" s="23" t="str">
        <f aca="false">IF($A29="","",B29-$AA$2-SUM($F$2:F29))</f>
        <v/>
      </c>
    </row>
    <row r="30" customFormat="false" ht="15" hidden="false" customHeight="true" outlineLevel="0" collapsed="false">
      <c r="A30" s="5"/>
      <c r="B30" s="14"/>
      <c r="C30" s="14"/>
      <c r="D30" s="15" t="str">
        <f aca="false">IF($A30="","",SUMIFS(持仓表!$J:$J,持仓表!$A:$A,$A30))</f>
        <v/>
      </c>
      <c r="E30" s="16" t="n">
        <f aca="false">IFERROR(D30/B30,0)</f>
        <v>0</v>
      </c>
      <c r="F30" s="14"/>
      <c r="G30" s="15" t="str">
        <f aca="false">IF($B30="","",MAX($B$2:B30))</f>
        <v/>
      </c>
      <c r="H30" s="16" t="n">
        <f aca="false">IFERROR((B30-F30)/F30,0)</f>
        <v>0</v>
      </c>
      <c r="I30" s="16" t="n">
        <f aca="false">IFERROR((B30-G30)/G30,0)</f>
        <v>0</v>
      </c>
      <c r="J30" s="11"/>
      <c r="K30" s="5"/>
      <c r="L30" s="17"/>
      <c r="M30" s="17"/>
      <c r="N30" s="16" t="str">
        <f aca="false">IF($B30="","",MIN(70%,IF($I30&lt;=-15%,10%,IF($I30&lt;=-10%,30%,IF($M30&gt;=4,10%,IF($M30&gt;=3,30%,IF($J30="强",IF($K30="A",70%,IF($K30="B",60%,40%)),IF($J30="中性",IF($K30="A",50%,IF($K30="B",40%,25%)),IF($K30="A",30%,IF($K30="B",20%,10%))))))))))</f>
        <v/>
      </c>
      <c r="O30" s="16" t="str">
        <f aca="false">IF($B30="","",IF(B30&lt;30000,35%,IF(B30&lt;50000,30%,IF(B30&lt;100000,25%,20%))))</f>
        <v/>
      </c>
      <c r="P30" s="18" t="str">
        <f aca="false">IF($A30="","",COUNTIFS(持仓表!$A:$A,$A30,持仓表!$G:$G,"&gt;0"))</f>
        <v/>
      </c>
      <c r="Q30" s="18" t="str">
        <f aca="false">IF($A30="","",COUNTIFS(持仓表!$A:$A,$A30,持仓表!$D:$D,"是",持仓表!$G:$G,"&gt;0"))</f>
        <v/>
      </c>
      <c r="R30" s="18" t="str">
        <f aca="false">IF($A30="","",MAX(0,P30-Q30))</f>
        <v/>
      </c>
      <c r="S30" s="18" t="str">
        <f aca="false">IF($B30="","",IF(B30&lt;50000,3,IF(B30&lt;100000,4,5)))</f>
        <v/>
      </c>
      <c r="T30" s="19" t="str">
        <f aca="false">IF($A30="","",IF(OR(M30&gt;=4,I30&lt;=-8%),"防守",IF(OR(M30&gt;=2,I30&lt;=-5%),"警戒","正常")))</f>
        <v/>
      </c>
      <c r="U30" s="19" t="str">
        <f aca="false">IF($A30="","",IF(AND(L30&gt;=3,M30&lt;=2,T30&lt;&gt;"防守"),"是","否"))</f>
        <v/>
      </c>
      <c r="V30" s="19" t="str">
        <f aca="false">IF($A30="","",IF(AND(E30&lt;N30,R30&lt;S30,M30&lt;=2,I30&gt;-15%),"是","否"))</f>
        <v/>
      </c>
      <c r="W30" s="19" t="str">
        <f aca="false">IF($A30="","",IF(OR(M30&gt;=3,I30&lt;=-15%),"是","否"))</f>
        <v/>
      </c>
      <c r="X30" s="15" t="str">
        <f aca="false">IF($A30="","",IFERROR(maxifs(候选池!$AB:$AB,候选池!$A:$A,$A30),0))</f>
        <v/>
      </c>
      <c r="Y30" s="15" t="str">
        <f aca="false">IF($A30="","",IF(OR(M30&gt;=4,I30&lt;=-8%),MAX(0,B30*60%-C30),IF(AND(ISNUMBER(AD30),B30&gt;AD30),IF(B30&lt;30000,0,IF(B30&lt;100000,MAX(0,(B30-AD30)*0.2),MAX(0,(B30-AD30)*0.3))),0)))</f>
        <v/>
      </c>
      <c r="Z30" s="5"/>
      <c r="AA30" s="19" t="str">
        <f aca="false">IF($A30="","",IF($AA$2&lt;&gt;"",$AA$2,""))</f>
        <v/>
      </c>
      <c r="AB30" s="5" t="str">
        <f aca="false">IF($A30="","",IF(B30&lt;30000,0.03,IF(B30&lt;100000,0.02,0.015)))</f>
        <v/>
      </c>
      <c r="AC30" s="18" t="str">
        <f aca="false">IF($A30="","",IFERROR(DATEDIF($A$2,$A30,"m"),0))</f>
        <v/>
      </c>
      <c r="AD30" s="15" t="str">
        <f aca="false">IF($A30="","",IF(OR(AA30="",AB30="",AC30=""),"",AA30*POWER(1+AB30,AC30)))</f>
        <v/>
      </c>
      <c r="AE30" s="21" t="str">
        <f aca="false">IF($A30="","",IF(OR(AD30="",AD30=0),"",B30/AD30-1))</f>
        <v/>
      </c>
      <c r="AG30" s="1" t="str">
        <f aca="false">IF($A30="","",IF(B30&lt;30000,"婴儿",IF(B30&lt;100000,"成长","成熟")))</f>
        <v/>
      </c>
      <c r="AH30" s="22"/>
      <c r="AJ30" s="22"/>
      <c r="AK30" s="22"/>
      <c r="AM30" s="22"/>
      <c r="AP30" s="13"/>
      <c r="AQ30" s="23" t="str">
        <f aca="false">IF($A30="","",B30-$AA$2-SUM($F$2:F30))</f>
        <v/>
      </c>
    </row>
    <row r="31" customFormat="false" ht="15" hidden="false" customHeight="true" outlineLevel="0" collapsed="false">
      <c r="A31" s="7"/>
      <c r="B31" s="24"/>
      <c r="C31" s="24"/>
      <c r="D31" s="15" t="str">
        <f aca="false">IF($A31="","",SUMIFS(持仓表!$J:$J,持仓表!$A:$A,$A31))</f>
        <v/>
      </c>
      <c r="E31" s="16" t="n">
        <f aca="false">IFERROR(D31/B31,0)</f>
        <v>0</v>
      </c>
      <c r="F31" s="24"/>
      <c r="G31" s="15" t="str">
        <f aca="false">IF($B31="","",MAX($B$2:B31))</f>
        <v/>
      </c>
      <c r="H31" s="16" t="n">
        <f aca="false">IFERROR((B31-F31)/F31,0)</f>
        <v>0</v>
      </c>
      <c r="I31" s="16" t="n">
        <f aca="false">IFERROR((B31-G31)/G31,0)</f>
        <v>0</v>
      </c>
      <c r="J31" s="12"/>
      <c r="K31" s="7"/>
      <c r="L31" s="25"/>
      <c r="M31" s="25"/>
      <c r="N31" s="16" t="str">
        <f aca="false">IF($B31="","",MIN(70%,IF($I31&lt;=-15%,10%,IF($I31&lt;=-10%,30%,IF($M31&gt;=4,10%,IF($M31&gt;=3,30%,IF($J31="强",IF($K31="A",70%,IF($K31="B",60%,40%)),IF($J31="中性",IF($K31="A",50%,IF($K31="B",40%,25%)),IF($K31="A",30%,IF($K31="B",20%,10%))))))))))</f>
        <v/>
      </c>
      <c r="O31" s="16" t="str">
        <f aca="false">IF($B31="","",IF(B31&lt;30000,35%,IF(B31&lt;50000,30%,IF(B31&lt;100000,25%,20%))))</f>
        <v/>
      </c>
      <c r="P31" s="18" t="str">
        <f aca="false">IF($A31="","",COUNTIFS(持仓表!$A:$A,$A31,持仓表!$G:$G,"&gt;0"))</f>
        <v/>
      </c>
      <c r="Q31" s="18" t="str">
        <f aca="false">IF($A31="","",COUNTIFS(持仓表!$A:$A,$A31,持仓表!$D:$D,"是",持仓表!$G:$G,"&gt;0"))</f>
        <v/>
      </c>
      <c r="R31" s="18" t="str">
        <f aca="false">IF($A31="","",MAX(0,P31-Q31))</f>
        <v/>
      </c>
      <c r="S31" s="18" t="str">
        <f aca="false">IF($B31="","",IF(B31&lt;50000,3,IF(B31&lt;100000,4,5)))</f>
        <v/>
      </c>
      <c r="T31" s="19" t="str">
        <f aca="false">IF($A31="","",IF(OR(M31&gt;=4,I31&lt;=-8%),"防守",IF(OR(M31&gt;=2,I31&lt;=-5%),"警戒","正常")))</f>
        <v/>
      </c>
      <c r="U31" s="19" t="str">
        <f aca="false">IF($A31="","",IF(AND(L31&gt;=3,M31&lt;=2,T31&lt;&gt;"防守"),"是","否"))</f>
        <v/>
      </c>
      <c r="V31" s="19" t="str">
        <f aca="false">IF($A31="","",IF(AND(E31&lt;N31,R31&lt;S31,M31&lt;=2,I31&gt;-15%),"是","否"))</f>
        <v/>
      </c>
      <c r="W31" s="19" t="str">
        <f aca="false">IF($A31="","",IF(OR(M31&gt;=3,I31&lt;=-15%),"是","否"))</f>
        <v/>
      </c>
      <c r="X31" s="15" t="str">
        <f aca="false">IF($A31="","",IFERROR(maxifs(候选池!$AB:$AB,候选池!$A:$A,$A31),0))</f>
        <v/>
      </c>
      <c r="Y31" s="15" t="str">
        <f aca="false">IF($A31="","",IF(OR(M31&gt;=4,I31&lt;=-8%),MAX(0,B31*60%-C31),IF(AND(ISNUMBER(AD31),B31&gt;AD31),IF(B31&lt;30000,0,IF(B31&lt;100000,MAX(0,(B31-AD31)*0.2),MAX(0,(B31-AD31)*0.3))),0)))</f>
        <v/>
      </c>
      <c r="Z31" s="7"/>
      <c r="AA31" s="19" t="str">
        <f aca="false">IF($A31="","",IF($AA$2&lt;&gt;"",$AA$2,""))</f>
        <v/>
      </c>
      <c r="AB31" s="7" t="str">
        <f aca="false">IF($A31="","",IF(B31&lt;30000,0.03,IF(B31&lt;100000,0.02,0.015)))</f>
        <v/>
      </c>
      <c r="AC31" s="18" t="str">
        <f aca="false">IF($A31="","",IFERROR(DATEDIF($A$2,$A31,"m"),0))</f>
        <v/>
      </c>
      <c r="AD31" s="15" t="str">
        <f aca="false">IF($A31="","",IF(OR(AA31="",AB31="",AC31=""),"",AA31*POWER(1+AB31,AC31)))</f>
        <v/>
      </c>
      <c r="AE31" s="27" t="str">
        <f aca="false">IF($A31="","",IF(OR(AD31="",AD31=0),"",B31/AD31-1))</f>
        <v/>
      </c>
      <c r="AG31" s="1" t="str">
        <f aca="false">IF($A31="","",IF(B31&lt;30000,"婴儿",IF(B31&lt;100000,"成长","成熟")))</f>
        <v/>
      </c>
      <c r="AH31" s="22"/>
      <c r="AJ31" s="22"/>
      <c r="AK31" s="22"/>
      <c r="AM31" s="22"/>
      <c r="AP31" s="13"/>
      <c r="AQ31" s="23" t="str">
        <f aca="false">IF($A31="","",B31-$AA$2-SUM($F$2:F31))</f>
        <v/>
      </c>
    </row>
    <row r="32" customFormat="false" ht="15" hidden="false" customHeight="true" outlineLevel="0" collapsed="false">
      <c r="A32" s="5"/>
      <c r="B32" s="14"/>
      <c r="C32" s="14"/>
      <c r="D32" s="15" t="str">
        <f aca="false">IF($A32="","",SUMIFS(持仓表!$J:$J,持仓表!$A:$A,$A32))</f>
        <v/>
      </c>
      <c r="E32" s="16" t="n">
        <f aca="false">IFERROR(D32/B32,0)</f>
        <v>0</v>
      </c>
      <c r="F32" s="14"/>
      <c r="G32" s="15" t="str">
        <f aca="false">IF($B32="","",MAX($B$2:B32))</f>
        <v/>
      </c>
      <c r="H32" s="16" t="n">
        <f aca="false">IFERROR((B32-F32)/F32,0)</f>
        <v>0</v>
      </c>
      <c r="I32" s="16" t="n">
        <f aca="false">IFERROR((B32-G32)/G32,0)</f>
        <v>0</v>
      </c>
      <c r="J32" s="11"/>
      <c r="K32" s="5"/>
      <c r="L32" s="17"/>
      <c r="M32" s="17"/>
      <c r="N32" s="16" t="str">
        <f aca="false">IF($B32="","",MIN(70%,IF($I32&lt;=-15%,10%,IF($I32&lt;=-10%,30%,IF($M32&gt;=4,10%,IF($M32&gt;=3,30%,IF($J32="强",IF($K32="A",70%,IF($K32="B",60%,40%)),IF($J32="中性",IF($K32="A",50%,IF($K32="B",40%,25%)),IF($K32="A",30%,IF($K32="B",20%,10%))))))))))</f>
        <v/>
      </c>
      <c r="O32" s="16" t="str">
        <f aca="false">IF($B32="","",IF(B32&lt;30000,35%,IF(B32&lt;50000,30%,IF(B32&lt;100000,25%,20%))))</f>
        <v/>
      </c>
      <c r="P32" s="18" t="str">
        <f aca="false">IF($A32="","",COUNTIFS(持仓表!$A:$A,$A32,持仓表!$G:$G,"&gt;0"))</f>
        <v/>
      </c>
      <c r="Q32" s="18" t="str">
        <f aca="false">IF($A32="","",COUNTIFS(持仓表!$A:$A,$A32,持仓表!$D:$D,"是",持仓表!$G:$G,"&gt;0"))</f>
        <v/>
      </c>
      <c r="R32" s="18" t="str">
        <f aca="false">IF($A32="","",MAX(0,P32-Q32))</f>
        <v/>
      </c>
      <c r="S32" s="18" t="str">
        <f aca="false">IF($B32="","",IF(B32&lt;50000,3,IF(B32&lt;100000,4,5)))</f>
        <v/>
      </c>
      <c r="T32" s="19" t="str">
        <f aca="false">IF($A32="","",IF(OR(M32&gt;=4,I32&lt;=-8%),"防守",IF(OR(M32&gt;=2,I32&lt;=-5%),"警戒","正常")))</f>
        <v/>
      </c>
      <c r="U32" s="19" t="str">
        <f aca="false">IF($A32="","",IF(AND(L32&gt;=3,M32&lt;=2,T32&lt;&gt;"防守"),"是","否"))</f>
        <v/>
      </c>
      <c r="V32" s="19" t="str">
        <f aca="false">IF($A32="","",IF(AND(E32&lt;N32,R32&lt;S32,M32&lt;=2,I32&gt;-15%),"是","否"))</f>
        <v/>
      </c>
      <c r="W32" s="19" t="str">
        <f aca="false">IF($A32="","",IF(OR(M32&gt;=3,I32&lt;=-15%),"是","否"))</f>
        <v/>
      </c>
      <c r="X32" s="15" t="str">
        <f aca="false">IF($A32="","",IFERROR(maxifs(候选池!$AB:$AB,候选池!$A:$A,$A32),0))</f>
        <v/>
      </c>
      <c r="Y32" s="15" t="str">
        <f aca="false">IF($A32="","",IF(OR(M32&gt;=4,I32&lt;=-8%),MAX(0,B32*60%-C32),IF(AND(ISNUMBER(AD32),B32&gt;AD32),IF(B32&lt;30000,0,IF(B32&lt;100000,MAX(0,(B32-AD32)*0.2),MAX(0,(B32-AD32)*0.3))),0)))</f>
        <v/>
      </c>
      <c r="Z32" s="5"/>
      <c r="AA32" s="19" t="str">
        <f aca="false">IF($A32="","",IF($AA$2&lt;&gt;"",$AA$2,""))</f>
        <v/>
      </c>
      <c r="AB32" s="5" t="str">
        <f aca="false">IF($A32="","",IF(B32&lt;30000,0.03,IF(B32&lt;100000,0.02,0.015)))</f>
        <v/>
      </c>
      <c r="AC32" s="18" t="str">
        <f aca="false">IF($A32="","",IFERROR(DATEDIF($A$2,$A32,"m"),0))</f>
        <v/>
      </c>
      <c r="AD32" s="15" t="str">
        <f aca="false">IF($A32="","",IF(OR(AA32="",AB32="",AC32=""),"",AA32*POWER(1+AB32,AC32)))</f>
        <v/>
      </c>
      <c r="AE32" s="21" t="str">
        <f aca="false">IF($A32="","",IF(OR(AD32="",AD32=0),"",B32/AD32-1))</f>
        <v/>
      </c>
      <c r="AG32" s="1" t="str">
        <f aca="false">IF($A32="","",IF(B32&lt;30000,"婴儿",IF(B32&lt;100000,"成长","成熟")))</f>
        <v/>
      </c>
      <c r="AH32" s="22"/>
      <c r="AJ32" s="22"/>
      <c r="AK32" s="22"/>
      <c r="AM32" s="22"/>
      <c r="AP32" s="13"/>
      <c r="AQ32" s="23" t="str">
        <f aca="false">IF($A32="","",B32-$AA$2-SUM($F$2:F32))</f>
        <v/>
      </c>
    </row>
    <row r="33" customFormat="false" ht="15" hidden="false" customHeight="true" outlineLevel="0" collapsed="false">
      <c r="A33" s="7"/>
      <c r="B33" s="24"/>
      <c r="C33" s="24"/>
      <c r="D33" s="15" t="str">
        <f aca="false">IF($A33="","",SUMIFS(持仓表!$J:$J,持仓表!$A:$A,$A33))</f>
        <v/>
      </c>
      <c r="E33" s="16" t="n">
        <f aca="false">IFERROR(D33/B33,0)</f>
        <v>0</v>
      </c>
      <c r="F33" s="24"/>
      <c r="G33" s="15" t="str">
        <f aca="false">IF($B33="","",MAX($B$2:B33))</f>
        <v/>
      </c>
      <c r="H33" s="16" t="n">
        <f aca="false">IFERROR((B33-F33)/F33,0)</f>
        <v>0</v>
      </c>
      <c r="I33" s="16" t="n">
        <f aca="false">IFERROR((B33-G33)/G33,0)</f>
        <v>0</v>
      </c>
      <c r="J33" s="12"/>
      <c r="K33" s="7"/>
      <c r="L33" s="25"/>
      <c r="M33" s="25"/>
      <c r="N33" s="16" t="str">
        <f aca="false">IF($B33="","",MIN(70%,IF($I33&lt;=-15%,10%,IF($I33&lt;=-10%,30%,IF($M33&gt;=4,10%,IF($M33&gt;=3,30%,IF($J33="强",IF($K33="A",70%,IF($K33="B",60%,40%)),IF($J33="中性",IF($K33="A",50%,IF($K33="B",40%,25%)),IF($K33="A",30%,IF($K33="B",20%,10%))))))))))</f>
        <v/>
      </c>
      <c r="O33" s="16" t="str">
        <f aca="false">IF($B33="","",IF(B33&lt;30000,35%,IF(B33&lt;50000,30%,IF(B33&lt;100000,25%,20%))))</f>
        <v/>
      </c>
      <c r="P33" s="18" t="str">
        <f aca="false">IF($A33="","",COUNTIFS(持仓表!$A:$A,$A33,持仓表!$G:$G,"&gt;0"))</f>
        <v/>
      </c>
      <c r="Q33" s="18" t="str">
        <f aca="false">IF($A33="","",COUNTIFS(持仓表!$A:$A,$A33,持仓表!$D:$D,"是",持仓表!$G:$G,"&gt;0"))</f>
        <v/>
      </c>
      <c r="R33" s="18" t="str">
        <f aca="false">IF($A33="","",MAX(0,P33-Q33))</f>
        <v/>
      </c>
      <c r="S33" s="18" t="str">
        <f aca="false">IF($B33="","",IF(B33&lt;50000,3,IF(B33&lt;100000,4,5)))</f>
        <v/>
      </c>
      <c r="T33" s="19" t="str">
        <f aca="false">IF($A33="","",IF(OR(M33&gt;=4,I33&lt;=-8%),"防守",IF(OR(M33&gt;=2,I33&lt;=-5%),"警戒","正常")))</f>
        <v/>
      </c>
      <c r="U33" s="19" t="str">
        <f aca="false">IF($A33="","",IF(AND(L33&gt;=3,M33&lt;=2,T33&lt;&gt;"防守"),"是","否"))</f>
        <v/>
      </c>
      <c r="V33" s="19" t="str">
        <f aca="false">IF($A33="","",IF(AND(E33&lt;N33,R33&lt;S33,M33&lt;=2,I33&gt;-15%),"是","否"))</f>
        <v/>
      </c>
      <c r="W33" s="19" t="str">
        <f aca="false">IF($A33="","",IF(OR(M33&gt;=3,I33&lt;=-15%),"是","否"))</f>
        <v/>
      </c>
      <c r="X33" s="15" t="str">
        <f aca="false">IF($A33="","",IFERROR(maxifs(候选池!$AB:$AB,候选池!$A:$A,$A33),0))</f>
        <v/>
      </c>
      <c r="Y33" s="15" t="str">
        <f aca="false">IF($A33="","",IF(OR(M33&gt;=4,I33&lt;=-8%),MAX(0,B33*60%-C33),IF(AND(ISNUMBER(AD33),B33&gt;AD33),IF(B33&lt;30000,0,IF(B33&lt;100000,MAX(0,(B33-AD33)*0.2),MAX(0,(B33-AD33)*0.3))),0)))</f>
        <v/>
      </c>
      <c r="Z33" s="7"/>
      <c r="AA33" s="19" t="str">
        <f aca="false">IF($A33="","",IF($AA$2&lt;&gt;"",$AA$2,""))</f>
        <v/>
      </c>
      <c r="AB33" s="7" t="str">
        <f aca="false">IF($A33="","",IF(B33&lt;30000,0.03,IF(B33&lt;100000,0.02,0.015)))</f>
        <v/>
      </c>
      <c r="AC33" s="18" t="str">
        <f aca="false">IF($A33="","",IFERROR(DATEDIF($A$2,$A33,"m"),0))</f>
        <v/>
      </c>
      <c r="AD33" s="15" t="str">
        <f aca="false">IF($A33="","",IF(OR(AA33="",AB33="",AC33=""),"",AA33*POWER(1+AB33,AC33)))</f>
        <v/>
      </c>
      <c r="AE33" s="27" t="str">
        <f aca="false">IF($A33="","",IF(OR(AD33="",AD33=0),"",B33/AD33-1))</f>
        <v/>
      </c>
      <c r="AG33" s="1" t="str">
        <f aca="false">IF($A33="","",IF(B33&lt;30000,"婴儿",IF(B33&lt;100000,"成长","成熟")))</f>
        <v/>
      </c>
      <c r="AH33" s="22"/>
      <c r="AJ33" s="22"/>
      <c r="AK33" s="22"/>
      <c r="AM33" s="22"/>
      <c r="AP33" s="13"/>
      <c r="AQ33" s="23" t="str">
        <f aca="false">IF($A33="","",B33-$AA$2-SUM($F$2:F33))</f>
        <v/>
      </c>
    </row>
    <row r="34" customFormat="false" ht="15" hidden="false" customHeight="true" outlineLevel="0" collapsed="false">
      <c r="A34" s="5"/>
      <c r="B34" s="14"/>
      <c r="C34" s="14"/>
      <c r="D34" s="15" t="str">
        <f aca="false">IF($A34="","",SUMIFS(持仓表!$J:$J,持仓表!$A:$A,$A34))</f>
        <v/>
      </c>
      <c r="E34" s="16" t="n">
        <f aca="false">IFERROR(D34/B34,0)</f>
        <v>0</v>
      </c>
      <c r="F34" s="14"/>
      <c r="G34" s="15" t="str">
        <f aca="false">IF($B34="","",MAX($B$2:B34))</f>
        <v/>
      </c>
      <c r="H34" s="16" t="n">
        <f aca="false">IFERROR((B34-F34)/F34,0)</f>
        <v>0</v>
      </c>
      <c r="I34" s="16" t="n">
        <f aca="false">IFERROR((B34-G34)/G34,0)</f>
        <v>0</v>
      </c>
      <c r="J34" s="11"/>
      <c r="K34" s="5"/>
      <c r="L34" s="17"/>
      <c r="M34" s="17"/>
      <c r="N34" s="16" t="str">
        <f aca="false">IF($B34="","",MIN(70%,IF($I34&lt;=-15%,10%,IF($I34&lt;=-10%,30%,IF($M34&gt;=4,10%,IF($M34&gt;=3,30%,IF($J34="强",IF($K34="A",70%,IF($K34="B",60%,40%)),IF($J34="中性",IF($K34="A",50%,IF($K34="B",40%,25%)),IF($K34="A",30%,IF($K34="B",20%,10%))))))))))</f>
        <v/>
      </c>
      <c r="O34" s="16" t="str">
        <f aca="false">IF($B34="","",IF(B34&lt;30000,35%,IF(B34&lt;50000,30%,IF(B34&lt;100000,25%,20%))))</f>
        <v/>
      </c>
      <c r="P34" s="18" t="str">
        <f aca="false">IF($A34="","",COUNTIFS(持仓表!$A:$A,$A34,持仓表!$G:$G,"&gt;0"))</f>
        <v/>
      </c>
      <c r="Q34" s="18" t="str">
        <f aca="false">IF($A34="","",COUNTIFS(持仓表!$A:$A,$A34,持仓表!$D:$D,"是",持仓表!$G:$G,"&gt;0"))</f>
        <v/>
      </c>
      <c r="R34" s="18" t="str">
        <f aca="false">IF($A34="","",MAX(0,P34-Q34))</f>
        <v/>
      </c>
      <c r="S34" s="18" t="str">
        <f aca="false">IF($B34="","",IF(B34&lt;50000,3,IF(B34&lt;100000,4,5)))</f>
        <v/>
      </c>
      <c r="T34" s="19" t="str">
        <f aca="false">IF($A34="","",IF(OR(M34&gt;=4,I34&lt;=-8%),"防守",IF(OR(M34&gt;=2,I34&lt;=-5%),"警戒","正常")))</f>
        <v/>
      </c>
      <c r="U34" s="19" t="str">
        <f aca="false">IF($A34="","",IF(AND(L34&gt;=3,M34&lt;=2,T34&lt;&gt;"防守"),"是","否"))</f>
        <v/>
      </c>
      <c r="V34" s="19" t="str">
        <f aca="false">IF($A34="","",IF(AND(E34&lt;N34,R34&lt;S34,M34&lt;=2,I34&gt;-15%),"是","否"))</f>
        <v/>
      </c>
      <c r="W34" s="19" t="str">
        <f aca="false">IF($A34="","",IF(OR(M34&gt;=3,I34&lt;=-15%),"是","否"))</f>
        <v/>
      </c>
      <c r="X34" s="15" t="str">
        <f aca="false">IF($A34="","",IFERROR(maxifs(候选池!$AB:$AB,候选池!$A:$A,$A34),0))</f>
        <v/>
      </c>
      <c r="Y34" s="15" t="str">
        <f aca="false">IF($A34="","",IF(OR(M34&gt;=4,I34&lt;=-8%),MAX(0,B34*60%-C34),IF(AND(ISNUMBER(AD34),B34&gt;AD34),IF(B34&lt;30000,0,IF(B34&lt;100000,MAX(0,(B34-AD34)*0.2),MAX(0,(B34-AD34)*0.3))),0)))</f>
        <v/>
      </c>
      <c r="Z34" s="5"/>
      <c r="AA34" s="19" t="str">
        <f aca="false">IF($A34="","",IF($AA$2&lt;&gt;"",$AA$2,""))</f>
        <v/>
      </c>
      <c r="AB34" s="5" t="str">
        <f aca="false">IF($A34="","",IF(B34&lt;30000,0.03,IF(B34&lt;100000,0.02,0.015)))</f>
        <v/>
      </c>
      <c r="AC34" s="18" t="str">
        <f aca="false">IF($A34="","",IFERROR(DATEDIF($A$2,$A34,"m"),0))</f>
        <v/>
      </c>
      <c r="AD34" s="15" t="str">
        <f aca="false">IF($A34="","",IF(OR(AA34="",AB34="",AC34=""),"",AA34*POWER(1+AB34,AC34)))</f>
        <v/>
      </c>
      <c r="AE34" s="21" t="str">
        <f aca="false">IF($A34="","",IF(OR(AD34="",AD34=0),"",B34/AD34-1))</f>
        <v/>
      </c>
      <c r="AG34" s="1" t="str">
        <f aca="false">IF($A34="","",IF(B34&lt;30000,"婴儿",IF(B34&lt;100000,"成长","成熟")))</f>
        <v/>
      </c>
      <c r="AH34" s="22"/>
      <c r="AJ34" s="22"/>
      <c r="AK34" s="22"/>
      <c r="AM34" s="22"/>
      <c r="AP34" s="13"/>
      <c r="AQ34" s="23" t="str">
        <f aca="false">IF($A34="","",B34-$AA$2-SUM($F$2:F34))</f>
        <v/>
      </c>
    </row>
    <row r="35" customFormat="false" ht="15" hidden="false" customHeight="true" outlineLevel="0" collapsed="false">
      <c r="A35" s="7"/>
      <c r="B35" s="24"/>
      <c r="C35" s="24"/>
      <c r="D35" s="15" t="str">
        <f aca="false">IF($A35="","",SUMIFS(持仓表!$J:$J,持仓表!$A:$A,$A35))</f>
        <v/>
      </c>
      <c r="E35" s="16" t="n">
        <f aca="false">IFERROR(D35/B35,0)</f>
        <v>0</v>
      </c>
      <c r="F35" s="24"/>
      <c r="G35" s="15" t="str">
        <f aca="false">IF($B35="","",MAX($B$2:B35))</f>
        <v/>
      </c>
      <c r="H35" s="16" t="n">
        <f aca="false">IFERROR((B35-F35)/F35,0)</f>
        <v>0</v>
      </c>
      <c r="I35" s="16" t="n">
        <f aca="false">IFERROR((B35-G35)/G35,0)</f>
        <v>0</v>
      </c>
      <c r="J35" s="12"/>
      <c r="K35" s="7"/>
      <c r="L35" s="25"/>
      <c r="M35" s="25"/>
      <c r="N35" s="16" t="str">
        <f aca="false">IF($B35="","",MIN(70%,IF($I35&lt;=-15%,10%,IF($I35&lt;=-10%,30%,IF($M35&gt;=4,10%,IF($M35&gt;=3,30%,IF($J35="强",IF($K35="A",70%,IF($K35="B",60%,40%)),IF($J35="中性",IF($K35="A",50%,IF($K35="B",40%,25%)),IF($K35="A",30%,IF($K35="B",20%,10%))))))))))</f>
        <v/>
      </c>
      <c r="O35" s="16" t="str">
        <f aca="false">IF($B35="","",IF(B35&lt;30000,35%,IF(B35&lt;50000,30%,IF(B35&lt;100000,25%,20%))))</f>
        <v/>
      </c>
      <c r="P35" s="18" t="str">
        <f aca="false">IF($A35="","",COUNTIFS(持仓表!$A:$A,$A35,持仓表!$G:$G,"&gt;0"))</f>
        <v/>
      </c>
      <c r="Q35" s="18" t="str">
        <f aca="false">IF($A35="","",COUNTIFS(持仓表!$A:$A,$A35,持仓表!$D:$D,"是",持仓表!$G:$G,"&gt;0"))</f>
        <v/>
      </c>
      <c r="R35" s="18" t="str">
        <f aca="false">IF($A35="","",MAX(0,P35-Q35))</f>
        <v/>
      </c>
      <c r="S35" s="18" t="str">
        <f aca="false">IF($B35="","",IF(B35&lt;50000,3,IF(B35&lt;100000,4,5)))</f>
        <v/>
      </c>
      <c r="T35" s="19" t="str">
        <f aca="false">IF($A35="","",IF(OR(M35&gt;=4,I35&lt;=-8%),"防守",IF(OR(M35&gt;=2,I35&lt;=-5%),"警戒","正常")))</f>
        <v/>
      </c>
      <c r="U35" s="19" t="str">
        <f aca="false">IF($A35="","",IF(AND(L35&gt;=3,M35&lt;=2,T35&lt;&gt;"防守"),"是","否"))</f>
        <v/>
      </c>
      <c r="V35" s="19" t="str">
        <f aca="false">IF($A35="","",IF(AND(E35&lt;N35,R35&lt;S35,M35&lt;=2,I35&gt;-15%),"是","否"))</f>
        <v/>
      </c>
      <c r="W35" s="19" t="str">
        <f aca="false">IF($A35="","",IF(OR(M35&gt;=3,I35&lt;=-15%),"是","否"))</f>
        <v/>
      </c>
      <c r="X35" s="15" t="str">
        <f aca="false">IF($A35="","",IFERROR(maxifs(候选池!$AB:$AB,候选池!$A:$A,$A35),0))</f>
        <v/>
      </c>
      <c r="Y35" s="15" t="str">
        <f aca="false">IF($A35="","",IF(OR(M35&gt;=4,I35&lt;=-8%),MAX(0,B35*60%-C35),IF(AND(ISNUMBER(AD35),B35&gt;AD35),IF(B35&lt;30000,0,IF(B35&lt;100000,MAX(0,(B35-AD35)*0.2),MAX(0,(B35-AD35)*0.3))),0)))</f>
        <v/>
      </c>
      <c r="Z35" s="7"/>
      <c r="AA35" s="19" t="str">
        <f aca="false">IF($A35="","",IF($AA$2&lt;&gt;"",$AA$2,""))</f>
        <v/>
      </c>
      <c r="AB35" s="7" t="str">
        <f aca="false">IF($A35="","",IF(B35&lt;30000,0.03,IF(B35&lt;100000,0.02,0.015)))</f>
        <v/>
      </c>
      <c r="AC35" s="18" t="str">
        <f aca="false">IF($A35="","",IFERROR(DATEDIF($A$2,$A35,"m"),0))</f>
        <v/>
      </c>
      <c r="AD35" s="15" t="str">
        <f aca="false">IF($A35="","",IF(OR(AA35="",AB35="",AC35=""),"",AA35*POWER(1+AB35,AC35)))</f>
        <v/>
      </c>
      <c r="AE35" s="27" t="str">
        <f aca="false">IF($A35="","",IF(OR(AD35="",AD35=0),"",B35/AD35-1))</f>
        <v/>
      </c>
      <c r="AG35" s="1" t="str">
        <f aca="false">IF($A35="","",IF(B35&lt;30000,"婴儿",IF(B35&lt;100000,"成长","成熟")))</f>
        <v/>
      </c>
      <c r="AH35" s="22"/>
      <c r="AJ35" s="22"/>
      <c r="AK35" s="22"/>
      <c r="AM35" s="22"/>
      <c r="AP35" s="13"/>
      <c r="AQ35" s="23" t="str">
        <f aca="false">IF($A35="","",B35-$AA$2-SUM($F$2:F35))</f>
        <v/>
      </c>
    </row>
    <row r="36" customFormat="false" ht="15" hidden="false" customHeight="true" outlineLevel="0" collapsed="false">
      <c r="A36" s="5"/>
      <c r="B36" s="14"/>
      <c r="C36" s="14"/>
      <c r="D36" s="15" t="str">
        <f aca="false">IF($A36="","",SUMIFS(持仓表!$J:$J,持仓表!$A:$A,$A36))</f>
        <v/>
      </c>
      <c r="E36" s="16" t="n">
        <f aca="false">IFERROR(D36/B36,0)</f>
        <v>0</v>
      </c>
      <c r="F36" s="14"/>
      <c r="G36" s="15" t="str">
        <f aca="false">IF($B36="","",MAX($B$2:B36))</f>
        <v/>
      </c>
      <c r="H36" s="16" t="n">
        <f aca="false">IFERROR((B36-F36)/F36,0)</f>
        <v>0</v>
      </c>
      <c r="I36" s="16" t="n">
        <f aca="false">IFERROR((B36-G36)/G36,0)</f>
        <v>0</v>
      </c>
      <c r="J36" s="11"/>
      <c r="K36" s="5"/>
      <c r="L36" s="17"/>
      <c r="M36" s="17"/>
      <c r="N36" s="16" t="str">
        <f aca="false">IF($B36="","",MIN(70%,IF($I36&lt;=-15%,10%,IF($I36&lt;=-10%,30%,IF($M36&gt;=4,10%,IF($M36&gt;=3,30%,IF($J36="强",IF($K36="A",70%,IF($K36="B",60%,40%)),IF($J36="中性",IF($K36="A",50%,IF($K36="B",40%,25%)),IF($K36="A",30%,IF($K36="B",20%,10%))))))))))</f>
        <v/>
      </c>
      <c r="O36" s="16" t="str">
        <f aca="false">IF($B36="","",IF(B36&lt;30000,35%,IF(B36&lt;50000,30%,IF(B36&lt;100000,25%,20%))))</f>
        <v/>
      </c>
      <c r="P36" s="18" t="str">
        <f aca="false">IF($A36="","",COUNTIFS(持仓表!$A:$A,$A36,持仓表!$G:$G,"&gt;0"))</f>
        <v/>
      </c>
      <c r="Q36" s="18" t="str">
        <f aca="false">IF($A36="","",COUNTIFS(持仓表!$A:$A,$A36,持仓表!$D:$D,"是",持仓表!$G:$G,"&gt;0"))</f>
        <v/>
      </c>
      <c r="R36" s="18" t="str">
        <f aca="false">IF($A36="","",MAX(0,P36-Q36))</f>
        <v/>
      </c>
      <c r="S36" s="18" t="str">
        <f aca="false">IF($B36="","",IF(B36&lt;50000,3,IF(B36&lt;100000,4,5)))</f>
        <v/>
      </c>
      <c r="T36" s="19" t="str">
        <f aca="false">IF($A36="","",IF(OR(M36&gt;=4,I36&lt;=-8%),"防守",IF(OR(M36&gt;=2,I36&lt;=-5%),"警戒","正常")))</f>
        <v/>
      </c>
      <c r="U36" s="19" t="str">
        <f aca="false">IF($A36="","",IF(AND(L36&gt;=3,M36&lt;=2,T36&lt;&gt;"防守"),"是","否"))</f>
        <v/>
      </c>
      <c r="V36" s="19" t="str">
        <f aca="false">IF($A36="","",IF(AND(E36&lt;N36,R36&lt;S36,M36&lt;=2,I36&gt;-15%),"是","否"))</f>
        <v/>
      </c>
      <c r="W36" s="19" t="str">
        <f aca="false">IF($A36="","",IF(OR(M36&gt;=3,I36&lt;=-15%),"是","否"))</f>
        <v/>
      </c>
      <c r="X36" s="15" t="str">
        <f aca="false">IF($A36="","",IFERROR(maxifs(候选池!$AB:$AB,候选池!$A:$A,$A36),0))</f>
        <v/>
      </c>
      <c r="Y36" s="15" t="str">
        <f aca="false">IF($A36="","",IF(OR(M36&gt;=4,I36&lt;=-8%),MAX(0,B36*60%-C36),IF(AND(ISNUMBER(AD36),B36&gt;AD36),IF(B36&lt;30000,0,IF(B36&lt;100000,MAX(0,(B36-AD36)*0.2),MAX(0,(B36-AD36)*0.3))),0)))</f>
        <v/>
      </c>
      <c r="Z36" s="5"/>
      <c r="AA36" s="19" t="str">
        <f aca="false">IF($A36="","",IF($AA$2&lt;&gt;"",$AA$2,""))</f>
        <v/>
      </c>
      <c r="AB36" s="5" t="str">
        <f aca="false">IF($A36="","",IF(B36&lt;30000,0.03,IF(B36&lt;100000,0.02,0.015)))</f>
        <v/>
      </c>
      <c r="AC36" s="18" t="str">
        <f aca="false">IF($A36="","",IFERROR(DATEDIF($A$2,$A36,"m"),0))</f>
        <v/>
      </c>
      <c r="AD36" s="15" t="str">
        <f aca="false">IF($A36="","",IF(OR(AA36="",AB36="",AC36=""),"",AA36*POWER(1+AB36,AC36)))</f>
        <v/>
      </c>
      <c r="AE36" s="21" t="str">
        <f aca="false">IF($A36="","",IF(OR(AD36="",AD36=0),"",B36/AD36-1))</f>
        <v/>
      </c>
      <c r="AG36" s="1" t="str">
        <f aca="false">IF($A36="","",IF(B36&lt;30000,"婴儿",IF(B36&lt;100000,"成长","成熟")))</f>
        <v/>
      </c>
      <c r="AH36" s="22"/>
      <c r="AJ36" s="22"/>
      <c r="AK36" s="22"/>
      <c r="AM36" s="22"/>
      <c r="AP36" s="13"/>
      <c r="AQ36" s="23" t="str">
        <f aca="false">IF($A36="","",B36-$AA$2-SUM($F$2:F36))</f>
        <v/>
      </c>
    </row>
    <row r="37" customFormat="false" ht="15" hidden="false" customHeight="true" outlineLevel="0" collapsed="false">
      <c r="A37" s="7"/>
      <c r="B37" s="24"/>
      <c r="C37" s="24"/>
      <c r="D37" s="15" t="str">
        <f aca="false">IF($A37="","",SUMIFS(持仓表!$J:$J,持仓表!$A:$A,$A37))</f>
        <v/>
      </c>
      <c r="E37" s="16" t="n">
        <f aca="false">IFERROR(D37/B37,0)</f>
        <v>0</v>
      </c>
      <c r="F37" s="24"/>
      <c r="G37" s="15" t="str">
        <f aca="false">IF($B37="","",MAX($B$2:B37))</f>
        <v/>
      </c>
      <c r="H37" s="16" t="n">
        <f aca="false">IFERROR((B37-F37)/F37,0)</f>
        <v>0</v>
      </c>
      <c r="I37" s="16" t="n">
        <f aca="false">IFERROR((B37-G37)/G37,0)</f>
        <v>0</v>
      </c>
      <c r="J37" s="12"/>
      <c r="K37" s="7"/>
      <c r="L37" s="25"/>
      <c r="M37" s="25"/>
      <c r="N37" s="16" t="str">
        <f aca="false">IF($B37="","",MIN(70%,IF($I37&lt;=-15%,10%,IF($I37&lt;=-10%,30%,IF($M37&gt;=4,10%,IF($M37&gt;=3,30%,IF($J37="强",IF($K37="A",70%,IF($K37="B",60%,40%)),IF($J37="中性",IF($K37="A",50%,IF($K37="B",40%,25%)),IF($K37="A",30%,IF($K37="B",20%,10%))))))))))</f>
        <v/>
      </c>
      <c r="O37" s="16" t="str">
        <f aca="false">IF($B37="","",IF(B37&lt;30000,35%,IF(B37&lt;50000,30%,IF(B37&lt;100000,25%,20%))))</f>
        <v/>
      </c>
      <c r="P37" s="18" t="str">
        <f aca="false">IF($A37="","",COUNTIFS(持仓表!$A:$A,$A37,持仓表!$G:$G,"&gt;0"))</f>
        <v/>
      </c>
      <c r="Q37" s="18" t="str">
        <f aca="false">IF($A37="","",COUNTIFS(持仓表!$A:$A,$A37,持仓表!$D:$D,"是",持仓表!$G:$G,"&gt;0"))</f>
        <v/>
      </c>
      <c r="R37" s="18" t="str">
        <f aca="false">IF($A37="","",MAX(0,P37-Q37))</f>
        <v/>
      </c>
      <c r="S37" s="18" t="str">
        <f aca="false">IF($B37="","",IF(B37&lt;50000,3,IF(B37&lt;100000,4,5)))</f>
        <v/>
      </c>
      <c r="T37" s="19" t="str">
        <f aca="false">IF($A37="","",IF(OR(M37&gt;=4,I37&lt;=-8%),"防守",IF(OR(M37&gt;=2,I37&lt;=-5%),"警戒","正常")))</f>
        <v/>
      </c>
      <c r="U37" s="19" t="str">
        <f aca="false">IF($A37="","",IF(AND(L37&gt;=3,M37&lt;=2,T37&lt;&gt;"防守"),"是","否"))</f>
        <v/>
      </c>
      <c r="V37" s="19" t="str">
        <f aca="false">IF($A37="","",IF(AND(E37&lt;N37,R37&lt;S37,M37&lt;=2,I37&gt;-15%),"是","否"))</f>
        <v/>
      </c>
      <c r="W37" s="19" t="str">
        <f aca="false">IF($A37="","",IF(OR(M37&gt;=3,I37&lt;=-15%),"是","否"))</f>
        <v/>
      </c>
      <c r="X37" s="15" t="str">
        <f aca="false">IF($A37="","",IFERROR(maxifs(候选池!$AB:$AB,候选池!$A:$A,$A37),0))</f>
        <v/>
      </c>
      <c r="Y37" s="15" t="str">
        <f aca="false">IF($A37="","",IF(OR(M37&gt;=4,I37&lt;=-8%),MAX(0,B37*60%-C37),IF(AND(ISNUMBER(AD37),B37&gt;AD37),IF(B37&lt;30000,0,IF(B37&lt;100000,MAX(0,(B37-AD37)*0.2),MAX(0,(B37-AD37)*0.3))),0)))</f>
        <v/>
      </c>
      <c r="Z37" s="7"/>
      <c r="AA37" s="19" t="str">
        <f aca="false">IF($A37="","",IF($AA$2&lt;&gt;"",$AA$2,""))</f>
        <v/>
      </c>
      <c r="AB37" s="7" t="str">
        <f aca="false">IF($A37="","",IF(B37&lt;30000,0.03,IF(B37&lt;100000,0.02,0.015)))</f>
        <v/>
      </c>
      <c r="AC37" s="18" t="str">
        <f aca="false">IF($A37="","",IFERROR(DATEDIF($A$2,$A37,"m"),0))</f>
        <v/>
      </c>
      <c r="AD37" s="15" t="str">
        <f aca="false">IF($A37="","",IF(OR(AA37="",AB37="",AC37=""),"",AA37*POWER(1+AB37,AC37)))</f>
        <v/>
      </c>
      <c r="AE37" s="27" t="str">
        <f aca="false">IF($A37="","",IF(OR(AD37="",AD37=0),"",B37/AD37-1))</f>
        <v/>
      </c>
      <c r="AG37" s="1" t="str">
        <f aca="false">IF($A37="","",IF(B37&lt;30000,"婴儿",IF(B37&lt;100000,"成长","成熟")))</f>
        <v/>
      </c>
      <c r="AH37" s="22"/>
      <c r="AJ37" s="22"/>
      <c r="AK37" s="22"/>
      <c r="AM37" s="22"/>
      <c r="AP37" s="13"/>
      <c r="AQ37" s="23" t="str">
        <f aca="false">IF($A37="","",B37-$AA$2-SUM($F$2:F37))</f>
        <v/>
      </c>
    </row>
    <row r="38" customFormat="false" ht="15" hidden="false" customHeight="true" outlineLevel="0" collapsed="false">
      <c r="A38" s="5"/>
      <c r="B38" s="14"/>
      <c r="C38" s="14"/>
      <c r="D38" s="15" t="str">
        <f aca="false">IF($A38="","",SUMIFS(持仓表!$J:$J,持仓表!$A:$A,$A38))</f>
        <v/>
      </c>
      <c r="E38" s="16" t="n">
        <f aca="false">IFERROR(D38/B38,0)</f>
        <v>0</v>
      </c>
      <c r="F38" s="14"/>
      <c r="G38" s="15" t="str">
        <f aca="false">IF($B38="","",MAX($B$2:B38))</f>
        <v/>
      </c>
      <c r="H38" s="16" t="n">
        <f aca="false">IFERROR((B38-F38)/F38,0)</f>
        <v>0</v>
      </c>
      <c r="I38" s="16" t="n">
        <f aca="false">IFERROR((B38-G38)/G38,0)</f>
        <v>0</v>
      </c>
      <c r="J38" s="11"/>
      <c r="K38" s="5"/>
      <c r="L38" s="17"/>
      <c r="M38" s="17"/>
      <c r="N38" s="16" t="str">
        <f aca="false">IF($B38="","",MIN(70%,IF($I38&lt;=-15%,10%,IF($I38&lt;=-10%,30%,IF($M38&gt;=4,10%,IF($M38&gt;=3,30%,IF($J38="强",IF($K38="A",70%,IF($K38="B",60%,40%)),IF($J38="中性",IF($K38="A",50%,IF($K38="B",40%,25%)),IF($K38="A",30%,IF($K38="B",20%,10%))))))))))</f>
        <v/>
      </c>
      <c r="O38" s="16" t="str">
        <f aca="false">IF($B38="","",IF(B38&lt;30000,35%,IF(B38&lt;50000,30%,IF(B38&lt;100000,25%,20%))))</f>
        <v/>
      </c>
      <c r="P38" s="18" t="str">
        <f aca="false">IF($A38="","",COUNTIFS(持仓表!$A:$A,$A38,持仓表!$G:$G,"&gt;0"))</f>
        <v/>
      </c>
      <c r="Q38" s="18" t="str">
        <f aca="false">IF($A38="","",COUNTIFS(持仓表!$A:$A,$A38,持仓表!$D:$D,"是",持仓表!$G:$G,"&gt;0"))</f>
        <v/>
      </c>
      <c r="R38" s="18" t="str">
        <f aca="false">IF($A38="","",MAX(0,P38-Q38))</f>
        <v/>
      </c>
      <c r="S38" s="18" t="str">
        <f aca="false">IF($B38="","",IF(B38&lt;50000,3,IF(B38&lt;100000,4,5)))</f>
        <v/>
      </c>
      <c r="T38" s="19" t="str">
        <f aca="false">IF($A38="","",IF(OR(M38&gt;=4,I38&lt;=-8%),"防守",IF(OR(M38&gt;=2,I38&lt;=-5%),"警戒","正常")))</f>
        <v/>
      </c>
      <c r="U38" s="19" t="str">
        <f aca="false">IF($A38="","",IF(AND(L38&gt;=3,M38&lt;=2,T38&lt;&gt;"防守"),"是","否"))</f>
        <v/>
      </c>
      <c r="V38" s="19" t="str">
        <f aca="false">IF($A38="","",IF(AND(E38&lt;N38,R38&lt;S38,M38&lt;=2,I38&gt;-15%),"是","否"))</f>
        <v/>
      </c>
      <c r="W38" s="19" t="str">
        <f aca="false">IF($A38="","",IF(OR(M38&gt;=3,I38&lt;=-15%),"是","否"))</f>
        <v/>
      </c>
      <c r="X38" s="15" t="str">
        <f aca="false">IF($A38="","",IFERROR(maxifs(候选池!$AB:$AB,候选池!$A:$A,$A38),0))</f>
        <v/>
      </c>
      <c r="Y38" s="15" t="str">
        <f aca="false">IF($A38="","",IF(OR(M38&gt;=4,I38&lt;=-8%),MAX(0,B38*60%-C38),IF(AND(ISNUMBER(AD38),B38&gt;AD38),IF(B38&lt;30000,0,IF(B38&lt;100000,MAX(0,(B38-AD38)*0.2),MAX(0,(B38-AD38)*0.3))),0)))</f>
        <v/>
      </c>
      <c r="Z38" s="5"/>
      <c r="AA38" s="19" t="str">
        <f aca="false">IF($A38="","",IF($AA$2&lt;&gt;"",$AA$2,""))</f>
        <v/>
      </c>
      <c r="AB38" s="5" t="str">
        <f aca="false">IF($A38="","",IF(B38&lt;30000,0.03,IF(B38&lt;100000,0.02,0.015)))</f>
        <v/>
      </c>
      <c r="AC38" s="18" t="str">
        <f aca="false">IF($A38="","",IFERROR(DATEDIF($A$2,$A38,"m"),0))</f>
        <v/>
      </c>
      <c r="AD38" s="15" t="str">
        <f aca="false">IF($A38="","",IF(OR(AA38="",AB38="",AC38=""),"",AA38*POWER(1+AB38,AC38)))</f>
        <v/>
      </c>
      <c r="AE38" s="21" t="str">
        <f aca="false">IF($A38="","",IF(OR(AD38="",AD38=0),"",B38/AD38-1))</f>
        <v/>
      </c>
      <c r="AG38" s="1" t="str">
        <f aca="false">IF($A38="","",IF(B38&lt;30000,"婴儿",IF(B38&lt;100000,"成长","成熟")))</f>
        <v/>
      </c>
      <c r="AH38" s="22"/>
      <c r="AJ38" s="22"/>
      <c r="AK38" s="22"/>
      <c r="AM38" s="22"/>
      <c r="AP38" s="13"/>
      <c r="AQ38" s="23" t="str">
        <f aca="false">IF($A38="","",B38-$AA$2-SUM($F$2:F38))</f>
        <v/>
      </c>
    </row>
    <row r="39" customFormat="false" ht="15" hidden="false" customHeight="true" outlineLevel="0" collapsed="false">
      <c r="A39" s="7"/>
      <c r="B39" s="24"/>
      <c r="C39" s="24"/>
      <c r="D39" s="15" t="str">
        <f aca="false">IF($A39="","",SUMIFS(持仓表!$J:$J,持仓表!$A:$A,$A39))</f>
        <v/>
      </c>
      <c r="E39" s="16" t="n">
        <f aca="false">IFERROR(D39/B39,0)</f>
        <v>0</v>
      </c>
      <c r="F39" s="24"/>
      <c r="G39" s="15" t="str">
        <f aca="false">IF($B39="","",MAX($B$2:B39))</f>
        <v/>
      </c>
      <c r="H39" s="16" t="n">
        <f aca="false">IFERROR((B39-F39)/F39,0)</f>
        <v>0</v>
      </c>
      <c r="I39" s="16" t="n">
        <f aca="false">IFERROR((B39-G39)/G39,0)</f>
        <v>0</v>
      </c>
      <c r="J39" s="12"/>
      <c r="K39" s="7"/>
      <c r="L39" s="25"/>
      <c r="M39" s="25"/>
      <c r="N39" s="16" t="str">
        <f aca="false">IF($B39="","",MIN(70%,IF($I39&lt;=-15%,10%,IF($I39&lt;=-10%,30%,IF($M39&gt;=4,10%,IF($M39&gt;=3,30%,IF($J39="强",IF($K39="A",70%,IF($K39="B",60%,40%)),IF($J39="中性",IF($K39="A",50%,IF($K39="B",40%,25%)),IF($K39="A",30%,IF($K39="B",20%,10%))))))))))</f>
        <v/>
      </c>
      <c r="O39" s="16" t="str">
        <f aca="false">IF($B39="","",IF(B39&lt;30000,35%,IF(B39&lt;50000,30%,IF(B39&lt;100000,25%,20%))))</f>
        <v/>
      </c>
      <c r="P39" s="18" t="str">
        <f aca="false">IF($A39="","",COUNTIFS(持仓表!$A:$A,$A39,持仓表!$G:$G,"&gt;0"))</f>
        <v/>
      </c>
      <c r="Q39" s="18" t="str">
        <f aca="false">IF($A39="","",COUNTIFS(持仓表!$A:$A,$A39,持仓表!$D:$D,"是",持仓表!$G:$G,"&gt;0"))</f>
        <v/>
      </c>
      <c r="R39" s="18" t="str">
        <f aca="false">IF($A39="","",MAX(0,P39-Q39))</f>
        <v/>
      </c>
      <c r="S39" s="18" t="str">
        <f aca="false">IF($B39="","",IF(B39&lt;50000,3,IF(B39&lt;100000,4,5)))</f>
        <v/>
      </c>
      <c r="T39" s="19" t="str">
        <f aca="false">IF($A39="","",IF(OR(M39&gt;=4,I39&lt;=-8%),"防守",IF(OR(M39&gt;=2,I39&lt;=-5%),"警戒","正常")))</f>
        <v/>
      </c>
      <c r="U39" s="19" t="str">
        <f aca="false">IF($A39="","",IF(AND(L39&gt;=3,M39&lt;=2,T39&lt;&gt;"防守"),"是","否"))</f>
        <v/>
      </c>
      <c r="V39" s="19" t="str">
        <f aca="false">IF($A39="","",IF(AND(E39&lt;N39,R39&lt;S39,M39&lt;=2,I39&gt;-15%),"是","否"))</f>
        <v/>
      </c>
      <c r="W39" s="19" t="str">
        <f aca="false">IF($A39="","",IF(OR(M39&gt;=3,I39&lt;=-15%),"是","否"))</f>
        <v/>
      </c>
      <c r="X39" s="15" t="str">
        <f aca="false">IF($A39="","",IFERROR(maxifs(候选池!$AB:$AB,候选池!$A:$A,$A39),0))</f>
        <v/>
      </c>
      <c r="Y39" s="15" t="str">
        <f aca="false">IF($A39="","",IF(OR(M39&gt;=4,I39&lt;=-8%),MAX(0,B39*60%-C39),IF(AND(ISNUMBER(AD39),B39&gt;AD39),IF(B39&lt;30000,0,IF(B39&lt;100000,MAX(0,(B39-AD39)*0.2),MAX(0,(B39-AD39)*0.3))),0)))</f>
        <v/>
      </c>
      <c r="Z39" s="7"/>
      <c r="AA39" s="19" t="str">
        <f aca="false">IF($A39="","",IF($AA$2&lt;&gt;"",$AA$2,""))</f>
        <v/>
      </c>
      <c r="AB39" s="7" t="str">
        <f aca="false">IF($A39="","",IF(B39&lt;30000,0.03,IF(B39&lt;100000,0.02,0.015)))</f>
        <v/>
      </c>
      <c r="AC39" s="18" t="str">
        <f aca="false">IF($A39="","",IFERROR(DATEDIF($A$2,$A39,"m"),0))</f>
        <v/>
      </c>
      <c r="AD39" s="15" t="str">
        <f aca="false">IF($A39="","",IF(OR(AA39="",AB39="",AC39=""),"",AA39*POWER(1+AB39,AC39)))</f>
        <v/>
      </c>
      <c r="AE39" s="27" t="str">
        <f aca="false">IF($A39="","",IF(OR(AD39="",AD39=0),"",B39/AD39-1))</f>
        <v/>
      </c>
      <c r="AG39" s="1" t="str">
        <f aca="false">IF($A39="","",IF(B39&lt;30000,"婴儿",IF(B39&lt;100000,"成长","成熟")))</f>
        <v/>
      </c>
      <c r="AH39" s="22"/>
      <c r="AJ39" s="22"/>
      <c r="AK39" s="22"/>
      <c r="AM39" s="22"/>
      <c r="AP39" s="13"/>
      <c r="AQ39" s="23" t="str">
        <f aca="false">IF($A39="","",B39-$AA$2-SUM($F$2:F39))</f>
        <v/>
      </c>
    </row>
    <row r="40" customFormat="false" ht="15" hidden="false" customHeight="true" outlineLevel="0" collapsed="false">
      <c r="A40" s="5"/>
      <c r="B40" s="14"/>
      <c r="C40" s="14"/>
      <c r="D40" s="15" t="str">
        <f aca="false">IF($A40="","",SUMIFS(持仓表!$J:$J,持仓表!$A:$A,$A40))</f>
        <v/>
      </c>
      <c r="E40" s="16" t="n">
        <f aca="false">IFERROR(D40/B40,0)</f>
        <v>0</v>
      </c>
      <c r="F40" s="14"/>
      <c r="G40" s="15" t="str">
        <f aca="false">IF($B40="","",MAX($B$2:B40))</f>
        <v/>
      </c>
      <c r="H40" s="16" t="n">
        <f aca="false">IFERROR((B40-F40)/F40,0)</f>
        <v>0</v>
      </c>
      <c r="I40" s="16" t="n">
        <f aca="false">IFERROR((B40-G40)/G40,0)</f>
        <v>0</v>
      </c>
      <c r="J40" s="11"/>
      <c r="K40" s="5"/>
      <c r="L40" s="17"/>
      <c r="M40" s="17"/>
      <c r="N40" s="16" t="str">
        <f aca="false">IF($B40="","",MIN(70%,IF($I40&lt;=-15%,10%,IF($I40&lt;=-10%,30%,IF($M40&gt;=4,10%,IF($M40&gt;=3,30%,IF($J40="强",IF($K40="A",70%,IF($K40="B",60%,40%)),IF($J40="中性",IF($K40="A",50%,IF($K40="B",40%,25%)),IF($K40="A",30%,IF($K40="B",20%,10%))))))))))</f>
        <v/>
      </c>
      <c r="O40" s="16" t="str">
        <f aca="false">IF($B40="","",IF(B40&lt;30000,35%,IF(B40&lt;50000,30%,IF(B40&lt;100000,25%,20%))))</f>
        <v/>
      </c>
      <c r="P40" s="18" t="str">
        <f aca="false">IF($A40="","",COUNTIFS(持仓表!$A:$A,$A40,持仓表!$G:$G,"&gt;0"))</f>
        <v/>
      </c>
      <c r="Q40" s="18" t="str">
        <f aca="false">IF($A40="","",COUNTIFS(持仓表!$A:$A,$A40,持仓表!$D:$D,"是",持仓表!$G:$G,"&gt;0"))</f>
        <v/>
      </c>
      <c r="R40" s="18" t="str">
        <f aca="false">IF($A40="","",MAX(0,P40-Q40))</f>
        <v/>
      </c>
      <c r="S40" s="18" t="str">
        <f aca="false">IF($B40="","",IF(B40&lt;50000,3,IF(B40&lt;100000,4,5)))</f>
        <v/>
      </c>
      <c r="T40" s="19" t="str">
        <f aca="false">IF($A40="","",IF(OR(M40&gt;=4,I40&lt;=-8%),"防守",IF(OR(M40&gt;=2,I40&lt;=-5%),"警戒","正常")))</f>
        <v/>
      </c>
      <c r="U40" s="19" t="str">
        <f aca="false">IF($A40="","",IF(AND(L40&gt;=3,M40&lt;=2,T40&lt;&gt;"防守"),"是","否"))</f>
        <v/>
      </c>
      <c r="V40" s="19" t="str">
        <f aca="false">IF($A40="","",IF(AND(E40&lt;N40,R40&lt;S40,M40&lt;=2,I40&gt;-15%),"是","否"))</f>
        <v/>
      </c>
      <c r="W40" s="19" t="str">
        <f aca="false">IF($A40="","",IF(OR(M40&gt;=3,I40&lt;=-15%),"是","否"))</f>
        <v/>
      </c>
      <c r="X40" s="15" t="str">
        <f aca="false">IF($A40="","",IFERROR(maxifs(候选池!$AB:$AB,候选池!$A:$A,$A40),0))</f>
        <v/>
      </c>
      <c r="Y40" s="15" t="str">
        <f aca="false">IF($A40="","",IF(OR(M40&gt;=4,I40&lt;=-8%),MAX(0,B40*60%-C40),IF(AND(ISNUMBER(AD40),B40&gt;AD40),IF(B40&lt;30000,0,IF(B40&lt;100000,MAX(0,(B40-AD40)*0.2),MAX(0,(B40-AD40)*0.3))),0)))</f>
        <v/>
      </c>
      <c r="Z40" s="5"/>
      <c r="AA40" s="19" t="str">
        <f aca="false">IF($A40="","",IF($AA$2&lt;&gt;"",$AA$2,""))</f>
        <v/>
      </c>
      <c r="AB40" s="5" t="str">
        <f aca="false">IF($A40="","",IF(B40&lt;30000,0.03,IF(B40&lt;100000,0.02,0.015)))</f>
        <v/>
      </c>
      <c r="AC40" s="18" t="str">
        <f aca="false">IF($A40="","",IFERROR(DATEDIF($A$2,$A40,"m"),0))</f>
        <v/>
      </c>
      <c r="AD40" s="15" t="str">
        <f aca="false">IF($A40="","",IF(OR(AA40="",AB40="",AC40=""),"",AA40*POWER(1+AB40,AC40)))</f>
        <v/>
      </c>
      <c r="AE40" s="21" t="str">
        <f aca="false">IF($A40="","",IF(OR(AD40="",AD40=0),"",B40/AD40-1))</f>
        <v/>
      </c>
      <c r="AG40" s="1" t="str">
        <f aca="false">IF($A40="","",IF(B40&lt;30000,"婴儿",IF(B40&lt;100000,"成长","成熟")))</f>
        <v/>
      </c>
      <c r="AH40" s="22"/>
      <c r="AJ40" s="22"/>
      <c r="AK40" s="22"/>
      <c r="AM40" s="22"/>
      <c r="AP40" s="13"/>
      <c r="AQ40" s="23" t="str">
        <f aca="false">IF($A40="","",B40-$AA$2-SUM($F$2:F40))</f>
        <v/>
      </c>
    </row>
    <row r="41" customFormat="false" ht="15" hidden="false" customHeight="true" outlineLevel="0" collapsed="false">
      <c r="A41" s="7"/>
      <c r="B41" s="24"/>
      <c r="C41" s="24"/>
      <c r="D41" s="15" t="str">
        <f aca="false">IF($A41="","",SUMIFS(持仓表!$J:$J,持仓表!$A:$A,$A41))</f>
        <v/>
      </c>
      <c r="E41" s="16" t="n">
        <f aca="false">IFERROR(D41/B41,0)</f>
        <v>0</v>
      </c>
      <c r="F41" s="24"/>
      <c r="G41" s="15" t="str">
        <f aca="false">IF($B41="","",MAX($B$2:B41))</f>
        <v/>
      </c>
      <c r="H41" s="16" t="n">
        <f aca="false">IFERROR((B41-F41)/F41,0)</f>
        <v>0</v>
      </c>
      <c r="I41" s="16" t="n">
        <f aca="false">IFERROR((B41-G41)/G41,0)</f>
        <v>0</v>
      </c>
      <c r="J41" s="12"/>
      <c r="K41" s="7"/>
      <c r="L41" s="25"/>
      <c r="M41" s="25"/>
      <c r="N41" s="16" t="str">
        <f aca="false">IF($B41="","",MIN(70%,IF($I41&lt;=-15%,10%,IF($I41&lt;=-10%,30%,IF($M41&gt;=4,10%,IF($M41&gt;=3,30%,IF($J41="强",IF($K41="A",70%,IF($K41="B",60%,40%)),IF($J41="中性",IF($K41="A",50%,IF($K41="B",40%,25%)),IF($K41="A",30%,IF($K41="B",20%,10%))))))))))</f>
        <v/>
      </c>
      <c r="O41" s="16" t="str">
        <f aca="false">IF($B41="","",IF(B41&lt;30000,35%,IF(B41&lt;50000,30%,IF(B41&lt;100000,25%,20%))))</f>
        <v/>
      </c>
      <c r="P41" s="18" t="str">
        <f aca="false">IF($A41="","",COUNTIFS(持仓表!$A:$A,$A41,持仓表!$G:$G,"&gt;0"))</f>
        <v/>
      </c>
      <c r="Q41" s="18" t="str">
        <f aca="false">IF($A41="","",COUNTIFS(持仓表!$A:$A,$A41,持仓表!$D:$D,"是",持仓表!$G:$G,"&gt;0"))</f>
        <v/>
      </c>
      <c r="R41" s="18" t="str">
        <f aca="false">IF($A41="","",MAX(0,P41-Q41))</f>
        <v/>
      </c>
      <c r="S41" s="18" t="str">
        <f aca="false">IF($B41="","",IF(B41&lt;50000,3,IF(B41&lt;100000,4,5)))</f>
        <v/>
      </c>
      <c r="T41" s="19" t="str">
        <f aca="false">IF($A41="","",IF(OR(M41&gt;=4,I41&lt;=-8%),"防守",IF(OR(M41&gt;=2,I41&lt;=-5%),"警戒","正常")))</f>
        <v/>
      </c>
      <c r="U41" s="19" t="str">
        <f aca="false">IF($A41="","",IF(AND(L41&gt;=3,M41&lt;=2,T41&lt;&gt;"防守"),"是","否"))</f>
        <v/>
      </c>
      <c r="V41" s="19" t="str">
        <f aca="false">IF($A41="","",IF(AND(E41&lt;N41,R41&lt;S41,M41&lt;=2,I41&gt;-15%),"是","否"))</f>
        <v/>
      </c>
      <c r="W41" s="19" t="str">
        <f aca="false">IF($A41="","",IF(OR(M41&gt;=3,I41&lt;=-15%),"是","否"))</f>
        <v/>
      </c>
      <c r="X41" s="15" t="str">
        <f aca="false">IF($A41="","",IFERROR(maxifs(候选池!$AB:$AB,候选池!$A:$A,$A41),0))</f>
        <v/>
      </c>
      <c r="Y41" s="15" t="str">
        <f aca="false">IF($A41="","",IF(OR(M41&gt;=4,I41&lt;=-8%),MAX(0,B41*60%-C41),IF(AND(ISNUMBER(AD41),B41&gt;AD41),IF(B41&lt;30000,0,IF(B41&lt;100000,MAX(0,(B41-AD41)*0.2),MAX(0,(B41-AD41)*0.3))),0)))</f>
        <v/>
      </c>
      <c r="Z41" s="7"/>
      <c r="AA41" s="19" t="str">
        <f aca="false">IF($A41="","",IF($AA$2&lt;&gt;"",$AA$2,""))</f>
        <v/>
      </c>
      <c r="AB41" s="7" t="str">
        <f aca="false">IF($A41="","",IF(B41&lt;30000,0.03,IF(B41&lt;100000,0.02,0.015)))</f>
        <v/>
      </c>
      <c r="AC41" s="18" t="str">
        <f aca="false">IF($A41="","",IFERROR(DATEDIF($A$2,$A41,"m"),0))</f>
        <v/>
      </c>
      <c r="AD41" s="15" t="str">
        <f aca="false">IF($A41="","",IF(OR(AA41="",AB41="",AC41=""),"",AA41*POWER(1+AB41,AC41)))</f>
        <v/>
      </c>
      <c r="AE41" s="27" t="str">
        <f aca="false">IF($A41="","",IF(OR(AD41="",AD41=0),"",B41/AD41-1))</f>
        <v/>
      </c>
      <c r="AG41" s="1" t="str">
        <f aca="false">IF($A41="","",IF(B41&lt;30000,"婴儿",IF(B41&lt;100000,"成长","成熟")))</f>
        <v/>
      </c>
      <c r="AH41" s="22"/>
      <c r="AJ41" s="22"/>
      <c r="AK41" s="22"/>
      <c r="AM41" s="22"/>
      <c r="AP41" s="13"/>
      <c r="AQ41" s="23" t="str">
        <f aca="false">IF($A41="","",B41-$AA$2-SUM($F$2:F41))</f>
        <v/>
      </c>
    </row>
    <row r="42" customFormat="false" ht="15" hidden="false" customHeight="true" outlineLevel="0" collapsed="false">
      <c r="A42" s="5"/>
      <c r="B42" s="14"/>
      <c r="C42" s="14"/>
      <c r="D42" s="15" t="str">
        <f aca="false">IF($A42="","",SUMIFS(持仓表!$J:$J,持仓表!$A:$A,$A42))</f>
        <v/>
      </c>
      <c r="E42" s="16" t="n">
        <f aca="false">IFERROR(D42/B42,0)</f>
        <v>0</v>
      </c>
      <c r="F42" s="14"/>
      <c r="G42" s="15" t="str">
        <f aca="false">IF($B42="","",MAX($B$2:B42))</f>
        <v/>
      </c>
      <c r="H42" s="16" t="n">
        <f aca="false">IFERROR((B42-F42)/F42,0)</f>
        <v>0</v>
      </c>
      <c r="I42" s="16" t="n">
        <f aca="false">IFERROR((B42-G42)/G42,0)</f>
        <v>0</v>
      </c>
      <c r="J42" s="11"/>
      <c r="K42" s="5"/>
      <c r="L42" s="17"/>
      <c r="M42" s="17"/>
      <c r="N42" s="16" t="str">
        <f aca="false">IF($B42="","",MIN(70%,IF($I42&lt;=-15%,10%,IF($I42&lt;=-10%,30%,IF($M42&gt;=4,10%,IF($M42&gt;=3,30%,IF($J42="强",IF($K42="A",70%,IF($K42="B",60%,40%)),IF($J42="中性",IF($K42="A",50%,IF($K42="B",40%,25%)),IF($K42="A",30%,IF($K42="B",20%,10%))))))))))</f>
        <v/>
      </c>
      <c r="O42" s="16" t="str">
        <f aca="false">IF($B42="","",IF(B42&lt;30000,35%,IF(B42&lt;50000,30%,IF(B42&lt;100000,25%,20%))))</f>
        <v/>
      </c>
      <c r="P42" s="18" t="str">
        <f aca="false">IF($A42="","",COUNTIFS(持仓表!$A:$A,$A42,持仓表!$G:$G,"&gt;0"))</f>
        <v/>
      </c>
      <c r="Q42" s="18" t="str">
        <f aca="false">IF($A42="","",COUNTIFS(持仓表!$A:$A,$A42,持仓表!$D:$D,"是",持仓表!$G:$G,"&gt;0"))</f>
        <v/>
      </c>
      <c r="R42" s="18" t="str">
        <f aca="false">IF($A42="","",MAX(0,P42-Q42))</f>
        <v/>
      </c>
      <c r="S42" s="18" t="str">
        <f aca="false">IF($B42="","",IF(B42&lt;50000,3,IF(B42&lt;100000,4,5)))</f>
        <v/>
      </c>
      <c r="T42" s="19" t="str">
        <f aca="false">IF($A42="","",IF(OR(M42&gt;=4,I42&lt;=-8%),"防守",IF(OR(M42&gt;=2,I42&lt;=-5%),"警戒","正常")))</f>
        <v/>
      </c>
      <c r="U42" s="19" t="str">
        <f aca="false">IF($A42="","",IF(AND(L42&gt;=3,M42&lt;=2,T42&lt;&gt;"防守"),"是","否"))</f>
        <v/>
      </c>
      <c r="V42" s="19" t="str">
        <f aca="false">IF($A42="","",IF(AND(E42&lt;N42,R42&lt;S42,M42&lt;=2,I42&gt;-15%),"是","否"))</f>
        <v/>
      </c>
      <c r="W42" s="19" t="str">
        <f aca="false">IF($A42="","",IF(OR(M42&gt;=3,I42&lt;=-15%),"是","否"))</f>
        <v/>
      </c>
      <c r="X42" s="15" t="str">
        <f aca="false">IF($A42="","",IFERROR(maxifs(候选池!$AB:$AB,候选池!$A:$A,$A42),0))</f>
        <v/>
      </c>
      <c r="Y42" s="15" t="str">
        <f aca="false">IF($A42="","",IF(OR(M42&gt;=4,I42&lt;=-8%),MAX(0,B42*60%-C42),IF(AND(ISNUMBER(AD42),B42&gt;AD42),IF(B42&lt;30000,0,IF(B42&lt;100000,MAX(0,(B42-AD42)*0.2),MAX(0,(B42-AD42)*0.3))),0)))</f>
        <v/>
      </c>
      <c r="Z42" s="5"/>
      <c r="AA42" s="19" t="str">
        <f aca="false">IF($A42="","",IF($AA$2&lt;&gt;"",$AA$2,""))</f>
        <v/>
      </c>
      <c r="AB42" s="5" t="str">
        <f aca="false">IF($A42="","",IF(B42&lt;30000,0.03,IF(B42&lt;100000,0.02,0.015)))</f>
        <v/>
      </c>
      <c r="AC42" s="18" t="str">
        <f aca="false">IF($A42="","",IFERROR(DATEDIF($A$2,$A42,"m"),0))</f>
        <v/>
      </c>
      <c r="AD42" s="15" t="str">
        <f aca="false">IF($A42="","",IF(OR(AA42="",AB42="",AC42=""),"",AA42*POWER(1+AB42,AC42)))</f>
        <v/>
      </c>
      <c r="AE42" s="21" t="str">
        <f aca="false">IF($A42="","",IF(OR(AD42="",AD42=0),"",B42/AD42-1))</f>
        <v/>
      </c>
      <c r="AG42" s="1" t="str">
        <f aca="false">IF($A42="","",IF(B42&lt;30000,"婴儿",IF(B42&lt;100000,"成长","成熟")))</f>
        <v/>
      </c>
      <c r="AH42" s="22"/>
      <c r="AJ42" s="22"/>
      <c r="AK42" s="22"/>
      <c r="AM42" s="22"/>
      <c r="AP42" s="13"/>
      <c r="AQ42" s="23" t="str">
        <f aca="false">IF($A42="","",B42-$AA$2-SUM($F$2:F42))</f>
        <v/>
      </c>
    </row>
    <row r="43" customFormat="false" ht="15" hidden="false" customHeight="true" outlineLevel="0" collapsed="false">
      <c r="A43" s="7"/>
      <c r="B43" s="24"/>
      <c r="C43" s="24"/>
      <c r="D43" s="15" t="str">
        <f aca="false">IF($A43="","",SUMIFS(持仓表!$J:$J,持仓表!$A:$A,$A43))</f>
        <v/>
      </c>
      <c r="E43" s="16" t="n">
        <f aca="false">IFERROR(D43/B43,0)</f>
        <v>0</v>
      </c>
      <c r="F43" s="24"/>
      <c r="G43" s="15" t="str">
        <f aca="false">IF($B43="","",MAX($B$2:B43))</f>
        <v/>
      </c>
      <c r="H43" s="16" t="n">
        <f aca="false">IFERROR((B43-F43)/F43,0)</f>
        <v>0</v>
      </c>
      <c r="I43" s="16" t="n">
        <f aca="false">IFERROR((B43-G43)/G43,0)</f>
        <v>0</v>
      </c>
      <c r="J43" s="12"/>
      <c r="K43" s="7"/>
      <c r="L43" s="25"/>
      <c r="M43" s="25"/>
      <c r="N43" s="16" t="str">
        <f aca="false">IF($B43="","",MIN(70%,IF($I43&lt;=-15%,10%,IF($I43&lt;=-10%,30%,IF($M43&gt;=4,10%,IF($M43&gt;=3,30%,IF($J43="强",IF($K43="A",70%,IF($K43="B",60%,40%)),IF($J43="中性",IF($K43="A",50%,IF($K43="B",40%,25%)),IF($K43="A",30%,IF($K43="B",20%,10%))))))))))</f>
        <v/>
      </c>
      <c r="O43" s="16" t="str">
        <f aca="false">IF($B43="","",IF(B43&lt;30000,35%,IF(B43&lt;50000,30%,IF(B43&lt;100000,25%,20%))))</f>
        <v/>
      </c>
      <c r="P43" s="18" t="str">
        <f aca="false">IF($A43="","",COUNTIFS(持仓表!$A:$A,$A43,持仓表!$G:$G,"&gt;0"))</f>
        <v/>
      </c>
      <c r="Q43" s="18" t="str">
        <f aca="false">IF($A43="","",COUNTIFS(持仓表!$A:$A,$A43,持仓表!$D:$D,"是",持仓表!$G:$G,"&gt;0"))</f>
        <v/>
      </c>
      <c r="R43" s="18" t="str">
        <f aca="false">IF($A43="","",MAX(0,P43-Q43))</f>
        <v/>
      </c>
      <c r="S43" s="18" t="str">
        <f aca="false">IF($B43="","",IF(B43&lt;50000,3,IF(B43&lt;100000,4,5)))</f>
        <v/>
      </c>
      <c r="T43" s="19" t="str">
        <f aca="false">IF($A43="","",IF(OR(M43&gt;=4,I43&lt;=-8%),"防守",IF(OR(M43&gt;=2,I43&lt;=-5%),"警戒","正常")))</f>
        <v/>
      </c>
      <c r="U43" s="19" t="str">
        <f aca="false">IF($A43="","",IF(AND(L43&gt;=3,M43&lt;=2,T43&lt;&gt;"防守"),"是","否"))</f>
        <v/>
      </c>
      <c r="V43" s="19" t="str">
        <f aca="false">IF($A43="","",IF(AND(E43&lt;N43,R43&lt;S43,M43&lt;=2,I43&gt;-15%),"是","否"))</f>
        <v/>
      </c>
      <c r="W43" s="19" t="str">
        <f aca="false">IF($A43="","",IF(OR(M43&gt;=3,I43&lt;=-15%),"是","否"))</f>
        <v/>
      </c>
      <c r="X43" s="15" t="str">
        <f aca="false">IF($A43="","",IFERROR(maxifs(候选池!$AB:$AB,候选池!$A:$A,$A43),0))</f>
        <v/>
      </c>
      <c r="Y43" s="15" t="str">
        <f aca="false">IF($A43="","",IF(OR(M43&gt;=4,I43&lt;=-8%),MAX(0,B43*60%-C43),IF(AND(ISNUMBER(AD43),B43&gt;AD43),IF(B43&lt;30000,0,IF(B43&lt;100000,MAX(0,(B43-AD43)*0.2),MAX(0,(B43-AD43)*0.3))),0)))</f>
        <v/>
      </c>
      <c r="Z43" s="7"/>
      <c r="AA43" s="19" t="str">
        <f aca="false">IF($A43="","",IF($AA$2&lt;&gt;"",$AA$2,""))</f>
        <v/>
      </c>
      <c r="AB43" s="7" t="str">
        <f aca="false">IF($A43="","",IF(B43&lt;30000,0.03,IF(B43&lt;100000,0.02,0.015)))</f>
        <v/>
      </c>
      <c r="AC43" s="18" t="str">
        <f aca="false">IF($A43="","",IFERROR(DATEDIF($A$2,$A43,"m"),0))</f>
        <v/>
      </c>
      <c r="AD43" s="15" t="str">
        <f aca="false">IF($A43="","",IF(OR(AA43="",AB43="",AC43=""),"",AA43*POWER(1+AB43,AC43)))</f>
        <v/>
      </c>
      <c r="AE43" s="27" t="str">
        <f aca="false">IF($A43="","",IF(OR(AD43="",AD43=0),"",B43/AD43-1))</f>
        <v/>
      </c>
      <c r="AG43" s="1" t="str">
        <f aca="false">IF($A43="","",IF(B43&lt;30000,"婴儿",IF(B43&lt;100000,"成长","成熟")))</f>
        <v/>
      </c>
      <c r="AH43" s="22"/>
      <c r="AJ43" s="22"/>
      <c r="AK43" s="22"/>
      <c r="AM43" s="22"/>
      <c r="AP43" s="13"/>
      <c r="AQ43" s="23" t="str">
        <f aca="false">IF($A43="","",B43-$AA$2-SUM($F$2:F43))</f>
        <v/>
      </c>
    </row>
    <row r="44" customFormat="false" ht="15" hidden="false" customHeight="true" outlineLevel="0" collapsed="false">
      <c r="A44" s="5"/>
      <c r="B44" s="14"/>
      <c r="C44" s="14"/>
      <c r="D44" s="15" t="str">
        <f aca="false">IF($A44="","",SUMIFS(持仓表!$J:$J,持仓表!$A:$A,$A44))</f>
        <v/>
      </c>
      <c r="E44" s="16" t="n">
        <f aca="false">IFERROR(D44/B44,0)</f>
        <v>0</v>
      </c>
      <c r="F44" s="14"/>
      <c r="G44" s="15" t="str">
        <f aca="false">IF($B44="","",MAX($B$2:B44))</f>
        <v/>
      </c>
      <c r="H44" s="16" t="n">
        <f aca="false">IFERROR((B44-F44)/F44,0)</f>
        <v>0</v>
      </c>
      <c r="I44" s="16" t="n">
        <f aca="false">IFERROR((B44-G44)/G44,0)</f>
        <v>0</v>
      </c>
      <c r="J44" s="11"/>
      <c r="K44" s="5"/>
      <c r="L44" s="17"/>
      <c r="M44" s="17"/>
      <c r="N44" s="16" t="str">
        <f aca="false">IF($B44="","",MIN(70%,IF($I44&lt;=-15%,10%,IF($I44&lt;=-10%,30%,IF($M44&gt;=4,10%,IF($M44&gt;=3,30%,IF($J44="强",IF($K44="A",70%,IF($K44="B",60%,40%)),IF($J44="中性",IF($K44="A",50%,IF($K44="B",40%,25%)),IF($K44="A",30%,IF($K44="B",20%,10%))))))))))</f>
        <v/>
      </c>
      <c r="O44" s="16" t="str">
        <f aca="false">IF($B44="","",IF(B44&lt;30000,35%,IF(B44&lt;50000,30%,IF(B44&lt;100000,25%,20%))))</f>
        <v/>
      </c>
      <c r="P44" s="18" t="str">
        <f aca="false">IF($A44="","",COUNTIFS(持仓表!$A:$A,$A44,持仓表!$G:$G,"&gt;0"))</f>
        <v/>
      </c>
      <c r="Q44" s="18" t="str">
        <f aca="false">IF($A44="","",COUNTIFS(持仓表!$A:$A,$A44,持仓表!$D:$D,"是",持仓表!$G:$G,"&gt;0"))</f>
        <v/>
      </c>
      <c r="R44" s="18" t="str">
        <f aca="false">IF($A44="","",MAX(0,P44-Q44))</f>
        <v/>
      </c>
      <c r="S44" s="18" t="str">
        <f aca="false">IF($B44="","",IF(B44&lt;50000,3,IF(B44&lt;100000,4,5)))</f>
        <v/>
      </c>
      <c r="T44" s="19" t="str">
        <f aca="false">IF($A44="","",IF(OR(M44&gt;=4,I44&lt;=-8%),"防守",IF(OR(M44&gt;=2,I44&lt;=-5%),"警戒","正常")))</f>
        <v/>
      </c>
      <c r="U44" s="19" t="str">
        <f aca="false">IF($A44="","",IF(AND(L44&gt;=3,M44&lt;=2,T44&lt;&gt;"防守"),"是","否"))</f>
        <v/>
      </c>
      <c r="V44" s="19" t="str">
        <f aca="false">IF($A44="","",IF(AND(E44&lt;N44,R44&lt;S44,M44&lt;=2,I44&gt;-15%),"是","否"))</f>
        <v/>
      </c>
      <c r="W44" s="19" t="str">
        <f aca="false">IF($A44="","",IF(OR(M44&gt;=3,I44&lt;=-15%),"是","否"))</f>
        <v/>
      </c>
      <c r="X44" s="15" t="str">
        <f aca="false">IF($A44="","",IFERROR(maxifs(候选池!$AB:$AB,候选池!$A:$A,$A44),0))</f>
        <v/>
      </c>
      <c r="Y44" s="15" t="str">
        <f aca="false">IF($A44="","",IF(OR(M44&gt;=4,I44&lt;=-8%),MAX(0,B44*60%-C44),IF(AND(ISNUMBER(AD44),B44&gt;AD44),IF(B44&lt;30000,0,IF(B44&lt;100000,MAX(0,(B44-AD44)*0.2),MAX(0,(B44-AD44)*0.3))),0)))</f>
        <v/>
      </c>
      <c r="Z44" s="5"/>
      <c r="AA44" s="19" t="str">
        <f aca="false">IF($A44="","",IF($AA$2&lt;&gt;"",$AA$2,""))</f>
        <v/>
      </c>
      <c r="AB44" s="5" t="str">
        <f aca="false">IF($A44="","",IF(B44&lt;30000,0.03,IF(B44&lt;100000,0.02,0.015)))</f>
        <v/>
      </c>
      <c r="AC44" s="18" t="str">
        <f aca="false">IF($A44="","",IFERROR(DATEDIF($A$2,$A44,"m"),0))</f>
        <v/>
      </c>
      <c r="AD44" s="15" t="str">
        <f aca="false">IF($A44="","",IF(OR(AA44="",AB44="",AC44=""),"",AA44*POWER(1+AB44,AC44)))</f>
        <v/>
      </c>
      <c r="AE44" s="21" t="str">
        <f aca="false">IF($A44="","",IF(OR(AD44="",AD44=0),"",B44/AD44-1))</f>
        <v/>
      </c>
      <c r="AG44" s="1" t="str">
        <f aca="false">IF($A44="","",IF(B44&lt;30000,"婴儿",IF(B44&lt;100000,"成长","成熟")))</f>
        <v/>
      </c>
      <c r="AH44" s="22"/>
      <c r="AJ44" s="22"/>
      <c r="AK44" s="22"/>
      <c r="AM44" s="22"/>
      <c r="AP44" s="13"/>
      <c r="AQ44" s="23" t="str">
        <f aca="false">IF($A44="","",B44-$AA$2-SUM($F$2:F44))</f>
        <v/>
      </c>
    </row>
    <row r="45" customFormat="false" ht="15" hidden="false" customHeight="true" outlineLevel="0" collapsed="false">
      <c r="A45" s="7"/>
      <c r="B45" s="24"/>
      <c r="C45" s="24"/>
      <c r="D45" s="15" t="str">
        <f aca="false">IF($A45="","",SUMIFS(持仓表!$J:$J,持仓表!$A:$A,$A45))</f>
        <v/>
      </c>
      <c r="E45" s="16" t="n">
        <f aca="false">IFERROR(D45/B45,0)</f>
        <v>0</v>
      </c>
      <c r="F45" s="24"/>
      <c r="G45" s="15" t="str">
        <f aca="false">IF($B45="","",MAX($B$2:B45))</f>
        <v/>
      </c>
      <c r="H45" s="16" t="n">
        <f aca="false">IFERROR((B45-F45)/F45,0)</f>
        <v>0</v>
      </c>
      <c r="I45" s="16" t="n">
        <f aca="false">IFERROR((B45-G45)/G45,0)</f>
        <v>0</v>
      </c>
      <c r="J45" s="12"/>
      <c r="K45" s="7"/>
      <c r="L45" s="25"/>
      <c r="M45" s="25"/>
      <c r="N45" s="16" t="str">
        <f aca="false">IF($B45="","",MIN(70%,IF($I45&lt;=-15%,10%,IF($I45&lt;=-10%,30%,IF($M45&gt;=4,10%,IF($M45&gt;=3,30%,IF($J45="强",IF($K45="A",70%,IF($K45="B",60%,40%)),IF($J45="中性",IF($K45="A",50%,IF($K45="B",40%,25%)),IF($K45="A",30%,IF($K45="B",20%,10%))))))))))</f>
        <v/>
      </c>
      <c r="O45" s="16" t="str">
        <f aca="false">IF($B45="","",IF(B45&lt;30000,35%,IF(B45&lt;50000,30%,IF(B45&lt;100000,25%,20%))))</f>
        <v/>
      </c>
      <c r="P45" s="18" t="str">
        <f aca="false">IF($A45="","",COUNTIFS(持仓表!$A:$A,$A45,持仓表!$G:$G,"&gt;0"))</f>
        <v/>
      </c>
      <c r="Q45" s="18" t="str">
        <f aca="false">IF($A45="","",COUNTIFS(持仓表!$A:$A,$A45,持仓表!$D:$D,"是",持仓表!$G:$G,"&gt;0"))</f>
        <v/>
      </c>
      <c r="R45" s="18" t="str">
        <f aca="false">IF($A45="","",MAX(0,P45-Q45))</f>
        <v/>
      </c>
      <c r="S45" s="18" t="str">
        <f aca="false">IF($B45="","",IF(B45&lt;50000,3,IF(B45&lt;100000,4,5)))</f>
        <v/>
      </c>
      <c r="T45" s="19" t="str">
        <f aca="false">IF($A45="","",IF(OR(M45&gt;=4,I45&lt;=-8%),"防守",IF(OR(M45&gt;=2,I45&lt;=-5%),"警戒","正常")))</f>
        <v/>
      </c>
      <c r="U45" s="19" t="str">
        <f aca="false">IF($A45="","",IF(AND(L45&gt;=3,M45&lt;=2,T45&lt;&gt;"防守"),"是","否"))</f>
        <v/>
      </c>
      <c r="V45" s="19" t="str">
        <f aca="false">IF($A45="","",IF(AND(E45&lt;N45,R45&lt;S45,M45&lt;=2,I45&gt;-15%),"是","否"))</f>
        <v/>
      </c>
      <c r="W45" s="19" t="str">
        <f aca="false">IF($A45="","",IF(OR(M45&gt;=3,I45&lt;=-15%),"是","否"))</f>
        <v/>
      </c>
      <c r="X45" s="15" t="str">
        <f aca="false">IF($A45="","",IFERROR(maxifs(候选池!$AB:$AB,候选池!$A:$A,$A45),0))</f>
        <v/>
      </c>
      <c r="Y45" s="15" t="str">
        <f aca="false">IF($A45="","",IF(OR(M45&gt;=4,I45&lt;=-8%),MAX(0,B45*60%-C45),IF(AND(ISNUMBER(AD45),B45&gt;AD45),IF(B45&lt;30000,0,IF(B45&lt;100000,MAX(0,(B45-AD45)*0.2),MAX(0,(B45-AD45)*0.3))),0)))</f>
        <v/>
      </c>
      <c r="Z45" s="7"/>
      <c r="AA45" s="19" t="str">
        <f aca="false">IF($A45="","",IF($AA$2&lt;&gt;"",$AA$2,""))</f>
        <v/>
      </c>
      <c r="AB45" s="7" t="str">
        <f aca="false">IF($A45="","",IF(B45&lt;30000,0.03,IF(B45&lt;100000,0.02,0.015)))</f>
        <v/>
      </c>
      <c r="AC45" s="18" t="str">
        <f aca="false">IF($A45="","",IFERROR(DATEDIF($A$2,$A45,"m"),0))</f>
        <v/>
      </c>
      <c r="AD45" s="15" t="str">
        <f aca="false">IF($A45="","",IF(OR(AA45="",AB45="",AC45=""),"",AA45*POWER(1+AB45,AC45)))</f>
        <v/>
      </c>
      <c r="AE45" s="27" t="str">
        <f aca="false">IF($A45="","",IF(OR(AD45="",AD45=0),"",B45/AD45-1))</f>
        <v/>
      </c>
      <c r="AG45" s="1" t="str">
        <f aca="false">IF($A45="","",IF(B45&lt;30000,"婴儿",IF(B45&lt;100000,"成长","成熟")))</f>
        <v/>
      </c>
      <c r="AH45" s="22"/>
      <c r="AJ45" s="22"/>
      <c r="AK45" s="22"/>
      <c r="AM45" s="22"/>
      <c r="AP45" s="13"/>
      <c r="AQ45" s="23" t="str">
        <f aca="false">IF($A45="","",B45-$AA$2-SUM($F$2:F45))</f>
        <v/>
      </c>
    </row>
    <row r="46" customFormat="false" ht="15" hidden="false" customHeight="true" outlineLevel="0" collapsed="false">
      <c r="A46" s="5"/>
      <c r="B46" s="14"/>
      <c r="C46" s="14"/>
      <c r="D46" s="15" t="str">
        <f aca="false">IF($A46="","",SUMIFS(持仓表!$J:$J,持仓表!$A:$A,$A46))</f>
        <v/>
      </c>
      <c r="E46" s="16" t="n">
        <f aca="false">IFERROR(D46/B46,0)</f>
        <v>0</v>
      </c>
      <c r="F46" s="14"/>
      <c r="G46" s="15" t="str">
        <f aca="false">IF($B46="","",MAX($B$2:B46))</f>
        <v/>
      </c>
      <c r="H46" s="16" t="n">
        <f aca="false">IFERROR((B46-F46)/F46,0)</f>
        <v>0</v>
      </c>
      <c r="I46" s="16" t="n">
        <f aca="false">IFERROR((B46-G46)/G46,0)</f>
        <v>0</v>
      </c>
      <c r="J46" s="11"/>
      <c r="K46" s="5"/>
      <c r="L46" s="17"/>
      <c r="M46" s="17"/>
      <c r="N46" s="16" t="str">
        <f aca="false">IF($B46="","",MIN(70%,IF($I46&lt;=-15%,10%,IF($I46&lt;=-10%,30%,IF($M46&gt;=4,10%,IF($M46&gt;=3,30%,IF($J46="强",IF($K46="A",70%,IF($K46="B",60%,40%)),IF($J46="中性",IF($K46="A",50%,IF($K46="B",40%,25%)),IF($K46="A",30%,IF($K46="B",20%,10%))))))))))</f>
        <v/>
      </c>
      <c r="O46" s="16" t="str">
        <f aca="false">IF($B46="","",IF(B46&lt;30000,35%,IF(B46&lt;50000,30%,IF(B46&lt;100000,25%,20%))))</f>
        <v/>
      </c>
      <c r="P46" s="18" t="str">
        <f aca="false">IF($A46="","",COUNTIFS(持仓表!$A:$A,$A46,持仓表!$G:$G,"&gt;0"))</f>
        <v/>
      </c>
      <c r="Q46" s="18" t="str">
        <f aca="false">IF($A46="","",COUNTIFS(持仓表!$A:$A,$A46,持仓表!$D:$D,"是",持仓表!$G:$G,"&gt;0"))</f>
        <v/>
      </c>
      <c r="R46" s="18" t="str">
        <f aca="false">IF($A46="","",MAX(0,P46-Q46))</f>
        <v/>
      </c>
      <c r="S46" s="18" t="str">
        <f aca="false">IF($B46="","",IF(B46&lt;50000,3,IF(B46&lt;100000,4,5)))</f>
        <v/>
      </c>
      <c r="T46" s="19" t="str">
        <f aca="false">IF($A46="","",IF(OR(M46&gt;=4,I46&lt;=-8%),"防守",IF(OR(M46&gt;=2,I46&lt;=-5%),"警戒","正常")))</f>
        <v/>
      </c>
      <c r="U46" s="19" t="str">
        <f aca="false">IF($A46="","",IF(AND(L46&gt;=3,M46&lt;=2,T46&lt;&gt;"防守"),"是","否"))</f>
        <v/>
      </c>
      <c r="V46" s="19" t="str">
        <f aca="false">IF($A46="","",IF(AND(E46&lt;N46,R46&lt;S46,M46&lt;=2,I46&gt;-15%),"是","否"))</f>
        <v/>
      </c>
      <c r="W46" s="19" t="str">
        <f aca="false">IF($A46="","",IF(OR(M46&gt;=3,I46&lt;=-15%),"是","否"))</f>
        <v/>
      </c>
      <c r="X46" s="15" t="str">
        <f aca="false">IF($A46="","",IFERROR(maxifs(候选池!$AB:$AB,候选池!$A:$A,$A46),0))</f>
        <v/>
      </c>
      <c r="Y46" s="15" t="str">
        <f aca="false">IF($A46="","",IF(OR(M46&gt;=4,I46&lt;=-8%),MAX(0,B46*60%-C46),IF(AND(ISNUMBER(AD46),B46&gt;AD46),IF(B46&lt;30000,0,IF(B46&lt;100000,MAX(0,(B46-AD46)*0.2),MAX(0,(B46-AD46)*0.3))),0)))</f>
        <v/>
      </c>
      <c r="Z46" s="5"/>
      <c r="AA46" s="19" t="str">
        <f aca="false">IF($A46="","",IF($AA$2&lt;&gt;"",$AA$2,""))</f>
        <v/>
      </c>
      <c r="AB46" s="5" t="str">
        <f aca="false">IF($A46="","",IF(B46&lt;30000,0.03,IF(B46&lt;100000,0.02,0.015)))</f>
        <v/>
      </c>
      <c r="AC46" s="18" t="str">
        <f aca="false">IF($A46="","",IFERROR(DATEDIF($A$2,$A46,"m"),0))</f>
        <v/>
      </c>
      <c r="AD46" s="15" t="str">
        <f aca="false">IF($A46="","",IF(OR(AA46="",AB46="",AC46=""),"",AA46*POWER(1+AB46,AC46)))</f>
        <v/>
      </c>
      <c r="AE46" s="21" t="str">
        <f aca="false">IF($A46="","",IF(OR(AD46="",AD46=0),"",B46/AD46-1))</f>
        <v/>
      </c>
      <c r="AG46" s="1" t="str">
        <f aca="false">IF($A46="","",IF(B46&lt;30000,"婴儿",IF(B46&lt;100000,"成长","成熟")))</f>
        <v/>
      </c>
      <c r="AH46" s="22"/>
      <c r="AJ46" s="22"/>
      <c r="AK46" s="22"/>
      <c r="AM46" s="22"/>
      <c r="AP46" s="13"/>
      <c r="AQ46" s="23" t="str">
        <f aca="false">IF($A46="","",B46-$AA$2-SUM($F$2:F46))</f>
        <v/>
      </c>
    </row>
    <row r="47" customFormat="false" ht="15" hidden="false" customHeight="true" outlineLevel="0" collapsed="false">
      <c r="A47" s="7"/>
      <c r="B47" s="24"/>
      <c r="C47" s="24"/>
      <c r="D47" s="15" t="str">
        <f aca="false">IF($A47="","",SUMIFS(持仓表!$J:$J,持仓表!$A:$A,$A47))</f>
        <v/>
      </c>
      <c r="E47" s="16" t="n">
        <f aca="false">IFERROR(D47/B47,0)</f>
        <v>0</v>
      </c>
      <c r="F47" s="24"/>
      <c r="G47" s="15" t="str">
        <f aca="false">IF($B47="","",MAX($B$2:B47))</f>
        <v/>
      </c>
      <c r="H47" s="16" t="n">
        <f aca="false">IFERROR((B47-F47)/F47,0)</f>
        <v>0</v>
      </c>
      <c r="I47" s="16" t="n">
        <f aca="false">IFERROR((B47-G47)/G47,0)</f>
        <v>0</v>
      </c>
      <c r="J47" s="12"/>
      <c r="K47" s="7"/>
      <c r="L47" s="25"/>
      <c r="M47" s="25"/>
      <c r="N47" s="16" t="str">
        <f aca="false">IF($B47="","",MIN(70%,IF($I47&lt;=-15%,10%,IF($I47&lt;=-10%,30%,IF($M47&gt;=4,10%,IF($M47&gt;=3,30%,IF($J47="强",IF($K47="A",70%,IF($K47="B",60%,40%)),IF($J47="中性",IF($K47="A",50%,IF($K47="B",40%,25%)),IF($K47="A",30%,IF($K47="B",20%,10%))))))))))</f>
        <v/>
      </c>
      <c r="O47" s="16" t="str">
        <f aca="false">IF($B47="","",IF(B47&lt;30000,35%,IF(B47&lt;50000,30%,IF(B47&lt;100000,25%,20%))))</f>
        <v/>
      </c>
      <c r="P47" s="18" t="str">
        <f aca="false">IF($A47="","",COUNTIFS(持仓表!$A:$A,$A47,持仓表!$G:$G,"&gt;0"))</f>
        <v/>
      </c>
      <c r="Q47" s="18" t="str">
        <f aca="false">IF($A47="","",COUNTIFS(持仓表!$A:$A,$A47,持仓表!$D:$D,"是",持仓表!$G:$G,"&gt;0"))</f>
        <v/>
      </c>
      <c r="R47" s="18" t="str">
        <f aca="false">IF($A47="","",MAX(0,P47-Q47))</f>
        <v/>
      </c>
      <c r="S47" s="18" t="str">
        <f aca="false">IF($B47="","",IF(B47&lt;50000,3,IF(B47&lt;100000,4,5)))</f>
        <v/>
      </c>
      <c r="T47" s="19" t="str">
        <f aca="false">IF($A47="","",IF(OR(M47&gt;=4,I47&lt;=-8%),"防守",IF(OR(M47&gt;=2,I47&lt;=-5%),"警戒","正常")))</f>
        <v/>
      </c>
      <c r="U47" s="19" t="str">
        <f aca="false">IF($A47="","",IF(AND(L47&gt;=3,M47&lt;=2,T47&lt;&gt;"防守"),"是","否"))</f>
        <v/>
      </c>
      <c r="V47" s="19" t="str">
        <f aca="false">IF($A47="","",IF(AND(E47&lt;N47,R47&lt;S47,M47&lt;=2,I47&gt;-15%),"是","否"))</f>
        <v/>
      </c>
      <c r="W47" s="19" t="str">
        <f aca="false">IF($A47="","",IF(OR(M47&gt;=3,I47&lt;=-15%),"是","否"))</f>
        <v/>
      </c>
      <c r="X47" s="15" t="str">
        <f aca="false">IF($A47="","",IFERROR(maxifs(候选池!$AB:$AB,候选池!$A:$A,$A47),0))</f>
        <v/>
      </c>
      <c r="Y47" s="15" t="str">
        <f aca="false">IF($A47="","",IF(OR(M47&gt;=4,I47&lt;=-8%),MAX(0,B47*60%-C47),IF(AND(ISNUMBER(AD47),B47&gt;AD47),IF(B47&lt;30000,0,IF(B47&lt;100000,MAX(0,(B47-AD47)*0.2),MAX(0,(B47-AD47)*0.3))),0)))</f>
        <v/>
      </c>
      <c r="Z47" s="7"/>
      <c r="AA47" s="19" t="str">
        <f aca="false">IF($A47="","",IF($AA$2&lt;&gt;"",$AA$2,""))</f>
        <v/>
      </c>
      <c r="AB47" s="7" t="str">
        <f aca="false">IF($A47="","",IF(B47&lt;30000,0.03,IF(B47&lt;100000,0.02,0.015)))</f>
        <v/>
      </c>
      <c r="AC47" s="18" t="str">
        <f aca="false">IF($A47="","",IFERROR(DATEDIF($A$2,$A47,"m"),0))</f>
        <v/>
      </c>
      <c r="AD47" s="15" t="str">
        <f aca="false">IF($A47="","",IF(OR(AA47="",AB47="",AC47=""),"",AA47*POWER(1+AB47,AC47)))</f>
        <v/>
      </c>
      <c r="AE47" s="27" t="str">
        <f aca="false">IF($A47="","",IF(OR(AD47="",AD47=0),"",B47/AD47-1))</f>
        <v/>
      </c>
      <c r="AG47" s="1" t="str">
        <f aca="false">IF($A47="","",IF(B47&lt;30000,"婴儿",IF(B47&lt;100000,"成长","成熟")))</f>
        <v/>
      </c>
      <c r="AH47" s="22"/>
      <c r="AJ47" s="22"/>
      <c r="AK47" s="22"/>
      <c r="AM47" s="22"/>
      <c r="AP47" s="13"/>
      <c r="AQ47" s="23" t="str">
        <f aca="false">IF($A47="","",B47-$AA$2-SUM($F$2:F47))</f>
        <v/>
      </c>
    </row>
    <row r="48" customFormat="false" ht="15" hidden="false" customHeight="true" outlineLevel="0" collapsed="false">
      <c r="A48" s="5"/>
      <c r="B48" s="14"/>
      <c r="C48" s="14"/>
      <c r="D48" s="15" t="str">
        <f aca="false">IF($A48="","",SUMIFS(持仓表!$J:$J,持仓表!$A:$A,$A48))</f>
        <v/>
      </c>
      <c r="E48" s="16" t="n">
        <f aca="false">IFERROR(D48/B48,0)</f>
        <v>0</v>
      </c>
      <c r="F48" s="14"/>
      <c r="G48" s="15" t="str">
        <f aca="false">IF($B48="","",MAX($B$2:B48))</f>
        <v/>
      </c>
      <c r="H48" s="16" t="n">
        <f aca="false">IFERROR((B48-F48)/F48,0)</f>
        <v>0</v>
      </c>
      <c r="I48" s="16" t="n">
        <f aca="false">IFERROR((B48-G48)/G48,0)</f>
        <v>0</v>
      </c>
      <c r="J48" s="11"/>
      <c r="K48" s="5"/>
      <c r="L48" s="17"/>
      <c r="M48" s="17"/>
      <c r="N48" s="16" t="str">
        <f aca="false">IF($B48="","",MIN(70%,IF($I48&lt;=-15%,10%,IF($I48&lt;=-10%,30%,IF($M48&gt;=4,10%,IF($M48&gt;=3,30%,IF($J48="强",IF($K48="A",70%,IF($K48="B",60%,40%)),IF($J48="中性",IF($K48="A",50%,IF($K48="B",40%,25%)),IF($K48="A",30%,IF($K48="B",20%,10%))))))))))</f>
        <v/>
      </c>
      <c r="O48" s="16" t="str">
        <f aca="false">IF($B48="","",IF(B48&lt;30000,35%,IF(B48&lt;50000,30%,IF(B48&lt;100000,25%,20%))))</f>
        <v/>
      </c>
      <c r="P48" s="18" t="str">
        <f aca="false">IF($A48="","",COUNTIFS(持仓表!$A:$A,$A48,持仓表!$G:$G,"&gt;0"))</f>
        <v/>
      </c>
      <c r="Q48" s="18" t="str">
        <f aca="false">IF($A48="","",COUNTIFS(持仓表!$A:$A,$A48,持仓表!$D:$D,"是",持仓表!$G:$G,"&gt;0"))</f>
        <v/>
      </c>
      <c r="R48" s="18" t="str">
        <f aca="false">IF($A48="","",MAX(0,P48-Q48))</f>
        <v/>
      </c>
      <c r="S48" s="18" t="str">
        <f aca="false">IF($B48="","",IF(B48&lt;50000,3,IF(B48&lt;100000,4,5)))</f>
        <v/>
      </c>
      <c r="T48" s="19" t="str">
        <f aca="false">IF($A48="","",IF(OR(M48&gt;=4,I48&lt;=-8%),"防守",IF(OR(M48&gt;=2,I48&lt;=-5%),"警戒","正常")))</f>
        <v/>
      </c>
      <c r="U48" s="19" t="str">
        <f aca="false">IF($A48="","",IF(AND(L48&gt;=3,M48&lt;=2,T48&lt;&gt;"防守"),"是","否"))</f>
        <v/>
      </c>
      <c r="V48" s="19" t="str">
        <f aca="false">IF($A48="","",IF(AND(E48&lt;N48,R48&lt;S48,M48&lt;=2,I48&gt;-15%),"是","否"))</f>
        <v/>
      </c>
      <c r="W48" s="19" t="str">
        <f aca="false">IF($A48="","",IF(OR(M48&gt;=3,I48&lt;=-15%),"是","否"))</f>
        <v/>
      </c>
      <c r="X48" s="15" t="str">
        <f aca="false">IF($A48="","",IFERROR(maxifs(候选池!$AB:$AB,候选池!$A:$A,$A48),0))</f>
        <v/>
      </c>
      <c r="Y48" s="15" t="str">
        <f aca="false">IF($A48="","",IF(OR(M48&gt;=4,I48&lt;=-8%),MAX(0,B48*60%-C48),IF(AND(ISNUMBER(AD48),B48&gt;AD48),IF(B48&lt;30000,0,IF(B48&lt;100000,MAX(0,(B48-AD48)*0.2),MAX(0,(B48-AD48)*0.3))),0)))</f>
        <v/>
      </c>
      <c r="Z48" s="5"/>
      <c r="AA48" s="19" t="str">
        <f aca="false">IF($A48="","",IF($AA$2&lt;&gt;"",$AA$2,""))</f>
        <v/>
      </c>
      <c r="AB48" s="5" t="str">
        <f aca="false">IF($A48="","",IF(B48&lt;30000,0.03,IF(B48&lt;100000,0.02,0.015)))</f>
        <v/>
      </c>
      <c r="AC48" s="18" t="str">
        <f aca="false">IF($A48="","",IFERROR(DATEDIF($A$2,$A48,"m"),0))</f>
        <v/>
      </c>
      <c r="AD48" s="15" t="str">
        <f aca="false">IF($A48="","",IF(OR(AA48="",AB48="",AC48=""),"",AA48*POWER(1+AB48,AC48)))</f>
        <v/>
      </c>
      <c r="AE48" s="21" t="str">
        <f aca="false">IF($A48="","",IF(OR(AD48="",AD48=0),"",B48/AD48-1))</f>
        <v/>
      </c>
      <c r="AG48" s="1" t="str">
        <f aca="false">IF($A48="","",IF(B48&lt;30000,"婴儿",IF(B48&lt;100000,"成长","成熟")))</f>
        <v/>
      </c>
      <c r="AH48" s="22"/>
      <c r="AJ48" s="22"/>
      <c r="AK48" s="22"/>
      <c r="AM48" s="22"/>
      <c r="AP48" s="13"/>
      <c r="AQ48" s="23" t="str">
        <f aca="false">IF($A48="","",B48-$AA$2-SUM($F$2:F48))</f>
        <v/>
      </c>
    </row>
    <row r="49" customFormat="false" ht="15" hidden="false" customHeight="true" outlineLevel="0" collapsed="false">
      <c r="A49" s="7"/>
      <c r="B49" s="24"/>
      <c r="C49" s="24"/>
      <c r="D49" s="15" t="str">
        <f aca="false">IF($A49="","",SUMIFS(持仓表!$J:$J,持仓表!$A:$A,$A49))</f>
        <v/>
      </c>
      <c r="E49" s="16" t="n">
        <f aca="false">IFERROR(D49/B49,0)</f>
        <v>0</v>
      </c>
      <c r="F49" s="24"/>
      <c r="G49" s="15" t="str">
        <f aca="false">IF($B49="","",MAX($B$2:B49))</f>
        <v/>
      </c>
      <c r="H49" s="16" t="n">
        <f aca="false">IFERROR((B49-F49)/F49,0)</f>
        <v>0</v>
      </c>
      <c r="I49" s="16" t="n">
        <f aca="false">IFERROR((B49-G49)/G49,0)</f>
        <v>0</v>
      </c>
      <c r="J49" s="12"/>
      <c r="K49" s="7"/>
      <c r="L49" s="25"/>
      <c r="M49" s="25"/>
      <c r="N49" s="16" t="str">
        <f aca="false">IF($B49="","",MIN(70%,IF($I49&lt;=-15%,10%,IF($I49&lt;=-10%,30%,IF($M49&gt;=4,10%,IF($M49&gt;=3,30%,IF($J49="强",IF($K49="A",70%,IF($K49="B",60%,40%)),IF($J49="中性",IF($K49="A",50%,IF($K49="B",40%,25%)),IF($K49="A",30%,IF($K49="B",20%,10%))))))))))</f>
        <v/>
      </c>
      <c r="O49" s="16" t="str">
        <f aca="false">IF($B49="","",IF(B49&lt;30000,35%,IF(B49&lt;50000,30%,IF(B49&lt;100000,25%,20%))))</f>
        <v/>
      </c>
      <c r="P49" s="18" t="str">
        <f aca="false">IF($A49="","",COUNTIFS(持仓表!$A:$A,$A49,持仓表!$G:$G,"&gt;0"))</f>
        <v/>
      </c>
      <c r="Q49" s="18" t="str">
        <f aca="false">IF($A49="","",COUNTIFS(持仓表!$A:$A,$A49,持仓表!$D:$D,"是",持仓表!$G:$G,"&gt;0"))</f>
        <v/>
      </c>
      <c r="R49" s="18" t="str">
        <f aca="false">IF($A49="","",MAX(0,P49-Q49))</f>
        <v/>
      </c>
      <c r="S49" s="18" t="str">
        <f aca="false">IF($B49="","",IF(B49&lt;50000,3,IF(B49&lt;100000,4,5)))</f>
        <v/>
      </c>
      <c r="T49" s="19" t="str">
        <f aca="false">IF($A49="","",IF(OR(M49&gt;=4,I49&lt;=-8%),"防守",IF(OR(M49&gt;=2,I49&lt;=-5%),"警戒","正常")))</f>
        <v/>
      </c>
      <c r="U49" s="19" t="str">
        <f aca="false">IF($A49="","",IF(AND(L49&gt;=3,M49&lt;=2,T49&lt;&gt;"防守"),"是","否"))</f>
        <v/>
      </c>
      <c r="V49" s="19" t="str">
        <f aca="false">IF($A49="","",IF(AND(E49&lt;N49,R49&lt;S49,M49&lt;=2,I49&gt;-15%),"是","否"))</f>
        <v/>
      </c>
      <c r="W49" s="19" t="str">
        <f aca="false">IF($A49="","",IF(OR(M49&gt;=3,I49&lt;=-15%),"是","否"))</f>
        <v/>
      </c>
      <c r="X49" s="15" t="str">
        <f aca="false">IF($A49="","",IFERROR(maxifs(候选池!$AB:$AB,候选池!$A:$A,$A49),0))</f>
        <v/>
      </c>
      <c r="Y49" s="15" t="str">
        <f aca="false">IF($A49="","",IF(OR(M49&gt;=4,I49&lt;=-8%),MAX(0,B49*60%-C49),IF(AND(ISNUMBER(AD49),B49&gt;AD49),IF(B49&lt;30000,0,IF(B49&lt;100000,MAX(0,(B49-AD49)*0.2),MAX(0,(B49-AD49)*0.3))),0)))</f>
        <v/>
      </c>
      <c r="Z49" s="7"/>
      <c r="AA49" s="19" t="str">
        <f aca="false">IF($A49="","",IF($AA$2&lt;&gt;"",$AA$2,""))</f>
        <v/>
      </c>
      <c r="AB49" s="7" t="str">
        <f aca="false">IF($A49="","",IF(B49&lt;30000,0.03,IF(B49&lt;100000,0.02,0.015)))</f>
        <v/>
      </c>
      <c r="AC49" s="18" t="str">
        <f aca="false">IF($A49="","",IFERROR(DATEDIF($A$2,$A49,"m"),0))</f>
        <v/>
      </c>
      <c r="AD49" s="15" t="str">
        <f aca="false">IF($A49="","",IF(OR(AA49="",AB49="",AC49=""),"",AA49*POWER(1+AB49,AC49)))</f>
        <v/>
      </c>
      <c r="AE49" s="27" t="str">
        <f aca="false">IF($A49="","",IF(OR(AD49="",AD49=0),"",B49/AD49-1))</f>
        <v/>
      </c>
      <c r="AG49" s="1" t="str">
        <f aca="false">IF($A49="","",IF(B49&lt;30000,"婴儿",IF(B49&lt;100000,"成长","成熟")))</f>
        <v/>
      </c>
      <c r="AH49" s="22"/>
      <c r="AJ49" s="22"/>
      <c r="AK49" s="22"/>
      <c r="AM49" s="22"/>
      <c r="AP49" s="13"/>
      <c r="AQ49" s="23" t="str">
        <f aca="false">IF($A49="","",B49-$AA$2-SUM($F$2:F49))</f>
        <v/>
      </c>
    </row>
    <row r="50" customFormat="false" ht="15" hidden="false" customHeight="true" outlineLevel="0" collapsed="false">
      <c r="A50" s="5"/>
      <c r="B50" s="14"/>
      <c r="C50" s="14"/>
      <c r="D50" s="15" t="str">
        <f aca="false">IF($A50="","",SUMIFS(持仓表!$J:$J,持仓表!$A:$A,$A50))</f>
        <v/>
      </c>
      <c r="E50" s="16" t="n">
        <f aca="false">IFERROR(D50/B50,0)</f>
        <v>0</v>
      </c>
      <c r="F50" s="14"/>
      <c r="G50" s="15" t="str">
        <f aca="false">IF($B50="","",MAX($B$2:B50))</f>
        <v/>
      </c>
      <c r="H50" s="16" t="n">
        <f aca="false">IFERROR((B50-F50)/F50,0)</f>
        <v>0</v>
      </c>
      <c r="I50" s="16" t="n">
        <f aca="false">IFERROR((B50-G50)/G50,0)</f>
        <v>0</v>
      </c>
      <c r="J50" s="11"/>
      <c r="K50" s="5"/>
      <c r="L50" s="17"/>
      <c r="M50" s="17"/>
      <c r="N50" s="16" t="str">
        <f aca="false">IF($B50="","",MIN(70%,IF($I50&lt;=-15%,10%,IF($I50&lt;=-10%,30%,IF($M50&gt;=4,10%,IF($M50&gt;=3,30%,IF($J50="强",IF($K50="A",70%,IF($K50="B",60%,40%)),IF($J50="中性",IF($K50="A",50%,IF($K50="B",40%,25%)),IF($K50="A",30%,IF($K50="B",20%,10%))))))))))</f>
        <v/>
      </c>
      <c r="O50" s="16" t="str">
        <f aca="false">IF($B50="","",IF(B50&lt;30000,35%,IF(B50&lt;50000,30%,IF(B50&lt;100000,25%,20%))))</f>
        <v/>
      </c>
      <c r="P50" s="18" t="str">
        <f aca="false">IF($A50="","",COUNTIFS(持仓表!$A:$A,$A50,持仓表!$G:$G,"&gt;0"))</f>
        <v/>
      </c>
      <c r="Q50" s="18" t="str">
        <f aca="false">IF($A50="","",COUNTIFS(持仓表!$A:$A,$A50,持仓表!$D:$D,"是",持仓表!$G:$G,"&gt;0"))</f>
        <v/>
      </c>
      <c r="R50" s="18" t="str">
        <f aca="false">IF($A50="","",MAX(0,P50-Q50))</f>
        <v/>
      </c>
      <c r="S50" s="18" t="str">
        <f aca="false">IF($B50="","",IF(B50&lt;50000,3,IF(B50&lt;100000,4,5)))</f>
        <v/>
      </c>
      <c r="T50" s="19" t="str">
        <f aca="false">IF($A50="","",IF(OR(M50&gt;=4,I50&lt;=-8%),"防守",IF(OR(M50&gt;=2,I50&lt;=-5%),"警戒","正常")))</f>
        <v/>
      </c>
      <c r="U50" s="19" t="str">
        <f aca="false">IF($A50="","",IF(AND(L50&gt;=3,M50&lt;=2,T50&lt;&gt;"防守"),"是","否"))</f>
        <v/>
      </c>
      <c r="V50" s="19" t="str">
        <f aca="false">IF($A50="","",IF(AND(E50&lt;N50,R50&lt;S50,M50&lt;=2,I50&gt;-15%),"是","否"))</f>
        <v/>
      </c>
      <c r="W50" s="19" t="str">
        <f aca="false">IF($A50="","",IF(OR(M50&gt;=3,I50&lt;=-15%),"是","否"))</f>
        <v/>
      </c>
      <c r="X50" s="15" t="str">
        <f aca="false">IF($A50="","",IFERROR(maxifs(候选池!$AB:$AB,候选池!$A:$A,$A50),0))</f>
        <v/>
      </c>
      <c r="Y50" s="15" t="str">
        <f aca="false">IF($A50="","",IF(OR(M50&gt;=4,I50&lt;=-8%),MAX(0,B50*60%-C50),IF(AND(ISNUMBER(AD50),B50&gt;AD50),IF(B50&lt;30000,0,IF(B50&lt;100000,MAX(0,(B50-AD50)*0.2),MAX(0,(B50-AD50)*0.3))),0)))</f>
        <v/>
      </c>
      <c r="Z50" s="5"/>
      <c r="AA50" s="19" t="str">
        <f aca="false">IF($A50="","",IF($AA$2&lt;&gt;"",$AA$2,""))</f>
        <v/>
      </c>
      <c r="AB50" s="5" t="str">
        <f aca="false">IF($A50="","",IF(B50&lt;30000,0.03,IF(B50&lt;100000,0.02,0.015)))</f>
        <v/>
      </c>
      <c r="AC50" s="18" t="str">
        <f aca="false">IF($A50="","",IFERROR(DATEDIF($A$2,$A50,"m"),0))</f>
        <v/>
      </c>
      <c r="AD50" s="15" t="str">
        <f aca="false">IF($A50="","",IF(OR(AA50="",AB50="",AC50=""),"",AA50*POWER(1+AB50,AC50)))</f>
        <v/>
      </c>
      <c r="AE50" s="21" t="str">
        <f aca="false">IF($A50="","",IF(OR(AD50="",AD50=0),"",B50/AD50-1))</f>
        <v/>
      </c>
      <c r="AG50" s="1" t="str">
        <f aca="false">IF($A50="","",IF(B50&lt;30000,"婴儿",IF(B50&lt;100000,"成长","成熟")))</f>
        <v/>
      </c>
      <c r="AH50" s="22"/>
      <c r="AJ50" s="22"/>
      <c r="AK50" s="22"/>
      <c r="AM50" s="22"/>
      <c r="AP50" s="13"/>
      <c r="AQ50" s="23" t="str">
        <f aca="false">IF($A50="","",B50-$AA$2-SUM($F$2:F50))</f>
        <v/>
      </c>
    </row>
    <row r="51" customFormat="false" ht="15" hidden="false" customHeight="true" outlineLevel="0" collapsed="false">
      <c r="A51" s="7"/>
      <c r="B51" s="24"/>
      <c r="C51" s="24"/>
      <c r="D51" s="15" t="str">
        <f aca="false">IF($A51="","",SUMIFS(持仓表!$J:$J,持仓表!$A:$A,$A51))</f>
        <v/>
      </c>
      <c r="E51" s="16" t="n">
        <f aca="false">IFERROR(D51/B51,0)</f>
        <v>0</v>
      </c>
      <c r="F51" s="24"/>
      <c r="G51" s="15" t="str">
        <f aca="false">IF($B51="","",MAX($B$2:B51))</f>
        <v/>
      </c>
      <c r="H51" s="16" t="n">
        <f aca="false">IFERROR((B51-F51)/F51,0)</f>
        <v>0</v>
      </c>
      <c r="I51" s="16" t="n">
        <f aca="false">IFERROR((B51-G51)/G51,0)</f>
        <v>0</v>
      </c>
      <c r="J51" s="12"/>
      <c r="K51" s="7"/>
      <c r="L51" s="25"/>
      <c r="M51" s="25"/>
      <c r="N51" s="16" t="str">
        <f aca="false">IF($B51="","",MIN(70%,IF($I51&lt;=-15%,10%,IF($I51&lt;=-10%,30%,IF($M51&gt;=4,10%,IF($M51&gt;=3,30%,IF($J51="强",IF($K51="A",70%,IF($K51="B",60%,40%)),IF($J51="中性",IF($K51="A",50%,IF($K51="B",40%,25%)),IF($K51="A",30%,IF($K51="B",20%,10%))))))))))</f>
        <v/>
      </c>
      <c r="O51" s="16" t="str">
        <f aca="false">IF($B51="","",IF(B51&lt;30000,35%,IF(B51&lt;50000,30%,IF(B51&lt;100000,25%,20%))))</f>
        <v/>
      </c>
      <c r="P51" s="18" t="str">
        <f aca="false">IF($A51="","",COUNTIFS(持仓表!$A:$A,$A51,持仓表!$G:$G,"&gt;0"))</f>
        <v/>
      </c>
      <c r="Q51" s="18" t="str">
        <f aca="false">IF($A51="","",COUNTIFS(持仓表!$A:$A,$A51,持仓表!$D:$D,"是",持仓表!$G:$G,"&gt;0"))</f>
        <v/>
      </c>
      <c r="R51" s="18" t="str">
        <f aca="false">IF($A51="","",MAX(0,P51-Q51))</f>
        <v/>
      </c>
      <c r="S51" s="18" t="str">
        <f aca="false">IF($B51="","",IF(B51&lt;50000,3,IF(B51&lt;100000,4,5)))</f>
        <v/>
      </c>
      <c r="T51" s="19" t="str">
        <f aca="false">IF($A51="","",IF(OR(M51&gt;=4,I51&lt;=-8%),"防守",IF(OR(M51&gt;=2,I51&lt;=-5%),"警戒","正常")))</f>
        <v/>
      </c>
      <c r="U51" s="19" t="str">
        <f aca="false">IF($A51="","",IF(AND(L51&gt;=3,M51&lt;=2,T51&lt;&gt;"防守"),"是","否"))</f>
        <v/>
      </c>
      <c r="V51" s="19" t="str">
        <f aca="false">IF($A51="","",IF(AND(E51&lt;N51,R51&lt;S51,M51&lt;=2,I51&gt;-15%),"是","否"))</f>
        <v/>
      </c>
      <c r="W51" s="19" t="str">
        <f aca="false">IF($A51="","",IF(OR(M51&gt;=3,I51&lt;=-15%),"是","否"))</f>
        <v/>
      </c>
      <c r="X51" s="15" t="str">
        <f aca="false">IF($A51="","",IFERROR(maxifs(候选池!$AB:$AB,候选池!$A:$A,$A51),0))</f>
        <v/>
      </c>
      <c r="Y51" s="15" t="str">
        <f aca="false">IF($A51="","",IF(OR(M51&gt;=4,I51&lt;=-8%),MAX(0,B51*60%-C51),IF(AND(ISNUMBER(AD51),B51&gt;AD51),IF(B51&lt;30000,0,IF(B51&lt;100000,MAX(0,(B51-AD51)*0.2),MAX(0,(B51-AD51)*0.3))),0)))</f>
        <v/>
      </c>
      <c r="Z51" s="7"/>
      <c r="AA51" s="19" t="str">
        <f aca="false">IF($A51="","",IF($AA$2&lt;&gt;"",$AA$2,""))</f>
        <v/>
      </c>
      <c r="AB51" s="7" t="str">
        <f aca="false">IF($A51="","",IF(B51&lt;30000,0.03,IF(B51&lt;100000,0.02,0.015)))</f>
        <v/>
      </c>
      <c r="AC51" s="18" t="str">
        <f aca="false">IF($A51="","",IFERROR(DATEDIF($A$2,$A51,"m"),0))</f>
        <v/>
      </c>
      <c r="AD51" s="15" t="str">
        <f aca="false">IF($A51="","",IF(OR(AA51="",AB51="",AC51=""),"",AA51*POWER(1+AB51,AC51)))</f>
        <v/>
      </c>
      <c r="AE51" s="27" t="str">
        <f aca="false">IF($A51="","",IF(OR(AD51="",AD51=0),"",B51/AD51-1))</f>
        <v/>
      </c>
      <c r="AG51" s="1" t="str">
        <f aca="false">IF($A51="","",IF(B51&lt;30000,"婴儿",IF(B51&lt;100000,"成长","成熟")))</f>
        <v/>
      </c>
      <c r="AH51" s="22"/>
      <c r="AJ51" s="22"/>
      <c r="AK51" s="22"/>
      <c r="AM51" s="22"/>
      <c r="AP51" s="13"/>
      <c r="AQ51" s="23" t="str">
        <f aca="false">IF($A51="","",B51-$AA$2-SUM($F$2:F51))</f>
        <v/>
      </c>
    </row>
    <row r="52" customFormat="false" ht="15" hidden="false" customHeight="true" outlineLevel="0" collapsed="false">
      <c r="A52" s="5"/>
      <c r="B52" s="14"/>
      <c r="C52" s="14"/>
      <c r="D52" s="15" t="str">
        <f aca="false">IF($A52="","",SUMIFS(持仓表!$J:$J,持仓表!$A:$A,$A52))</f>
        <v/>
      </c>
      <c r="E52" s="16" t="n">
        <f aca="false">IFERROR(D52/B52,0)</f>
        <v>0</v>
      </c>
      <c r="F52" s="14"/>
      <c r="G52" s="15" t="str">
        <f aca="false">IF($B52="","",MAX($B$2:B52))</f>
        <v/>
      </c>
      <c r="H52" s="16" t="n">
        <f aca="false">IFERROR((B52-F52)/F52,0)</f>
        <v>0</v>
      </c>
      <c r="I52" s="16" t="n">
        <f aca="false">IFERROR((B52-G52)/G52,0)</f>
        <v>0</v>
      </c>
      <c r="J52" s="11"/>
      <c r="K52" s="5"/>
      <c r="L52" s="17"/>
      <c r="M52" s="17"/>
      <c r="N52" s="16" t="str">
        <f aca="false">IF($B52="","",MIN(70%,IF($I52&lt;=-15%,10%,IF($I52&lt;=-10%,30%,IF($M52&gt;=4,10%,IF($M52&gt;=3,30%,IF($J52="强",IF($K52="A",70%,IF($K52="B",60%,40%)),IF($J52="中性",IF($K52="A",50%,IF($K52="B",40%,25%)),IF($K52="A",30%,IF($K52="B",20%,10%))))))))))</f>
        <v/>
      </c>
      <c r="O52" s="16" t="str">
        <f aca="false">IF($B52="","",IF(B52&lt;30000,35%,IF(B52&lt;50000,30%,IF(B52&lt;100000,25%,20%))))</f>
        <v/>
      </c>
      <c r="P52" s="18" t="str">
        <f aca="false">IF($A52="","",COUNTIFS(持仓表!$A:$A,$A52,持仓表!$G:$G,"&gt;0"))</f>
        <v/>
      </c>
      <c r="Q52" s="18" t="str">
        <f aca="false">IF($A52="","",COUNTIFS(持仓表!$A:$A,$A52,持仓表!$D:$D,"是",持仓表!$G:$G,"&gt;0"))</f>
        <v/>
      </c>
      <c r="R52" s="18" t="str">
        <f aca="false">IF($A52="","",MAX(0,P52-Q52))</f>
        <v/>
      </c>
      <c r="S52" s="18" t="str">
        <f aca="false">IF($B52="","",IF(B52&lt;50000,3,IF(B52&lt;100000,4,5)))</f>
        <v/>
      </c>
      <c r="T52" s="19" t="str">
        <f aca="false">IF($A52="","",IF(OR(M52&gt;=4,I52&lt;=-8%),"防守",IF(OR(M52&gt;=2,I52&lt;=-5%),"警戒","正常")))</f>
        <v/>
      </c>
      <c r="U52" s="19" t="str">
        <f aca="false">IF($A52="","",IF(AND(L52&gt;=3,M52&lt;=2,T52&lt;&gt;"防守"),"是","否"))</f>
        <v/>
      </c>
      <c r="V52" s="19" t="str">
        <f aca="false">IF($A52="","",IF(AND(E52&lt;N52,R52&lt;S52,M52&lt;=2,I52&gt;-15%),"是","否"))</f>
        <v/>
      </c>
      <c r="W52" s="19" t="str">
        <f aca="false">IF($A52="","",IF(OR(M52&gt;=3,I52&lt;=-15%),"是","否"))</f>
        <v/>
      </c>
      <c r="X52" s="15" t="str">
        <f aca="false">IF($A52="","",IFERROR(maxifs(候选池!$AB:$AB,候选池!$A:$A,$A52),0))</f>
        <v/>
      </c>
      <c r="Y52" s="15" t="str">
        <f aca="false">IF($A52="","",IF(OR(M52&gt;=4,I52&lt;=-8%),MAX(0,B52*60%-C52),IF(AND(ISNUMBER(AD52),B52&gt;AD52),IF(B52&lt;30000,0,IF(B52&lt;100000,MAX(0,(B52-AD52)*0.2),MAX(0,(B52-AD52)*0.3))),0)))</f>
        <v/>
      </c>
      <c r="Z52" s="5"/>
      <c r="AA52" s="19" t="str">
        <f aca="false">IF($A52="","",IF($AA$2&lt;&gt;"",$AA$2,""))</f>
        <v/>
      </c>
      <c r="AB52" s="5" t="str">
        <f aca="false">IF($A52="","",IF(B52&lt;30000,0.03,IF(B52&lt;100000,0.02,0.015)))</f>
        <v/>
      </c>
      <c r="AC52" s="18" t="str">
        <f aca="false">IF($A52="","",IFERROR(DATEDIF($A$2,$A52,"m"),0))</f>
        <v/>
      </c>
      <c r="AD52" s="15" t="str">
        <f aca="false">IF($A52="","",IF(OR(AA52="",AB52="",AC52=""),"",AA52*POWER(1+AB52,AC52)))</f>
        <v/>
      </c>
      <c r="AE52" s="21" t="str">
        <f aca="false">IF($A52="","",IF(OR(AD52="",AD52=0),"",B52/AD52-1))</f>
        <v/>
      </c>
      <c r="AG52" s="1" t="str">
        <f aca="false">IF($A52="","",IF(B52&lt;30000,"婴儿",IF(B52&lt;100000,"成长","成熟")))</f>
        <v/>
      </c>
      <c r="AH52" s="22"/>
      <c r="AJ52" s="22"/>
      <c r="AK52" s="22"/>
      <c r="AM52" s="22"/>
      <c r="AP52" s="13"/>
      <c r="AQ52" s="23" t="str">
        <f aca="false">IF($A52="","",B52-$AA$2-SUM($F$2:F52))</f>
        <v/>
      </c>
    </row>
    <row r="53" customFormat="false" ht="15" hidden="false" customHeight="true" outlineLevel="0" collapsed="false">
      <c r="A53" s="7"/>
      <c r="B53" s="24"/>
      <c r="C53" s="24"/>
      <c r="D53" s="15" t="str">
        <f aca="false">IF($A53="","",SUMIFS(持仓表!$J:$J,持仓表!$A:$A,$A53))</f>
        <v/>
      </c>
      <c r="E53" s="16" t="n">
        <f aca="false">IFERROR(D53/B53,0)</f>
        <v>0</v>
      </c>
      <c r="F53" s="24"/>
      <c r="G53" s="15" t="str">
        <f aca="false">IF($B53="","",MAX($B$2:B53))</f>
        <v/>
      </c>
      <c r="H53" s="16" t="n">
        <f aca="false">IFERROR((B53-F53)/F53,0)</f>
        <v>0</v>
      </c>
      <c r="I53" s="16" t="n">
        <f aca="false">IFERROR((B53-G53)/G53,0)</f>
        <v>0</v>
      </c>
      <c r="J53" s="12"/>
      <c r="K53" s="7"/>
      <c r="L53" s="25"/>
      <c r="M53" s="25"/>
      <c r="N53" s="16" t="str">
        <f aca="false">IF($B53="","",MIN(70%,IF($I53&lt;=-15%,10%,IF($I53&lt;=-10%,30%,IF($M53&gt;=4,10%,IF($M53&gt;=3,30%,IF($J53="强",IF($K53="A",70%,IF($K53="B",60%,40%)),IF($J53="中性",IF($K53="A",50%,IF($K53="B",40%,25%)),IF($K53="A",30%,IF($K53="B",20%,10%))))))))))</f>
        <v/>
      </c>
      <c r="O53" s="16" t="str">
        <f aca="false">IF($B53="","",IF(B53&lt;30000,35%,IF(B53&lt;50000,30%,IF(B53&lt;100000,25%,20%))))</f>
        <v/>
      </c>
      <c r="P53" s="18" t="str">
        <f aca="false">IF($A53="","",COUNTIFS(持仓表!$A:$A,$A53,持仓表!$G:$G,"&gt;0"))</f>
        <v/>
      </c>
      <c r="Q53" s="18" t="str">
        <f aca="false">IF($A53="","",COUNTIFS(持仓表!$A:$A,$A53,持仓表!$D:$D,"是",持仓表!$G:$G,"&gt;0"))</f>
        <v/>
      </c>
      <c r="R53" s="18" t="str">
        <f aca="false">IF($A53="","",MAX(0,P53-Q53))</f>
        <v/>
      </c>
      <c r="S53" s="18" t="str">
        <f aca="false">IF($B53="","",IF(B53&lt;50000,3,IF(B53&lt;100000,4,5)))</f>
        <v/>
      </c>
      <c r="T53" s="19" t="str">
        <f aca="false">IF($A53="","",IF(OR(M53&gt;=4,I53&lt;=-8%),"防守",IF(OR(M53&gt;=2,I53&lt;=-5%),"警戒","正常")))</f>
        <v/>
      </c>
      <c r="U53" s="19" t="str">
        <f aca="false">IF($A53="","",IF(AND(L53&gt;=3,M53&lt;=2,T53&lt;&gt;"防守"),"是","否"))</f>
        <v/>
      </c>
      <c r="V53" s="19" t="str">
        <f aca="false">IF($A53="","",IF(AND(E53&lt;N53,R53&lt;S53,M53&lt;=2,I53&gt;-15%),"是","否"))</f>
        <v/>
      </c>
      <c r="W53" s="19" t="str">
        <f aca="false">IF($A53="","",IF(OR(M53&gt;=3,I53&lt;=-15%),"是","否"))</f>
        <v/>
      </c>
      <c r="X53" s="15" t="str">
        <f aca="false">IF($A53="","",IFERROR(maxifs(候选池!$AB:$AB,候选池!$A:$A,$A53),0))</f>
        <v/>
      </c>
      <c r="Y53" s="15" t="str">
        <f aca="false">IF($A53="","",IF(OR(M53&gt;=4,I53&lt;=-8%),MAX(0,B53*60%-C53),IF(AND(ISNUMBER(AD53),B53&gt;AD53),IF(B53&lt;30000,0,IF(B53&lt;100000,MAX(0,(B53-AD53)*0.2),MAX(0,(B53-AD53)*0.3))),0)))</f>
        <v/>
      </c>
      <c r="Z53" s="7"/>
      <c r="AA53" s="19" t="str">
        <f aca="false">IF($A53="","",IF($AA$2&lt;&gt;"",$AA$2,""))</f>
        <v/>
      </c>
      <c r="AB53" s="7" t="str">
        <f aca="false">IF($A53="","",IF(B53&lt;30000,0.03,IF(B53&lt;100000,0.02,0.015)))</f>
        <v/>
      </c>
      <c r="AC53" s="18" t="str">
        <f aca="false">IF($A53="","",IFERROR(DATEDIF($A$2,$A53,"m"),0))</f>
        <v/>
      </c>
      <c r="AD53" s="15" t="str">
        <f aca="false">IF($A53="","",IF(OR(AA53="",AB53="",AC53=""),"",AA53*POWER(1+AB53,AC53)))</f>
        <v/>
      </c>
      <c r="AE53" s="27" t="str">
        <f aca="false">IF($A53="","",IF(OR(AD53="",AD53=0),"",B53/AD53-1))</f>
        <v/>
      </c>
      <c r="AG53" s="1" t="str">
        <f aca="false">IF($A53="","",IF(B53&lt;30000,"婴儿",IF(B53&lt;100000,"成长","成熟")))</f>
        <v/>
      </c>
      <c r="AH53" s="22"/>
      <c r="AJ53" s="22"/>
      <c r="AK53" s="22"/>
      <c r="AM53" s="22"/>
      <c r="AP53" s="13"/>
      <c r="AQ53" s="23" t="str">
        <f aca="false">IF($A53="","",B53-$AA$2-SUM($F$2:F53))</f>
        <v/>
      </c>
    </row>
    <row r="54" customFormat="false" ht="15" hidden="false" customHeight="true" outlineLevel="0" collapsed="false">
      <c r="A54" s="5"/>
      <c r="B54" s="14"/>
      <c r="C54" s="14"/>
      <c r="D54" s="15" t="str">
        <f aca="false">IF($A54="","",SUMIFS(持仓表!$J:$J,持仓表!$A:$A,$A54))</f>
        <v/>
      </c>
      <c r="E54" s="16" t="n">
        <f aca="false">IFERROR(D54/B54,0)</f>
        <v>0</v>
      </c>
      <c r="F54" s="14"/>
      <c r="G54" s="15" t="str">
        <f aca="false">IF($B54="","",MAX($B$2:B54))</f>
        <v/>
      </c>
      <c r="H54" s="16" t="n">
        <f aca="false">IFERROR((B54-F54)/F54,0)</f>
        <v>0</v>
      </c>
      <c r="I54" s="16" t="n">
        <f aca="false">IFERROR((B54-G54)/G54,0)</f>
        <v>0</v>
      </c>
      <c r="J54" s="11"/>
      <c r="K54" s="5"/>
      <c r="L54" s="17"/>
      <c r="M54" s="17"/>
      <c r="N54" s="16" t="str">
        <f aca="false">IF($B54="","",MIN(70%,IF($I54&lt;=-15%,10%,IF($I54&lt;=-10%,30%,IF($M54&gt;=4,10%,IF($M54&gt;=3,30%,IF($J54="强",IF($K54="A",70%,IF($K54="B",60%,40%)),IF($J54="中性",IF($K54="A",50%,IF($K54="B",40%,25%)),IF($K54="A",30%,IF($K54="B",20%,10%))))))))))</f>
        <v/>
      </c>
      <c r="O54" s="16" t="str">
        <f aca="false">IF($B54="","",IF(B54&lt;30000,35%,IF(B54&lt;50000,30%,IF(B54&lt;100000,25%,20%))))</f>
        <v/>
      </c>
      <c r="P54" s="18" t="str">
        <f aca="false">IF($A54="","",COUNTIFS(持仓表!$A:$A,$A54,持仓表!$G:$G,"&gt;0"))</f>
        <v/>
      </c>
      <c r="Q54" s="18" t="str">
        <f aca="false">IF($A54="","",COUNTIFS(持仓表!$A:$A,$A54,持仓表!$D:$D,"是",持仓表!$G:$G,"&gt;0"))</f>
        <v/>
      </c>
      <c r="R54" s="18" t="str">
        <f aca="false">IF($A54="","",MAX(0,P54-Q54))</f>
        <v/>
      </c>
      <c r="S54" s="18" t="str">
        <f aca="false">IF($B54="","",IF(B54&lt;50000,3,IF(B54&lt;100000,4,5)))</f>
        <v/>
      </c>
      <c r="T54" s="19" t="str">
        <f aca="false">IF($A54="","",IF(OR(M54&gt;=4,I54&lt;=-8%),"防守",IF(OR(M54&gt;=2,I54&lt;=-5%),"警戒","正常")))</f>
        <v/>
      </c>
      <c r="U54" s="19" t="str">
        <f aca="false">IF($A54="","",IF(AND(L54&gt;=3,M54&lt;=2,T54&lt;&gt;"防守"),"是","否"))</f>
        <v/>
      </c>
      <c r="V54" s="19" t="str">
        <f aca="false">IF($A54="","",IF(AND(E54&lt;N54,R54&lt;S54,M54&lt;=2,I54&gt;-15%),"是","否"))</f>
        <v/>
      </c>
      <c r="W54" s="19" t="str">
        <f aca="false">IF($A54="","",IF(OR(M54&gt;=3,I54&lt;=-15%),"是","否"))</f>
        <v/>
      </c>
      <c r="X54" s="15" t="str">
        <f aca="false">IF($A54="","",IFERROR(maxifs(候选池!$AB:$AB,候选池!$A:$A,$A54),0))</f>
        <v/>
      </c>
      <c r="Y54" s="15" t="str">
        <f aca="false">IF($A54="","",IF(OR(M54&gt;=4,I54&lt;=-8%),MAX(0,B54*60%-C54),IF(AND(ISNUMBER(AD54),B54&gt;AD54),IF(B54&lt;30000,0,IF(B54&lt;100000,MAX(0,(B54-AD54)*0.2),MAX(0,(B54-AD54)*0.3))),0)))</f>
        <v/>
      </c>
      <c r="Z54" s="5"/>
      <c r="AA54" s="19" t="str">
        <f aca="false">IF($A54="","",IF($AA$2&lt;&gt;"",$AA$2,""))</f>
        <v/>
      </c>
      <c r="AB54" s="5" t="str">
        <f aca="false">IF($A54="","",IF(B54&lt;30000,0.03,IF(B54&lt;100000,0.02,0.015)))</f>
        <v/>
      </c>
      <c r="AC54" s="18" t="str">
        <f aca="false">IF($A54="","",IFERROR(DATEDIF($A$2,$A54,"m"),0))</f>
        <v/>
      </c>
      <c r="AD54" s="15" t="str">
        <f aca="false">IF($A54="","",IF(OR(AA54="",AB54="",AC54=""),"",AA54*POWER(1+AB54,AC54)))</f>
        <v/>
      </c>
      <c r="AE54" s="21" t="str">
        <f aca="false">IF($A54="","",IF(OR(AD54="",AD54=0),"",B54/AD54-1))</f>
        <v/>
      </c>
      <c r="AG54" s="1" t="str">
        <f aca="false">IF($A54="","",IF(B54&lt;30000,"婴儿",IF(B54&lt;100000,"成长","成熟")))</f>
        <v/>
      </c>
      <c r="AH54" s="22"/>
      <c r="AJ54" s="22"/>
      <c r="AK54" s="22"/>
      <c r="AM54" s="22"/>
      <c r="AP54" s="13"/>
      <c r="AQ54" s="23" t="str">
        <f aca="false">IF($A54="","",B54-$AA$2-SUM($F$2:F54))</f>
        <v/>
      </c>
    </row>
    <row r="55" customFormat="false" ht="15" hidden="false" customHeight="true" outlineLevel="0" collapsed="false">
      <c r="A55" s="7"/>
      <c r="B55" s="24"/>
      <c r="C55" s="24"/>
      <c r="D55" s="15" t="str">
        <f aca="false">IF($A55="","",SUMIFS(持仓表!$J:$J,持仓表!$A:$A,$A55))</f>
        <v/>
      </c>
      <c r="E55" s="16" t="n">
        <f aca="false">IFERROR(D55/B55,0)</f>
        <v>0</v>
      </c>
      <c r="F55" s="24"/>
      <c r="G55" s="15" t="str">
        <f aca="false">IF($B55="","",MAX($B$2:B55))</f>
        <v/>
      </c>
      <c r="H55" s="16" t="n">
        <f aca="false">IFERROR((B55-F55)/F55,0)</f>
        <v>0</v>
      </c>
      <c r="I55" s="16" t="n">
        <f aca="false">IFERROR((B55-G55)/G55,0)</f>
        <v>0</v>
      </c>
      <c r="J55" s="12"/>
      <c r="K55" s="7"/>
      <c r="L55" s="25"/>
      <c r="M55" s="25"/>
      <c r="N55" s="16" t="str">
        <f aca="false">IF($B55="","",MIN(70%,IF($I55&lt;=-15%,10%,IF($I55&lt;=-10%,30%,IF($M55&gt;=4,10%,IF($M55&gt;=3,30%,IF($J55="强",IF($K55="A",70%,IF($K55="B",60%,40%)),IF($J55="中性",IF($K55="A",50%,IF($K55="B",40%,25%)),IF($K55="A",30%,IF($K55="B",20%,10%))))))))))</f>
        <v/>
      </c>
      <c r="O55" s="16" t="str">
        <f aca="false">IF($B55="","",IF(B55&lt;30000,35%,IF(B55&lt;50000,30%,IF(B55&lt;100000,25%,20%))))</f>
        <v/>
      </c>
      <c r="P55" s="18" t="str">
        <f aca="false">IF($A55="","",COUNTIFS(持仓表!$A:$A,$A55,持仓表!$G:$G,"&gt;0"))</f>
        <v/>
      </c>
      <c r="Q55" s="18" t="str">
        <f aca="false">IF($A55="","",COUNTIFS(持仓表!$A:$A,$A55,持仓表!$D:$D,"是",持仓表!$G:$G,"&gt;0"))</f>
        <v/>
      </c>
      <c r="R55" s="18" t="str">
        <f aca="false">IF($A55="","",MAX(0,P55-Q55))</f>
        <v/>
      </c>
      <c r="S55" s="18" t="str">
        <f aca="false">IF($B55="","",IF(B55&lt;50000,3,IF(B55&lt;100000,4,5)))</f>
        <v/>
      </c>
      <c r="T55" s="19" t="str">
        <f aca="false">IF($A55="","",IF(OR(M55&gt;=4,I55&lt;=-8%),"防守",IF(OR(M55&gt;=2,I55&lt;=-5%),"警戒","正常")))</f>
        <v/>
      </c>
      <c r="U55" s="19" t="str">
        <f aca="false">IF($A55="","",IF(AND(L55&gt;=3,M55&lt;=2,T55&lt;&gt;"防守"),"是","否"))</f>
        <v/>
      </c>
      <c r="V55" s="19" t="str">
        <f aca="false">IF($A55="","",IF(AND(E55&lt;N55,R55&lt;S55,M55&lt;=2,I55&gt;-15%),"是","否"))</f>
        <v/>
      </c>
      <c r="W55" s="19" t="str">
        <f aca="false">IF($A55="","",IF(OR(M55&gt;=3,I55&lt;=-15%),"是","否"))</f>
        <v/>
      </c>
      <c r="X55" s="15" t="str">
        <f aca="false">IF($A55="","",IFERROR(maxifs(候选池!$AB:$AB,候选池!$A:$A,$A55),0))</f>
        <v/>
      </c>
      <c r="Y55" s="15" t="str">
        <f aca="false">IF($A55="","",IF(OR(M55&gt;=4,I55&lt;=-8%),MAX(0,B55*60%-C55),IF(AND(ISNUMBER(AD55),B55&gt;AD55),IF(B55&lt;30000,0,IF(B55&lt;100000,MAX(0,(B55-AD55)*0.2),MAX(0,(B55-AD55)*0.3))),0)))</f>
        <v/>
      </c>
      <c r="Z55" s="7"/>
      <c r="AA55" s="19" t="str">
        <f aca="false">IF($A55="","",IF($AA$2&lt;&gt;"",$AA$2,""))</f>
        <v/>
      </c>
      <c r="AB55" s="7" t="str">
        <f aca="false">IF($A55="","",IF(B55&lt;30000,0.03,IF(B55&lt;100000,0.02,0.015)))</f>
        <v/>
      </c>
      <c r="AC55" s="18" t="str">
        <f aca="false">IF($A55="","",IFERROR(DATEDIF($A$2,$A55,"m"),0))</f>
        <v/>
      </c>
      <c r="AD55" s="15" t="str">
        <f aca="false">IF($A55="","",IF(OR(AA55="",AB55="",AC55=""),"",AA55*POWER(1+AB55,AC55)))</f>
        <v/>
      </c>
      <c r="AE55" s="27" t="str">
        <f aca="false">IF($A55="","",IF(OR(AD55="",AD55=0),"",B55/AD55-1))</f>
        <v/>
      </c>
      <c r="AG55" s="1" t="str">
        <f aca="false">IF($A55="","",IF(B55&lt;30000,"婴儿",IF(B55&lt;100000,"成长","成熟")))</f>
        <v/>
      </c>
      <c r="AH55" s="22"/>
      <c r="AJ55" s="22"/>
      <c r="AK55" s="22"/>
      <c r="AM55" s="22"/>
      <c r="AP55" s="13"/>
      <c r="AQ55" s="23" t="str">
        <f aca="false">IF($A55="","",B55-$AA$2-SUM($F$2:F55))</f>
        <v/>
      </c>
    </row>
    <row r="56" customFormat="false" ht="15" hidden="false" customHeight="true" outlineLevel="0" collapsed="false">
      <c r="A56" s="5"/>
      <c r="B56" s="14"/>
      <c r="C56" s="14"/>
      <c r="D56" s="15" t="str">
        <f aca="false">IF($A56="","",SUMIFS(持仓表!$J:$J,持仓表!$A:$A,$A56))</f>
        <v/>
      </c>
      <c r="E56" s="16" t="n">
        <f aca="false">IFERROR(D56/B56,0)</f>
        <v>0</v>
      </c>
      <c r="F56" s="14"/>
      <c r="G56" s="15" t="str">
        <f aca="false">IF($B56="","",MAX($B$2:B56))</f>
        <v/>
      </c>
      <c r="H56" s="16" t="n">
        <f aca="false">IFERROR((B56-F56)/F56,0)</f>
        <v>0</v>
      </c>
      <c r="I56" s="16" t="n">
        <f aca="false">IFERROR((B56-G56)/G56,0)</f>
        <v>0</v>
      </c>
      <c r="J56" s="11"/>
      <c r="K56" s="5"/>
      <c r="L56" s="17"/>
      <c r="M56" s="17"/>
      <c r="N56" s="16" t="str">
        <f aca="false">IF($B56="","",MIN(70%,IF($I56&lt;=-15%,10%,IF($I56&lt;=-10%,30%,IF($M56&gt;=4,10%,IF($M56&gt;=3,30%,IF($J56="强",IF($K56="A",70%,IF($K56="B",60%,40%)),IF($J56="中性",IF($K56="A",50%,IF($K56="B",40%,25%)),IF($K56="A",30%,IF($K56="B",20%,10%))))))))))</f>
        <v/>
      </c>
      <c r="O56" s="16" t="str">
        <f aca="false">IF($B56="","",IF(B56&lt;30000,35%,IF(B56&lt;50000,30%,IF(B56&lt;100000,25%,20%))))</f>
        <v/>
      </c>
      <c r="P56" s="18" t="str">
        <f aca="false">IF($A56="","",COUNTIFS(持仓表!$A:$A,$A56,持仓表!$G:$G,"&gt;0"))</f>
        <v/>
      </c>
      <c r="Q56" s="18" t="str">
        <f aca="false">IF($A56="","",COUNTIFS(持仓表!$A:$A,$A56,持仓表!$D:$D,"是",持仓表!$G:$G,"&gt;0"))</f>
        <v/>
      </c>
      <c r="R56" s="18" t="str">
        <f aca="false">IF($A56="","",MAX(0,P56-Q56))</f>
        <v/>
      </c>
      <c r="S56" s="18" t="str">
        <f aca="false">IF($B56="","",IF(B56&lt;50000,3,IF(B56&lt;100000,4,5)))</f>
        <v/>
      </c>
      <c r="T56" s="19" t="str">
        <f aca="false">IF($A56="","",IF(OR(M56&gt;=4,I56&lt;=-8%),"防守",IF(OR(M56&gt;=2,I56&lt;=-5%),"警戒","正常")))</f>
        <v/>
      </c>
      <c r="U56" s="19" t="str">
        <f aca="false">IF($A56="","",IF(AND(L56&gt;=3,M56&lt;=2,T56&lt;&gt;"防守"),"是","否"))</f>
        <v/>
      </c>
      <c r="V56" s="19" t="str">
        <f aca="false">IF($A56="","",IF(AND(E56&lt;N56,R56&lt;S56,M56&lt;=2,I56&gt;-15%),"是","否"))</f>
        <v/>
      </c>
      <c r="W56" s="19" t="str">
        <f aca="false">IF($A56="","",IF(OR(M56&gt;=3,I56&lt;=-15%),"是","否"))</f>
        <v/>
      </c>
      <c r="X56" s="15" t="str">
        <f aca="false">IF($A56="","",IFERROR(maxifs(候选池!$AB:$AB,候选池!$A:$A,$A56),0))</f>
        <v/>
      </c>
      <c r="Y56" s="15" t="str">
        <f aca="false">IF($A56="","",IF(OR(M56&gt;=4,I56&lt;=-8%),MAX(0,B56*60%-C56),IF(AND(ISNUMBER(AD56),B56&gt;AD56),IF(B56&lt;30000,0,IF(B56&lt;100000,MAX(0,(B56-AD56)*0.2),MAX(0,(B56-AD56)*0.3))),0)))</f>
        <v/>
      </c>
      <c r="Z56" s="5"/>
      <c r="AA56" s="19" t="str">
        <f aca="false">IF($A56="","",IF($AA$2&lt;&gt;"",$AA$2,""))</f>
        <v/>
      </c>
      <c r="AB56" s="5" t="str">
        <f aca="false">IF($A56="","",IF(B56&lt;30000,0.03,IF(B56&lt;100000,0.02,0.015)))</f>
        <v/>
      </c>
      <c r="AC56" s="18" t="str">
        <f aca="false">IF($A56="","",IFERROR(DATEDIF($A$2,$A56,"m"),0))</f>
        <v/>
      </c>
      <c r="AD56" s="15" t="str">
        <f aca="false">IF($A56="","",IF(OR(AA56="",AB56="",AC56=""),"",AA56*POWER(1+AB56,AC56)))</f>
        <v/>
      </c>
      <c r="AE56" s="21" t="str">
        <f aca="false">IF($A56="","",IF(OR(AD56="",AD56=0),"",B56/AD56-1))</f>
        <v/>
      </c>
      <c r="AG56" s="1" t="str">
        <f aca="false">IF($A56="","",IF(B56&lt;30000,"婴儿",IF(B56&lt;100000,"成长","成熟")))</f>
        <v/>
      </c>
      <c r="AH56" s="22"/>
      <c r="AJ56" s="22"/>
      <c r="AK56" s="22"/>
      <c r="AM56" s="22"/>
      <c r="AP56" s="13"/>
      <c r="AQ56" s="23" t="str">
        <f aca="false">IF($A56="","",B56-$AA$2-SUM($F$2:F56))</f>
        <v/>
      </c>
    </row>
    <row r="57" customFormat="false" ht="15" hidden="false" customHeight="true" outlineLevel="0" collapsed="false">
      <c r="A57" s="7"/>
      <c r="B57" s="24"/>
      <c r="C57" s="24"/>
      <c r="D57" s="15" t="str">
        <f aca="false">IF($A57="","",SUMIFS(持仓表!$J:$J,持仓表!$A:$A,$A57))</f>
        <v/>
      </c>
      <c r="E57" s="16" t="n">
        <f aca="false">IFERROR(D57/B57,0)</f>
        <v>0</v>
      </c>
      <c r="F57" s="24"/>
      <c r="G57" s="15" t="str">
        <f aca="false">IF($B57="","",MAX($B$2:B57))</f>
        <v/>
      </c>
      <c r="H57" s="16" t="n">
        <f aca="false">IFERROR((B57-F57)/F57,0)</f>
        <v>0</v>
      </c>
      <c r="I57" s="16" t="n">
        <f aca="false">IFERROR((B57-G57)/G57,0)</f>
        <v>0</v>
      </c>
      <c r="J57" s="12"/>
      <c r="K57" s="7"/>
      <c r="L57" s="25"/>
      <c r="M57" s="25"/>
      <c r="N57" s="16" t="str">
        <f aca="false">IF($B57="","",MIN(70%,IF($I57&lt;=-15%,10%,IF($I57&lt;=-10%,30%,IF($M57&gt;=4,10%,IF($M57&gt;=3,30%,IF($J57="强",IF($K57="A",70%,IF($K57="B",60%,40%)),IF($J57="中性",IF($K57="A",50%,IF($K57="B",40%,25%)),IF($K57="A",30%,IF($K57="B",20%,10%))))))))))</f>
        <v/>
      </c>
      <c r="O57" s="16" t="str">
        <f aca="false">IF($B57="","",IF(B57&lt;30000,35%,IF(B57&lt;50000,30%,IF(B57&lt;100000,25%,20%))))</f>
        <v/>
      </c>
      <c r="P57" s="18" t="str">
        <f aca="false">IF($A57="","",COUNTIFS(持仓表!$A:$A,$A57,持仓表!$G:$G,"&gt;0"))</f>
        <v/>
      </c>
      <c r="Q57" s="18" t="str">
        <f aca="false">IF($A57="","",COUNTIFS(持仓表!$A:$A,$A57,持仓表!$D:$D,"是",持仓表!$G:$G,"&gt;0"))</f>
        <v/>
      </c>
      <c r="R57" s="18" t="str">
        <f aca="false">IF($A57="","",MAX(0,P57-Q57))</f>
        <v/>
      </c>
      <c r="S57" s="18" t="str">
        <f aca="false">IF($B57="","",IF(B57&lt;50000,3,IF(B57&lt;100000,4,5)))</f>
        <v/>
      </c>
      <c r="T57" s="19" t="str">
        <f aca="false">IF($A57="","",IF(OR(M57&gt;=4,I57&lt;=-8%),"防守",IF(OR(M57&gt;=2,I57&lt;=-5%),"警戒","正常")))</f>
        <v/>
      </c>
      <c r="U57" s="19" t="str">
        <f aca="false">IF($A57="","",IF(AND(L57&gt;=3,M57&lt;=2,T57&lt;&gt;"防守"),"是","否"))</f>
        <v/>
      </c>
      <c r="V57" s="19" t="str">
        <f aca="false">IF($A57="","",IF(AND(E57&lt;N57,R57&lt;S57,M57&lt;=2,I57&gt;-15%),"是","否"))</f>
        <v/>
      </c>
      <c r="W57" s="19" t="str">
        <f aca="false">IF($A57="","",IF(OR(M57&gt;=3,I57&lt;=-15%),"是","否"))</f>
        <v/>
      </c>
      <c r="X57" s="15" t="str">
        <f aca="false">IF($A57="","",IFERROR(maxifs(候选池!$AB:$AB,候选池!$A:$A,$A57),0))</f>
        <v/>
      </c>
      <c r="Y57" s="15" t="str">
        <f aca="false">IF($A57="","",IF(OR(M57&gt;=4,I57&lt;=-8%),MAX(0,B57*60%-C57),IF(AND(ISNUMBER(AD57),B57&gt;AD57),IF(B57&lt;30000,0,IF(B57&lt;100000,MAX(0,(B57-AD57)*0.2),MAX(0,(B57-AD57)*0.3))),0)))</f>
        <v/>
      </c>
      <c r="Z57" s="7"/>
      <c r="AA57" s="19" t="str">
        <f aca="false">IF($A57="","",IF($AA$2&lt;&gt;"",$AA$2,""))</f>
        <v/>
      </c>
      <c r="AB57" s="7" t="str">
        <f aca="false">IF($A57="","",IF(B57&lt;30000,0.03,IF(B57&lt;100000,0.02,0.015)))</f>
        <v/>
      </c>
      <c r="AC57" s="18" t="str">
        <f aca="false">IF($A57="","",IFERROR(DATEDIF($A$2,$A57,"m"),0))</f>
        <v/>
      </c>
      <c r="AD57" s="15" t="str">
        <f aca="false">IF($A57="","",IF(OR(AA57="",AB57="",AC57=""),"",AA57*POWER(1+AB57,AC57)))</f>
        <v/>
      </c>
      <c r="AE57" s="27" t="str">
        <f aca="false">IF($A57="","",IF(OR(AD57="",AD57=0),"",B57/AD57-1))</f>
        <v/>
      </c>
      <c r="AG57" s="1" t="str">
        <f aca="false">IF($A57="","",IF(B57&lt;30000,"婴儿",IF(B57&lt;100000,"成长","成熟")))</f>
        <v/>
      </c>
      <c r="AH57" s="22"/>
      <c r="AJ57" s="22"/>
      <c r="AK57" s="22"/>
      <c r="AM57" s="22"/>
      <c r="AP57" s="13"/>
      <c r="AQ57" s="23" t="str">
        <f aca="false">IF($A57="","",B57-$AA$2-SUM($F$2:F57))</f>
        <v/>
      </c>
    </row>
    <row r="58" customFormat="false" ht="15" hidden="false" customHeight="true" outlineLevel="0" collapsed="false">
      <c r="A58" s="5"/>
      <c r="B58" s="14"/>
      <c r="C58" s="14"/>
      <c r="D58" s="15" t="str">
        <f aca="false">IF($A58="","",SUMIFS(持仓表!$J:$J,持仓表!$A:$A,$A58))</f>
        <v/>
      </c>
      <c r="E58" s="16" t="n">
        <f aca="false">IFERROR(D58/B58,0)</f>
        <v>0</v>
      </c>
      <c r="F58" s="14"/>
      <c r="G58" s="15" t="str">
        <f aca="false">IF($B58="","",MAX($B$2:B58))</f>
        <v/>
      </c>
      <c r="H58" s="16" t="n">
        <f aca="false">IFERROR((B58-F58)/F58,0)</f>
        <v>0</v>
      </c>
      <c r="I58" s="16" t="n">
        <f aca="false">IFERROR((B58-G58)/G58,0)</f>
        <v>0</v>
      </c>
      <c r="J58" s="11"/>
      <c r="K58" s="5"/>
      <c r="L58" s="17"/>
      <c r="M58" s="17"/>
      <c r="N58" s="16" t="str">
        <f aca="false">IF($B58="","",MIN(70%,IF($I58&lt;=-15%,10%,IF($I58&lt;=-10%,30%,IF($M58&gt;=4,10%,IF($M58&gt;=3,30%,IF($J58="强",IF($K58="A",70%,IF($K58="B",60%,40%)),IF($J58="中性",IF($K58="A",50%,IF($K58="B",40%,25%)),IF($K58="A",30%,IF($K58="B",20%,10%))))))))))</f>
        <v/>
      </c>
      <c r="O58" s="16" t="str">
        <f aca="false">IF($B58="","",IF(B58&lt;30000,35%,IF(B58&lt;50000,30%,IF(B58&lt;100000,25%,20%))))</f>
        <v/>
      </c>
      <c r="P58" s="18" t="str">
        <f aca="false">IF($A58="","",COUNTIFS(持仓表!$A:$A,$A58,持仓表!$G:$G,"&gt;0"))</f>
        <v/>
      </c>
      <c r="Q58" s="18" t="str">
        <f aca="false">IF($A58="","",COUNTIFS(持仓表!$A:$A,$A58,持仓表!$D:$D,"是",持仓表!$G:$G,"&gt;0"))</f>
        <v/>
      </c>
      <c r="R58" s="18" t="str">
        <f aca="false">IF($A58="","",MAX(0,P58-Q58))</f>
        <v/>
      </c>
      <c r="S58" s="18" t="str">
        <f aca="false">IF($B58="","",IF(B58&lt;50000,3,IF(B58&lt;100000,4,5)))</f>
        <v/>
      </c>
      <c r="T58" s="19" t="str">
        <f aca="false">IF($A58="","",IF(OR(M58&gt;=4,I58&lt;=-8%),"防守",IF(OR(M58&gt;=2,I58&lt;=-5%),"警戒","正常")))</f>
        <v/>
      </c>
      <c r="U58" s="19" t="str">
        <f aca="false">IF($A58="","",IF(AND(L58&gt;=3,M58&lt;=2,T58&lt;&gt;"防守"),"是","否"))</f>
        <v/>
      </c>
      <c r="V58" s="19" t="str">
        <f aca="false">IF($A58="","",IF(AND(E58&lt;N58,R58&lt;S58,M58&lt;=2,I58&gt;-15%),"是","否"))</f>
        <v/>
      </c>
      <c r="W58" s="19" t="str">
        <f aca="false">IF($A58="","",IF(OR(M58&gt;=3,I58&lt;=-15%),"是","否"))</f>
        <v/>
      </c>
      <c r="X58" s="15" t="str">
        <f aca="false">IF($A58="","",IFERROR(maxifs(候选池!$AB:$AB,候选池!$A:$A,$A58),0))</f>
        <v/>
      </c>
      <c r="Y58" s="15" t="str">
        <f aca="false">IF($A58="","",IF(OR(M58&gt;=4,I58&lt;=-8%),MAX(0,B58*60%-C58),IF(AND(ISNUMBER(AD58),B58&gt;AD58),IF(B58&lt;30000,0,IF(B58&lt;100000,MAX(0,(B58-AD58)*0.2),MAX(0,(B58-AD58)*0.3))),0)))</f>
        <v/>
      </c>
      <c r="Z58" s="5"/>
      <c r="AA58" s="19" t="str">
        <f aca="false">IF($A58="","",IF($AA$2&lt;&gt;"",$AA$2,""))</f>
        <v/>
      </c>
      <c r="AB58" s="5" t="str">
        <f aca="false">IF($A58="","",IF(B58&lt;30000,0.03,IF(B58&lt;100000,0.02,0.015)))</f>
        <v/>
      </c>
      <c r="AC58" s="18" t="str">
        <f aca="false">IF($A58="","",IFERROR(DATEDIF($A$2,$A58,"m"),0))</f>
        <v/>
      </c>
      <c r="AD58" s="15" t="str">
        <f aca="false">IF($A58="","",IF(OR(AA58="",AB58="",AC58=""),"",AA58*POWER(1+AB58,AC58)))</f>
        <v/>
      </c>
      <c r="AE58" s="21" t="str">
        <f aca="false">IF($A58="","",IF(OR(AD58="",AD58=0),"",B58/AD58-1))</f>
        <v/>
      </c>
      <c r="AG58" s="1" t="str">
        <f aca="false">IF($A58="","",IF(B58&lt;30000,"婴儿",IF(B58&lt;100000,"成长","成熟")))</f>
        <v/>
      </c>
      <c r="AH58" s="22"/>
      <c r="AJ58" s="22"/>
      <c r="AK58" s="22"/>
      <c r="AM58" s="22"/>
      <c r="AP58" s="13"/>
      <c r="AQ58" s="23" t="str">
        <f aca="false">IF($A58="","",B58-$AA$2-SUM($F$2:F58))</f>
        <v/>
      </c>
    </row>
    <row r="59" customFormat="false" ht="15" hidden="false" customHeight="true" outlineLevel="0" collapsed="false">
      <c r="A59" s="7"/>
      <c r="B59" s="24"/>
      <c r="C59" s="24"/>
      <c r="D59" s="15" t="str">
        <f aca="false">IF($A59="","",SUMIFS(持仓表!$J:$J,持仓表!$A:$A,$A59))</f>
        <v/>
      </c>
      <c r="E59" s="16" t="n">
        <f aca="false">IFERROR(D59/B59,0)</f>
        <v>0</v>
      </c>
      <c r="F59" s="24"/>
      <c r="G59" s="15" t="str">
        <f aca="false">IF($B59="","",MAX($B$2:B59))</f>
        <v/>
      </c>
      <c r="H59" s="16" t="n">
        <f aca="false">IFERROR((B59-F59)/F59,0)</f>
        <v>0</v>
      </c>
      <c r="I59" s="16" t="n">
        <f aca="false">IFERROR((B59-G59)/G59,0)</f>
        <v>0</v>
      </c>
      <c r="J59" s="12"/>
      <c r="K59" s="7"/>
      <c r="L59" s="25"/>
      <c r="M59" s="25"/>
      <c r="N59" s="16" t="str">
        <f aca="false">IF($B59="","",MIN(70%,IF($I59&lt;=-15%,10%,IF($I59&lt;=-10%,30%,IF($M59&gt;=4,10%,IF($M59&gt;=3,30%,IF($J59="强",IF($K59="A",70%,IF($K59="B",60%,40%)),IF($J59="中性",IF($K59="A",50%,IF($K59="B",40%,25%)),IF($K59="A",30%,IF($K59="B",20%,10%))))))))))</f>
        <v/>
      </c>
      <c r="O59" s="16" t="str">
        <f aca="false">IF($B59="","",IF(B59&lt;30000,35%,IF(B59&lt;50000,30%,IF(B59&lt;100000,25%,20%))))</f>
        <v/>
      </c>
      <c r="P59" s="18" t="str">
        <f aca="false">IF($A59="","",COUNTIFS(持仓表!$A:$A,$A59,持仓表!$G:$G,"&gt;0"))</f>
        <v/>
      </c>
      <c r="Q59" s="18" t="str">
        <f aca="false">IF($A59="","",COUNTIFS(持仓表!$A:$A,$A59,持仓表!$D:$D,"是",持仓表!$G:$G,"&gt;0"))</f>
        <v/>
      </c>
      <c r="R59" s="18" t="str">
        <f aca="false">IF($A59="","",MAX(0,P59-Q59))</f>
        <v/>
      </c>
      <c r="S59" s="18" t="str">
        <f aca="false">IF($B59="","",IF(B59&lt;50000,3,IF(B59&lt;100000,4,5)))</f>
        <v/>
      </c>
      <c r="T59" s="19" t="str">
        <f aca="false">IF($A59="","",IF(OR(M59&gt;=4,I59&lt;=-8%),"防守",IF(OR(M59&gt;=2,I59&lt;=-5%),"警戒","正常")))</f>
        <v/>
      </c>
      <c r="U59" s="19" t="str">
        <f aca="false">IF($A59="","",IF(AND(L59&gt;=3,M59&lt;=2,T59&lt;&gt;"防守"),"是","否"))</f>
        <v/>
      </c>
      <c r="V59" s="19" t="str">
        <f aca="false">IF($A59="","",IF(AND(E59&lt;N59,R59&lt;S59,M59&lt;=2,I59&gt;-15%),"是","否"))</f>
        <v/>
      </c>
      <c r="W59" s="19" t="str">
        <f aca="false">IF($A59="","",IF(OR(M59&gt;=3,I59&lt;=-15%),"是","否"))</f>
        <v/>
      </c>
      <c r="X59" s="15" t="str">
        <f aca="false">IF($A59="","",IFERROR(maxifs(候选池!$AB:$AB,候选池!$A:$A,$A59),0))</f>
        <v/>
      </c>
      <c r="Y59" s="15" t="str">
        <f aca="false">IF($A59="","",IF(OR(M59&gt;=4,I59&lt;=-8%),MAX(0,B59*60%-C59),IF(AND(ISNUMBER(AD59),B59&gt;AD59),IF(B59&lt;30000,0,IF(B59&lt;100000,MAX(0,(B59-AD59)*0.2),MAX(0,(B59-AD59)*0.3))),0)))</f>
        <v/>
      </c>
      <c r="Z59" s="7"/>
      <c r="AA59" s="19" t="str">
        <f aca="false">IF($A59="","",IF($AA$2&lt;&gt;"",$AA$2,""))</f>
        <v/>
      </c>
      <c r="AB59" s="7" t="str">
        <f aca="false">IF($A59="","",IF(B59&lt;30000,0.03,IF(B59&lt;100000,0.02,0.015)))</f>
        <v/>
      </c>
      <c r="AC59" s="18" t="str">
        <f aca="false">IF($A59="","",IFERROR(DATEDIF($A$2,$A59,"m"),0))</f>
        <v/>
      </c>
      <c r="AD59" s="15" t="str">
        <f aca="false">IF($A59="","",IF(OR(AA59="",AB59="",AC59=""),"",AA59*POWER(1+AB59,AC59)))</f>
        <v/>
      </c>
      <c r="AE59" s="27" t="str">
        <f aca="false">IF($A59="","",IF(OR(AD59="",AD59=0),"",B59/AD59-1))</f>
        <v/>
      </c>
      <c r="AG59" s="1" t="str">
        <f aca="false">IF($A59="","",IF(B59&lt;30000,"婴儿",IF(B59&lt;100000,"成长","成熟")))</f>
        <v/>
      </c>
      <c r="AH59" s="22"/>
      <c r="AJ59" s="22"/>
      <c r="AK59" s="22"/>
      <c r="AM59" s="22"/>
      <c r="AP59" s="13"/>
      <c r="AQ59" s="23" t="str">
        <f aca="false">IF($A59="","",B59-$AA$2-SUM($F$2:F59))</f>
        <v/>
      </c>
    </row>
    <row r="60" customFormat="false" ht="15" hidden="false" customHeight="true" outlineLevel="0" collapsed="false">
      <c r="A60" s="5"/>
      <c r="B60" s="14"/>
      <c r="C60" s="14"/>
      <c r="D60" s="15" t="str">
        <f aca="false">IF($A60="","",SUMIFS(持仓表!$J:$J,持仓表!$A:$A,$A60))</f>
        <v/>
      </c>
      <c r="E60" s="16" t="n">
        <f aca="false">IFERROR(D60/B60,0)</f>
        <v>0</v>
      </c>
      <c r="F60" s="14"/>
      <c r="G60" s="15" t="str">
        <f aca="false">IF($B60="","",MAX($B$2:B60))</f>
        <v/>
      </c>
      <c r="H60" s="16" t="n">
        <f aca="false">IFERROR((B60-F60)/F60,0)</f>
        <v>0</v>
      </c>
      <c r="I60" s="16" t="n">
        <f aca="false">IFERROR((B60-G60)/G60,0)</f>
        <v>0</v>
      </c>
      <c r="J60" s="11"/>
      <c r="K60" s="5"/>
      <c r="L60" s="17"/>
      <c r="M60" s="17"/>
      <c r="N60" s="16" t="str">
        <f aca="false">IF($B60="","",MIN(70%,IF($I60&lt;=-15%,10%,IF($I60&lt;=-10%,30%,IF($M60&gt;=4,10%,IF($M60&gt;=3,30%,IF($J60="强",IF($K60="A",70%,IF($K60="B",60%,40%)),IF($J60="中性",IF($K60="A",50%,IF($K60="B",40%,25%)),IF($K60="A",30%,IF($K60="B",20%,10%))))))))))</f>
        <v/>
      </c>
      <c r="O60" s="16" t="str">
        <f aca="false">IF($B60="","",IF(B60&lt;30000,35%,IF(B60&lt;50000,30%,IF(B60&lt;100000,25%,20%))))</f>
        <v/>
      </c>
      <c r="P60" s="18" t="str">
        <f aca="false">IF($A60="","",COUNTIFS(持仓表!$A:$A,$A60,持仓表!$G:$G,"&gt;0"))</f>
        <v/>
      </c>
      <c r="Q60" s="18" t="str">
        <f aca="false">IF($A60="","",COUNTIFS(持仓表!$A:$A,$A60,持仓表!$D:$D,"是",持仓表!$G:$G,"&gt;0"))</f>
        <v/>
      </c>
      <c r="R60" s="18" t="str">
        <f aca="false">IF($A60="","",MAX(0,P60-Q60))</f>
        <v/>
      </c>
      <c r="S60" s="18" t="str">
        <f aca="false">IF($B60="","",IF(B60&lt;50000,3,IF(B60&lt;100000,4,5)))</f>
        <v/>
      </c>
      <c r="T60" s="19" t="str">
        <f aca="false">IF($A60="","",IF(OR(M60&gt;=4,I60&lt;=-8%),"防守",IF(OR(M60&gt;=2,I60&lt;=-5%),"警戒","正常")))</f>
        <v/>
      </c>
      <c r="U60" s="19" t="str">
        <f aca="false">IF($A60="","",IF(AND(L60&gt;=3,M60&lt;=2,T60&lt;&gt;"防守"),"是","否"))</f>
        <v/>
      </c>
      <c r="V60" s="19" t="str">
        <f aca="false">IF($A60="","",IF(AND(E60&lt;N60,R60&lt;S60,M60&lt;=2,I60&gt;-15%),"是","否"))</f>
        <v/>
      </c>
      <c r="W60" s="19" t="str">
        <f aca="false">IF($A60="","",IF(OR(M60&gt;=3,I60&lt;=-15%),"是","否"))</f>
        <v/>
      </c>
      <c r="X60" s="15" t="str">
        <f aca="false">IF($A60="","",IFERROR(maxifs(候选池!$AB:$AB,候选池!$A:$A,$A60),0))</f>
        <v/>
      </c>
      <c r="Y60" s="15" t="str">
        <f aca="false">IF($A60="","",IF(OR(M60&gt;=4,I60&lt;=-8%),MAX(0,B60*60%-C60),IF(AND(ISNUMBER(AD60),B60&gt;AD60),IF(B60&lt;30000,0,IF(B60&lt;100000,MAX(0,(B60-AD60)*0.2),MAX(0,(B60-AD60)*0.3))),0)))</f>
        <v/>
      </c>
      <c r="Z60" s="5"/>
      <c r="AA60" s="19" t="str">
        <f aca="false">IF($A60="","",IF($AA$2&lt;&gt;"",$AA$2,""))</f>
        <v/>
      </c>
      <c r="AB60" s="5" t="str">
        <f aca="false">IF($A60="","",IF(B60&lt;30000,0.03,IF(B60&lt;100000,0.02,0.015)))</f>
        <v/>
      </c>
      <c r="AC60" s="18" t="str">
        <f aca="false">IF($A60="","",IFERROR(DATEDIF($A$2,$A60,"m"),0))</f>
        <v/>
      </c>
      <c r="AD60" s="15" t="str">
        <f aca="false">IF($A60="","",IF(OR(AA60="",AB60="",AC60=""),"",AA60*POWER(1+AB60,AC60)))</f>
        <v/>
      </c>
      <c r="AE60" s="21" t="str">
        <f aca="false">IF($A60="","",IF(OR(AD60="",AD60=0),"",B60/AD60-1))</f>
        <v/>
      </c>
      <c r="AG60" s="1" t="str">
        <f aca="false">IF($A60="","",IF(B60&lt;30000,"婴儿",IF(B60&lt;100000,"成长","成熟")))</f>
        <v/>
      </c>
      <c r="AH60" s="22"/>
      <c r="AJ60" s="22"/>
      <c r="AK60" s="22"/>
      <c r="AM60" s="22"/>
      <c r="AP60" s="13"/>
      <c r="AQ60" s="23" t="str">
        <f aca="false">IF($A60="","",B60-$AA$2-SUM($F$2:F60))</f>
        <v/>
      </c>
    </row>
    <row r="61" customFormat="false" ht="15" hidden="false" customHeight="true" outlineLevel="0" collapsed="false">
      <c r="A61" s="7"/>
      <c r="B61" s="24"/>
      <c r="C61" s="24"/>
      <c r="D61" s="15" t="str">
        <f aca="false">IF($A61="","",SUMIFS(持仓表!$J:$J,持仓表!$A:$A,$A61))</f>
        <v/>
      </c>
      <c r="E61" s="16" t="n">
        <f aca="false">IFERROR(D61/B61,0)</f>
        <v>0</v>
      </c>
      <c r="F61" s="24"/>
      <c r="G61" s="15" t="str">
        <f aca="false">IF($B61="","",MAX($B$2:B61))</f>
        <v/>
      </c>
      <c r="H61" s="16" t="n">
        <f aca="false">IFERROR((B61-F61)/F61,0)</f>
        <v>0</v>
      </c>
      <c r="I61" s="16" t="n">
        <f aca="false">IFERROR((B61-G61)/G61,0)</f>
        <v>0</v>
      </c>
      <c r="J61" s="12"/>
      <c r="K61" s="7"/>
      <c r="L61" s="25"/>
      <c r="M61" s="25"/>
      <c r="N61" s="16" t="str">
        <f aca="false">IF($B61="","",MIN(70%,IF($I61&lt;=-15%,10%,IF($I61&lt;=-10%,30%,IF($M61&gt;=4,10%,IF($M61&gt;=3,30%,IF($J61="强",IF($K61="A",70%,IF($K61="B",60%,40%)),IF($J61="中性",IF($K61="A",50%,IF($K61="B",40%,25%)),IF($K61="A",30%,IF($K61="B",20%,10%))))))))))</f>
        <v/>
      </c>
      <c r="O61" s="16" t="str">
        <f aca="false">IF($B61="","",IF(B61&lt;30000,35%,IF(B61&lt;50000,30%,IF(B61&lt;100000,25%,20%))))</f>
        <v/>
      </c>
      <c r="P61" s="18" t="str">
        <f aca="false">IF($A61="","",COUNTIFS(持仓表!$A:$A,$A61,持仓表!$G:$G,"&gt;0"))</f>
        <v/>
      </c>
      <c r="Q61" s="18" t="str">
        <f aca="false">IF($A61="","",COUNTIFS(持仓表!$A:$A,$A61,持仓表!$D:$D,"是",持仓表!$G:$G,"&gt;0"))</f>
        <v/>
      </c>
      <c r="R61" s="18" t="str">
        <f aca="false">IF($A61="","",MAX(0,P61-Q61))</f>
        <v/>
      </c>
      <c r="S61" s="18" t="str">
        <f aca="false">IF($B61="","",IF(B61&lt;50000,3,IF(B61&lt;100000,4,5)))</f>
        <v/>
      </c>
      <c r="T61" s="19" t="str">
        <f aca="false">IF($A61="","",IF(OR(M61&gt;=4,I61&lt;=-8%),"防守",IF(OR(M61&gt;=2,I61&lt;=-5%),"警戒","正常")))</f>
        <v/>
      </c>
      <c r="U61" s="19" t="str">
        <f aca="false">IF($A61="","",IF(AND(L61&gt;=3,M61&lt;=2,T61&lt;&gt;"防守"),"是","否"))</f>
        <v/>
      </c>
      <c r="V61" s="19" t="str">
        <f aca="false">IF($A61="","",IF(AND(E61&lt;N61,R61&lt;S61,M61&lt;=2,I61&gt;-15%),"是","否"))</f>
        <v/>
      </c>
      <c r="W61" s="19" t="str">
        <f aca="false">IF($A61="","",IF(OR(M61&gt;=3,I61&lt;=-15%),"是","否"))</f>
        <v/>
      </c>
      <c r="X61" s="15" t="str">
        <f aca="false">IF($A61="","",IFERROR(maxifs(候选池!$AB:$AB,候选池!$A:$A,$A61),0))</f>
        <v/>
      </c>
      <c r="Y61" s="15" t="str">
        <f aca="false">IF($A61="","",IF(OR(M61&gt;=4,I61&lt;=-8%),MAX(0,B61*60%-C61),IF(AND(ISNUMBER(AD61),B61&gt;AD61),IF(B61&lt;30000,0,IF(B61&lt;100000,MAX(0,(B61-AD61)*0.2),MAX(0,(B61-AD61)*0.3))),0)))</f>
        <v/>
      </c>
      <c r="Z61" s="7"/>
      <c r="AA61" s="19" t="str">
        <f aca="false">IF($A61="","",IF($AA$2&lt;&gt;"",$AA$2,""))</f>
        <v/>
      </c>
      <c r="AB61" s="7" t="str">
        <f aca="false">IF($A61="","",IF(B61&lt;30000,0.03,IF(B61&lt;100000,0.02,0.015)))</f>
        <v/>
      </c>
      <c r="AC61" s="18" t="str">
        <f aca="false">IF($A61="","",IFERROR(DATEDIF($A$2,$A61,"m"),0))</f>
        <v/>
      </c>
      <c r="AD61" s="15" t="str">
        <f aca="false">IF($A61="","",IF(OR(AA61="",AB61="",AC61=""),"",AA61*POWER(1+AB61,AC61)))</f>
        <v/>
      </c>
      <c r="AE61" s="27" t="str">
        <f aca="false">IF($A61="","",IF(OR(AD61="",AD61=0),"",B61/AD61-1))</f>
        <v/>
      </c>
      <c r="AG61" s="1" t="str">
        <f aca="false">IF($A61="","",IF(B61&lt;30000,"婴儿",IF(B61&lt;100000,"成长","成熟")))</f>
        <v/>
      </c>
      <c r="AH61" s="22"/>
      <c r="AJ61" s="22"/>
      <c r="AK61" s="22"/>
      <c r="AM61" s="22"/>
      <c r="AP61" s="13"/>
      <c r="AQ61" s="23" t="str">
        <f aca="false">IF($A61="","",B61-$AA$2-SUM($F$2:F61))</f>
        <v/>
      </c>
    </row>
    <row r="62" customFormat="false" ht="15" hidden="false" customHeight="true" outlineLevel="0" collapsed="false">
      <c r="A62" s="5"/>
      <c r="B62" s="14"/>
      <c r="C62" s="14"/>
      <c r="D62" s="15" t="str">
        <f aca="false">IF($A62="","",SUMIFS(持仓表!$J:$J,持仓表!$A:$A,$A62))</f>
        <v/>
      </c>
      <c r="E62" s="16" t="n">
        <f aca="false">IFERROR(D62/B62,0)</f>
        <v>0</v>
      </c>
      <c r="F62" s="14"/>
      <c r="G62" s="15" t="str">
        <f aca="false">IF($B62="","",MAX($B$2:B62))</f>
        <v/>
      </c>
      <c r="H62" s="16" t="n">
        <f aca="false">IFERROR((B62-F62)/F62,0)</f>
        <v>0</v>
      </c>
      <c r="I62" s="16" t="n">
        <f aca="false">IFERROR((B62-G62)/G62,0)</f>
        <v>0</v>
      </c>
      <c r="J62" s="11"/>
      <c r="K62" s="5"/>
      <c r="L62" s="17"/>
      <c r="M62" s="17"/>
      <c r="N62" s="16" t="str">
        <f aca="false">IF($B62="","",MIN(70%,IF($I62&lt;=-15%,10%,IF($I62&lt;=-10%,30%,IF($M62&gt;=4,10%,IF($M62&gt;=3,30%,IF($J62="强",IF($K62="A",70%,IF($K62="B",60%,40%)),IF($J62="中性",IF($K62="A",50%,IF($K62="B",40%,25%)),IF($K62="A",30%,IF($K62="B",20%,10%))))))))))</f>
        <v/>
      </c>
      <c r="O62" s="16" t="str">
        <f aca="false">IF($B62="","",IF(B62&lt;30000,35%,IF(B62&lt;50000,30%,IF(B62&lt;100000,25%,20%))))</f>
        <v/>
      </c>
      <c r="P62" s="18" t="str">
        <f aca="false">IF($A62="","",COUNTIFS(持仓表!$A:$A,$A62,持仓表!$G:$G,"&gt;0"))</f>
        <v/>
      </c>
      <c r="Q62" s="18" t="str">
        <f aca="false">IF($A62="","",COUNTIFS(持仓表!$A:$A,$A62,持仓表!$D:$D,"是",持仓表!$G:$G,"&gt;0"))</f>
        <v/>
      </c>
      <c r="R62" s="18" t="str">
        <f aca="false">IF($A62="","",MAX(0,P62-Q62))</f>
        <v/>
      </c>
      <c r="S62" s="18" t="str">
        <f aca="false">IF($B62="","",IF(B62&lt;50000,3,IF(B62&lt;100000,4,5)))</f>
        <v/>
      </c>
      <c r="T62" s="19" t="str">
        <f aca="false">IF($A62="","",IF(OR(M62&gt;=4,I62&lt;=-8%),"防守",IF(OR(M62&gt;=2,I62&lt;=-5%),"警戒","正常")))</f>
        <v/>
      </c>
      <c r="U62" s="19" t="str">
        <f aca="false">IF($A62="","",IF(AND(L62&gt;=3,M62&lt;=2,T62&lt;&gt;"防守"),"是","否"))</f>
        <v/>
      </c>
      <c r="V62" s="19" t="str">
        <f aca="false">IF($A62="","",IF(AND(E62&lt;N62,R62&lt;S62,M62&lt;=2,I62&gt;-15%),"是","否"))</f>
        <v/>
      </c>
      <c r="W62" s="19" t="str">
        <f aca="false">IF($A62="","",IF(OR(M62&gt;=3,I62&lt;=-15%),"是","否"))</f>
        <v/>
      </c>
      <c r="X62" s="15" t="str">
        <f aca="false">IF($A62="","",IFERROR(maxifs(候选池!$AB:$AB,候选池!$A:$A,$A62),0))</f>
        <v/>
      </c>
      <c r="Y62" s="15" t="str">
        <f aca="false">IF($A62="","",IF(OR(M62&gt;=4,I62&lt;=-8%),MAX(0,B62*60%-C62),IF(AND(ISNUMBER(AD62),B62&gt;AD62),IF(B62&lt;30000,0,IF(B62&lt;100000,MAX(0,(B62-AD62)*0.2),MAX(0,(B62-AD62)*0.3))),0)))</f>
        <v/>
      </c>
      <c r="Z62" s="5"/>
      <c r="AA62" s="19" t="str">
        <f aca="false">IF($A62="","",IF($AA$2&lt;&gt;"",$AA$2,""))</f>
        <v/>
      </c>
      <c r="AB62" s="5" t="str">
        <f aca="false">IF($A62="","",IF(B62&lt;30000,0.03,IF(B62&lt;100000,0.02,0.015)))</f>
        <v/>
      </c>
      <c r="AC62" s="18" t="str">
        <f aca="false">IF($A62="","",IFERROR(DATEDIF($A$2,$A62,"m"),0))</f>
        <v/>
      </c>
      <c r="AD62" s="15" t="str">
        <f aca="false">IF($A62="","",IF(OR(AA62="",AB62="",AC62=""),"",AA62*POWER(1+AB62,AC62)))</f>
        <v/>
      </c>
      <c r="AE62" s="21" t="str">
        <f aca="false">IF($A62="","",IF(OR(AD62="",AD62=0),"",B62/AD62-1))</f>
        <v/>
      </c>
      <c r="AG62" s="1" t="str">
        <f aca="false">IF($A62="","",IF(B62&lt;30000,"婴儿",IF(B62&lt;100000,"成长","成熟")))</f>
        <v/>
      </c>
      <c r="AH62" s="22"/>
      <c r="AJ62" s="22"/>
      <c r="AK62" s="22"/>
      <c r="AM62" s="22"/>
      <c r="AP62" s="13"/>
      <c r="AQ62" s="23" t="str">
        <f aca="false">IF($A62="","",B62-$AA$2-SUM($F$2:F62))</f>
        <v/>
      </c>
    </row>
    <row r="63" customFormat="false" ht="15" hidden="false" customHeight="true" outlineLevel="0" collapsed="false">
      <c r="A63" s="7"/>
      <c r="B63" s="24"/>
      <c r="C63" s="24"/>
      <c r="D63" s="15" t="str">
        <f aca="false">IF($A63="","",SUMIFS(持仓表!$J:$J,持仓表!$A:$A,$A63))</f>
        <v/>
      </c>
      <c r="E63" s="16" t="n">
        <f aca="false">IFERROR(D63/B63,0)</f>
        <v>0</v>
      </c>
      <c r="F63" s="24"/>
      <c r="G63" s="15" t="str">
        <f aca="false">IF($B63="","",MAX($B$2:B63))</f>
        <v/>
      </c>
      <c r="H63" s="16" t="n">
        <f aca="false">IFERROR((B63-F63)/F63,0)</f>
        <v>0</v>
      </c>
      <c r="I63" s="16" t="n">
        <f aca="false">IFERROR((B63-G63)/G63,0)</f>
        <v>0</v>
      </c>
      <c r="J63" s="12"/>
      <c r="K63" s="7"/>
      <c r="L63" s="25"/>
      <c r="M63" s="25"/>
      <c r="N63" s="16" t="str">
        <f aca="false">IF($B63="","",MIN(70%,IF($I63&lt;=-15%,10%,IF($I63&lt;=-10%,30%,IF($M63&gt;=4,10%,IF($M63&gt;=3,30%,IF($J63="强",IF($K63="A",70%,IF($K63="B",60%,40%)),IF($J63="中性",IF($K63="A",50%,IF($K63="B",40%,25%)),IF($K63="A",30%,IF($K63="B",20%,10%))))))))))</f>
        <v/>
      </c>
      <c r="O63" s="16" t="str">
        <f aca="false">IF($B63="","",IF(B63&lt;30000,35%,IF(B63&lt;50000,30%,IF(B63&lt;100000,25%,20%))))</f>
        <v/>
      </c>
      <c r="P63" s="18" t="str">
        <f aca="false">IF($A63="","",COUNTIFS(持仓表!$A:$A,$A63,持仓表!$G:$G,"&gt;0"))</f>
        <v/>
      </c>
      <c r="Q63" s="18" t="str">
        <f aca="false">IF($A63="","",COUNTIFS(持仓表!$A:$A,$A63,持仓表!$D:$D,"是",持仓表!$G:$G,"&gt;0"))</f>
        <v/>
      </c>
      <c r="R63" s="18" t="str">
        <f aca="false">IF($A63="","",MAX(0,P63-Q63))</f>
        <v/>
      </c>
      <c r="S63" s="18" t="str">
        <f aca="false">IF($B63="","",IF(B63&lt;50000,3,IF(B63&lt;100000,4,5)))</f>
        <v/>
      </c>
      <c r="T63" s="19" t="str">
        <f aca="false">IF($A63="","",IF(OR(M63&gt;=4,I63&lt;=-8%),"防守",IF(OR(M63&gt;=2,I63&lt;=-5%),"警戒","正常")))</f>
        <v/>
      </c>
      <c r="U63" s="19" t="str">
        <f aca="false">IF($A63="","",IF(AND(L63&gt;=3,M63&lt;=2,T63&lt;&gt;"防守"),"是","否"))</f>
        <v/>
      </c>
      <c r="V63" s="19" t="str">
        <f aca="false">IF($A63="","",IF(AND(E63&lt;N63,R63&lt;S63,M63&lt;=2,I63&gt;-15%),"是","否"))</f>
        <v/>
      </c>
      <c r="W63" s="19" t="str">
        <f aca="false">IF($A63="","",IF(OR(M63&gt;=3,I63&lt;=-15%),"是","否"))</f>
        <v/>
      </c>
      <c r="X63" s="15" t="str">
        <f aca="false">IF($A63="","",IFERROR(maxifs(候选池!$AB:$AB,候选池!$A:$A,$A63),0))</f>
        <v/>
      </c>
      <c r="Y63" s="15" t="str">
        <f aca="false">IF($A63="","",IF(OR(M63&gt;=4,I63&lt;=-8%),MAX(0,B63*60%-C63),IF(AND(ISNUMBER(AD63),B63&gt;AD63),IF(B63&lt;30000,0,IF(B63&lt;100000,MAX(0,(B63-AD63)*0.2),MAX(0,(B63-AD63)*0.3))),0)))</f>
        <v/>
      </c>
      <c r="Z63" s="7"/>
      <c r="AA63" s="19" t="str">
        <f aca="false">IF($A63="","",IF($AA$2&lt;&gt;"",$AA$2,""))</f>
        <v/>
      </c>
      <c r="AB63" s="7" t="str">
        <f aca="false">IF($A63="","",IF(B63&lt;30000,0.03,IF(B63&lt;100000,0.02,0.015)))</f>
        <v/>
      </c>
      <c r="AC63" s="18" t="str">
        <f aca="false">IF($A63="","",IFERROR(DATEDIF($A$2,$A63,"m"),0))</f>
        <v/>
      </c>
      <c r="AD63" s="15" t="str">
        <f aca="false">IF($A63="","",IF(OR(AA63="",AB63="",AC63=""),"",AA63*POWER(1+AB63,AC63)))</f>
        <v/>
      </c>
      <c r="AE63" s="27" t="str">
        <f aca="false">IF($A63="","",IF(OR(AD63="",AD63=0),"",B63/AD63-1))</f>
        <v/>
      </c>
      <c r="AG63" s="1" t="str">
        <f aca="false">IF($A63="","",IF(B63&lt;30000,"婴儿",IF(B63&lt;100000,"成长","成熟")))</f>
        <v/>
      </c>
      <c r="AH63" s="22"/>
      <c r="AJ63" s="22"/>
      <c r="AK63" s="22"/>
      <c r="AM63" s="22"/>
      <c r="AP63" s="13"/>
      <c r="AQ63" s="23" t="str">
        <f aca="false">IF($A63="","",B63-$AA$2-SUM($F$2:F63))</f>
        <v/>
      </c>
    </row>
    <row r="64" customFormat="false" ht="15" hidden="false" customHeight="true" outlineLevel="0" collapsed="false">
      <c r="A64" s="5"/>
      <c r="B64" s="14"/>
      <c r="C64" s="14"/>
      <c r="D64" s="15" t="str">
        <f aca="false">IF($A64="","",SUMIFS(持仓表!$J:$J,持仓表!$A:$A,$A64))</f>
        <v/>
      </c>
      <c r="E64" s="16" t="n">
        <f aca="false">IFERROR(D64/B64,0)</f>
        <v>0</v>
      </c>
      <c r="F64" s="14"/>
      <c r="G64" s="15" t="str">
        <f aca="false">IF($B64="","",MAX($B$2:B64))</f>
        <v/>
      </c>
      <c r="H64" s="16" t="n">
        <f aca="false">IFERROR((B64-F64)/F64,0)</f>
        <v>0</v>
      </c>
      <c r="I64" s="16" t="n">
        <f aca="false">IFERROR((B64-G64)/G64,0)</f>
        <v>0</v>
      </c>
      <c r="J64" s="11"/>
      <c r="K64" s="5"/>
      <c r="L64" s="17"/>
      <c r="M64" s="17"/>
      <c r="N64" s="16" t="str">
        <f aca="false">IF($B64="","",MIN(70%,IF($I64&lt;=-15%,10%,IF($I64&lt;=-10%,30%,IF($M64&gt;=4,10%,IF($M64&gt;=3,30%,IF($J64="强",IF($K64="A",70%,IF($K64="B",60%,40%)),IF($J64="中性",IF($K64="A",50%,IF($K64="B",40%,25%)),IF($K64="A",30%,IF($K64="B",20%,10%))))))))))</f>
        <v/>
      </c>
      <c r="O64" s="16" t="str">
        <f aca="false">IF($B64="","",IF(B64&lt;30000,35%,IF(B64&lt;50000,30%,IF(B64&lt;100000,25%,20%))))</f>
        <v/>
      </c>
      <c r="P64" s="18" t="str">
        <f aca="false">IF($A64="","",COUNTIFS(持仓表!$A:$A,$A64,持仓表!$G:$G,"&gt;0"))</f>
        <v/>
      </c>
      <c r="Q64" s="18" t="str">
        <f aca="false">IF($A64="","",COUNTIFS(持仓表!$A:$A,$A64,持仓表!$D:$D,"是",持仓表!$G:$G,"&gt;0"))</f>
        <v/>
      </c>
      <c r="R64" s="18" t="str">
        <f aca="false">IF($A64="","",MAX(0,P64-Q64))</f>
        <v/>
      </c>
      <c r="S64" s="18" t="str">
        <f aca="false">IF($B64="","",IF(B64&lt;50000,3,IF(B64&lt;100000,4,5)))</f>
        <v/>
      </c>
      <c r="T64" s="19" t="str">
        <f aca="false">IF($A64="","",IF(OR(M64&gt;=4,I64&lt;=-8%),"防守",IF(OR(M64&gt;=2,I64&lt;=-5%),"警戒","正常")))</f>
        <v/>
      </c>
      <c r="U64" s="19" t="str">
        <f aca="false">IF($A64="","",IF(AND(L64&gt;=3,M64&lt;=2,T64&lt;&gt;"防守"),"是","否"))</f>
        <v/>
      </c>
      <c r="V64" s="19" t="str">
        <f aca="false">IF($A64="","",IF(AND(E64&lt;N64,R64&lt;S64,M64&lt;=2,I64&gt;-15%),"是","否"))</f>
        <v/>
      </c>
      <c r="W64" s="19" t="str">
        <f aca="false">IF($A64="","",IF(OR(M64&gt;=3,I64&lt;=-15%),"是","否"))</f>
        <v/>
      </c>
      <c r="X64" s="15" t="str">
        <f aca="false">IF($A64="","",IFERROR(maxifs(候选池!$AB:$AB,候选池!$A:$A,$A64),0))</f>
        <v/>
      </c>
      <c r="Y64" s="15" t="str">
        <f aca="false">IF($A64="","",IF(OR(M64&gt;=4,I64&lt;=-8%),MAX(0,B64*60%-C64),IF(AND(ISNUMBER(AD64),B64&gt;AD64),IF(B64&lt;30000,0,IF(B64&lt;100000,MAX(0,(B64-AD64)*0.2),MAX(0,(B64-AD64)*0.3))),0)))</f>
        <v/>
      </c>
      <c r="Z64" s="5"/>
      <c r="AA64" s="19" t="str">
        <f aca="false">IF($A64="","",IF($AA$2&lt;&gt;"",$AA$2,""))</f>
        <v/>
      </c>
      <c r="AB64" s="5" t="str">
        <f aca="false">IF($A64="","",IF(B64&lt;30000,0.03,IF(B64&lt;100000,0.02,0.015)))</f>
        <v/>
      </c>
      <c r="AC64" s="18" t="str">
        <f aca="false">IF($A64="","",IFERROR(DATEDIF($A$2,$A64,"m"),0))</f>
        <v/>
      </c>
      <c r="AD64" s="15" t="str">
        <f aca="false">IF($A64="","",IF(OR(AA64="",AB64="",AC64=""),"",AA64*POWER(1+AB64,AC64)))</f>
        <v/>
      </c>
      <c r="AE64" s="21" t="str">
        <f aca="false">IF($A64="","",IF(OR(AD64="",AD64=0),"",B64/AD64-1))</f>
        <v/>
      </c>
      <c r="AG64" s="1" t="str">
        <f aca="false">IF($A64="","",IF(B64&lt;30000,"婴儿",IF(B64&lt;100000,"成长","成熟")))</f>
        <v/>
      </c>
      <c r="AH64" s="22"/>
      <c r="AJ64" s="22"/>
      <c r="AK64" s="22"/>
      <c r="AM64" s="22"/>
      <c r="AP64" s="13"/>
      <c r="AQ64" s="23" t="str">
        <f aca="false">IF($A64="","",B64-$AA$2-SUM($F$2:F64))</f>
        <v/>
      </c>
    </row>
    <row r="65" customFormat="false" ht="15" hidden="false" customHeight="true" outlineLevel="0" collapsed="false">
      <c r="A65" s="7"/>
      <c r="B65" s="24"/>
      <c r="C65" s="24"/>
      <c r="D65" s="15" t="str">
        <f aca="false">IF($A65="","",SUMIFS(持仓表!$J:$J,持仓表!$A:$A,$A65))</f>
        <v/>
      </c>
      <c r="E65" s="16" t="n">
        <f aca="false">IFERROR(D65/B65,0)</f>
        <v>0</v>
      </c>
      <c r="F65" s="24"/>
      <c r="G65" s="15" t="str">
        <f aca="false">IF($B65="","",MAX($B$2:B65))</f>
        <v/>
      </c>
      <c r="H65" s="16" t="n">
        <f aca="false">IFERROR((B65-F65)/F65,0)</f>
        <v>0</v>
      </c>
      <c r="I65" s="16" t="n">
        <f aca="false">IFERROR((B65-G65)/G65,0)</f>
        <v>0</v>
      </c>
      <c r="J65" s="12"/>
      <c r="K65" s="7"/>
      <c r="L65" s="25"/>
      <c r="M65" s="25"/>
      <c r="N65" s="16" t="str">
        <f aca="false">IF($B65="","",MIN(70%,IF($I65&lt;=-15%,10%,IF($I65&lt;=-10%,30%,IF($M65&gt;=4,10%,IF($M65&gt;=3,30%,IF($J65="强",IF($K65="A",70%,IF($K65="B",60%,40%)),IF($J65="中性",IF($K65="A",50%,IF($K65="B",40%,25%)),IF($K65="A",30%,IF($K65="B",20%,10%))))))))))</f>
        <v/>
      </c>
      <c r="O65" s="16" t="str">
        <f aca="false">IF($B65="","",IF(B65&lt;30000,35%,IF(B65&lt;50000,30%,IF(B65&lt;100000,25%,20%))))</f>
        <v/>
      </c>
      <c r="P65" s="18" t="str">
        <f aca="false">IF($A65="","",COUNTIFS(持仓表!$A:$A,$A65,持仓表!$G:$G,"&gt;0"))</f>
        <v/>
      </c>
      <c r="Q65" s="18" t="str">
        <f aca="false">IF($A65="","",COUNTIFS(持仓表!$A:$A,$A65,持仓表!$D:$D,"是",持仓表!$G:$G,"&gt;0"))</f>
        <v/>
      </c>
      <c r="R65" s="18" t="str">
        <f aca="false">IF($A65="","",MAX(0,P65-Q65))</f>
        <v/>
      </c>
      <c r="S65" s="18" t="str">
        <f aca="false">IF($B65="","",IF(B65&lt;50000,3,IF(B65&lt;100000,4,5)))</f>
        <v/>
      </c>
      <c r="T65" s="19" t="str">
        <f aca="false">IF($A65="","",IF(OR(M65&gt;=4,I65&lt;=-8%),"防守",IF(OR(M65&gt;=2,I65&lt;=-5%),"警戒","正常")))</f>
        <v/>
      </c>
      <c r="U65" s="19" t="str">
        <f aca="false">IF($A65="","",IF(AND(L65&gt;=3,M65&lt;=2,T65&lt;&gt;"防守"),"是","否"))</f>
        <v/>
      </c>
      <c r="V65" s="19" t="str">
        <f aca="false">IF($A65="","",IF(AND(E65&lt;N65,R65&lt;S65,M65&lt;=2,I65&gt;-15%),"是","否"))</f>
        <v/>
      </c>
      <c r="W65" s="19" t="str">
        <f aca="false">IF($A65="","",IF(OR(M65&gt;=3,I65&lt;=-15%),"是","否"))</f>
        <v/>
      </c>
      <c r="X65" s="15" t="str">
        <f aca="false">IF($A65="","",IFERROR(maxifs(候选池!$AB:$AB,候选池!$A:$A,$A65),0))</f>
        <v/>
      </c>
      <c r="Y65" s="15" t="str">
        <f aca="false">IF($A65="","",IF(OR(M65&gt;=4,I65&lt;=-8%),MAX(0,B65*60%-C65),IF(AND(ISNUMBER(AD65),B65&gt;AD65),IF(B65&lt;30000,0,IF(B65&lt;100000,MAX(0,(B65-AD65)*0.2),MAX(0,(B65-AD65)*0.3))),0)))</f>
        <v/>
      </c>
      <c r="Z65" s="7"/>
      <c r="AA65" s="19" t="str">
        <f aca="false">IF($A65="","",IF($AA$2&lt;&gt;"",$AA$2,""))</f>
        <v/>
      </c>
      <c r="AB65" s="7" t="str">
        <f aca="false">IF($A65="","",IF(B65&lt;30000,0.03,IF(B65&lt;100000,0.02,0.015)))</f>
        <v/>
      </c>
      <c r="AC65" s="18" t="str">
        <f aca="false">IF($A65="","",IFERROR(DATEDIF($A$2,$A65,"m"),0))</f>
        <v/>
      </c>
      <c r="AD65" s="15" t="str">
        <f aca="false">IF($A65="","",IF(OR(AA65="",AB65="",AC65=""),"",AA65*POWER(1+AB65,AC65)))</f>
        <v/>
      </c>
      <c r="AE65" s="27" t="str">
        <f aca="false">IF($A65="","",IF(OR(AD65="",AD65=0),"",B65/AD65-1))</f>
        <v/>
      </c>
      <c r="AG65" s="1" t="str">
        <f aca="false">IF($A65="","",IF(B65&lt;30000,"婴儿",IF(B65&lt;100000,"成长","成熟")))</f>
        <v/>
      </c>
      <c r="AH65" s="22"/>
      <c r="AJ65" s="22"/>
      <c r="AK65" s="22"/>
      <c r="AM65" s="22"/>
      <c r="AP65" s="13"/>
      <c r="AQ65" s="23" t="str">
        <f aca="false">IF($A65="","",B65-$AA$2-SUM($F$2:F65))</f>
        <v/>
      </c>
    </row>
    <row r="66" customFormat="false" ht="15" hidden="false" customHeight="true" outlineLevel="0" collapsed="false">
      <c r="A66" s="5"/>
      <c r="B66" s="14"/>
      <c r="C66" s="14"/>
      <c r="D66" s="15" t="str">
        <f aca="false">IF($A66="","",SUMIFS(持仓表!$J:$J,持仓表!$A:$A,$A66))</f>
        <v/>
      </c>
      <c r="E66" s="16" t="n">
        <f aca="false">IFERROR(D66/B66,0)</f>
        <v>0</v>
      </c>
      <c r="F66" s="14"/>
      <c r="G66" s="15" t="str">
        <f aca="false">IF($B66="","",MAX($B$2:B66))</f>
        <v/>
      </c>
      <c r="H66" s="16" t="n">
        <f aca="false">IFERROR((B66-F66)/F66,0)</f>
        <v>0</v>
      </c>
      <c r="I66" s="16" t="n">
        <f aca="false">IFERROR((B66-G66)/G66,0)</f>
        <v>0</v>
      </c>
      <c r="J66" s="11"/>
      <c r="K66" s="5"/>
      <c r="L66" s="17"/>
      <c r="M66" s="17"/>
      <c r="N66" s="16" t="str">
        <f aca="false">IF($B66="","",MIN(70%,IF($I66&lt;=-15%,10%,IF($I66&lt;=-10%,30%,IF($M66&gt;=4,10%,IF($M66&gt;=3,30%,IF($J66="强",IF($K66="A",70%,IF($K66="B",60%,40%)),IF($J66="中性",IF($K66="A",50%,IF($K66="B",40%,25%)),IF($K66="A",30%,IF($K66="B",20%,10%))))))))))</f>
        <v/>
      </c>
      <c r="O66" s="16" t="str">
        <f aca="false">IF($B66="","",IF(B66&lt;30000,35%,IF(B66&lt;50000,30%,IF(B66&lt;100000,25%,20%))))</f>
        <v/>
      </c>
      <c r="P66" s="18" t="str">
        <f aca="false">IF($A66="","",COUNTIFS(持仓表!$A:$A,$A66,持仓表!$G:$G,"&gt;0"))</f>
        <v/>
      </c>
      <c r="Q66" s="18" t="str">
        <f aca="false">IF($A66="","",COUNTIFS(持仓表!$A:$A,$A66,持仓表!$D:$D,"是",持仓表!$G:$G,"&gt;0"))</f>
        <v/>
      </c>
      <c r="R66" s="18" t="str">
        <f aca="false">IF($A66="","",MAX(0,P66-Q66))</f>
        <v/>
      </c>
      <c r="S66" s="18" t="str">
        <f aca="false">IF($B66="","",IF(B66&lt;50000,3,IF(B66&lt;100000,4,5)))</f>
        <v/>
      </c>
      <c r="T66" s="19" t="str">
        <f aca="false">IF($A66="","",IF(OR(M66&gt;=4,I66&lt;=-8%),"防守",IF(OR(M66&gt;=2,I66&lt;=-5%),"警戒","正常")))</f>
        <v/>
      </c>
      <c r="U66" s="19" t="str">
        <f aca="false">IF($A66="","",IF(AND(L66&gt;=3,M66&lt;=2,T66&lt;&gt;"防守"),"是","否"))</f>
        <v/>
      </c>
      <c r="V66" s="19" t="str">
        <f aca="false">IF($A66="","",IF(AND(E66&lt;N66,R66&lt;S66,M66&lt;=2,I66&gt;-15%),"是","否"))</f>
        <v/>
      </c>
      <c r="W66" s="19" t="str">
        <f aca="false">IF($A66="","",IF(OR(M66&gt;=3,I66&lt;=-15%),"是","否"))</f>
        <v/>
      </c>
      <c r="X66" s="15" t="str">
        <f aca="false">IF($A66="","",IFERROR(maxifs(候选池!$AB:$AB,候选池!$A:$A,$A66),0))</f>
        <v/>
      </c>
      <c r="Y66" s="15" t="str">
        <f aca="false">IF($A66="","",IF(OR(M66&gt;=4,I66&lt;=-8%),MAX(0,B66*60%-C66),IF(AND(ISNUMBER(AD66),B66&gt;AD66),IF(B66&lt;30000,0,IF(B66&lt;100000,MAX(0,(B66-AD66)*0.2),MAX(0,(B66-AD66)*0.3))),0)))</f>
        <v/>
      </c>
      <c r="Z66" s="5"/>
      <c r="AA66" s="19" t="str">
        <f aca="false">IF($A66="","",IF($AA$2&lt;&gt;"",$AA$2,""))</f>
        <v/>
      </c>
      <c r="AB66" s="5" t="str">
        <f aca="false">IF($A66="","",IF(B66&lt;30000,0.03,IF(B66&lt;100000,0.02,0.015)))</f>
        <v/>
      </c>
      <c r="AC66" s="18" t="str">
        <f aca="false">IF($A66="","",IFERROR(DATEDIF($A$2,$A66,"m"),0))</f>
        <v/>
      </c>
      <c r="AD66" s="15" t="str">
        <f aca="false">IF($A66="","",IF(OR(AA66="",AB66="",AC66=""),"",AA66*POWER(1+AB66,AC66)))</f>
        <v/>
      </c>
      <c r="AE66" s="21" t="str">
        <f aca="false">IF($A66="","",IF(OR(AD66="",AD66=0),"",B66/AD66-1))</f>
        <v/>
      </c>
      <c r="AG66" s="1" t="str">
        <f aca="false">IF($A66="","",IF(B66&lt;30000,"婴儿",IF(B66&lt;100000,"成长","成熟")))</f>
        <v/>
      </c>
      <c r="AH66" s="22"/>
      <c r="AJ66" s="22"/>
      <c r="AK66" s="22"/>
      <c r="AM66" s="22"/>
      <c r="AP66" s="13"/>
      <c r="AQ66" s="23" t="str">
        <f aca="false">IF($A66="","",B66-$AA$2-SUM($F$2:F66))</f>
        <v/>
      </c>
    </row>
    <row r="67" customFormat="false" ht="15" hidden="false" customHeight="true" outlineLevel="0" collapsed="false">
      <c r="A67" s="7"/>
      <c r="B67" s="24"/>
      <c r="C67" s="24"/>
      <c r="D67" s="15" t="str">
        <f aca="false">IF($A67="","",SUMIFS(持仓表!$J:$J,持仓表!$A:$A,$A67))</f>
        <v/>
      </c>
      <c r="E67" s="16" t="n">
        <f aca="false">IFERROR(D67/B67,0)</f>
        <v>0</v>
      </c>
      <c r="F67" s="24"/>
      <c r="G67" s="15" t="str">
        <f aca="false">IF($B67="","",MAX($B$2:B67))</f>
        <v/>
      </c>
      <c r="H67" s="16" t="n">
        <f aca="false">IFERROR((B67-F67)/F67,0)</f>
        <v>0</v>
      </c>
      <c r="I67" s="16" t="n">
        <f aca="false">IFERROR((B67-G67)/G67,0)</f>
        <v>0</v>
      </c>
      <c r="J67" s="12"/>
      <c r="K67" s="7"/>
      <c r="L67" s="25"/>
      <c r="M67" s="25"/>
      <c r="N67" s="16" t="str">
        <f aca="false">IF($B67="","",MIN(70%,IF($I67&lt;=-15%,10%,IF($I67&lt;=-10%,30%,IF($M67&gt;=4,10%,IF($M67&gt;=3,30%,IF($J67="强",IF($K67="A",70%,IF($K67="B",60%,40%)),IF($J67="中性",IF($K67="A",50%,IF($K67="B",40%,25%)),IF($K67="A",30%,IF($K67="B",20%,10%))))))))))</f>
        <v/>
      </c>
      <c r="O67" s="16" t="str">
        <f aca="false">IF($B67="","",IF(B67&lt;30000,35%,IF(B67&lt;50000,30%,IF(B67&lt;100000,25%,20%))))</f>
        <v/>
      </c>
      <c r="P67" s="18" t="str">
        <f aca="false">IF($A67="","",COUNTIFS(持仓表!$A:$A,$A67,持仓表!$G:$G,"&gt;0"))</f>
        <v/>
      </c>
      <c r="Q67" s="18" t="str">
        <f aca="false">IF($A67="","",COUNTIFS(持仓表!$A:$A,$A67,持仓表!$D:$D,"是",持仓表!$G:$G,"&gt;0"))</f>
        <v/>
      </c>
      <c r="R67" s="18" t="str">
        <f aca="false">IF($A67="","",MAX(0,P67-Q67))</f>
        <v/>
      </c>
      <c r="S67" s="18" t="str">
        <f aca="false">IF($B67="","",IF(B67&lt;50000,3,IF(B67&lt;100000,4,5)))</f>
        <v/>
      </c>
      <c r="T67" s="19" t="str">
        <f aca="false">IF($A67="","",IF(OR(M67&gt;=4,I67&lt;=-8%),"防守",IF(OR(M67&gt;=2,I67&lt;=-5%),"警戒","正常")))</f>
        <v/>
      </c>
      <c r="U67" s="19" t="str">
        <f aca="false">IF($A67="","",IF(AND(L67&gt;=3,M67&lt;=2,T67&lt;&gt;"防守"),"是","否"))</f>
        <v/>
      </c>
      <c r="V67" s="19" t="str">
        <f aca="false">IF($A67="","",IF(AND(E67&lt;N67,R67&lt;S67,M67&lt;=2,I67&gt;-15%),"是","否"))</f>
        <v/>
      </c>
      <c r="W67" s="19" t="str">
        <f aca="false">IF($A67="","",IF(OR(M67&gt;=3,I67&lt;=-15%),"是","否"))</f>
        <v/>
      </c>
      <c r="X67" s="15" t="str">
        <f aca="false">IF($A67="","",IFERROR(maxifs(候选池!$AB:$AB,候选池!$A:$A,$A67),0))</f>
        <v/>
      </c>
      <c r="Y67" s="15" t="str">
        <f aca="false">IF($A67="","",IF(OR(M67&gt;=4,I67&lt;=-8%),MAX(0,B67*60%-C67),IF(AND(ISNUMBER(AD67),B67&gt;AD67),IF(B67&lt;30000,0,IF(B67&lt;100000,MAX(0,(B67-AD67)*0.2),MAX(0,(B67-AD67)*0.3))),0)))</f>
        <v/>
      </c>
      <c r="Z67" s="7"/>
      <c r="AA67" s="19" t="str">
        <f aca="false">IF($A67="","",IF($AA$2&lt;&gt;"",$AA$2,""))</f>
        <v/>
      </c>
      <c r="AB67" s="7" t="str">
        <f aca="false">IF($A67="","",IF(B67&lt;30000,0.03,IF(B67&lt;100000,0.02,0.015)))</f>
        <v/>
      </c>
      <c r="AC67" s="18" t="str">
        <f aca="false">IF($A67="","",IFERROR(DATEDIF($A$2,$A67,"m"),0))</f>
        <v/>
      </c>
      <c r="AD67" s="15" t="str">
        <f aca="false">IF($A67="","",IF(OR(AA67="",AB67="",AC67=""),"",AA67*POWER(1+AB67,AC67)))</f>
        <v/>
      </c>
      <c r="AE67" s="27" t="str">
        <f aca="false">IF($A67="","",IF(OR(AD67="",AD67=0),"",B67/AD67-1))</f>
        <v/>
      </c>
      <c r="AG67" s="1" t="str">
        <f aca="false">IF($A67="","",IF(B67&lt;30000,"婴儿",IF(B67&lt;100000,"成长","成熟")))</f>
        <v/>
      </c>
      <c r="AH67" s="22"/>
      <c r="AJ67" s="22"/>
      <c r="AK67" s="22"/>
      <c r="AM67" s="22"/>
      <c r="AP67" s="13"/>
      <c r="AQ67" s="23" t="str">
        <f aca="false">IF($A67="","",B67-$AA$2-SUM($F$2:F67))</f>
        <v/>
      </c>
    </row>
    <row r="68" customFormat="false" ht="15" hidden="false" customHeight="true" outlineLevel="0" collapsed="false">
      <c r="A68" s="5"/>
      <c r="B68" s="14"/>
      <c r="C68" s="14"/>
      <c r="D68" s="15" t="str">
        <f aca="false">IF($A68="","",SUMIFS(持仓表!$J:$J,持仓表!$A:$A,$A68))</f>
        <v/>
      </c>
      <c r="E68" s="16" t="n">
        <f aca="false">IFERROR(D68/B68,0)</f>
        <v>0</v>
      </c>
      <c r="F68" s="14"/>
      <c r="G68" s="15" t="str">
        <f aca="false">IF($B68="","",MAX($B$2:B68))</f>
        <v/>
      </c>
      <c r="H68" s="16" t="n">
        <f aca="false">IFERROR((B68-F68)/F68,0)</f>
        <v>0</v>
      </c>
      <c r="I68" s="16" t="n">
        <f aca="false">IFERROR((B68-G68)/G68,0)</f>
        <v>0</v>
      </c>
      <c r="J68" s="11"/>
      <c r="K68" s="5"/>
      <c r="L68" s="17"/>
      <c r="M68" s="17"/>
      <c r="N68" s="16" t="str">
        <f aca="false">IF($B68="","",MIN(70%,IF($I68&lt;=-15%,10%,IF($I68&lt;=-10%,30%,IF($M68&gt;=4,10%,IF($M68&gt;=3,30%,IF($J68="强",IF($K68="A",70%,IF($K68="B",60%,40%)),IF($J68="中性",IF($K68="A",50%,IF($K68="B",40%,25%)),IF($K68="A",30%,IF($K68="B",20%,10%))))))))))</f>
        <v/>
      </c>
      <c r="O68" s="16" t="str">
        <f aca="false">IF($B68="","",IF(B68&lt;30000,35%,IF(B68&lt;50000,30%,IF(B68&lt;100000,25%,20%))))</f>
        <v/>
      </c>
      <c r="P68" s="18" t="str">
        <f aca="false">IF($A68="","",COUNTIFS(持仓表!$A:$A,$A68,持仓表!$G:$G,"&gt;0"))</f>
        <v/>
      </c>
      <c r="Q68" s="18" t="str">
        <f aca="false">IF($A68="","",COUNTIFS(持仓表!$A:$A,$A68,持仓表!$D:$D,"是",持仓表!$G:$G,"&gt;0"))</f>
        <v/>
      </c>
      <c r="R68" s="18" t="str">
        <f aca="false">IF($A68="","",MAX(0,P68-Q68))</f>
        <v/>
      </c>
      <c r="S68" s="18" t="str">
        <f aca="false">IF($B68="","",IF(B68&lt;50000,3,IF(B68&lt;100000,4,5)))</f>
        <v/>
      </c>
      <c r="T68" s="19" t="str">
        <f aca="false">IF($A68="","",IF(OR(M68&gt;=4,I68&lt;=-8%),"防守",IF(OR(M68&gt;=2,I68&lt;=-5%),"警戒","正常")))</f>
        <v/>
      </c>
      <c r="U68" s="19" t="str">
        <f aca="false">IF($A68="","",IF(AND(L68&gt;=3,M68&lt;=2,T68&lt;&gt;"防守"),"是","否"))</f>
        <v/>
      </c>
      <c r="V68" s="19" t="str">
        <f aca="false">IF($A68="","",IF(AND(E68&lt;N68,R68&lt;S68,M68&lt;=2,I68&gt;-15%),"是","否"))</f>
        <v/>
      </c>
      <c r="W68" s="19" t="str">
        <f aca="false">IF($A68="","",IF(OR(M68&gt;=3,I68&lt;=-15%),"是","否"))</f>
        <v/>
      </c>
      <c r="X68" s="15" t="str">
        <f aca="false">IF($A68="","",IFERROR(maxifs(候选池!$AB:$AB,候选池!$A:$A,$A68),0))</f>
        <v/>
      </c>
      <c r="Y68" s="15" t="str">
        <f aca="false">IF($A68="","",IF(OR(M68&gt;=4,I68&lt;=-8%),MAX(0,B68*60%-C68),IF(AND(ISNUMBER(AD68),B68&gt;AD68),IF(B68&lt;30000,0,IF(B68&lt;100000,MAX(0,(B68-AD68)*0.2),MAX(0,(B68-AD68)*0.3))),0)))</f>
        <v/>
      </c>
      <c r="Z68" s="5"/>
      <c r="AA68" s="19" t="str">
        <f aca="false">IF($A68="","",IF($AA$2&lt;&gt;"",$AA$2,""))</f>
        <v/>
      </c>
      <c r="AB68" s="5" t="str">
        <f aca="false">IF($A68="","",IF(B68&lt;30000,0.03,IF(B68&lt;100000,0.02,0.015)))</f>
        <v/>
      </c>
      <c r="AC68" s="18" t="str">
        <f aca="false">IF($A68="","",IFERROR(DATEDIF($A$2,$A68,"m"),0))</f>
        <v/>
      </c>
      <c r="AD68" s="15" t="str">
        <f aca="false">IF($A68="","",IF(OR(AA68="",AB68="",AC68=""),"",AA68*POWER(1+AB68,AC68)))</f>
        <v/>
      </c>
      <c r="AE68" s="21" t="str">
        <f aca="false">IF($A68="","",IF(OR(AD68="",AD68=0),"",B68/AD68-1))</f>
        <v/>
      </c>
      <c r="AG68" s="1" t="str">
        <f aca="false">IF($A68="","",IF(B68&lt;30000,"婴儿",IF(B68&lt;100000,"成长","成熟")))</f>
        <v/>
      </c>
      <c r="AH68" s="22"/>
      <c r="AJ68" s="22"/>
      <c r="AK68" s="22"/>
      <c r="AM68" s="22"/>
      <c r="AP68" s="13"/>
      <c r="AQ68" s="23" t="str">
        <f aca="false">IF($A68="","",B68-$AA$2-SUM($F$2:F68))</f>
        <v/>
      </c>
    </row>
    <row r="69" customFormat="false" ht="15" hidden="false" customHeight="true" outlineLevel="0" collapsed="false">
      <c r="A69" s="7"/>
      <c r="B69" s="24"/>
      <c r="C69" s="24"/>
      <c r="D69" s="15" t="str">
        <f aca="false">IF($A69="","",SUMIFS(持仓表!$J:$J,持仓表!$A:$A,$A69))</f>
        <v/>
      </c>
      <c r="E69" s="16" t="n">
        <f aca="false">IFERROR(D69/B69,0)</f>
        <v>0</v>
      </c>
      <c r="F69" s="24"/>
      <c r="G69" s="15" t="str">
        <f aca="false">IF($B69="","",MAX($B$2:B69))</f>
        <v/>
      </c>
      <c r="H69" s="16" t="n">
        <f aca="false">IFERROR((B69-F69)/F69,0)</f>
        <v>0</v>
      </c>
      <c r="I69" s="16" t="n">
        <f aca="false">IFERROR((B69-G69)/G69,0)</f>
        <v>0</v>
      </c>
      <c r="J69" s="12"/>
      <c r="K69" s="7"/>
      <c r="L69" s="25"/>
      <c r="M69" s="25"/>
      <c r="N69" s="16" t="str">
        <f aca="false">IF($B69="","",MIN(70%,IF($I69&lt;=-15%,10%,IF($I69&lt;=-10%,30%,IF($M69&gt;=4,10%,IF($M69&gt;=3,30%,IF($J69="强",IF($K69="A",70%,IF($K69="B",60%,40%)),IF($J69="中性",IF($K69="A",50%,IF($K69="B",40%,25%)),IF($K69="A",30%,IF($K69="B",20%,10%))))))))))</f>
        <v/>
      </c>
      <c r="O69" s="16" t="str">
        <f aca="false">IF($B69="","",IF(B69&lt;30000,35%,IF(B69&lt;50000,30%,IF(B69&lt;100000,25%,20%))))</f>
        <v/>
      </c>
      <c r="P69" s="18" t="str">
        <f aca="false">IF($A69="","",COUNTIFS(持仓表!$A:$A,$A69,持仓表!$G:$G,"&gt;0"))</f>
        <v/>
      </c>
      <c r="Q69" s="18" t="str">
        <f aca="false">IF($A69="","",COUNTIFS(持仓表!$A:$A,$A69,持仓表!$D:$D,"是",持仓表!$G:$G,"&gt;0"))</f>
        <v/>
      </c>
      <c r="R69" s="18" t="str">
        <f aca="false">IF($A69="","",MAX(0,P69-Q69))</f>
        <v/>
      </c>
      <c r="S69" s="18" t="str">
        <f aca="false">IF($B69="","",IF(B69&lt;50000,3,IF(B69&lt;100000,4,5)))</f>
        <v/>
      </c>
      <c r="T69" s="19" t="str">
        <f aca="false">IF($A69="","",IF(OR(M69&gt;=4,I69&lt;=-8%),"防守",IF(OR(M69&gt;=2,I69&lt;=-5%),"警戒","正常")))</f>
        <v/>
      </c>
      <c r="U69" s="19" t="str">
        <f aca="false">IF($A69="","",IF(AND(L69&gt;=3,M69&lt;=2,T69&lt;&gt;"防守"),"是","否"))</f>
        <v/>
      </c>
      <c r="V69" s="19" t="str">
        <f aca="false">IF($A69="","",IF(AND(E69&lt;N69,R69&lt;S69,M69&lt;=2,I69&gt;-15%),"是","否"))</f>
        <v/>
      </c>
      <c r="W69" s="19" t="str">
        <f aca="false">IF($A69="","",IF(OR(M69&gt;=3,I69&lt;=-15%),"是","否"))</f>
        <v/>
      </c>
      <c r="X69" s="15" t="str">
        <f aca="false">IF($A69="","",IFERROR(maxifs(候选池!$AB:$AB,候选池!$A:$A,$A69),0))</f>
        <v/>
      </c>
      <c r="Y69" s="15" t="str">
        <f aca="false">IF($A69="","",IF(OR(M69&gt;=4,I69&lt;=-8%),MAX(0,B69*60%-C69),IF(AND(ISNUMBER(AD69),B69&gt;AD69),IF(B69&lt;30000,0,IF(B69&lt;100000,MAX(0,(B69-AD69)*0.2),MAX(0,(B69-AD69)*0.3))),0)))</f>
        <v/>
      </c>
      <c r="Z69" s="7"/>
      <c r="AA69" s="19" t="str">
        <f aca="false">IF($A69="","",IF($AA$2&lt;&gt;"",$AA$2,""))</f>
        <v/>
      </c>
      <c r="AB69" s="7" t="str">
        <f aca="false">IF($A69="","",IF(B69&lt;30000,0.03,IF(B69&lt;100000,0.02,0.015)))</f>
        <v/>
      </c>
      <c r="AC69" s="18" t="str">
        <f aca="false">IF($A69="","",IFERROR(DATEDIF($A$2,$A69,"m"),0))</f>
        <v/>
      </c>
      <c r="AD69" s="15" t="str">
        <f aca="false">IF($A69="","",IF(OR(AA69="",AB69="",AC69=""),"",AA69*POWER(1+AB69,AC69)))</f>
        <v/>
      </c>
      <c r="AE69" s="27" t="str">
        <f aca="false">IF($A69="","",IF(OR(AD69="",AD69=0),"",B69/AD69-1))</f>
        <v/>
      </c>
      <c r="AG69" s="1" t="str">
        <f aca="false">IF($A69="","",IF(B69&lt;30000,"婴儿",IF(B69&lt;100000,"成长","成熟")))</f>
        <v/>
      </c>
      <c r="AH69" s="22"/>
      <c r="AJ69" s="22"/>
      <c r="AK69" s="22"/>
      <c r="AM69" s="22"/>
      <c r="AP69" s="13"/>
      <c r="AQ69" s="23" t="str">
        <f aca="false">IF($A69="","",B69-$AA$2-SUM($F$2:F69))</f>
        <v/>
      </c>
    </row>
    <row r="70" customFormat="false" ht="15" hidden="false" customHeight="true" outlineLevel="0" collapsed="false">
      <c r="A70" s="5"/>
      <c r="B70" s="14"/>
      <c r="C70" s="14"/>
      <c r="D70" s="15" t="str">
        <f aca="false">IF($A70="","",SUMIFS(持仓表!$J:$J,持仓表!$A:$A,$A70))</f>
        <v/>
      </c>
      <c r="E70" s="16" t="n">
        <f aca="false">IFERROR(D70/B70,0)</f>
        <v>0</v>
      </c>
      <c r="F70" s="14"/>
      <c r="G70" s="15" t="str">
        <f aca="false">IF($B70="","",MAX($B$2:B70))</f>
        <v/>
      </c>
      <c r="H70" s="16" t="n">
        <f aca="false">IFERROR((B70-F70)/F70,0)</f>
        <v>0</v>
      </c>
      <c r="I70" s="16" t="n">
        <f aca="false">IFERROR((B70-G70)/G70,0)</f>
        <v>0</v>
      </c>
      <c r="J70" s="11"/>
      <c r="K70" s="5"/>
      <c r="L70" s="17"/>
      <c r="M70" s="17"/>
      <c r="N70" s="16" t="str">
        <f aca="false">IF($B70="","",MIN(70%,IF($I70&lt;=-15%,10%,IF($I70&lt;=-10%,30%,IF($M70&gt;=4,10%,IF($M70&gt;=3,30%,IF($J70="强",IF($K70="A",70%,IF($K70="B",60%,40%)),IF($J70="中性",IF($K70="A",50%,IF($K70="B",40%,25%)),IF($K70="A",30%,IF($K70="B",20%,10%))))))))))</f>
        <v/>
      </c>
      <c r="O70" s="16" t="str">
        <f aca="false">IF($B70="","",IF(B70&lt;30000,35%,IF(B70&lt;50000,30%,IF(B70&lt;100000,25%,20%))))</f>
        <v/>
      </c>
      <c r="P70" s="18" t="str">
        <f aca="false">IF($A70="","",COUNTIFS(持仓表!$A:$A,$A70,持仓表!$G:$G,"&gt;0"))</f>
        <v/>
      </c>
      <c r="Q70" s="18" t="str">
        <f aca="false">IF($A70="","",COUNTIFS(持仓表!$A:$A,$A70,持仓表!$D:$D,"是",持仓表!$G:$G,"&gt;0"))</f>
        <v/>
      </c>
      <c r="R70" s="18" t="str">
        <f aca="false">IF($A70="","",MAX(0,P70-Q70))</f>
        <v/>
      </c>
      <c r="S70" s="18" t="str">
        <f aca="false">IF($B70="","",IF(B70&lt;50000,3,IF(B70&lt;100000,4,5)))</f>
        <v/>
      </c>
      <c r="T70" s="19" t="str">
        <f aca="false">IF($A70="","",IF(OR(M70&gt;=4,I70&lt;=-8%),"防守",IF(OR(M70&gt;=2,I70&lt;=-5%),"警戒","正常")))</f>
        <v/>
      </c>
      <c r="U70" s="19" t="str">
        <f aca="false">IF($A70="","",IF(AND(L70&gt;=3,M70&lt;=2,T70&lt;&gt;"防守"),"是","否"))</f>
        <v/>
      </c>
      <c r="V70" s="19" t="str">
        <f aca="false">IF($A70="","",IF(AND(E70&lt;N70,R70&lt;S70,M70&lt;=2,I70&gt;-15%),"是","否"))</f>
        <v/>
      </c>
      <c r="W70" s="19" t="str">
        <f aca="false">IF($A70="","",IF(OR(M70&gt;=3,I70&lt;=-15%),"是","否"))</f>
        <v/>
      </c>
      <c r="X70" s="15" t="str">
        <f aca="false">IF($A70="","",IFERROR(maxifs(候选池!$AB:$AB,候选池!$A:$A,$A70),0))</f>
        <v/>
      </c>
      <c r="Y70" s="15" t="str">
        <f aca="false">IF($A70="","",IF(OR(M70&gt;=4,I70&lt;=-8%),MAX(0,B70*60%-C70),IF(AND(ISNUMBER(AD70),B70&gt;AD70),IF(B70&lt;30000,0,IF(B70&lt;100000,MAX(0,(B70-AD70)*0.2),MAX(0,(B70-AD70)*0.3))),0)))</f>
        <v/>
      </c>
      <c r="Z70" s="5"/>
      <c r="AA70" s="19" t="str">
        <f aca="false">IF($A70="","",IF($AA$2&lt;&gt;"",$AA$2,""))</f>
        <v/>
      </c>
      <c r="AB70" s="5" t="str">
        <f aca="false">IF($A70="","",IF(B70&lt;30000,0.03,IF(B70&lt;100000,0.02,0.015)))</f>
        <v/>
      </c>
      <c r="AC70" s="18" t="str">
        <f aca="false">IF($A70="","",IFERROR(DATEDIF($A$2,$A70,"m"),0))</f>
        <v/>
      </c>
      <c r="AD70" s="15" t="str">
        <f aca="false">IF($A70="","",IF(OR(AA70="",AB70="",AC70=""),"",AA70*POWER(1+AB70,AC70)))</f>
        <v/>
      </c>
      <c r="AE70" s="21" t="str">
        <f aca="false">IF($A70="","",IF(OR(AD70="",AD70=0),"",B70/AD70-1))</f>
        <v/>
      </c>
      <c r="AG70" s="1" t="str">
        <f aca="false">IF($A70="","",IF(B70&lt;30000,"婴儿",IF(B70&lt;100000,"成长","成熟")))</f>
        <v/>
      </c>
      <c r="AH70" s="22"/>
      <c r="AJ70" s="22"/>
      <c r="AK70" s="22"/>
      <c r="AM70" s="22"/>
      <c r="AP70" s="13"/>
      <c r="AQ70" s="23" t="str">
        <f aca="false">IF($A70="","",B70-$AA$2-SUM($F$2:F70))</f>
        <v/>
      </c>
    </row>
    <row r="71" customFormat="false" ht="15" hidden="false" customHeight="true" outlineLevel="0" collapsed="false">
      <c r="A71" s="7"/>
      <c r="B71" s="24"/>
      <c r="C71" s="24"/>
      <c r="D71" s="15" t="str">
        <f aca="false">IF($A71="","",SUMIFS(持仓表!$J:$J,持仓表!$A:$A,$A71))</f>
        <v/>
      </c>
      <c r="E71" s="16" t="n">
        <f aca="false">IFERROR(D71/B71,0)</f>
        <v>0</v>
      </c>
      <c r="F71" s="24"/>
      <c r="G71" s="15" t="str">
        <f aca="false">IF($B71="","",MAX($B$2:B71))</f>
        <v/>
      </c>
      <c r="H71" s="16" t="n">
        <f aca="false">IFERROR((B71-F71)/F71,0)</f>
        <v>0</v>
      </c>
      <c r="I71" s="16" t="n">
        <f aca="false">IFERROR((B71-G71)/G71,0)</f>
        <v>0</v>
      </c>
      <c r="J71" s="12"/>
      <c r="K71" s="7"/>
      <c r="L71" s="25"/>
      <c r="M71" s="25"/>
      <c r="N71" s="16" t="str">
        <f aca="false">IF($B71="","",MIN(70%,IF($I71&lt;=-15%,10%,IF($I71&lt;=-10%,30%,IF($M71&gt;=4,10%,IF($M71&gt;=3,30%,IF($J71="强",IF($K71="A",70%,IF($K71="B",60%,40%)),IF($J71="中性",IF($K71="A",50%,IF($K71="B",40%,25%)),IF($K71="A",30%,IF($K71="B",20%,10%))))))))))</f>
        <v/>
      </c>
      <c r="O71" s="16" t="str">
        <f aca="false">IF($B71="","",IF(B71&lt;30000,35%,IF(B71&lt;50000,30%,IF(B71&lt;100000,25%,20%))))</f>
        <v/>
      </c>
      <c r="P71" s="18" t="str">
        <f aca="false">IF($A71="","",COUNTIFS(持仓表!$A:$A,$A71,持仓表!$G:$G,"&gt;0"))</f>
        <v/>
      </c>
      <c r="Q71" s="18" t="str">
        <f aca="false">IF($A71="","",COUNTIFS(持仓表!$A:$A,$A71,持仓表!$D:$D,"是",持仓表!$G:$G,"&gt;0"))</f>
        <v/>
      </c>
      <c r="R71" s="18" t="str">
        <f aca="false">IF($A71="","",MAX(0,P71-Q71))</f>
        <v/>
      </c>
      <c r="S71" s="18" t="str">
        <f aca="false">IF($B71="","",IF(B71&lt;50000,3,IF(B71&lt;100000,4,5)))</f>
        <v/>
      </c>
      <c r="T71" s="19" t="str">
        <f aca="false">IF($A71="","",IF(OR(M71&gt;=4,I71&lt;=-8%),"防守",IF(OR(M71&gt;=2,I71&lt;=-5%),"警戒","正常")))</f>
        <v/>
      </c>
      <c r="U71" s="19" t="str">
        <f aca="false">IF($A71="","",IF(AND(L71&gt;=3,M71&lt;=2,T71&lt;&gt;"防守"),"是","否"))</f>
        <v/>
      </c>
      <c r="V71" s="19" t="str">
        <f aca="false">IF($A71="","",IF(AND(E71&lt;N71,R71&lt;S71,M71&lt;=2,I71&gt;-15%),"是","否"))</f>
        <v/>
      </c>
      <c r="W71" s="19" t="str">
        <f aca="false">IF($A71="","",IF(OR(M71&gt;=3,I71&lt;=-15%),"是","否"))</f>
        <v/>
      </c>
      <c r="X71" s="15" t="str">
        <f aca="false">IF($A71="","",IFERROR(maxifs(候选池!$AB:$AB,候选池!$A:$A,$A71),0))</f>
        <v/>
      </c>
      <c r="Y71" s="15" t="str">
        <f aca="false">IF($A71="","",IF(OR(M71&gt;=4,I71&lt;=-8%),MAX(0,B71*60%-C71),IF(AND(ISNUMBER(AD71),B71&gt;AD71),IF(B71&lt;30000,0,IF(B71&lt;100000,MAX(0,(B71-AD71)*0.2),MAX(0,(B71-AD71)*0.3))),0)))</f>
        <v/>
      </c>
      <c r="Z71" s="7"/>
      <c r="AA71" s="19" t="str">
        <f aca="false">IF($A71="","",IF($AA$2&lt;&gt;"",$AA$2,""))</f>
        <v/>
      </c>
      <c r="AB71" s="7" t="str">
        <f aca="false">IF($A71="","",IF(B71&lt;30000,0.03,IF(B71&lt;100000,0.02,0.015)))</f>
        <v/>
      </c>
      <c r="AC71" s="18" t="str">
        <f aca="false">IF($A71="","",IFERROR(DATEDIF($A$2,$A71,"m"),0))</f>
        <v/>
      </c>
      <c r="AD71" s="15" t="str">
        <f aca="false">IF($A71="","",IF(OR(AA71="",AB71="",AC71=""),"",AA71*POWER(1+AB71,AC71)))</f>
        <v/>
      </c>
      <c r="AE71" s="27" t="str">
        <f aca="false">IF($A71="","",IF(OR(AD71="",AD71=0),"",B71/AD71-1))</f>
        <v/>
      </c>
      <c r="AG71" s="1" t="str">
        <f aca="false">IF($A71="","",IF(B71&lt;30000,"婴儿",IF(B71&lt;100000,"成长","成熟")))</f>
        <v/>
      </c>
      <c r="AH71" s="22"/>
      <c r="AJ71" s="22"/>
      <c r="AK71" s="22"/>
      <c r="AM71" s="22"/>
      <c r="AP71" s="13"/>
      <c r="AQ71" s="23" t="str">
        <f aca="false">IF($A71="","",B71-$AA$2-SUM($F$2:F71))</f>
        <v/>
      </c>
    </row>
    <row r="72" customFormat="false" ht="15" hidden="false" customHeight="true" outlineLevel="0" collapsed="false">
      <c r="A72" s="5"/>
      <c r="B72" s="14"/>
      <c r="C72" s="14"/>
      <c r="D72" s="15" t="str">
        <f aca="false">IF($A72="","",SUMIFS(持仓表!$J:$J,持仓表!$A:$A,$A72))</f>
        <v/>
      </c>
      <c r="E72" s="16" t="n">
        <f aca="false">IFERROR(D72/B72,0)</f>
        <v>0</v>
      </c>
      <c r="F72" s="14"/>
      <c r="G72" s="15" t="str">
        <f aca="false">IF($B72="","",MAX($B$2:B72))</f>
        <v/>
      </c>
      <c r="H72" s="16" t="n">
        <f aca="false">IFERROR((B72-F72)/F72,0)</f>
        <v>0</v>
      </c>
      <c r="I72" s="16" t="n">
        <f aca="false">IFERROR((B72-G72)/G72,0)</f>
        <v>0</v>
      </c>
      <c r="J72" s="11"/>
      <c r="K72" s="5"/>
      <c r="L72" s="17"/>
      <c r="M72" s="17"/>
      <c r="N72" s="16" t="str">
        <f aca="false">IF($B72="","",MIN(70%,IF($I72&lt;=-15%,10%,IF($I72&lt;=-10%,30%,IF($M72&gt;=4,10%,IF($M72&gt;=3,30%,IF($J72="强",IF($K72="A",70%,IF($K72="B",60%,40%)),IF($J72="中性",IF($K72="A",50%,IF($K72="B",40%,25%)),IF($K72="A",30%,IF($K72="B",20%,10%))))))))))</f>
        <v/>
      </c>
      <c r="O72" s="16" t="str">
        <f aca="false">IF($B72="","",IF(B72&lt;30000,35%,IF(B72&lt;50000,30%,IF(B72&lt;100000,25%,20%))))</f>
        <v/>
      </c>
      <c r="P72" s="18" t="str">
        <f aca="false">IF($A72="","",COUNTIFS(持仓表!$A:$A,$A72,持仓表!$G:$G,"&gt;0"))</f>
        <v/>
      </c>
      <c r="Q72" s="18" t="str">
        <f aca="false">IF($A72="","",COUNTIFS(持仓表!$A:$A,$A72,持仓表!$D:$D,"是",持仓表!$G:$G,"&gt;0"))</f>
        <v/>
      </c>
      <c r="R72" s="18" t="str">
        <f aca="false">IF($A72="","",MAX(0,P72-Q72))</f>
        <v/>
      </c>
      <c r="S72" s="18" t="str">
        <f aca="false">IF($B72="","",IF(B72&lt;50000,3,IF(B72&lt;100000,4,5)))</f>
        <v/>
      </c>
      <c r="T72" s="19" t="str">
        <f aca="false">IF($A72="","",IF(OR(M72&gt;=4,I72&lt;=-8%),"防守",IF(OR(M72&gt;=2,I72&lt;=-5%),"警戒","正常")))</f>
        <v/>
      </c>
      <c r="U72" s="19" t="str">
        <f aca="false">IF($A72="","",IF(AND(L72&gt;=3,M72&lt;=2,T72&lt;&gt;"防守"),"是","否"))</f>
        <v/>
      </c>
      <c r="V72" s="19" t="str">
        <f aca="false">IF($A72="","",IF(AND(E72&lt;N72,R72&lt;S72,M72&lt;=2,I72&gt;-15%),"是","否"))</f>
        <v/>
      </c>
      <c r="W72" s="19" t="str">
        <f aca="false">IF($A72="","",IF(OR(M72&gt;=3,I72&lt;=-15%),"是","否"))</f>
        <v/>
      </c>
      <c r="X72" s="15" t="str">
        <f aca="false">IF($A72="","",IFERROR(maxifs(候选池!$AB:$AB,候选池!$A:$A,$A72),0))</f>
        <v/>
      </c>
      <c r="Y72" s="15" t="str">
        <f aca="false">IF($A72="","",IF(OR(M72&gt;=4,I72&lt;=-8%),MAX(0,B72*60%-C72),IF(AND(ISNUMBER(AD72),B72&gt;AD72),IF(B72&lt;30000,0,IF(B72&lt;100000,MAX(0,(B72-AD72)*0.2),MAX(0,(B72-AD72)*0.3))),0)))</f>
        <v/>
      </c>
      <c r="Z72" s="5"/>
      <c r="AA72" s="19" t="str">
        <f aca="false">IF($A72="","",IF($AA$2&lt;&gt;"",$AA$2,""))</f>
        <v/>
      </c>
      <c r="AB72" s="5" t="str">
        <f aca="false">IF($A72="","",IF(B72&lt;30000,0.03,IF(B72&lt;100000,0.02,0.015)))</f>
        <v/>
      </c>
      <c r="AC72" s="18" t="str">
        <f aca="false">IF($A72="","",IFERROR(DATEDIF($A$2,$A72,"m"),0))</f>
        <v/>
      </c>
      <c r="AD72" s="15" t="str">
        <f aca="false">IF($A72="","",IF(OR(AA72="",AB72="",AC72=""),"",AA72*POWER(1+AB72,AC72)))</f>
        <v/>
      </c>
      <c r="AE72" s="21" t="str">
        <f aca="false">IF($A72="","",IF(OR(AD72="",AD72=0),"",B72/AD72-1))</f>
        <v/>
      </c>
      <c r="AG72" s="1" t="str">
        <f aca="false">IF($A72="","",IF(B72&lt;30000,"婴儿",IF(B72&lt;100000,"成长","成熟")))</f>
        <v/>
      </c>
      <c r="AH72" s="22"/>
      <c r="AJ72" s="22"/>
      <c r="AK72" s="22"/>
      <c r="AM72" s="22"/>
      <c r="AP72" s="13"/>
      <c r="AQ72" s="23" t="str">
        <f aca="false">IF($A72="","",B72-$AA$2-SUM($F$2:F72))</f>
        <v/>
      </c>
    </row>
    <row r="73" customFormat="false" ht="15" hidden="false" customHeight="true" outlineLevel="0" collapsed="false">
      <c r="A73" s="7"/>
      <c r="B73" s="24"/>
      <c r="C73" s="24"/>
      <c r="D73" s="15" t="str">
        <f aca="false">IF($A73="","",SUMIFS(持仓表!$J:$J,持仓表!$A:$A,$A73))</f>
        <v/>
      </c>
      <c r="E73" s="16" t="n">
        <f aca="false">IFERROR(D73/B73,0)</f>
        <v>0</v>
      </c>
      <c r="F73" s="24"/>
      <c r="G73" s="15" t="str">
        <f aca="false">IF($B73="","",MAX($B$2:B73))</f>
        <v/>
      </c>
      <c r="H73" s="16" t="n">
        <f aca="false">IFERROR((B73-F73)/F73,0)</f>
        <v>0</v>
      </c>
      <c r="I73" s="16" t="n">
        <f aca="false">IFERROR((B73-G73)/G73,0)</f>
        <v>0</v>
      </c>
      <c r="J73" s="12"/>
      <c r="K73" s="7"/>
      <c r="L73" s="25"/>
      <c r="M73" s="25"/>
      <c r="N73" s="16" t="str">
        <f aca="false">IF($B73="","",MIN(70%,IF($I73&lt;=-15%,10%,IF($I73&lt;=-10%,30%,IF($M73&gt;=4,10%,IF($M73&gt;=3,30%,IF($J73="强",IF($K73="A",70%,IF($K73="B",60%,40%)),IF($J73="中性",IF($K73="A",50%,IF($K73="B",40%,25%)),IF($K73="A",30%,IF($K73="B",20%,10%))))))))))</f>
        <v/>
      </c>
      <c r="O73" s="16" t="str">
        <f aca="false">IF($B73="","",IF(B73&lt;30000,35%,IF(B73&lt;50000,30%,IF(B73&lt;100000,25%,20%))))</f>
        <v/>
      </c>
      <c r="P73" s="18" t="str">
        <f aca="false">IF($A73="","",COUNTIFS(持仓表!$A:$A,$A73,持仓表!$G:$G,"&gt;0"))</f>
        <v/>
      </c>
      <c r="Q73" s="18" t="str">
        <f aca="false">IF($A73="","",COUNTIFS(持仓表!$A:$A,$A73,持仓表!$D:$D,"是",持仓表!$G:$G,"&gt;0"))</f>
        <v/>
      </c>
      <c r="R73" s="18" t="str">
        <f aca="false">IF($A73="","",MAX(0,P73-Q73))</f>
        <v/>
      </c>
      <c r="S73" s="18" t="str">
        <f aca="false">IF($B73="","",IF(B73&lt;50000,3,IF(B73&lt;100000,4,5)))</f>
        <v/>
      </c>
      <c r="T73" s="19" t="str">
        <f aca="false">IF($A73="","",IF(OR(M73&gt;=4,I73&lt;=-8%),"防守",IF(OR(M73&gt;=2,I73&lt;=-5%),"警戒","正常")))</f>
        <v/>
      </c>
      <c r="U73" s="19" t="str">
        <f aca="false">IF($A73="","",IF(AND(L73&gt;=3,M73&lt;=2,T73&lt;&gt;"防守"),"是","否"))</f>
        <v/>
      </c>
      <c r="V73" s="19" t="str">
        <f aca="false">IF($A73="","",IF(AND(E73&lt;N73,R73&lt;S73,M73&lt;=2,I73&gt;-15%),"是","否"))</f>
        <v/>
      </c>
      <c r="W73" s="19" t="str">
        <f aca="false">IF($A73="","",IF(OR(M73&gt;=3,I73&lt;=-15%),"是","否"))</f>
        <v/>
      </c>
      <c r="X73" s="15" t="str">
        <f aca="false">IF($A73="","",IFERROR(maxifs(候选池!$AB:$AB,候选池!$A:$A,$A73),0))</f>
        <v/>
      </c>
      <c r="Y73" s="15" t="str">
        <f aca="false">IF($A73="","",IF(OR(M73&gt;=4,I73&lt;=-8%),MAX(0,B73*60%-C73),IF(AND(ISNUMBER(AD73),B73&gt;AD73),IF(B73&lt;30000,0,IF(B73&lt;100000,MAX(0,(B73-AD73)*0.2),MAX(0,(B73-AD73)*0.3))),0)))</f>
        <v/>
      </c>
      <c r="Z73" s="7"/>
      <c r="AA73" s="19" t="str">
        <f aca="false">IF($A73="","",IF($AA$2&lt;&gt;"",$AA$2,""))</f>
        <v/>
      </c>
      <c r="AB73" s="7" t="str">
        <f aca="false">IF($A73="","",IF(B73&lt;30000,0.03,IF(B73&lt;100000,0.02,0.015)))</f>
        <v/>
      </c>
      <c r="AC73" s="18" t="str">
        <f aca="false">IF($A73="","",IFERROR(DATEDIF($A$2,$A73,"m"),0))</f>
        <v/>
      </c>
      <c r="AD73" s="15" t="str">
        <f aca="false">IF($A73="","",IF(OR(AA73="",AB73="",AC73=""),"",AA73*POWER(1+AB73,AC73)))</f>
        <v/>
      </c>
      <c r="AE73" s="27" t="str">
        <f aca="false">IF($A73="","",IF(OR(AD73="",AD73=0),"",B73/AD73-1))</f>
        <v/>
      </c>
      <c r="AG73" s="1" t="str">
        <f aca="false">IF($A73="","",IF(B73&lt;30000,"婴儿",IF(B73&lt;100000,"成长","成熟")))</f>
        <v/>
      </c>
      <c r="AH73" s="22"/>
      <c r="AJ73" s="22"/>
      <c r="AK73" s="22"/>
      <c r="AM73" s="22"/>
      <c r="AP73" s="13"/>
      <c r="AQ73" s="23" t="str">
        <f aca="false">IF($A73="","",B73-$AA$2-SUM($F$2:F73))</f>
        <v/>
      </c>
    </row>
    <row r="74" customFormat="false" ht="15" hidden="false" customHeight="true" outlineLevel="0" collapsed="false">
      <c r="A74" s="5"/>
      <c r="B74" s="14"/>
      <c r="C74" s="14"/>
      <c r="D74" s="15" t="str">
        <f aca="false">IF($A74="","",SUMIFS(持仓表!$J:$J,持仓表!$A:$A,$A74))</f>
        <v/>
      </c>
      <c r="E74" s="16" t="n">
        <f aca="false">IFERROR(D74/B74,0)</f>
        <v>0</v>
      </c>
      <c r="F74" s="14"/>
      <c r="G74" s="15" t="str">
        <f aca="false">IF($B74="","",MAX($B$2:B74))</f>
        <v/>
      </c>
      <c r="H74" s="16" t="n">
        <f aca="false">IFERROR((B74-F74)/F74,0)</f>
        <v>0</v>
      </c>
      <c r="I74" s="16" t="n">
        <f aca="false">IFERROR((B74-G74)/G74,0)</f>
        <v>0</v>
      </c>
      <c r="J74" s="11"/>
      <c r="K74" s="5"/>
      <c r="L74" s="17"/>
      <c r="M74" s="17"/>
      <c r="N74" s="16" t="str">
        <f aca="false">IF($B74="","",MIN(70%,IF($I74&lt;=-15%,10%,IF($I74&lt;=-10%,30%,IF($M74&gt;=4,10%,IF($M74&gt;=3,30%,IF($J74="强",IF($K74="A",70%,IF($K74="B",60%,40%)),IF($J74="中性",IF($K74="A",50%,IF($K74="B",40%,25%)),IF($K74="A",30%,IF($K74="B",20%,10%))))))))))</f>
        <v/>
      </c>
      <c r="O74" s="16" t="str">
        <f aca="false">IF($B74="","",IF(B74&lt;30000,35%,IF(B74&lt;50000,30%,IF(B74&lt;100000,25%,20%))))</f>
        <v/>
      </c>
      <c r="P74" s="18" t="str">
        <f aca="false">IF($A74="","",COUNTIFS(持仓表!$A:$A,$A74,持仓表!$G:$G,"&gt;0"))</f>
        <v/>
      </c>
      <c r="Q74" s="18" t="str">
        <f aca="false">IF($A74="","",COUNTIFS(持仓表!$A:$A,$A74,持仓表!$D:$D,"是",持仓表!$G:$G,"&gt;0"))</f>
        <v/>
      </c>
      <c r="R74" s="18" t="str">
        <f aca="false">IF($A74="","",MAX(0,P74-Q74))</f>
        <v/>
      </c>
      <c r="S74" s="18" t="str">
        <f aca="false">IF($B74="","",IF(B74&lt;50000,3,IF(B74&lt;100000,4,5)))</f>
        <v/>
      </c>
      <c r="T74" s="19" t="str">
        <f aca="false">IF($A74="","",IF(OR(M74&gt;=4,I74&lt;=-8%),"防守",IF(OR(M74&gt;=2,I74&lt;=-5%),"警戒","正常")))</f>
        <v/>
      </c>
      <c r="U74" s="19" t="str">
        <f aca="false">IF($A74="","",IF(AND(L74&gt;=3,M74&lt;=2,T74&lt;&gt;"防守"),"是","否"))</f>
        <v/>
      </c>
      <c r="V74" s="19" t="str">
        <f aca="false">IF($A74="","",IF(AND(E74&lt;N74,R74&lt;S74,M74&lt;=2,I74&gt;-15%),"是","否"))</f>
        <v/>
      </c>
      <c r="W74" s="19" t="str">
        <f aca="false">IF($A74="","",IF(OR(M74&gt;=3,I74&lt;=-15%),"是","否"))</f>
        <v/>
      </c>
      <c r="X74" s="15" t="str">
        <f aca="false">IF($A74="","",IFERROR(maxifs(候选池!$AB:$AB,候选池!$A:$A,$A74),0))</f>
        <v/>
      </c>
      <c r="Y74" s="15" t="str">
        <f aca="false">IF($A74="","",IF(OR(M74&gt;=4,I74&lt;=-8%),MAX(0,B74*60%-C74),IF(AND(ISNUMBER(AD74),B74&gt;AD74),IF(B74&lt;30000,0,IF(B74&lt;100000,MAX(0,(B74-AD74)*0.2),MAX(0,(B74-AD74)*0.3))),0)))</f>
        <v/>
      </c>
      <c r="Z74" s="5"/>
      <c r="AA74" s="19" t="str">
        <f aca="false">IF($A74="","",IF($AA$2&lt;&gt;"",$AA$2,""))</f>
        <v/>
      </c>
      <c r="AB74" s="5" t="str">
        <f aca="false">IF($A74="","",IF(B74&lt;30000,0.03,IF(B74&lt;100000,0.02,0.015)))</f>
        <v/>
      </c>
      <c r="AC74" s="18" t="str">
        <f aca="false">IF($A74="","",IFERROR(DATEDIF($A$2,$A74,"m"),0))</f>
        <v/>
      </c>
      <c r="AD74" s="15" t="str">
        <f aca="false">IF($A74="","",IF(OR(AA74="",AB74="",AC74=""),"",AA74*POWER(1+AB74,AC74)))</f>
        <v/>
      </c>
      <c r="AE74" s="21" t="str">
        <f aca="false">IF($A74="","",IF(OR(AD74="",AD74=0),"",B74/AD74-1))</f>
        <v/>
      </c>
      <c r="AG74" s="1" t="str">
        <f aca="false">IF($A74="","",IF(B74&lt;30000,"婴儿",IF(B74&lt;100000,"成长","成熟")))</f>
        <v/>
      </c>
      <c r="AH74" s="22"/>
      <c r="AJ74" s="22"/>
      <c r="AK74" s="22"/>
      <c r="AM74" s="22"/>
      <c r="AP74" s="13"/>
      <c r="AQ74" s="23" t="str">
        <f aca="false">IF($A74="","",B74-$AA$2-SUM($F$2:F74))</f>
        <v/>
      </c>
    </row>
    <row r="75" customFormat="false" ht="15" hidden="false" customHeight="true" outlineLevel="0" collapsed="false">
      <c r="A75" s="7"/>
      <c r="B75" s="24"/>
      <c r="C75" s="24"/>
      <c r="D75" s="15" t="str">
        <f aca="false">IF($A75="","",SUMIFS(持仓表!$J:$J,持仓表!$A:$A,$A75))</f>
        <v/>
      </c>
      <c r="E75" s="16" t="n">
        <f aca="false">IFERROR(D75/B75,0)</f>
        <v>0</v>
      </c>
      <c r="F75" s="24"/>
      <c r="G75" s="15" t="str">
        <f aca="false">IF($B75="","",MAX($B$2:B75))</f>
        <v/>
      </c>
      <c r="H75" s="16" t="n">
        <f aca="false">IFERROR((B75-F75)/F75,0)</f>
        <v>0</v>
      </c>
      <c r="I75" s="16" t="n">
        <f aca="false">IFERROR((B75-G75)/G75,0)</f>
        <v>0</v>
      </c>
      <c r="J75" s="12"/>
      <c r="K75" s="7"/>
      <c r="L75" s="25"/>
      <c r="M75" s="25"/>
      <c r="N75" s="16" t="str">
        <f aca="false">IF($B75="","",MIN(70%,IF($I75&lt;=-15%,10%,IF($I75&lt;=-10%,30%,IF($M75&gt;=4,10%,IF($M75&gt;=3,30%,IF($J75="强",IF($K75="A",70%,IF($K75="B",60%,40%)),IF($J75="中性",IF($K75="A",50%,IF($K75="B",40%,25%)),IF($K75="A",30%,IF($K75="B",20%,10%))))))))))</f>
        <v/>
      </c>
      <c r="O75" s="16" t="str">
        <f aca="false">IF($B75="","",IF(B75&lt;30000,35%,IF(B75&lt;50000,30%,IF(B75&lt;100000,25%,20%))))</f>
        <v/>
      </c>
      <c r="P75" s="18" t="str">
        <f aca="false">IF($A75="","",COUNTIFS(持仓表!$A:$A,$A75,持仓表!$G:$G,"&gt;0"))</f>
        <v/>
      </c>
      <c r="Q75" s="18" t="str">
        <f aca="false">IF($A75="","",COUNTIFS(持仓表!$A:$A,$A75,持仓表!$D:$D,"是",持仓表!$G:$G,"&gt;0"))</f>
        <v/>
      </c>
      <c r="R75" s="18" t="str">
        <f aca="false">IF($A75="","",MAX(0,P75-Q75))</f>
        <v/>
      </c>
      <c r="S75" s="18" t="str">
        <f aca="false">IF($B75="","",IF(B75&lt;50000,3,IF(B75&lt;100000,4,5)))</f>
        <v/>
      </c>
      <c r="T75" s="19" t="str">
        <f aca="false">IF($A75="","",IF(OR(M75&gt;=4,I75&lt;=-8%),"防守",IF(OR(M75&gt;=2,I75&lt;=-5%),"警戒","正常")))</f>
        <v/>
      </c>
      <c r="U75" s="19" t="str">
        <f aca="false">IF($A75="","",IF(AND(L75&gt;=3,M75&lt;=2,T75&lt;&gt;"防守"),"是","否"))</f>
        <v/>
      </c>
      <c r="V75" s="19" t="str">
        <f aca="false">IF($A75="","",IF(AND(E75&lt;N75,R75&lt;S75,M75&lt;=2,I75&gt;-15%),"是","否"))</f>
        <v/>
      </c>
      <c r="W75" s="19" t="str">
        <f aca="false">IF($A75="","",IF(OR(M75&gt;=3,I75&lt;=-15%),"是","否"))</f>
        <v/>
      </c>
      <c r="X75" s="15" t="str">
        <f aca="false">IF($A75="","",IFERROR(maxifs(候选池!$AB:$AB,候选池!$A:$A,$A75),0))</f>
        <v/>
      </c>
      <c r="Y75" s="15" t="str">
        <f aca="false">IF($A75="","",IF(OR(M75&gt;=4,I75&lt;=-8%),MAX(0,B75*60%-C75),IF(AND(ISNUMBER(AD75),B75&gt;AD75),IF(B75&lt;30000,0,IF(B75&lt;100000,MAX(0,(B75-AD75)*0.2),MAX(0,(B75-AD75)*0.3))),0)))</f>
        <v/>
      </c>
      <c r="Z75" s="7"/>
      <c r="AA75" s="19" t="str">
        <f aca="false">IF($A75="","",IF($AA$2&lt;&gt;"",$AA$2,""))</f>
        <v/>
      </c>
      <c r="AB75" s="7" t="str">
        <f aca="false">IF($A75="","",IF(B75&lt;30000,0.03,IF(B75&lt;100000,0.02,0.015)))</f>
        <v/>
      </c>
      <c r="AC75" s="18" t="str">
        <f aca="false">IF($A75="","",IFERROR(DATEDIF($A$2,$A75,"m"),0))</f>
        <v/>
      </c>
      <c r="AD75" s="15" t="str">
        <f aca="false">IF($A75="","",IF(OR(AA75="",AB75="",AC75=""),"",AA75*POWER(1+AB75,AC75)))</f>
        <v/>
      </c>
      <c r="AE75" s="27" t="str">
        <f aca="false">IF($A75="","",IF(OR(AD75="",AD75=0),"",B75/AD75-1))</f>
        <v/>
      </c>
      <c r="AG75" s="1" t="str">
        <f aca="false">IF($A75="","",IF(B75&lt;30000,"婴儿",IF(B75&lt;100000,"成长","成熟")))</f>
        <v/>
      </c>
      <c r="AH75" s="22"/>
      <c r="AJ75" s="22"/>
      <c r="AK75" s="22"/>
      <c r="AM75" s="22"/>
      <c r="AP75" s="13"/>
      <c r="AQ75" s="23" t="str">
        <f aca="false">IF($A75="","",B75-$AA$2-SUM($F$2:F75))</f>
        <v/>
      </c>
    </row>
    <row r="76" customFormat="false" ht="15" hidden="false" customHeight="true" outlineLevel="0" collapsed="false">
      <c r="A76" s="5"/>
      <c r="B76" s="14"/>
      <c r="C76" s="14"/>
      <c r="D76" s="15" t="str">
        <f aca="false">IF($A76="","",SUMIFS(持仓表!$J:$J,持仓表!$A:$A,$A76))</f>
        <v/>
      </c>
      <c r="E76" s="16" t="n">
        <f aca="false">IFERROR(D76/B76,0)</f>
        <v>0</v>
      </c>
      <c r="F76" s="14"/>
      <c r="G76" s="15" t="str">
        <f aca="false">IF($B76="","",MAX($B$2:B76))</f>
        <v/>
      </c>
      <c r="H76" s="16" t="n">
        <f aca="false">IFERROR((B76-F76)/F76,0)</f>
        <v>0</v>
      </c>
      <c r="I76" s="16" t="n">
        <f aca="false">IFERROR((B76-G76)/G76,0)</f>
        <v>0</v>
      </c>
      <c r="J76" s="11"/>
      <c r="K76" s="5"/>
      <c r="L76" s="17"/>
      <c r="M76" s="17"/>
      <c r="N76" s="16" t="str">
        <f aca="false">IF($B76="","",MIN(70%,IF($I76&lt;=-15%,10%,IF($I76&lt;=-10%,30%,IF($M76&gt;=4,10%,IF($M76&gt;=3,30%,IF($J76="强",IF($K76="A",70%,IF($K76="B",60%,40%)),IF($J76="中性",IF($K76="A",50%,IF($K76="B",40%,25%)),IF($K76="A",30%,IF($K76="B",20%,10%))))))))))</f>
        <v/>
      </c>
      <c r="O76" s="16" t="str">
        <f aca="false">IF($B76="","",IF(B76&lt;30000,35%,IF(B76&lt;50000,30%,IF(B76&lt;100000,25%,20%))))</f>
        <v/>
      </c>
      <c r="P76" s="18" t="str">
        <f aca="false">IF($A76="","",COUNTIFS(持仓表!$A:$A,$A76,持仓表!$G:$G,"&gt;0"))</f>
        <v/>
      </c>
      <c r="Q76" s="18" t="str">
        <f aca="false">IF($A76="","",COUNTIFS(持仓表!$A:$A,$A76,持仓表!$D:$D,"是",持仓表!$G:$G,"&gt;0"))</f>
        <v/>
      </c>
      <c r="R76" s="18" t="str">
        <f aca="false">IF($A76="","",MAX(0,P76-Q76))</f>
        <v/>
      </c>
      <c r="S76" s="18" t="str">
        <f aca="false">IF($B76="","",IF(B76&lt;50000,3,IF(B76&lt;100000,4,5)))</f>
        <v/>
      </c>
      <c r="T76" s="19" t="str">
        <f aca="false">IF($A76="","",IF(OR(M76&gt;=4,I76&lt;=-8%),"防守",IF(OR(M76&gt;=2,I76&lt;=-5%),"警戒","正常")))</f>
        <v/>
      </c>
      <c r="U76" s="19" t="str">
        <f aca="false">IF($A76="","",IF(AND(L76&gt;=3,M76&lt;=2,T76&lt;&gt;"防守"),"是","否"))</f>
        <v/>
      </c>
      <c r="V76" s="19" t="str">
        <f aca="false">IF($A76="","",IF(AND(E76&lt;N76,R76&lt;S76,M76&lt;=2,I76&gt;-15%),"是","否"))</f>
        <v/>
      </c>
      <c r="W76" s="19" t="str">
        <f aca="false">IF($A76="","",IF(OR(M76&gt;=3,I76&lt;=-15%),"是","否"))</f>
        <v/>
      </c>
      <c r="X76" s="15" t="str">
        <f aca="false">IF($A76="","",IFERROR(maxifs(候选池!$AB:$AB,候选池!$A:$A,$A76),0))</f>
        <v/>
      </c>
      <c r="Y76" s="15" t="str">
        <f aca="false">IF($A76="","",IF(OR(M76&gt;=4,I76&lt;=-8%),MAX(0,B76*60%-C76),IF(AND(ISNUMBER(AD76),B76&gt;AD76),IF(B76&lt;30000,0,IF(B76&lt;100000,MAX(0,(B76-AD76)*0.2),MAX(0,(B76-AD76)*0.3))),0)))</f>
        <v/>
      </c>
      <c r="Z76" s="5"/>
      <c r="AA76" s="19" t="str">
        <f aca="false">IF($A76="","",IF($AA$2&lt;&gt;"",$AA$2,""))</f>
        <v/>
      </c>
      <c r="AB76" s="5" t="str">
        <f aca="false">IF($A76="","",IF(B76&lt;30000,0.03,IF(B76&lt;100000,0.02,0.015)))</f>
        <v/>
      </c>
      <c r="AC76" s="18" t="str">
        <f aca="false">IF($A76="","",IFERROR(DATEDIF($A$2,$A76,"m"),0))</f>
        <v/>
      </c>
      <c r="AD76" s="15" t="str">
        <f aca="false">IF($A76="","",IF(OR(AA76="",AB76="",AC76=""),"",AA76*POWER(1+AB76,AC76)))</f>
        <v/>
      </c>
      <c r="AE76" s="21" t="str">
        <f aca="false">IF($A76="","",IF(OR(AD76="",AD76=0),"",B76/AD76-1))</f>
        <v/>
      </c>
      <c r="AG76" s="1" t="str">
        <f aca="false">IF($A76="","",IF(B76&lt;30000,"婴儿",IF(B76&lt;100000,"成长","成熟")))</f>
        <v/>
      </c>
      <c r="AH76" s="22"/>
      <c r="AJ76" s="22"/>
      <c r="AK76" s="22"/>
      <c r="AM76" s="22"/>
      <c r="AP76" s="13"/>
      <c r="AQ76" s="23" t="str">
        <f aca="false">IF($A76="","",B76-$AA$2-SUM($F$2:F76))</f>
        <v/>
      </c>
    </row>
    <row r="77" customFormat="false" ht="15" hidden="false" customHeight="true" outlineLevel="0" collapsed="false">
      <c r="A77" s="7"/>
      <c r="B77" s="24"/>
      <c r="C77" s="24"/>
      <c r="D77" s="15" t="str">
        <f aca="false">IF($A77="","",SUMIFS(持仓表!$J:$J,持仓表!$A:$A,$A77))</f>
        <v/>
      </c>
      <c r="E77" s="16" t="n">
        <f aca="false">IFERROR(D77/B77,0)</f>
        <v>0</v>
      </c>
      <c r="F77" s="24"/>
      <c r="G77" s="15" t="str">
        <f aca="false">IF($B77="","",MAX($B$2:B77))</f>
        <v/>
      </c>
      <c r="H77" s="16" t="n">
        <f aca="false">IFERROR((B77-F77)/F77,0)</f>
        <v>0</v>
      </c>
      <c r="I77" s="16" t="n">
        <f aca="false">IFERROR((B77-G77)/G77,0)</f>
        <v>0</v>
      </c>
      <c r="J77" s="12"/>
      <c r="K77" s="7"/>
      <c r="L77" s="25"/>
      <c r="M77" s="25"/>
      <c r="N77" s="16" t="str">
        <f aca="false">IF($B77="","",MIN(70%,IF($I77&lt;=-15%,10%,IF($I77&lt;=-10%,30%,IF($M77&gt;=4,10%,IF($M77&gt;=3,30%,IF($J77="强",IF($K77="A",70%,IF($K77="B",60%,40%)),IF($J77="中性",IF($K77="A",50%,IF($K77="B",40%,25%)),IF($K77="A",30%,IF($K77="B",20%,10%))))))))))</f>
        <v/>
      </c>
      <c r="O77" s="16" t="str">
        <f aca="false">IF($B77="","",IF(B77&lt;30000,35%,IF(B77&lt;50000,30%,IF(B77&lt;100000,25%,20%))))</f>
        <v/>
      </c>
      <c r="P77" s="18" t="str">
        <f aca="false">IF($A77="","",COUNTIFS(持仓表!$A:$A,$A77,持仓表!$G:$G,"&gt;0"))</f>
        <v/>
      </c>
      <c r="Q77" s="18" t="str">
        <f aca="false">IF($A77="","",COUNTIFS(持仓表!$A:$A,$A77,持仓表!$D:$D,"是",持仓表!$G:$G,"&gt;0"))</f>
        <v/>
      </c>
      <c r="R77" s="18" t="str">
        <f aca="false">IF($A77="","",MAX(0,P77-Q77))</f>
        <v/>
      </c>
      <c r="S77" s="18" t="str">
        <f aca="false">IF($B77="","",IF(B77&lt;50000,3,IF(B77&lt;100000,4,5)))</f>
        <v/>
      </c>
      <c r="T77" s="19" t="str">
        <f aca="false">IF($A77="","",IF(OR(M77&gt;=4,I77&lt;=-8%),"防守",IF(OR(M77&gt;=2,I77&lt;=-5%),"警戒","正常")))</f>
        <v/>
      </c>
      <c r="U77" s="19" t="str">
        <f aca="false">IF($A77="","",IF(AND(L77&gt;=3,M77&lt;=2,T77&lt;&gt;"防守"),"是","否"))</f>
        <v/>
      </c>
      <c r="V77" s="19" t="str">
        <f aca="false">IF($A77="","",IF(AND(E77&lt;N77,R77&lt;S77,M77&lt;=2,I77&gt;-15%),"是","否"))</f>
        <v/>
      </c>
      <c r="W77" s="19" t="str">
        <f aca="false">IF($A77="","",IF(OR(M77&gt;=3,I77&lt;=-15%),"是","否"))</f>
        <v/>
      </c>
      <c r="X77" s="15" t="str">
        <f aca="false">IF($A77="","",IFERROR(maxifs(候选池!$AB:$AB,候选池!$A:$A,$A77),0))</f>
        <v/>
      </c>
      <c r="Y77" s="15" t="str">
        <f aca="false">IF($A77="","",IF(OR(M77&gt;=4,I77&lt;=-8%),MAX(0,B77*60%-C77),IF(AND(ISNUMBER(AD77),B77&gt;AD77),IF(B77&lt;30000,0,IF(B77&lt;100000,MAX(0,(B77-AD77)*0.2),MAX(0,(B77-AD77)*0.3))),0)))</f>
        <v/>
      </c>
      <c r="Z77" s="7"/>
      <c r="AA77" s="19" t="str">
        <f aca="false">IF($A77="","",IF($AA$2&lt;&gt;"",$AA$2,""))</f>
        <v/>
      </c>
      <c r="AB77" s="7" t="str">
        <f aca="false">IF($A77="","",IF(B77&lt;30000,0.03,IF(B77&lt;100000,0.02,0.015)))</f>
        <v/>
      </c>
      <c r="AC77" s="18" t="str">
        <f aca="false">IF($A77="","",IFERROR(DATEDIF($A$2,$A77,"m"),0))</f>
        <v/>
      </c>
      <c r="AD77" s="15" t="str">
        <f aca="false">IF($A77="","",IF(OR(AA77="",AB77="",AC77=""),"",AA77*POWER(1+AB77,AC77)))</f>
        <v/>
      </c>
      <c r="AE77" s="27" t="str">
        <f aca="false">IF($A77="","",IF(OR(AD77="",AD77=0),"",B77/AD77-1))</f>
        <v/>
      </c>
      <c r="AG77" s="1" t="str">
        <f aca="false">IF($A77="","",IF(B77&lt;30000,"婴儿",IF(B77&lt;100000,"成长","成熟")))</f>
        <v/>
      </c>
      <c r="AH77" s="22"/>
      <c r="AJ77" s="22"/>
      <c r="AK77" s="22"/>
      <c r="AM77" s="22"/>
      <c r="AP77" s="13"/>
      <c r="AQ77" s="23" t="str">
        <f aca="false">IF($A77="","",B77-$AA$2-SUM($F$2:F77))</f>
        <v/>
      </c>
    </row>
    <row r="78" customFormat="false" ht="15" hidden="false" customHeight="true" outlineLevel="0" collapsed="false">
      <c r="A78" s="5"/>
      <c r="B78" s="14"/>
      <c r="C78" s="14"/>
      <c r="D78" s="15" t="str">
        <f aca="false">IF($A78="","",SUMIFS(持仓表!$J:$J,持仓表!$A:$A,$A78))</f>
        <v/>
      </c>
      <c r="E78" s="16" t="n">
        <f aca="false">IFERROR(D78/B78,0)</f>
        <v>0</v>
      </c>
      <c r="F78" s="14"/>
      <c r="G78" s="15" t="str">
        <f aca="false">IF($B78="","",MAX($B$2:B78))</f>
        <v/>
      </c>
      <c r="H78" s="16" t="n">
        <f aca="false">IFERROR((B78-F78)/F78,0)</f>
        <v>0</v>
      </c>
      <c r="I78" s="16" t="n">
        <f aca="false">IFERROR((B78-G78)/G78,0)</f>
        <v>0</v>
      </c>
      <c r="J78" s="11"/>
      <c r="K78" s="5"/>
      <c r="L78" s="17"/>
      <c r="M78" s="17"/>
      <c r="N78" s="16" t="str">
        <f aca="false">IF($B78="","",MIN(70%,IF($I78&lt;=-15%,10%,IF($I78&lt;=-10%,30%,IF($M78&gt;=4,10%,IF($M78&gt;=3,30%,IF($J78="强",IF($K78="A",70%,IF($K78="B",60%,40%)),IF($J78="中性",IF($K78="A",50%,IF($K78="B",40%,25%)),IF($K78="A",30%,IF($K78="B",20%,10%))))))))))</f>
        <v/>
      </c>
      <c r="O78" s="16" t="str">
        <f aca="false">IF($B78="","",IF(B78&lt;30000,35%,IF(B78&lt;50000,30%,IF(B78&lt;100000,25%,20%))))</f>
        <v/>
      </c>
      <c r="P78" s="18" t="str">
        <f aca="false">IF($A78="","",COUNTIFS(持仓表!$A:$A,$A78,持仓表!$G:$G,"&gt;0"))</f>
        <v/>
      </c>
      <c r="Q78" s="18" t="str">
        <f aca="false">IF($A78="","",COUNTIFS(持仓表!$A:$A,$A78,持仓表!$D:$D,"是",持仓表!$G:$G,"&gt;0"))</f>
        <v/>
      </c>
      <c r="R78" s="18" t="str">
        <f aca="false">IF($A78="","",MAX(0,P78-Q78))</f>
        <v/>
      </c>
      <c r="S78" s="18" t="str">
        <f aca="false">IF($B78="","",IF(B78&lt;50000,3,IF(B78&lt;100000,4,5)))</f>
        <v/>
      </c>
      <c r="T78" s="19" t="str">
        <f aca="false">IF($A78="","",IF(OR(M78&gt;=4,I78&lt;=-8%),"防守",IF(OR(M78&gt;=2,I78&lt;=-5%),"警戒","正常")))</f>
        <v/>
      </c>
      <c r="U78" s="19" t="str">
        <f aca="false">IF($A78="","",IF(AND(L78&gt;=3,M78&lt;=2,T78&lt;&gt;"防守"),"是","否"))</f>
        <v/>
      </c>
      <c r="V78" s="19" t="str">
        <f aca="false">IF($A78="","",IF(AND(E78&lt;N78,R78&lt;S78,M78&lt;=2,I78&gt;-15%),"是","否"))</f>
        <v/>
      </c>
      <c r="W78" s="19" t="str">
        <f aca="false">IF($A78="","",IF(OR(M78&gt;=3,I78&lt;=-15%),"是","否"))</f>
        <v/>
      </c>
      <c r="X78" s="15" t="str">
        <f aca="false">IF($A78="","",IFERROR(maxifs(候选池!$AB:$AB,候选池!$A:$A,$A78),0))</f>
        <v/>
      </c>
      <c r="Y78" s="15" t="str">
        <f aca="false">IF($A78="","",IF(OR(M78&gt;=4,I78&lt;=-8%),MAX(0,B78*60%-C78),IF(AND(ISNUMBER(AD78),B78&gt;AD78),IF(B78&lt;30000,0,IF(B78&lt;100000,MAX(0,(B78-AD78)*0.2),MAX(0,(B78-AD78)*0.3))),0)))</f>
        <v/>
      </c>
      <c r="Z78" s="5"/>
      <c r="AA78" s="19" t="str">
        <f aca="false">IF($A78="","",IF($AA$2&lt;&gt;"",$AA$2,""))</f>
        <v/>
      </c>
      <c r="AB78" s="5" t="str">
        <f aca="false">IF($A78="","",IF(B78&lt;30000,0.03,IF(B78&lt;100000,0.02,0.015)))</f>
        <v/>
      </c>
      <c r="AC78" s="18" t="str">
        <f aca="false">IF($A78="","",IFERROR(DATEDIF($A$2,$A78,"m"),0))</f>
        <v/>
      </c>
      <c r="AD78" s="15" t="str">
        <f aca="false">IF($A78="","",IF(OR(AA78="",AB78="",AC78=""),"",AA78*POWER(1+AB78,AC78)))</f>
        <v/>
      </c>
      <c r="AE78" s="21" t="str">
        <f aca="false">IF($A78="","",IF(OR(AD78="",AD78=0),"",B78/AD78-1))</f>
        <v/>
      </c>
      <c r="AG78" s="1" t="str">
        <f aca="false">IF($A78="","",IF(B78&lt;30000,"婴儿",IF(B78&lt;100000,"成长","成熟")))</f>
        <v/>
      </c>
      <c r="AH78" s="22"/>
      <c r="AJ78" s="22"/>
      <c r="AK78" s="22"/>
      <c r="AM78" s="22"/>
      <c r="AP78" s="13"/>
      <c r="AQ78" s="23" t="str">
        <f aca="false">IF($A78="","",B78-$AA$2-SUM($F$2:F78))</f>
        <v/>
      </c>
    </row>
    <row r="79" customFormat="false" ht="15" hidden="false" customHeight="true" outlineLevel="0" collapsed="false">
      <c r="A79" s="7"/>
      <c r="B79" s="24"/>
      <c r="C79" s="24"/>
      <c r="D79" s="15" t="str">
        <f aca="false">IF($A79="","",SUMIFS(持仓表!$J:$J,持仓表!$A:$A,$A79))</f>
        <v/>
      </c>
      <c r="E79" s="16" t="n">
        <f aca="false">IFERROR(D79/B79,0)</f>
        <v>0</v>
      </c>
      <c r="F79" s="24"/>
      <c r="G79" s="15" t="str">
        <f aca="false">IF($B79="","",MAX($B$2:B79))</f>
        <v/>
      </c>
      <c r="H79" s="16" t="n">
        <f aca="false">IFERROR((B79-F79)/F79,0)</f>
        <v>0</v>
      </c>
      <c r="I79" s="16" t="n">
        <f aca="false">IFERROR((B79-G79)/G79,0)</f>
        <v>0</v>
      </c>
      <c r="J79" s="12"/>
      <c r="K79" s="7"/>
      <c r="L79" s="25"/>
      <c r="M79" s="25"/>
      <c r="N79" s="16" t="str">
        <f aca="false">IF($B79="","",MIN(70%,IF($I79&lt;=-15%,10%,IF($I79&lt;=-10%,30%,IF($M79&gt;=4,10%,IF($M79&gt;=3,30%,IF($J79="强",IF($K79="A",70%,IF($K79="B",60%,40%)),IF($J79="中性",IF($K79="A",50%,IF($K79="B",40%,25%)),IF($K79="A",30%,IF($K79="B",20%,10%))))))))))</f>
        <v/>
      </c>
      <c r="O79" s="16" t="str">
        <f aca="false">IF($B79="","",IF(B79&lt;30000,35%,IF(B79&lt;50000,30%,IF(B79&lt;100000,25%,20%))))</f>
        <v/>
      </c>
      <c r="P79" s="18" t="str">
        <f aca="false">IF($A79="","",COUNTIFS(持仓表!$A:$A,$A79,持仓表!$G:$G,"&gt;0"))</f>
        <v/>
      </c>
      <c r="Q79" s="18" t="str">
        <f aca="false">IF($A79="","",COUNTIFS(持仓表!$A:$A,$A79,持仓表!$D:$D,"是",持仓表!$G:$G,"&gt;0"))</f>
        <v/>
      </c>
      <c r="R79" s="18" t="str">
        <f aca="false">IF($A79="","",MAX(0,P79-Q79))</f>
        <v/>
      </c>
      <c r="S79" s="18" t="str">
        <f aca="false">IF($B79="","",IF(B79&lt;50000,3,IF(B79&lt;100000,4,5)))</f>
        <v/>
      </c>
      <c r="T79" s="19" t="str">
        <f aca="false">IF($A79="","",IF(OR(M79&gt;=4,I79&lt;=-8%),"防守",IF(OR(M79&gt;=2,I79&lt;=-5%),"警戒","正常")))</f>
        <v/>
      </c>
      <c r="U79" s="19" t="str">
        <f aca="false">IF($A79="","",IF(AND(L79&gt;=3,M79&lt;=2,T79&lt;&gt;"防守"),"是","否"))</f>
        <v/>
      </c>
      <c r="V79" s="19" t="str">
        <f aca="false">IF($A79="","",IF(AND(E79&lt;N79,R79&lt;S79,M79&lt;=2,I79&gt;-15%),"是","否"))</f>
        <v/>
      </c>
      <c r="W79" s="19" t="str">
        <f aca="false">IF($A79="","",IF(OR(M79&gt;=3,I79&lt;=-15%),"是","否"))</f>
        <v/>
      </c>
      <c r="X79" s="15" t="str">
        <f aca="false">IF($A79="","",IFERROR(maxifs(候选池!$AB:$AB,候选池!$A:$A,$A79),0))</f>
        <v/>
      </c>
      <c r="Y79" s="15" t="str">
        <f aca="false">IF($A79="","",IF(OR(M79&gt;=4,I79&lt;=-8%),MAX(0,B79*60%-C79),IF(AND(ISNUMBER(AD79),B79&gt;AD79),IF(B79&lt;30000,0,IF(B79&lt;100000,MAX(0,(B79-AD79)*0.2),MAX(0,(B79-AD79)*0.3))),0)))</f>
        <v/>
      </c>
      <c r="Z79" s="7"/>
      <c r="AA79" s="19" t="str">
        <f aca="false">IF($A79="","",IF($AA$2&lt;&gt;"",$AA$2,""))</f>
        <v/>
      </c>
      <c r="AB79" s="7" t="str">
        <f aca="false">IF($A79="","",IF(B79&lt;30000,0.03,IF(B79&lt;100000,0.02,0.015)))</f>
        <v/>
      </c>
      <c r="AC79" s="18" t="str">
        <f aca="false">IF($A79="","",IFERROR(DATEDIF($A$2,$A79,"m"),0))</f>
        <v/>
      </c>
      <c r="AD79" s="15" t="str">
        <f aca="false">IF($A79="","",IF(OR(AA79="",AB79="",AC79=""),"",AA79*POWER(1+AB79,AC79)))</f>
        <v/>
      </c>
      <c r="AE79" s="27" t="str">
        <f aca="false">IF($A79="","",IF(OR(AD79="",AD79=0),"",B79/AD79-1))</f>
        <v/>
      </c>
      <c r="AG79" s="1" t="str">
        <f aca="false">IF($A79="","",IF(B79&lt;30000,"婴儿",IF(B79&lt;100000,"成长","成熟")))</f>
        <v/>
      </c>
      <c r="AH79" s="22"/>
      <c r="AJ79" s="22"/>
      <c r="AK79" s="22"/>
      <c r="AM79" s="22"/>
      <c r="AP79" s="13"/>
      <c r="AQ79" s="23" t="str">
        <f aca="false">IF($A79="","",B79-$AA$2-SUM($F$2:F79))</f>
        <v/>
      </c>
    </row>
    <row r="80" customFormat="false" ht="15" hidden="false" customHeight="true" outlineLevel="0" collapsed="false">
      <c r="A80" s="5"/>
      <c r="B80" s="14"/>
      <c r="C80" s="14"/>
      <c r="D80" s="15" t="str">
        <f aca="false">IF($A80="","",SUMIFS(持仓表!$J:$J,持仓表!$A:$A,$A80))</f>
        <v/>
      </c>
      <c r="E80" s="16" t="n">
        <f aca="false">IFERROR(D80/B80,0)</f>
        <v>0</v>
      </c>
      <c r="F80" s="14"/>
      <c r="G80" s="15" t="str">
        <f aca="false">IF($B80="","",MAX($B$2:B80))</f>
        <v/>
      </c>
      <c r="H80" s="16" t="n">
        <f aca="false">IFERROR((B80-F80)/F80,0)</f>
        <v>0</v>
      </c>
      <c r="I80" s="16" t="n">
        <f aca="false">IFERROR((B80-G80)/G80,0)</f>
        <v>0</v>
      </c>
      <c r="J80" s="11"/>
      <c r="K80" s="5"/>
      <c r="L80" s="17"/>
      <c r="M80" s="17"/>
      <c r="N80" s="16" t="str">
        <f aca="false">IF($B80="","",MIN(70%,IF($I80&lt;=-15%,10%,IF($I80&lt;=-10%,30%,IF($M80&gt;=4,10%,IF($M80&gt;=3,30%,IF($J80="强",IF($K80="A",70%,IF($K80="B",60%,40%)),IF($J80="中性",IF($K80="A",50%,IF($K80="B",40%,25%)),IF($K80="A",30%,IF($K80="B",20%,10%))))))))))</f>
        <v/>
      </c>
      <c r="O80" s="16" t="str">
        <f aca="false">IF($B80="","",IF(B80&lt;30000,35%,IF(B80&lt;50000,30%,IF(B80&lt;100000,25%,20%))))</f>
        <v/>
      </c>
      <c r="P80" s="18" t="str">
        <f aca="false">IF($A80="","",COUNTIFS(持仓表!$A:$A,$A80,持仓表!$G:$G,"&gt;0"))</f>
        <v/>
      </c>
      <c r="Q80" s="18" t="str">
        <f aca="false">IF($A80="","",COUNTIFS(持仓表!$A:$A,$A80,持仓表!$D:$D,"是",持仓表!$G:$G,"&gt;0"))</f>
        <v/>
      </c>
      <c r="R80" s="18" t="str">
        <f aca="false">IF($A80="","",MAX(0,P80-Q80))</f>
        <v/>
      </c>
      <c r="S80" s="18" t="str">
        <f aca="false">IF($B80="","",IF(B80&lt;50000,3,IF(B80&lt;100000,4,5)))</f>
        <v/>
      </c>
      <c r="T80" s="19" t="str">
        <f aca="false">IF($A80="","",IF(OR(M80&gt;=4,I80&lt;=-8%),"防守",IF(OR(M80&gt;=2,I80&lt;=-5%),"警戒","正常")))</f>
        <v/>
      </c>
      <c r="U80" s="19" t="str">
        <f aca="false">IF($A80="","",IF(AND(L80&gt;=3,M80&lt;=2,T80&lt;&gt;"防守"),"是","否"))</f>
        <v/>
      </c>
      <c r="V80" s="19" t="str">
        <f aca="false">IF($A80="","",IF(AND(E80&lt;N80,R80&lt;S80,M80&lt;=2,I80&gt;-15%),"是","否"))</f>
        <v/>
      </c>
      <c r="W80" s="19" t="str">
        <f aca="false">IF($A80="","",IF(OR(M80&gt;=3,I80&lt;=-15%),"是","否"))</f>
        <v/>
      </c>
      <c r="X80" s="15" t="str">
        <f aca="false">IF($A80="","",IFERROR(maxifs(候选池!$AB:$AB,候选池!$A:$A,$A80),0))</f>
        <v/>
      </c>
      <c r="Y80" s="15" t="str">
        <f aca="false">IF($A80="","",IF(OR(M80&gt;=4,I80&lt;=-8%),MAX(0,B80*60%-C80),IF(AND(ISNUMBER(AD80),B80&gt;AD80),IF(B80&lt;30000,0,IF(B80&lt;100000,MAX(0,(B80-AD80)*0.2),MAX(0,(B80-AD80)*0.3))),0)))</f>
        <v/>
      </c>
      <c r="Z80" s="5"/>
      <c r="AA80" s="19" t="str">
        <f aca="false">IF($A80="","",IF($AA$2&lt;&gt;"",$AA$2,""))</f>
        <v/>
      </c>
      <c r="AB80" s="5" t="str">
        <f aca="false">IF($A80="","",IF(B80&lt;30000,0.03,IF(B80&lt;100000,0.02,0.015)))</f>
        <v/>
      </c>
      <c r="AC80" s="18" t="str">
        <f aca="false">IF($A80="","",IFERROR(DATEDIF($A$2,$A80,"m"),0))</f>
        <v/>
      </c>
      <c r="AD80" s="15" t="str">
        <f aca="false">IF($A80="","",IF(OR(AA80="",AB80="",AC80=""),"",AA80*POWER(1+AB80,AC80)))</f>
        <v/>
      </c>
      <c r="AE80" s="21" t="str">
        <f aca="false">IF($A80="","",IF(OR(AD80="",AD80=0),"",B80/AD80-1))</f>
        <v/>
      </c>
      <c r="AG80" s="1" t="str">
        <f aca="false">IF($A80="","",IF(B80&lt;30000,"婴儿",IF(B80&lt;100000,"成长","成熟")))</f>
        <v/>
      </c>
      <c r="AH80" s="22"/>
      <c r="AJ80" s="22"/>
      <c r="AK80" s="22"/>
      <c r="AM80" s="22"/>
      <c r="AP80" s="13"/>
      <c r="AQ80" s="23" t="str">
        <f aca="false">IF($A80="","",B80-$AA$2-SUM($F$2:F80))</f>
        <v/>
      </c>
    </row>
    <row r="81" customFormat="false" ht="15" hidden="false" customHeight="true" outlineLevel="0" collapsed="false">
      <c r="A81" s="7"/>
      <c r="B81" s="24"/>
      <c r="C81" s="24"/>
      <c r="D81" s="15" t="str">
        <f aca="false">IF($A81="","",SUMIFS(持仓表!$J:$J,持仓表!$A:$A,$A81))</f>
        <v/>
      </c>
      <c r="E81" s="16" t="n">
        <f aca="false">IFERROR(D81/B81,0)</f>
        <v>0</v>
      </c>
      <c r="F81" s="24"/>
      <c r="G81" s="15" t="str">
        <f aca="false">IF($B81="","",MAX($B$2:B81))</f>
        <v/>
      </c>
      <c r="H81" s="16" t="n">
        <f aca="false">IFERROR((B81-F81)/F81,0)</f>
        <v>0</v>
      </c>
      <c r="I81" s="16" t="n">
        <f aca="false">IFERROR((B81-G81)/G81,0)</f>
        <v>0</v>
      </c>
      <c r="J81" s="12"/>
      <c r="K81" s="7"/>
      <c r="L81" s="25"/>
      <c r="M81" s="25"/>
      <c r="N81" s="16" t="str">
        <f aca="false">IF($B81="","",MIN(70%,IF($I81&lt;=-15%,10%,IF($I81&lt;=-10%,30%,IF($M81&gt;=4,10%,IF($M81&gt;=3,30%,IF($J81="强",IF($K81="A",70%,IF($K81="B",60%,40%)),IF($J81="中性",IF($K81="A",50%,IF($K81="B",40%,25%)),IF($K81="A",30%,IF($K81="B",20%,10%))))))))))</f>
        <v/>
      </c>
      <c r="O81" s="16" t="str">
        <f aca="false">IF($B81="","",IF(B81&lt;30000,35%,IF(B81&lt;50000,30%,IF(B81&lt;100000,25%,20%))))</f>
        <v/>
      </c>
      <c r="P81" s="18" t="str">
        <f aca="false">IF($A81="","",COUNTIFS(持仓表!$A:$A,$A81,持仓表!$G:$G,"&gt;0"))</f>
        <v/>
      </c>
      <c r="Q81" s="18" t="str">
        <f aca="false">IF($A81="","",COUNTIFS(持仓表!$A:$A,$A81,持仓表!$D:$D,"是",持仓表!$G:$G,"&gt;0"))</f>
        <v/>
      </c>
      <c r="R81" s="18" t="str">
        <f aca="false">IF($A81="","",MAX(0,P81-Q81))</f>
        <v/>
      </c>
      <c r="S81" s="18" t="str">
        <f aca="false">IF($B81="","",IF(B81&lt;50000,3,IF(B81&lt;100000,4,5)))</f>
        <v/>
      </c>
      <c r="T81" s="19" t="str">
        <f aca="false">IF($A81="","",IF(OR(M81&gt;=4,I81&lt;=-8%),"防守",IF(OR(M81&gt;=2,I81&lt;=-5%),"警戒","正常")))</f>
        <v/>
      </c>
      <c r="U81" s="19" t="str">
        <f aca="false">IF($A81="","",IF(AND(L81&gt;=3,M81&lt;=2,T81&lt;&gt;"防守"),"是","否"))</f>
        <v/>
      </c>
      <c r="V81" s="19" t="str">
        <f aca="false">IF($A81="","",IF(AND(E81&lt;N81,R81&lt;S81,M81&lt;=2,I81&gt;-15%),"是","否"))</f>
        <v/>
      </c>
      <c r="W81" s="19" t="str">
        <f aca="false">IF($A81="","",IF(OR(M81&gt;=3,I81&lt;=-15%),"是","否"))</f>
        <v/>
      </c>
      <c r="X81" s="15" t="str">
        <f aca="false">IF($A81="","",IFERROR(maxifs(候选池!$AB:$AB,候选池!$A:$A,$A81),0))</f>
        <v/>
      </c>
      <c r="Y81" s="15" t="str">
        <f aca="false">IF($A81="","",IF(OR(M81&gt;=4,I81&lt;=-8%),MAX(0,B81*60%-C81),IF(AND(ISNUMBER(AD81),B81&gt;AD81),IF(B81&lt;30000,0,IF(B81&lt;100000,MAX(0,(B81-AD81)*0.2),MAX(0,(B81-AD81)*0.3))),0)))</f>
        <v/>
      </c>
      <c r="Z81" s="7"/>
      <c r="AA81" s="19" t="str">
        <f aca="false">IF($A81="","",IF($AA$2&lt;&gt;"",$AA$2,""))</f>
        <v/>
      </c>
      <c r="AB81" s="7" t="str">
        <f aca="false">IF($A81="","",IF(B81&lt;30000,0.03,IF(B81&lt;100000,0.02,0.015)))</f>
        <v/>
      </c>
      <c r="AC81" s="18" t="str">
        <f aca="false">IF($A81="","",IFERROR(DATEDIF($A$2,$A81,"m"),0))</f>
        <v/>
      </c>
      <c r="AD81" s="15" t="str">
        <f aca="false">IF($A81="","",IF(OR(AA81="",AB81="",AC81=""),"",AA81*POWER(1+AB81,AC81)))</f>
        <v/>
      </c>
      <c r="AE81" s="27" t="str">
        <f aca="false">IF($A81="","",IF(OR(AD81="",AD81=0),"",B81/AD81-1))</f>
        <v/>
      </c>
      <c r="AG81" s="1" t="str">
        <f aca="false">IF($A81="","",IF(B81&lt;30000,"婴儿",IF(B81&lt;100000,"成长","成熟")))</f>
        <v/>
      </c>
      <c r="AH81" s="22"/>
      <c r="AJ81" s="22"/>
      <c r="AK81" s="22"/>
      <c r="AM81" s="22"/>
      <c r="AP81" s="13"/>
      <c r="AQ81" s="23" t="str">
        <f aca="false">IF($A81="","",B81-$AA$2-SUM($F$2:F81))</f>
        <v/>
      </c>
    </row>
    <row r="82" customFormat="false" ht="15" hidden="false" customHeight="true" outlineLevel="0" collapsed="false">
      <c r="A82" s="5"/>
      <c r="B82" s="14"/>
      <c r="C82" s="14"/>
      <c r="D82" s="15" t="str">
        <f aca="false">IF($A82="","",SUMIFS(持仓表!$J:$J,持仓表!$A:$A,$A82))</f>
        <v/>
      </c>
      <c r="E82" s="16" t="n">
        <f aca="false">IFERROR(D82/B82,0)</f>
        <v>0</v>
      </c>
      <c r="F82" s="14"/>
      <c r="G82" s="15" t="str">
        <f aca="false">IF($B82="","",MAX($B$2:B82))</f>
        <v/>
      </c>
      <c r="H82" s="16" t="n">
        <f aca="false">IFERROR((B82-F82)/F82,0)</f>
        <v>0</v>
      </c>
      <c r="I82" s="16" t="n">
        <f aca="false">IFERROR((B82-G82)/G82,0)</f>
        <v>0</v>
      </c>
      <c r="J82" s="11"/>
      <c r="K82" s="5"/>
      <c r="L82" s="17"/>
      <c r="M82" s="17"/>
      <c r="N82" s="16" t="str">
        <f aca="false">IF($B82="","",MIN(70%,IF($I82&lt;=-15%,10%,IF($I82&lt;=-10%,30%,IF($M82&gt;=4,10%,IF($M82&gt;=3,30%,IF($J82="强",IF($K82="A",70%,IF($K82="B",60%,40%)),IF($J82="中性",IF($K82="A",50%,IF($K82="B",40%,25%)),IF($K82="A",30%,IF($K82="B",20%,10%))))))))))</f>
        <v/>
      </c>
      <c r="O82" s="16" t="str">
        <f aca="false">IF($B82="","",IF(B82&lt;30000,35%,IF(B82&lt;50000,30%,IF(B82&lt;100000,25%,20%))))</f>
        <v/>
      </c>
      <c r="P82" s="18" t="str">
        <f aca="false">IF($A82="","",COUNTIFS(持仓表!$A:$A,$A82,持仓表!$G:$G,"&gt;0"))</f>
        <v/>
      </c>
      <c r="Q82" s="18" t="str">
        <f aca="false">IF($A82="","",COUNTIFS(持仓表!$A:$A,$A82,持仓表!$D:$D,"是",持仓表!$G:$G,"&gt;0"))</f>
        <v/>
      </c>
      <c r="R82" s="18" t="str">
        <f aca="false">IF($A82="","",MAX(0,P82-Q82))</f>
        <v/>
      </c>
      <c r="S82" s="18" t="str">
        <f aca="false">IF($B82="","",IF(B82&lt;50000,3,IF(B82&lt;100000,4,5)))</f>
        <v/>
      </c>
      <c r="T82" s="19" t="str">
        <f aca="false">IF($A82="","",IF(OR(M82&gt;=4,I82&lt;=-8%),"防守",IF(OR(M82&gt;=2,I82&lt;=-5%),"警戒","正常")))</f>
        <v/>
      </c>
      <c r="U82" s="19" t="str">
        <f aca="false">IF($A82="","",IF(AND(L82&gt;=3,M82&lt;=2,T82&lt;&gt;"防守"),"是","否"))</f>
        <v/>
      </c>
      <c r="V82" s="19" t="str">
        <f aca="false">IF($A82="","",IF(AND(E82&lt;N82,R82&lt;S82,M82&lt;=2,I82&gt;-15%),"是","否"))</f>
        <v/>
      </c>
      <c r="W82" s="19" t="str">
        <f aca="false">IF($A82="","",IF(OR(M82&gt;=3,I82&lt;=-15%),"是","否"))</f>
        <v/>
      </c>
      <c r="X82" s="15" t="str">
        <f aca="false">IF($A82="","",IFERROR(maxifs(候选池!$AB:$AB,候选池!$A:$A,$A82),0))</f>
        <v/>
      </c>
      <c r="Y82" s="15" t="str">
        <f aca="false">IF($A82="","",IF(OR(M82&gt;=4,I82&lt;=-8%),MAX(0,B82*60%-C82),IF(AND(ISNUMBER(AD82),B82&gt;AD82),IF(B82&lt;30000,0,IF(B82&lt;100000,MAX(0,(B82-AD82)*0.2),MAX(0,(B82-AD82)*0.3))),0)))</f>
        <v/>
      </c>
      <c r="Z82" s="5"/>
      <c r="AA82" s="19" t="str">
        <f aca="false">IF($A82="","",IF($AA$2&lt;&gt;"",$AA$2,""))</f>
        <v/>
      </c>
      <c r="AB82" s="5" t="str">
        <f aca="false">IF($A82="","",IF(B82&lt;30000,0.03,IF(B82&lt;100000,0.02,0.015)))</f>
        <v/>
      </c>
      <c r="AC82" s="18" t="str">
        <f aca="false">IF($A82="","",IFERROR(DATEDIF($A$2,$A82,"m"),0))</f>
        <v/>
      </c>
      <c r="AD82" s="15" t="str">
        <f aca="false">IF($A82="","",IF(OR(AA82="",AB82="",AC82=""),"",AA82*POWER(1+AB82,AC82)))</f>
        <v/>
      </c>
      <c r="AE82" s="21" t="str">
        <f aca="false">IF($A82="","",IF(OR(AD82="",AD82=0),"",B82/AD82-1))</f>
        <v/>
      </c>
      <c r="AG82" s="1" t="str">
        <f aca="false">IF($A82="","",IF(B82&lt;30000,"婴儿",IF(B82&lt;100000,"成长","成熟")))</f>
        <v/>
      </c>
      <c r="AH82" s="22"/>
      <c r="AJ82" s="22"/>
      <c r="AK82" s="22"/>
      <c r="AM82" s="22"/>
      <c r="AP82" s="13"/>
      <c r="AQ82" s="23" t="str">
        <f aca="false">IF($A82="","",B82-$AA$2-SUM($F$2:F82))</f>
        <v/>
      </c>
    </row>
    <row r="83" customFormat="false" ht="15" hidden="false" customHeight="true" outlineLevel="0" collapsed="false">
      <c r="A83" s="7"/>
      <c r="B83" s="24"/>
      <c r="C83" s="24"/>
      <c r="D83" s="15" t="str">
        <f aca="false">IF($A83="","",SUMIFS(持仓表!$J:$J,持仓表!$A:$A,$A83))</f>
        <v/>
      </c>
      <c r="E83" s="16" t="n">
        <f aca="false">IFERROR(D83/B83,0)</f>
        <v>0</v>
      </c>
      <c r="F83" s="24"/>
      <c r="G83" s="15" t="str">
        <f aca="false">IF($B83="","",MAX($B$2:B83))</f>
        <v/>
      </c>
      <c r="H83" s="16" t="n">
        <f aca="false">IFERROR((B83-F83)/F83,0)</f>
        <v>0</v>
      </c>
      <c r="I83" s="16" t="n">
        <f aca="false">IFERROR((B83-G83)/G83,0)</f>
        <v>0</v>
      </c>
      <c r="J83" s="12"/>
      <c r="K83" s="7"/>
      <c r="L83" s="25"/>
      <c r="M83" s="25"/>
      <c r="N83" s="16" t="str">
        <f aca="false">IF($B83="","",MIN(70%,IF($I83&lt;=-15%,10%,IF($I83&lt;=-10%,30%,IF($M83&gt;=4,10%,IF($M83&gt;=3,30%,IF($J83="强",IF($K83="A",70%,IF($K83="B",60%,40%)),IF($J83="中性",IF($K83="A",50%,IF($K83="B",40%,25%)),IF($K83="A",30%,IF($K83="B",20%,10%))))))))))</f>
        <v/>
      </c>
      <c r="O83" s="16" t="str">
        <f aca="false">IF($B83="","",IF(B83&lt;30000,35%,IF(B83&lt;50000,30%,IF(B83&lt;100000,25%,20%))))</f>
        <v/>
      </c>
      <c r="P83" s="18" t="str">
        <f aca="false">IF($A83="","",COUNTIFS(持仓表!$A:$A,$A83,持仓表!$G:$G,"&gt;0"))</f>
        <v/>
      </c>
      <c r="Q83" s="18" t="str">
        <f aca="false">IF($A83="","",COUNTIFS(持仓表!$A:$A,$A83,持仓表!$D:$D,"是",持仓表!$G:$G,"&gt;0"))</f>
        <v/>
      </c>
      <c r="R83" s="18" t="str">
        <f aca="false">IF($A83="","",MAX(0,P83-Q83))</f>
        <v/>
      </c>
      <c r="S83" s="18" t="str">
        <f aca="false">IF($B83="","",IF(B83&lt;50000,3,IF(B83&lt;100000,4,5)))</f>
        <v/>
      </c>
      <c r="T83" s="19" t="str">
        <f aca="false">IF($A83="","",IF(OR(M83&gt;=4,I83&lt;=-8%),"防守",IF(OR(M83&gt;=2,I83&lt;=-5%),"警戒","正常")))</f>
        <v/>
      </c>
      <c r="U83" s="19" t="str">
        <f aca="false">IF($A83="","",IF(AND(L83&gt;=3,M83&lt;=2,T83&lt;&gt;"防守"),"是","否"))</f>
        <v/>
      </c>
      <c r="V83" s="19" t="str">
        <f aca="false">IF($A83="","",IF(AND(E83&lt;N83,R83&lt;S83,M83&lt;=2,I83&gt;-15%),"是","否"))</f>
        <v/>
      </c>
      <c r="W83" s="19" t="str">
        <f aca="false">IF($A83="","",IF(OR(M83&gt;=3,I83&lt;=-15%),"是","否"))</f>
        <v/>
      </c>
      <c r="X83" s="15" t="str">
        <f aca="false">IF($A83="","",IFERROR(maxifs(候选池!$AB:$AB,候选池!$A:$A,$A83),0))</f>
        <v/>
      </c>
      <c r="Y83" s="15" t="str">
        <f aca="false">IF($A83="","",IF(OR(M83&gt;=4,I83&lt;=-8%),MAX(0,B83*60%-C83),IF(AND(ISNUMBER(AD83),B83&gt;AD83),IF(B83&lt;30000,0,IF(B83&lt;100000,MAX(0,(B83-AD83)*0.2),MAX(0,(B83-AD83)*0.3))),0)))</f>
        <v/>
      </c>
      <c r="Z83" s="7"/>
      <c r="AA83" s="19" t="str">
        <f aca="false">IF($A83="","",IF($AA$2&lt;&gt;"",$AA$2,""))</f>
        <v/>
      </c>
      <c r="AB83" s="7" t="str">
        <f aca="false">IF($A83="","",IF(B83&lt;30000,0.03,IF(B83&lt;100000,0.02,0.015)))</f>
        <v/>
      </c>
      <c r="AC83" s="18" t="str">
        <f aca="false">IF($A83="","",IFERROR(DATEDIF($A$2,$A83,"m"),0))</f>
        <v/>
      </c>
      <c r="AD83" s="15" t="str">
        <f aca="false">IF($A83="","",IF(OR(AA83="",AB83="",AC83=""),"",AA83*POWER(1+AB83,AC83)))</f>
        <v/>
      </c>
      <c r="AE83" s="27" t="str">
        <f aca="false">IF($A83="","",IF(OR(AD83="",AD83=0),"",B83/AD83-1))</f>
        <v/>
      </c>
      <c r="AG83" s="1" t="str">
        <f aca="false">IF($A83="","",IF(B83&lt;30000,"婴儿",IF(B83&lt;100000,"成长","成熟")))</f>
        <v/>
      </c>
      <c r="AH83" s="22"/>
      <c r="AJ83" s="22"/>
      <c r="AK83" s="22"/>
      <c r="AM83" s="22"/>
      <c r="AP83" s="13"/>
      <c r="AQ83" s="23" t="str">
        <f aca="false">IF($A83="","",B83-$AA$2-SUM($F$2:F83))</f>
        <v/>
      </c>
    </row>
    <row r="84" customFormat="false" ht="15" hidden="false" customHeight="true" outlineLevel="0" collapsed="false">
      <c r="A84" s="5"/>
      <c r="B84" s="14"/>
      <c r="C84" s="14"/>
      <c r="D84" s="15" t="str">
        <f aca="false">IF($A84="","",SUMIFS(持仓表!$J:$J,持仓表!$A:$A,$A84))</f>
        <v/>
      </c>
      <c r="E84" s="16" t="n">
        <f aca="false">IFERROR(D84/B84,0)</f>
        <v>0</v>
      </c>
      <c r="F84" s="14"/>
      <c r="G84" s="15" t="str">
        <f aca="false">IF($B84="","",MAX($B$2:B84))</f>
        <v/>
      </c>
      <c r="H84" s="16" t="n">
        <f aca="false">IFERROR((B84-F84)/F84,0)</f>
        <v>0</v>
      </c>
      <c r="I84" s="16" t="n">
        <f aca="false">IFERROR((B84-G84)/G84,0)</f>
        <v>0</v>
      </c>
      <c r="J84" s="11"/>
      <c r="K84" s="5"/>
      <c r="L84" s="17"/>
      <c r="M84" s="17"/>
      <c r="N84" s="16" t="str">
        <f aca="false">IF($B84="","",MIN(70%,IF($I84&lt;=-15%,10%,IF($I84&lt;=-10%,30%,IF($M84&gt;=4,10%,IF($M84&gt;=3,30%,IF($J84="强",IF($K84="A",70%,IF($K84="B",60%,40%)),IF($J84="中性",IF($K84="A",50%,IF($K84="B",40%,25%)),IF($K84="A",30%,IF($K84="B",20%,10%))))))))))</f>
        <v/>
      </c>
      <c r="O84" s="16" t="str">
        <f aca="false">IF($B84="","",IF(B84&lt;30000,35%,IF(B84&lt;50000,30%,IF(B84&lt;100000,25%,20%))))</f>
        <v/>
      </c>
      <c r="P84" s="18" t="str">
        <f aca="false">IF($A84="","",COUNTIFS(持仓表!$A:$A,$A84,持仓表!$G:$G,"&gt;0"))</f>
        <v/>
      </c>
      <c r="Q84" s="18" t="str">
        <f aca="false">IF($A84="","",COUNTIFS(持仓表!$A:$A,$A84,持仓表!$D:$D,"是",持仓表!$G:$G,"&gt;0"))</f>
        <v/>
      </c>
      <c r="R84" s="18" t="str">
        <f aca="false">IF($A84="","",MAX(0,P84-Q84))</f>
        <v/>
      </c>
      <c r="S84" s="18" t="str">
        <f aca="false">IF($B84="","",IF(B84&lt;50000,3,IF(B84&lt;100000,4,5)))</f>
        <v/>
      </c>
      <c r="T84" s="19" t="str">
        <f aca="false">IF($A84="","",IF(OR(M84&gt;=4,I84&lt;=-8%),"防守",IF(OR(M84&gt;=2,I84&lt;=-5%),"警戒","正常")))</f>
        <v/>
      </c>
      <c r="U84" s="19" t="str">
        <f aca="false">IF($A84="","",IF(AND(L84&gt;=3,M84&lt;=2,T84&lt;&gt;"防守"),"是","否"))</f>
        <v/>
      </c>
      <c r="V84" s="19" t="str">
        <f aca="false">IF($A84="","",IF(AND(E84&lt;N84,R84&lt;S84,M84&lt;=2,I84&gt;-15%),"是","否"))</f>
        <v/>
      </c>
      <c r="W84" s="19" t="str">
        <f aca="false">IF($A84="","",IF(OR(M84&gt;=3,I84&lt;=-15%),"是","否"))</f>
        <v/>
      </c>
      <c r="X84" s="15" t="str">
        <f aca="false">IF($A84="","",IFERROR(maxifs(候选池!$AB:$AB,候选池!$A:$A,$A84),0))</f>
        <v/>
      </c>
      <c r="Y84" s="15" t="str">
        <f aca="false">IF($A84="","",IF(OR(M84&gt;=4,I84&lt;=-8%),MAX(0,B84*60%-C84),IF(AND(ISNUMBER(AD84),B84&gt;AD84),IF(B84&lt;30000,0,IF(B84&lt;100000,MAX(0,(B84-AD84)*0.2),MAX(0,(B84-AD84)*0.3))),0)))</f>
        <v/>
      </c>
      <c r="Z84" s="5"/>
      <c r="AA84" s="19" t="str">
        <f aca="false">IF($A84="","",IF($AA$2&lt;&gt;"",$AA$2,""))</f>
        <v/>
      </c>
      <c r="AB84" s="5" t="str">
        <f aca="false">IF($A84="","",IF(B84&lt;30000,0.03,IF(B84&lt;100000,0.02,0.015)))</f>
        <v/>
      </c>
      <c r="AC84" s="18" t="str">
        <f aca="false">IF($A84="","",IFERROR(DATEDIF($A$2,$A84,"m"),0))</f>
        <v/>
      </c>
      <c r="AD84" s="15" t="str">
        <f aca="false">IF($A84="","",IF(OR(AA84="",AB84="",AC84=""),"",AA84*POWER(1+AB84,AC84)))</f>
        <v/>
      </c>
      <c r="AE84" s="21" t="str">
        <f aca="false">IF($A84="","",IF(OR(AD84="",AD84=0),"",B84/AD84-1))</f>
        <v/>
      </c>
      <c r="AG84" s="1" t="str">
        <f aca="false">IF($A84="","",IF(B84&lt;30000,"婴儿",IF(B84&lt;100000,"成长","成熟")))</f>
        <v/>
      </c>
      <c r="AH84" s="22"/>
      <c r="AJ84" s="22"/>
      <c r="AK84" s="22"/>
      <c r="AM84" s="22"/>
      <c r="AP84" s="13"/>
      <c r="AQ84" s="23" t="str">
        <f aca="false">IF($A84="","",B84-$AA$2-SUM($F$2:F84))</f>
        <v/>
      </c>
    </row>
    <row r="85" customFormat="false" ht="15" hidden="false" customHeight="true" outlineLevel="0" collapsed="false">
      <c r="A85" s="7"/>
      <c r="B85" s="24"/>
      <c r="C85" s="24"/>
      <c r="D85" s="15" t="str">
        <f aca="false">IF($A85="","",SUMIFS(持仓表!$J:$J,持仓表!$A:$A,$A85))</f>
        <v/>
      </c>
      <c r="E85" s="16" t="n">
        <f aca="false">IFERROR(D85/B85,0)</f>
        <v>0</v>
      </c>
      <c r="F85" s="24"/>
      <c r="G85" s="15" t="str">
        <f aca="false">IF($B85="","",MAX($B$2:B85))</f>
        <v/>
      </c>
      <c r="H85" s="16" t="n">
        <f aca="false">IFERROR((B85-F85)/F85,0)</f>
        <v>0</v>
      </c>
      <c r="I85" s="16" t="n">
        <f aca="false">IFERROR((B85-G85)/G85,0)</f>
        <v>0</v>
      </c>
      <c r="J85" s="12"/>
      <c r="K85" s="7"/>
      <c r="L85" s="25"/>
      <c r="M85" s="25"/>
      <c r="N85" s="16" t="str">
        <f aca="false">IF($B85="","",MIN(70%,IF($I85&lt;=-15%,10%,IF($I85&lt;=-10%,30%,IF($M85&gt;=4,10%,IF($M85&gt;=3,30%,IF($J85="强",IF($K85="A",70%,IF($K85="B",60%,40%)),IF($J85="中性",IF($K85="A",50%,IF($K85="B",40%,25%)),IF($K85="A",30%,IF($K85="B",20%,10%))))))))))</f>
        <v/>
      </c>
      <c r="O85" s="16" t="str">
        <f aca="false">IF($B85="","",IF(B85&lt;30000,35%,IF(B85&lt;50000,30%,IF(B85&lt;100000,25%,20%))))</f>
        <v/>
      </c>
      <c r="P85" s="18" t="str">
        <f aca="false">IF($A85="","",COUNTIFS(持仓表!$A:$A,$A85,持仓表!$G:$G,"&gt;0"))</f>
        <v/>
      </c>
      <c r="Q85" s="18" t="str">
        <f aca="false">IF($A85="","",COUNTIFS(持仓表!$A:$A,$A85,持仓表!$D:$D,"是",持仓表!$G:$G,"&gt;0"))</f>
        <v/>
      </c>
      <c r="R85" s="18" t="str">
        <f aca="false">IF($A85="","",MAX(0,P85-Q85))</f>
        <v/>
      </c>
      <c r="S85" s="18" t="str">
        <f aca="false">IF($B85="","",IF(B85&lt;50000,3,IF(B85&lt;100000,4,5)))</f>
        <v/>
      </c>
      <c r="T85" s="19" t="str">
        <f aca="false">IF($A85="","",IF(OR(M85&gt;=4,I85&lt;=-8%),"防守",IF(OR(M85&gt;=2,I85&lt;=-5%),"警戒","正常")))</f>
        <v/>
      </c>
      <c r="U85" s="19" t="str">
        <f aca="false">IF($A85="","",IF(AND(L85&gt;=3,M85&lt;=2,T85&lt;&gt;"防守"),"是","否"))</f>
        <v/>
      </c>
      <c r="V85" s="19" t="str">
        <f aca="false">IF($A85="","",IF(AND(E85&lt;N85,R85&lt;S85,M85&lt;=2,I85&gt;-15%),"是","否"))</f>
        <v/>
      </c>
      <c r="W85" s="19" t="str">
        <f aca="false">IF($A85="","",IF(OR(M85&gt;=3,I85&lt;=-15%),"是","否"))</f>
        <v/>
      </c>
      <c r="X85" s="15" t="str">
        <f aca="false">IF($A85="","",IFERROR(maxifs(候选池!$AB:$AB,候选池!$A:$A,$A85),0))</f>
        <v/>
      </c>
      <c r="Y85" s="15" t="str">
        <f aca="false">IF($A85="","",IF(OR(M85&gt;=4,I85&lt;=-8%),MAX(0,B85*60%-C85),IF(AND(ISNUMBER(AD85),B85&gt;AD85),IF(B85&lt;30000,0,IF(B85&lt;100000,MAX(0,(B85-AD85)*0.2),MAX(0,(B85-AD85)*0.3))),0)))</f>
        <v/>
      </c>
      <c r="Z85" s="7"/>
      <c r="AA85" s="19" t="str">
        <f aca="false">IF($A85="","",IF($AA$2&lt;&gt;"",$AA$2,""))</f>
        <v/>
      </c>
      <c r="AB85" s="7" t="str">
        <f aca="false">IF($A85="","",IF(B85&lt;30000,0.03,IF(B85&lt;100000,0.02,0.015)))</f>
        <v/>
      </c>
      <c r="AC85" s="18" t="str">
        <f aca="false">IF($A85="","",IFERROR(DATEDIF($A$2,$A85,"m"),0))</f>
        <v/>
      </c>
      <c r="AD85" s="15" t="str">
        <f aca="false">IF($A85="","",IF(OR(AA85="",AB85="",AC85=""),"",AA85*POWER(1+AB85,AC85)))</f>
        <v/>
      </c>
      <c r="AE85" s="27" t="str">
        <f aca="false">IF($A85="","",IF(OR(AD85="",AD85=0),"",B85/AD85-1))</f>
        <v/>
      </c>
      <c r="AG85" s="1" t="str">
        <f aca="false">IF($A85="","",IF(B85&lt;30000,"婴儿",IF(B85&lt;100000,"成长","成熟")))</f>
        <v/>
      </c>
      <c r="AH85" s="22"/>
      <c r="AJ85" s="22"/>
      <c r="AK85" s="22"/>
      <c r="AM85" s="22"/>
      <c r="AP85" s="13"/>
      <c r="AQ85" s="23" t="str">
        <f aca="false">IF($A85="","",B85-$AA$2-SUM($F$2:F85))</f>
        <v/>
      </c>
    </row>
    <row r="86" customFormat="false" ht="15" hidden="false" customHeight="true" outlineLevel="0" collapsed="false">
      <c r="A86" s="5"/>
      <c r="B86" s="14"/>
      <c r="C86" s="14"/>
      <c r="D86" s="15" t="str">
        <f aca="false">IF($A86="","",SUMIFS(持仓表!$J:$J,持仓表!$A:$A,$A86))</f>
        <v/>
      </c>
      <c r="E86" s="16" t="n">
        <f aca="false">IFERROR(D86/B86,0)</f>
        <v>0</v>
      </c>
      <c r="F86" s="14"/>
      <c r="G86" s="15" t="str">
        <f aca="false">IF($B86="","",MAX($B$2:B86))</f>
        <v/>
      </c>
      <c r="H86" s="16" t="n">
        <f aca="false">IFERROR((B86-F86)/F86,0)</f>
        <v>0</v>
      </c>
      <c r="I86" s="16" t="n">
        <f aca="false">IFERROR((B86-G86)/G86,0)</f>
        <v>0</v>
      </c>
      <c r="J86" s="11"/>
      <c r="K86" s="5"/>
      <c r="L86" s="17"/>
      <c r="M86" s="17"/>
      <c r="N86" s="16" t="str">
        <f aca="false">IF($B86="","",MIN(70%,IF($I86&lt;=-15%,10%,IF($I86&lt;=-10%,30%,IF($M86&gt;=4,10%,IF($M86&gt;=3,30%,IF($J86="强",IF($K86="A",70%,IF($K86="B",60%,40%)),IF($J86="中性",IF($K86="A",50%,IF($K86="B",40%,25%)),IF($K86="A",30%,IF($K86="B",20%,10%))))))))))</f>
        <v/>
      </c>
      <c r="O86" s="16" t="str">
        <f aca="false">IF($B86="","",IF(B86&lt;30000,35%,IF(B86&lt;50000,30%,IF(B86&lt;100000,25%,20%))))</f>
        <v/>
      </c>
      <c r="P86" s="18" t="str">
        <f aca="false">IF($A86="","",COUNTIFS(持仓表!$A:$A,$A86,持仓表!$G:$G,"&gt;0"))</f>
        <v/>
      </c>
      <c r="Q86" s="18" t="str">
        <f aca="false">IF($A86="","",COUNTIFS(持仓表!$A:$A,$A86,持仓表!$D:$D,"是",持仓表!$G:$G,"&gt;0"))</f>
        <v/>
      </c>
      <c r="R86" s="18" t="str">
        <f aca="false">IF($A86="","",MAX(0,P86-Q86))</f>
        <v/>
      </c>
      <c r="S86" s="18" t="str">
        <f aca="false">IF($B86="","",IF(B86&lt;50000,3,IF(B86&lt;100000,4,5)))</f>
        <v/>
      </c>
      <c r="T86" s="19" t="str">
        <f aca="false">IF($A86="","",IF(OR(M86&gt;=4,I86&lt;=-8%),"防守",IF(OR(M86&gt;=2,I86&lt;=-5%),"警戒","正常")))</f>
        <v/>
      </c>
      <c r="U86" s="19" t="str">
        <f aca="false">IF($A86="","",IF(AND(L86&gt;=3,M86&lt;=2,T86&lt;&gt;"防守"),"是","否"))</f>
        <v/>
      </c>
      <c r="V86" s="19" t="str">
        <f aca="false">IF($A86="","",IF(AND(E86&lt;N86,R86&lt;S86,M86&lt;=2,I86&gt;-15%),"是","否"))</f>
        <v/>
      </c>
      <c r="W86" s="19" t="str">
        <f aca="false">IF($A86="","",IF(OR(M86&gt;=3,I86&lt;=-15%),"是","否"))</f>
        <v/>
      </c>
      <c r="X86" s="15" t="str">
        <f aca="false">IF($A86="","",IFERROR(maxifs(候选池!$AB:$AB,候选池!$A:$A,$A86),0))</f>
        <v/>
      </c>
      <c r="Y86" s="15" t="str">
        <f aca="false">IF($A86="","",IF(OR(M86&gt;=4,I86&lt;=-8%),MAX(0,B86*60%-C86),IF(AND(ISNUMBER(AD86),B86&gt;AD86),IF(B86&lt;30000,0,IF(B86&lt;100000,MAX(0,(B86-AD86)*0.2),MAX(0,(B86-AD86)*0.3))),0)))</f>
        <v/>
      </c>
      <c r="Z86" s="5"/>
      <c r="AA86" s="19" t="str">
        <f aca="false">IF($A86="","",IF($AA$2&lt;&gt;"",$AA$2,""))</f>
        <v/>
      </c>
      <c r="AB86" s="5" t="str">
        <f aca="false">IF($A86="","",IF(B86&lt;30000,0.03,IF(B86&lt;100000,0.02,0.015)))</f>
        <v/>
      </c>
      <c r="AC86" s="18" t="str">
        <f aca="false">IF($A86="","",IFERROR(DATEDIF($A$2,$A86,"m"),0))</f>
        <v/>
      </c>
      <c r="AD86" s="15" t="str">
        <f aca="false">IF($A86="","",IF(OR(AA86="",AB86="",AC86=""),"",AA86*POWER(1+AB86,AC86)))</f>
        <v/>
      </c>
      <c r="AE86" s="21" t="str">
        <f aca="false">IF($A86="","",IF(OR(AD86="",AD86=0),"",B86/AD86-1))</f>
        <v/>
      </c>
      <c r="AG86" s="1" t="str">
        <f aca="false">IF($A86="","",IF(B86&lt;30000,"婴儿",IF(B86&lt;100000,"成长","成熟")))</f>
        <v/>
      </c>
      <c r="AH86" s="22"/>
      <c r="AJ86" s="22"/>
      <c r="AK86" s="22"/>
      <c r="AM86" s="22"/>
      <c r="AP86" s="13"/>
      <c r="AQ86" s="23" t="str">
        <f aca="false">IF($A86="","",B86-$AA$2-SUM($F$2:F86))</f>
        <v/>
      </c>
    </row>
    <row r="87" customFormat="false" ht="15" hidden="false" customHeight="true" outlineLevel="0" collapsed="false">
      <c r="A87" s="7"/>
      <c r="B87" s="24"/>
      <c r="C87" s="24"/>
      <c r="D87" s="15" t="str">
        <f aca="false">IF($A87="","",SUMIFS(持仓表!$J:$J,持仓表!$A:$A,$A87))</f>
        <v/>
      </c>
      <c r="E87" s="16" t="n">
        <f aca="false">IFERROR(D87/B87,0)</f>
        <v>0</v>
      </c>
      <c r="F87" s="24"/>
      <c r="G87" s="15" t="str">
        <f aca="false">IF($B87="","",MAX($B$2:B87))</f>
        <v/>
      </c>
      <c r="H87" s="16" t="n">
        <f aca="false">IFERROR((B87-F87)/F87,0)</f>
        <v>0</v>
      </c>
      <c r="I87" s="16" t="n">
        <f aca="false">IFERROR((B87-G87)/G87,0)</f>
        <v>0</v>
      </c>
      <c r="J87" s="12"/>
      <c r="K87" s="7"/>
      <c r="L87" s="25"/>
      <c r="M87" s="25"/>
      <c r="N87" s="16" t="str">
        <f aca="false">IF($B87="","",MIN(70%,IF($I87&lt;=-15%,10%,IF($I87&lt;=-10%,30%,IF($M87&gt;=4,10%,IF($M87&gt;=3,30%,IF($J87="强",IF($K87="A",70%,IF($K87="B",60%,40%)),IF($J87="中性",IF($K87="A",50%,IF($K87="B",40%,25%)),IF($K87="A",30%,IF($K87="B",20%,10%))))))))))</f>
        <v/>
      </c>
      <c r="O87" s="16" t="str">
        <f aca="false">IF($B87="","",IF(B87&lt;30000,35%,IF(B87&lt;50000,30%,IF(B87&lt;100000,25%,20%))))</f>
        <v/>
      </c>
      <c r="P87" s="18" t="str">
        <f aca="false">IF($A87="","",COUNTIFS(持仓表!$A:$A,$A87,持仓表!$G:$G,"&gt;0"))</f>
        <v/>
      </c>
      <c r="Q87" s="18" t="str">
        <f aca="false">IF($A87="","",COUNTIFS(持仓表!$A:$A,$A87,持仓表!$D:$D,"是",持仓表!$G:$G,"&gt;0"))</f>
        <v/>
      </c>
      <c r="R87" s="18" t="str">
        <f aca="false">IF($A87="","",MAX(0,P87-Q87))</f>
        <v/>
      </c>
      <c r="S87" s="18" t="str">
        <f aca="false">IF($B87="","",IF(B87&lt;50000,3,IF(B87&lt;100000,4,5)))</f>
        <v/>
      </c>
      <c r="T87" s="19" t="str">
        <f aca="false">IF($A87="","",IF(OR(M87&gt;=4,I87&lt;=-8%),"防守",IF(OR(M87&gt;=2,I87&lt;=-5%),"警戒","正常")))</f>
        <v/>
      </c>
      <c r="U87" s="19" t="str">
        <f aca="false">IF($A87="","",IF(AND(L87&gt;=3,M87&lt;=2,T87&lt;&gt;"防守"),"是","否"))</f>
        <v/>
      </c>
      <c r="V87" s="19" t="str">
        <f aca="false">IF($A87="","",IF(AND(E87&lt;N87,R87&lt;S87,M87&lt;=2,I87&gt;-15%),"是","否"))</f>
        <v/>
      </c>
      <c r="W87" s="19" t="str">
        <f aca="false">IF($A87="","",IF(OR(M87&gt;=3,I87&lt;=-15%),"是","否"))</f>
        <v/>
      </c>
      <c r="X87" s="15" t="str">
        <f aca="false">IF($A87="","",IFERROR(maxifs(候选池!$AB:$AB,候选池!$A:$A,$A87),0))</f>
        <v/>
      </c>
      <c r="Y87" s="15" t="str">
        <f aca="false">IF($A87="","",IF(OR(M87&gt;=4,I87&lt;=-8%),MAX(0,B87*60%-C87),IF(AND(ISNUMBER(AD87),B87&gt;AD87),IF(B87&lt;30000,0,IF(B87&lt;100000,MAX(0,(B87-AD87)*0.2),MAX(0,(B87-AD87)*0.3))),0)))</f>
        <v/>
      </c>
      <c r="Z87" s="7"/>
      <c r="AA87" s="19" t="str">
        <f aca="false">IF($A87="","",IF($AA$2&lt;&gt;"",$AA$2,""))</f>
        <v/>
      </c>
      <c r="AB87" s="7" t="str">
        <f aca="false">IF($A87="","",IF(B87&lt;30000,0.03,IF(B87&lt;100000,0.02,0.015)))</f>
        <v/>
      </c>
      <c r="AC87" s="18" t="str">
        <f aca="false">IF($A87="","",IFERROR(DATEDIF($A$2,$A87,"m"),0))</f>
        <v/>
      </c>
      <c r="AD87" s="15" t="str">
        <f aca="false">IF($A87="","",IF(OR(AA87="",AB87="",AC87=""),"",AA87*POWER(1+AB87,AC87)))</f>
        <v/>
      </c>
      <c r="AE87" s="27" t="str">
        <f aca="false">IF($A87="","",IF(OR(AD87="",AD87=0),"",B87/AD87-1))</f>
        <v/>
      </c>
      <c r="AG87" s="1" t="str">
        <f aca="false">IF($A87="","",IF(B87&lt;30000,"婴儿",IF(B87&lt;100000,"成长","成熟")))</f>
        <v/>
      </c>
      <c r="AH87" s="22"/>
      <c r="AJ87" s="22"/>
      <c r="AK87" s="22"/>
      <c r="AM87" s="22"/>
      <c r="AP87" s="13"/>
      <c r="AQ87" s="23" t="str">
        <f aca="false">IF($A87="","",B87-$AA$2-SUM($F$2:F87))</f>
        <v/>
      </c>
    </row>
    <row r="88" customFormat="false" ht="15" hidden="false" customHeight="true" outlineLevel="0" collapsed="false">
      <c r="A88" s="5"/>
      <c r="B88" s="14"/>
      <c r="C88" s="14"/>
      <c r="D88" s="15" t="str">
        <f aca="false">IF($A88="","",SUMIFS(持仓表!$J:$J,持仓表!$A:$A,$A88))</f>
        <v/>
      </c>
      <c r="E88" s="16" t="n">
        <f aca="false">IFERROR(D88/B88,0)</f>
        <v>0</v>
      </c>
      <c r="F88" s="14"/>
      <c r="G88" s="15" t="str">
        <f aca="false">IF($B88="","",MAX($B$2:B88))</f>
        <v/>
      </c>
      <c r="H88" s="16" t="n">
        <f aca="false">IFERROR((B88-F88)/F88,0)</f>
        <v>0</v>
      </c>
      <c r="I88" s="16" t="n">
        <f aca="false">IFERROR((B88-G88)/G88,0)</f>
        <v>0</v>
      </c>
      <c r="J88" s="11"/>
      <c r="K88" s="5"/>
      <c r="L88" s="17"/>
      <c r="M88" s="17"/>
      <c r="N88" s="16" t="str">
        <f aca="false">IF($B88="","",MIN(70%,IF($I88&lt;=-15%,10%,IF($I88&lt;=-10%,30%,IF($M88&gt;=4,10%,IF($M88&gt;=3,30%,IF($J88="强",IF($K88="A",70%,IF($K88="B",60%,40%)),IF($J88="中性",IF($K88="A",50%,IF($K88="B",40%,25%)),IF($K88="A",30%,IF($K88="B",20%,10%))))))))))</f>
        <v/>
      </c>
      <c r="O88" s="16" t="str">
        <f aca="false">IF($B88="","",IF(B88&lt;30000,35%,IF(B88&lt;50000,30%,IF(B88&lt;100000,25%,20%))))</f>
        <v/>
      </c>
      <c r="P88" s="18" t="str">
        <f aca="false">IF($A88="","",COUNTIFS(持仓表!$A:$A,$A88,持仓表!$G:$G,"&gt;0"))</f>
        <v/>
      </c>
      <c r="Q88" s="18" t="str">
        <f aca="false">IF($A88="","",COUNTIFS(持仓表!$A:$A,$A88,持仓表!$D:$D,"是",持仓表!$G:$G,"&gt;0"))</f>
        <v/>
      </c>
      <c r="R88" s="18" t="str">
        <f aca="false">IF($A88="","",MAX(0,P88-Q88))</f>
        <v/>
      </c>
      <c r="S88" s="18" t="str">
        <f aca="false">IF($B88="","",IF(B88&lt;50000,3,IF(B88&lt;100000,4,5)))</f>
        <v/>
      </c>
      <c r="T88" s="19" t="str">
        <f aca="false">IF($A88="","",IF(OR(M88&gt;=4,I88&lt;=-8%),"防守",IF(OR(M88&gt;=2,I88&lt;=-5%),"警戒","正常")))</f>
        <v/>
      </c>
      <c r="U88" s="19" t="str">
        <f aca="false">IF($A88="","",IF(AND(L88&gt;=3,M88&lt;=2,T88&lt;&gt;"防守"),"是","否"))</f>
        <v/>
      </c>
      <c r="V88" s="19" t="str">
        <f aca="false">IF($A88="","",IF(AND(E88&lt;N88,R88&lt;S88,M88&lt;=2,I88&gt;-15%),"是","否"))</f>
        <v/>
      </c>
      <c r="W88" s="19" t="str">
        <f aca="false">IF($A88="","",IF(OR(M88&gt;=3,I88&lt;=-15%),"是","否"))</f>
        <v/>
      </c>
      <c r="X88" s="15" t="str">
        <f aca="false">IF($A88="","",IFERROR(maxifs(候选池!$AB:$AB,候选池!$A:$A,$A88),0))</f>
        <v/>
      </c>
      <c r="Y88" s="15" t="str">
        <f aca="false">IF($A88="","",IF(OR(M88&gt;=4,I88&lt;=-8%),MAX(0,B88*60%-C88),IF(AND(ISNUMBER(AD88),B88&gt;AD88),IF(B88&lt;30000,0,IF(B88&lt;100000,MAX(0,(B88-AD88)*0.2),MAX(0,(B88-AD88)*0.3))),0)))</f>
        <v/>
      </c>
      <c r="Z88" s="5"/>
      <c r="AA88" s="19" t="str">
        <f aca="false">IF($A88="","",IF($AA$2&lt;&gt;"",$AA$2,""))</f>
        <v/>
      </c>
      <c r="AB88" s="5" t="str">
        <f aca="false">IF($A88="","",IF(B88&lt;30000,0.03,IF(B88&lt;100000,0.02,0.015)))</f>
        <v/>
      </c>
      <c r="AC88" s="18" t="str">
        <f aca="false">IF($A88="","",IFERROR(DATEDIF($A$2,$A88,"m"),0))</f>
        <v/>
      </c>
      <c r="AD88" s="15" t="str">
        <f aca="false">IF($A88="","",IF(OR(AA88="",AB88="",AC88=""),"",AA88*POWER(1+AB88,AC88)))</f>
        <v/>
      </c>
      <c r="AE88" s="21" t="str">
        <f aca="false">IF($A88="","",IF(OR(AD88="",AD88=0),"",B88/AD88-1))</f>
        <v/>
      </c>
      <c r="AG88" s="1" t="str">
        <f aca="false">IF($A88="","",IF(B88&lt;30000,"婴儿",IF(B88&lt;100000,"成长","成熟")))</f>
        <v/>
      </c>
      <c r="AH88" s="22"/>
      <c r="AJ88" s="22"/>
      <c r="AK88" s="22"/>
      <c r="AM88" s="22"/>
      <c r="AP88" s="13"/>
      <c r="AQ88" s="23" t="str">
        <f aca="false">IF($A88="","",B88-$AA$2-SUM($F$2:F88))</f>
        <v/>
      </c>
    </row>
    <row r="89" customFormat="false" ht="15" hidden="false" customHeight="true" outlineLevel="0" collapsed="false">
      <c r="A89" s="7"/>
      <c r="B89" s="24"/>
      <c r="C89" s="24"/>
      <c r="D89" s="15" t="str">
        <f aca="false">IF($A89="","",SUMIFS(持仓表!$J:$J,持仓表!$A:$A,$A89))</f>
        <v/>
      </c>
      <c r="E89" s="16" t="n">
        <f aca="false">IFERROR(D89/B89,0)</f>
        <v>0</v>
      </c>
      <c r="F89" s="24"/>
      <c r="G89" s="15" t="str">
        <f aca="false">IF($B89="","",MAX($B$2:B89))</f>
        <v/>
      </c>
      <c r="H89" s="16" t="n">
        <f aca="false">IFERROR((B89-F89)/F89,0)</f>
        <v>0</v>
      </c>
      <c r="I89" s="16" t="n">
        <f aca="false">IFERROR((B89-G89)/G89,0)</f>
        <v>0</v>
      </c>
      <c r="J89" s="12"/>
      <c r="K89" s="7"/>
      <c r="L89" s="25"/>
      <c r="M89" s="25"/>
      <c r="N89" s="16" t="str">
        <f aca="false">IF($B89="","",MIN(70%,IF($I89&lt;=-15%,10%,IF($I89&lt;=-10%,30%,IF($M89&gt;=4,10%,IF($M89&gt;=3,30%,IF($J89="强",IF($K89="A",70%,IF($K89="B",60%,40%)),IF($J89="中性",IF($K89="A",50%,IF($K89="B",40%,25%)),IF($K89="A",30%,IF($K89="B",20%,10%))))))))))</f>
        <v/>
      </c>
      <c r="O89" s="16" t="str">
        <f aca="false">IF($B89="","",IF(B89&lt;30000,35%,IF(B89&lt;50000,30%,IF(B89&lt;100000,25%,20%))))</f>
        <v/>
      </c>
      <c r="P89" s="18" t="str">
        <f aca="false">IF($A89="","",COUNTIFS(持仓表!$A:$A,$A89,持仓表!$G:$G,"&gt;0"))</f>
        <v/>
      </c>
      <c r="Q89" s="18" t="str">
        <f aca="false">IF($A89="","",COUNTIFS(持仓表!$A:$A,$A89,持仓表!$D:$D,"是",持仓表!$G:$G,"&gt;0"))</f>
        <v/>
      </c>
      <c r="R89" s="18" t="str">
        <f aca="false">IF($A89="","",MAX(0,P89-Q89))</f>
        <v/>
      </c>
      <c r="S89" s="18" t="str">
        <f aca="false">IF($B89="","",IF(B89&lt;50000,3,IF(B89&lt;100000,4,5)))</f>
        <v/>
      </c>
      <c r="T89" s="19" t="str">
        <f aca="false">IF($A89="","",IF(OR(M89&gt;=4,I89&lt;=-8%),"防守",IF(OR(M89&gt;=2,I89&lt;=-5%),"警戒","正常")))</f>
        <v/>
      </c>
      <c r="U89" s="19" t="str">
        <f aca="false">IF($A89="","",IF(AND(L89&gt;=3,M89&lt;=2,T89&lt;&gt;"防守"),"是","否"))</f>
        <v/>
      </c>
      <c r="V89" s="19" t="str">
        <f aca="false">IF($A89="","",IF(AND(E89&lt;N89,R89&lt;S89,M89&lt;=2,I89&gt;-15%),"是","否"))</f>
        <v/>
      </c>
      <c r="W89" s="19" t="str">
        <f aca="false">IF($A89="","",IF(OR(M89&gt;=3,I89&lt;=-15%),"是","否"))</f>
        <v/>
      </c>
      <c r="X89" s="15" t="str">
        <f aca="false">IF($A89="","",IFERROR(maxifs(候选池!$AB:$AB,候选池!$A:$A,$A89),0))</f>
        <v/>
      </c>
      <c r="Y89" s="15" t="str">
        <f aca="false">IF($A89="","",IF(OR(M89&gt;=4,I89&lt;=-8%),MAX(0,B89*60%-C89),IF(AND(ISNUMBER(AD89),B89&gt;AD89),IF(B89&lt;30000,0,IF(B89&lt;100000,MAX(0,(B89-AD89)*0.2),MAX(0,(B89-AD89)*0.3))),0)))</f>
        <v/>
      </c>
      <c r="Z89" s="7"/>
      <c r="AA89" s="19" t="str">
        <f aca="false">IF($A89="","",IF($AA$2&lt;&gt;"",$AA$2,""))</f>
        <v/>
      </c>
      <c r="AB89" s="7" t="str">
        <f aca="false">IF($A89="","",IF(B89&lt;30000,0.03,IF(B89&lt;100000,0.02,0.015)))</f>
        <v/>
      </c>
      <c r="AC89" s="18" t="str">
        <f aca="false">IF($A89="","",IFERROR(DATEDIF($A$2,$A89,"m"),0))</f>
        <v/>
      </c>
      <c r="AD89" s="15" t="str">
        <f aca="false">IF($A89="","",IF(OR(AA89="",AB89="",AC89=""),"",AA89*POWER(1+AB89,AC89)))</f>
        <v/>
      </c>
      <c r="AE89" s="27" t="str">
        <f aca="false">IF($A89="","",IF(OR(AD89="",AD89=0),"",B89/AD89-1))</f>
        <v/>
      </c>
      <c r="AG89" s="1" t="str">
        <f aca="false">IF($A89="","",IF(B89&lt;30000,"婴儿",IF(B89&lt;100000,"成长","成熟")))</f>
        <v/>
      </c>
      <c r="AH89" s="22"/>
      <c r="AJ89" s="22"/>
      <c r="AK89" s="22"/>
      <c r="AM89" s="22"/>
      <c r="AP89" s="13"/>
      <c r="AQ89" s="23" t="str">
        <f aca="false">IF($A89="","",B89-$AA$2-SUM($F$2:F89))</f>
        <v/>
      </c>
    </row>
    <row r="90" customFormat="false" ht="15" hidden="false" customHeight="true" outlineLevel="0" collapsed="false">
      <c r="A90" s="5"/>
      <c r="B90" s="14"/>
      <c r="C90" s="14"/>
      <c r="D90" s="15" t="str">
        <f aca="false">IF($A90="","",SUMIFS(持仓表!$J:$J,持仓表!$A:$A,$A90))</f>
        <v/>
      </c>
      <c r="E90" s="16" t="n">
        <f aca="false">IFERROR(D90/B90,0)</f>
        <v>0</v>
      </c>
      <c r="F90" s="14"/>
      <c r="G90" s="15" t="str">
        <f aca="false">IF($B90="","",MAX($B$2:B90))</f>
        <v/>
      </c>
      <c r="H90" s="16" t="n">
        <f aca="false">IFERROR((B90-F90)/F90,0)</f>
        <v>0</v>
      </c>
      <c r="I90" s="16" t="n">
        <f aca="false">IFERROR((B90-G90)/G90,0)</f>
        <v>0</v>
      </c>
      <c r="J90" s="11"/>
      <c r="K90" s="5"/>
      <c r="L90" s="17"/>
      <c r="M90" s="17"/>
      <c r="N90" s="16" t="str">
        <f aca="false">IF($B90="","",MIN(70%,IF($I90&lt;=-15%,10%,IF($I90&lt;=-10%,30%,IF($M90&gt;=4,10%,IF($M90&gt;=3,30%,IF($J90="强",IF($K90="A",70%,IF($K90="B",60%,40%)),IF($J90="中性",IF($K90="A",50%,IF($K90="B",40%,25%)),IF($K90="A",30%,IF($K90="B",20%,10%))))))))))</f>
        <v/>
      </c>
      <c r="O90" s="16" t="str">
        <f aca="false">IF($B90="","",IF(B90&lt;30000,35%,IF(B90&lt;50000,30%,IF(B90&lt;100000,25%,20%))))</f>
        <v/>
      </c>
      <c r="P90" s="18" t="str">
        <f aca="false">IF($A90="","",COUNTIFS(持仓表!$A:$A,$A90,持仓表!$G:$G,"&gt;0"))</f>
        <v/>
      </c>
      <c r="Q90" s="18" t="str">
        <f aca="false">IF($A90="","",COUNTIFS(持仓表!$A:$A,$A90,持仓表!$D:$D,"是",持仓表!$G:$G,"&gt;0"))</f>
        <v/>
      </c>
      <c r="R90" s="18" t="str">
        <f aca="false">IF($A90="","",MAX(0,P90-Q90))</f>
        <v/>
      </c>
      <c r="S90" s="18" t="str">
        <f aca="false">IF($B90="","",IF(B90&lt;50000,3,IF(B90&lt;100000,4,5)))</f>
        <v/>
      </c>
      <c r="T90" s="19" t="str">
        <f aca="false">IF($A90="","",IF(OR(M90&gt;=4,I90&lt;=-8%),"防守",IF(OR(M90&gt;=2,I90&lt;=-5%),"警戒","正常")))</f>
        <v/>
      </c>
      <c r="U90" s="19" t="str">
        <f aca="false">IF($A90="","",IF(AND(L90&gt;=3,M90&lt;=2,T90&lt;&gt;"防守"),"是","否"))</f>
        <v/>
      </c>
      <c r="V90" s="19" t="str">
        <f aca="false">IF($A90="","",IF(AND(E90&lt;N90,R90&lt;S90,M90&lt;=2,I90&gt;-15%),"是","否"))</f>
        <v/>
      </c>
      <c r="W90" s="19" t="str">
        <f aca="false">IF($A90="","",IF(OR(M90&gt;=3,I90&lt;=-15%),"是","否"))</f>
        <v/>
      </c>
      <c r="X90" s="15" t="str">
        <f aca="false">IF($A90="","",IFERROR(maxifs(候选池!$AB:$AB,候选池!$A:$A,$A90),0))</f>
        <v/>
      </c>
      <c r="Y90" s="15" t="str">
        <f aca="false">IF($A90="","",IF(OR(M90&gt;=4,I90&lt;=-8%),MAX(0,B90*60%-C90),IF(AND(ISNUMBER(AD90),B90&gt;AD90),IF(B90&lt;30000,0,IF(B90&lt;100000,MAX(0,(B90-AD90)*0.2),MAX(0,(B90-AD90)*0.3))),0)))</f>
        <v/>
      </c>
      <c r="Z90" s="5"/>
      <c r="AA90" s="19" t="str">
        <f aca="false">IF($A90="","",IF($AA$2&lt;&gt;"",$AA$2,""))</f>
        <v/>
      </c>
      <c r="AB90" s="5" t="str">
        <f aca="false">IF($A90="","",IF(B90&lt;30000,0.03,IF(B90&lt;100000,0.02,0.015)))</f>
        <v/>
      </c>
      <c r="AC90" s="18" t="str">
        <f aca="false">IF($A90="","",IFERROR(DATEDIF($A$2,$A90,"m"),0))</f>
        <v/>
      </c>
      <c r="AD90" s="15" t="str">
        <f aca="false">IF($A90="","",IF(OR(AA90="",AB90="",AC90=""),"",AA90*POWER(1+AB90,AC90)))</f>
        <v/>
      </c>
      <c r="AE90" s="21" t="str">
        <f aca="false">IF($A90="","",IF(OR(AD90="",AD90=0),"",B90/AD90-1))</f>
        <v/>
      </c>
      <c r="AG90" s="1" t="str">
        <f aca="false">IF($A90="","",IF(B90&lt;30000,"婴儿",IF(B90&lt;100000,"成长","成熟")))</f>
        <v/>
      </c>
      <c r="AH90" s="22"/>
      <c r="AJ90" s="22"/>
      <c r="AK90" s="22"/>
      <c r="AM90" s="22"/>
      <c r="AP90" s="13"/>
      <c r="AQ90" s="23" t="str">
        <f aca="false">IF($A90="","",B90-$AA$2-SUM($F$2:F90))</f>
        <v/>
      </c>
    </row>
    <row r="91" customFormat="false" ht="15" hidden="false" customHeight="true" outlineLevel="0" collapsed="false">
      <c r="A91" s="7"/>
      <c r="B91" s="24"/>
      <c r="C91" s="24"/>
      <c r="D91" s="15" t="str">
        <f aca="false">IF($A91="","",SUMIFS(持仓表!$J:$J,持仓表!$A:$A,$A91))</f>
        <v/>
      </c>
      <c r="E91" s="16" t="n">
        <f aca="false">IFERROR(D91/B91,0)</f>
        <v>0</v>
      </c>
      <c r="F91" s="24"/>
      <c r="G91" s="15" t="str">
        <f aca="false">IF($B91="","",MAX($B$2:B91))</f>
        <v/>
      </c>
      <c r="H91" s="16" t="n">
        <f aca="false">IFERROR((B91-F91)/F91,0)</f>
        <v>0</v>
      </c>
      <c r="I91" s="16" t="n">
        <f aca="false">IFERROR((B91-G91)/G91,0)</f>
        <v>0</v>
      </c>
      <c r="J91" s="12"/>
      <c r="K91" s="7"/>
      <c r="L91" s="25"/>
      <c r="M91" s="25"/>
      <c r="N91" s="16" t="str">
        <f aca="false">IF($B91="","",MIN(70%,IF($I91&lt;=-15%,10%,IF($I91&lt;=-10%,30%,IF($M91&gt;=4,10%,IF($M91&gt;=3,30%,IF($J91="强",IF($K91="A",70%,IF($K91="B",60%,40%)),IF($J91="中性",IF($K91="A",50%,IF($K91="B",40%,25%)),IF($K91="A",30%,IF($K91="B",20%,10%))))))))))</f>
        <v/>
      </c>
      <c r="O91" s="16" t="str">
        <f aca="false">IF($B91="","",IF(B91&lt;30000,35%,IF(B91&lt;50000,30%,IF(B91&lt;100000,25%,20%))))</f>
        <v/>
      </c>
      <c r="P91" s="18" t="str">
        <f aca="false">IF($A91="","",COUNTIFS(持仓表!$A:$A,$A91,持仓表!$G:$G,"&gt;0"))</f>
        <v/>
      </c>
      <c r="Q91" s="18" t="str">
        <f aca="false">IF($A91="","",COUNTIFS(持仓表!$A:$A,$A91,持仓表!$D:$D,"是",持仓表!$G:$G,"&gt;0"))</f>
        <v/>
      </c>
      <c r="R91" s="18" t="str">
        <f aca="false">IF($A91="","",MAX(0,P91-Q91))</f>
        <v/>
      </c>
      <c r="S91" s="18" t="str">
        <f aca="false">IF($B91="","",IF(B91&lt;50000,3,IF(B91&lt;100000,4,5)))</f>
        <v/>
      </c>
      <c r="T91" s="19" t="str">
        <f aca="false">IF($A91="","",IF(OR(M91&gt;=4,I91&lt;=-8%),"防守",IF(OR(M91&gt;=2,I91&lt;=-5%),"警戒","正常")))</f>
        <v/>
      </c>
      <c r="U91" s="19" t="str">
        <f aca="false">IF($A91="","",IF(AND(L91&gt;=3,M91&lt;=2,T91&lt;&gt;"防守"),"是","否"))</f>
        <v/>
      </c>
      <c r="V91" s="19" t="str">
        <f aca="false">IF($A91="","",IF(AND(E91&lt;N91,R91&lt;S91,M91&lt;=2,I91&gt;-15%),"是","否"))</f>
        <v/>
      </c>
      <c r="W91" s="19" t="str">
        <f aca="false">IF($A91="","",IF(OR(M91&gt;=3,I91&lt;=-15%),"是","否"))</f>
        <v/>
      </c>
      <c r="X91" s="15" t="str">
        <f aca="false">IF($A91="","",IFERROR(maxifs(候选池!$AB:$AB,候选池!$A:$A,$A91),0))</f>
        <v/>
      </c>
      <c r="Y91" s="15" t="str">
        <f aca="false">IF($A91="","",IF(OR(M91&gt;=4,I91&lt;=-8%),MAX(0,B91*60%-C91),IF(AND(ISNUMBER(AD91),B91&gt;AD91),IF(B91&lt;30000,0,IF(B91&lt;100000,MAX(0,(B91-AD91)*0.2),MAX(0,(B91-AD91)*0.3))),0)))</f>
        <v/>
      </c>
      <c r="Z91" s="7"/>
      <c r="AA91" s="19" t="str">
        <f aca="false">IF($A91="","",IF($AA$2&lt;&gt;"",$AA$2,""))</f>
        <v/>
      </c>
      <c r="AB91" s="7" t="str">
        <f aca="false">IF($A91="","",IF(B91&lt;30000,0.03,IF(B91&lt;100000,0.02,0.015)))</f>
        <v/>
      </c>
      <c r="AC91" s="18" t="str">
        <f aca="false">IF($A91="","",IFERROR(DATEDIF($A$2,$A91,"m"),0))</f>
        <v/>
      </c>
      <c r="AD91" s="15" t="str">
        <f aca="false">IF($A91="","",IF(OR(AA91="",AB91="",AC91=""),"",AA91*POWER(1+AB91,AC91)))</f>
        <v/>
      </c>
      <c r="AE91" s="27" t="str">
        <f aca="false">IF($A91="","",IF(OR(AD91="",AD91=0),"",B91/AD91-1))</f>
        <v/>
      </c>
      <c r="AG91" s="1" t="str">
        <f aca="false">IF($A91="","",IF(B91&lt;30000,"婴儿",IF(B91&lt;100000,"成长","成熟")))</f>
        <v/>
      </c>
      <c r="AH91" s="22"/>
      <c r="AJ91" s="22"/>
      <c r="AK91" s="22"/>
      <c r="AM91" s="22"/>
      <c r="AP91" s="13"/>
      <c r="AQ91" s="23" t="str">
        <f aca="false">IF($A91="","",B91-$AA$2-SUM($F$2:F91))</f>
        <v/>
      </c>
    </row>
    <row r="92" customFormat="false" ht="15" hidden="false" customHeight="true" outlineLevel="0" collapsed="false">
      <c r="A92" s="5"/>
      <c r="B92" s="14"/>
      <c r="C92" s="14"/>
      <c r="D92" s="15" t="str">
        <f aca="false">IF($A92="","",SUMIFS(持仓表!$J:$J,持仓表!$A:$A,$A92))</f>
        <v/>
      </c>
      <c r="E92" s="16" t="n">
        <f aca="false">IFERROR(D92/B92,0)</f>
        <v>0</v>
      </c>
      <c r="F92" s="14"/>
      <c r="G92" s="15" t="str">
        <f aca="false">IF($B92="","",MAX($B$2:B92))</f>
        <v/>
      </c>
      <c r="H92" s="16" t="n">
        <f aca="false">IFERROR((B92-F92)/F92,0)</f>
        <v>0</v>
      </c>
      <c r="I92" s="16" t="n">
        <f aca="false">IFERROR((B92-G92)/G92,0)</f>
        <v>0</v>
      </c>
      <c r="J92" s="11"/>
      <c r="K92" s="5"/>
      <c r="L92" s="17"/>
      <c r="M92" s="17"/>
      <c r="N92" s="16" t="str">
        <f aca="false">IF($B92="","",MIN(70%,IF($I92&lt;=-15%,10%,IF($I92&lt;=-10%,30%,IF($M92&gt;=4,10%,IF($M92&gt;=3,30%,IF($J92="强",IF($K92="A",70%,IF($K92="B",60%,40%)),IF($J92="中性",IF($K92="A",50%,IF($K92="B",40%,25%)),IF($K92="A",30%,IF($K92="B",20%,10%))))))))))</f>
        <v/>
      </c>
      <c r="O92" s="16" t="str">
        <f aca="false">IF($B92="","",IF(B92&lt;30000,35%,IF(B92&lt;50000,30%,IF(B92&lt;100000,25%,20%))))</f>
        <v/>
      </c>
      <c r="P92" s="18" t="str">
        <f aca="false">IF($A92="","",COUNTIFS(持仓表!$A:$A,$A92,持仓表!$G:$G,"&gt;0"))</f>
        <v/>
      </c>
      <c r="Q92" s="18" t="str">
        <f aca="false">IF($A92="","",COUNTIFS(持仓表!$A:$A,$A92,持仓表!$D:$D,"是",持仓表!$G:$G,"&gt;0"))</f>
        <v/>
      </c>
      <c r="R92" s="18" t="str">
        <f aca="false">IF($A92="","",MAX(0,P92-Q92))</f>
        <v/>
      </c>
      <c r="S92" s="18" t="str">
        <f aca="false">IF($B92="","",IF(B92&lt;50000,3,IF(B92&lt;100000,4,5)))</f>
        <v/>
      </c>
      <c r="T92" s="19" t="str">
        <f aca="false">IF($A92="","",IF(OR(M92&gt;=4,I92&lt;=-8%),"防守",IF(OR(M92&gt;=2,I92&lt;=-5%),"警戒","正常")))</f>
        <v/>
      </c>
      <c r="U92" s="19" t="str">
        <f aca="false">IF($A92="","",IF(AND(L92&gt;=3,M92&lt;=2,T92&lt;&gt;"防守"),"是","否"))</f>
        <v/>
      </c>
      <c r="V92" s="19" t="str">
        <f aca="false">IF($A92="","",IF(AND(E92&lt;N92,R92&lt;S92,M92&lt;=2,I92&gt;-15%),"是","否"))</f>
        <v/>
      </c>
      <c r="W92" s="19" t="str">
        <f aca="false">IF($A92="","",IF(OR(M92&gt;=3,I92&lt;=-15%),"是","否"))</f>
        <v/>
      </c>
      <c r="X92" s="15" t="str">
        <f aca="false">IF($A92="","",IFERROR(maxifs(候选池!$AB:$AB,候选池!$A:$A,$A92),0))</f>
        <v/>
      </c>
      <c r="Y92" s="15" t="str">
        <f aca="false">IF($A92="","",IF(OR(M92&gt;=4,I92&lt;=-8%),MAX(0,B92*60%-C92),IF(AND(ISNUMBER(AD92),B92&gt;AD92),IF(B92&lt;30000,0,IF(B92&lt;100000,MAX(0,(B92-AD92)*0.2),MAX(0,(B92-AD92)*0.3))),0)))</f>
        <v/>
      </c>
      <c r="Z92" s="5"/>
      <c r="AA92" s="19" t="str">
        <f aca="false">IF($A92="","",IF($AA$2&lt;&gt;"",$AA$2,""))</f>
        <v/>
      </c>
      <c r="AB92" s="5" t="str">
        <f aca="false">IF($A92="","",IF(B92&lt;30000,0.03,IF(B92&lt;100000,0.02,0.015)))</f>
        <v/>
      </c>
      <c r="AC92" s="18" t="str">
        <f aca="false">IF($A92="","",IFERROR(DATEDIF($A$2,$A92,"m"),0))</f>
        <v/>
      </c>
      <c r="AD92" s="15" t="str">
        <f aca="false">IF($A92="","",IF(OR(AA92="",AB92="",AC92=""),"",AA92*POWER(1+AB92,AC92)))</f>
        <v/>
      </c>
      <c r="AE92" s="21" t="str">
        <f aca="false">IF($A92="","",IF(OR(AD92="",AD92=0),"",B92/AD92-1))</f>
        <v/>
      </c>
      <c r="AG92" s="1" t="str">
        <f aca="false">IF($A92="","",IF(B92&lt;30000,"婴儿",IF(B92&lt;100000,"成长","成熟")))</f>
        <v/>
      </c>
      <c r="AH92" s="22"/>
      <c r="AJ92" s="22"/>
      <c r="AK92" s="22"/>
      <c r="AM92" s="22"/>
      <c r="AP92" s="13"/>
      <c r="AQ92" s="23" t="str">
        <f aca="false">IF($A92="","",B92-$AA$2-SUM($F$2:F92))</f>
        <v/>
      </c>
    </row>
    <row r="93" customFormat="false" ht="15" hidden="false" customHeight="true" outlineLevel="0" collapsed="false">
      <c r="A93" s="7"/>
      <c r="B93" s="24"/>
      <c r="C93" s="24"/>
      <c r="D93" s="15" t="str">
        <f aca="false">IF($A93="","",SUMIFS(持仓表!$J:$J,持仓表!$A:$A,$A93))</f>
        <v/>
      </c>
      <c r="E93" s="16" t="n">
        <f aca="false">IFERROR(D93/B93,0)</f>
        <v>0</v>
      </c>
      <c r="F93" s="24"/>
      <c r="G93" s="15" t="str">
        <f aca="false">IF($B93="","",MAX($B$2:B93))</f>
        <v/>
      </c>
      <c r="H93" s="16" t="n">
        <f aca="false">IFERROR((B93-F93)/F93,0)</f>
        <v>0</v>
      </c>
      <c r="I93" s="16" t="n">
        <f aca="false">IFERROR((B93-G93)/G93,0)</f>
        <v>0</v>
      </c>
      <c r="J93" s="12"/>
      <c r="K93" s="7"/>
      <c r="L93" s="25"/>
      <c r="M93" s="25"/>
      <c r="N93" s="16" t="str">
        <f aca="false">IF($B93="","",MIN(70%,IF($I93&lt;=-15%,10%,IF($I93&lt;=-10%,30%,IF($M93&gt;=4,10%,IF($M93&gt;=3,30%,IF($J93="强",IF($K93="A",70%,IF($K93="B",60%,40%)),IF($J93="中性",IF($K93="A",50%,IF($K93="B",40%,25%)),IF($K93="A",30%,IF($K93="B",20%,10%))))))))))</f>
        <v/>
      </c>
      <c r="O93" s="16" t="str">
        <f aca="false">IF($B93="","",IF(B93&lt;30000,35%,IF(B93&lt;50000,30%,IF(B93&lt;100000,25%,20%))))</f>
        <v/>
      </c>
      <c r="P93" s="18" t="str">
        <f aca="false">IF($A93="","",COUNTIFS(持仓表!$A:$A,$A93,持仓表!$G:$G,"&gt;0"))</f>
        <v/>
      </c>
      <c r="Q93" s="18" t="str">
        <f aca="false">IF($A93="","",COUNTIFS(持仓表!$A:$A,$A93,持仓表!$D:$D,"是",持仓表!$G:$G,"&gt;0"))</f>
        <v/>
      </c>
      <c r="R93" s="18" t="str">
        <f aca="false">IF($A93="","",MAX(0,P93-Q93))</f>
        <v/>
      </c>
      <c r="S93" s="18" t="str">
        <f aca="false">IF($B93="","",IF(B93&lt;50000,3,IF(B93&lt;100000,4,5)))</f>
        <v/>
      </c>
      <c r="T93" s="19" t="str">
        <f aca="false">IF($A93="","",IF(OR(M93&gt;=4,I93&lt;=-8%),"防守",IF(OR(M93&gt;=2,I93&lt;=-5%),"警戒","正常")))</f>
        <v/>
      </c>
      <c r="U93" s="19" t="str">
        <f aca="false">IF($A93="","",IF(AND(L93&gt;=3,M93&lt;=2,T93&lt;&gt;"防守"),"是","否"))</f>
        <v/>
      </c>
      <c r="V93" s="19" t="str">
        <f aca="false">IF($A93="","",IF(AND(E93&lt;N93,R93&lt;S93,M93&lt;=2,I93&gt;-15%),"是","否"))</f>
        <v/>
      </c>
      <c r="W93" s="19" t="str">
        <f aca="false">IF($A93="","",IF(OR(M93&gt;=3,I93&lt;=-15%),"是","否"))</f>
        <v/>
      </c>
      <c r="X93" s="15" t="str">
        <f aca="false">IF($A93="","",IFERROR(maxifs(候选池!$AB:$AB,候选池!$A:$A,$A93),0))</f>
        <v/>
      </c>
      <c r="Y93" s="15" t="str">
        <f aca="false">IF($A93="","",IF(OR(M93&gt;=4,I93&lt;=-8%),MAX(0,B93*60%-C93),IF(AND(ISNUMBER(AD93),B93&gt;AD93),IF(B93&lt;30000,0,IF(B93&lt;100000,MAX(0,(B93-AD93)*0.2),MAX(0,(B93-AD93)*0.3))),0)))</f>
        <v/>
      </c>
      <c r="Z93" s="7"/>
      <c r="AA93" s="19" t="str">
        <f aca="false">IF($A93="","",IF($AA$2&lt;&gt;"",$AA$2,""))</f>
        <v/>
      </c>
      <c r="AB93" s="7" t="str">
        <f aca="false">IF($A93="","",IF(B93&lt;30000,0.03,IF(B93&lt;100000,0.02,0.015)))</f>
        <v/>
      </c>
      <c r="AC93" s="18" t="str">
        <f aca="false">IF($A93="","",IFERROR(DATEDIF($A$2,$A93,"m"),0))</f>
        <v/>
      </c>
      <c r="AD93" s="15" t="str">
        <f aca="false">IF($A93="","",IF(OR(AA93="",AB93="",AC93=""),"",AA93*POWER(1+AB93,AC93)))</f>
        <v/>
      </c>
      <c r="AE93" s="27" t="str">
        <f aca="false">IF($A93="","",IF(OR(AD93="",AD93=0),"",B93/AD93-1))</f>
        <v/>
      </c>
      <c r="AG93" s="1" t="str">
        <f aca="false">IF($A93="","",IF(B93&lt;30000,"婴儿",IF(B93&lt;100000,"成长","成熟")))</f>
        <v/>
      </c>
      <c r="AH93" s="22"/>
      <c r="AJ93" s="22"/>
      <c r="AK93" s="22"/>
      <c r="AM93" s="22"/>
      <c r="AP93" s="13"/>
      <c r="AQ93" s="23" t="str">
        <f aca="false">IF($A93="","",B93-$AA$2-SUM($F$2:F93))</f>
        <v/>
      </c>
    </row>
    <row r="94" customFormat="false" ht="15" hidden="false" customHeight="true" outlineLevel="0" collapsed="false">
      <c r="A94" s="5"/>
      <c r="B94" s="14"/>
      <c r="C94" s="14"/>
      <c r="D94" s="15" t="str">
        <f aca="false">IF($A94="","",SUMIFS(持仓表!$J:$J,持仓表!$A:$A,$A94))</f>
        <v/>
      </c>
      <c r="E94" s="16" t="n">
        <f aca="false">IFERROR(D94/B94,0)</f>
        <v>0</v>
      </c>
      <c r="F94" s="14"/>
      <c r="G94" s="15" t="str">
        <f aca="false">IF($B94="","",MAX($B$2:B94))</f>
        <v/>
      </c>
      <c r="H94" s="16" t="n">
        <f aca="false">IFERROR((B94-F94)/F94,0)</f>
        <v>0</v>
      </c>
      <c r="I94" s="16" t="n">
        <f aca="false">IFERROR((B94-G94)/G94,0)</f>
        <v>0</v>
      </c>
      <c r="J94" s="11"/>
      <c r="K94" s="5"/>
      <c r="L94" s="17"/>
      <c r="M94" s="17"/>
      <c r="N94" s="16" t="str">
        <f aca="false">IF($B94="","",MIN(70%,IF($I94&lt;=-15%,10%,IF($I94&lt;=-10%,30%,IF($M94&gt;=4,10%,IF($M94&gt;=3,30%,IF($J94="强",IF($K94="A",70%,IF($K94="B",60%,40%)),IF($J94="中性",IF($K94="A",50%,IF($K94="B",40%,25%)),IF($K94="A",30%,IF($K94="B",20%,10%))))))))))</f>
        <v/>
      </c>
      <c r="O94" s="16" t="str">
        <f aca="false">IF($B94="","",IF(B94&lt;30000,35%,IF(B94&lt;50000,30%,IF(B94&lt;100000,25%,20%))))</f>
        <v/>
      </c>
      <c r="P94" s="18" t="str">
        <f aca="false">IF($A94="","",COUNTIFS(持仓表!$A:$A,$A94,持仓表!$G:$G,"&gt;0"))</f>
        <v/>
      </c>
      <c r="Q94" s="18" t="str">
        <f aca="false">IF($A94="","",COUNTIFS(持仓表!$A:$A,$A94,持仓表!$D:$D,"是",持仓表!$G:$G,"&gt;0"))</f>
        <v/>
      </c>
      <c r="R94" s="18" t="str">
        <f aca="false">IF($A94="","",MAX(0,P94-Q94))</f>
        <v/>
      </c>
      <c r="S94" s="18" t="str">
        <f aca="false">IF($B94="","",IF(B94&lt;50000,3,IF(B94&lt;100000,4,5)))</f>
        <v/>
      </c>
      <c r="T94" s="19" t="str">
        <f aca="false">IF($A94="","",IF(OR(M94&gt;=4,I94&lt;=-8%),"防守",IF(OR(M94&gt;=2,I94&lt;=-5%),"警戒","正常")))</f>
        <v/>
      </c>
      <c r="U94" s="19" t="str">
        <f aca="false">IF($A94="","",IF(AND(L94&gt;=3,M94&lt;=2,T94&lt;&gt;"防守"),"是","否"))</f>
        <v/>
      </c>
      <c r="V94" s="19" t="str">
        <f aca="false">IF($A94="","",IF(AND(E94&lt;N94,R94&lt;S94,M94&lt;=2,I94&gt;-15%),"是","否"))</f>
        <v/>
      </c>
      <c r="W94" s="19" t="str">
        <f aca="false">IF($A94="","",IF(OR(M94&gt;=3,I94&lt;=-15%),"是","否"))</f>
        <v/>
      </c>
      <c r="X94" s="15" t="str">
        <f aca="false">IF($A94="","",IFERROR(maxifs(候选池!$AB:$AB,候选池!$A:$A,$A94),0))</f>
        <v/>
      </c>
      <c r="Y94" s="15" t="str">
        <f aca="false">IF($A94="","",IF(OR(M94&gt;=4,I94&lt;=-8%),MAX(0,B94*60%-C94),IF(AND(ISNUMBER(AD94),B94&gt;AD94),IF(B94&lt;30000,0,IF(B94&lt;100000,MAX(0,(B94-AD94)*0.2),MAX(0,(B94-AD94)*0.3))),0)))</f>
        <v/>
      </c>
      <c r="Z94" s="5"/>
      <c r="AA94" s="19" t="str">
        <f aca="false">IF($A94="","",IF($AA$2&lt;&gt;"",$AA$2,""))</f>
        <v/>
      </c>
      <c r="AB94" s="5" t="str">
        <f aca="false">IF($A94="","",IF(B94&lt;30000,0.03,IF(B94&lt;100000,0.02,0.015)))</f>
        <v/>
      </c>
      <c r="AC94" s="18" t="str">
        <f aca="false">IF($A94="","",IFERROR(DATEDIF($A$2,$A94,"m"),0))</f>
        <v/>
      </c>
      <c r="AD94" s="15" t="str">
        <f aca="false">IF($A94="","",IF(OR(AA94="",AB94="",AC94=""),"",AA94*POWER(1+AB94,AC94)))</f>
        <v/>
      </c>
      <c r="AE94" s="21" t="str">
        <f aca="false">IF($A94="","",IF(OR(AD94="",AD94=0),"",B94/AD94-1))</f>
        <v/>
      </c>
      <c r="AG94" s="1" t="str">
        <f aca="false">IF($A94="","",IF(B94&lt;30000,"婴儿",IF(B94&lt;100000,"成长","成熟")))</f>
        <v/>
      </c>
      <c r="AH94" s="22"/>
      <c r="AJ94" s="22"/>
      <c r="AK94" s="22"/>
      <c r="AM94" s="22"/>
      <c r="AP94" s="13"/>
      <c r="AQ94" s="23" t="str">
        <f aca="false">IF($A94="","",B94-$AA$2-SUM($F$2:F94))</f>
        <v/>
      </c>
    </row>
    <row r="95" customFormat="false" ht="15" hidden="false" customHeight="true" outlineLevel="0" collapsed="false">
      <c r="A95" s="7"/>
      <c r="B95" s="24"/>
      <c r="C95" s="24"/>
      <c r="D95" s="15" t="str">
        <f aca="false">IF($A95="","",SUMIFS(持仓表!$J:$J,持仓表!$A:$A,$A95))</f>
        <v/>
      </c>
      <c r="E95" s="16" t="n">
        <f aca="false">IFERROR(D95/B95,0)</f>
        <v>0</v>
      </c>
      <c r="F95" s="24"/>
      <c r="G95" s="15" t="str">
        <f aca="false">IF($B95="","",MAX($B$2:B95))</f>
        <v/>
      </c>
      <c r="H95" s="16" t="n">
        <f aca="false">IFERROR((B95-F95)/F95,0)</f>
        <v>0</v>
      </c>
      <c r="I95" s="16" t="n">
        <f aca="false">IFERROR((B95-G95)/G95,0)</f>
        <v>0</v>
      </c>
      <c r="J95" s="12"/>
      <c r="K95" s="7"/>
      <c r="L95" s="25"/>
      <c r="M95" s="25"/>
      <c r="N95" s="16" t="str">
        <f aca="false">IF($B95="","",MIN(70%,IF($I95&lt;=-15%,10%,IF($I95&lt;=-10%,30%,IF($M95&gt;=4,10%,IF($M95&gt;=3,30%,IF($J95="强",IF($K95="A",70%,IF($K95="B",60%,40%)),IF($J95="中性",IF($K95="A",50%,IF($K95="B",40%,25%)),IF($K95="A",30%,IF($K95="B",20%,10%))))))))))</f>
        <v/>
      </c>
      <c r="O95" s="16" t="str">
        <f aca="false">IF($B95="","",IF(B95&lt;30000,35%,IF(B95&lt;50000,30%,IF(B95&lt;100000,25%,20%))))</f>
        <v/>
      </c>
      <c r="P95" s="18" t="str">
        <f aca="false">IF($A95="","",COUNTIFS(持仓表!$A:$A,$A95,持仓表!$G:$G,"&gt;0"))</f>
        <v/>
      </c>
      <c r="Q95" s="18" t="str">
        <f aca="false">IF($A95="","",COUNTIFS(持仓表!$A:$A,$A95,持仓表!$D:$D,"是",持仓表!$G:$G,"&gt;0"))</f>
        <v/>
      </c>
      <c r="R95" s="18" t="str">
        <f aca="false">IF($A95="","",MAX(0,P95-Q95))</f>
        <v/>
      </c>
      <c r="S95" s="18" t="str">
        <f aca="false">IF($B95="","",IF(B95&lt;50000,3,IF(B95&lt;100000,4,5)))</f>
        <v/>
      </c>
      <c r="T95" s="19" t="str">
        <f aca="false">IF($A95="","",IF(OR(M95&gt;=4,I95&lt;=-8%),"防守",IF(OR(M95&gt;=2,I95&lt;=-5%),"警戒","正常")))</f>
        <v/>
      </c>
      <c r="U95" s="19" t="str">
        <f aca="false">IF($A95="","",IF(AND(L95&gt;=3,M95&lt;=2,T95&lt;&gt;"防守"),"是","否"))</f>
        <v/>
      </c>
      <c r="V95" s="19" t="str">
        <f aca="false">IF($A95="","",IF(AND(E95&lt;N95,R95&lt;S95,M95&lt;=2,I95&gt;-15%),"是","否"))</f>
        <v/>
      </c>
      <c r="W95" s="19" t="str">
        <f aca="false">IF($A95="","",IF(OR(M95&gt;=3,I95&lt;=-15%),"是","否"))</f>
        <v/>
      </c>
      <c r="X95" s="15" t="str">
        <f aca="false">IF($A95="","",IFERROR(maxifs(候选池!$AB:$AB,候选池!$A:$A,$A95),0))</f>
        <v/>
      </c>
      <c r="Y95" s="15" t="str">
        <f aca="false">IF($A95="","",IF(OR(M95&gt;=4,I95&lt;=-8%),MAX(0,B95*60%-C95),IF(AND(ISNUMBER(AD95),B95&gt;AD95),IF(B95&lt;30000,0,IF(B95&lt;100000,MAX(0,(B95-AD95)*0.2),MAX(0,(B95-AD95)*0.3))),0)))</f>
        <v/>
      </c>
      <c r="Z95" s="7"/>
      <c r="AA95" s="19" t="str">
        <f aca="false">IF($A95="","",IF($AA$2&lt;&gt;"",$AA$2,""))</f>
        <v/>
      </c>
      <c r="AB95" s="7" t="str">
        <f aca="false">IF($A95="","",IF(B95&lt;30000,0.03,IF(B95&lt;100000,0.02,0.015)))</f>
        <v/>
      </c>
      <c r="AC95" s="18" t="str">
        <f aca="false">IF($A95="","",IFERROR(DATEDIF($A$2,$A95,"m"),0))</f>
        <v/>
      </c>
      <c r="AD95" s="15" t="str">
        <f aca="false">IF($A95="","",IF(OR(AA95="",AB95="",AC95=""),"",AA95*POWER(1+AB95,AC95)))</f>
        <v/>
      </c>
      <c r="AE95" s="27" t="str">
        <f aca="false">IF($A95="","",IF(OR(AD95="",AD95=0),"",B95/AD95-1))</f>
        <v/>
      </c>
      <c r="AG95" s="1" t="str">
        <f aca="false">IF($A95="","",IF(B95&lt;30000,"婴儿",IF(B95&lt;100000,"成长","成熟")))</f>
        <v/>
      </c>
      <c r="AH95" s="22"/>
      <c r="AJ95" s="22"/>
      <c r="AK95" s="22"/>
      <c r="AM95" s="22"/>
      <c r="AP95" s="13"/>
      <c r="AQ95" s="23" t="str">
        <f aca="false">IF($A95="","",B95-$AA$2-SUM($F$2:F95))</f>
        <v/>
      </c>
    </row>
    <row r="96" customFormat="false" ht="15" hidden="false" customHeight="true" outlineLevel="0" collapsed="false">
      <c r="A96" s="5"/>
      <c r="B96" s="14"/>
      <c r="C96" s="14"/>
      <c r="D96" s="15" t="str">
        <f aca="false">IF($A96="","",SUMIFS(持仓表!$J:$J,持仓表!$A:$A,$A96))</f>
        <v/>
      </c>
      <c r="E96" s="16" t="n">
        <f aca="false">IFERROR(D96/B96,0)</f>
        <v>0</v>
      </c>
      <c r="F96" s="14"/>
      <c r="G96" s="15" t="str">
        <f aca="false">IF($B96="","",MAX($B$2:B96))</f>
        <v/>
      </c>
      <c r="H96" s="16" t="n">
        <f aca="false">IFERROR((B96-F96)/F96,0)</f>
        <v>0</v>
      </c>
      <c r="I96" s="16" t="n">
        <f aca="false">IFERROR((B96-G96)/G96,0)</f>
        <v>0</v>
      </c>
      <c r="J96" s="11"/>
      <c r="K96" s="5"/>
      <c r="L96" s="17"/>
      <c r="M96" s="17"/>
      <c r="N96" s="16" t="str">
        <f aca="false">IF($B96="","",MIN(70%,IF($I96&lt;=-15%,10%,IF($I96&lt;=-10%,30%,IF($M96&gt;=4,10%,IF($M96&gt;=3,30%,IF($J96="强",IF($K96="A",70%,IF($K96="B",60%,40%)),IF($J96="中性",IF($K96="A",50%,IF($K96="B",40%,25%)),IF($K96="A",30%,IF($K96="B",20%,10%))))))))))</f>
        <v/>
      </c>
      <c r="O96" s="16" t="str">
        <f aca="false">IF($B96="","",IF(B96&lt;30000,35%,IF(B96&lt;50000,30%,IF(B96&lt;100000,25%,20%))))</f>
        <v/>
      </c>
      <c r="P96" s="18" t="str">
        <f aca="false">IF($A96="","",COUNTIFS(持仓表!$A:$A,$A96,持仓表!$G:$G,"&gt;0"))</f>
        <v/>
      </c>
      <c r="Q96" s="18" t="str">
        <f aca="false">IF($A96="","",COUNTIFS(持仓表!$A:$A,$A96,持仓表!$D:$D,"是",持仓表!$G:$G,"&gt;0"))</f>
        <v/>
      </c>
      <c r="R96" s="18" t="str">
        <f aca="false">IF($A96="","",MAX(0,P96-Q96))</f>
        <v/>
      </c>
      <c r="S96" s="18" t="str">
        <f aca="false">IF($B96="","",IF(B96&lt;50000,3,IF(B96&lt;100000,4,5)))</f>
        <v/>
      </c>
      <c r="T96" s="19" t="str">
        <f aca="false">IF($A96="","",IF(OR(M96&gt;=4,I96&lt;=-8%),"防守",IF(OR(M96&gt;=2,I96&lt;=-5%),"警戒","正常")))</f>
        <v/>
      </c>
      <c r="U96" s="19" t="str">
        <f aca="false">IF($A96="","",IF(AND(L96&gt;=3,M96&lt;=2,T96&lt;&gt;"防守"),"是","否"))</f>
        <v/>
      </c>
      <c r="V96" s="19" t="str">
        <f aca="false">IF($A96="","",IF(AND(E96&lt;N96,R96&lt;S96,M96&lt;=2,I96&gt;-15%),"是","否"))</f>
        <v/>
      </c>
      <c r="W96" s="19" t="str">
        <f aca="false">IF($A96="","",IF(OR(M96&gt;=3,I96&lt;=-15%),"是","否"))</f>
        <v/>
      </c>
      <c r="X96" s="15" t="str">
        <f aca="false">IF($A96="","",IFERROR(maxifs(候选池!$AB:$AB,候选池!$A:$A,$A96),0))</f>
        <v/>
      </c>
      <c r="Y96" s="15" t="str">
        <f aca="false">IF($A96="","",IF(OR(M96&gt;=4,I96&lt;=-8%),MAX(0,B96*60%-C96),IF(AND(ISNUMBER(AD96),B96&gt;AD96),IF(B96&lt;30000,0,IF(B96&lt;100000,MAX(0,(B96-AD96)*0.2),MAX(0,(B96-AD96)*0.3))),0)))</f>
        <v/>
      </c>
      <c r="Z96" s="5"/>
      <c r="AA96" s="19" t="str">
        <f aca="false">IF($A96="","",IF($AA$2&lt;&gt;"",$AA$2,""))</f>
        <v/>
      </c>
      <c r="AB96" s="5" t="str">
        <f aca="false">IF($A96="","",IF(B96&lt;30000,0.03,IF(B96&lt;100000,0.02,0.015)))</f>
        <v/>
      </c>
      <c r="AC96" s="18" t="str">
        <f aca="false">IF($A96="","",IFERROR(DATEDIF($A$2,$A96,"m"),0))</f>
        <v/>
      </c>
      <c r="AD96" s="15" t="str">
        <f aca="false">IF($A96="","",IF(OR(AA96="",AB96="",AC96=""),"",AA96*POWER(1+AB96,AC96)))</f>
        <v/>
      </c>
      <c r="AE96" s="21" t="str">
        <f aca="false">IF($A96="","",IF(OR(AD96="",AD96=0),"",B96/AD96-1))</f>
        <v/>
      </c>
      <c r="AG96" s="1" t="str">
        <f aca="false">IF($A96="","",IF(B96&lt;30000,"婴儿",IF(B96&lt;100000,"成长","成熟")))</f>
        <v/>
      </c>
      <c r="AH96" s="22"/>
      <c r="AJ96" s="22"/>
      <c r="AK96" s="22"/>
      <c r="AM96" s="22"/>
      <c r="AP96" s="13"/>
      <c r="AQ96" s="23" t="str">
        <f aca="false">IF($A96="","",B96-$AA$2-SUM($F$2:F96))</f>
        <v/>
      </c>
    </row>
    <row r="97" customFormat="false" ht="15" hidden="false" customHeight="true" outlineLevel="0" collapsed="false">
      <c r="A97" s="7"/>
      <c r="B97" s="24"/>
      <c r="C97" s="24"/>
      <c r="D97" s="15" t="str">
        <f aca="false">IF($A97="","",SUMIFS(持仓表!$J:$J,持仓表!$A:$A,$A97))</f>
        <v/>
      </c>
      <c r="E97" s="16" t="n">
        <f aca="false">IFERROR(D97/B97,0)</f>
        <v>0</v>
      </c>
      <c r="F97" s="24"/>
      <c r="G97" s="15" t="str">
        <f aca="false">IF($B97="","",MAX($B$2:B97))</f>
        <v/>
      </c>
      <c r="H97" s="16" t="n">
        <f aca="false">IFERROR((B97-F97)/F97,0)</f>
        <v>0</v>
      </c>
      <c r="I97" s="16" t="n">
        <f aca="false">IFERROR((B97-G97)/G97,0)</f>
        <v>0</v>
      </c>
      <c r="J97" s="12"/>
      <c r="K97" s="7"/>
      <c r="L97" s="25"/>
      <c r="M97" s="25"/>
      <c r="N97" s="16" t="str">
        <f aca="false">IF($B97="","",MIN(70%,IF($I97&lt;=-15%,10%,IF($I97&lt;=-10%,30%,IF($M97&gt;=4,10%,IF($M97&gt;=3,30%,IF($J97="强",IF($K97="A",70%,IF($K97="B",60%,40%)),IF($J97="中性",IF($K97="A",50%,IF($K97="B",40%,25%)),IF($K97="A",30%,IF($K97="B",20%,10%))))))))))</f>
        <v/>
      </c>
      <c r="O97" s="16" t="str">
        <f aca="false">IF($B97="","",IF(B97&lt;30000,35%,IF(B97&lt;50000,30%,IF(B97&lt;100000,25%,20%))))</f>
        <v/>
      </c>
      <c r="P97" s="18" t="str">
        <f aca="false">IF($A97="","",COUNTIFS(持仓表!$A:$A,$A97,持仓表!$G:$G,"&gt;0"))</f>
        <v/>
      </c>
      <c r="Q97" s="18" t="str">
        <f aca="false">IF($A97="","",COUNTIFS(持仓表!$A:$A,$A97,持仓表!$D:$D,"是",持仓表!$G:$G,"&gt;0"))</f>
        <v/>
      </c>
      <c r="R97" s="18" t="str">
        <f aca="false">IF($A97="","",MAX(0,P97-Q97))</f>
        <v/>
      </c>
      <c r="S97" s="18" t="str">
        <f aca="false">IF($B97="","",IF(B97&lt;50000,3,IF(B97&lt;100000,4,5)))</f>
        <v/>
      </c>
      <c r="T97" s="19" t="str">
        <f aca="false">IF($A97="","",IF(OR(M97&gt;=4,I97&lt;=-8%),"防守",IF(OR(M97&gt;=2,I97&lt;=-5%),"警戒","正常")))</f>
        <v/>
      </c>
      <c r="U97" s="19" t="str">
        <f aca="false">IF($A97="","",IF(AND(L97&gt;=3,M97&lt;=2,T97&lt;&gt;"防守"),"是","否"))</f>
        <v/>
      </c>
      <c r="V97" s="19" t="str">
        <f aca="false">IF($A97="","",IF(AND(E97&lt;N97,R97&lt;S97,M97&lt;=2,I97&gt;-15%),"是","否"))</f>
        <v/>
      </c>
      <c r="W97" s="19" t="str">
        <f aca="false">IF($A97="","",IF(OR(M97&gt;=3,I97&lt;=-15%),"是","否"))</f>
        <v/>
      </c>
      <c r="X97" s="15" t="str">
        <f aca="false">IF($A97="","",IFERROR(maxifs(候选池!$AB:$AB,候选池!$A:$A,$A97),0))</f>
        <v/>
      </c>
      <c r="Y97" s="15" t="str">
        <f aca="false">IF($A97="","",IF(OR(M97&gt;=4,I97&lt;=-8%),MAX(0,B97*60%-C97),IF(AND(ISNUMBER(AD97),B97&gt;AD97),IF(B97&lt;30000,0,IF(B97&lt;100000,MAX(0,(B97-AD97)*0.2),MAX(0,(B97-AD97)*0.3))),0)))</f>
        <v/>
      </c>
      <c r="Z97" s="7"/>
      <c r="AA97" s="19" t="str">
        <f aca="false">IF($A97="","",IF($AA$2&lt;&gt;"",$AA$2,""))</f>
        <v/>
      </c>
      <c r="AB97" s="7" t="str">
        <f aca="false">IF($A97="","",IF(B97&lt;30000,0.03,IF(B97&lt;100000,0.02,0.015)))</f>
        <v/>
      </c>
      <c r="AC97" s="18" t="str">
        <f aca="false">IF($A97="","",IFERROR(DATEDIF($A$2,$A97,"m"),0))</f>
        <v/>
      </c>
      <c r="AD97" s="15" t="str">
        <f aca="false">IF($A97="","",IF(OR(AA97="",AB97="",AC97=""),"",AA97*POWER(1+AB97,AC97)))</f>
        <v/>
      </c>
      <c r="AE97" s="27" t="str">
        <f aca="false">IF($A97="","",IF(OR(AD97="",AD97=0),"",B97/AD97-1))</f>
        <v/>
      </c>
      <c r="AG97" s="1" t="str">
        <f aca="false">IF($A97="","",IF(B97&lt;30000,"婴儿",IF(B97&lt;100000,"成长","成熟")))</f>
        <v/>
      </c>
      <c r="AH97" s="22"/>
      <c r="AJ97" s="22"/>
      <c r="AK97" s="22"/>
      <c r="AM97" s="22"/>
      <c r="AP97" s="13"/>
      <c r="AQ97" s="23" t="str">
        <f aca="false">IF($A97="","",B97-$AA$2-SUM($F$2:F97))</f>
        <v/>
      </c>
    </row>
    <row r="98" customFormat="false" ht="15" hidden="false" customHeight="true" outlineLevel="0" collapsed="false">
      <c r="A98" s="5"/>
      <c r="B98" s="14"/>
      <c r="C98" s="14"/>
      <c r="D98" s="15" t="str">
        <f aca="false">IF($A98="","",SUMIFS(持仓表!$J:$J,持仓表!$A:$A,$A98))</f>
        <v/>
      </c>
      <c r="E98" s="16" t="n">
        <f aca="false">IFERROR(D98/B98,0)</f>
        <v>0</v>
      </c>
      <c r="F98" s="14"/>
      <c r="G98" s="15" t="str">
        <f aca="false">IF($B98="","",MAX($B$2:B98))</f>
        <v/>
      </c>
      <c r="H98" s="16" t="n">
        <f aca="false">IFERROR((B98-F98)/F98,0)</f>
        <v>0</v>
      </c>
      <c r="I98" s="16" t="n">
        <f aca="false">IFERROR((B98-G98)/G98,0)</f>
        <v>0</v>
      </c>
      <c r="J98" s="11"/>
      <c r="K98" s="5"/>
      <c r="L98" s="17"/>
      <c r="M98" s="17"/>
      <c r="N98" s="16" t="str">
        <f aca="false">IF($B98="","",MIN(70%,IF($I98&lt;=-15%,10%,IF($I98&lt;=-10%,30%,IF($M98&gt;=4,10%,IF($M98&gt;=3,30%,IF($J98="强",IF($K98="A",70%,IF($K98="B",60%,40%)),IF($J98="中性",IF($K98="A",50%,IF($K98="B",40%,25%)),IF($K98="A",30%,IF($K98="B",20%,10%))))))))))</f>
        <v/>
      </c>
      <c r="O98" s="16" t="str">
        <f aca="false">IF($B98="","",IF(B98&lt;30000,35%,IF(B98&lt;50000,30%,IF(B98&lt;100000,25%,20%))))</f>
        <v/>
      </c>
      <c r="P98" s="18" t="str">
        <f aca="false">IF($A98="","",COUNTIFS(持仓表!$A:$A,$A98,持仓表!$G:$G,"&gt;0"))</f>
        <v/>
      </c>
      <c r="Q98" s="18" t="str">
        <f aca="false">IF($A98="","",COUNTIFS(持仓表!$A:$A,$A98,持仓表!$D:$D,"是",持仓表!$G:$G,"&gt;0"))</f>
        <v/>
      </c>
      <c r="R98" s="18" t="str">
        <f aca="false">IF($A98="","",MAX(0,P98-Q98))</f>
        <v/>
      </c>
      <c r="S98" s="18" t="str">
        <f aca="false">IF($B98="","",IF(B98&lt;50000,3,IF(B98&lt;100000,4,5)))</f>
        <v/>
      </c>
      <c r="T98" s="19" t="str">
        <f aca="false">IF($A98="","",IF(OR(M98&gt;=4,I98&lt;=-8%),"防守",IF(OR(M98&gt;=2,I98&lt;=-5%),"警戒","正常")))</f>
        <v/>
      </c>
      <c r="U98" s="19" t="str">
        <f aca="false">IF($A98="","",IF(AND(L98&gt;=3,M98&lt;=2,T98&lt;&gt;"防守"),"是","否"))</f>
        <v/>
      </c>
      <c r="V98" s="19" t="str">
        <f aca="false">IF($A98="","",IF(AND(E98&lt;N98,R98&lt;S98,M98&lt;=2,I98&gt;-15%),"是","否"))</f>
        <v/>
      </c>
      <c r="W98" s="19" t="str">
        <f aca="false">IF($A98="","",IF(OR(M98&gt;=3,I98&lt;=-15%),"是","否"))</f>
        <v/>
      </c>
      <c r="X98" s="15" t="str">
        <f aca="false">IF($A98="","",IFERROR(maxifs(候选池!$AB:$AB,候选池!$A:$A,$A98),0))</f>
        <v/>
      </c>
      <c r="Y98" s="15" t="str">
        <f aca="false">IF($A98="","",IF(OR(M98&gt;=4,I98&lt;=-8%),MAX(0,B98*60%-C98),IF(AND(ISNUMBER(AD98),B98&gt;AD98),IF(B98&lt;30000,0,IF(B98&lt;100000,MAX(0,(B98-AD98)*0.2),MAX(0,(B98-AD98)*0.3))),0)))</f>
        <v/>
      </c>
      <c r="Z98" s="5"/>
      <c r="AA98" s="19" t="str">
        <f aca="false">IF($A98="","",IF($AA$2&lt;&gt;"",$AA$2,""))</f>
        <v/>
      </c>
      <c r="AB98" s="5" t="str">
        <f aca="false">IF($A98="","",IF(B98&lt;30000,0.03,IF(B98&lt;100000,0.02,0.015)))</f>
        <v/>
      </c>
      <c r="AC98" s="18" t="str">
        <f aca="false">IF($A98="","",IFERROR(DATEDIF($A$2,$A98,"m"),0))</f>
        <v/>
      </c>
      <c r="AD98" s="15" t="str">
        <f aca="false">IF($A98="","",IF(OR(AA98="",AB98="",AC98=""),"",AA98*POWER(1+AB98,AC98)))</f>
        <v/>
      </c>
      <c r="AE98" s="21" t="str">
        <f aca="false">IF($A98="","",IF(OR(AD98="",AD98=0),"",B98/AD98-1))</f>
        <v/>
      </c>
      <c r="AG98" s="1" t="str">
        <f aca="false">IF($A98="","",IF(B98&lt;30000,"婴儿",IF(B98&lt;100000,"成长","成熟")))</f>
        <v/>
      </c>
      <c r="AH98" s="22"/>
      <c r="AJ98" s="22"/>
      <c r="AK98" s="22"/>
      <c r="AM98" s="22"/>
      <c r="AP98" s="13"/>
      <c r="AQ98" s="23" t="str">
        <f aca="false">IF($A98="","",B98-$AA$2-SUM($F$2:F98))</f>
        <v/>
      </c>
    </row>
    <row r="99" customFormat="false" ht="15" hidden="false" customHeight="true" outlineLevel="0" collapsed="false">
      <c r="A99" s="7"/>
      <c r="B99" s="24"/>
      <c r="C99" s="24"/>
      <c r="D99" s="15" t="str">
        <f aca="false">IF($A99="","",SUMIFS(持仓表!$J:$J,持仓表!$A:$A,$A99))</f>
        <v/>
      </c>
      <c r="E99" s="16" t="n">
        <f aca="false">IFERROR(D99/B99,0)</f>
        <v>0</v>
      </c>
      <c r="F99" s="24"/>
      <c r="G99" s="15" t="str">
        <f aca="false">IF($B99="","",MAX($B$2:B99))</f>
        <v/>
      </c>
      <c r="H99" s="16" t="n">
        <f aca="false">IFERROR((B99-F99)/F99,0)</f>
        <v>0</v>
      </c>
      <c r="I99" s="16" t="n">
        <f aca="false">IFERROR((B99-G99)/G99,0)</f>
        <v>0</v>
      </c>
      <c r="J99" s="12"/>
      <c r="K99" s="7"/>
      <c r="L99" s="25"/>
      <c r="M99" s="25"/>
      <c r="N99" s="16" t="str">
        <f aca="false">IF($B99="","",MIN(70%,IF($I99&lt;=-15%,10%,IF($I99&lt;=-10%,30%,IF($M99&gt;=4,10%,IF($M99&gt;=3,30%,IF($J99="强",IF($K99="A",70%,IF($K99="B",60%,40%)),IF($J99="中性",IF($K99="A",50%,IF($K99="B",40%,25%)),IF($K99="A",30%,IF($K99="B",20%,10%))))))))))</f>
        <v/>
      </c>
      <c r="O99" s="16" t="str">
        <f aca="false">IF($B99="","",IF(B99&lt;30000,35%,IF(B99&lt;50000,30%,IF(B99&lt;100000,25%,20%))))</f>
        <v/>
      </c>
      <c r="P99" s="18" t="str">
        <f aca="false">IF($A99="","",COUNTIFS(持仓表!$A:$A,$A99,持仓表!$G:$G,"&gt;0"))</f>
        <v/>
      </c>
      <c r="Q99" s="18" t="str">
        <f aca="false">IF($A99="","",COUNTIFS(持仓表!$A:$A,$A99,持仓表!$D:$D,"是",持仓表!$G:$G,"&gt;0"))</f>
        <v/>
      </c>
      <c r="R99" s="18" t="str">
        <f aca="false">IF($A99="","",MAX(0,P99-Q99))</f>
        <v/>
      </c>
      <c r="S99" s="18" t="str">
        <f aca="false">IF($B99="","",IF(B99&lt;50000,3,IF(B99&lt;100000,4,5)))</f>
        <v/>
      </c>
      <c r="T99" s="19" t="str">
        <f aca="false">IF($A99="","",IF(OR(M99&gt;=4,I99&lt;=-8%),"防守",IF(OR(M99&gt;=2,I99&lt;=-5%),"警戒","正常")))</f>
        <v/>
      </c>
      <c r="U99" s="19" t="str">
        <f aca="false">IF($A99="","",IF(AND(L99&gt;=3,M99&lt;=2,T99&lt;&gt;"防守"),"是","否"))</f>
        <v/>
      </c>
      <c r="V99" s="19" t="str">
        <f aca="false">IF($A99="","",IF(AND(E99&lt;N99,R99&lt;S99,M99&lt;=2,I99&gt;-15%),"是","否"))</f>
        <v/>
      </c>
      <c r="W99" s="19" t="str">
        <f aca="false">IF($A99="","",IF(OR(M99&gt;=3,I99&lt;=-15%),"是","否"))</f>
        <v/>
      </c>
      <c r="X99" s="15" t="str">
        <f aca="false">IF($A99="","",IFERROR(maxifs(候选池!$AB:$AB,候选池!$A:$A,$A99),0))</f>
        <v/>
      </c>
      <c r="Y99" s="15" t="str">
        <f aca="false">IF($A99="","",IF(OR(M99&gt;=4,I99&lt;=-8%),MAX(0,B99*60%-C99),IF(AND(ISNUMBER(AD99),B99&gt;AD99),IF(B99&lt;30000,0,IF(B99&lt;100000,MAX(0,(B99-AD99)*0.2),MAX(0,(B99-AD99)*0.3))),0)))</f>
        <v/>
      </c>
      <c r="Z99" s="7"/>
      <c r="AA99" s="19" t="str">
        <f aca="false">IF($A99="","",IF($AA$2&lt;&gt;"",$AA$2,""))</f>
        <v/>
      </c>
      <c r="AB99" s="7" t="str">
        <f aca="false">IF($A99="","",IF(B99&lt;30000,0.03,IF(B99&lt;100000,0.02,0.015)))</f>
        <v/>
      </c>
      <c r="AC99" s="18" t="str">
        <f aca="false">IF($A99="","",IFERROR(DATEDIF($A$2,$A99,"m"),0))</f>
        <v/>
      </c>
      <c r="AD99" s="15" t="str">
        <f aca="false">IF($A99="","",IF(OR(AA99="",AB99="",AC99=""),"",AA99*POWER(1+AB99,AC99)))</f>
        <v/>
      </c>
      <c r="AE99" s="27" t="str">
        <f aca="false">IF($A99="","",IF(OR(AD99="",AD99=0),"",B99/AD99-1))</f>
        <v/>
      </c>
      <c r="AG99" s="1" t="str">
        <f aca="false">IF($A99="","",IF(B99&lt;30000,"婴儿",IF(B99&lt;100000,"成长","成熟")))</f>
        <v/>
      </c>
      <c r="AH99" s="22"/>
      <c r="AJ99" s="22"/>
      <c r="AK99" s="22"/>
      <c r="AM99" s="22"/>
      <c r="AP99" s="13"/>
      <c r="AQ99" s="23" t="str">
        <f aca="false">IF($A99="","",B99-$AA$2-SUM($F$2:F99))</f>
        <v/>
      </c>
    </row>
    <row r="100" customFormat="false" ht="15" hidden="false" customHeight="true" outlineLevel="0" collapsed="false">
      <c r="A100" s="5"/>
      <c r="B100" s="14"/>
      <c r="C100" s="14"/>
      <c r="D100" s="15" t="str">
        <f aca="false">IF($A100="","",SUMIFS(持仓表!$J:$J,持仓表!$A:$A,$A100))</f>
        <v/>
      </c>
      <c r="E100" s="16" t="n">
        <f aca="false">IFERROR(D100/B100,0)</f>
        <v>0</v>
      </c>
      <c r="F100" s="14"/>
      <c r="G100" s="15" t="str">
        <f aca="false">IF($B100="","",MAX($B$2:B100))</f>
        <v/>
      </c>
      <c r="H100" s="16" t="n">
        <f aca="false">IFERROR((B100-F100)/F100,0)</f>
        <v>0</v>
      </c>
      <c r="I100" s="16" t="n">
        <f aca="false">IFERROR((B100-G100)/G100,0)</f>
        <v>0</v>
      </c>
      <c r="J100" s="11"/>
      <c r="K100" s="5"/>
      <c r="L100" s="17"/>
      <c r="M100" s="17"/>
      <c r="N100" s="16" t="str">
        <f aca="false">IF($B100="","",MIN(70%,IF($I100&lt;=-15%,10%,IF($I100&lt;=-10%,30%,IF($M100&gt;=4,10%,IF($M100&gt;=3,30%,IF($J100="强",IF($K100="A",70%,IF($K100="B",60%,40%)),IF($J100="中性",IF($K100="A",50%,IF($K100="B",40%,25%)),IF($K100="A",30%,IF($K100="B",20%,10%))))))))))</f>
        <v/>
      </c>
      <c r="O100" s="16" t="str">
        <f aca="false">IF($B100="","",IF(B100&lt;30000,35%,IF(B100&lt;50000,30%,IF(B100&lt;100000,25%,20%))))</f>
        <v/>
      </c>
      <c r="P100" s="18" t="str">
        <f aca="false">IF($A100="","",COUNTIFS(持仓表!$A:$A,$A100,持仓表!$G:$G,"&gt;0"))</f>
        <v/>
      </c>
      <c r="Q100" s="18" t="str">
        <f aca="false">IF($A100="","",COUNTIFS(持仓表!$A:$A,$A100,持仓表!$D:$D,"是",持仓表!$G:$G,"&gt;0"))</f>
        <v/>
      </c>
      <c r="R100" s="18" t="str">
        <f aca="false">IF($A100="","",MAX(0,P100-Q100))</f>
        <v/>
      </c>
      <c r="S100" s="18" t="str">
        <f aca="false">IF($B100="","",IF(B100&lt;50000,3,IF(B100&lt;100000,4,5)))</f>
        <v/>
      </c>
      <c r="T100" s="19" t="str">
        <f aca="false">IF($A100="","",IF(OR(M100&gt;=4,I100&lt;=-8%),"防守",IF(OR(M100&gt;=2,I100&lt;=-5%),"警戒","正常")))</f>
        <v/>
      </c>
      <c r="U100" s="19" t="str">
        <f aca="false">IF($A100="","",IF(AND(L100&gt;=3,M100&lt;=2,T100&lt;&gt;"防守"),"是","否"))</f>
        <v/>
      </c>
      <c r="V100" s="19" t="str">
        <f aca="false">IF($A100="","",IF(AND(E100&lt;N100,R100&lt;S100,M100&lt;=2,I100&gt;-15%),"是","否"))</f>
        <v/>
      </c>
      <c r="W100" s="19" t="str">
        <f aca="false">IF($A100="","",IF(OR(M100&gt;=3,I100&lt;=-15%),"是","否"))</f>
        <v/>
      </c>
      <c r="X100" s="15" t="str">
        <f aca="false">IF($A100="","",IFERROR(maxifs(候选池!$AB:$AB,候选池!$A:$A,$A100),0))</f>
        <v/>
      </c>
      <c r="Y100" s="15" t="str">
        <f aca="false">IF($A100="","",IF(OR(M100&gt;=4,I100&lt;=-8%),MAX(0,B100*60%-C100),IF(AND(ISNUMBER(AD100),B100&gt;AD100),IF(B100&lt;30000,0,IF(B100&lt;100000,MAX(0,(B100-AD100)*0.2),MAX(0,(B100-AD100)*0.3))),0)))</f>
        <v/>
      </c>
      <c r="Z100" s="5"/>
      <c r="AA100" s="19" t="str">
        <f aca="false">IF($A100="","",IF($AA$2&lt;&gt;"",$AA$2,""))</f>
        <v/>
      </c>
      <c r="AB100" s="5" t="str">
        <f aca="false">IF($A100="","",IF(B100&lt;30000,0.03,IF(B100&lt;100000,0.02,0.015)))</f>
        <v/>
      </c>
      <c r="AC100" s="18" t="str">
        <f aca="false">IF($A100="","",IFERROR(DATEDIF($A$2,$A100,"m"),0))</f>
        <v/>
      </c>
      <c r="AD100" s="15" t="str">
        <f aca="false">IF($A100="","",IF(OR(AA100="",AB100="",AC100=""),"",AA100*POWER(1+AB100,AC100)))</f>
        <v/>
      </c>
      <c r="AE100" s="21" t="str">
        <f aca="false">IF($A100="","",IF(OR(AD100="",AD100=0),"",B100/AD100-1))</f>
        <v/>
      </c>
      <c r="AG100" s="1" t="str">
        <f aca="false">IF($A100="","",IF(B100&lt;30000,"婴儿",IF(B100&lt;100000,"成长","成熟")))</f>
        <v/>
      </c>
      <c r="AH100" s="22"/>
      <c r="AJ100" s="22"/>
      <c r="AK100" s="22"/>
      <c r="AM100" s="22"/>
      <c r="AP100" s="13"/>
      <c r="AQ100" s="23" t="str">
        <f aca="false">IF($A100="","",B100-$AA$2-SUM($F$2:F100))</f>
        <v/>
      </c>
    </row>
    <row r="101" customFormat="false" ht="15" hidden="false" customHeight="true" outlineLevel="0" collapsed="false">
      <c r="A101" s="7"/>
      <c r="B101" s="24"/>
      <c r="C101" s="24"/>
      <c r="D101" s="15" t="str">
        <f aca="false">IF($A101="","",SUMIFS(持仓表!$J:$J,持仓表!$A:$A,$A101))</f>
        <v/>
      </c>
      <c r="E101" s="16" t="n">
        <f aca="false">IFERROR(D101/B101,0)</f>
        <v>0</v>
      </c>
      <c r="F101" s="24"/>
      <c r="G101" s="15" t="str">
        <f aca="false">IF($B101="","",MAX($B$2:B101))</f>
        <v/>
      </c>
      <c r="H101" s="16" t="n">
        <f aca="false">IFERROR((B101-F101)/F101,0)</f>
        <v>0</v>
      </c>
      <c r="I101" s="16" t="n">
        <f aca="false">IFERROR((B101-G101)/G101,0)</f>
        <v>0</v>
      </c>
      <c r="J101" s="12"/>
      <c r="K101" s="7"/>
      <c r="L101" s="25"/>
      <c r="M101" s="25"/>
      <c r="N101" s="16" t="str">
        <f aca="false">IF($B101="","",MIN(70%,IF($I101&lt;=-15%,10%,IF($I101&lt;=-10%,30%,IF($M101&gt;=4,10%,IF($M101&gt;=3,30%,IF($J101="强",IF($K101="A",70%,IF($K101="B",60%,40%)),IF($J101="中性",IF($K101="A",50%,IF($K101="B",40%,25%)),IF($K101="A",30%,IF($K101="B",20%,10%))))))))))</f>
        <v/>
      </c>
      <c r="O101" s="16" t="str">
        <f aca="false">IF($B101="","",IF(B101&lt;30000,35%,IF(B101&lt;50000,30%,IF(B101&lt;100000,25%,20%))))</f>
        <v/>
      </c>
      <c r="P101" s="18" t="str">
        <f aca="false">IF($A101="","",COUNTIFS(持仓表!$A:$A,$A101,持仓表!$G:$G,"&gt;0"))</f>
        <v/>
      </c>
      <c r="Q101" s="18" t="str">
        <f aca="false">IF($A101="","",COUNTIFS(持仓表!$A:$A,$A101,持仓表!$D:$D,"是",持仓表!$G:$G,"&gt;0"))</f>
        <v/>
      </c>
      <c r="R101" s="18" t="str">
        <f aca="false">IF($A101="","",MAX(0,P101-Q101))</f>
        <v/>
      </c>
      <c r="S101" s="18" t="str">
        <f aca="false">IF($B101="","",IF(B101&lt;50000,3,IF(B101&lt;100000,4,5)))</f>
        <v/>
      </c>
      <c r="T101" s="19" t="str">
        <f aca="false">IF($A101="","",IF(OR(M101&gt;=4,I101&lt;=-8%),"防守",IF(OR(M101&gt;=2,I101&lt;=-5%),"警戒","正常")))</f>
        <v/>
      </c>
      <c r="U101" s="19" t="str">
        <f aca="false">IF($A101="","",IF(AND(L101&gt;=3,M101&lt;=2,T101&lt;&gt;"防守"),"是","否"))</f>
        <v/>
      </c>
      <c r="V101" s="19" t="str">
        <f aca="false">IF($A101="","",IF(AND(E101&lt;N101,R101&lt;S101,M101&lt;=2,I101&gt;-15%),"是","否"))</f>
        <v/>
      </c>
      <c r="W101" s="19" t="str">
        <f aca="false">IF($A101="","",IF(OR(M101&gt;=3,I101&lt;=-15%),"是","否"))</f>
        <v/>
      </c>
      <c r="X101" s="15" t="str">
        <f aca="false">IF($A101="","",IFERROR(maxifs(候选池!$AB:$AB,候选池!$A:$A,$A101),0))</f>
        <v/>
      </c>
      <c r="Y101" s="15" t="str">
        <f aca="false">IF($A101="","",IF(OR(M101&gt;=4,I101&lt;=-8%),MAX(0,B101*60%-C101),IF(AND(ISNUMBER(AD101),B101&gt;AD101),IF(B101&lt;30000,0,IF(B101&lt;100000,MAX(0,(B101-AD101)*0.2),MAX(0,(B101-AD101)*0.3))),0)))</f>
        <v/>
      </c>
      <c r="Z101" s="7"/>
      <c r="AA101" s="19" t="str">
        <f aca="false">IF($A101="","",IF($AA$2&lt;&gt;"",$AA$2,""))</f>
        <v/>
      </c>
      <c r="AB101" s="7" t="str">
        <f aca="false">IF($A101="","",IF(B101&lt;30000,0.03,IF(B101&lt;100000,0.02,0.015)))</f>
        <v/>
      </c>
      <c r="AC101" s="18" t="str">
        <f aca="false">IF($A101="","",IFERROR(DATEDIF($A$2,$A101,"m"),0))</f>
        <v/>
      </c>
      <c r="AD101" s="15" t="str">
        <f aca="false">IF($A101="","",IF(OR(AA101="",AB101="",AC101=""),"",AA101*POWER(1+AB101,AC101)))</f>
        <v/>
      </c>
      <c r="AE101" s="27" t="str">
        <f aca="false">IF($A101="","",IF(OR(AD101="",AD101=0),"",B101/AD101-1))</f>
        <v/>
      </c>
      <c r="AG101" s="1" t="str">
        <f aca="false">IF($A101="","",IF(B101&lt;30000,"婴儿",IF(B101&lt;100000,"成长","成熟")))</f>
        <v/>
      </c>
      <c r="AH101" s="22"/>
      <c r="AJ101" s="22"/>
      <c r="AK101" s="22"/>
      <c r="AM101" s="22"/>
      <c r="AP101" s="13"/>
      <c r="AQ101" s="23" t="str">
        <f aca="false">IF($A101="","",B101-$AA$2-SUM($F$2:F101))</f>
        <v/>
      </c>
    </row>
    <row r="102" customFormat="false" ht="15" hidden="false" customHeight="true" outlineLevel="0" collapsed="false">
      <c r="A102" s="5"/>
      <c r="B102" s="14"/>
      <c r="C102" s="14"/>
      <c r="D102" s="15" t="str">
        <f aca="false">IF($A102="","",SUMIFS(持仓表!$J:$J,持仓表!$A:$A,$A102))</f>
        <v/>
      </c>
      <c r="E102" s="16" t="n">
        <f aca="false">IFERROR(D102/B102,0)</f>
        <v>0</v>
      </c>
      <c r="F102" s="14"/>
      <c r="G102" s="15" t="str">
        <f aca="false">IF($B102="","",MAX($B$2:B102))</f>
        <v/>
      </c>
      <c r="H102" s="16" t="n">
        <f aca="false">IFERROR((B102-F102)/F102,0)</f>
        <v>0</v>
      </c>
      <c r="I102" s="16" t="n">
        <f aca="false">IFERROR((B102-G102)/G102,0)</f>
        <v>0</v>
      </c>
      <c r="J102" s="11"/>
      <c r="K102" s="5"/>
      <c r="L102" s="17"/>
      <c r="M102" s="17"/>
      <c r="N102" s="16" t="str">
        <f aca="false">IF($B102="","",MIN(70%,IF($I102&lt;=-15%,10%,IF($I102&lt;=-10%,30%,IF($M102&gt;=4,10%,IF($M102&gt;=3,30%,IF($J102="强",IF($K102="A",70%,IF($K102="B",60%,40%)),IF($J102="中性",IF($K102="A",50%,IF($K102="B",40%,25%)),IF($K102="A",30%,IF($K102="B",20%,10%))))))))))</f>
        <v/>
      </c>
      <c r="O102" s="16" t="str">
        <f aca="false">IF($B102="","",IF(B102&lt;30000,35%,IF(B102&lt;50000,30%,IF(B102&lt;100000,25%,20%))))</f>
        <v/>
      </c>
      <c r="P102" s="18" t="str">
        <f aca="false">IF($A102="","",COUNTIFS(持仓表!$A:$A,$A102,持仓表!$G:$G,"&gt;0"))</f>
        <v/>
      </c>
      <c r="Q102" s="18" t="str">
        <f aca="false">IF($A102="","",COUNTIFS(持仓表!$A:$A,$A102,持仓表!$D:$D,"是",持仓表!$G:$G,"&gt;0"))</f>
        <v/>
      </c>
      <c r="R102" s="18" t="str">
        <f aca="false">IF($A102="","",MAX(0,P102-Q102))</f>
        <v/>
      </c>
      <c r="S102" s="18" t="str">
        <f aca="false">IF($B102="","",IF(B102&lt;50000,3,IF(B102&lt;100000,4,5)))</f>
        <v/>
      </c>
      <c r="T102" s="19" t="str">
        <f aca="false">IF($A102="","",IF(OR(M102&gt;=4,I102&lt;=-8%),"防守",IF(OR(M102&gt;=2,I102&lt;=-5%),"警戒","正常")))</f>
        <v/>
      </c>
      <c r="U102" s="19" t="str">
        <f aca="false">IF($A102="","",IF(AND(L102&gt;=3,M102&lt;=2,T102&lt;&gt;"防守"),"是","否"))</f>
        <v/>
      </c>
      <c r="V102" s="19" t="str">
        <f aca="false">IF($A102="","",IF(AND(E102&lt;N102,R102&lt;S102,M102&lt;=2,I102&gt;-15%),"是","否"))</f>
        <v/>
      </c>
      <c r="W102" s="19" t="str">
        <f aca="false">IF($A102="","",IF(OR(M102&gt;=3,I102&lt;=-15%),"是","否"))</f>
        <v/>
      </c>
      <c r="X102" s="15" t="str">
        <f aca="false">IF($A102="","",IFERROR(maxifs(候选池!$AB:$AB,候选池!$A:$A,$A102),0))</f>
        <v/>
      </c>
      <c r="Y102" s="15" t="str">
        <f aca="false">IF($A102="","",IF(OR(M102&gt;=4,I102&lt;=-8%),MAX(0,B102*60%-C102),IF(AND(ISNUMBER(AD102),B102&gt;AD102),IF(B102&lt;30000,0,IF(B102&lt;100000,MAX(0,(B102-AD102)*0.2),MAX(0,(B102-AD102)*0.3))),0)))</f>
        <v/>
      </c>
      <c r="Z102" s="5"/>
      <c r="AA102" s="19" t="str">
        <f aca="false">IF($A102="","",IF($AA$2&lt;&gt;"",$AA$2,""))</f>
        <v/>
      </c>
      <c r="AB102" s="5" t="str">
        <f aca="false">IF($A102="","",IF(B102&lt;30000,0.03,IF(B102&lt;100000,0.02,0.015)))</f>
        <v/>
      </c>
      <c r="AC102" s="18" t="str">
        <f aca="false">IF($A102="","",IFERROR(DATEDIF($A$2,$A102,"m"),0))</f>
        <v/>
      </c>
      <c r="AD102" s="15" t="str">
        <f aca="false">IF($A102="","",IF(OR(AA102="",AB102="",AC102=""),"",AA102*POWER(1+AB102,AC102)))</f>
        <v/>
      </c>
      <c r="AE102" s="21" t="str">
        <f aca="false">IF($A102="","",IF(OR(AD102="",AD102=0),"",B102/AD102-1))</f>
        <v/>
      </c>
      <c r="AG102" s="1" t="str">
        <f aca="false">IF($A102="","",IF(B102&lt;30000,"婴儿",IF(B102&lt;100000,"成长","成熟")))</f>
        <v/>
      </c>
      <c r="AH102" s="22"/>
      <c r="AJ102" s="22"/>
      <c r="AK102" s="22"/>
      <c r="AM102" s="22"/>
      <c r="AP102" s="13"/>
      <c r="AQ102" s="23" t="str">
        <f aca="false">IF($A102="","",B102-$AA$2-SUM($F$2:F102))</f>
        <v/>
      </c>
    </row>
    <row r="103" customFormat="false" ht="15" hidden="false" customHeight="true" outlineLevel="0" collapsed="false">
      <c r="A103" s="7"/>
      <c r="B103" s="24"/>
      <c r="C103" s="24"/>
      <c r="D103" s="15" t="str">
        <f aca="false">IF($A103="","",SUMIFS(持仓表!$J:$J,持仓表!$A:$A,$A103))</f>
        <v/>
      </c>
      <c r="E103" s="16" t="n">
        <f aca="false">IFERROR(D103/B103,0)</f>
        <v>0</v>
      </c>
      <c r="F103" s="24"/>
      <c r="G103" s="15" t="str">
        <f aca="false">IF($B103="","",MAX($B$2:B103))</f>
        <v/>
      </c>
      <c r="H103" s="16" t="n">
        <f aca="false">IFERROR((B103-F103)/F103,0)</f>
        <v>0</v>
      </c>
      <c r="I103" s="16" t="n">
        <f aca="false">IFERROR((B103-G103)/G103,0)</f>
        <v>0</v>
      </c>
      <c r="J103" s="12"/>
      <c r="K103" s="7"/>
      <c r="L103" s="25"/>
      <c r="M103" s="25"/>
      <c r="N103" s="16" t="str">
        <f aca="false">IF($B103="","",MIN(70%,IF($I103&lt;=-15%,10%,IF($I103&lt;=-10%,30%,IF($M103&gt;=4,10%,IF($M103&gt;=3,30%,IF($J103="强",IF($K103="A",70%,IF($K103="B",60%,40%)),IF($J103="中性",IF($K103="A",50%,IF($K103="B",40%,25%)),IF($K103="A",30%,IF($K103="B",20%,10%))))))))))</f>
        <v/>
      </c>
      <c r="O103" s="16" t="str">
        <f aca="false">IF($B103="","",IF(B103&lt;30000,35%,IF(B103&lt;50000,30%,IF(B103&lt;100000,25%,20%))))</f>
        <v/>
      </c>
      <c r="P103" s="18" t="str">
        <f aca="false">IF($A103="","",COUNTIFS(持仓表!$A:$A,$A103,持仓表!$G:$G,"&gt;0"))</f>
        <v/>
      </c>
      <c r="Q103" s="18" t="str">
        <f aca="false">IF($A103="","",COUNTIFS(持仓表!$A:$A,$A103,持仓表!$D:$D,"是",持仓表!$G:$G,"&gt;0"))</f>
        <v/>
      </c>
      <c r="R103" s="18" t="str">
        <f aca="false">IF($A103="","",MAX(0,P103-Q103))</f>
        <v/>
      </c>
      <c r="S103" s="18" t="str">
        <f aca="false">IF($B103="","",IF(B103&lt;50000,3,IF(B103&lt;100000,4,5)))</f>
        <v/>
      </c>
      <c r="T103" s="19" t="str">
        <f aca="false">IF($A103="","",IF(OR(M103&gt;=4,I103&lt;=-8%),"防守",IF(OR(M103&gt;=2,I103&lt;=-5%),"警戒","正常")))</f>
        <v/>
      </c>
      <c r="U103" s="19" t="str">
        <f aca="false">IF($A103="","",IF(AND(L103&gt;=3,M103&lt;=2,T103&lt;&gt;"防守"),"是","否"))</f>
        <v/>
      </c>
      <c r="V103" s="19" t="str">
        <f aca="false">IF($A103="","",IF(AND(E103&lt;N103,R103&lt;S103,M103&lt;=2,I103&gt;-15%),"是","否"))</f>
        <v/>
      </c>
      <c r="W103" s="19" t="str">
        <f aca="false">IF($A103="","",IF(OR(M103&gt;=3,I103&lt;=-15%),"是","否"))</f>
        <v/>
      </c>
      <c r="X103" s="15" t="str">
        <f aca="false">IF($A103="","",IFERROR(maxifs(候选池!$AB:$AB,候选池!$A:$A,$A103),0))</f>
        <v/>
      </c>
      <c r="Y103" s="15" t="str">
        <f aca="false">IF($A103="","",IF(OR(M103&gt;=4,I103&lt;=-8%),MAX(0,B103*60%-C103),IF(AND(ISNUMBER(AD103),B103&gt;AD103),IF(B103&lt;30000,0,IF(B103&lt;100000,MAX(0,(B103-AD103)*0.2),MAX(0,(B103-AD103)*0.3))),0)))</f>
        <v/>
      </c>
      <c r="Z103" s="7"/>
      <c r="AA103" s="19" t="str">
        <f aca="false">IF($A103="","",IF($AA$2&lt;&gt;"",$AA$2,""))</f>
        <v/>
      </c>
      <c r="AB103" s="7" t="str">
        <f aca="false">IF($A103="","",IF(B103&lt;30000,0.03,IF(B103&lt;100000,0.02,0.015)))</f>
        <v/>
      </c>
      <c r="AC103" s="18" t="str">
        <f aca="false">IF($A103="","",IFERROR(DATEDIF($A$2,$A103,"m"),0))</f>
        <v/>
      </c>
      <c r="AD103" s="15" t="str">
        <f aca="false">IF($A103="","",IF(OR(AA103="",AB103="",AC103=""),"",AA103*POWER(1+AB103,AC103)))</f>
        <v/>
      </c>
      <c r="AE103" s="27" t="str">
        <f aca="false">IF($A103="","",IF(OR(AD103="",AD103=0),"",B103/AD103-1))</f>
        <v/>
      </c>
      <c r="AG103" s="1" t="str">
        <f aca="false">IF($A103="","",IF(B103&lt;30000,"婴儿",IF(B103&lt;100000,"成长","成熟")))</f>
        <v/>
      </c>
      <c r="AH103" s="22"/>
      <c r="AJ103" s="22"/>
      <c r="AK103" s="22"/>
      <c r="AM103" s="22"/>
      <c r="AP103" s="13"/>
      <c r="AQ103" s="23" t="str">
        <f aca="false">IF($A103="","",B103-$AA$2-SUM($F$2:F103))</f>
        <v/>
      </c>
    </row>
    <row r="104" customFormat="false" ht="15" hidden="false" customHeight="true" outlineLevel="0" collapsed="false">
      <c r="A104" s="5"/>
      <c r="B104" s="14"/>
      <c r="C104" s="14"/>
      <c r="D104" s="15" t="str">
        <f aca="false">IF($A104="","",SUMIFS(持仓表!$J:$J,持仓表!$A:$A,$A104))</f>
        <v/>
      </c>
      <c r="E104" s="16" t="n">
        <f aca="false">IFERROR(D104/B104,0)</f>
        <v>0</v>
      </c>
      <c r="F104" s="14"/>
      <c r="G104" s="15" t="str">
        <f aca="false">IF($B104="","",MAX($B$2:B104))</f>
        <v/>
      </c>
      <c r="H104" s="16" t="n">
        <f aca="false">IFERROR((B104-F104)/F104,0)</f>
        <v>0</v>
      </c>
      <c r="I104" s="16" t="n">
        <f aca="false">IFERROR((B104-G104)/G104,0)</f>
        <v>0</v>
      </c>
      <c r="J104" s="11"/>
      <c r="K104" s="5"/>
      <c r="L104" s="17"/>
      <c r="M104" s="17"/>
      <c r="N104" s="16" t="str">
        <f aca="false">IF($B104="","",MIN(70%,IF($I104&lt;=-15%,10%,IF($I104&lt;=-10%,30%,IF($M104&gt;=4,10%,IF($M104&gt;=3,30%,IF($J104="强",IF($K104="A",70%,IF($K104="B",60%,40%)),IF($J104="中性",IF($K104="A",50%,IF($K104="B",40%,25%)),IF($K104="A",30%,IF($K104="B",20%,10%))))))))))</f>
        <v/>
      </c>
      <c r="O104" s="16" t="str">
        <f aca="false">IF($B104="","",IF(B104&lt;30000,35%,IF(B104&lt;50000,30%,IF(B104&lt;100000,25%,20%))))</f>
        <v/>
      </c>
      <c r="P104" s="18" t="str">
        <f aca="false">IF($A104="","",COUNTIFS(持仓表!$A:$A,$A104,持仓表!$G:$G,"&gt;0"))</f>
        <v/>
      </c>
      <c r="Q104" s="18" t="str">
        <f aca="false">IF($A104="","",COUNTIFS(持仓表!$A:$A,$A104,持仓表!$D:$D,"是",持仓表!$G:$G,"&gt;0"))</f>
        <v/>
      </c>
      <c r="R104" s="18" t="str">
        <f aca="false">IF($A104="","",MAX(0,P104-Q104))</f>
        <v/>
      </c>
      <c r="S104" s="18" t="str">
        <f aca="false">IF($B104="","",IF(B104&lt;50000,3,IF(B104&lt;100000,4,5)))</f>
        <v/>
      </c>
      <c r="T104" s="19" t="str">
        <f aca="false">IF($A104="","",IF(OR(M104&gt;=4,I104&lt;=-8%),"防守",IF(OR(M104&gt;=2,I104&lt;=-5%),"警戒","正常")))</f>
        <v/>
      </c>
      <c r="U104" s="19" t="str">
        <f aca="false">IF($A104="","",IF(AND(L104&gt;=3,M104&lt;=2,T104&lt;&gt;"防守"),"是","否"))</f>
        <v/>
      </c>
      <c r="V104" s="19" t="str">
        <f aca="false">IF($A104="","",IF(AND(E104&lt;N104,R104&lt;S104,M104&lt;=2,I104&gt;-15%),"是","否"))</f>
        <v/>
      </c>
      <c r="W104" s="19" t="str">
        <f aca="false">IF($A104="","",IF(OR(M104&gt;=3,I104&lt;=-15%),"是","否"))</f>
        <v/>
      </c>
      <c r="X104" s="15" t="str">
        <f aca="false">IF($A104="","",IFERROR(maxifs(候选池!$AB:$AB,候选池!$A:$A,$A104),0))</f>
        <v/>
      </c>
      <c r="Y104" s="15" t="str">
        <f aca="false">IF($A104="","",IF(OR(M104&gt;=4,I104&lt;=-8%),MAX(0,B104*60%-C104),IF(AND(ISNUMBER(AD104),B104&gt;AD104),IF(B104&lt;30000,0,IF(B104&lt;100000,MAX(0,(B104-AD104)*0.2),MAX(0,(B104-AD104)*0.3))),0)))</f>
        <v/>
      </c>
      <c r="Z104" s="5"/>
      <c r="AA104" s="19" t="str">
        <f aca="false">IF($A104="","",IF($AA$2&lt;&gt;"",$AA$2,""))</f>
        <v/>
      </c>
      <c r="AB104" s="5" t="str">
        <f aca="false">IF($A104="","",IF(B104&lt;30000,0.03,IF(B104&lt;100000,0.02,0.015)))</f>
        <v/>
      </c>
      <c r="AC104" s="18" t="str">
        <f aca="false">IF($A104="","",IFERROR(DATEDIF($A$2,$A104,"m"),0))</f>
        <v/>
      </c>
      <c r="AD104" s="15" t="str">
        <f aca="false">IF($A104="","",IF(OR(AA104="",AB104="",AC104=""),"",AA104*POWER(1+AB104,AC104)))</f>
        <v/>
      </c>
      <c r="AE104" s="21" t="str">
        <f aca="false">IF($A104="","",IF(OR(AD104="",AD104=0),"",B104/AD104-1))</f>
        <v/>
      </c>
      <c r="AG104" s="1" t="str">
        <f aca="false">IF($A104="","",IF(B104&lt;30000,"婴儿",IF(B104&lt;100000,"成长","成熟")))</f>
        <v/>
      </c>
      <c r="AH104" s="22"/>
      <c r="AJ104" s="22"/>
      <c r="AK104" s="22"/>
      <c r="AM104" s="22"/>
      <c r="AP104" s="13"/>
      <c r="AQ104" s="23" t="str">
        <f aca="false">IF($A104="","",B104-$AA$2-SUM($F$2:F104))</f>
        <v/>
      </c>
    </row>
    <row r="105" customFormat="false" ht="15" hidden="false" customHeight="true" outlineLevel="0" collapsed="false">
      <c r="A105" s="7"/>
      <c r="B105" s="24"/>
      <c r="C105" s="24"/>
      <c r="D105" s="15" t="str">
        <f aca="false">IF($A105="","",SUMIFS(持仓表!$J:$J,持仓表!$A:$A,$A105))</f>
        <v/>
      </c>
      <c r="E105" s="16" t="n">
        <f aca="false">IFERROR(D105/B105,0)</f>
        <v>0</v>
      </c>
      <c r="F105" s="24"/>
      <c r="G105" s="15" t="str">
        <f aca="false">IF($B105="","",MAX($B$2:B105))</f>
        <v/>
      </c>
      <c r="H105" s="16" t="n">
        <f aca="false">IFERROR((B105-F105)/F105,0)</f>
        <v>0</v>
      </c>
      <c r="I105" s="16" t="n">
        <f aca="false">IFERROR((B105-G105)/G105,0)</f>
        <v>0</v>
      </c>
      <c r="J105" s="12"/>
      <c r="K105" s="7"/>
      <c r="L105" s="25"/>
      <c r="M105" s="25"/>
      <c r="N105" s="16" t="str">
        <f aca="false">IF($B105="","",MIN(70%,IF($I105&lt;=-15%,10%,IF($I105&lt;=-10%,30%,IF($M105&gt;=4,10%,IF($M105&gt;=3,30%,IF($J105="强",IF($K105="A",70%,IF($K105="B",60%,40%)),IF($J105="中性",IF($K105="A",50%,IF($K105="B",40%,25%)),IF($K105="A",30%,IF($K105="B",20%,10%))))))))))</f>
        <v/>
      </c>
      <c r="O105" s="16" t="str">
        <f aca="false">IF($B105="","",IF(B105&lt;30000,35%,IF(B105&lt;50000,30%,IF(B105&lt;100000,25%,20%))))</f>
        <v/>
      </c>
      <c r="P105" s="18" t="str">
        <f aca="false">IF($A105="","",COUNTIFS(持仓表!$A:$A,$A105,持仓表!$G:$G,"&gt;0"))</f>
        <v/>
      </c>
      <c r="Q105" s="18" t="str">
        <f aca="false">IF($A105="","",COUNTIFS(持仓表!$A:$A,$A105,持仓表!$D:$D,"是",持仓表!$G:$G,"&gt;0"))</f>
        <v/>
      </c>
      <c r="R105" s="18" t="str">
        <f aca="false">IF($A105="","",MAX(0,P105-Q105))</f>
        <v/>
      </c>
      <c r="S105" s="18" t="str">
        <f aca="false">IF($B105="","",IF(B105&lt;50000,3,IF(B105&lt;100000,4,5)))</f>
        <v/>
      </c>
      <c r="T105" s="19" t="str">
        <f aca="false">IF($A105="","",IF(OR(M105&gt;=4,I105&lt;=-8%),"防守",IF(OR(M105&gt;=2,I105&lt;=-5%),"警戒","正常")))</f>
        <v/>
      </c>
      <c r="U105" s="19" t="str">
        <f aca="false">IF($A105="","",IF(AND(L105&gt;=3,M105&lt;=2,T105&lt;&gt;"防守"),"是","否"))</f>
        <v/>
      </c>
      <c r="V105" s="19" t="str">
        <f aca="false">IF($A105="","",IF(AND(E105&lt;N105,R105&lt;S105,M105&lt;=2,I105&gt;-15%),"是","否"))</f>
        <v/>
      </c>
      <c r="W105" s="19" t="str">
        <f aca="false">IF($A105="","",IF(OR(M105&gt;=3,I105&lt;=-15%),"是","否"))</f>
        <v/>
      </c>
      <c r="X105" s="15" t="str">
        <f aca="false">IF($A105="","",IFERROR(maxifs(候选池!$AB:$AB,候选池!$A:$A,$A105),0))</f>
        <v/>
      </c>
      <c r="Y105" s="15" t="str">
        <f aca="false">IF($A105="","",IF(OR(M105&gt;=4,I105&lt;=-8%),MAX(0,B105*60%-C105),IF(AND(ISNUMBER(AD105),B105&gt;AD105),IF(B105&lt;30000,0,IF(B105&lt;100000,MAX(0,(B105-AD105)*0.2),MAX(0,(B105-AD105)*0.3))),0)))</f>
        <v/>
      </c>
      <c r="Z105" s="7"/>
      <c r="AA105" s="19" t="str">
        <f aca="false">IF($A105="","",IF($AA$2&lt;&gt;"",$AA$2,""))</f>
        <v/>
      </c>
      <c r="AB105" s="7" t="str">
        <f aca="false">IF($A105="","",IF(B105&lt;30000,0.03,IF(B105&lt;100000,0.02,0.015)))</f>
        <v/>
      </c>
      <c r="AC105" s="18" t="str">
        <f aca="false">IF($A105="","",IFERROR(DATEDIF($A$2,$A105,"m"),0))</f>
        <v/>
      </c>
      <c r="AD105" s="15" t="str">
        <f aca="false">IF($A105="","",IF(OR(AA105="",AB105="",AC105=""),"",AA105*POWER(1+AB105,AC105)))</f>
        <v/>
      </c>
      <c r="AE105" s="27" t="str">
        <f aca="false">IF($A105="","",IF(OR(AD105="",AD105=0),"",B105/AD105-1))</f>
        <v/>
      </c>
      <c r="AG105" s="1" t="str">
        <f aca="false">IF($A105="","",IF(B105&lt;30000,"婴儿",IF(B105&lt;100000,"成长","成熟")))</f>
        <v/>
      </c>
      <c r="AH105" s="22"/>
      <c r="AJ105" s="22"/>
      <c r="AK105" s="22"/>
      <c r="AM105" s="22"/>
      <c r="AP105" s="13"/>
      <c r="AQ105" s="23" t="str">
        <f aca="false">IF($A105="","",B105-$AA$2-SUM($F$2:F105))</f>
        <v/>
      </c>
    </row>
    <row r="106" customFormat="false" ht="15" hidden="false" customHeight="true" outlineLevel="0" collapsed="false">
      <c r="A106" s="5"/>
      <c r="B106" s="14"/>
      <c r="C106" s="14"/>
      <c r="D106" s="15" t="str">
        <f aca="false">IF($A106="","",SUMIFS(持仓表!$J:$J,持仓表!$A:$A,$A106))</f>
        <v/>
      </c>
      <c r="E106" s="16" t="n">
        <f aca="false">IFERROR(D106/B106,0)</f>
        <v>0</v>
      </c>
      <c r="F106" s="14"/>
      <c r="G106" s="15" t="str">
        <f aca="false">IF($B106="","",MAX($B$2:B106))</f>
        <v/>
      </c>
      <c r="H106" s="16" t="n">
        <f aca="false">IFERROR((B106-F106)/F106,0)</f>
        <v>0</v>
      </c>
      <c r="I106" s="16" t="n">
        <f aca="false">IFERROR((B106-G106)/G106,0)</f>
        <v>0</v>
      </c>
      <c r="J106" s="11"/>
      <c r="K106" s="5"/>
      <c r="L106" s="17"/>
      <c r="M106" s="17"/>
      <c r="N106" s="16" t="str">
        <f aca="false">IF($B106="","",MIN(70%,IF($I106&lt;=-15%,10%,IF($I106&lt;=-10%,30%,IF($M106&gt;=4,10%,IF($M106&gt;=3,30%,IF($J106="强",IF($K106="A",70%,IF($K106="B",60%,40%)),IF($J106="中性",IF($K106="A",50%,IF($K106="B",40%,25%)),IF($K106="A",30%,IF($K106="B",20%,10%))))))))))</f>
        <v/>
      </c>
      <c r="O106" s="16" t="str">
        <f aca="false">IF($B106="","",IF(B106&lt;30000,35%,IF(B106&lt;50000,30%,IF(B106&lt;100000,25%,20%))))</f>
        <v/>
      </c>
      <c r="P106" s="18" t="str">
        <f aca="false">IF($A106="","",COUNTIFS(持仓表!$A:$A,$A106,持仓表!$G:$G,"&gt;0"))</f>
        <v/>
      </c>
      <c r="Q106" s="18" t="str">
        <f aca="false">IF($A106="","",COUNTIFS(持仓表!$A:$A,$A106,持仓表!$D:$D,"是",持仓表!$G:$G,"&gt;0"))</f>
        <v/>
      </c>
      <c r="R106" s="18" t="str">
        <f aca="false">IF($A106="","",MAX(0,P106-Q106))</f>
        <v/>
      </c>
      <c r="S106" s="18" t="str">
        <f aca="false">IF($B106="","",IF(B106&lt;50000,3,IF(B106&lt;100000,4,5)))</f>
        <v/>
      </c>
      <c r="T106" s="19" t="str">
        <f aca="false">IF($A106="","",IF(OR(M106&gt;=4,I106&lt;=-8%),"防守",IF(OR(M106&gt;=2,I106&lt;=-5%),"警戒","正常")))</f>
        <v/>
      </c>
      <c r="U106" s="19" t="str">
        <f aca="false">IF($A106="","",IF(AND(L106&gt;=3,M106&lt;=2,T106&lt;&gt;"防守"),"是","否"))</f>
        <v/>
      </c>
      <c r="V106" s="19" t="str">
        <f aca="false">IF($A106="","",IF(AND(E106&lt;N106,R106&lt;S106,M106&lt;=2,I106&gt;-15%),"是","否"))</f>
        <v/>
      </c>
      <c r="W106" s="19" t="str">
        <f aca="false">IF($A106="","",IF(OR(M106&gt;=3,I106&lt;=-15%),"是","否"))</f>
        <v/>
      </c>
      <c r="X106" s="15" t="str">
        <f aca="false">IF($A106="","",IFERROR(maxifs(候选池!$AB:$AB,候选池!$A:$A,$A106),0))</f>
        <v/>
      </c>
      <c r="Y106" s="15" t="str">
        <f aca="false">IF($A106="","",IF(OR(M106&gt;=4,I106&lt;=-8%),MAX(0,B106*60%-C106),IF(AND(ISNUMBER(AD106),B106&gt;AD106),IF(B106&lt;30000,0,IF(B106&lt;100000,MAX(0,(B106-AD106)*0.2),MAX(0,(B106-AD106)*0.3))),0)))</f>
        <v/>
      </c>
      <c r="Z106" s="5"/>
      <c r="AA106" s="19" t="str">
        <f aca="false">IF($A106="","",IF($AA$2&lt;&gt;"",$AA$2,""))</f>
        <v/>
      </c>
      <c r="AB106" s="5" t="str">
        <f aca="false">IF($A106="","",IF(B106&lt;30000,0.03,IF(B106&lt;100000,0.02,0.015)))</f>
        <v/>
      </c>
      <c r="AC106" s="18" t="str">
        <f aca="false">IF($A106="","",IFERROR(DATEDIF($A$2,$A106,"m"),0))</f>
        <v/>
      </c>
      <c r="AD106" s="15" t="str">
        <f aca="false">IF($A106="","",IF(OR(AA106="",AB106="",AC106=""),"",AA106*POWER(1+AB106,AC106)))</f>
        <v/>
      </c>
      <c r="AE106" s="21" t="str">
        <f aca="false">IF($A106="","",IF(OR(AD106="",AD106=0),"",B106/AD106-1))</f>
        <v/>
      </c>
      <c r="AG106" s="1" t="str">
        <f aca="false">IF($A106="","",IF(B106&lt;30000,"婴儿",IF(B106&lt;100000,"成长","成熟")))</f>
        <v/>
      </c>
      <c r="AH106" s="22"/>
      <c r="AJ106" s="22"/>
      <c r="AK106" s="22"/>
      <c r="AM106" s="22"/>
      <c r="AP106" s="13"/>
      <c r="AQ106" s="23" t="str">
        <f aca="false">IF($A106="","",B106-$AA$2-SUM($F$2:F106))</f>
        <v/>
      </c>
    </row>
    <row r="107" customFormat="false" ht="15" hidden="false" customHeight="true" outlineLevel="0" collapsed="false">
      <c r="A107" s="7"/>
      <c r="B107" s="24"/>
      <c r="C107" s="24"/>
      <c r="D107" s="15" t="str">
        <f aca="false">IF($A107="","",SUMIFS(持仓表!$J:$J,持仓表!$A:$A,$A107))</f>
        <v/>
      </c>
      <c r="E107" s="16" t="n">
        <f aca="false">IFERROR(D107/B107,0)</f>
        <v>0</v>
      </c>
      <c r="F107" s="24"/>
      <c r="G107" s="15" t="str">
        <f aca="false">IF($B107="","",MAX($B$2:B107))</f>
        <v/>
      </c>
      <c r="H107" s="16" t="n">
        <f aca="false">IFERROR((B107-F107)/F107,0)</f>
        <v>0</v>
      </c>
      <c r="I107" s="16" t="n">
        <f aca="false">IFERROR((B107-G107)/G107,0)</f>
        <v>0</v>
      </c>
      <c r="J107" s="12"/>
      <c r="K107" s="7"/>
      <c r="L107" s="25"/>
      <c r="M107" s="25"/>
      <c r="N107" s="16" t="str">
        <f aca="false">IF($B107="","",MIN(70%,IF($I107&lt;=-15%,10%,IF($I107&lt;=-10%,30%,IF($M107&gt;=4,10%,IF($M107&gt;=3,30%,IF($J107="强",IF($K107="A",70%,IF($K107="B",60%,40%)),IF($J107="中性",IF($K107="A",50%,IF($K107="B",40%,25%)),IF($K107="A",30%,IF($K107="B",20%,10%))))))))))</f>
        <v/>
      </c>
      <c r="O107" s="16" t="str">
        <f aca="false">IF($B107="","",IF(B107&lt;30000,35%,IF(B107&lt;50000,30%,IF(B107&lt;100000,25%,20%))))</f>
        <v/>
      </c>
      <c r="P107" s="18" t="str">
        <f aca="false">IF($A107="","",COUNTIFS(持仓表!$A:$A,$A107,持仓表!$G:$G,"&gt;0"))</f>
        <v/>
      </c>
      <c r="Q107" s="18" t="str">
        <f aca="false">IF($A107="","",COUNTIFS(持仓表!$A:$A,$A107,持仓表!$D:$D,"是",持仓表!$G:$G,"&gt;0"))</f>
        <v/>
      </c>
      <c r="R107" s="18" t="str">
        <f aca="false">IF($A107="","",MAX(0,P107-Q107))</f>
        <v/>
      </c>
      <c r="S107" s="18" t="str">
        <f aca="false">IF($B107="","",IF(B107&lt;50000,3,IF(B107&lt;100000,4,5)))</f>
        <v/>
      </c>
      <c r="T107" s="19" t="str">
        <f aca="false">IF($A107="","",IF(OR(M107&gt;=4,I107&lt;=-8%),"防守",IF(OR(M107&gt;=2,I107&lt;=-5%),"警戒","正常")))</f>
        <v/>
      </c>
      <c r="U107" s="19" t="str">
        <f aca="false">IF($A107="","",IF(AND(L107&gt;=3,M107&lt;=2,T107&lt;&gt;"防守"),"是","否"))</f>
        <v/>
      </c>
      <c r="V107" s="19" t="str">
        <f aca="false">IF($A107="","",IF(AND(E107&lt;N107,R107&lt;S107,M107&lt;=2,I107&gt;-15%),"是","否"))</f>
        <v/>
      </c>
      <c r="W107" s="19" t="str">
        <f aca="false">IF($A107="","",IF(OR(M107&gt;=3,I107&lt;=-15%),"是","否"))</f>
        <v/>
      </c>
      <c r="X107" s="15" t="str">
        <f aca="false">IF($A107="","",IFERROR(maxifs(候选池!$AB:$AB,候选池!$A:$A,$A107),0))</f>
        <v/>
      </c>
      <c r="Y107" s="15" t="str">
        <f aca="false">IF($A107="","",IF(OR(M107&gt;=4,I107&lt;=-8%),MAX(0,B107*60%-C107),IF(AND(ISNUMBER(AD107),B107&gt;AD107),IF(B107&lt;30000,0,IF(B107&lt;100000,MAX(0,(B107-AD107)*0.2),MAX(0,(B107-AD107)*0.3))),0)))</f>
        <v/>
      </c>
      <c r="Z107" s="7"/>
      <c r="AA107" s="19" t="str">
        <f aca="false">IF($A107="","",IF($AA$2&lt;&gt;"",$AA$2,""))</f>
        <v/>
      </c>
      <c r="AB107" s="7" t="str">
        <f aca="false">IF($A107="","",IF(B107&lt;30000,0.03,IF(B107&lt;100000,0.02,0.015)))</f>
        <v/>
      </c>
      <c r="AC107" s="18" t="str">
        <f aca="false">IF($A107="","",IFERROR(DATEDIF($A$2,$A107,"m"),0))</f>
        <v/>
      </c>
      <c r="AD107" s="15" t="str">
        <f aca="false">IF($A107="","",IF(OR(AA107="",AB107="",AC107=""),"",AA107*POWER(1+AB107,AC107)))</f>
        <v/>
      </c>
      <c r="AE107" s="27" t="str">
        <f aca="false">IF($A107="","",IF(OR(AD107="",AD107=0),"",B107/AD107-1))</f>
        <v/>
      </c>
      <c r="AG107" s="1" t="str">
        <f aca="false">IF($A107="","",IF(B107&lt;30000,"婴儿",IF(B107&lt;100000,"成长","成熟")))</f>
        <v/>
      </c>
      <c r="AH107" s="22"/>
      <c r="AJ107" s="22"/>
      <c r="AK107" s="22"/>
      <c r="AM107" s="22"/>
      <c r="AP107" s="13"/>
      <c r="AQ107" s="23" t="str">
        <f aca="false">IF($A107="","",B107-$AA$2-SUM($F$2:F107))</f>
        <v/>
      </c>
    </row>
    <row r="108" customFormat="false" ht="15" hidden="false" customHeight="true" outlineLevel="0" collapsed="false">
      <c r="A108" s="5"/>
      <c r="B108" s="14"/>
      <c r="C108" s="14"/>
      <c r="D108" s="15" t="str">
        <f aca="false">IF($A108="","",SUMIFS(持仓表!$J:$J,持仓表!$A:$A,$A108))</f>
        <v/>
      </c>
      <c r="E108" s="16" t="n">
        <f aca="false">IFERROR(D108/B108,0)</f>
        <v>0</v>
      </c>
      <c r="F108" s="14"/>
      <c r="G108" s="15" t="str">
        <f aca="false">IF($B108="","",MAX($B$2:B108))</f>
        <v/>
      </c>
      <c r="H108" s="16" t="n">
        <f aca="false">IFERROR((B108-F108)/F108,0)</f>
        <v>0</v>
      </c>
      <c r="I108" s="16" t="n">
        <f aca="false">IFERROR((B108-G108)/G108,0)</f>
        <v>0</v>
      </c>
      <c r="J108" s="11"/>
      <c r="K108" s="5"/>
      <c r="L108" s="17"/>
      <c r="M108" s="17"/>
      <c r="N108" s="16" t="str">
        <f aca="false">IF($B108="","",MIN(70%,IF($I108&lt;=-15%,10%,IF($I108&lt;=-10%,30%,IF($M108&gt;=4,10%,IF($M108&gt;=3,30%,IF($J108="强",IF($K108="A",70%,IF($K108="B",60%,40%)),IF($J108="中性",IF($K108="A",50%,IF($K108="B",40%,25%)),IF($K108="A",30%,IF($K108="B",20%,10%))))))))))</f>
        <v/>
      </c>
      <c r="O108" s="16" t="str">
        <f aca="false">IF($B108="","",IF(B108&lt;30000,35%,IF(B108&lt;50000,30%,IF(B108&lt;100000,25%,20%))))</f>
        <v/>
      </c>
      <c r="P108" s="18" t="str">
        <f aca="false">IF($A108="","",COUNTIFS(持仓表!$A:$A,$A108,持仓表!$G:$G,"&gt;0"))</f>
        <v/>
      </c>
      <c r="Q108" s="18" t="str">
        <f aca="false">IF($A108="","",COUNTIFS(持仓表!$A:$A,$A108,持仓表!$D:$D,"是",持仓表!$G:$G,"&gt;0"))</f>
        <v/>
      </c>
      <c r="R108" s="18" t="str">
        <f aca="false">IF($A108="","",MAX(0,P108-Q108))</f>
        <v/>
      </c>
      <c r="S108" s="18" t="str">
        <f aca="false">IF($B108="","",IF(B108&lt;50000,3,IF(B108&lt;100000,4,5)))</f>
        <v/>
      </c>
      <c r="T108" s="19" t="str">
        <f aca="false">IF($A108="","",IF(OR(M108&gt;=4,I108&lt;=-8%),"防守",IF(OR(M108&gt;=2,I108&lt;=-5%),"警戒","正常")))</f>
        <v/>
      </c>
      <c r="U108" s="19" t="str">
        <f aca="false">IF($A108="","",IF(AND(L108&gt;=3,M108&lt;=2,T108&lt;&gt;"防守"),"是","否"))</f>
        <v/>
      </c>
      <c r="V108" s="19" t="str">
        <f aca="false">IF($A108="","",IF(AND(E108&lt;N108,R108&lt;S108,M108&lt;=2,I108&gt;-15%),"是","否"))</f>
        <v/>
      </c>
      <c r="W108" s="19" t="str">
        <f aca="false">IF($A108="","",IF(OR(M108&gt;=3,I108&lt;=-15%),"是","否"))</f>
        <v/>
      </c>
      <c r="X108" s="15" t="str">
        <f aca="false">IF($A108="","",IFERROR(maxifs(候选池!$AB:$AB,候选池!$A:$A,$A108),0))</f>
        <v/>
      </c>
      <c r="Y108" s="15" t="str">
        <f aca="false">IF($A108="","",IF(OR(M108&gt;=4,I108&lt;=-8%),MAX(0,B108*60%-C108),IF(AND(ISNUMBER(AD108),B108&gt;AD108),IF(B108&lt;30000,0,IF(B108&lt;100000,MAX(0,(B108-AD108)*0.2),MAX(0,(B108-AD108)*0.3))),0)))</f>
        <v/>
      </c>
      <c r="Z108" s="5"/>
      <c r="AA108" s="19" t="str">
        <f aca="false">IF($A108="","",IF($AA$2&lt;&gt;"",$AA$2,""))</f>
        <v/>
      </c>
      <c r="AB108" s="5" t="str">
        <f aca="false">IF($A108="","",IF(B108&lt;30000,0.03,IF(B108&lt;100000,0.02,0.015)))</f>
        <v/>
      </c>
      <c r="AC108" s="18" t="str">
        <f aca="false">IF($A108="","",IFERROR(DATEDIF($A$2,$A108,"m"),0))</f>
        <v/>
      </c>
      <c r="AD108" s="15" t="str">
        <f aca="false">IF($A108="","",IF(OR(AA108="",AB108="",AC108=""),"",AA108*POWER(1+AB108,AC108)))</f>
        <v/>
      </c>
      <c r="AE108" s="21" t="str">
        <f aca="false">IF($A108="","",IF(OR(AD108="",AD108=0),"",B108/AD108-1))</f>
        <v/>
      </c>
      <c r="AG108" s="1" t="str">
        <f aca="false">IF($A108="","",IF(B108&lt;30000,"婴儿",IF(B108&lt;100000,"成长","成熟")))</f>
        <v/>
      </c>
      <c r="AH108" s="22"/>
      <c r="AJ108" s="22"/>
      <c r="AK108" s="22"/>
      <c r="AM108" s="22"/>
      <c r="AP108" s="13"/>
      <c r="AQ108" s="23" t="str">
        <f aca="false">IF($A108="","",B108-$AA$2-SUM($F$2:F108))</f>
        <v/>
      </c>
    </row>
    <row r="109" customFormat="false" ht="15" hidden="false" customHeight="true" outlineLevel="0" collapsed="false">
      <c r="A109" s="7"/>
      <c r="B109" s="24"/>
      <c r="C109" s="24"/>
      <c r="D109" s="15" t="str">
        <f aca="false">IF($A109="","",SUMIFS(持仓表!$J:$J,持仓表!$A:$A,$A109))</f>
        <v/>
      </c>
      <c r="E109" s="16" t="n">
        <f aca="false">IFERROR(D109/B109,0)</f>
        <v>0</v>
      </c>
      <c r="F109" s="24"/>
      <c r="G109" s="15" t="str">
        <f aca="false">IF($B109="","",MAX($B$2:B109))</f>
        <v/>
      </c>
      <c r="H109" s="16" t="n">
        <f aca="false">IFERROR((B109-F109)/F109,0)</f>
        <v>0</v>
      </c>
      <c r="I109" s="16" t="n">
        <f aca="false">IFERROR((B109-G109)/G109,0)</f>
        <v>0</v>
      </c>
      <c r="J109" s="12"/>
      <c r="K109" s="7"/>
      <c r="L109" s="25"/>
      <c r="M109" s="25"/>
      <c r="N109" s="16" t="str">
        <f aca="false">IF($B109="","",MIN(70%,IF($I109&lt;=-15%,10%,IF($I109&lt;=-10%,30%,IF($M109&gt;=4,10%,IF($M109&gt;=3,30%,IF($J109="强",IF($K109="A",70%,IF($K109="B",60%,40%)),IF($J109="中性",IF($K109="A",50%,IF($K109="B",40%,25%)),IF($K109="A",30%,IF($K109="B",20%,10%))))))))))</f>
        <v/>
      </c>
      <c r="O109" s="16" t="str">
        <f aca="false">IF($B109="","",IF(B109&lt;30000,35%,IF(B109&lt;50000,30%,IF(B109&lt;100000,25%,20%))))</f>
        <v/>
      </c>
      <c r="P109" s="18" t="str">
        <f aca="false">IF($A109="","",COUNTIFS(持仓表!$A:$A,$A109,持仓表!$G:$G,"&gt;0"))</f>
        <v/>
      </c>
      <c r="Q109" s="18" t="str">
        <f aca="false">IF($A109="","",COUNTIFS(持仓表!$A:$A,$A109,持仓表!$D:$D,"是",持仓表!$G:$G,"&gt;0"))</f>
        <v/>
      </c>
      <c r="R109" s="18" t="str">
        <f aca="false">IF($A109="","",MAX(0,P109-Q109))</f>
        <v/>
      </c>
      <c r="S109" s="18" t="str">
        <f aca="false">IF($B109="","",IF(B109&lt;50000,3,IF(B109&lt;100000,4,5)))</f>
        <v/>
      </c>
      <c r="T109" s="19" t="str">
        <f aca="false">IF($A109="","",IF(OR(M109&gt;=4,I109&lt;=-8%),"防守",IF(OR(M109&gt;=2,I109&lt;=-5%),"警戒","正常")))</f>
        <v/>
      </c>
      <c r="U109" s="19" t="str">
        <f aca="false">IF($A109="","",IF(AND(L109&gt;=3,M109&lt;=2,T109&lt;&gt;"防守"),"是","否"))</f>
        <v/>
      </c>
      <c r="V109" s="19" t="str">
        <f aca="false">IF($A109="","",IF(AND(E109&lt;N109,R109&lt;S109,M109&lt;=2,I109&gt;-15%),"是","否"))</f>
        <v/>
      </c>
      <c r="W109" s="19" t="str">
        <f aca="false">IF($A109="","",IF(OR(M109&gt;=3,I109&lt;=-15%),"是","否"))</f>
        <v/>
      </c>
      <c r="X109" s="15" t="str">
        <f aca="false">IF($A109="","",IFERROR(maxifs(候选池!$AB:$AB,候选池!$A:$A,$A109),0))</f>
        <v/>
      </c>
      <c r="Y109" s="15" t="str">
        <f aca="false">IF($A109="","",IF(OR(M109&gt;=4,I109&lt;=-8%),MAX(0,B109*60%-C109),IF(AND(ISNUMBER(AD109),B109&gt;AD109),IF(B109&lt;30000,0,IF(B109&lt;100000,MAX(0,(B109-AD109)*0.2),MAX(0,(B109-AD109)*0.3))),0)))</f>
        <v/>
      </c>
      <c r="Z109" s="7"/>
      <c r="AA109" s="19" t="str">
        <f aca="false">IF($A109="","",IF($AA$2&lt;&gt;"",$AA$2,""))</f>
        <v/>
      </c>
      <c r="AB109" s="7" t="str">
        <f aca="false">IF($A109="","",IF(B109&lt;30000,0.03,IF(B109&lt;100000,0.02,0.015)))</f>
        <v/>
      </c>
      <c r="AC109" s="18" t="str">
        <f aca="false">IF($A109="","",IFERROR(DATEDIF($A$2,$A109,"m"),0))</f>
        <v/>
      </c>
      <c r="AD109" s="15" t="str">
        <f aca="false">IF($A109="","",IF(OR(AA109="",AB109="",AC109=""),"",AA109*POWER(1+AB109,AC109)))</f>
        <v/>
      </c>
      <c r="AE109" s="27" t="str">
        <f aca="false">IF($A109="","",IF(OR(AD109="",AD109=0),"",B109/AD109-1))</f>
        <v/>
      </c>
      <c r="AG109" s="1" t="str">
        <f aca="false">IF($A109="","",IF(B109&lt;30000,"婴儿",IF(B109&lt;100000,"成长","成熟")))</f>
        <v/>
      </c>
      <c r="AH109" s="22"/>
      <c r="AJ109" s="22"/>
      <c r="AK109" s="22"/>
      <c r="AM109" s="22"/>
      <c r="AP109" s="13"/>
      <c r="AQ109" s="23" t="str">
        <f aca="false">IF($A109="","",B109-$AA$2-SUM($F$2:F109))</f>
        <v/>
      </c>
    </row>
    <row r="110" customFormat="false" ht="15" hidden="false" customHeight="true" outlineLevel="0" collapsed="false">
      <c r="A110" s="5"/>
      <c r="B110" s="14"/>
      <c r="C110" s="14"/>
      <c r="D110" s="15" t="str">
        <f aca="false">IF($A110="","",SUMIFS(持仓表!$J:$J,持仓表!$A:$A,$A110))</f>
        <v/>
      </c>
      <c r="E110" s="16" t="n">
        <f aca="false">IFERROR(D110/B110,0)</f>
        <v>0</v>
      </c>
      <c r="F110" s="14"/>
      <c r="G110" s="15" t="str">
        <f aca="false">IF($B110="","",MAX($B$2:B110))</f>
        <v/>
      </c>
      <c r="H110" s="16" t="n">
        <f aca="false">IFERROR((B110-F110)/F110,0)</f>
        <v>0</v>
      </c>
      <c r="I110" s="16" t="n">
        <f aca="false">IFERROR((B110-G110)/G110,0)</f>
        <v>0</v>
      </c>
      <c r="J110" s="11"/>
      <c r="K110" s="5"/>
      <c r="L110" s="17"/>
      <c r="M110" s="17"/>
      <c r="N110" s="16" t="str">
        <f aca="false">IF($B110="","",MIN(70%,IF($I110&lt;=-15%,10%,IF($I110&lt;=-10%,30%,IF($M110&gt;=4,10%,IF($M110&gt;=3,30%,IF($J110="强",IF($K110="A",70%,IF($K110="B",60%,40%)),IF($J110="中性",IF($K110="A",50%,IF($K110="B",40%,25%)),IF($K110="A",30%,IF($K110="B",20%,10%))))))))))</f>
        <v/>
      </c>
      <c r="O110" s="16" t="str">
        <f aca="false">IF($B110="","",IF(B110&lt;30000,35%,IF(B110&lt;50000,30%,IF(B110&lt;100000,25%,20%))))</f>
        <v/>
      </c>
      <c r="P110" s="18" t="str">
        <f aca="false">IF($A110="","",COUNTIFS(持仓表!$A:$A,$A110,持仓表!$G:$G,"&gt;0"))</f>
        <v/>
      </c>
      <c r="Q110" s="18" t="str">
        <f aca="false">IF($A110="","",COUNTIFS(持仓表!$A:$A,$A110,持仓表!$D:$D,"是",持仓表!$G:$G,"&gt;0"))</f>
        <v/>
      </c>
      <c r="R110" s="18" t="str">
        <f aca="false">IF($A110="","",MAX(0,P110-Q110))</f>
        <v/>
      </c>
      <c r="S110" s="18" t="str">
        <f aca="false">IF($B110="","",IF(B110&lt;50000,3,IF(B110&lt;100000,4,5)))</f>
        <v/>
      </c>
      <c r="T110" s="19" t="str">
        <f aca="false">IF($A110="","",IF(OR(M110&gt;=4,I110&lt;=-8%),"防守",IF(OR(M110&gt;=2,I110&lt;=-5%),"警戒","正常")))</f>
        <v/>
      </c>
      <c r="U110" s="19" t="str">
        <f aca="false">IF($A110="","",IF(AND(L110&gt;=3,M110&lt;=2,T110&lt;&gt;"防守"),"是","否"))</f>
        <v/>
      </c>
      <c r="V110" s="19" t="str">
        <f aca="false">IF($A110="","",IF(AND(E110&lt;N110,R110&lt;S110,M110&lt;=2,I110&gt;-15%),"是","否"))</f>
        <v/>
      </c>
      <c r="W110" s="19" t="str">
        <f aca="false">IF($A110="","",IF(OR(M110&gt;=3,I110&lt;=-15%),"是","否"))</f>
        <v/>
      </c>
      <c r="X110" s="15" t="str">
        <f aca="false">IF($A110="","",IFERROR(maxifs(候选池!$AB:$AB,候选池!$A:$A,$A110),0))</f>
        <v/>
      </c>
      <c r="Y110" s="15" t="str">
        <f aca="false">IF($A110="","",IF(OR(M110&gt;=4,I110&lt;=-8%),MAX(0,B110*60%-C110),IF(AND(ISNUMBER(AD110),B110&gt;AD110),IF(B110&lt;30000,0,IF(B110&lt;100000,MAX(0,(B110-AD110)*0.2),MAX(0,(B110-AD110)*0.3))),0)))</f>
        <v/>
      </c>
      <c r="Z110" s="5"/>
      <c r="AA110" s="19" t="str">
        <f aca="false">IF($A110="","",IF($AA$2&lt;&gt;"",$AA$2,""))</f>
        <v/>
      </c>
      <c r="AB110" s="5" t="str">
        <f aca="false">IF($A110="","",IF(B110&lt;30000,0.03,IF(B110&lt;100000,0.02,0.015)))</f>
        <v/>
      </c>
      <c r="AC110" s="18" t="str">
        <f aca="false">IF($A110="","",IFERROR(DATEDIF($A$2,$A110,"m"),0))</f>
        <v/>
      </c>
      <c r="AD110" s="15" t="str">
        <f aca="false">IF($A110="","",IF(OR(AA110="",AB110="",AC110=""),"",AA110*POWER(1+AB110,AC110)))</f>
        <v/>
      </c>
      <c r="AE110" s="21" t="str">
        <f aca="false">IF($A110="","",IF(OR(AD110="",AD110=0),"",B110/AD110-1))</f>
        <v/>
      </c>
      <c r="AG110" s="1" t="str">
        <f aca="false">IF($A110="","",IF(B110&lt;30000,"婴儿",IF(B110&lt;100000,"成长","成熟")))</f>
        <v/>
      </c>
      <c r="AH110" s="22"/>
      <c r="AJ110" s="22"/>
      <c r="AK110" s="22"/>
      <c r="AM110" s="22"/>
      <c r="AP110" s="13"/>
      <c r="AQ110" s="23" t="str">
        <f aca="false">IF($A110="","",B110-$AA$2-SUM($F$2:F110))</f>
        <v/>
      </c>
    </row>
    <row r="111" customFormat="false" ht="15" hidden="false" customHeight="true" outlineLevel="0" collapsed="false">
      <c r="A111" s="7"/>
      <c r="B111" s="24"/>
      <c r="C111" s="24"/>
      <c r="D111" s="15" t="str">
        <f aca="false">IF($A111="","",SUMIFS(持仓表!$J:$J,持仓表!$A:$A,$A111))</f>
        <v/>
      </c>
      <c r="E111" s="16" t="n">
        <f aca="false">IFERROR(D111/B111,0)</f>
        <v>0</v>
      </c>
      <c r="F111" s="24"/>
      <c r="G111" s="15" t="str">
        <f aca="false">IF($B111="","",MAX($B$2:B111))</f>
        <v/>
      </c>
      <c r="H111" s="16" t="n">
        <f aca="false">IFERROR((B111-F111)/F111,0)</f>
        <v>0</v>
      </c>
      <c r="I111" s="16" t="n">
        <f aca="false">IFERROR((B111-G111)/G111,0)</f>
        <v>0</v>
      </c>
      <c r="J111" s="12"/>
      <c r="K111" s="7"/>
      <c r="L111" s="25"/>
      <c r="M111" s="25"/>
      <c r="N111" s="16" t="str">
        <f aca="false">IF($B111="","",MIN(70%,IF($I111&lt;=-15%,10%,IF($I111&lt;=-10%,30%,IF($M111&gt;=4,10%,IF($M111&gt;=3,30%,IF($J111="强",IF($K111="A",70%,IF($K111="B",60%,40%)),IF($J111="中性",IF($K111="A",50%,IF($K111="B",40%,25%)),IF($K111="A",30%,IF($K111="B",20%,10%))))))))))</f>
        <v/>
      </c>
      <c r="O111" s="16" t="str">
        <f aca="false">IF($B111="","",IF(B111&lt;30000,35%,IF(B111&lt;50000,30%,IF(B111&lt;100000,25%,20%))))</f>
        <v/>
      </c>
      <c r="P111" s="18" t="str">
        <f aca="false">IF($A111="","",COUNTIFS(持仓表!$A:$A,$A111,持仓表!$G:$G,"&gt;0"))</f>
        <v/>
      </c>
      <c r="Q111" s="18" t="str">
        <f aca="false">IF($A111="","",COUNTIFS(持仓表!$A:$A,$A111,持仓表!$D:$D,"是",持仓表!$G:$G,"&gt;0"))</f>
        <v/>
      </c>
      <c r="R111" s="18" t="str">
        <f aca="false">IF($A111="","",MAX(0,P111-Q111))</f>
        <v/>
      </c>
      <c r="S111" s="18" t="str">
        <f aca="false">IF($B111="","",IF(B111&lt;50000,3,IF(B111&lt;100000,4,5)))</f>
        <v/>
      </c>
      <c r="T111" s="19" t="str">
        <f aca="false">IF($A111="","",IF(OR(M111&gt;=4,I111&lt;=-8%),"防守",IF(OR(M111&gt;=2,I111&lt;=-5%),"警戒","正常")))</f>
        <v/>
      </c>
      <c r="U111" s="19" t="str">
        <f aca="false">IF($A111="","",IF(AND(L111&gt;=3,M111&lt;=2,T111&lt;&gt;"防守"),"是","否"))</f>
        <v/>
      </c>
      <c r="V111" s="19" t="str">
        <f aca="false">IF($A111="","",IF(AND(E111&lt;N111,R111&lt;S111,M111&lt;=2,I111&gt;-15%),"是","否"))</f>
        <v/>
      </c>
      <c r="W111" s="19" t="str">
        <f aca="false">IF($A111="","",IF(OR(M111&gt;=3,I111&lt;=-15%),"是","否"))</f>
        <v/>
      </c>
      <c r="X111" s="15" t="str">
        <f aca="false">IF($A111="","",IFERROR(maxifs(候选池!$AB:$AB,候选池!$A:$A,$A111),0))</f>
        <v/>
      </c>
      <c r="Y111" s="15" t="str">
        <f aca="false">IF($A111="","",IF(OR(M111&gt;=4,I111&lt;=-8%),MAX(0,B111*60%-C111),IF(AND(ISNUMBER(AD111),B111&gt;AD111),IF(B111&lt;30000,0,IF(B111&lt;100000,MAX(0,(B111-AD111)*0.2),MAX(0,(B111-AD111)*0.3))),0)))</f>
        <v/>
      </c>
      <c r="Z111" s="7"/>
      <c r="AA111" s="19" t="str">
        <f aca="false">IF($A111="","",IF($AA$2&lt;&gt;"",$AA$2,""))</f>
        <v/>
      </c>
      <c r="AB111" s="7" t="str">
        <f aca="false">IF($A111="","",IF(B111&lt;30000,0.03,IF(B111&lt;100000,0.02,0.015)))</f>
        <v/>
      </c>
      <c r="AC111" s="18" t="str">
        <f aca="false">IF($A111="","",IFERROR(DATEDIF($A$2,$A111,"m"),0))</f>
        <v/>
      </c>
      <c r="AD111" s="15" t="str">
        <f aca="false">IF($A111="","",IF(OR(AA111="",AB111="",AC111=""),"",AA111*POWER(1+AB111,AC111)))</f>
        <v/>
      </c>
      <c r="AE111" s="27" t="str">
        <f aca="false">IF($A111="","",IF(OR(AD111="",AD111=0),"",B111/AD111-1))</f>
        <v/>
      </c>
      <c r="AG111" s="1" t="str">
        <f aca="false">IF($A111="","",IF(B111&lt;30000,"婴儿",IF(B111&lt;100000,"成长","成熟")))</f>
        <v/>
      </c>
      <c r="AH111" s="22"/>
      <c r="AJ111" s="22"/>
      <c r="AK111" s="22"/>
      <c r="AM111" s="22"/>
      <c r="AP111" s="13"/>
      <c r="AQ111" s="23" t="str">
        <f aca="false">IF($A111="","",B111-$AA$2-SUM($F$2:F111))</f>
        <v/>
      </c>
    </row>
    <row r="112" customFormat="false" ht="15" hidden="false" customHeight="true" outlineLevel="0" collapsed="false">
      <c r="A112" s="5"/>
      <c r="B112" s="14"/>
      <c r="C112" s="14"/>
      <c r="D112" s="15" t="str">
        <f aca="false">IF($A112="","",SUMIFS(持仓表!$J:$J,持仓表!$A:$A,$A112))</f>
        <v/>
      </c>
      <c r="E112" s="16" t="n">
        <f aca="false">IFERROR(D112/B112,0)</f>
        <v>0</v>
      </c>
      <c r="F112" s="14"/>
      <c r="G112" s="15" t="str">
        <f aca="false">IF($B112="","",MAX($B$2:B112))</f>
        <v/>
      </c>
      <c r="H112" s="16" t="n">
        <f aca="false">IFERROR((B112-F112)/F112,0)</f>
        <v>0</v>
      </c>
      <c r="I112" s="16" t="n">
        <f aca="false">IFERROR((B112-G112)/G112,0)</f>
        <v>0</v>
      </c>
      <c r="J112" s="11"/>
      <c r="K112" s="5"/>
      <c r="L112" s="17"/>
      <c r="M112" s="17"/>
      <c r="N112" s="16" t="str">
        <f aca="false">IF($B112="","",MIN(70%,IF($I112&lt;=-15%,10%,IF($I112&lt;=-10%,30%,IF($M112&gt;=4,10%,IF($M112&gt;=3,30%,IF($J112="强",IF($K112="A",70%,IF($K112="B",60%,40%)),IF($J112="中性",IF($K112="A",50%,IF($K112="B",40%,25%)),IF($K112="A",30%,IF($K112="B",20%,10%))))))))))</f>
        <v/>
      </c>
      <c r="O112" s="16" t="str">
        <f aca="false">IF($B112="","",IF(B112&lt;30000,35%,IF(B112&lt;50000,30%,IF(B112&lt;100000,25%,20%))))</f>
        <v/>
      </c>
      <c r="P112" s="18" t="str">
        <f aca="false">IF($A112="","",COUNTIFS(持仓表!$A:$A,$A112,持仓表!$G:$G,"&gt;0"))</f>
        <v/>
      </c>
      <c r="Q112" s="18" t="str">
        <f aca="false">IF($A112="","",COUNTIFS(持仓表!$A:$A,$A112,持仓表!$D:$D,"是",持仓表!$G:$G,"&gt;0"))</f>
        <v/>
      </c>
      <c r="R112" s="18" t="str">
        <f aca="false">IF($A112="","",MAX(0,P112-Q112))</f>
        <v/>
      </c>
      <c r="S112" s="18" t="str">
        <f aca="false">IF($B112="","",IF(B112&lt;50000,3,IF(B112&lt;100000,4,5)))</f>
        <v/>
      </c>
      <c r="T112" s="19" t="str">
        <f aca="false">IF($A112="","",IF(OR(M112&gt;=4,I112&lt;=-8%),"防守",IF(OR(M112&gt;=2,I112&lt;=-5%),"警戒","正常")))</f>
        <v/>
      </c>
      <c r="U112" s="19" t="str">
        <f aca="false">IF($A112="","",IF(AND(L112&gt;=3,M112&lt;=2,T112&lt;&gt;"防守"),"是","否"))</f>
        <v/>
      </c>
      <c r="V112" s="19" t="str">
        <f aca="false">IF($A112="","",IF(AND(E112&lt;N112,R112&lt;S112,M112&lt;=2,I112&gt;-15%),"是","否"))</f>
        <v/>
      </c>
      <c r="W112" s="19" t="str">
        <f aca="false">IF($A112="","",IF(OR(M112&gt;=3,I112&lt;=-15%),"是","否"))</f>
        <v/>
      </c>
      <c r="X112" s="15" t="str">
        <f aca="false">IF($A112="","",IFERROR(maxifs(候选池!$AB:$AB,候选池!$A:$A,$A112),0))</f>
        <v/>
      </c>
      <c r="Y112" s="15" t="str">
        <f aca="false">IF($A112="","",IF(OR(M112&gt;=4,I112&lt;=-8%),MAX(0,B112*60%-C112),IF(AND(ISNUMBER(AD112),B112&gt;AD112),IF(B112&lt;30000,0,IF(B112&lt;100000,MAX(0,(B112-AD112)*0.2),MAX(0,(B112-AD112)*0.3))),0)))</f>
        <v/>
      </c>
      <c r="Z112" s="5"/>
      <c r="AA112" s="19" t="str">
        <f aca="false">IF($A112="","",IF($AA$2&lt;&gt;"",$AA$2,""))</f>
        <v/>
      </c>
      <c r="AB112" s="5" t="str">
        <f aca="false">IF($A112="","",IF(B112&lt;30000,0.03,IF(B112&lt;100000,0.02,0.015)))</f>
        <v/>
      </c>
      <c r="AC112" s="18" t="str">
        <f aca="false">IF($A112="","",IFERROR(DATEDIF($A$2,$A112,"m"),0))</f>
        <v/>
      </c>
      <c r="AD112" s="15" t="str">
        <f aca="false">IF($A112="","",IF(OR(AA112="",AB112="",AC112=""),"",AA112*POWER(1+AB112,AC112)))</f>
        <v/>
      </c>
      <c r="AE112" s="21" t="str">
        <f aca="false">IF($A112="","",IF(OR(AD112="",AD112=0),"",B112/AD112-1))</f>
        <v/>
      </c>
      <c r="AG112" s="1" t="str">
        <f aca="false">IF($A112="","",IF(B112&lt;30000,"婴儿",IF(B112&lt;100000,"成长","成熟")))</f>
        <v/>
      </c>
      <c r="AH112" s="22"/>
      <c r="AJ112" s="22"/>
      <c r="AK112" s="22"/>
      <c r="AM112" s="22"/>
      <c r="AP112" s="13"/>
      <c r="AQ112" s="23" t="str">
        <f aca="false">IF($A112="","",B112-$AA$2-SUM($F$2:F112))</f>
        <v/>
      </c>
    </row>
    <row r="113" customFormat="false" ht="15" hidden="false" customHeight="true" outlineLevel="0" collapsed="false">
      <c r="A113" s="7"/>
      <c r="B113" s="24"/>
      <c r="C113" s="24"/>
      <c r="D113" s="15" t="str">
        <f aca="false">IF($A113="","",SUMIFS(持仓表!$J:$J,持仓表!$A:$A,$A113))</f>
        <v/>
      </c>
      <c r="E113" s="16" t="n">
        <f aca="false">IFERROR(D113/B113,0)</f>
        <v>0</v>
      </c>
      <c r="F113" s="24"/>
      <c r="G113" s="15" t="str">
        <f aca="false">IF($B113="","",MAX($B$2:B113))</f>
        <v/>
      </c>
      <c r="H113" s="16" t="n">
        <f aca="false">IFERROR((B113-F113)/F113,0)</f>
        <v>0</v>
      </c>
      <c r="I113" s="16" t="n">
        <f aca="false">IFERROR((B113-G113)/G113,0)</f>
        <v>0</v>
      </c>
      <c r="J113" s="12"/>
      <c r="K113" s="7"/>
      <c r="L113" s="25"/>
      <c r="M113" s="25"/>
      <c r="N113" s="16" t="str">
        <f aca="false">IF($B113="","",MIN(70%,IF($I113&lt;=-15%,10%,IF($I113&lt;=-10%,30%,IF($M113&gt;=4,10%,IF($M113&gt;=3,30%,IF($J113="强",IF($K113="A",70%,IF($K113="B",60%,40%)),IF($J113="中性",IF($K113="A",50%,IF($K113="B",40%,25%)),IF($K113="A",30%,IF($K113="B",20%,10%))))))))))</f>
        <v/>
      </c>
      <c r="O113" s="16" t="str">
        <f aca="false">IF($B113="","",IF(B113&lt;30000,35%,IF(B113&lt;50000,30%,IF(B113&lt;100000,25%,20%))))</f>
        <v/>
      </c>
      <c r="P113" s="18" t="str">
        <f aca="false">IF($A113="","",COUNTIFS(持仓表!$A:$A,$A113,持仓表!$G:$G,"&gt;0"))</f>
        <v/>
      </c>
      <c r="Q113" s="18" t="str">
        <f aca="false">IF($A113="","",COUNTIFS(持仓表!$A:$A,$A113,持仓表!$D:$D,"是",持仓表!$G:$G,"&gt;0"))</f>
        <v/>
      </c>
      <c r="R113" s="18" t="str">
        <f aca="false">IF($A113="","",MAX(0,P113-Q113))</f>
        <v/>
      </c>
      <c r="S113" s="18" t="str">
        <f aca="false">IF($B113="","",IF(B113&lt;50000,3,IF(B113&lt;100000,4,5)))</f>
        <v/>
      </c>
      <c r="T113" s="19" t="str">
        <f aca="false">IF($A113="","",IF(OR(M113&gt;=4,I113&lt;=-8%),"防守",IF(OR(M113&gt;=2,I113&lt;=-5%),"警戒","正常")))</f>
        <v/>
      </c>
      <c r="U113" s="19" t="str">
        <f aca="false">IF($A113="","",IF(AND(L113&gt;=3,M113&lt;=2,T113&lt;&gt;"防守"),"是","否"))</f>
        <v/>
      </c>
      <c r="V113" s="19" t="str">
        <f aca="false">IF($A113="","",IF(AND(E113&lt;N113,R113&lt;S113,M113&lt;=2,I113&gt;-15%),"是","否"))</f>
        <v/>
      </c>
      <c r="W113" s="19" t="str">
        <f aca="false">IF($A113="","",IF(OR(M113&gt;=3,I113&lt;=-15%),"是","否"))</f>
        <v/>
      </c>
      <c r="X113" s="15" t="str">
        <f aca="false">IF($A113="","",IFERROR(maxifs(候选池!$AB:$AB,候选池!$A:$A,$A113),0))</f>
        <v/>
      </c>
      <c r="Y113" s="15" t="str">
        <f aca="false">IF($A113="","",IF(OR(M113&gt;=4,I113&lt;=-8%),MAX(0,B113*60%-C113),IF(AND(ISNUMBER(AD113),B113&gt;AD113),IF(B113&lt;30000,0,IF(B113&lt;100000,MAX(0,(B113-AD113)*0.2),MAX(0,(B113-AD113)*0.3))),0)))</f>
        <v/>
      </c>
      <c r="Z113" s="7"/>
      <c r="AA113" s="19" t="str">
        <f aca="false">IF($A113="","",IF($AA$2&lt;&gt;"",$AA$2,""))</f>
        <v/>
      </c>
      <c r="AB113" s="7" t="str">
        <f aca="false">IF($A113="","",IF(B113&lt;30000,0.03,IF(B113&lt;100000,0.02,0.015)))</f>
        <v/>
      </c>
      <c r="AC113" s="18" t="str">
        <f aca="false">IF($A113="","",IFERROR(DATEDIF($A$2,$A113,"m"),0))</f>
        <v/>
      </c>
      <c r="AD113" s="15" t="str">
        <f aca="false">IF($A113="","",IF(OR(AA113="",AB113="",AC113=""),"",AA113*POWER(1+AB113,AC113)))</f>
        <v/>
      </c>
      <c r="AE113" s="27" t="str">
        <f aca="false">IF($A113="","",IF(OR(AD113="",AD113=0),"",B113/AD113-1))</f>
        <v/>
      </c>
      <c r="AG113" s="1" t="str">
        <f aca="false">IF($A113="","",IF(B113&lt;30000,"婴儿",IF(B113&lt;100000,"成长","成熟")))</f>
        <v/>
      </c>
      <c r="AH113" s="22"/>
      <c r="AJ113" s="22"/>
      <c r="AK113" s="22"/>
      <c r="AM113" s="22"/>
      <c r="AP113" s="13"/>
      <c r="AQ113" s="23" t="str">
        <f aca="false">IF($A113="","",B113-$AA$2-SUM($F$2:F113))</f>
        <v/>
      </c>
    </row>
    <row r="114" customFormat="false" ht="15" hidden="false" customHeight="true" outlineLevel="0" collapsed="false">
      <c r="A114" s="5"/>
      <c r="B114" s="14"/>
      <c r="C114" s="14"/>
      <c r="D114" s="15" t="str">
        <f aca="false">IF($A114="","",SUMIFS(持仓表!$J:$J,持仓表!$A:$A,$A114))</f>
        <v/>
      </c>
      <c r="E114" s="16" t="n">
        <f aca="false">IFERROR(D114/B114,0)</f>
        <v>0</v>
      </c>
      <c r="F114" s="14"/>
      <c r="G114" s="15" t="str">
        <f aca="false">IF($B114="","",MAX($B$2:B114))</f>
        <v/>
      </c>
      <c r="H114" s="16" t="n">
        <f aca="false">IFERROR((B114-F114)/F114,0)</f>
        <v>0</v>
      </c>
      <c r="I114" s="16" t="n">
        <f aca="false">IFERROR((B114-G114)/G114,0)</f>
        <v>0</v>
      </c>
      <c r="J114" s="11"/>
      <c r="K114" s="5"/>
      <c r="L114" s="17"/>
      <c r="M114" s="17"/>
      <c r="N114" s="16" t="str">
        <f aca="false">IF($B114="","",MIN(70%,IF($I114&lt;=-15%,10%,IF($I114&lt;=-10%,30%,IF($M114&gt;=4,10%,IF($M114&gt;=3,30%,IF($J114="强",IF($K114="A",70%,IF($K114="B",60%,40%)),IF($J114="中性",IF($K114="A",50%,IF($K114="B",40%,25%)),IF($K114="A",30%,IF($K114="B",20%,10%))))))))))</f>
        <v/>
      </c>
      <c r="O114" s="16" t="str">
        <f aca="false">IF($B114="","",IF(B114&lt;30000,35%,IF(B114&lt;50000,30%,IF(B114&lt;100000,25%,20%))))</f>
        <v/>
      </c>
      <c r="P114" s="18" t="str">
        <f aca="false">IF($A114="","",COUNTIFS(持仓表!$A:$A,$A114,持仓表!$G:$G,"&gt;0"))</f>
        <v/>
      </c>
      <c r="Q114" s="18" t="str">
        <f aca="false">IF($A114="","",COUNTIFS(持仓表!$A:$A,$A114,持仓表!$D:$D,"是",持仓表!$G:$G,"&gt;0"))</f>
        <v/>
      </c>
      <c r="R114" s="18" t="str">
        <f aca="false">IF($A114="","",MAX(0,P114-Q114))</f>
        <v/>
      </c>
      <c r="S114" s="18" t="str">
        <f aca="false">IF($B114="","",IF(B114&lt;50000,3,IF(B114&lt;100000,4,5)))</f>
        <v/>
      </c>
      <c r="T114" s="19" t="str">
        <f aca="false">IF($A114="","",IF(OR(M114&gt;=4,I114&lt;=-8%),"防守",IF(OR(M114&gt;=2,I114&lt;=-5%),"警戒","正常")))</f>
        <v/>
      </c>
      <c r="U114" s="19" t="str">
        <f aca="false">IF($A114="","",IF(AND(L114&gt;=3,M114&lt;=2,T114&lt;&gt;"防守"),"是","否"))</f>
        <v/>
      </c>
      <c r="V114" s="19" t="str">
        <f aca="false">IF($A114="","",IF(AND(E114&lt;N114,R114&lt;S114,M114&lt;=2,I114&gt;-15%),"是","否"))</f>
        <v/>
      </c>
      <c r="W114" s="19" t="str">
        <f aca="false">IF($A114="","",IF(OR(M114&gt;=3,I114&lt;=-15%),"是","否"))</f>
        <v/>
      </c>
      <c r="X114" s="15" t="str">
        <f aca="false">IF($A114="","",IFERROR(maxifs(候选池!$AB:$AB,候选池!$A:$A,$A114),0))</f>
        <v/>
      </c>
      <c r="Y114" s="15" t="str">
        <f aca="false">IF($A114="","",IF(OR(M114&gt;=4,I114&lt;=-8%),MAX(0,B114*60%-C114),IF(AND(ISNUMBER(AD114),B114&gt;AD114),IF(B114&lt;30000,0,IF(B114&lt;100000,MAX(0,(B114-AD114)*0.2),MAX(0,(B114-AD114)*0.3))),0)))</f>
        <v/>
      </c>
      <c r="Z114" s="5"/>
      <c r="AA114" s="19" t="str">
        <f aca="false">IF($A114="","",IF($AA$2&lt;&gt;"",$AA$2,""))</f>
        <v/>
      </c>
      <c r="AB114" s="5" t="str">
        <f aca="false">IF($A114="","",IF(B114&lt;30000,0.03,IF(B114&lt;100000,0.02,0.015)))</f>
        <v/>
      </c>
      <c r="AC114" s="18" t="str">
        <f aca="false">IF($A114="","",IFERROR(DATEDIF($A$2,$A114,"m"),0))</f>
        <v/>
      </c>
      <c r="AD114" s="15" t="str">
        <f aca="false">IF($A114="","",IF(OR(AA114="",AB114="",AC114=""),"",AA114*POWER(1+AB114,AC114)))</f>
        <v/>
      </c>
      <c r="AE114" s="21" t="str">
        <f aca="false">IF($A114="","",IF(OR(AD114="",AD114=0),"",B114/AD114-1))</f>
        <v/>
      </c>
      <c r="AG114" s="1" t="str">
        <f aca="false">IF($A114="","",IF(B114&lt;30000,"婴儿",IF(B114&lt;100000,"成长","成熟")))</f>
        <v/>
      </c>
      <c r="AH114" s="22"/>
      <c r="AJ114" s="22"/>
      <c r="AK114" s="22"/>
      <c r="AM114" s="22"/>
      <c r="AP114" s="13"/>
      <c r="AQ114" s="23" t="str">
        <f aca="false">IF($A114="","",B114-$AA$2-SUM($F$2:F114))</f>
        <v/>
      </c>
    </row>
    <row r="115" customFormat="false" ht="15" hidden="false" customHeight="true" outlineLevel="0" collapsed="false">
      <c r="A115" s="7"/>
      <c r="B115" s="24"/>
      <c r="C115" s="24"/>
      <c r="D115" s="15" t="str">
        <f aca="false">IF($A115="","",SUMIFS(持仓表!$J:$J,持仓表!$A:$A,$A115))</f>
        <v/>
      </c>
      <c r="E115" s="16" t="n">
        <f aca="false">IFERROR(D115/B115,0)</f>
        <v>0</v>
      </c>
      <c r="F115" s="24"/>
      <c r="G115" s="15" t="str">
        <f aca="false">IF($B115="","",MAX($B$2:B115))</f>
        <v/>
      </c>
      <c r="H115" s="16" t="n">
        <f aca="false">IFERROR((B115-F115)/F115,0)</f>
        <v>0</v>
      </c>
      <c r="I115" s="16" t="n">
        <f aca="false">IFERROR((B115-G115)/G115,0)</f>
        <v>0</v>
      </c>
      <c r="J115" s="12"/>
      <c r="K115" s="7"/>
      <c r="L115" s="25"/>
      <c r="M115" s="25"/>
      <c r="N115" s="16" t="str">
        <f aca="false">IF($B115="","",MIN(70%,IF($I115&lt;=-15%,10%,IF($I115&lt;=-10%,30%,IF($M115&gt;=4,10%,IF($M115&gt;=3,30%,IF($J115="强",IF($K115="A",70%,IF($K115="B",60%,40%)),IF($J115="中性",IF($K115="A",50%,IF($K115="B",40%,25%)),IF($K115="A",30%,IF($K115="B",20%,10%))))))))))</f>
        <v/>
      </c>
      <c r="O115" s="16" t="str">
        <f aca="false">IF($B115="","",IF(B115&lt;30000,35%,IF(B115&lt;50000,30%,IF(B115&lt;100000,25%,20%))))</f>
        <v/>
      </c>
      <c r="P115" s="18" t="str">
        <f aca="false">IF($A115="","",COUNTIFS(持仓表!$A:$A,$A115,持仓表!$G:$G,"&gt;0"))</f>
        <v/>
      </c>
      <c r="Q115" s="18" t="str">
        <f aca="false">IF($A115="","",COUNTIFS(持仓表!$A:$A,$A115,持仓表!$D:$D,"是",持仓表!$G:$G,"&gt;0"))</f>
        <v/>
      </c>
      <c r="R115" s="18" t="str">
        <f aca="false">IF($A115="","",MAX(0,P115-Q115))</f>
        <v/>
      </c>
      <c r="S115" s="18" t="str">
        <f aca="false">IF($B115="","",IF(B115&lt;50000,3,IF(B115&lt;100000,4,5)))</f>
        <v/>
      </c>
      <c r="T115" s="19" t="str">
        <f aca="false">IF($A115="","",IF(OR(M115&gt;=4,I115&lt;=-8%),"防守",IF(OR(M115&gt;=2,I115&lt;=-5%),"警戒","正常")))</f>
        <v/>
      </c>
      <c r="U115" s="19" t="str">
        <f aca="false">IF($A115="","",IF(AND(L115&gt;=3,M115&lt;=2,T115&lt;&gt;"防守"),"是","否"))</f>
        <v/>
      </c>
      <c r="V115" s="19" t="str">
        <f aca="false">IF($A115="","",IF(AND(E115&lt;N115,R115&lt;S115,M115&lt;=2,I115&gt;-15%),"是","否"))</f>
        <v/>
      </c>
      <c r="W115" s="19" t="str">
        <f aca="false">IF($A115="","",IF(OR(M115&gt;=3,I115&lt;=-15%),"是","否"))</f>
        <v/>
      </c>
      <c r="X115" s="15" t="str">
        <f aca="false">IF($A115="","",IFERROR(maxifs(候选池!$AB:$AB,候选池!$A:$A,$A115),0))</f>
        <v/>
      </c>
      <c r="Y115" s="15" t="str">
        <f aca="false">IF($A115="","",IF(OR(M115&gt;=4,I115&lt;=-8%),MAX(0,B115*60%-C115),IF(AND(ISNUMBER(AD115),B115&gt;AD115),IF(B115&lt;30000,0,IF(B115&lt;100000,MAX(0,(B115-AD115)*0.2),MAX(0,(B115-AD115)*0.3))),0)))</f>
        <v/>
      </c>
      <c r="Z115" s="7"/>
      <c r="AA115" s="19" t="str">
        <f aca="false">IF($A115="","",IF($AA$2&lt;&gt;"",$AA$2,""))</f>
        <v/>
      </c>
      <c r="AB115" s="7" t="str">
        <f aca="false">IF($A115="","",IF(B115&lt;30000,0.03,IF(B115&lt;100000,0.02,0.015)))</f>
        <v/>
      </c>
      <c r="AC115" s="18" t="str">
        <f aca="false">IF($A115="","",IFERROR(DATEDIF($A$2,$A115,"m"),0))</f>
        <v/>
      </c>
      <c r="AD115" s="15" t="str">
        <f aca="false">IF($A115="","",IF(OR(AA115="",AB115="",AC115=""),"",AA115*POWER(1+AB115,AC115)))</f>
        <v/>
      </c>
      <c r="AE115" s="27" t="str">
        <f aca="false">IF($A115="","",IF(OR(AD115="",AD115=0),"",B115/AD115-1))</f>
        <v/>
      </c>
      <c r="AG115" s="1" t="str">
        <f aca="false">IF($A115="","",IF(B115&lt;30000,"婴儿",IF(B115&lt;100000,"成长","成熟")))</f>
        <v/>
      </c>
      <c r="AH115" s="22"/>
      <c r="AJ115" s="22"/>
      <c r="AK115" s="22"/>
      <c r="AM115" s="22"/>
      <c r="AP115" s="13"/>
      <c r="AQ115" s="23" t="str">
        <f aca="false">IF($A115="","",B115-$AA$2-SUM($F$2:F115))</f>
        <v/>
      </c>
    </row>
    <row r="116" customFormat="false" ht="15" hidden="false" customHeight="true" outlineLevel="0" collapsed="false">
      <c r="A116" s="5"/>
      <c r="B116" s="14"/>
      <c r="C116" s="14"/>
      <c r="D116" s="15" t="str">
        <f aca="false">IF($A116="","",SUMIFS(持仓表!$J:$J,持仓表!$A:$A,$A116))</f>
        <v/>
      </c>
      <c r="E116" s="16" t="n">
        <f aca="false">IFERROR(D116/B116,0)</f>
        <v>0</v>
      </c>
      <c r="F116" s="14"/>
      <c r="G116" s="15" t="str">
        <f aca="false">IF($B116="","",MAX($B$2:B116))</f>
        <v/>
      </c>
      <c r="H116" s="16" t="n">
        <f aca="false">IFERROR((B116-F116)/F116,0)</f>
        <v>0</v>
      </c>
      <c r="I116" s="16" t="n">
        <f aca="false">IFERROR((B116-G116)/G116,0)</f>
        <v>0</v>
      </c>
      <c r="J116" s="11"/>
      <c r="K116" s="5"/>
      <c r="L116" s="17"/>
      <c r="M116" s="17"/>
      <c r="N116" s="16" t="str">
        <f aca="false">IF($B116="","",MIN(70%,IF($I116&lt;=-15%,10%,IF($I116&lt;=-10%,30%,IF($M116&gt;=4,10%,IF($M116&gt;=3,30%,IF($J116="强",IF($K116="A",70%,IF($K116="B",60%,40%)),IF($J116="中性",IF($K116="A",50%,IF($K116="B",40%,25%)),IF($K116="A",30%,IF($K116="B",20%,10%))))))))))</f>
        <v/>
      </c>
      <c r="O116" s="16" t="str">
        <f aca="false">IF($B116="","",IF(B116&lt;30000,35%,IF(B116&lt;50000,30%,IF(B116&lt;100000,25%,20%))))</f>
        <v/>
      </c>
      <c r="P116" s="18" t="str">
        <f aca="false">IF($A116="","",COUNTIFS(持仓表!$A:$A,$A116,持仓表!$G:$G,"&gt;0"))</f>
        <v/>
      </c>
      <c r="Q116" s="18" t="str">
        <f aca="false">IF($A116="","",COUNTIFS(持仓表!$A:$A,$A116,持仓表!$D:$D,"是",持仓表!$G:$G,"&gt;0"))</f>
        <v/>
      </c>
      <c r="R116" s="18" t="str">
        <f aca="false">IF($A116="","",MAX(0,P116-Q116))</f>
        <v/>
      </c>
      <c r="S116" s="18" t="str">
        <f aca="false">IF($B116="","",IF(B116&lt;50000,3,IF(B116&lt;100000,4,5)))</f>
        <v/>
      </c>
      <c r="T116" s="19" t="str">
        <f aca="false">IF($A116="","",IF(OR(M116&gt;=4,I116&lt;=-8%),"防守",IF(OR(M116&gt;=2,I116&lt;=-5%),"警戒","正常")))</f>
        <v/>
      </c>
      <c r="U116" s="19" t="str">
        <f aca="false">IF($A116="","",IF(AND(L116&gt;=3,M116&lt;=2,T116&lt;&gt;"防守"),"是","否"))</f>
        <v/>
      </c>
      <c r="V116" s="19" t="str">
        <f aca="false">IF($A116="","",IF(AND(E116&lt;N116,R116&lt;S116,M116&lt;=2,I116&gt;-15%),"是","否"))</f>
        <v/>
      </c>
      <c r="W116" s="19" t="str">
        <f aca="false">IF($A116="","",IF(OR(M116&gt;=3,I116&lt;=-15%),"是","否"))</f>
        <v/>
      </c>
      <c r="X116" s="15" t="str">
        <f aca="false">IF($A116="","",IFERROR(maxifs(候选池!$AB:$AB,候选池!$A:$A,$A116),0))</f>
        <v/>
      </c>
      <c r="Y116" s="15" t="str">
        <f aca="false">IF($A116="","",IF(OR(M116&gt;=4,I116&lt;=-8%),MAX(0,B116*60%-C116),IF(AND(ISNUMBER(AD116),B116&gt;AD116),IF(B116&lt;30000,0,IF(B116&lt;100000,MAX(0,(B116-AD116)*0.2),MAX(0,(B116-AD116)*0.3))),0)))</f>
        <v/>
      </c>
      <c r="Z116" s="5"/>
      <c r="AA116" s="19" t="str">
        <f aca="false">IF($A116="","",IF($AA$2&lt;&gt;"",$AA$2,""))</f>
        <v/>
      </c>
      <c r="AB116" s="5" t="str">
        <f aca="false">IF($A116="","",IF(B116&lt;30000,0.03,IF(B116&lt;100000,0.02,0.015)))</f>
        <v/>
      </c>
      <c r="AC116" s="18" t="str">
        <f aca="false">IF($A116="","",IFERROR(DATEDIF($A$2,$A116,"m"),0))</f>
        <v/>
      </c>
      <c r="AD116" s="15" t="str">
        <f aca="false">IF($A116="","",IF(OR(AA116="",AB116="",AC116=""),"",AA116*POWER(1+AB116,AC116)))</f>
        <v/>
      </c>
      <c r="AE116" s="21" t="str">
        <f aca="false">IF($A116="","",IF(OR(AD116="",AD116=0),"",B116/AD116-1))</f>
        <v/>
      </c>
      <c r="AG116" s="1" t="str">
        <f aca="false">IF($A116="","",IF(B116&lt;30000,"婴儿",IF(B116&lt;100000,"成长","成熟")))</f>
        <v/>
      </c>
      <c r="AH116" s="22"/>
      <c r="AJ116" s="22"/>
      <c r="AK116" s="22"/>
      <c r="AM116" s="22"/>
      <c r="AP116" s="13"/>
      <c r="AQ116" s="23" t="str">
        <f aca="false">IF($A116="","",B116-$AA$2-SUM($F$2:F116))</f>
        <v/>
      </c>
    </row>
    <row r="117" customFormat="false" ht="15" hidden="false" customHeight="true" outlineLevel="0" collapsed="false">
      <c r="A117" s="7"/>
      <c r="B117" s="24"/>
      <c r="C117" s="24"/>
      <c r="D117" s="15" t="str">
        <f aca="false">IF($A117="","",SUMIFS(持仓表!$J:$J,持仓表!$A:$A,$A117))</f>
        <v/>
      </c>
      <c r="E117" s="16" t="n">
        <f aca="false">IFERROR(D117/B117,0)</f>
        <v>0</v>
      </c>
      <c r="F117" s="24"/>
      <c r="G117" s="15" t="str">
        <f aca="false">IF($B117="","",MAX($B$2:B117))</f>
        <v/>
      </c>
      <c r="H117" s="16" t="n">
        <f aca="false">IFERROR((B117-F117)/F117,0)</f>
        <v>0</v>
      </c>
      <c r="I117" s="16" t="n">
        <f aca="false">IFERROR((B117-G117)/G117,0)</f>
        <v>0</v>
      </c>
      <c r="J117" s="12"/>
      <c r="K117" s="7"/>
      <c r="L117" s="25"/>
      <c r="M117" s="25"/>
      <c r="N117" s="16" t="str">
        <f aca="false">IF($B117="","",MIN(70%,IF($I117&lt;=-15%,10%,IF($I117&lt;=-10%,30%,IF($M117&gt;=4,10%,IF($M117&gt;=3,30%,IF($J117="强",IF($K117="A",70%,IF($K117="B",60%,40%)),IF($J117="中性",IF($K117="A",50%,IF($K117="B",40%,25%)),IF($K117="A",30%,IF($K117="B",20%,10%))))))))))</f>
        <v/>
      </c>
      <c r="O117" s="16" t="str">
        <f aca="false">IF($B117="","",IF(B117&lt;30000,35%,IF(B117&lt;50000,30%,IF(B117&lt;100000,25%,20%))))</f>
        <v/>
      </c>
      <c r="P117" s="18" t="str">
        <f aca="false">IF($A117="","",COUNTIFS(持仓表!$A:$A,$A117,持仓表!$G:$G,"&gt;0"))</f>
        <v/>
      </c>
      <c r="Q117" s="18" t="str">
        <f aca="false">IF($A117="","",COUNTIFS(持仓表!$A:$A,$A117,持仓表!$D:$D,"是",持仓表!$G:$G,"&gt;0"))</f>
        <v/>
      </c>
      <c r="R117" s="18" t="str">
        <f aca="false">IF($A117="","",MAX(0,P117-Q117))</f>
        <v/>
      </c>
      <c r="S117" s="18" t="str">
        <f aca="false">IF($B117="","",IF(B117&lt;50000,3,IF(B117&lt;100000,4,5)))</f>
        <v/>
      </c>
      <c r="T117" s="19" t="str">
        <f aca="false">IF($A117="","",IF(OR(M117&gt;=4,I117&lt;=-8%),"防守",IF(OR(M117&gt;=2,I117&lt;=-5%),"警戒","正常")))</f>
        <v/>
      </c>
      <c r="U117" s="19" t="str">
        <f aca="false">IF($A117="","",IF(AND(L117&gt;=3,M117&lt;=2,T117&lt;&gt;"防守"),"是","否"))</f>
        <v/>
      </c>
      <c r="V117" s="19" t="str">
        <f aca="false">IF($A117="","",IF(AND(E117&lt;N117,R117&lt;S117,M117&lt;=2,I117&gt;-15%),"是","否"))</f>
        <v/>
      </c>
      <c r="W117" s="19" t="str">
        <f aca="false">IF($A117="","",IF(OR(M117&gt;=3,I117&lt;=-15%),"是","否"))</f>
        <v/>
      </c>
      <c r="X117" s="15" t="str">
        <f aca="false">IF($A117="","",IFERROR(maxifs(候选池!$AB:$AB,候选池!$A:$A,$A117),0))</f>
        <v/>
      </c>
      <c r="Y117" s="15" t="str">
        <f aca="false">IF($A117="","",IF(OR(M117&gt;=4,I117&lt;=-8%),MAX(0,B117*60%-C117),IF(AND(ISNUMBER(AD117),B117&gt;AD117),IF(B117&lt;30000,0,IF(B117&lt;100000,MAX(0,(B117-AD117)*0.2),MAX(0,(B117-AD117)*0.3))),0)))</f>
        <v/>
      </c>
      <c r="Z117" s="7"/>
      <c r="AA117" s="19" t="str">
        <f aca="false">IF($A117="","",IF($AA$2&lt;&gt;"",$AA$2,""))</f>
        <v/>
      </c>
      <c r="AB117" s="7" t="str">
        <f aca="false">IF($A117="","",IF(B117&lt;30000,0.03,IF(B117&lt;100000,0.02,0.015)))</f>
        <v/>
      </c>
      <c r="AC117" s="18" t="str">
        <f aca="false">IF($A117="","",IFERROR(DATEDIF($A$2,$A117,"m"),0))</f>
        <v/>
      </c>
      <c r="AD117" s="15" t="str">
        <f aca="false">IF($A117="","",IF(OR(AA117="",AB117="",AC117=""),"",AA117*POWER(1+AB117,AC117)))</f>
        <v/>
      </c>
      <c r="AE117" s="27" t="str">
        <f aca="false">IF($A117="","",IF(OR(AD117="",AD117=0),"",B117/AD117-1))</f>
        <v/>
      </c>
      <c r="AG117" s="1" t="str">
        <f aca="false">IF($A117="","",IF(B117&lt;30000,"婴儿",IF(B117&lt;100000,"成长","成熟")))</f>
        <v/>
      </c>
      <c r="AH117" s="22"/>
      <c r="AJ117" s="22"/>
      <c r="AK117" s="22"/>
      <c r="AM117" s="22"/>
      <c r="AP117" s="13"/>
      <c r="AQ117" s="23" t="str">
        <f aca="false">IF($A117="","",B117-$AA$2-SUM($F$2:F117))</f>
        <v/>
      </c>
    </row>
    <row r="118" customFormat="false" ht="15" hidden="false" customHeight="true" outlineLevel="0" collapsed="false">
      <c r="A118" s="5"/>
      <c r="B118" s="14"/>
      <c r="C118" s="14"/>
      <c r="D118" s="15" t="str">
        <f aca="false">IF($A118="","",SUMIFS(持仓表!$J:$J,持仓表!$A:$A,$A118))</f>
        <v/>
      </c>
      <c r="E118" s="16" t="n">
        <f aca="false">IFERROR(D118/B118,0)</f>
        <v>0</v>
      </c>
      <c r="F118" s="14"/>
      <c r="G118" s="15" t="str">
        <f aca="false">IF($B118="","",MAX($B$2:B118))</f>
        <v/>
      </c>
      <c r="H118" s="16" t="n">
        <f aca="false">IFERROR((B118-F118)/F118,0)</f>
        <v>0</v>
      </c>
      <c r="I118" s="16" t="n">
        <f aca="false">IFERROR((B118-G118)/G118,0)</f>
        <v>0</v>
      </c>
      <c r="J118" s="11"/>
      <c r="K118" s="5"/>
      <c r="L118" s="17"/>
      <c r="M118" s="17"/>
      <c r="N118" s="16" t="str">
        <f aca="false">IF($B118="","",MIN(70%,IF($I118&lt;=-15%,10%,IF($I118&lt;=-10%,30%,IF($M118&gt;=4,10%,IF($M118&gt;=3,30%,IF($J118="强",IF($K118="A",70%,IF($K118="B",60%,40%)),IF($J118="中性",IF($K118="A",50%,IF($K118="B",40%,25%)),IF($K118="A",30%,IF($K118="B",20%,10%))))))))))</f>
        <v/>
      </c>
      <c r="O118" s="16" t="str">
        <f aca="false">IF($B118="","",IF(B118&lt;30000,35%,IF(B118&lt;50000,30%,IF(B118&lt;100000,25%,20%))))</f>
        <v/>
      </c>
      <c r="P118" s="18" t="str">
        <f aca="false">IF($A118="","",COUNTIFS(持仓表!$A:$A,$A118,持仓表!$G:$G,"&gt;0"))</f>
        <v/>
      </c>
      <c r="Q118" s="18" t="str">
        <f aca="false">IF($A118="","",COUNTIFS(持仓表!$A:$A,$A118,持仓表!$D:$D,"是",持仓表!$G:$G,"&gt;0"))</f>
        <v/>
      </c>
      <c r="R118" s="18" t="str">
        <f aca="false">IF($A118="","",MAX(0,P118-Q118))</f>
        <v/>
      </c>
      <c r="S118" s="18" t="str">
        <f aca="false">IF($B118="","",IF(B118&lt;50000,3,IF(B118&lt;100000,4,5)))</f>
        <v/>
      </c>
      <c r="T118" s="19" t="str">
        <f aca="false">IF($A118="","",IF(OR(M118&gt;=4,I118&lt;=-8%),"防守",IF(OR(M118&gt;=2,I118&lt;=-5%),"警戒","正常")))</f>
        <v/>
      </c>
      <c r="U118" s="19" t="str">
        <f aca="false">IF($A118="","",IF(AND(L118&gt;=3,M118&lt;=2,T118&lt;&gt;"防守"),"是","否"))</f>
        <v/>
      </c>
      <c r="V118" s="19" t="str">
        <f aca="false">IF($A118="","",IF(AND(E118&lt;N118,R118&lt;S118,M118&lt;=2,I118&gt;-15%),"是","否"))</f>
        <v/>
      </c>
      <c r="W118" s="19" t="str">
        <f aca="false">IF($A118="","",IF(OR(M118&gt;=3,I118&lt;=-15%),"是","否"))</f>
        <v/>
      </c>
      <c r="X118" s="15" t="str">
        <f aca="false">IF($A118="","",IFERROR(maxifs(候选池!$AB:$AB,候选池!$A:$A,$A118),0))</f>
        <v/>
      </c>
      <c r="Y118" s="15" t="str">
        <f aca="false">IF($A118="","",IF(OR(M118&gt;=4,I118&lt;=-8%),MAX(0,B118*60%-C118),IF(AND(ISNUMBER(AD118),B118&gt;AD118),IF(B118&lt;30000,0,IF(B118&lt;100000,MAX(0,(B118-AD118)*0.2),MAX(0,(B118-AD118)*0.3))),0)))</f>
        <v/>
      </c>
      <c r="Z118" s="5"/>
      <c r="AA118" s="19" t="str">
        <f aca="false">IF($A118="","",IF($AA$2&lt;&gt;"",$AA$2,""))</f>
        <v/>
      </c>
      <c r="AB118" s="5" t="str">
        <f aca="false">IF($A118="","",IF(B118&lt;30000,0.03,IF(B118&lt;100000,0.02,0.015)))</f>
        <v/>
      </c>
      <c r="AC118" s="18" t="str">
        <f aca="false">IF($A118="","",IFERROR(DATEDIF($A$2,$A118,"m"),0))</f>
        <v/>
      </c>
      <c r="AD118" s="15" t="str">
        <f aca="false">IF($A118="","",IF(OR(AA118="",AB118="",AC118=""),"",AA118*POWER(1+AB118,AC118)))</f>
        <v/>
      </c>
      <c r="AE118" s="21" t="str">
        <f aca="false">IF($A118="","",IF(OR(AD118="",AD118=0),"",B118/AD118-1))</f>
        <v/>
      </c>
      <c r="AG118" s="1" t="str">
        <f aca="false">IF($A118="","",IF(B118&lt;30000,"婴儿",IF(B118&lt;100000,"成长","成熟")))</f>
        <v/>
      </c>
      <c r="AH118" s="22"/>
      <c r="AJ118" s="22"/>
      <c r="AK118" s="22"/>
      <c r="AM118" s="22"/>
      <c r="AP118" s="13"/>
      <c r="AQ118" s="23" t="str">
        <f aca="false">IF($A118="","",B118-$AA$2-SUM($F$2:F118))</f>
        <v/>
      </c>
    </row>
    <row r="119" customFormat="false" ht="15" hidden="false" customHeight="true" outlineLevel="0" collapsed="false">
      <c r="A119" s="7"/>
      <c r="B119" s="24"/>
      <c r="C119" s="24"/>
      <c r="D119" s="15" t="str">
        <f aca="false">IF($A119="","",SUMIFS(持仓表!$J:$J,持仓表!$A:$A,$A119))</f>
        <v/>
      </c>
      <c r="E119" s="16" t="n">
        <f aca="false">IFERROR(D119/B119,0)</f>
        <v>0</v>
      </c>
      <c r="F119" s="24"/>
      <c r="G119" s="15" t="str">
        <f aca="false">IF($B119="","",MAX($B$2:B119))</f>
        <v/>
      </c>
      <c r="H119" s="16" t="n">
        <f aca="false">IFERROR((B119-F119)/F119,0)</f>
        <v>0</v>
      </c>
      <c r="I119" s="16" t="n">
        <f aca="false">IFERROR((B119-G119)/G119,0)</f>
        <v>0</v>
      </c>
      <c r="J119" s="12"/>
      <c r="K119" s="7"/>
      <c r="L119" s="25"/>
      <c r="M119" s="25"/>
      <c r="N119" s="16" t="str">
        <f aca="false">IF($B119="","",MIN(70%,IF($I119&lt;=-15%,10%,IF($I119&lt;=-10%,30%,IF($M119&gt;=4,10%,IF($M119&gt;=3,30%,IF($J119="强",IF($K119="A",70%,IF($K119="B",60%,40%)),IF($J119="中性",IF($K119="A",50%,IF($K119="B",40%,25%)),IF($K119="A",30%,IF($K119="B",20%,10%))))))))))</f>
        <v/>
      </c>
      <c r="O119" s="16" t="str">
        <f aca="false">IF($B119="","",IF(B119&lt;30000,35%,IF(B119&lt;50000,30%,IF(B119&lt;100000,25%,20%))))</f>
        <v/>
      </c>
      <c r="P119" s="18" t="str">
        <f aca="false">IF($A119="","",COUNTIFS(持仓表!$A:$A,$A119,持仓表!$G:$G,"&gt;0"))</f>
        <v/>
      </c>
      <c r="Q119" s="18" t="str">
        <f aca="false">IF($A119="","",COUNTIFS(持仓表!$A:$A,$A119,持仓表!$D:$D,"是",持仓表!$G:$G,"&gt;0"))</f>
        <v/>
      </c>
      <c r="R119" s="18" t="str">
        <f aca="false">IF($A119="","",MAX(0,P119-Q119))</f>
        <v/>
      </c>
      <c r="S119" s="18" t="str">
        <f aca="false">IF($B119="","",IF(B119&lt;50000,3,IF(B119&lt;100000,4,5)))</f>
        <v/>
      </c>
      <c r="T119" s="19" t="str">
        <f aca="false">IF($A119="","",IF(OR(M119&gt;=4,I119&lt;=-8%),"防守",IF(OR(M119&gt;=2,I119&lt;=-5%),"警戒","正常")))</f>
        <v/>
      </c>
      <c r="U119" s="19" t="str">
        <f aca="false">IF($A119="","",IF(AND(L119&gt;=3,M119&lt;=2,T119&lt;&gt;"防守"),"是","否"))</f>
        <v/>
      </c>
      <c r="V119" s="19" t="str">
        <f aca="false">IF($A119="","",IF(AND(E119&lt;N119,R119&lt;S119,M119&lt;=2,I119&gt;-15%),"是","否"))</f>
        <v/>
      </c>
      <c r="W119" s="19" t="str">
        <f aca="false">IF($A119="","",IF(OR(M119&gt;=3,I119&lt;=-15%),"是","否"))</f>
        <v/>
      </c>
      <c r="X119" s="15" t="str">
        <f aca="false">IF($A119="","",IFERROR(maxifs(候选池!$AB:$AB,候选池!$A:$A,$A119),0))</f>
        <v/>
      </c>
      <c r="Y119" s="15" t="str">
        <f aca="false">IF($A119="","",IF(OR(M119&gt;=4,I119&lt;=-8%),MAX(0,B119*60%-C119),IF(AND(ISNUMBER(AD119),B119&gt;AD119),IF(B119&lt;30000,0,IF(B119&lt;100000,MAX(0,(B119-AD119)*0.2),MAX(0,(B119-AD119)*0.3))),0)))</f>
        <v/>
      </c>
      <c r="Z119" s="7"/>
      <c r="AA119" s="19" t="str">
        <f aca="false">IF($A119="","",IF($AA$2&lt;&gt;"",$AA$2,""))</f>
        <v/>
      </c>
      <c r="AB119" s="7" t="str">
        <f aca="false">IF($A119="","",IF(B119&lt;30000,0.03,IF(B119&lt;100000,0.02,0.015)))</f>
        <v/>
      </c>
      <c r="AC119" s="18" t="str">
        <f aca="false">IF($A119="","",IFERROR(DATEDIF($A$2,$A119,"m"),0))</f>
        <v/>
      </c>
      <c r="AD119" s="15" t="str">
        <f aca="false">IF($A119="","",IF(OR(AA119="",AB119="",AC119=""),"",AA119*POWER(1+AB119,AC119)))</f>
        <v/>
      </c>
      <c r="AE119" s="27" t="str">
        <f aca="false">IF($A119="","",IF(OR(AD119="",AD119=0),"",B119/AD119-1))</f>
        <v/>
      </c>
      <c r="AG119" s="1" t="str">
        <f aca="false">IF($A119="","",IF(B119&lt;30000,"婴儿",IF(B119&lt;100000,"成长","成熟")))</f>
        <v/>
      </c>
      <c r="AH119" s="22"/>
      <c r="AJ119" s="22"/>
      <c r="AK119" s="22"/>
      <c r="AM119" s="22"/>
      <c r="AP119" s="13"/>
      <c r="AQ119" s="23" t="str">
        <f aca="false">IF($A119="","",B119-$AA$2-SUM($F$2:F119))</f>
        <v/>
      </c>
    </row>
    <row r="120" customFormat="false" ht="15" hidden="false" customHeight="true" outlineLevel="0" collapsed="false">
      <c r="A120" s="5"/>
      <c r="B120" s="14"/>
      <c r="C120" s="14"/>
      <c r="D120" s="15" t="str">
        <f aca="false">IF($A120="","",SUMIFS(持仓表!$J:$J,持仓表!$A:$A,$A120))</f>
        <v/>
      </c>
      <c r="E120" s="16" t="n">
        <f aca="false">IFERROR(D120/B120,0)</f>
        <v>0</v>
      </c>
      <c r="F120" s="14"/>
      <c r="G120" s="15" t="str">
        <f aca="false">IF($B120="","",MAX($B$2:B120))</f>
        <v/>
      </c>
      <c r="H120" s="16" t="n">
        <f aca="false">IFERROR((B120-F120)/F120,0)</f>
        <v>0</v>
      </c>
      <c r="I120" s="16" t="n">
        <f aca="false">IFERROR((B120-G120)/G120,0)</f>
        <v>0</v>
      </c>
      <c r="J120" s="11"/>
      <c r="K120" s="5"/>
      <c r="L120" s="17"/>
      <c r="M120" s="17"/>
      <c r="N120" s="16" t="str">
        <f aca="false">IF($B120="","",MIN(70%,IF($I120&lt;=-15%,10%,IF($I120&lt;=-10%,30%,IF($M120&gt;=4,10%,IF($M120&gt;=3,30%,IF($J120="强",IF($K120="A",70%,IF($K120="B",60%,40%)),IF($J120="中性",IF($K120="A",50%,IF($K120="B",40%,25%)),IF($K120="A",30%,IF($K120="B",20%,10%))))))))))</f>
        <v/>
      </c>
      <c r="O120" s="16" t="str">
        <f aca="false">IF($B120="","",IF(B120&lt;30000,35%,IF(B120&lt;50000,30%,IF(B120&lt;100000,25%,20%))))</f>
        <v/>
      </c>
      <c r="P120" s="18" t="str">
        <f aca="false">IF($A120="","",COUNTIFS(持仓表!$A:$A,$A120,持仓表!$G:$G,"&gt;0"))</f>
        <v/>
      </c>
      <c r="Q120" s="18" t="str">
        <f aca="false">IF($A120="","",COUNTIFS(持仓表!$A:$A,$A120,持仓表!$D:$D,"是",持仓表!$G:$G,"&gt;0"))</f>
        <v/>
      </c>
      <c r="R120" s="18" t="str">
        <f aca="false">IF($A120="","",MAX(0,P120-Q120))</f>
        <v/>
      </c>
      <c r="S120" s="18" t="str">
        <f aca="false">IF($B120="","",IF(B120&lt;50000,3,IF(B120&lt;100000,4,5)))</f>
        <v/>
      </c>
      <c r="T120" s="19" t="str">
        <f aca="false">IF($A120="","",IF(OR(M120&gt;=4,I120&lt;=-8%),"防守",IF(OR(M120&gt;=2,I120&lt;=-5%),"警戒","正常")))</f>
        <v/>
      </c>
      <c r="U120" s="19" t="str">
        <f aca="false">IF($A120="","",IF(AND(L120&gt;=3,M120&lt;=2,T120&lt;&gt;"防守"),"是","否"))</f>
        <v/>
      </c>
      <c r="V120" s="19" t="str">
        <f aca="false">IF($A120="","",IF(AND(E120&lt;N120,R120&lt;S120,M120&lt;=2,I120&gt;-15%),"是","否"))</f>
        <v/>
      </c>
      <c r="W120" s="19" t="str">
        <f aca="false">IF($A120="","",IF(OR(M120&gt;=3,I120&lt;=-15%),"是","否"))</f>
        <v/>
      </c>
      <c r="X120" s="15" t="str">
        <f aca="false">IF($A120="","",IFERROR(maxifs(候选池!$AB:$AB,候选池!$A:$A,$A120),0))</f>
        <v/>
      </c>
      <c r="Y120" s="15" t="str">
        <f aca="false">IF($A120="","",IF(OR(M120&gt;=4,I120&lt;=-8%),MAX(0,B120*60%-C120),IF(AND(ISNUMBER(AD120),B120&gt;AD120),IF(B120&lt;30000,0,IF(B120&lt;100000,MAX(0,(B120-AD120)*0.2),MAX(0,(B120-AD120)*0.3))),0)))</f>
        <v/>
      </c>
      <c r="Z120" s="5"/>
      <c r="AA120" s="19" t="str">
        <f aca="false">IF($A120="","",IF($AA$2&lt;&gt;"",$AA$2,""))</f>
        <v/>
      </c>
      <c r="AB120" s="5" t="str">
        <f aca="false">IF($A120="","",IF(B120&lt;30000,0.03,IF(B120&lt;100000,0.02,0.015)))</f>
        <v/>
      </c>
      <c r="AC120" s="18" t="str">
        <f aca="false">IF($A120="","",IFERROR(DATEDIF($A$2,$A120,"m"),0))</f>
        <v/>
      </c>
      <c r="AD120" s="15" t="str">
        <f aca="false">IF($A120="","",IF(OR(AA120="",AB120="",AC120=""),"",AA120*POWER(1+AB120,AC120)))</f>
        <v/>
      </c>
      <c r="AE120" s="21" t="str">
        <f aca="false">IF($A120="","",IF(OR(AD120="",AD120=0),"",B120/AD120-1))</f>
        <v/>
      </c>
      <c r="AG120" s="1" t="str">
        <f aca="false">IF($A120="","",IF(B120&lt;30000,"婴儿",IF(B120&lt;100000,"成长","成熟")))</f>
        <v/>
      </c>
      <c r="AH120" s="22"/>
      <c r="AJ120" s="22"/>
      <c r="AK120" s="22"/>
      <c r="AM120" s="22"/>
      <c r="AP120" s="13"/>
      <c r="AQ120" s="23" t="str">
        <f aca="false">IF($A120="","",B120-$AA$2-SUM($F$2:F120))</f>
        <v/>
      </c>
    </row>
    <row r="121" customFormat="false" ht="15" hidden="false" customHeight="true" outlineLevel="0" collapsed="false">
      <c r="A121" s="7"/>
      <c r="B121" s="24"/>
      <c r="C121" s="24"/>
      <c r="D121" s="15" t="str">
        <f aca="false">IF($A121="","",SUMIFS(持仓表!$J:$J,持仓表!$A:$A,$A121))</f>
        <v/>
      </c>
      <c r="E121" s="16" t="n">
        <f aca="false">IFERROR(D121/B121,0)</f>
        <v>0</v>
      </c>
      <c r="F121" s="24"/>
      <c r="G121" s="15" t="str">
        <f aca="false">IF($B121="","",MAX($B$2:B121))</f>
        <v/>
      </c>
      <c r="H121" s="16" t="n">
        <f aca="false">IFERROR((B121-F121)/F121,0)</f>
        <v>0</v>
      </c>
      <c r="I121" s="16" t="n">
        <f aca="false">IFERROR((B121-G121)/G121,0)</f>
        <v>0</v>
      </c>
      <c r="J121" s="12"/>
      <c r="K121" s="7"/>
      <c r="L121" s="25"/>
      <c r="M121" s="25"/>
      <c r="N121" s="16" t="str">
        <f aca="false">IF($B121="","",MIN(70%,IF($I121&lt;=-15%,10%,IF($I121&lt;=-10%,30%,IF($M121&gt;=4,10%,IF($M121&gt;=3,30%,IF($J121="强",IF($K121="A",70%,IF($K121="B",60%,40%)),IF($J121="中性",IF($K121="A",50%,IF($K121="B",40%,25%)),IF($K121="A",30%,IF($K121="B",20%,10%))))))))))</f>
        <v/>
      </c>
      <c r="O121" s="16" t="str">
        <f aca="false">IF($B121="","",IF(B121&lt;30000,35%,IF(B121&lt;50000,30%,IF(B121&lt;100000,25%,20%))))</f>
        <v/>
      </c>
      <c r="P121" s="18" t="str">
        <f aca="false">IF($A121="","",COUNTIFS(持仓表!$A:$A,$A121,持仓表!$G:$G,"&gt;0"))</f>
        <v/>
      </c>
      <c r="Q121" s="18" t="str">
        <f aca="false">IF($A121="","",COUNTIFS(持仓表!$A:$A,$A121,持仓表!$D:$D,"是",持仓表!$G:$G,"&gt;0"))</f>
        <v/>
      </c>
      <c r="R121" s="18" t="str">
        <f aca="false">IF($A121="","",MAX(0,P121-Q121))</f>
        <v/>
      </c>
      <c r="S121" s="18" t="str">
        <f aca="false">IF($B121="","",IF(B121&lt;50000,3,IF(B121&lt;100000,4,5)))</f>
        <v/>
      </c>
      <c r="T121" s="19" t="str">
        <f aca="false">IF($A121="","",IF(OR(M121&gt;=4,I121&lt;=-8%),"防守",IF(OR(M121&gt;=2,I121&lt;=-5%),"警戒","正常")))</f>
        <v/>
      </c>
      <c r="U121" s="19" t="str">
        <f aca="false">IF($A121="","",IF(AND(L121&gt;=3,M121&lt;=2,T121&lt;&gt;"防守"),"是","否"))</f>
        <v/>
      </c>
      <c r="V121" s="19" t="str">
        <f aca="false">IF($A121="","",IF(AND(E121&lt;N121,R121&lt;S121,M121&lt;=2,I121&gt;-15%),"是","否"))</f>
        <v/>
      </c>
      <c r="W121" s="19" t="str">
        <f aca="false">IF($A121="","",IF(OR(M121&gt;=3,I121&lt;=-15%),"是","否"))</f>
        <v/>
      </c>
      <c r="X121" s="15" t="str">
        <f aca="false">IF($A121="","",IFERROR(maxifs(候选池!$AB:$AB,候选池!$A:$A,$A121),0))</f>
        <v/>
      </c>
      <c r="Y121" s="15" t="str">
        <f aca="false">IF($A121="","",IF(OR(M121&gt;=4,I121&lt;=-8%),MAX(0,B121*60%-C121),IF(AND(ISNUMBER(AD121),B121&gt;AD121),IF(B121&lt;30000,0,IF(B121&lt;100000,MAX(0,(B121-AD121)*0.2),MAX(0,(B121-AD121)*0.3))),0)))</f>
        <v/>
      </c>
      <c r="Z121" s="7"/>
      <c r="AA121" s="19" t="str">
        <f aca="false">IF($A121="","",IF($AA$2&lt;&gt;"",$AA$2,""))</f>
        <v/>
      </c>
      <c r="AB121" s="7" t="str">
        <f aca="false">IF($A121="","",IF(B121&lt;30000,0.03,IF(B121&lt;100000,0.02,0.015)))</f>
        <v/>
      </c>
      <c r="AC121" s="18" t="str">
        <f aca="false">IF($A121="","",IFERROR(DATEDIF($A$2,$A121,"m"),0))</f>
        <v/>
      </c>
      <c r="AD121" s="15" t="str">
        <f aca="false">IF($A121="","",IF(OR(AA121="",AB121="",AC121=""),"",AA121*POWER(1+AB121,AC121)))</f>
        <v/>
      </c>
      <c r="AE121" s="27" t="str">
        <f aca="false">IF($A121="","",IF(OR(AD121="",AD121=0),"",B121/AD121-1))</f>
        <v/>
      </c>
      <c r="AG121" s="1" t="str">
        <f aca="false">IF($A121="","",IF(B121&lt;30000,"婴儿",IF(B121&lt;100000,"成长","成熟")))</f>
        <v/>
      </c>
      <c r="AH121" s="22"/>
      <c r="AJ121" s="22"/>
      <c r="AK121" s="22"/>
      <c r="AM121" s="22"/>
      <c r="AP121" s="13"/>
      <c r="AQ121" s="23" t="str">
        <f aca="false">IF($A121="","",B121-$AA$2-SUM($F$2:F121))</f>
        <v/>
      </c>
    </row>
    <row r="122" customFormat="false" ht="15" hidden="false" customHeight="true" outlineLevel="0" collapsed="false">
      <c r="A122" s="5"/>
      <c r="B122" s="14"/>
      <c r="C122" s="14"/>
      <c r="D122" s="15" t="str">
        <f aca="false">IF($A122="","",SUMIFS(持仓表!$J:$J,持仓表!$A:$A,$A122))</f>
        <v/>
      </c>
      <c r="E122" s="16" t="n">
        <f aca="false">IFERROR(D122/B122,0)</f>
        <v>0</v>
      </c>
      <c r="F122" s="14"/>
      <c r="G122" s="15" t="str">
        <f aca="false">IF($B122="","",MAX($B$2:B122))</f>
        <v/>
      </c>
      <c r="H122" s="16" t="n">
        <f aca="false">IFERROR((B122-F122)/F122,0)</f>
        <v>0</v>
      </c>
      <c r="I122" s="16" t="n">
        <f aca="false">IFERROR((B122-G122)/G122,0)</f>
        <v>0</v>
      </c>
      <c r="J122" s="11"/>
      <c r="K122" s="5"/>
      <c r="L122" s="17"/>
      <c r="M122" s="17"/>
      <c r="N122" s="16" t="str">
        <f aca="false">IF($B122="","",MIN(70%,IF($I122&lt;=-15%,10%,IF($I122&lt;=-10%,30%,IF($M122&gt;=4,10%,IF($M122&gt;=3,30%,IF($J122="强",IF($K122="A",70%,IF($K122="B",60%,40%)),IF($J122="中性",IF($K122="A",50%,IF($K122="B",40%,25%)),IF($K122="A",30%,IF($K122="B",20%,10%))))))))))</f>
        <v/>
      </c>
      <c r="O122" s="16" t="str">
        <f aca="false">IF($B122="","",IF(B122&lt;30000,35%,IF(B122&lt;50000,30%,IF(B122&lt;100000,25%,20%))))</f>
        <v/>
      </c>
      <c r="P122" s="18" t="str">
        <f aca="false">IF($A122="","",COUNTIFS(持仓表!$A:$A,$A122,持仓表!$G:$G,"&gt;0"))</f>
        <v/>
      </c>
      <c r="Q122" s="18" t="str">
        <f aca="false">IF($A122="","",COUNTIFS(持仓表!$A:$A,$A122,持仓表!$D:$D,"是",持仓表!$G:$G,"&gt;0"))</f>
        <v/>
      </c>
      <c r="R122" s="18" t="str">
        <f aca="false">IF($A122="","",MAX(0,P122-Q122))</f>
        <v/>
      </c>
      <c r="S122" s="18" t="str">
        <f aca="false">IF($B122="","",IF(B122&lt;50000,3,IF(B122&lt;100000,4,5)))</f>
        <v/>
      </c>
      <c r="T122" s="19" t="str">
        <f aca="false">IF($A122="","",IF(OR(M122&gt;=4,I122&lt;=-8%),"防守",IF(OR(M122&gt;=2,I122&lt;=-5%),"警戒","正常")))</f>
        <v/>
      </c>
      <c r="U122" s="19" t="str">
        <f aca="false">IF($A122="","",IF(AND(L122&gt;=3,M122&lt;=2,T122&lt;&gt;"防守"),"是","否"))</f>
        <v/>
      </c>
      <c r="V122" s="19" t="str">
        <f aca="false">IF($A122="","",IF(AND(E122&lt;N122,R122&lt;S122,M122&lt;=2,I122&gt;-15%),"是","否"))</f>
        <v/>
      </c>
      <c r="W122" s="19" t="str">
        <f aca="false">IF($A122="","",IF(OR(M122&gt;=3,I122&lt;=-15%),"是","否"))</f>
        <v/>
      </c>
      <c r="X122" s="15" t="str">
        <f aca="false">IF($A122="","",IFERROR(maxifs(候选池!$AB:$AB,候选池!$A:$A,$A122),0))</f>
        <v/>
      </c>
      <c r="Y122" s="15" t="str">
        <f aca="false">IF($A122="","",IF(OR(M122&gt;=4,I122&lt;=-8%),MAX(0,B122*60%-C122),IF(AND(ISNUMBER(AD122),B122&gt;AD122),IF(B122&lt;30000,0,IF(B122&lt;100000,MAX(0,(B122-AD122)*0.2),MAX(0,(B122-AD122)*0.3))),0)))</f>
        <v/>
      </c>
      <c r="Z122" s="5"/>
      <c r="AA122" s="19" t="str">
        <f aca="false">IF($A122="","",IF($AA$2&lt;&gt;"",$AA$2,""))</f>
        <v/>
      </c>
      <c r="AB122" s="5" t="str">
        <f aca="false">IF($A122="","",IF(B122&lt;30000,0.03,IF(B122&lt;100000,0.02,0.015)))</f>
        <v/>
      </c>
      <c r="AC122" s="18" t="str">
        <f aca="false">IF($A122="","",IFERROR(DATEDIF($A$2,$A122,"m"),0))</f>
        <v/>
      </c>
      <c r="AD122" s="15" t="str">
        <f aca="false">IF($A122="","",IF(OR(AA122="",AB122="",AC122=""),"",AA122*POWER(1+AB122,AC122)))</f>
        <v/>
      </c>
      <c r="AE122" s="21" t="str">
        <f aca="false">IF($A122="","",IF(OR(AD122="",AD122=0),"",B122/AD122-1))</f>
        <v/>
      </c>
      <c r="AG122" s="1" t="str">
        <f aca="false">IF($A122="","",IF(B122&lt;30000,"婴儿",IF(B122&lt;100000,"成长","成熟")))</f>
        <v/>
      </c>
      <c r="AH122" s="22"/>
      <c r="AJ122" s="22"/>
      <c r="AK122" s="22"/>
      <c r="AM122" s="22"/>
      <c r="AP122" s="13"/>
      <c r="AQ122" s="23" t="str">
        <f aca="false">IF($A122="","",B122-$AA$2-SUM($F$2:F122))</f>
        <v/>
      </c>
    </row>
    <row r="123" customFormat="false" ht="15" hidden="false" customHeight="true" outlineLevel="0" collapsed="false">
      <c r="A123" s="7"/>
      <c r="B123" s="24"/>
      <c r="C123" s="24"/>
      <c r="D123" s="15" t="str">
        <f aca="false">IF($A123="","",SUMIFS(持仓表!$J:$J,持仓表!$A:$A,$A123))</f>
        <v/>
      </c>
      <c r="E123" s="16" t="n">
        <f aca="false">IFERROR(D123/B123,0)</f>
        <v>0</v>
      </c>
      <c r="F123" s="24"/>
      <c r="G123" s="15" t="str">
        <f aca="false">IF($B123="","",MAX($B$2:B123))</f>
        <v/>
      </c>
      <c r="H123" s="16" t="n">
        <f aca="false">IFERROR((B123-F123)/F123,0)</f>
        <v>0</v>
      </c>
      <c r="I123" s="16" t="n">
        <f aca="false">IFERROR((B123-G123)/G123,0)</f>
        <v>0</v>
      </c>
      <c r="J123" s="12"/>
      <c r="K123" s="7"/>
      <c r="L123" s="25"/>
      <c r="M123" s="25"/>
      <c r="N123" s="16" t="str">
        <f aca="false">IF($B123="","",MIN(70%,IF($I123&lt;=-15%,10%,IF($I123&lt;=-10%,30%,IF($M123&gt;=4,10%,IF($M123&gt;=3,30%,IF($J123="强",IF($K123="A",70%,IF($K123="B",60%,40%)),IF($J123="中性",IF($K123="A",50%,IF($K123="B",40%,25%)),IF($K123="A",30%,IF($K123="B",20%,10%))))))))))</f>
        <v/>
      </c>
      <c r="O123" s="16" t="str">
        <f aca="false">IF($B123="","",IF(B123&lt;30000,35%,IF(B123&lt;50000,30%,IF(B123&lt;100000,25%,20%))))</f>
        <v/>
      </c>
      <c r="P123" s="18" t="str">
        <f aca="false">IF($A123="","",COUNTIFS(持仓表!$A:$A,$A123,持仓表!$G:$G,"&gt;0"))</f>
        <v/>
      </c>
      <c r="Q123" s="18" t="str">
        <f aca="false">IF($A123="","",COUNTIFS(持仓表!$A:$A,$A123,持仓表!$D:$D,"是",持仓表!$G:$G,"&gt;0"))</f>
        <v/>
      </c>
      <c r="R123" s="18" t="str">
        <f aca="false">IF($A123="","",MAX(0,P123-Q123))</f>
        <v/>
      </c>
      <c r="S123" s="18" t="str">
        <f aca="false">IF($B123="","",IF(B123&lt;50000,3,IF(B123&lt;100000,4,5)))</f>
        <v/>
      </c>
      <c r="T123" s="19" t="str">
        <f aca="false">IF($A123="","",IF(OR(M123&gt;=4,I123&lt;=-8%),"防守",IF(OR(M123&gt;=2,I123&lt;=-5%),"警戒","正常")))</f>
        <v/>
      </c>
      <c r="U123" s="19" t="str">
        <f aca="false">IF($A123="","",IF(AND(L123&gt;=3,M123&lt;=2,T123&lt;&gt;"防守"),"是","否"))</f>
        <v/>
      </c>
      <c r="V123" s="19" t="str">
        <f aca="false">IF($A123="","",IF(AND(E123&lt;N123,R123&lt;S123,M123&lt;=2,I123&gt;-15%),"是","否"))</f>
        <v/>
      </c>
      <c r="W123" s="19" t="str">
        <f aca="false">IF($A123="","",IF(OR(M123&gt;=3,I123&lt;=-15%),"是","否"))</f>
        <v/>
      </c>
      <c r="X123" s="15" t="str">
        <f aca="false">IF($A123="","",IFERROR(maxifs(候选池!$AB:$AB,候选池!$A:$A,$A123),0))</f>
        <v/>
      </c>
      <c r="Y123" s="15" t="str">
        <f aca="false">IF($A123="","",IF(OR(M123&gt;=4,I123&lt;=-8%),MAX(0,B123*60%-C123),IF(AND(ISNUMBER(AD123),B123&gt;AD123),IF(B123&lt;30000,0,IF(B123&lt;100000,MAX(0,(B123-AD123)*0.2),MAX(0,(B123-AD123)*0.3))),0)))</f>
        <v/>
      </c>
      <c r="Z123" s="7"/>
      <c r="AA123" s="19" t="str">
        <f aca="false">IF($A123="","",IF($AA$2&lt;&gt;"",$AA$2,""))</f>
        <v/>
      </c>
      <c r="AB123" s="7" t="str">
        <f aca="false">IF($A123="","",IF(B123&lt;30000,0.03,IF(B123&lt;100000,0.02,0.015)))</f>
        <v/>
      </c>
      <c r="AC123" s="18" t="str">
        <f aca="false">IF($A123="","",IFERROR(DATEDIF($A$2,$A123,"m"),0))</f>
        <v/>
      </c>
      <c r="AD123" s="15" t="str">
        <f aca="false">IF($A123="","",IF(OR(AA123="",AB123="",AC123=""),"",AA123*POWER(1+AB123,AC123)))</f>
        <v/>
      </c>
      <c r="AE123" s="27" t="str">
        <f aca="false">IF($A123="","",IF(OR(AD123="",AD123=0),"",B123/AD123-1))</f>
        <v/>
      </c>
      <c r="AG123" s="1" t="str">
        <f aca="false">IF($A123="","",IF(B123&lt;30000,"婴儿",IF(B123&lt;100000,"成长","成熟")))</f>
        <v/>
      </c>
      <c r="AH123" s="22"/>
      <c r="AJ123" s="22"/>
      <c r="AK123" s="22"/>
      <c r="AM123" s="22"/>
      <c r="AP123" s="13"/>
      <c r="AQ123" s="23" t="str">
        <f aca="false">IF($A123="","",B123-$AA$2-SUM($F$2:F123))</f>
        <v/>
      </c>
    </row>
    <row r="124" customFormat="false" ht="15" hidden="false" customHeight="true" outlineLevel="0" collapsed="false">
      <c r="A124" s="5"/>
      <c r="B124" s="14"/>
      <c r="C124" s="14"/>
      <c r="D124" s="15" t="str">
        <f aca="false">IF($A124="","",SUMIFS(持仓表!$J:$J,持仓表!$A:$A,$A124))</f>
        <v/>
      </c>
      <c r="E124" s="16" t="n">
        <f aca="false">IFERROR(D124/B124,0)</f>
        <v>0</v>
      </c>
      <c r="F124" s="14"/>
      <c r="G124" s="15" t="str">
        <f aca="false">IF($B124="","",MAX($B$2:B124))</f>
        <v/>
      </c>
      <c r="H124" s="16" t="n">
        <f aca="false">IFERROR((B124-F124)/F124,0)</f>
        <v>0</v>
      </c>
      <c r="I124" s="16" t="n">
        <f aca="false">IFERROR((B124-G124)/G124,0)</f>
        <v>0</v>
      </c>
      <c r="J124" s="11"/>
      <c r="K124" s="5"/>
      <c r="L124" s="17"/>
      <c r="M124" s="17"/>
      <c r="N124" s="16" t="str">
        <f aca="false">IF($B124="","",MIN(70%,IF($I124&lt;=-15%,10%,IF($I124&lt;=-10%,30%,IF($M124&gt;=4,10%,IF($M124&gt;=3,30%,IF($J124="强",IF($K124="A",70%,IF($K124="B",60%,40%)),IF($J124="中性",IF($K124="A",50%,IF($K124="B",40%,25%)),IF($K124="A",30%,IF($K124="B",20%,10%))))))))))</f>
        <v/>
      </c>
      <c r="O124" s="16" t="str">
        <f aca="false">IF($B124="","",IF(B124&lt;30000,35%,IF(B124&lt;50000,30%,IF(B124&lt;100000,25%,20%))))</f>
        <v/>
      </c>
      <c r="P124" s="18" t="str">
        <f aca="false">IF($A124="","",COUNTIFS(持仓表!$A:$A,$A124,持仓表!$G:$G,"&gt;0"))</f>
        <v/>
      </c>
      <c r="Q124" s="18" t="str">
        <f aca="false">IF($A124="","",COUNTIFS(持仓表!$A:$A,$A124,持仓表!$D:$D,"是",持仓表!$G:$G,"&gt;0"))</f>
        <v/>
      </c>
      <c r="R124" s="18" t="str">
        <f aca="false">IF($A124="","",MAX(0,P124-Q124))</f>
        <v/>
      </c>
      <c r="S124" s="18" t="str">
        <f aca="false">IF($B124="","",IF(B124&lt;50000,3,IF(B124&lt;100000,4,5)))</f>
        <v/>
      </c>
      <c r="T124" s="19" t="str">
        <f aca="false">IF($A124="","",IF(OR(M124&gt;=4,I124&lt;=-8%),"防守",IF(OR(M124&gt;=2,I124&lt;=-5%),"警戒","正常")))</f>
        <v/>
      </c>
      <c r="U124" s="19" t="str">
        <f aca="false">IF($A124="","",IF(AND(L124&gt;=3,M124&lt;=2,T124&lt;&gt;"防守"),"是","否"))</f>
        <v/>
      </c>
      <c r="V124" s="19" t="str">
        <f aca="false">IF($A124="","",IF(AND(E124&lt;N124,R124&lt;S124,M124&lt;=2,I124&gt;-15%),"是","否"))</f>
        <v/>
      </c>
      <c r="W124" s="19" t="str">
        <f aca="false">IF($A124="","",IF(OR(M124&gt;=3,I124&lt;=-15%),"是","否"))</f>
        <v/>
      </c>
      <c r="X124" s="15" t="str">
        <f aca="false">IF($A124="","",IFERROR(maxifs(候选池!$AB:$AB,候选池!$A:$A,$A124),0))</f>
        <v/>
      </c>
      <c r="Y124" s="15" t="str">
        <f aca="false">IF($A124="","",IF(OR(M124&gt;=4,I124&lt;=-8%),MAX(0,B124*60%-C124),IF(AND(ISNUMBER(AD124),B124&gt;AD124),IF(B124&lt;30000,0,IF(B124&lt;100000,MAX(0,(B124-AD124)*0.2),MAX(0,(B124-AD124)*0.3))),0)))</f>
        <v/>
      </c>
      <c r="Z124" s="5"/>
      <c r="AA124" s="19" t="str">
        <f aca="false">IF($A124="","",IF($AA$2&lt;&gt;"",$AA$2,""))</f>
        <v/>
      </c>
      <c r="AB124" s="5" t="str">
        <f aca="false">IF($A124="","",IF(B124&lt;30000,0.03,IF(B124&lt;100000,0.02,0.015)))</f>
        <v/>
      </c>
      <c r="AC124" s="18" t="str">
        <f aca="false">IF($A124="","",IFERROR(DATEDIF($A$2,$A124,"m"),0))</f>
        <v/>
      </c>
      <c r="AD124" s="15" t="str">
        <f aca="false">IF($A124="","",IF(OR(AA124="",AB124="",AC124=""),"",AA124*POWER(1+AB124,AC124)))</f>
        <v/>
      </c>
      <c r="AE124" s="21" t="str">
        <f aca="false">IF($A124="","",IF(OR(AD124="",AD124=0),"",B124/AD124-1))</f>
        <v/>
      </c>
      <c r="AG124" s="1" t="str">
        <f aca="false">IF($A124="","",IF(B124&lt;30000,"婴儿",IF(B124&lt;100000,"成长","成熟")))</f>
        <v/>
      </c>
      <c r="AH124" s="22"/>
      <c r="AJ124" s="22"/>
      <c r="AK124" s="22"/>
      <c r="AM124" s="22"/>
      <c r="AP124" s="13"/>
      <c r="AQ124" s="23" t="str">
        <f aca="false">IF($A124="","",B124-$AA$2-SUM($F$2:F124))</f>
        <v/>
      </c>
    </row>
    <row r="125" customFormat="false" ht="15" hidden="false" customHeight="true" outlineLevel="0" collapsed="false">
      <c r="A125" s="7"/>
      <c r="B125" s="24"/>
      <c r="C125" s="24"/>
      <c r="D125" s="15" t="str">
        <f aca="false">IF($A125="","",SUMIFS(持仓表!$J:$J,持仓表!$A:$A,$A125))</f>
        <v/>
      </c>
      <c r="E125" s="16" t="n">
        <f aca="false">IFERROR(D125/B125,0)</f>
        <v>0</v>
      </c>
      <c r="F125" s="24"/>
      <c r="G125" s="15" t="str">
        <f aca="false">IF($B125="","",MAX($B$2:B125))</f>
        <v/>
      </c>
      <c r="H125" s="16" t="n">
        <f aca="false">IFERROR((B125-F125)/F125,0)</f>
        <v>0</v>
      </c>
      <c r="I125" s="16" t="n">
        <f aca="false">IFERROR((B125-G125)/G125,0)</f>
        <v>0</v>
      </c>
      <c r="J125" s="12"/>
      <c r="K125" s="7"/>
      <c r="L125" s="25"/>
      <c r="M125" s="25"/>
      <c r="N125" s="16" t="str">
        <f aca="false">IF($B125="","",MIN(70%,IF($I125&lt;=-15%,10%,IF($I125&lt;=-10%,30%,IF($M125&gt;=4,10%,IF($M125&gt;=3,30%,IF($J125="强",IF($K125="A",70%,IF($K125="B",60%,40%)),IF($J125="中性",IF($K125="A",50%,IF($K125="B",40%,25%)),IF($K125="A",30%,IF($K125="B",20%,10%))))))))))</f>
        <v/>
      </c>
      <c r="O125" s="16" t="str">
        <f aca="false">IF($B125="","",IF(B125&lt;30000,35%,IF(B125&lt;50000,30%,IF(B125&lt;100000,25%,20%))))</f>
        <v/>
      </c>
      <c r="P125" s="18" t="str">
        <f aca="false">IF($A125="","",COUNTIFS(持仓表!$A:$A,$A125,持仓表!$G:$G,"&gt;0"))</f>
        <v/>
      </c>
      <c r="Q125" s="18" t="str">
        <f aca="false">IF($A125="","",COUNTIFS(持仓表!$A:$A,$A125,持仓表!$D:$D,"是",持仓表!$G:$G,"&gt;0"))</f>
        <v/>
      </c>
      <c r="R125" s="18" t="str">
        <f aca="false">IF($A125="","",MAX(0,P125-Q125))</f>
        <v/>
      </c>
      <c r="S125" s="18" t="str">
        <f aca="false">IF($B125="","",IF(B125&lt;50000,3,IF(B125&lt;100000,4,5)))</f>
        <v/>
      </c>
      <c r="T125" s="19" t="str">
        <f aca="false">IF($A125="","",IF(OR(M125&gt;=4,I125&lt;=-8%),"防守",IF(OR(M125&gt;=2,I125&lt;=-5%),"警戒","正常")))</f>
        <v/>
      </c>
      <c r="U125" s="19" t="str">
        <f aca="false">IF($A125="","",IF(AND(L125&gt;=3,M125&lt;=2,T125&lt;&gt;"防守"),"是","否"))</f>
        <v/>
      </c>
      <c r="V125" s="19" t="str">
        <f aca="false">IF($A125="","",IF(AND(E125&lt;N125,R125&lt;S125,M125&lt;=2,I125&gt;-15%),"是","否"))</f>
        <v/>
      </c>
      <c r="W125" s="19" t="str">
        <f aca="false">IF($A125="","",IF(OR(M125&gt;=3,I125&lt;=-15%),"是","否"))</f>
        <v/>
      </c>
      <c r="X125" s="15" t="str">
        <f aca="false">IF($A125="","",IFERROR(maxifs(候选池!$AB:$AB,候选池!$A:$A,$A125),0))</f>
        <v/>
      </c>
      <c r="Y125" s="15" t="str">
        <f aca="false">IF($A125="","",IF(OR(M125&gt;=4,I125&lt;=-8%),MAX(0,B125*60%-C125),IF(AND(ISNUMBER(AD125),B125&gt;AD125),IF(B125&lt;30000,0,IF(B125&lt;100000,MAX(0,(B125-AD125)*0.2),MAX(0,(B125-AD125)*0.3))),0)))</f>
        <v/>
      </c>
      <c r="Z125" s="7"/>
      <c r="AA125" s="19" t="str">
        <f aca="false">IF($A125="","",IF($AA$2&lt;&gt;"",$AA$2,""))</f>
        <v/>
      </c>
      <c r="AB125" s="7" t="str">
        <f aca="false">IF($A125="","",IF(B125&lt;30000,0.03,IF(B125&lt;100000,0.02,0.015)))</f>
        <v/>
      </c>
      <c r="AC125" s="18" t="str">
        <f aca="false">IF($A125="","",IFERROR(DATEDIF($A$2,$A125,"m"),0))</f>
        <v/>
      </c>
      <c r="AD125" s="15" t="str">
        <f aca="false">IF($A125="","",IF(OR(AA125="",AB125="",AC125=""),"",AA125*POWER(1+AB125,AC125)))</f>
        <v/>
      </c>
      <c r="AE125" s="27" t="str">
        <f aca="false">IF($A125="","",IF(OR(AD125="",AD125=0),"",B125/AD125-1))</f>
        <v/>
      </c>
      <c r="AG125" s="1" t="str">
        <f aca="false">IF($A125="","",IF(B125&lt;30000,"婴儿",IF(B125&lt;100000,"成长","成熟")))</f>
        <v/>
      </c>
      <c r="AH125" s="22"/>
      <c r="AJ125" s="22"/>
      <c r="AK125" s="22"/>
      <c r="AM125" s="22"/>
      <c r="AP125" s="13"/>
      <c r="AQ125" s="23" t="str">
        <f aca="false">IF($A125="","",B125-$AA$2-SUM($F$2:F125))</f>
        <v/>
      </c>
    </row>
    <row r="126" customFormat="false" ht="15" hidden="false" customHeight="true" outlineLevel="0" collapsed="false">
      <c r="A126" s="5"/>
      <c r="B126" s="14"/>
      <c r="C126" s="14"/>
      <c r="D126" s="15" t="str">
        <f aca="false">IF($A126="","",SUMIFS(持仓表!$J:$J,持仓表!$A:$A,$A126))</f>
        <v/>
      </c>
      <c r="E126" s="16" t="n">
        <f aca="false">IFERROR(D126/B126,0)</f>
        <v>0</v>
      </c>
      <c r="F126" s="14"/>
      <c r="G126" s="15" t="str">
        <f aca="false">IF($B126="","",MAX($B$2:B126))</f>
        <v/>
      </c>
      <c r="H126" s="16" t="n">
        <f aca="false">IFERROR((B126-F126)/F126,0)</f>
        <v>0</v>
      </c>
      <c r="I126" s="16" t="n">
        <f aca="false">IFERROR((B126-G126)/G126,0)</f>
        <v>0</v>
      </c>
      <c r="J126" s="11"/>
      <c r="K126" s="5"/>
      <c r="L126" s="17"/>
      <c r="M126" s="17"/>
      <c r="N126" s="16" t="str">
        <f aca="false">IF($B126="","",MIN(70%,IF($I126&lt;=-15%,10%,IF($I126&lt;=-10%,30%,IF($M126&gt;=4,10%,IF($M126&gt;=3,30%,IF($J126="强",IF($K126="A",70%,IF($K126="B",60%,40%)),IF($J126="中性",IF($K126="A",50%,IF($K126="B",40%,25%)),IF($K126="A",30%,IF($K126="B",20%,10%))))))))))</f>
        <v/>
      </c>
      <c r="O126" s="16" t="str">
        <f aca="false">IF($B126="","",IF(B126&lt;30000,35%,IF(B126&lt;50000,30%,IF(B126&lt;100000,25%,20%))))</f>
        <v/>
      </c>
      <c r="P126" s="18" t="str">
        <f aca="false">IF($A126="","",COUNTIFS(持仓表!$A:$A,$A126,持仓表!$G:$G,"&gt;0"))</f>
        <v/>
      </c>
      <c r="Q126" s="18" t="str">
        <f aca="false">IF($A126="","",COUNTIFS(持仓表!$A:$A,$A126,持仓表!$D:$D,"是",持仓表!$G:$G,"&gt;0"))</f>
        <v/>
      </c>
      <c r="R126" s="18" t="str">
        <f aca="false">IF($A126="","",MAX(0,P126-Q126))</f>
        <v/>
      </c>
      <c r="S126" s="18" t="str">
        <f aca="false">IF($B126="","",IF(B126&lt;50000,3,IF(B126&lt;100000,4,5)))</f>
        <v/>
      </c>
      <c r="T126" s="19" t="str">
        <f aca="false">IF($A126="","",IF(OR(M126&gt;=4,I126&lt;=-8%),"防守",IF(OR(M126&gt;=2,I126&lt;=-5%),"警戒","正常")))</f>
        <v/>
      </c>
      <c r="U126" s="19" t="str">
        <f aca="false">IF($A126="","",IF(AND(L126&gt;=3,M126&lt;=2,T126&lt;&gt;"防守"),"是","否"))</f>
        <v/>
      </c>
      <c r="V126" s="19" t="str">
        <f aca="false">IF($A126="","",IF(AND(E126&lt;N126,R126&lt;S126,M126&lt;=2,I126&gt;-15%),"是","否"))</f>
        <v/>
      </c>
      <c r="W126" s="19" t="str">
        <f aca="false">IF($A126="","",IF(OR(M126&gt;=3,I126&lt;=-15%),"是","否"))</f>
        <v/>
      </c>
      <c r="X126" s="15" t="str">
        <f aca="false">IF($A126="","",IFERROR(maxifs(候选池!$AB:$AB,候选池!$A:$A,$A126),0))</f>
        <v/>
      </c>
      <c r="Y126" s="15" t="str">
        <f aca="false">IF($A126="","",IF(OR(M126&gt;=4,I126&lt;=-8%),MAX(0,B126*60%-C126),IF(AND(ISNUMBER(AD126),B126&gt;AD126),IF(B126&lt;30000,0,IF(B126&lt;100000,MAX(0,(B126-AD126)*0.2),MAX(0,(B126-AD126)*0.3))),0)))</f>
        <v/>
      </c>
      <c r="Z126" s="5"/>
      <c r="AA126" s="19" t="str">
        <f aca="false">IF($A126="","",IF($AA$2&lt;&gt;"",$AA$2,""))</f>
        <v/>
      </c>
      <c r="AB126" s="5" t="str">
        <f aca="false">IF($A126="","",IF(B126&lt;30000,0.03,IF(B126&lt;100000,0.02,0.015)))</f>
        <v/>
      </c>
      <c r="AC126" s="18" t="str">
        <f aca="false">IF($A126="","",IFERROR(DATEDIF($A$2,$A126,"m"),0))</f>
        <v/>
      </c>
      <c r="AD126" s="15" t="str">
        <f aca="false">IF($A126="","",IF(OR(AA126="",AB126="",AC126=""),"",AA126*POWER(1+AB126,AC126)))</f>
        <v/>
      </c>
      <c r="AE126" s="21" t="str">
        <f aca="false">IF($A126="","",IF(OR(AD126="",AD126=0),"",B126/AD126-1))</f>
        <v/>
      </c>
      <c r="AG126" s="1" t="str">
        <f aca="false">IF($A126="","",IF(B126&lt;30000,"婴儿",IF(B126&lt;100000,"成长","成熟")))</f>
        <v/>
      </c>
      <c r="AH126" s="22"/>
      <c r="AJ126" s="22"/>
      <c r="AK126" s="22"/>
      <c r="AM126" s="22"/>
      <c r="AP126" s="13"/>
      <c r="AQ126" s="23" t="str">
        <f aca="false">IF($A126="","",B126-$AA$2-SUM($F$2:F126))</f>
        <v/>
      </c>
    </row>
    <row r="127" customFormat="false" ht="15" hidden="false" customHeight="true" outlineLevel="0" collapsed="false">
      <c r="A127" s="7"/>
      <c r="B127" s="24"/>
      <c r="C127" s="24"/>
      <c r="D127" s="15" t="str">
        <f aca="false">IF($A127="","",SUMIFS(持仓表!$J:$J,持仓表!$A:$A,$A127))</f>
        <v/>
      </c>
      <c r="E127" s="16" t="n">
        <f aca="false">IFERROR(D127/B127,0)</f>
        <v>0</v>
      </c>
      <c r="F127" s="24"/>
      <c r="G127" s="15" t="str">
        <f aca="false">IF($B127="","",MAX($B$2:B127))</f>
        <v/>
      </c>
      <c r="H127" s="16" t="n">
        <f aca="false">IFERROR((B127-F127)/F127,0)</f>
        <v>0</v>
      </c>
      <c r="I127" s="16" t="n">
        <f aca="false">IFERROR((B127-G127)/G127,0)</f>
        <v>0</v>
      </c>
      <c r="J127" s="12"/>
      <c r="K127" s="7"/>
      <c r="L127" s="25"/>
      <c r="M127" s="25"/>
      <c r="N127" s="16" t="str">
        <f aca="false">IF($B127="","",MIN(70%,IF($I127&lt;=-15%,10%,IF($I127&lt;=-10%,30%,IF($M127&gt;=4,10%,IF($M127&gt;=3,30%,IF($J127="强",IF($K127="A",70%,IF($K127="B",60%,40%)),IF($J127="中性",IF($K127="A",50%,IF($K127="B",40%,25%)),IF($K127="A",30%,IF($K127="B",20%,10%))))))))))</f>
        <v/>
      </c>
      <c r="O127" s="16" t="str">
        <f aca="false">IF($B127="","",IF(B127&lt;30000,35%,IF(B127&lt;50000,30%,IF(B127&lt;100000,25%,20%))))</f>
        <v/>
      </c>
      <c r="P127" s="18" t="str">
        <f aca="false">IF($A127="","",COUNTIFS(持仓表!$A:$A,$A127,持仓表!$G:$G,"&gt;0"))</f>
        <v/>
      </c>
      <c r="Q127" s="18" t="str">
        <f aca="false">IF($A127="","",COUNTIFS(持仓表!$A:$A,$A127,持仓表!$D:$D,"是",持仓表!$G:$G,"&gt;0"))</f>
        <v/>
      </c>
      <c r="R127" s="18" t="str">
        <f aca="false">IF($A127="","",MAX(0,P127-Q127))</f>
        <v/>
      </c>
      <c r="S127" s="18" t="str">
        <f aca="false">IF($B127="","",IF(B127&lt;50000,3,IF(B127&lt;100000,4,5)))</f>
        <v/>
      </c>
      <c r="T127" s="19" t="str">
        <f aca="false">IF($A127="","",IF(OR(M127&gt;=4,I127&lt;=-8%),"防守",IF(OR(M127&gt;=2,I127&lt;=-5%),"警戒","正常")))</f>
        <v/>
      </c>
      <c r="U127" s="19" t="str">
        <f aca="false">IF($A127="","",IF(AND(L127&gt;=3,M127&lt;=2,T127&lt;&gt;"防守"),"是","否"))</f>
        <v/>
      </c>
      <c r="V127" s="19" t="str">
        <f aca="false">IF($A127="","",IF(AND(E127&lt;N127,R127&lt;S127,M127&lt;=2,I127&gt;-15%),"是","否"))</f>
        <v/>
      </c>
      <c r="W127" s="19" t="str">
        <f aca="false">IF($A127="","",IF(OR(M127&gt;=3,I127&lt;=-15%),"是","否"))</f>
        <v/>
      </c>
      <c r="X127" s="15" t="str">
        <f aca="false">IF($A127="","",IFERROR(maxifs(候选池!$AB:$AB,候选池!$A:$A,$A127),0))</f>
        <v/>
      </c>
      <c r="Y127" s="15" t="str">
        <f aca="false">IF($A127="","",IF(OR(M127&gt;=4,I127&lt;=-8%),MAX(0,B127*60%-C127),IF(AND(ISNUMBER(AD127),B127&gt;AD127),IF(B127&lt;30000,0,IF(B127&lt;100000,MAX(0,(B127-AD127)*0.2),MAX(0,(B127-AD127)*0.3))),0)))</f>
        <v/>
      </c>
      <c r="Z127" s="7"/>
      <c r="AA127" s="19" t="str">
        <f aca="false">IF($A127="","",IF($AA$2&lt;&gt;"",$AA$2,""))</f>
        <v/>
      </c>
      <c r="AB127" s="7" t="str">
        <f aca="false">IF($A127="","",IF(B127&lt;30000,0.03,IF(B127&lt;100000,0.02,0.015)))</f>
        <v/>
      </c>
      <c r="AC127" s="18" t="str">
        <f aca="false">IF($A127="","",IFERROR(DATEDIF($A$2,$A127,"m"),0))</f>
        <v/>
      </c>
      <c r="AD127" s="15" t="str">
        <f aca="false">IF($A127="","",IF(OR(AA127="",AB127="",AC127=""),"",AA127*POWER(1+AB127,AC127)))</f>
        <v/>
      </c>
      <c r="AE127" s="27" t="str">
        <f aca="false">IF($A127="","",IF(OR(AD127="",AD127=0),"",B127/AD127-1))</f>
        <v/>
      </c>
      <c r="AG127" s="1" t="str">
        <f aca="false">IF($A127="","",IF(B127&lt;30000,"婴儿",IF(B127&lt;100000,"成长","成熟")))</f>
        <v/>
      </c>
      <c r="AH127" s="22"/>
      <c r="AJ127" s="22"/>
      <c r="AK127" s="22"/>
      <c r="AM127" s="22"/>
      <c r="AP127" s="13"/>
      <c r="AQ127" s="23" t="str">
        <f aca="false">IF($A127="","",B127-$AA$2-SUM($F$2:F127))</f>
        <v/>
      </c>
    </row>
    <row r="128" customFormat="false" ht="15" hidden="false" customHeight="true" outlineLevel="0" collapsed="false">
      <c r="A128" s="5"/>
      <c r="B128" s="14"/>
      <c r="C128" s="14"/>
      <c r="D128" s="15" t="str">
        <f aca="false">IF($A128="","",SUMIFS(持仓表!$J:$J,持仓表!$A:$A,$A128))</f>
        <v/>
      </c>
      <c r="E128" s="16" t="n">
        <f aca="false">IFERROR(D128/B128,0)</f>
        <v>0</v>
      </c>
      <c r="F128" s="14"/>
      <c r="G128" s="15" t="str">
        <f aca="false">IF($B128="","",MAX($B$2:B128))</f>
        <v/>
      </c>
      <c r="H128" s="16" t="n">
        <f aca="false">IFERROR((B128-F128)/F128,0)</f>
        <v>0</v>
      </c>
      <c r="I128" s="16" t="n">
        <f aca="false">IFERROR((B128-G128)/G128,0)</f>
        <v>0</v>
      </c>
      <c r="J128" s="11"/>
      <c r="K128" s="5"/>
      <c r="L128" s="17"/>
      <c r="M128" s="17"/>
      <c r="N128" s="16" t="str">
        <f aca="false">IF($B128="","",MIN(70%,IF($I128&lt;=-15%,10%,IF($I128&lt;=-10%,30%,IF($M128&gt;=4,10%,IF($M128&gt;=3,30%,IF($J128="强",IF($K128="A",70%,IF($K128="B",60%,40%)),IF($J128="中性",IF($K128="A",50%,IF($K128="B",40%,25%)),IF($K128="A",30%,IF($K128="B",20%,10%))))))))))</f>
        <v/>
      </c>
      <c r="O128" s="16" t="str">
        <f aca="false">IF($B128="","",IF(B128&lt;30000,35%,IF(B128&lt;50000,30%,IF(B128&lt;100000,25%,20%))))</f>
        <v/>
      </c>
      <c r="P128" s="18" t="str">
        <f aca="false">IF($A128="","",COUNTIFS(持仓表!$A:$A,$A128,持仓表!$G:$G,"&gt;0"))</f>
        <v/>
      </c>
      <c r="Q128" s="18" t="str">
        <f aca="false">IF($A128="","",COUNTIFS(持仓表!$A:$A,$A128,持仓表!$D:$D,"是",持仓表!$G:$G,"&gt;0"))</f>
        <v/>
      </c>
      <c r="R128" s="18" t="str">
        <f aca="false">IF($A128="","",MAX(0,P128-Q128))</f>
        <v/>
      </c>
      <c r="S128" s="18" t="str">
        <f aca="false">IF($B128="","",IF(B128&lt;50000,3,IF(B128&lt;100000,4,5)))</f>
        <v/>
      </c>
      <c r="T128" s="19" t="str">
        <f aca="false">IF($A128="","",IF(OR(M128&gt;=4,I128&lt;=-8%),"防守",IF(OR(M128&gt;=2,I128&lt;=-5%),"警戒","正常")))</f>
        <v/>
      </c>
      <c r="U128" s="19" t="str">
        <f aca="false">IF($A128="","",IF(AND(L128&gt;=3,M128&lt;=2,T128&lt;&gt;"防守"),"是","否"))</f>
        <v/>
      </c>
      <c r="V128" s="19" t="str">
        <f aca="false">IF($A128="","",IF(AND(E128&lt;N128,R128&lt;S128,M128&lt;=2,I128&gt;-15%),"是","否"))</f>
        <v/>
      </c>
      <c r="W128" s="19" t="str">
        <f aca="false">IF($A128="","",IF(OR(M128&gt;=3,I128&lt;=-15%),"是","否"))</f>
        <v/>
      </c>
      <c r="X128" s="15" t="str">
        <f aca="false">IF($A128="","",IFERROR(maxifs(候选池!$AB:$AB,候选池!$A:$A,$A128),0))</f>
        <v/>
      </c>
      <c r="Y128" s="15" t="str">
        <f aca="false">IF($A128="","",IF(OR(M128&gt;=4,I128&lt;=-8%),MAX(0,B128*60%-C128),IF(AND(ISNUMBER(AD128),B128&gt;AD128),IF(B128&lt;30000,0,IF(B128&lt;100000,MAX(0,(B128-AD128)*0.2),MAX(0,(B128-AD128)*0.3))),0)))</f>
        <v/>
      </c>
      <c r="Z128" s="5"/>
      <c r="AA128" s="19" t="str">
        <f aca="false">IF($A128="","",IF($AA$2&lt;&gt;"",$AA$2,""))</f>
        <v/>
      </c>
      <c r="AB128" s="5" t="str">
        <f aca="false">IF($A128="","",IF(B128&lt;30000,0.03,IF(B128&lt;100000,0.02,0.015)))</f>
        <v/>
      </c>
      <c r="AC128" s="18" t="str">
        <f aca="false">IF($A128="","",IFERROR(DATEDIF($A$2,$A128,"m"),0))</f>
        <v/>
      </c>
      <c r="AD128" s="15" t="str">
        <f aca="false">IF($A128="","",IF(OR(AA128="",AB128="",AC128=""),"",AA128*POWER(1+AB128,AC128)))</f>
        <v/>
      </c>
      <c r="AE128" s="21" t="str">
        <f aca="false">IF($A128="","",IF(OR(AD128="",AD128=0),"",B128/AD128-1))</f>
        <v/>
      </c>
      <c r="AG128" s="1" t="str">
        <f aca="false">IF($A128="","",IF(B128&lt;30000,"婴儿",IF(B128&lt;100000,"成长","成熟")))</f>
        <v/>
      </c>
      <c r="AH128" s="22"/>
      <c r="AJ128" s="22"/>
      <c r="AK128" s="22"/>
      <c r="AM128" s="22"/>
      <c r="AP128" s="13"/>
      <c r="AQ128" s="23" t="str">
        <f aca="false">IF($A128="","",B128-$AA$2-SUM($F$2:F128))</f>
        <v/>
      </c>
    </row>
    <row r="129" customFormat="false" ht="15" hidden="false" customHeight="true" outlineLevel="0" collapsed="false">
      <c r="A129" s="7"/>
      <c r="B129" s="24"/>
      <c r="C129" s="24"/>
      <c r="D129" s="15" t="str">
        <f aca="false">IF($A129="","",SUMIFS(持仓表!$J:$J,持仓表!$A:$A,$A129))</f>
        <v/>
      </c>
      <c r="E129" s="16" t="n">
        <f aca="false">IFERROR(D129/B129,0)</f>
        <v>0</v>
      </c>
      <c r="F129" s="24"/>
      <c r="G129" s="15" t="str">
        <f aca="false">IF($B129="","",MAX($B$2:B129))</f>
        <v/>
      </c>
      <c r="H129" s="16" t="n">
        <f aca="false">IFERROR((B129-F129)/F129,0)</f>
        <v>0</v>
      </c>
      <c r="I129" s="16" t="n">
        <f aca="false">IFERROR((B129-G129)/G129,0)</f>
        <v>0</v>
      </c>
      <c r="J129" s="12"/>
      <c r="K129" s="7"/>
      <c r="L129" s="25"/>
      <c r="M129" s="25"/>
      <c r="N129" s="16" t="str">
        <f aca="false">IF($B129="","",MIN(70%,IF($I129&lt;=-15%,10%,IF($I129&lt;=-10%,30%,IF($M129&gt;=4,10%,IF($M129&gt;=3,30%,IF($J129="强",IF($K129="A",70%,IF($K129="B",60%,40%)),IF($J129="中性",IF($K129="A",50%,IF($K129="B",40%,25%)),IF($K129="A",30%,IF($K129="B",20%,10%))))))))))</f>
        <v/>
      </c>
      <c r="O129" s="16" t="str">
        <f aca="false">IF($B129="","",IF(B129&lt;30000,35%,IF(B129&lt;50000,30%,IF(B129&lt;100000,25%,20%))))</f>
        <v/>
      </c>
      <c r="P129" s="18" t="str">
        <f aca="false">IF($A129="","",COUNTIFS(持仓表!$A:$A,$A129,持仓表!$G:$G,"&gt;0"))</f>
        <v/>
      </c>
      <c r="Q129" s="18" t="str">
        <f aca="false">IF($A129="","",COUNTIFS(持仓表!$A:$A,$A129,持仓表!$D:$D,"是",持仓表!$G:$G,"&gt;0"))</f>
        <v/>
      </c>
      <c r="R129" s="18" t="str">
        <f aca="false">IF($A129="","",MAX(0,P129-Q129))</f>
        <v/>
      </c>
      <c r="S129" s="18" t="str">
        <f aca="false">IF($B129="","",IF(B129&lt;50000,3,IF(B129&lt;100000,4,5)))</f>
        <v/>
      </c>
      <c r="T129" s="19" t="str">
        <f aca="false">IF($A129="","",IF(OR(M129&gt;=4,I129&lt;=-8%),"防守",IF(OR(M129&gt;=2,I129&lt;=-5%),"警戒","正常")))</f>
        <v/>
      </c>
      <c r="U129" s="19" t="str">
        <f aca="false">IF($A129="","",IF(AND(L129&gt;=3,M129&lt;=2,T129&lt;&gt;"防守"),"是","否"))</f>
        <v/>
      </c>
      <c r="V129" s="19" t="str">
        <f aca="false">IF($A129="","",IF(AND(E129&lt;N129,R129&lt;S129,M129&lt;=2,I129&gt;-15%),"是","否"))</f>
        <v/>
      </c>
      <c r="W129" s="19" t="str">
        <f aca="false">IF($A129="","",IF(OR(M129&gt;=3,I129&lt;=-15%),"是","否"))</f>
        <v/>
      </c>
      <c r="X129" s="15" t="str">
        <f aca="false">IF($A129="","",IFERROR(maxifs(候选池!$AB:$AB,候选池!$A:$A,$A129),0))</f>
        <v/>
      </c>
      <c r="Y129" s="15" t="str">
        <f aca="false">IF($A129="","",IF(OR(M129&gt;=4,I129&lt;=-8%),MAX(0,B129*60%-C129),IF(AND(ISNUMBER(AD129),B129&gt;AD129),IF(B129&lt;30000,0,IF(B129&lt;100000,MAX(0,(B129-AD129)*0.2),MAX(0,(B129-AD129)*0.3))),0)))</f>
        <v/>
      </c>
      <c r="Z129" s="7"/>
      <c r="AA129" s="19" t="str">
        <f aca="false">IF($A129="","",IF($AA$2&lt;&gt;"",$AA$2,""))</f>
        <v/>
      </c>
      <c r="AB129" s="7" t="str">
        <f aca="false">IF($A129="","",IF(B129&lt;30000,0.03,IF(B129&lt;100000,0.02,0.015)))</f>
        <v/>
      </c>
      <c r="AC129" s="18" t="str">
        <f aca="false">IF($A129="","",IFERROR(DATEDIF($A$2,$A129,"m"),0))</f>
        <v/>
      </c>
      <c r="AD129" s="15" t="str">
        <f aca="false">IF($A129="","",IF(OR(AA129="",AB129="",AC129=""),"",AA129*POWER(1+AB129,AC129)))</f>
        <v/>
      </c>
      <c r="AE129" s="27" t="str">
        <f aca="false">IF($A129="","",IF(OR(AD129="",AD129=0),"",B129/AD129-1))</f>
        <v/>
      </c>
      <c r="AG129" s="1" t="str">
        <f aca="false">IF($A129="","",IF(B129&lt;30000,"婴儿",IF(B129&lt;100000,"成长","成熟")))</f>
        <v/>
      </c>
      <c r="AH129" s="22"/>
      <c r="AJ129" s="22"/>
      <c r="AK129" s="22"/>
      <c r="AM129" s="22"/>
      <c r="AP129" s="13"/>
      <c r="AQ129" s="23" t="str">
        <f aca="false">IF($A129="","",B129-$AA$2-SUM($F$2:F129))</f>
        <v/>
      </c>
    </row>
    <row r="130" customFormat="false" ht="15" hidden="false" customHeight="true" outlineLevel="0" collapsed="false">
      <c r="A130" s="5"/>
      <c r="B130" s="14"/>
      <c r="C130" s="14"/>
      <c r="D130" s="15" t="str">
        <f aca="false">IF($A130="","",SUMIFS(持仓表!$J:$J,持仓表!$A:$A,$A130))</f>
        <v/>
      </c>
      <c r="E130" s="16" t="n">
        <f aca="false">IFERROR(D130/B130,0)</f>
        <v>0</v>
      </c>
      <c r="F130" s="14"/>
      <c r="G130" s="15" t="str">
        <f aca="false">IF($B130="","",MAX($B$2:B130))</f>
        <v/>
      </c>
      <c r="H130" s="16" t="n">
        <f aca="false">IFERROR((B130-F130)/F130,0)</f>
        <v>0</v>
      </c>
      <c r="I130" s="16" t="n">
        <f aca="false">IFERROR((B130-G130)/G130,0)</f>
        <v>0</v>
      </c>
      <c r="J130" s="11"/>
      <c r="K130" s="5"/>
      <c r="L130" s="17"/>
      <c r="M130" s="17"/>
      <c r="N130" s="16" t="str">
        <f aca="false">IF($B130="","",MIN(70%,IF($I130&lt;=-15%,10%,IF($I130&lt;=-10%,30%,IF($M130&gt;=4,10%,IF($M130&gt;=3,30%,IF($J130="强",IF($K130="A",70%,IF($K130="B",60%,40%)),IF($J130="中性",IF($K130="A",50%,IF($K130="B",40%,25%)),IF($K130="A",30%,IF($K130="B",20%,10%))))))))))</f>
        <v/>
      </c>
      <c r="O130" s="16" t="str">
        <f aca="false">IF($B130="","",IF(B130&lt;30000,35%,IF(B130&lt;50000,30%,IF(B130&lt;100000,25%,20%))))</f>
        <v/>
      </c>
      <c r="P130" s="18" t="str">
        <f aca="false">IF($A130="","",COUNTIFS(持仓表!$A:$A,$A130,持仓表!$G:$G,"&gt;0"))</f>
        <v/>
      </c>
      <c r="Q130" s="18" t="str">
        <f aca="false">IF($A130="","",COUNTIFS(持仓表!$A:$A,$A130,持仓表!$D:$D,"是",持仓表!$G:$G,"&gt;0"))</f>
        <v/>
      </c>
      <c r="R130" s="18" t="str">
        <f aca="false">IF($A130="","",MAX(0,P130-Q130))</f>
        <v/>
      </c>
      <c r="S130" s="18" t="str">
        <f aca="false">IF($B130="","",IF(B130&lt;50000,3,IF(B130&lt;100000,4,5)))</f>
        <v/>
      </c>
      <c r="T130" s="19" t="str">
        <f aca="false">IF($A130="","",IF(OR(M130&gt;=4,I130&lt;=-8%),"防守",IF(OR(M130&gt;=2,I130&lt;=-5%),"警戒","正常")))</f>
        <v/>
      </c>
      <c r="U130" s="19" t="str">
        <f aca="false">IF($A130="","",IF(AND(L130&gt;=3,M130&lt;=2,T130&lt;&gt;"防守"),"是","否"))</f>
        <v/>
      </c>
      <c r="V130" s="19" t="str">
        <f aca="false">IF($A130="","",IF(AND(E130&lt;N130,R130&lt;S130,M130&lt;=2,I130&gt;-15%),"是","否"))</f>
        <v/>
      </c>
      <c r="W130" s="19" t="str">
        <f aca="false">IF($A130="","",IF(OR(M130&gt;=3,I130&lt;=-15%),"是","否"))</f>
        <v/>
      </c>
      <c r="X130" s="15" t="str">
        <f aca="false">IF($A130="","",IFERROR(maxifs(候选池!$AB:$AB,候选池!$A:$A,$A130),0))</f>
        <v/>
      </c>
      <c r="Y130" s="15" t="str">
        <f aca="false">IF($A130="","",IF(OR(M130&gt;=4,I130&lt;=-8%),MAX(0,B130*60%-C130),IF(AND(ISNUMBER(AD130),B130&gt;AD130),IF(B130&lt;30000,0,IF(B130&lt;100000,MAX(0,(B130-AD130)*0.2),MAX(0,(B130-AD130)*0.3))),0)))</f>
        <v/>
      </c>
      <c r="Z130" s="5"/>
      <c r="AA130" s="19" t="str">
        <f aca="false">IF($A130="","",IF($AA$2&lt;&gt;"",$AA$2,""))</f>
        <v/>
      </c>
      <c r="AB130" s="5" t="str">
        <f aca="false">IF($A130="","",IF(B130&lt;30000,0.03,IF(B130&lt;100000,0.02,0.015)))</f>
        <v/>
      </c>
      <c r="AC130" s="18" t="str">
        <f aca="false">IF($A130="","",IFERROR(DATEDIF($A$2,$A130,"m"),0))</f>
        <v/>
      </c>
      <c r="AD130" s="15" t="str">
        <f aca="false">IF($A130="","",IF(OR(AA130="",AB130="",AC130=""),"",AA130*POWER(1+AB130,AC130)))</f>
        <v/>
      </c>
      <c r="AE130" s="21" t="str">
        <f aca="false">IF($A130="","",IF(OR(AD130="",AD130=0),"",B130/AD130-1))</f>
        <v/>
      </c>
      <c r="AG130" s="1" t="str">
        <f aca="false">IF($A130="","",IF(B130&lt;30000,"婴儿",IF(B130&lt;100000,"成长","成熟")))</f>
        <v/>
      </c>
      <c r="AH130" s="22"/>
      <c r="AJ130" s="22"/>
      <c r="AK130" s="22"/>
      <c r="AM130" s="22"/>
      <c r="AP130" s="13"/>
      <c r="AQ130" s="23" t="str">
        <f aca="false">IF($A130="","",B130-$AA$2-SUM($F$2:F130))</f>
        <v/>
      </c>
    </row>
    <row r="131" customFormat="false" ht="15" hidden="false" customHeight="true" outlineLevel="0" collapsed="false">
      <c r="A131" s="7"/>
      <c r="B131" s="24"/>
      <c r="C131" s="24"/>
      <c r="D131" s="15" t="str">
        <f aca="false">IF($A131="","",SUMIFS(持仓表!$J:$J,持仓表!$A:$A,$A131))</f>
        <v/>
      </c>
      <c r="E131" s="16" t="n">
        <f aca="false">IFERROR(D131/B131,0)</f>
        <v>0</v>
      </c>
      <c r="F131" s="24"/>
      <c r="G131" s="15" t="str">
        <f aca="false">IF($B131="","",MAX($B$2:B131))</f>
        <v/>
      </c>
      <c r="H131" s="16" t="n">
        <f aca="false">IFERROR((B131-F131)/F131,0)</f>
        <v>0</v>
      </c>
      <c r="I131" s="16" t="n">
        <f aca="false">IFERROR((B131-G131)/G131,0)</f>
        <v>0</v>
      </c>
      <c r="J131" s="12"/>
      <c r="K131" s="7"/>
      <c r="L131" s="25"/>
      <c r="M131" s="25"/>
      <c r="N131" s="16" t="str">
        <f aca="false">IF($B131="","",MIN(70%,IF($I131&lt;=-15%,10%,IF($I131&lt;=-10%,30%,IF($M131&gt;=4,10%,IF($M131&gt;=3,30%,IF($J131="强",IF($K131="A",70%,IF($K131="B",60%,40%)),IF($J131="中性",IF($K131="A",50%,IF($K131="B",40%,25%)),IF($K131="A",30%,IF($K131="B",20%,10%))))))))))</f>
        <v/>
      </c>
      <c r="O131" s="16" t="str">
        <f aca="false">IF($B131="","",IF(B131&lt;30000,35%,IF(B131&lt;50000,30%,IF(B131&lt;100000,25%,20%))))</f>
        <v/>
      </c>
      <c r="P131" s="18" t="str">
        <f aca="false">IF($A131="","",COUNTIFS(持仓表!$A:$A,$A131,持仓表!$G:$G,"&gt;0"))</f>
        <v/>
      </c>
      <c r="Q131" s="18" t="str">
        <f aca="false">IF($A131="","",COUNTIFS(持仓表!$A:$A,$A131,持仓表!$D:$D,"是",持仓表!$G:$G,"&gt;0"))</f>
        <v/>
      </c>
      <c r="R131" s="18" t="str">
        <f aca="false">IF($A131="","",MAX(0,P131-Q131))</f>
        <v/>
      </c>
      <c r="S131" s="18" t="str">
        <f aca="false">IF($B131="","",IF(B131&lt;50000,3,IF(B131&lt;100000,4,5)))</f>
        <v/>
      </c>
      <c r="T131" s="19" t="str">
        <f aca="false">IF($A131="","",IF(OR(M131&gt;=4,I131&lt;=-8%),"防守",IF(OR(M131&gt;=2,I131&lt;=-5%),"警戒","正常")))</f>
        <v/>
      </c>
      <c r="U131" s="19" t="str">
        <f aca="false">IF($A131="","",IF(AND(L131&gt;=3,M131&lt;=2,T131&lt;&gt;"防守"),"是","否"))</f>
        <v/>
      </c>
      <c r="V131" s="19" t="str">
        <f aca="false">IF($A131="","",IF(AND(E131&lt;N131,R131&lt;S131,M131&lt;=2,I131&gt;-15%),"是","否"))</f>
        <v/>
      </c>
      <c r="W131" s="19" t="str">
        <f aca="false">IF($A131="","",IF(OR(M131&gt;=3,I131&lt;=-15%),"是","否"))</f>
        <v/>
      </c>
      <c r="X131" s="15" t="str">
        <f aca="false">IF($A131="","",IFERROR(maxifs(候选池!$AB:$AB,候选池!$A:$A,$A131),0))</f>
        <v/>
      </c>
      <c r="Y131" s="15" t="str">
        <f aca="false">IF($A131="","",IF(OR(M131&gt;=4,I131&lt;=-8%),MAX(0,B131*60%-C131),IF(AND(ISNUMBER(AD131),B131&gt;AD131),IF(B131&lt;30000,0,IF(B131&lt;100000,MAX(0,(B131-AD131)*0.2),MAX(0,(B131-AD131)*0.3))),0)))</f>
        <v/>
      </c>
      <c r="Z131" s="7"/>
      <c r="AA131" s="19" t="str">
        <f aca="false">IF($A131="","",IF($AA$2&lt;&gt;"",$AA$2,""))</f>
        <v/>
      </c>
      <c r="AB131" s="7" t="str">
        <f aca="false">IF($A131="","",IF(B131&lt;30000,0.03,IF(B131&lt;100000,0.02,0.015)))</f>
        <v/>
      </c>
      <c r="AC131" s="18" t="str">
        <f aca="false">IF($A131="","",IFERROR(DATEDIF($A$2,$A131,"m"),0))</f>
        <v/>
      </c>
      <c r="AD131" s="15" t="str">
        <f aca="false">IF($A131="","",IF(OR(AA131="",AB131="",AC131=""),"",AA131*POWER(1+AB131,AC131)))</f>
        <v/>
      </c>
      <c r="AE131" s="27" t="str">
        <f aca="false">IF($A131="","",IF(OR(AD131="",AD131=0),"",B131/AD131-1))</f>
        <v/>
      </c>
      <c r="AG131" s="1" t="str">
        <f aca="false">IF($A131="","",IF(B131&lt;30000,"婴儿",IF(B131&lt;100000,"成长","成熟")))</f>
        <v/>
      </c>
      <c r="AH131" s="22"/>
      <c r="AJ131" s="22"/>
      <c r="AK131" s="22"/>
      <c r="AM131" s="22"/>
      <c r="AP131" s="13"/>
      <c r="AQ131" s="23" t="str">
        <f aca="false">IF($A131="","",B131-$AA$2-SUM($F$2:F131))</f>
        <v/>
      </c>
    </row>
    <row r="132" customFormat="false" ht="15" hidden="false" customHeight="true" outlineLevel="0" collapsed="false">
      <c r="A132" s="5"/>
      <c r="B132" s="14"/>
      <c r="C132" s="14"/>
      <c r="D132" s="15" t="str">
        <f aca="false">IF($A132="","",SUMIFS(持仓表!$J:$J,持仓表!$A:$A,$A132))</f>
        <v/>
      </c>
      <c r="E132" s="16" t="n">
        <f aca="false">IFERROR(D132/B132,0)</f>
        <v>0</v>
      </c>
      <c r="F132" s="14"/>
      <c r="G132" s="15" t="str">
        <f aca="false">IF($B132="","",MAX($B$2:B132))</f>
        <v/>
      </c>
      <c r="H132" s="16" t="n">
        <f aca="false">IFERROR((B132-F132)/F132,0)</f>
        <v>0</v>
      </c>
      <c r="I132" s="16" t="n">
        <f aca="false">IFERROR((B132-G132)/G132,0)</f>
        <v>0</v>
      </c>
      <c r="J132" s="11"/>
      <c r="K132" s="5"/>
      <c r="L132" s="17"/>
      <c r="M132" s="17"/>
      <c r="N132" s="16" t="str">
        <f aca="false">IF($B132="","",MIN(70%,IF($I132&lt;=-15%,10%,IF($I132&lt;=-10%,30%,IF($M132&gt;=4,10%,IF($M132&gt;=3,30%,IF($J132="强",IF($K132="A",70%,IF($K132="B",60%,40%)),IF($J132="中性",IF($K132="A",50%,IF($K132="B",40%,25%)),IF($K132="A",30%,IF($K132="B",20%,10%))))))))))</f>
        <v/>
      </c>
      <c r="O132" s="16" t="str">
        <f aca="false">IF($B132="","",IF(B132&lt;30000,35%,IF(B132&lt;50000,30%,IF(B132&lt;100000,25%,20%))))</f>
        <v/>
      </c>
      <c r="P132" s="18" t="str">
        <f aca="false">IF($A132="","",COUNTIFS(持仓表!$A:$A,$A132,持仓表!$G:$G,"&gt;0"))</f>
        <v/>
      </c>
      <c r="Q132" s="18" t="str">
        <f aca="false">IF($A132="","",COUNTIFS(持仓表!$A:$A,$A132,持仓表!$D:$D,"是",持仓表!$G:$G,"&gt;0"))</f>
        <v/>
      </c>
      <c r="R132" s="18" t="str">
        <f aca="false">IF($A132="","",MAX(0,P132-Q132))</f>
        <v/>
      </c>
      <c r="S132" s="18" t="str">
        <f aca="false">IF($B132="","",IF(B132&lt;50000,3,IF(B132&lt;100000,4,5)))</f>
        <v/>
      </c>
      <c r="T132" s="19" t="str">
        <f aca="false">IF($A132="","",IF(OR(M132&gt;=4,I132&lt;=-8%),"防守",IF(OR(M132&gt;=2,I132&lt;=-5%),"警戒","正常")))</f>
        <v/>
      </c>
      <c r="U132" s="19" t="str">
        <f aca="false">IF($A132="","",IF(AND(L132&gt;=3,M132&lt;=2,T132&lt;&gt;"防守"),"是","否"))</f>
        <v/>
      </c>
      <c r="V132" s="19" t="str">
        <f aca="false">IF($A132="","",IF(AND(E132&lt;N132,R132&lt;S132,M132&lt;=2,I132&gt;-15%),"是","否"))</f>
        <v/>
      </c>
      <c r="W132" s="19" t="str">
        <f aca="false">IF($A132="","",IF(OR(M132&gt;=3,I132&lt;=-15%),"是","否"))</f>
        <v/>
      </c>
      <c r="X132" s="15" t="str">
        <f aca="false">IF($A132="","",IFERROR(maxifs(候选池!$AB:$AB,候选池!$A:$A,$A132),0))</f>
        <v/>
      </c>
      <c r="Y132" s="15" t="str">
        <f aca="false">IF($A132="","",IF(OR(M132&gt;=4,I132&lt;=-8%),MAX(0,B132*60%-C132),IF(AND(ISNUMBER(AD132),B132&gt;AD132),IF(B132&lt;30000,0,IF(B132&lt;100000,MAX(0,(B132-AD132)*0.2),MAX(0,(B132-AD132)*0.3))),0)))</f>
        <v/>
      </c>
      <c r="Z132" s="5"/>
      <c r="AA132" s="19" t="str">
        <f aca="false">IF($A132="","",IF($AA$2&lt;&gt;"",$AA$2,""))</f>
        <v/>
      </c>
      <c r="AB132" s="5" t="str">
        <f aca="false">IF($A132="","",IF(B132&lt;30000,0.03,IF(B132&lt;100000,0.02,0.015)))</f>
        <v/>
      </c>
      <c r="AC132" s="18" t="str">
        <f aca="false">IF($A132="","",IFERROR(DATEDIF($A$2,$A132,"m"),0))</f>
        <v/>
      </c>
      <c r="AD132" s="15" t="str">
        <f aca="false">IF($A132="","",IF(OR(AA132="",AB132="",AC132=""),"",AA132*POWER(1+AB132,AC132)))</f>
        <v/>
      </c>
      <c r="AE132" s="21" t="str">
        <f aca="false">IF($A132="","",IF(OR(AD132="",AD132=0),"",B132/AD132-1))</f>
        <v/>
      </c>
      <c r="AG132" s="1" t="str">
        <f aca="false">IF($A132="","",IF(B132&lt;30000,"婴儿",IF(B132&lt;100000,"成长","成熟")))</f>
        <v/>
      </c>
      <c r="AH132" s="22"/>
      <c r="AJ132" s="22"/>
      <c r="AK132" s="22"/>
      <c r="AM132" s="22"/>
      <c r="AP132" s="13"/>
      <c r="AQ132" s="23" t="str">
        <f aca="false">IF($A132="","",B132-$AA$2-SUM($F$2:F132))</f>
        <v/>
      </c>
    </row>
    <row r="133" customFormat="false" ht="15" hidden="false" customHeight="true" outlineLevel="0" collapsed="false">
      <c r="A133" s="7"/>
      <c r="B133" s="24"/>
      <c r="C133" s="24"/>
      <c r="D133" s="15" t="str">
        <f aca="false">IF($A133="","",SUMIFS(持仓表!$J:$J,持仓表!$A:$A,$A133))</f>
        <v/>
      </c>
      <c r="E133" s="16" t="n">
        <f aca="false">IFERROR(D133/B133,0)</f>
        <v>0</v>
      </c>
      <c r="F133" s="24"/>
      <c r="G133" s="15" t="str">
        <f aca="false">IF($B133="","",MAX($B$2:B133))</f>
        <v/>
      </c>
      <c r="H133" s="16" t="n">
        <f aca="false">IFERROR((B133-F133)/F133,0)</f>
        <v>0</v>
      </c>
      <c r="I133" s="16" t="n">
        <f aca="false">IFERROR((B133-G133)/G133,0)</f>
        <v>0</v>
      </c>
      <c r="J133" s="12"/>
      <c r="K133" s="7"/>
      <c r="L133" s="25"/>
      <c r="M133" s="25"/>
      <c r="N133" s="16" t="str">
        <f aca="false">IF($B133="","",MIN(70%,IF($I133&lt;=-15%,10%,IF($I133&lt;=-10%,30%,IF($M133&gt;=4,10%,IF($M133&gt;=3,30%,IF($J133="强",IF($K133="A",70%,IF($K133="B",60%,40%)),IF($J133="中性",IF($K133="A",50%,IF($K133="B",40%,25%)),IF($K133="A",30%,IF($K133="B",20%,10%))))))))))</f>
        <v/>
      </c>
      <c r="O133" s="16" t="str">
        <f aca="false">IF($B133="","",IF(B133&lt;30000,35%,IF(B133&lt;50000,30%,IF(B133&lt;100000,25%,20%))))</f>
        <v/>
      </c>
      <c r="P133" s="18" t="str">
        <f aca="false">IF($A133="","",COUNTIFS(持仓表!$A:$A,$A133,持仓表!$G:$G,"&gt;0"))</f>
        <v/>
      </c>
      <c r="Q133" s="18" t="str">
        <f aca="false">IF($A133="","",COUNTIFS(持仓表!$A:$A,$A133,持仓表!$D:$D,"是",持仓表!$G:$G,"&gt;0"))</f>
        <v/>
      </c>
      <c r="R133" s="18" t="str">
        <f aca="false">IF($A133="","",MAX(0,P133-Q133))</f>
        <v/>
      </c>
      <c r="S133" s="18" t="str">
        <f aca="false">IF($B133="","",IF(B133&lt;50000,3,IF(B133&lt;100000,4,5)))</f>
        <v/>
      </c>
      <c r="T133" s="19" t="str">
        <f aca="false">IF($A133="","",IF(OR(M133&gt;=4,I133&lt;=-8%),"防守",IF(OR(M133&gt;=2,I133&lt;=-5%),"警戒","正常")))</f>
        <v/>
      </c>
      <c r="U133" s="19" t="str">
        <f aca="false">IF($A133="","",IF(AND(L133&gt;=3,M133&lt;=2,T133&lt;&gt;"防守"),"是","否"))</f>
        <v/>
      </c>
      <c r="V133" s="19" t="str">
        <f aca="false">IF($A133="","",IF(AND(E133&lt;N133,R133&lt;S133,M133&lt;=2,I133&gt;-15%),"是","否"))</f>
        <v/>
      </c>
      <c r="W133" s="19" t="str">
        <f aca="false">IF($A133="","",IF(OR(M133&gt;=3,I133&lt;=-15%),"是","否"))</f>
        <v/>
      </c>
      <c r="X133" s="15" t="str">
        <f aca="false">IF($A133="","",IFERROR(maxifs(候选池!$AB:$AB,候选池!$A:$A,$A133),0))</f>
        <v/>
      </c>
      <c r="Y133" s="15" t="str">
        <f aca="false">IF($A133="","",IF(OR(M133&gt;=4,I133&lt;=-8%),MAX(0,B133*60%-C133),IF(AND(ISNUMBER(AD133),B133&gt;AD133),IF(B133&lt;30000,0,IF(B133&lt;100000,MAX(0,(B133-AD133)*0.2),MAX(0,(B133-AD133)*0.3))),0)))</f>
        <v/>
      </c>
      <c r="Z133" s="7"/>
      <c r="AA133" s="19" t="str">
        <f aca="false">IF($A133="","",IF($AA$2&lt;&gt;"",$AA$2,""))</f>
        <v/>
      </c>
      <c r="AB133" s="7" t="str">
        <f aca="false">IF($A133="","",IF(B133&lt;30000,0.03,IF(B133&lt;100000,0.02,0.015)))</f>
        <v/>
      </c>
      <c r="AC133" s="18" t="str">
        <f aca="false">IF($A133="","",IFERROR(DATEDIF($A$2,$A133,"m"),0))</f>
        <v/>
      </c>
      <c r="AD133" s="15" t="str">
        <f aca="false">IF($A133="","",IF(OR(AA133="",AB133="",AC133=""),"",AA133*POWER(1+AB133,AC133)))</f>
        <v/>
      </c>
      <c r="AE133" s="27" t="str">
        <f aca="false">IF($A133="","",IF(OR(AD133="",AD133=0),"",B133/AD133-1))</f>
        <v/>
      </c>
      <c r="AG133" s="1" t="str">
        <f aca="false">IF($A133="","",IF(B133&lt;30000,"婴儿",IF(B133&lt;100000,"成长","成熟")))</f>
        <v/>
      </c>
      <c r="AH133" s="22"/>
      <c r="AJ133" s="22"/>
      <c r="AK133" s="22"/>
      <c r="AM133" s="22"/>
      <c r="AP133" s="13"/>
      <c r="AQ133" s="23" t="str">
        <f aca="false">IF($A133="","",B133-$AA$2-SUM($F$2:F133))</f>
        <v/>
      </c>
    </row>
    <row r="134" customFormat="false" ht="15" hidden="false" customHeight="true" outlineLevel="0" collapsed="false">
      <c r="A134" s="5"/>
      <c r="B134" s="14"/>
      <c r="C134" s="14"/>
      <c r="D134" s="15" t="str">
        <f aca="false">IF($A134="","",SUMIFS(持仓表!$J:$J,持仓表!$A:$A,$A134))</f>
        <v/>
      </c>
      <c r="E134" s="16" t="n">
        <f aca="false">IFERROR(D134/B134,0)</f>
        <v>0</v>
      </c>
      <c r="F134" s="14"/>
      <c r="G134" s="15" t="str">
        <f aca="false">IF($B134="","",MAX($B$2:B134))</f>
        <v/>
      </c>
      <c r="H134" s="16" t="n">
        <f aca="false">IFERROR((B134-F134)/F134,0)</f>
        <v>0</v>
      </c>
      <c r="I134" s="16" t="n">
        <f aca="false">IFERROR((B134-G134)/G134,0)</f>
        <v>0</v>
      </c>
      <c r="J134" s="11"/>
      <c r="K134" s="5"/>
      <c r="L134" s="17"/>
      <c r="M134" s="17"/>
      <c r="N134" s="16" t="str">
        <f aca="false">IF($B134="","",MIN(70%,IF($I134&lt;=-15%,10%,IF($I134&lt;=-10%,30%,IF($M134&gt;=4,10%,IF($M134&gt;=3,30%,IF($J134="强",IF($K134="A",70%,IF($K134="B",60%,40%)),IF($J134="中性",IF($K134="A",50%,IF($K134="B",40%,25%)),IF($K134="A",30%,IF($K134="B",20%,10%))))))))))</f>
        <v/>
      </c>
      <c r="O134" s="16" t="str">
        <f aca="false">IF($B134="","",IF(B134&lt;30000,35%,IF(B134&lt;50000,30%,IF(B134&lt;100000,25%,20%))))</f>
        <v/>
      </c>
      <c r="P134" s="18" t="str">
        <f aca="false">IF($A134="","",COUNTIFS(持仓表!$A:$A,$A134,持仓表!$G:$G,"&gt;0"))</f>
        <v/>
      </c>
      <c r="Q134" s="18" t="str">
        <f aca="false">IF($A134="","",COUNTIFS(持仓表!$A:$A,$A134,持仓表!$D:$D,"是",持仓表!$G:$G,"&gt;0"))</f>
        <v/>
      </c>
      <c r="R134" s="18" t="str">
        <f aca="false">IF($A134="","",MAX(0,P134-Q134))</f>
        <v/>
      </c>
      <c r="S134" s="18" t="str">
        <f aca="false">IF($B134="","",IF(B134&lt;50000,3,IF(B134&lt;100000,4,5)))</f>
        <v/>
      </c>
      <c r="T134" s="19" t="str">
        <f aca="false">IF($A134="","",IF(OR(M134&gt;=4,I134&lt;=-8%),"防守",IF(OR(M134&gt;=2,I134&lt;=-5%),"警戒","正常")))</f>
        <v/>
      </c>
      <c r="U134" s="19" t="str">
        <f aca="false">IF($A134="","",IF(AND(L134&gt;=3,M134&lt;=2,T134&lt;&gt;"防守"),"是","否"))</f>
        <v/>
      </c>
      <c r="V134" s="19" t="str">
        <f aca="false">IF($A134="","",IF(AND(E134&lt;N134,R134&lt;S134,M134&lt;=2,I134&gt;-15%),"是","否"))</f>
        <v/>
      </c>
      <c r="W134" s="19" t="str">
        <f aca="false">IF($A134="","",IF(OR(M134&gt;=3,I134&lt;=-15%),"是","否"))</f>
        <v/>
      </c>
      <c r="X134" s="15" t="str">
        <f aca="false">IF($A134="","",IFERROR(maxifs(候选池!$AB:$AB,候选池!$A:$A,$A134),0))</f>
        <v/>
      </c>
      <c r="Y134" s="15" t="str">
        <f aca="false">IF($A134="","",IF(OR(M134&gt;=4,I134&lt;=-8%),MAX(0,B134*60%-C134),IF(AND(ISNUMBER(AD134),B134&gt;AD134),IF(B134&lt;30000,0,IF(B134&lt;100000,MAX(0,(B134-AD134)*0.2),MAX(0,(B134-AD134)*0.3))),0)))</f>
        <v/>
      </c>
      <c r="Z134" s="5"/>
      <c r="AA134" s="19" t="str">
        <f aca="false">IF($A134="","",IF($AA$2&lt;&gt;"",$AA$2,""))</f>
        <v/>
      </c>
      <c r="AB134" s="5" t="str">
        <f aca="false">IF($A134="","",IF(B134&lt;30000,0.03,IF(B134&lt;100000,0.02,0.015)))</f>
        <v/>
      </c>
      <c r="AC134" s="18" t="str">
        <f aca="false">IF($A134="","",IFERROR(DATEDIF($A$2,$A134,"m"),0))</f>
        <v/>
      </c>
      <c r="AD134" s="15" t="str">
        <f aca="false">IF($A134="","",IF(OR(AA134="",AB134="",AC134=""),"",AA134*POWER(1+AB134,AC134)))</f>
        <v/>
      </c>
      <c r="AE134" s="21" t="str">
        <f aca="false">IF($A134="","",IF(OR(AD134="",AD134=0),"",B134/AD134-1))</f>
        <v/>
      </c>
      <c r="AG134" s="1" t="str">
        <f aca="false">IF($A134="","",IF(B134&lt;30000,"婴儿",IF(B134&lt;100000,"成长","成熟")))</f>
        <v/>
      </c>
      <c r="AH134" s="22"/>
      <c r="AJ134" s="22"/>
      <c r="AK134" s="22"/>
      <c r="AM134" s="22"/>
      <c r="AP134" s="13"/>
      <c r="AQ134" s="23" t="str">
        <f aca="false">IF($A134="","",B134-$AA$2-SUM($F$2:F134))</f>
        <v/>
      </c>
    </row>
    <row r="135" customFormat="false" ht="15" hidden="false" customHeight="true" outlineLevel="0" collapsed="false">
      <c r="A135" s="7"/>
      <c r="B135" s="24"/>
      <c r="C135" s="24"/>
      <c r="D135" s="15" t="str">
        <f aca="false">IF($A135="","",SUMIFS(持仓表!$J:$J,持仓表!$A:$A,$A135))</f>
        <v/>
      </c>
      <c r="E135" s="16" t="n">
        <f aca="false">IFERROR(D135/B135,0)</f>
        <v>0</v>
      </c>
      <c r="F135" s="24"/>
      <c r="G135" s="15" t="str">
        <f aca="false">IF($B135="","",MAX($B$2:B135))</f>
        <v/>
      </c>
      <c r="H135" s="16" t="n">
        <f aca="false">IFERROR((B135-F135)/F135,0)</f>
        <v>0</v>
      </c>
      <c r="I135" s="16" t="n">
        <f aca="false">IFERROR((B135-G135)/G135,0)</f>
        <v>0</v>
      </c>
      <c r="J135" s="12"/>
      <c r="K135" s="7"/>
      <c r="L135" s="25"/>
      <c r="M135" s="25"/>
      <c r="N135" s="16" t="str">
        <f aca="false">IF($B135="","",MIN(70%,IF($I135&lt;=-15%,10%,IF($I135&lt;=-10%,30%,IF($M135&gt;=4,10%,IF($M135&gt;=3,30%,IF($J135="强",IF($K135="A",70%,IF($K135="B",60%,40%)),IF($J135="中性",IF($K135="A",50%,IF($K135="B",40%,25%)),IF($K135="A",30%,IF($K135="B",20%,10%))))))))))</f>
        <v/>
      </c>
      <c r="O135" s="16" t="str">
        <f aca="false">IF($B135="","",IF(B135&lt;30000,35%,IF(B135&lt;50000,30%,IF(B135&lt;100000,25%,20%))))</f>
        <v/>
      </c>
      <c r="P135" s="18" t="str">
        <f aca="false">IF($A135="","",COUNTIFS(持仓表!$A:$A,$A135,持仓表!$G:$G,"&gt;0"))</f>
        <v/>
      </c>
      <c r="Q135" s="18" t="str">
        <f aca="false">IF($A135="","",COUNTIFS(持仓表!$A:$A,$A135,持仓表!$D:$D,"是",持仓表!$G:$G,"&gt;0"))</f>
        <v/>
      </c>
      <c r="R135" s="18" t="str">
        <f aca="false">IF($A135="","",MAX(0,P135-Q135))</f>
        <v/>
      </c>
      <c r="S135" s="18" t="str">
        <f aca="false">IF($B135="","",IF(B135&lt;50000,3,IF(B135&lt;100000,4,5)))</f>
        <v/>
      </c>
      <c r="T135" s="19" t="str">
        <f aca="false">IF($A135="","",IF(OR(M135&gt;=4,I135&lt;=-8%),"防守",IF(OR(M135&gt;=2,I135&lt;=-5%),"警戒","正常")))</f>
        <v/>
      </c>
      <c r="U135" s="19" t="str">
        <f aca="false">IF($A135="","",IF(AND(L135&gt;=3,M135&lt;=2,T135&lt;&gt;"防守"),"是","否"))</f>
        <v/>
      </c>
      <c r="V135" s="19" t="str">
        <f aca="false">IF($A135="","",IF(AND(E135&lt;N135,R135&lt;S135,M135&lt;=2,I135&gt;-15%),"是","否"))</f>
        <v/>
      </c>
      <c r="W135" s="19" t="str">
        <f aca="false">IF($A135="","",IF(OR(M135&gt;=3,I135&lt;=-15%),"是","否"))</f>
        <v/>
      </c>
      <c r="X135" s="15" t="str">
        <f aca="false">IF($A135="","",IFERROR(maxifs(候选池!$AB:$AB,候选池!$A:$A,$A135),0))</f>
        <v/>
      </c>
      <c r="Y135" s="15" t="str">
        <f aca="false">IF($A135="","",IF(OR(M135&gt;=4,I135&lt;=-8%),MAX(0,B135*60%-C135),IF(AND(ISNUMBER(AD135),B135&gt;AD135),IF(B135&lt;30000,0,IF(B135&lt;100000,MAX(0,(B135-AD135)*0.2),MAX(0,(B135-AD135)*0.3))),0)))</f>
        <v/>
      </c>
      <c r="Z135" s="7"/>
      <c r="AA135" s="19" t="str">
        <f aca="false">IF($A135="","",IF($AA$2&lt;&gt;"",$AA$2,""))</f>
        <v/>
      </c>
      <c r="AB135" s="7" t="str">
        <f aca="false">IF($A135="","",IF(B135&lt;30000,0.03,IF(B135&lt;100000,0.02,0.015)))</f>
        <v/>
      </c>
      <c r="AC135" s="18" t="str">
        <f aca="false">IF($A135="","",IFERROR(DATEDIF($A$2,$A135,"m"),0))</f>
        <v/>
      </c>
      <c r="AD135" s="15" t="str">
        <f aca="false">IF($A135="","",IF(OR(AA135="",AB135="",AC135=""),"",AA135*POWER(1+AB135,AC135)))</f>
        <v/>
      </c>
      <c r="AE135" s="27" t="str">
        <f aca="false">IF($A135="","",IF(OR(AD135="",AD135=0),"",B135/AD135-1))</f>
        <v/>
      </c>
      <c r="AG135" s="1" t="str">
        <f aca="false">IF($A135="","",IF(B135&lt;30000,"婴儿",IF(B135&lt;100000,"成长","成熟")))</f>
        <v/>
      </c>
      <c r="AH135" s="22"/>
      <c r="AJ135" s="22"/>
      <c r="AK135" s="22"/>
      <c r="AM135" s="22"/>
      <c r="AP135" s="13"/>
      <c r="AQ135" s="23" t="str">
        <f aca="false">IF($A135="","",B135-$AA$2-SUM($F$2:F135))</f>
        <v/>
      </c>
    </row>
    <row r="136" customFormat="false" ht="15" hidden="false" customHeight="true" outlineLevel="0" collapsed="false">
      <c r="A136" s="5"/>
      <c r="B136" s="14"/>
      <c r="C136" s="14"/>
      <c r="D136" s="15" t="str">
        <f aca="false">IF($A136="","",SUMIFS(持仓表!$J:$J,持仓表!$A:$A,$A136))</f>
        <v/>
      </c>
      <c r="E136" s="16" t="n">
        <f aca="false">IFERROR(D136/B136,0)</f>
        <v>0</v>
      </c>
      <c r="F136" s="14"/>
      <c r="G136" s="15" t="str">
        <f aca="false">IF($B136="","",MAX($B$2:B136))</f>
        <v/>
      </c>
      <c r="H136" s="16" t="n">
        <f aca="false">IFERROR((B136-F136)/F136,0)</f>
        <v>0</v>
      </c>
      <c r="I136" s="16" t="n">
        <f aca="false">IFERROR((B136-G136)/G136,0)</f>
        <v>0</v>
      </c>
      <c r="J136" s="11"/>
      <c r="K136" s="5"/>
      <c r="L136" s="17"/>
      <c r="M136" s="17"/>
      <c r="N136" s="16" t="str">
        <f aca="false">IF($B136="","",MIN(70%,IF($I136&lt;=-15%,10%,IF($I136&lt;=-10%,30%,IF($M136&gt;=4,10%,IF($M136&gt;=3,30%,IF($J136="强",IF($K136="A",70%,IF($K136="B",60%,40%)),IF($J136="中性",IF($K136="A",50%,IF($K136="B",40%,25%)),IF($K136="A",30%,IF($K136="B",20%,10%))))))))))</f>
        <v/>
      </c>
      <c r="O136" s="16" t="str">
        <f aca="false">IF($B136="","",IF(B136&lt;30000,35%,IF(B136&lt;50000,30%,IF(B136&lt;100000,25%,20%))))</f>
        <v/>
      </c>
      <c r="P136" s="18" t="str">
        <f aca="false">IF($A136="","",COUNTIFS(持仓表!$A:$A,$A136,持仓表!$G:$G,"&gt;0"))</f>
        <v/>
      </c>
      <c r="Q136" s="18" t="str">
        <f aca="false">IF($A136="","",COUNTIFS(持仓表!$A:$A,$A136,持仓表!$D:$D,"是",持仓表!$G:$G,"&gt;0"))</f>
        <v/>
      </c>
      <c r="R136" s="18" t="str">
        <f aca="false">IF($A136="","",MAX(0,P136-Q136))</f>
        <v/>
      </c>
      <c r="S136" s="18" t="str">
        <f aca="false">IF($B136="","",IF(B136&lt;50000,3,IF(B136&lt;100000,4,5)))</f>
        <v/>
      </c>
      <c r="T136" s="19" t="str">
        <f aca="false">IF($A136="","",IF(OR(M136&gt;=4,I136&lt;=-8%),"防守",IF(OR(M136&gt;=2,I136&lt;=-5%),"警戒","正常")))</f>
        <v/>
      </c>
      <c r="U136" s="19" t="str">
        <f aca="false">IF($A136="","",IF(AND(L136&gt;=3,M136&lt;=2,T136&lt;&gt;"防守"),"是","否"))</f>
        <v/>
      </c>
      <c r="V136" s="19" t="str">
        <f aca="false">IF($A136="","",IF(AND(E136&lt;N136,R136&lt;S136,M136&lt;=2,I136&gt;-15%),"是","否"))</f>
        <v/>
      </c>
      <c r="W136" s="19" t="str">
        <f aca="false">IF($A136="","",IF(OR(M136&gt;=3,I136&lt;=-15%),"是","否"))</f>
        <v/>
      </c>
      <c r="X136" s="15" t="str">
        <f aca="false">IF($A136="","",IFERROR(maxifs(候选池!$AB:$AB,候选池!$A:$A,$A136),0))</f>
        <v/>
      </c>
      <c r="Y136" s="15" t="str">
        <f aca="false">IF($A136="","",IF(OR(M136&gt;=4,I136&lt;=-8%),MAX(0,B136*60%-C136),IF(AND(ISNUMBER(AD136),B136&gt;AD136),IF(B136&lt;30000,0,IF(B136&lt;100000,MAX(0,(B136-AD136)*0.2),MAX(0,(B136-AD136)*0.3))),0)))</f>
        <v/>
      </c>
      <c r="Z136" s="5"/>
      <c r="AA136" s="19" t="str">
        <f aca="false">IF($A136="","",IF($AA$2&lt;&gt;"",$AA$2,""))</f>
        <v/>
      </c>
      <c r="AB136" s="5" t="str">
        <f aca="false">IF($A136="","",IF(B136&lt;30000,0.03,IF(B136&lt;100000,0.02,0.015)))</f>
        <v/>
      </c>
      <c r="AC136" s="18" t="str">
        <f aca="false">IF($A136="","",IFERROR(DATEDIF($A$2,$A136,"m"),0))</f>
        <v/>
      </c>
      <c r="AD136" s="15" t="str">
        <f aca="false">IF($A136="","",IF(OR(AA136="",AB136="",AC136=""),"",AA136*POWER(1+AB136,AC136)))</f>
        <v/>
      </c>
      <c r="AE136" s="21" t="str">
        <f aca="false">IF($A136="","",IF(OR(AD136="",AD136=0),"",B136/AD136-1))</f>
        <v/>
      </c>
      <c r="AG136" s="1" t="str">
        <f aca="false">IF($A136="","",IF(B136&lt;30000,"婴儿",IF(B136&lt;100000,"成长","成熟")))</f>
        <v/>
      </c>
      <c r="AH136" s="22"/>
      <c r="AJ136" s="22"/>
      <c r="AK136" s="22"/>
      <c r="AM136" s="22"/>
      <c r="AP136" s="13"/>
      <c r="AQ136" s="23" t="str">
        <f aca="false">IF($A136="","",B136-$AA$2-SUM($F$2:F136))</f>
        <v/>
      </c>
    </row>
    <row r="137" customFormat="false" ht="15" hidden="false" customHeight="true" outlineLevel="0" collapsed="false">
      <c r="A137" s="7"/>
      <c r="B137" s="24"/>
      <c r="C137" s="24"/>
      <c r="D137" s="15" t="str">
        <f aca="false">IF($A137="","",SUMIFS(持仓表!$J:$J,持仓表!$A:$A,$A137))</f>
        <v/>
      </c>
      <c r="E137" s="16" t="n">
        <f aca="false">IFERROR(D137/B137,0)</f>
        <v>0</v>
      </c>
      <c r="F137" s="24"/>
      <c r="G137" s="15" t="str">
        <f aca="false">IF($B137="","",MAX($B$2:B137))</f>
        <v/>
      </c>
      <c r="H137" s="16" t="n">
        <f aca="false">IFERROR((B137-F137)/F137,0)</f>
        <v>0</v>
      </c>
      <c r="I137" s="16" t="n">
        <f aca="false">IFERROR((B137-G137)/G137,0)</f>
        <v>0</v>
      </c>
      <c r="J137" s="12"/>
      <c r="K137" s="7"/>
      <c r="L137" s="25"/>
      <c r="M137" s="25"/>
      <c r="N137" s="16" t="str">
        <f aca="false">IF($B137="","",MIN(70%,IF($I137&lt;=-15%,10%,IF($I137&lt;=-10%,30%,IF($M137&gt;=4,10%,IF($M137&gt;=3,30%,IF($J137="强",IF($K137="A",70%,IF($K137="B",60%,40%)),IF($J137="中性",IF($K137="A",50%,IF($K137="B",40%,25%)),IF($K137="A",30%,IF($K137="B",20%,10%))))))))))</f>
        <v/>
      </c>
      <c r="O137" s="16" t="str">
        <f aca="false">IF($B137="","",IF(B137&lt;30000,35%,IF(B137&lt;50000,30%,IF(B137&lt;100000,25%,20%))))</f>
        <v/>
      </c>
      <c r="P137" s="18" t="str">
        <f aca="false">IF($A137="","",COUNTIFS(持仓表!$A:$A,$A137,持仓表!$G:$G,"&gt;0"))</f>
        <v/>
      </c>
      <c r="Q137" s="18" t="str">
        <f aca="false">IF($A137="","",COUNTIFS(持仓表!$A:$A,$A137,持仓表!$D:$D,"是",持仓表!$G:$G,"&gt;0"))</f>
        <v/>
      </c>
      <c r="R137" s="18" t="str">
        <f aca="false">IF($A137="","",MAX(0,P137-Q137))</f>
        <v/>
      </c>
      <c r="S137" s="18" t="str">
        <f aca="false">IF($B137="","",IF(B137&lt;50000,3,IF(B137&lt;100000,4,5)))</f>
        <v/>
      </c>
      <c r="T137" s="19" t="str">
        <f aca="false">IF($A137="","",IF(OR(M137&gt;=4,I137&lt;=-8%),"防守",IF(OR(M137&gt;=2,I137&lt;=-5%),"警戒","正常")))</f>
        <v/>
      </c>
      <c r="U137" s="19" t="str">
        <f aca="false">IF($A137="","",IF(AND(L137&gt;=3,M137&lt;=2,T137&lt;&gt;"防守"),"是","否"))</f>
        <v/>
      </c>
      <c r="V137" s="19" t="str">
        <f aca="false">IF($A137="","",IF(AND(E137&lt;N137,R137&lt;S137,M137&lt;=2,I137&gt;-15%),"是","否"))</f>
        <v/>
      </c>
      <c r="W137" s="19" t="str">
        <f aca="false">IF($A137="","",IF(OR(M137&gt;=3,I137&lt;=-15%),"是","否"))</f>
        <v/>
      </c>
      <c r="X137" s="15" t="str">
        <f aca="false">IF($A137="","",IFERROR(maxifs(候选池!$AB:$AB,候选池!$A:$A,$A137),0))</f>
        <v/>
      </c>
      <c r="Y137" s="15" t="str">
        <f aca="false">IF($A137="","",IF(OR(M137&gt;=4,I137&lt;=-8%),MAX(0,B137*60%-C137),IF(AND(ISNUMBER(AD137),B137&gt;AD137),IF(B137&lt;30000,0,IF(B137&lt;100000,MAX(0,(B137-AD137)*0.2),MAX(0,(B137-AD137)*0.3))),0)))</f>
        <v/>
      </c>
      <c r="Z137" s="7"/>
      <c r="AA137" s="19" t="str">
        <f aca="false">IF($A137="","",IF($AA$2&lt;&gt;"",$AA$2,""))</f>
        <v/>
      </c>
      <c r="AB137" s="7" t="str">
        <f aca="false">IF($A137="","",IF(B137&lt;30000,0.03,IF(B137&lt;100000,0.02,0.015)))</f>
        <v/>
      </c>
      <c r="AC137" s="18" t="str">
        <f aca="false">IF($A137="","",IFERROR(DATEDIF($A$2,$A137,"m"),0))</f>
        <v/>
      </c>
      <c r="AD137" s="15" t="str">
        <f aca="false">IF($A137="","",IF(OR(AA137="",AB137="",AC137=""),"",AA137*POWER(1+AB137,AC137)))</f>
        <v/>
      </c>
      <c r="AE137" s="27" t="str">
        <f aca="false">IF($A137="","",IF(OR(AD137="",AD137=0),"",B137/AD137-1))</f>
        <v/>
      </c>
      <c r="AG137" s="1" t="str">
        <f aca="false">IF($A137="","",IF(B137&lt;30000,"婴儿",IF(B137&lt;100000,"成长","成熟")))</f>
        <v/>
      </c>
      <c r="AH137" s="22"/>
      <c r="AJ137" s="22"/>
      <c r="AK137" s="22"/>
      <c r="AM137" s="22"/>
      <c r="AP137" s="13"/>
      <c r="AQ137" s="23" t="str">
        <f aca="false">IF($A137="","",B137-$AA$2-SUM($F$2:F137))</f>
        <v/>
      </c>
    </row>
    <row r="138" customFormat="false" ht="15" hidden="false" customHeight="true" outlineLevel="0" collapsed="false">
      <c r="A138" s="5"/>
      <c r="B138" s="14"/>
      <c r="C138" s="14"/>
      <c r="D138" s="15" t="str">
        <f aca="false">IF($A138="","",SUMIFS(持仓表!$J:$J,持仓表!$A:$A,$A138))</f>
        <v/>
      </c>
      <c r="E138" s="16" t="n">
        <f aca="false">IFERROR(D138/B138,0)</f>
        <v>0</v>
      </c>
      <c r="F138" s="14"/>
      <c r="G138" s="15" t="str">
        <f aca="false">IF($B138="","",MAX($B$2:B138))</f>
        <v/>
      </c>
      <c r="H138" s="16" t="n">
        <f aca="false">IFERROR((B138-F138)/F138,0)</f>
        <v>0</v>
      </c>
      <c r="I138" s="16" t="n">
        <f aca="false">IFERROR((B138-G138)/G138,0)</f>
        <v>0</v>
      </c>
      <c r="J138" s="11"/>
      <c r="K138" s="5"/>
      <c r="L138" s="17"/>
      <c r="M138" s="17"/>
      <c r="N138" s="16" t="str">
        <f aca="false">IF($B138="","",MIN(70%,IF($I138&lt;=-15%,10%,IF($I138&lt;=-10%,30%,IF($M138&gt;=4,10%,IF($M138&gt;=3,30%,IF($J138="强",IF($K138="A",70%,IF($K138="B",60%,40%)),IF($J138="中性",IF($K138="A",50%,IF($K138="B",40%,25%)),IF($K138="A",30%,IF($K138="B",20%,10%))))))))))</f>
        <v/>
      </c>
      <c r="O138" s="16" t="str">
        <f aca="false">IF($B138="","",IF(B138&lt;30000,35%,IF(B138&lt;50000,30%,IF(B138&lt;100000,25%,20%))))</f>
        <v/>
      </c>
      <c r="P138" s="18" t="str">
        <f aca="false">IF($A138="","",COUNTIFS(持仓表!$A:$A,$A138,持仓表!$G:$G,"&gt;0"))</f>
        <v/>
      </c>
      <c r="Q138" s="18" t="str">
        <f aca="false">IF($A138="","",COUNTIFS(持仓表!$A:$A,$A138,持仓表!$D:$D,"是",持仓表!$G:$G,"&gt;0"))</f>
        <v/>
      </c>
      <c r="R138" s="18" t="str">
        <f aca="false">IF($A138="","",MAX(0,P138-Q138))</f>
        <v/>
      </c>
      <c r="S138" s="18" t="str">
        <f aca="false">IF($B138="","",IF(B138&lt;50000,3,IF(B138&lt;100000,4,5)))</f>
        <v/>
      </c>
      <c r="T138" s="19" t="str">
        <f aca="false">IF($A138="","",IF(OR(M138&gt;=4,I138&lt;=-8%),"防守",IF(OR(M138&gt;=2,I138&lt;=-5%),"警戒","正常")))</f>
        <v/>
      </c>
      <c r="U138" s="19" t="str">
        <f aca="false">IF($A138="","",IF(AND(L138&gt;=3,M138&lt;=2,T138&lt;&gt;"防守"),"是","否"))</f>
        <v/>
      </c>
      <c r="V138" s="19" t="str">
        <f aca="false">IF($A138="","",IF(AND(E138&lt;N138,R138&lt;S138,M138&lt;=2,I138&gt;-15%),"是","否"))</f>
        <v/>
      </c>
      <c r="W138" s="19" t="str">
        <f aca="false">IF($A138="","",IF(OR(M138&gt;=3,I138&lt;=-15%),"是","否"))</f>
        <v/>
      </c>
      <c r="X138" s="15" t="str">
        <f aca="false">IF($A138="","",IFERROR(maxifs(候选池!$AB:$AB,候选池!$A:$A,$A138),0))</f>
        <v/>
      </c>
      <c r="Y138" s="15" t="str">
        <f aca="false">IF($A138="","",IF(OR(M138&gt;=4,I138&lt;=-8%),MAX(0,B138*60%-C138),IF(AND(ISNUMBER(AD138),B138&gt;AD138),IF(B138&lt;30000,0,IF(B138&lt;100000,MAX(0,(B138-AD138)*0.2),MAX(0,(B138-AD138)*0.3))),0)))</f>
        <v/>
      </c>
      <c r="Z138" s="5"/>
      <c r="AA138" s="19" t="str">
        <f aca="false">IF($A138="","",IF($AA$2&lt;&gt;"",$AA$2,""))</f>
        <v/>
      </c>
      <c r="AB138" s="5" t="str">
        <f aca="false">IF($A138="","",IF(B138&lt;30000,0.03,IF(B138&lt;100000,0.02,0.015)))</f>
        <v/>
      </c>
      <c r="AC138" s="18" t="str">
        <f aca="false">IF($A138="","",IFERROR(DATEDIF($A$2,$A138,"m"),0))</f>
        <v/>
      </c>
      <c r="AD138" s="15" t="str">
        <f aca="false">IF($A138="","",IF(OR(AA138="",AB138="",AC138=""),"",AA138*POWER(1+AB138,AC138)))</f>
        <v/>
      </c>
      <c r="AE138" s="21" t="str">
        <f aca="false">IF($A138="","",IF(OR(AD138="",AD138=0),"",B138/AD138-1))</f>
        <v/>
      </c>
      <c r="AG138" s="1" t="str">
        <f aca="false">IF($A138="","",IF(B138&lt;30000,"婴儿",IF(B138&lt;100000,"成长","成熟")))</f>
        <v/>
      </c>
      <c r="AH138" s="22"/>
      <c r="AJ138" s="22"/>
      <c r="AK138" s="22"/>
      <c r="AM138" s="22"/>
      <c r="AP138" s="13"/>
      <c r="AQ138" s="23" t="str">
        <f aca="false">IF($A138="","",B138-$AA$2-SUM($F$2:F138))</f>
        <v/>
      </c>
    </row>
    <row r="139" customFormat="false" ht="15" hidden="false" customHeight="true" outlineLevel="0" collapsed="false">
      <c r="A139" s="7"/>
      <c r="B139" s="24"/>
      <c r="C139" s="24"/>
      <c r="D139" s="15" t="str">
        <f aca="false">IF($A139="","",SUMIFS(持仓表!$J:$J,持仓表!$A:$A,$A139))</f>
        <v/>
      </c>
      <c r="E139" s="16" t="n">
        <f aca="false">IFERROR(D139/B139,0)</f>
        <v>0</v>
      </c>
      <c r="F139" s="24"/>
      <c r="G139" s="15" t="str">
        <f aca="false">IF($B139="","",MAX($B$2:B139))</f>
        <v/>
      </c>
      <c r="H139" s="16" t="n">
        <f aca="false">IFERROR((B139-F139)/F139,0)</f>
        <v>0</v>
      </c>
      <c r="I139" s="16" t="n">
        <f aca="false">IFERROR((B139-G139)/G139,0)</f>
        <v>0</v>
      </c>
      <c r="J139" s="12"/>
      <c r="K139" s="7"/>
      <c r="L139" s="25"/>
      <c r="M139" s="25"/>
      <c r="N139" s="16" t="str">
        <f aca="false">IF($B139="","",MIN(70%,IF($I139&lt;=-15%,10%,IF($I139&lt;=-10%,30%,IF($M139&gt;=4,10%,IF($M139&gt;=3,30%,IF($J139="强",IF($K139="A",70%,IF($K139="B",60%,40%)),IF($J139="中性",IF($K139="A",50%,IF($K139="B",40%,25%)),IF($K139="A",30%,IF($K139="B",20%,10%))))))))))</f>
        <v/>
      </c>
      <c r="O139" s="16" t="str">
        <f aca="false">IF($B139="","",IF(B139&lt;30000,35%,IF(B139&lt;50000,30%,IF(B139&lt;100000,25%,20%))))</f>
        <v/>
      </c>
      <c r="P139" s="18" t="str">
        <f aca="false">IF($A139="","",COUNTIFS(持仓表!$A:$A,$A139,持仓表!$G:$G,"&gt;0"))</f>
        <v/>
      </c>
      <c r="Q139" s="18" t="str">
        <f aca="false">IF($A139="","",COUNTIFS(持仓表!$A:$A,$A139,持仓表!$D:$D,"是",持仓表!$G:$G,"&gt;0"))</f>
        <v/>
      </c>
      <c r="R139" s="18" t="str">
        <f aca="false">IF($A139="","",MAX(0,P139-Q139))</f>
        <v/>
      </c>
      <c r="S139" s="18" t="str">
        <f aca="false">IF($B139="","",IF(B139&lt;50000,3,IF(B139&lt;100000,4,5)))</f>
        <v/>
      </c>
      <c r="T139" s="19" t="str">
        <f aca="false">IF($A139="","",IF(OR(M139&gt;=4,I139&lt;=-8%),"防守",IF(OR(M139&gt;=2,I139&lt;=-5%),"警戒","正常")))</f>
        <v/>
      </c>
      <c r="U139" s="19" t="str">
        <f aca="false">IF($A139="","",IF(AND(L139&gt;=3,M139&lt;=2,T139&lt;&gt;"防守"),"是","否"))</f>
        <v/>
      </c>
      <c r="V139" s="19" t="str">
        <f aca="false">IF($A139="","",IF(AND(E139&lt;N139,R139&lt;S139,M139&lt;=2,I139&gt;-15%),"是","否"))</f>
        <v/>
      </c>
      <c r="W139" s="19" t="str">
        <f aca="false">IF($A139="","",IF(OR(M139&gt;=3,I139&lt;=-15%),"是","否"))</f>
        <v/>
      </c>
      <c r="X139" s="15" t="str">
        <f aca="false">IF($A139="","",IFERROR(maxifs(候选池!$AB:$AB,候选池!$A:$A,$A139),0))</f>
        <v/>
      </c>
      <c r="Y139" s="15" t="str">
        <f aca="false">IF($A139="","",IF(OR(M139&gt;=4,I139&lt;=-8%),MAX(0,B139*60%-C139),IF(AND(ISNUMBER(AD139),B139&gt;AD139),IF(B139&lt;30000,0,IF(B139&lt;100000,MAX(0,(B139-AD139)*0.2),MAX(0,(B139-AD139)*0.3))),0)))</f>
        <v/>
      </c>
      <c r="Z139" s="7"/>
      <c r="AA139" s="19" t="str">
        <f aca="false">IF($A139="","",IF($AA$2&lt;&gt;"",$AA$2,""))</f>
        <v/>
      </c>
      <c r="AB139" s="7" t="str">
        <f aca="false">IF($A139="","",IF(B139&lt;30000,0.03,IF(B139&lt;100000,0.02,0.015)))</f>
        <v/>
      </c>
      <c r="AC139" s="18" t="str">
        <f aca="false">IF($A139="","",IFERROR(DATEDIF($A$2,$A139,"m"),0))</f>
        <v/>
      </c>
      <c r="AD139" s="15" t="str">
        <f aca="false">IF($A139="","",IF(OR(AA139="",AB139="",AC139=""),"",AA139*POWER(1+AB139,AC139)))</f>
        <v/>
      </c>
      <c r="AE139" s="27" t="str">
        <f aca="false">IF($A139="","",IF(OR(AD139="",AD139=0),"",B139/AD139-1))</f>
        <v/>
      </c>
      <c r="AG139" s="1" t="str">
        <f aca="false">IF($A139="","",IF(B139&lt;30000,"婴儿",IF(B139&lt;100000,"成长","成熟")))</f>
        <v/>
      </c>
      <c r="AH139" s="22"/>
      <c r="AJ139" s="22"/>
      <c r="AK139" s="22"/>
      <c r="AM139" s="22"/>
      <c r="AP139" s="13"/>
      <c r="AQ139" s="23" t="str">
        <f aca="false">IF($A139="","",B139-$AA$2-SUM($F$2:F139))</f>
        <v/>
      </c>
    </row>
    <row r="140" customFormat="false" ht="15" hidden="false" customHeight="true" outlineLevel="0" collapsed="false">
      <c r="A140" s="5"/>
      <c r="B140" s="14"/>
      <c r="C140" s="14"/>
      <c r="D140" s="15" t="str">
        <f aca="false">IF($A140="","",SUMIFS(持仓表!$J:$J,持仓表!$A:$A,$A140))</f>
        <v/>
      </c>
      <c r="E140" s="16" t="n">
        <f aca="false">IFERROR(D140/B140,0)</f>
        <v>0</v>
      </c>
      <c r="F140" s="14"/>
      <c r="G140" s="15" t="str">
        <f aca="false">IF($B140="","",MAX($B$2:B140))</f>
        <v/>
      </c>
      <c r="H140" s="16" t="n">
        <f aca="false">IFERROR((B140-F140)/F140,0)</f>
        <v>0</v>
      </c>
      <c r="I140" s="16" t="n">
        <f aca="false">IFERROR((B140-G140)/G140,0)</f>
        <v>0</v>
      </c>
      <c r="J140" s="11"/>
      <c r="K140" s="5"/>
      <c r="L140" s="17"/>
      <c r="M140" s="17"/>
      <c r="N140" s="16" t="str">
        <f aca="false">IF($B140="","",MIN(70%,IF($I140&lt;=-15%,10%,IF($I140&lt;=-10%,30%,IF($M140&gt;=4,10%,IF($M140&gt;=3,30%,IF($J140="强",IF($K140="A",70%,IF($K140="B",60%,40%)),IF($J140="中性",IF($K140="A",50%,IF($K140="B",40%,25%)),IF($K140="A",30%,IF($K140="B",20%,10%))))))))))</f>
        <v/>
      </c>
      <c r="O140" s="16" t="str">
        <f aca="false">IF($B140="","",IF(B140&lt;30000,35%,IF(B140&lt;50000,30%,IF(B140&lt;100000,25%,20%))))</f>
        <v/>
      </c>
      <c r="P140" s="18" t="str">
        <f aca="false">IF($A140="","",COUNTIFS(持仓表!$A:$A,$A140,持仓表!$G:$G,"&gt;0"))</f>
        <v/>
      </c>
      <c r="Q140" s="18" t="str">
        <f aca="false">IF($A140="","",COUNTIFS(持仓表!$A:$A,$A140,持仓表!$D:$D,"是",持仓表!$G:$G,"&gt;0"))</f>
        <v/>
      </c>
      <c r="R140" s="18" t="str">
        <f aca="false">IF($A140="","",MAX(0,P140-Q140))</f>
        <v/>
      </c>
      <c r="S140" s="18" t="str">
        <f aca="false">IF($B140="","",IF(B140&lt;50000,3,IF(B140&lt;100000,4,5)))</f>
        <v/>
      </c>
      <c r="T140" s="19" t="str">
        <f aca="false">IF($A140="","",IF(OR(M140&gt;=4,I140&lt;=-8%),"防守",IF(OR(M140&gt;=2,I140&lt;=-5%),"警戒","正常")))</f>
        <v/>
      </c>
      <c r="U140" s="19" t="str">
        <f aca="false">IF($A140="","",IF(AND(L140&gt;=3,M140&lt;=2,T140&lt;&gt;"防守"),"是","否"))</f>
        <v/>
      </c>
      <c r="V140" s="19" t="str">
        <f aca="false">IF($A140="","",IF(AND(E140&lt;N140,R140&lt;S140,M140&lt;=2,I140&gt;-15%),"是","否"))</f>
        <v/>
      </c>
      <c r="W140" s="19" t="str">
        <f aca="false">IF($A140="","",IF(OR(M140&gt;=3,I140&lt;=-15%),"是","否"))</f>
        <v/>
      </c>
      <c r="X140" s="15" t="str">
        <f aca="false">IF($A140="","",IFERROR(maxifs(候选池!$AB:$AB,候选池!$A:$A,$A140),0))</f>
        <v/>
      </c>
      <c r="Y140" s="15" t="str">
        <f aca="false">IF($A140="","",IF(OR(M140&gt;=4,I140&lt;=-8%),MAX(0,B140*60%-C140),IF(AND(ISNUMBER(AD140),B140&gt;AD140),IF(B140&lt;30000,0,IF(B140&lt;100000,MAX(0,(B140-AD140)*0.2),MAX(0,(B140-AD140)*0.3))),0)))</f>
        <v/>
      </c>
      <c r="Z140" s="5"/>
      <c r="AA140" s="19" t="str">
        <f aca="false">IF($A140="","",IF($AA$2&lt;&gt;"",$AA$2,""))</f>
        <v/>
      </c>
      <c r="AB140" s="5" t="str">
        <f aca="false">IF($A140="","",IF(B140&lt;30000,0.03,IF(B140&lt;100000,0.02,0.015)))</f>
        <v/>
      </c>
      <c r="AC140" s="18" t="str">
        <f aca="false">IF($A140="","",IFERROR(DATEDIF($A$2,$A140,"m"),0))</f>
        <v/>
      </c>
      <c r="AD140" s="15" t="str">
        <f aca="false">IF($A140="","",IF(OR(AA140="",AB140="",AC140=""),"",AA140*POWER(1+AB140,AC140)))</f>
        <v/>
      </c>
      <c r="AE140" s="21" t="str">
        <f aca="false">IF($A140="","",IF(OR(AD140="",AD140=0),"",B140/AD140-1))</f>
        <v/>
      </c>
      <c r="AG140" s="1" t="str">
        <f aca="false">IF($A140="","",IF(B140&lt;30000,"婴儿",IF(B140&lt;100000,"成长","成熟")))</f>
        <v/>
      </c>
      <c r="AH140" s="22"/>
      <c r="AJ140" s="22"/>
      <c r="AK140" s="22"/>
      <c r="AM140" s="22"/>
      <c r="AP140" s="13"/>
      <c r="AQ140" s="23" t="str">
        <f aca="false">IF($A140="","",B140-$AA$2-SUM($F$2:F140))</f>
        <v/>
      </c>
    </row>
    <row r="141" customFormat="false" ht="15" hidden="false" customHeight="true" outlineLevel="0" collapsed="false">
      <c r="A141" s="7"/>
      <c r="B141" s="24"/>
      <c r="C141" s="24"/>
      <c r="D141" s="15" t="str">
        <f aca="false">IF($A141="","",SUMIFS(持仓表!$J:$J,持仓表!$A:$A,$A141))</f>
        <v/>
      </c>
      <c r="E141" s="16" t="n">
        <f aca="false">IFERROR(D141/B141,0)</f>
        <v>0</v>
      </c>
      <c r="F141" s="24"/>
      <c r="G141" s="15" t="str">
        <f aca="false">IF($B141="","",MAX($B$2:B141))</f>
        <v/>
      </c>
      <c r="H141" s="16" t="n">
        <f aca="false">IFERROR((B141-F141)/F141,0)</f>
        <v>0</v>
      </c>
      <c r="I141" s="16" t="n">
        <f aca="false">IFERROR((B141-G141)/G141,0)</f>
        <v>0</v>
      </c>
      <c r="J141" s="12"/>
      <c r="K141" s="7"/>
      <c r="L141" s="25"/>
      <c r="M141" s="25"/>
      <c r="N141" s="16" t="str">
        <f aca="false">IF($B141="","",MIN(70%,IF($I141&lt;=-15%,10%,IF($I141&lt;=-10%,30%,IF($M141&gt;=4,10%,IF($M141&gt;=3,30%,IF($J141="强",IF($K141="A",70%,IF($K141="B",60%,40%)),IF($J141="中性",IF($K141="A",50%,IF($K141="B",40%,25%)),IF($K141="A",30%,IF($K141="B",20%,10%))))))))))</f>
        <v/>
      </c>
      <c r="O141" s="16" t="str">
        <f aca="false">IF($B141="","",IF(B141&lt;30000,35%,IF(B141&lt;50000,30%,IF(B141&lt;100000,25%,20%))))</f>
        <v/>
      </c>
      <c r="P141" s="18" t="str">
        <f aca="false">IF($A141="","",COUNTIFS(持仓表!$A:$A,$A141,持仓表!$G:$G,"&gt;0"))</f>
        <v/>
      </c>
      <c r="Q141" s="18" t="str">
        <f aca="false">IF($A141="","",COUNTIFS(持仓表!$A:$A,$A141,持仓表!$D:$D,"是",持仓表!$G:$G,"&gt;0"))</f>
        <v/>
      </c>
      <c r="R141" s="18" t="str">
        <f aca="false">IF($A141="","",MAX(0,P141-Q141))</f>
        <v/>
      </c>
      <c r="S141" s="18" t="str">
        <f aca="false">IF($B141="","",IF(B141&lt;50000,3,IF(B141&lt;100000,4,5)))</f>
        <v/>
      </c>
      <c r="T141" s="19" t="str">
        <f aca="false">IF($A141="","",IF(OR(M141&gt;=4,I141&lt;=-8%),"防守",IF(OR(M141&gt;=2,I141&lt;=-5%),"警戒","正常")))</f>
        <v/>
      </c>
      <c r="U141" s="19" t="str">
        <f aca="false">IF($A141="","",IF(AND(L141&gt;=3,M141&lt;=2,T141&lt;&gt;"防守"),"是","否"))</f>
        <v/>
      </c>
      <c r="V141" s="19" t="str">
        <f aca="false">IF($A141="","",IF(AND(E141&lt;N141,R141&lt;S141,M141&lt;=2,I141&gt;-15%),"是","否"))</f>
        <v/>
      </c>
      <c r="W141" s="19" t="str">
        <f aca="false">IF($A141="","",IF(OR(M141&gt;=3,I141&lt;=-15%),"是","否"))</f>
        <v/>
      </c>
      <c r="X141" s="15" t="str">
        <f aca="false">IF($A141="","",IFERROR(maxifs(候选池!$AB:$AB,候选池!$A:$A,$A141),0))</f>
        <v/>
      </c>
      <c r="Y141" s="15" t="str">
        <f aca="false">IF($A141="","",IF(OR(M141&gt;=4,I141&lt;=-8%),MAX(0,B141*60%-C141),IF(AND(ISNUMBER(AD141),B141&gt;AD141),IF(B141&lt;30000,0,IF(B141&lt;100000,MAX(0,(B141-AD141)*0.2),MAX(0,(B141-AD141)*0.3))),0)))</f>
        <v/>
      </c>
      <c r="Z141" s="7"/>
      <c r="AA141" s="19" t="str">
        <f aca="false">IF($A141="","",IF($AA$2&lt;&gt;"",$AA$2,""))</f>
        <v/>
      </c>
      <c r="AB141" s="7" t="str">
        <f aca="false">IF($A141="","",IF(B141&lt;30000,0.03,IF(B141&lt;100000,0.02,0.015)))</f>
        <v/>
      </c>
      <c r="AC141" s="18" t="str">
        <f aca="false">IF($A141="","",IFERROR(DATEDIF($A$2,$A141,"m"),0))</f>
        <v/>
      </c>
      <c r="AD141" s="15" t="str">
        <f aca="false">IF($A141="","",IF(OR(AA141="",AB141="",AC141=""),"",AA141*POWER(1+AB141,AC141)))</f>
        <v/>
      </c>
      <c r="AE141" s="27" t="str">
        <f aca="false">IF($A141="","",IF(OR(AD141="",AD141=0),"",B141/AD141-1))</f>
        <v/>
      </c>
      <c r="AG141" s="1" t="str">
        <f aca="false">IF($A141="","",IF(B141&lt;30000,"婴儿",IF(B141&lt;100000,"成长","成熟")))</f>
        <v/>
      </c>
      <c r="AH141" s="22"/>
      <c r="AJ141" s="22"/>
      <c r="AK141" s="22"/>
      <c r="AM141" s="22"/>
      <c r="AP141" s="13"/>
      <c r="AQ141" s="23" t="str">
        <f aca="false">IF($A141="","",B141-$AA$2-SUM($F$2:F141))</f>
        <v/>
      </c>
    </row>
    <row r="142" customFormat="false" ht="15" hidden="false" customHeight="true" outlineLevel="0" collapsed="false">
      <c r="A142" s="5"/>
      <c r="B142" s="14"/>
      <c r="C142" s="14"/>
      <c r="D142" s="15" t="str">
        <f aca="false">IF($A142="","",SUMIFS(持仓表!$J:$J,持仓表!$A:$A,$A142))</f>
        <v/>
      </c>
      <c r="E142" s="16" t="n">
        <f aca="false">IFERROR(D142/B142,0)</f>
        <v>0</v>
      </c>
      <c r="F142" s="14"/>
      <c r="G142" s="15" t="str">
        <f aca="false">IF($B142="","",MAX($B$2:B142))</f>
        <v/>
      </c>
      <c r="H142" s="16" t="n">
        <f aca="false">IFERROR((B142-F142)/F142,0)</f>
        <v>0</v>
      </c>
      <c r="I142" s="16" t="n">
        <f aca="false">IFERROR((B142-G142)/G142,0)</f>
        <v>0</v>
      </c>
      <c r="J142" s="11"/>
      <c r="K142" s="5"/>
      <c r="L142" s="17"/>
      <c r="M142" s="17"/>
      <c r="N142" s="16" t="str">
        <f aca="false">IF($B142="","",MIN(70%,IF($I142&lt;=-15%,10%,IF($I142&lt;=-10%,30%,IF($M142&gt;=4,10%,IF($M142&gt;=3,30%,IF($J142="强",IF($K142="A",70%,IF($K142="B",60%,40%)),IF($J142="中性",IF($K142="A",50%,IF($K142="B",40%,25%)),IF($K142="A",30%,IF($K142="B",20%,10%))))))))))</f>
        <v/>
      </c>
      <c r="O142" s="16" t="str">
        <f aca="false">IF($B142="","",IF(B142&lt;30000,35%,IF(B142&lt;50000,30%,IF(B142&lt;100000,25%,20%))))</f>
        <v/>
      </c>
      <c r="P142" s="18" t="str">
        <f aca="false">IF($A142="","",COUNTIFS(持仓表!$A:$A,$A142,持仓表!$G:$G,"&gt;0"))</f>
        <v/>
      </c>
      <c r="Q142" s="18" t="str">
        <f aca="false">IF($A142="","",COUNTIFS(持仓表!$A:$A,$A142,持仓表!$D:$D,"是",持仓表!$G:$G,"&gt;0"))</f>
        <v/>
      </c>
      <c r="R142" s="18" t="str">
        <f aca="false">IF($A142="","",MAX(0,P142-Q142))</f>
        <v/>
      </c>
      <c r="S142" s="18" t="str">
        <f aca="false">IF($B142="","",IF(B142&lt;50000,3,IF(B142&lt;100000,4,5)))</f>
        <v/>
      </c>
      <c r="T142" s="19" t="str">
        <f aca="false">IF($A142="","",IF(OR(M142&gt;=4,I142&lt;=-8%),"防守",IF(OR(M142&gt;=2,I142&lt;=-5%),"警戒","正常")))</f>
        <v/>
      </c>
      <c r="U142" s="19" t="str">
        <f aca="false">IF($A142="","",IF(AND(L142&gt;=3,M142&lt;=2,T142&lt;&gt;"防守"),"是","否"))</f>
        <v/>
      </c>
      <c r="V142" s="19" t="str">
        <f aca="false">IF($A142="","",IF(AND(E142&lt;N142,R142&lt;S142,M142&lt;=2,I142&gt;-15%),"是","否"))</f>
        <v/>
      </c>
      <c r="W142" s="19" t="str">
        <f aca="false">IF($A142="","",IF(OR(M142&gt;=3,I142&lt;=-15%),"是","否"))</f>
        <v/>
      </c>
      <c r="X142" s="15" t="str">
        <f aca="false">IF($A142="","",IFERROR(maxifs(候选池!$AB:$AB,候选池!$A:$A,$A142),0))</f>
        <v/>
      </c>
      <c r="Y142" s="15" t="str">
        <f aca="false">IF($A142="","",IF(OR(M142&gt;=4,I142&lt;=-8%),MAX(0,B142*60%-C142),IF(AND(ISNUMBER(AD142),B142&gt;AD142),IF(B142&lt;30000,0,IF(B142&lt;100000,MAX(0,(B142-AD142)*0.2),MAX(0,(B142-AD142)*0.3))),0)))</f>
        <v/>
      </c>
      <c r="Z142" s="5"/>
      <c r="AA142" s="19" t="str">
        <f aca="false">IF($A142="","",IF($AA$2&lt;&gt;"",$AA$2,""))</f>
        <v/>
      </c>
      <c r="AB142" s="5" t="str">
        <f aca="false">IF($A142="","",IF(B142&lt;30000,0.03,IF(B142&lt;100000,0.02,0.015)))</f>
        <v/>
      </c>
      <c r="AC142" s="18" t="str">
        <f aca="false">IF($A142="","",IFERROR(DATEDIF($A$2,$A142,"m"),0))</f>
        <v/>
      </c>
      <c r="AD142" s="15" t="str">
        <f aca="false">IF($A142="","",IF(OR(AA142="",AB142="",AC142=""),"",AA142*POWER(1+AB142,AC142)))</f>
        <v/>
      </c>
      <c r="AE142" s="21" t="str">
        <f aca="false">IF($A142="","",IF(OR(AD142="",AD142=0),"",B142/AD142-1))</f>
        <v/>
      </c>
      <c r="AG142" s="1" t="str">
        <f aca="false">IF($A142="","",IF(B142&lt;30000,"婴儿",IF(B142&lt;100000,"成长","成熟")))</f>
        <v/>
      </c>
      <c r="AH142" s="22"/>
      <c r="AJ142" s="22"/>
      <c r="AK142" s="22"/>
      <c r="AM142" s="22"/>
      <c r="AP142" s="13"/>
      <c r="AQ142" s="23" t="str">
        <f aca="false">IF($A142="","",B142-$AA$2-SUM($F$2:F142))</f>
        <v/>
      </c>
    </row>
    <row r="143" customFormat="false" ht="15" hidden="false" customHeight="true" outlineLevel="0" collapsed="false">
      <c r="A143" s="7"/>
      <c r="B143" s="24"/>
      <c r="C143" s="24"/>
      <c r="D143" s="15" t="str">
        <f aca="false">IF($A143="","",SUMIFS(持仓表!$J:$J,持仓表!$A:$A,$A143))</f>
        <v/>
      </c>
      <c r="E143" s="16" t="n">
        <f aca="false">IFERROR(D143/B143,0)</f>
        <v>0</v>
      </c>
      <c r="F143" s="24"/>
      <c r="G143" s="15" t="str">
        <f aca="false">IF($B143="","",MAX($B$2:B143))</f>
        <v/>
      </c>
      <c r="H143" s="16" t="n">
        <f aca="false">IFERROR((B143-F143)/F143,0)</f>
        <v>0</v>
      </c>
      <c r="I143" s="16" t="n">
        <f aca="false">IFERROR((B143-G143)/G143,0)</f>
        <v>0</v>
      </c>
      <c r="J143" s="12"/>
      <c r="K143" s="7"/>
      <c r="L143" s="25"/>
      <c r="M143" s="25"/>
      <c r="N143" s="16" t="str">
        <f aca="false">IF($B143="","",MIN(70%,IF($I143&lt;=-15%,10%,IF($I143&lt;=-10%,30%,IF($M143&gt;=4,10%,IF($M143&gt;=3,30%,IF($J143="强",IF($K143="A",70%,IF($K143="B",60%,40%)),IF($J143="中性",IF($K143="A",50%,IF($K143="B",40%,25%)),IF($K143="A",30%,IF($K143="B",20%,10%))))))))))</f>
        <v/>
      </c>
      <c r="O143" s="16" t="str">
        <f aca="false">IF($B143="","",IF(B143&lt;30000,35%,IF(B143&lt;50000,30%,IF(B143&lt;100000,25%,20%))))</f>
        <v/>
      </c>
      <c r="P143" s="18" t="str">
        <f aca="false">IF($A143="","",COUNTIFS(持仓表!$A:$A,$A143,持仓表!$G:$G,"&gt;0"))</f>
        <v/>
      </c>
      <c r="Q143" s="18" t="str">
        <f aca="false">IF($A143="","",COUNTIFS(持仓表!$A:$A,$A143,持仓表!$D:$D,"是",持仓表!$G:$G,"&gt;0"))</f>
        <v/>
      </c>
      <c r="R143" s="18" t="str">
        <f aca="false">IF($A143="","",MAX(0,P143-Q143))</f>
        <v/>
      </c>
      <c r="S143" s="18" t="str">
        <f aca="false">IF($B143="","",IF(B143&lt;50000,3,IF(B143&lt;100000,4,5)))</f>
        <v/>
      </c>
      <c r="T143" s="19" t="str">
        <f aca="false">IF($A143="","",IF(OR(M143&gt;=4,I143&lt;=-8%),"防守",IF(OR(M143&gt;=2,I143&lt;=-5%),"警戒","正常")))</f>
        <v/>
      </c>
      <c r="U143" s="19" t="str">
        <f aca="false">IF($A143="","",IF(AND(L143&gt;=3,M143&lt;=2,T143&lt;&gt;"防守"),"是","否"))</f>
        <v/>
      </c>
      <c r="V143" s="19" t="str">
        <f aca="false">IF($A143="","",IF(AND(E143&lt;N143,R143&lt;S143,M143&lt;=2,I143&gt;-15%),"是","否"))</f>
        <v/>
      </c>
      <c r="W143" s="19" t="str">
        <f aca="false">IF($A143="","",IF(OR(M143&gt;=3,I143&lt;=-15%),"是","否"))</f>
        <v/>
      </c>
      <c r="X143" s="15" t="str">
        <f aca="false">IF($A143="","",IFERROR(maxifs(候选池!$AB:$AB,候选池!$A:$A,$A143),0))</f>
        <v/>
      </c>
      <c r="Y143" s="15" t="str">
        <f aca="false">IF($A143="","",IF(OR(M143&gt;=4,I143&lt;=-8%),MAX(0,B143*60%-C143),IF(AND(ISNUMBER(AD143),B143&gt;AD143),IF(B143&lt;30000,0,IF(B143&lt;100000,MAX(0,(B143-AD143)*0.2),MAX(0,(B143-AD143)*0.3))),0)))</f>
        <v/>
      </c>
      <c r="Z143" s="7"/>
      <c r="AA143" s="19" t="str">
        <f aca="false">IF($A143="","",IF($AA$2&lt;&gt;"",$AA$2,""))</f>
        <v/>
      </c>
      <c r="AB143" s="7" t="str">
        <f aca="false">IF($A143="","",IF(B143&lt;30000,0.03,IF(B143&lt;100000,0.02,0.015)))</f>
        <v/>
      </c>
      <c r="AC143" s="18" t="str">
        <f aca="false">IF($A143="","",IFERROR(DATEDIF($A$2,$A143,"m"),0))</f>
        <v/>
      </c>
      <c r="AD143" s="15" t="str">
        <f aca="false">IF($A143="","",IF(OR(AA143="",AB143="",AC143=""),"",AA143*POWER(1+AB143,AC143)))</f>
        <v/>
      </c>
      <c r="AE143" s="27" t="str">
        <f aca="false">IF($A143="","",IF(OR(AD143="",AD143=0),"",B143/AD143-1))</f>
        <v/>
      </c>
      <c r="AG143" s="1" t="str">
        <f aca="false">IF($A143="","",IF(B143&lt;30000,"婴儿",IF(B143&lt;100000,"成长","成熟")))</f>
        <v/>
      </c>
      <c r="AH143" s="22"/>
      <c r="AJ143" s="22"/>
      <c r="AK143" s="22"/>
      <c r="AM143" s="22"/>
      <c r="AP143" s="13"/>
      <c r="AQ143" s="23" t="str">
        <f aca="false">IF($A143="","",B143-$AA$2-SUM($F$2:F143))</f>
        <v/>
      </c>
    </row>
    <row r="144" customFormat="false" ht="15" hidden="false" customHeight="true" outlineLevel="0" collapsed="false">
      <c r="A144" s="5"/>
      <c r="B144" s="14"/>
      <c r="C144" s="14"/>
      <c r="D144" s="15" t="str">
        <f aca="false">IF($A144="","",SUMIFS(持仓表!$J:$J,持仓表!$A:$A,$A144))</f>
        <v/>
      </c>
      <c r="E144" s="16" t="n">
        <f aca="false">IFERROR(D144/B144,0)</f>
        <v>0</v>
      </c>
      <c r="F144" s="14"/>
      <c r="G144" s="15" t="str">
        <f aca="false">IF($B144="","",MAX($B$2:B144))</f>
        <v/>
      </c>
      <c r="H144" s="16" t="n">
        <f aca="false">IFERROR((B144-F144)/F144,0)</f>
        <v>0</v>
      </c>
      <c r="I144" s="16" t="n">
        <f aca="false">IFERROR((B144-G144)/G144,0)</f>
        <v>0</v>
      </c>
      <c r="J144" s="11"/>
      <c r="K144" s="5"/>
      <c r="L144" s="17"/>
      <c r="M144" s="17"/>
      <c r="N144" s="16" t="str">
        <f aca="false">IF($B144="","",MIN(70%,IF($I144&lt;=-15%,10%,IF($I144&lt;=-10%,30%,IF($M144&gt;=4,10%,IF($M144&gt;=3,30%,IF($J144="强",IF($K144="A",70%,IF($K144="B",60%,40%)),IF($J144="中性",IF($K144="A",50%,IF($K144="B",40%,25%)),IF($K144="A",30%,IF($K144="B",20%,10%))))))))))</f>
        <v/>
      </c>
      <c r="O144" s="16" t="str">
        <f aca="false">IF($B144="","",IF(B144&lt;30000,35%,IF(B144&lt;50000,30%,IF(B144&lt;100000,25%,20%))))</f>
        <v/>
      </c>
      <c r="P144" s="18" t="str">
        <f aca="false">IF($A144="","",COUNTIFS(持仓表!$A:$A,$A144,持仓表!$G:$G,"&gt;0"))</f>
        <v/>
      </c>
      <c r="Q144" s="18" t="str">
        <f aca="false">IF($A144="","",COUNTIFS(持仓表!$A:$A,$A144,持仓表!$D:$D,"是",持仓表!$G:$G,"&gt;0"))</f>
        <v/>
      </c>
      <c r="R144" s="18" t="str">
        <f aca="false">IF($A144="","",MAX(0,P144-Q144))</f>
        <v/>
      </c>
      <c r="S144" s="18" t="str">
        <f aca="false">IF($B144="","",IF(B144&lt;50000,3,IF(B144&lt;100000,4,5)))</f>
        <v/>
      </c>
      <c r="T144" s="19" t="str">
        <f aca="false">IF($A144="","",IF(OR(M144&gt;=4,I144&lt;=-8%),"防守",IF(OR(M144&gt;=2,I144&lt;=-5%),"警戒","正常")))</f>
        <v/>
      </c>
      <c r="U144" s="19" t="str">
        <f aca="false">IF($A144="","",IF(AND(L144&gt;=3,M144&lt;=2,T144&lt;&gt;"防守"),"是","否"))</f>
        <v/>
      </c>
      <c r="V144" s="19" t="str">
        <f aca="false">IF($A144="","",IF(AND(E144&lt;N144,R144&lt;S144,M144&lt;=2,I144&gt;-15%),"是","否"))</f>
        <v/>
      </c>
      <c r="W144" s="19" t="str">
        <f aca="false">IF($A144="","",IF(OR(M144&gt;=3,I144&lt;=-15%),"是","否"))</f>
        <v/>
      </c>
      <c r="X144" s="15" t="str">
        <f aca="false">IF($A144="","",IFERROR(maxifs(候选池!$AB:$AB,候选池!$A:$A,$A144),0))</f>
        <v/>
      </c>
      <c r="Y144" s="15" t="str">
        <f aca="false">IF($A144="","",IF(OR(M144&gt;=4,I144&lt;=-8%),MAX(0,B144*60%-C144),IF(AND(ISNUMBER(AD144),B144&gt;AD144),IF(B144&lt;30000,0,IF(B144&lt;100000,MAX(0,(B144-AD144)*0.2),MAX(0,(B144-AD144)*0.3))),0)))</f>
        <v/>
      </c>
      <c r="Z144" s="5"/>
      <c r="AA144" s="19" t="str">
        <f aca="false">IF($A144="","",IF($AA$2&lt;&gt;"",$AA$2,""))</f>
        <v/>
      </c>
      <c r="AB144" s="5" t="str">
        <f aca="false">IF($A144="","",IF(B144&lt;30000,0.03,IF(B144&lt;100000,0.02,0.015)))</f>
        <v/>
      </c>
      <c r="AC144" s="18" t="str">
        <f aca="false">IF($A144="","",IFERROR(DATEDIF($A$2,$A144,"m"),0))</f>
        <v/>
      </c>
      <c r="AD144" s="15" t="str">
        <f aca="false">IF($A144="","",IF(OR(AA144="",AB144="",AC144=""),"",AA144*POWER(1+AB144,AC144)))</f>
        <v/>
      </c>
      <c r="AE144" s="21" t="str">
        <f aca="false">IF($A144="","",IF(OR(AD144="",AD144=0),"",B144/AD144-1))</f>
        <v/>
      </c>
      <c r="AG144" s="1" t="str">
        <f aca="false">IF($A144="","",IF(B144&lt;30000,"婴儿",IF(B144&lt;100000,"成长","成熟")))</f>
        <v/>
      </c>
      <c r="AH144" s="22"/>
      <c r="AJ144" s="22"/>
      <c r="AK144" s="22"/>
      <c r="AM144" s="22"/>
      <c r="AP144" s="13"/>
      <c r="AQ144" s="23" t="str">
        <f aca="false">IF($A144="","",B144-$AA$2-SUM($F$2:F144))</f>
        <v/>
      </c>
    </row>
    <row r="145" customFormat="false" ht="15" hidden="false" customHeight="true" outlineLevel="0" collapsed="false">
      <c r="A145" s="7"/>
      <c r="B145" s="24"/>
      <c r="C145" s="24"/>
      <c r="D145" s="15" t="str">
        <f aca="false">IF($A145="","",SUMIFS(持仓表!$J:$J,持仓表!$A:$A,$A145))</f>
        <v/>
      </c>
      <c r="E145" s="16" t="n">
        <f aca="false">IFERROR(D145/B145,0)</f>
        <v>0</v>
      </c>
      <c r="F145" s="24"/>
      <c r="G145" s="15" t="str">
        <f aca="false">IF($B145="","",MAX($B$2:B145))</f>
        <v/>
      </c>
      <c r="H145" s="16" t="n">
        <f aca="false">IFERROR((B145-F145)/F145,0)</f>
        <v>0</v>
      </c>
      <c r="I145" s="16" t="n">
        <f aca="false">IFERROR((B145-G145)/G145,0)</f>
        <v>0</v>
      </c>
      <c r="J145" s="12"/>
      <c r="K145" s="7"/>
      <c r="L145" s="25"/>
      <c r="M145" s="25"/>
      <c r="N145" s="16" t="str">
        <f aca="false">IF($B145="","",MIN(70%,IF($I145&lt;=-15%,10%,IF($I145&lt;=-10%,30%,IF($M145&gt;=4,10%,IF($M145&gt;=3,30%,IF($J145="强",IF($K145="A",70%,IF($K145="B",60%,40%)),IF($J145="中性",IF($K145="A",50%,IF($K145="B",40%,25%)),IF($K145="A",30%,IF($K145="B",20%,10%))))))))))</f>
        <v/>
      </c>
      <c r="O145" s="16" t="str">
        <f aca="false">IF($B145="","",IF(B145&lt;30000,35%,IF(B145&lt;50000,30%,IF(B145&lt;100000,25%,20%))))</f>
        <v/>
      </c>
      <c r="P145" s="18" t="str">
        <f aca="false">IF($A145="","",COUNTIFS(持仓表!$A:$A,$A145,持仓表!$G:$G,"&gt;0"))</f>
        <v/>
      </c>
      <c r="Q145" s="18" t="str">
        <f aca="false">IF($A145="","",COUNTIFS(持仓表!$A:$A,$A145,持仓表!$D:$D,"是",持仓表!$G:$G,"&gt;0"))</f>
        <v/>
      </c>
      <c r="R145" s="18" t="str">
        <f aca="false">IF($A145="","",MAX(0,P145-Q145))</f>
        <v/>
      </c>
      <c r="S145" s="18" t="str">
        <f aca="false">IF($B145="","",IF(B145&lt;50000,3,IF(B145&lt;100000,4,5)))</f>
        <v/>
      </c>
      <c r="T145" s="19" t="str">
        <f aca="false">IF($A145="","",IF(OR(M145&gt;=4,I145&lt;=-8%),"防守",IF(OR(M145&gt;=2,I145&lt;=-5%),"警戒","正常")))</f>
        <v/>
      </c>
      <c r="U145" s="19" t="str">
        <f aca="false">IF($A145="","",IF(AND(L145&gt;=3,M145&lt;=2,T145&lt;&gt;"防守"),"是","否"))</f>
        <v/>
      </c>
      <c r="V145" s="19" t="str">
        <f aca="false">IF($A145="","",IF(AND(E145&lt;N145,R145&lt;S145,M145&lt;=2,I145&gt;-15%),"是","否"))</f>
        <v/>
      </c>
      <c r="W145" s="19" t="str">
        <f aca="false">IF($A145="","",IF(OR(M145&gt;=3,I145&lt;=-15%),"是","否"))</f>
        <v/>
      </c>
      <c r="X145" s="15" t="str">
        <f aca="false">IF($A145="","",IFERROR(maxifs(候选池!$AB:$AB,候选池!$A:$A,$A145),0))</f>
        <v/>
      </c>
      <c r="Y145" s="15" t="str">
        <f aca="false">IF($A145="","",IF(OR(M145&gt;=4,I145&lt;=-8%),MAX(0,B145*60%-C145),IF(AND(ISNUMBER(AD145),B145&gt;AD145),IF(B145&lt;30000,0,IF(B145&lt;100000,MAX(0,(B145-AD145)*0.2),MAX(0,(B145-AD145)*0.3))),0)))</f>
        <v/>
      </c>
      <c r="Z145" s="7"/>
      <c r="AA145" s="19" t="str">
        <f aca="false">IF($A145="","",IF($AA$2&lt;&gt;"",$AA$2,""))</f>
        <v/>
      </c>
      <c r="AB145" s="7" t="str">
        <f aca="false">IF($A145="","",IF(B145&lt;30000,0.03,IF(B145&lt;100000,0.02,0.015)))</f>
        <v/>
      </c>
      <c r="AC145" s="18" t="str">
        <f aca="false">IF($A145="","",IFERROR(DATEDIF($A$2,$A145,"m"),0))</f>
        <v/>
      </c>
      <c r="AD145" s="15" t="str">
        <f aca="false">IF($A145="","",IF(OR(AA145="",AB145="",AC145=""),"",AA145*POWER(1+AB145,AC145)))</f>
        <v/>
      </c>
      <c r="AE145" s="27" t="str">
        <f aca="false">IF($A145="","",IF(OR(AD145="",AD145=0),"",B145/AD145-1))</f>
        <v/>
      </c>
      <c r="AG145" s="1" t="str">
        <f aca="false">IF($A145="","",IF(B145&lt;30000,"婴儿",IF(B145&lt;100000,"成长","成熟")))</f>
        <v/>
      </c>
      <c r="AH145" s="22"/>
      <c r="AJ145" s="22"/>
      <c r="AK145" s="22"/>
      <c r="AM145" s="22"/>
      <c r="AP145" s="13"/>
      <c r="AQ145" s="23" t="str">
        <f aca="false">IF($A145="","",B145-$AA$2-SUM($F$2:F145))</f>
        <v/>
      </c>
    </row>
    <row r="146" customFormat="false" ht="15" hidden="false" customHeight="true" outlineLevel="0" collapsed="false">
      <c r="A146" s="5"/>
      <c r="B146" s="14"/>
      <c r="C146" s="14"/>
      <c r="D146" s="15" t="str">
        <f aca="false">IF($A146="","",SUMIFS(持仓表!$J:$J,持仓表!$A:$A,$A146))</f>
        <v/>
      </c>
      <c r="E146" s="16" t="n">
        <f aca="false">IFERROR(D146/B146,0)</f>
        <v>0</v>
      </c>
      <c r="F146" s="14"/>
      <c r="G146" s="15" t="str">
        <f aca="false">IF($B146="","",MAX($B$2:B146))</f>
        <v/>
      </c>
      <c r="H146" s="16" t="n">
        <f aca="false">IFERROR((B146-F146)/F146,0)</f>
        <v>0</v>
      </c>
      <c r="I146" s="16" t="n">
        <f aca="false">IFERROR((B146-G146)/G146,0)</f>
        <v>0</v>
      </c>
      <c r="J146" s="11"/>
      <c r="K146" s="5"/>
      <c r="L146" s="17"/>
      <c r="M146" s="17"/>
      <c r="N146" s="16" t="str">
        <f aca="false">IF($B146="","",MIN(70%,IF($I146&lt;=-15%,10%,IF($I146&lt;=-10%,30%,IF($M146&gt;=4,10%,IF($M146&gt;=3,30%,IF($J146="强",IF($K146="A",70%,IF($K146="B",60%,40%)),IF($J146="中性",IF($K146="A",50%,IF($K146="B",40%,25%)),IF($K146="A",30%,IF($K146="B",20%,10%))))))))))</f>
        <v/>
      </c>
      <c r="O146" s="16" t="str">
        <f aca="false">IF($B146="","",IF(B146&lt;30000,35%,IF(B146&lt;50000,30%,IF(B146&lt;100000,25%,20%))))</f>
        <v/>
      </c>
      <c r="P146" s="18" t="str">
        <f aca="false">IF($A146="","",COUNTIFS(持仓表!$A:$A,$A146,持仓表!$G:$G,"&gt;0"))</f>
        <v/>
      </c>
      <c r="Q146" s="18" t="str">
        <f aca="false">IF($A146="","",COUNTIFS(持仓表!$A:$A,$A146,持仓表!$D:$D,"是",持仓表!$G:$G,"&gt;0"))</f>
        <v/>
      </c>
      <c r="R146" s="18" t="str">
        <f aca="false">IF($A146="","",MAX(0,P146-Q146))</f>
        <v/>
      </c>
      <c r="S146" s="18" t="str">
        <f aca="false">IF($B146="","",IF(B146&lt;50000,3,IF(B146&lt;100000,4,5)))</f>
        <v/>
      </c>
      <c r="T146" s="19" t="str">
        <f aca="false">IF($A146="","",IF(OR(M146&gt;=4,I146&lt;=-8%),"防守",IF(OR(M146&gt;=2,I146&lt;=-5%),"警戒","正常")))</f>
        <v/>
      </c>
      <c r="U146" s="19" t="str">
        <f aca="false">IF($A146="","",IF(AND(L146&gt;=3,M146&lt;=2,T146&lt;&gt;"防守"),"是","否"))</f>
        <v/>
      </c>
      <c r="V146" s="19" t="str">
        <f aca="false">IF($A146="","",IF(AND(E146&lt;N146,R146&lt;S146,M146&lt;=2,I146&gt;-15%),"是","否"))</f>
        <v/>
      </c>
      <c r="W146" s="19" t="str">
        <f aca="false">IF($A146="","",IF(OR(M146&gt;=3,I146&lt;=-15%),"是","否"))</f>
        <v/>
      </c>
      <c r="X146" s="15" t="str">
        <f aca="false">IF($A146="","",IFERROR(maxifs(候选池!$AB:$AB,候选池!$A:$A,$A146),0))</f>
        <v/>
      </c>
      <c r="Y146" s="15" t="str">
        <f aca="false">IF($A146="","",IF(OR(M146&gt;=4,I146&lt;=-8%),MAX(0,B146*60%-C146),IF(AND(ISNUMBER(AD146),B146&gt;AD146),IF(B146&lt;30000,0,IF(B146&lt;100000,MAX(0,(B146-AD146)*0.2),MAX(0,(B146-AD146)*0.3))),0)))</f>
        <v/>
      </c>
      <c r="Z146" s="5"/>
      <c r="AA146" s="19" t="str">
        <f aca="false">IF($A146="","",IF($AA$2&lt;&gt;"",$AA$2,""))</f>
        <v/>
      </c>
      <c r="AB146" s="5" t="str">
        <f aca="false">IF($A146="","",IF(B146&lt;30000,0.03,IF(B146&lt;100000,0.02,0.015)))</f>
        <v/>
      </c>
      <c r="AC146" s="18" t="str">
        <f aca="false">IF($A146="","",IFERROR(DATEDIF($A$2,$A146,"m"),0))</f>
        <v/>
      </c>
      <c r="AD146" s="15" t="str">
        <f aca="false">IF($A146="","",IF(OR(AA146="",AB146="",AC146=""),"",AA146*POWER(1+AB146,AC146)))</f>
        <v/>
      </c>
      <c r="AE146" s="21" t="str">
        <f aca="false">IF($A146="","",IF(OR(AD146="",AD146=0),"",B146/AD146-1))</f>
        <v/>
      </c>
      <c r="AG146" s="1" t="str">
        <f aca="false">IF($A146="","",IF(B146&lt;30000,"婴儿",IF(B146&lt;100000,"成长","成熟")))</f>
        <v/>
      </c>
      <c r="AH146" s="22"/>
      <c r="AJ146" s="22"/>
      <c r="AK146" s="22"/>
      <c r="AM146" s="22"/>
      <c r="AP146" s="13"/>
      <c r="AQ146" s="23" t="str">
        <f aca="false">IF($A146="","",B146-$AA$2-SUM($F$2:F146))</f>
        <v/>
      </c>
    </row>
    <row r="147" customFormat="false" ht="15" hidden="false" customHeight="true" outlineLevel="0" collapsed="false">
      <c r="A147" s="7"/>
      <c r="B147" s="24"/>
      <c r="C147" s="24"/>
      <c r="D147" s="15" t="str">
        <f aca="false">IF($A147="","",SUMIFS(持仓表!$J:$J,持仓表!$A:$A,$A147))</f>
        <v/>
      </c>
      <c r="E147" s="16" t="n">
        <f aca="false">IFERROR(D147/B147,0)</f>
        <v>0</v>
      </c>
      <c r="F147" s="24"/>
      <c r="G147" s="15" t="str">
        <f aca="false">IF($B147="","",MAX($B$2:B147))</f>
        <v/>
      </c>
      <c r="H147" s="16" t="n">
        <f aca="false">IFERROR((B147-F147)/F147,0)</f>
        <v>0</v>
      </c>
      <c r="I147" s="16" t="n">
        <f aca="false">IFERROR((B147-G147)/G147,0)</f>
        <v>0</v>
      </c>
      <c r="J147" s="12"/>
      <c r="K147" s="7"/>
      <c r="L147" s="25"/>
      <c r="M147" s="25"/>
      <c r="N147" s="16" t="str">
        <f aca="false">IF($B147="","",MIN(70%,IF($I147&lt;=-15%,10%,IF($I147&lt;=-10%,30%,IF($M147&gt;=4,10%,IF($M147&gt;=3,30%,IF($J147="强",IF($K147="A",70%,IF($K147="B",60%,40%)),IF($J147="中性",IF($K147="A",50%,IF($K147="B",40%,25%)),IF($K147="A",30%,IF($K147="B",20%,10%))))))))))</f>
        <v/>
      </c>
      <c r="O147" s="16" t="str">
        <f aca="false">IF($B147="","",IF(B147&lt;30000,35%,IF(B147&lt;50000,30%,IF(B147&lt;100000,25%,20%))))</f>
        <v/>
      </c>
      <c r="P147" s="18" t="str">
        <f aca="false">IF($A147="","",COUNTIFS(持仓表!$A:$A,$A147,持仓表!$G:$G,"&gt;0"))</f>
        <v/>
      </c>
      <c r="Q147" s="18" t="str">
        <f aca="false">IF($A147="","",COUNTIFS(持仓表!$A:$A,$A147,持仓表!$D:$D,"是",持仓表!$G:$G,"&gt;0"))</f>
        <v/>
      </c>
      <c r="R147" s="18" t="str">
        <f aca="false">IF($A147="","",MAX(0,P147-Q147))</f>
        <v/>
      </c>
      <c r="S147" s="18" t="str">
        <f aca="false">IF($B147="","",IF(B147&lt;50000,3,IF(B147&lt;100000,4,5)))</f>
        <v/>
      </c>
      <c r="T147" s="19" t="str">
        <f aca="false">IF($A147="","",IF(OR(M147&gt;=4,I147&lt;=-8%),"防守",IF(OR(M147&gt;=2,I147&lt;=-5%),"警戒","正常")))</f>
        <v/>
      </c>
      <c r="U147" s="19" t="str">
        <f aca="false">IF($A147="","",IF(AND(L147&gt;=3,M147&lt;=2,T147&lt;&gt;"防守"),"是","否"))</f>
        <v/>
      </c>
      <c r="V147" s="19" t="str">
        <f aca="false">IF($A147="","",IF(AND(E147&lt;N147,R147&lt;S147,M147&lt;=2,I147&gt;-15%),"是","否"))</f>
        <v/>
      </c>
      <c r="W147" s="19" t="str">
        <f aca="false">IF($A147="","",IF(OR(M147&gt;=3,I147&lt;=-15%),"是","否"))</f>
        <v/>
      </c>
      <c r="X147" s="15" t="str">
        <f aca="false">IF($A147="","",IFERROR(maxifs(候选池!$AB:$AB,候选池!$A:$A,$A147),0))</f>
        <v/>
      </c>
      <c r="Y147" s="15" t="str">
        <f aca="false">IF($A147="","",IF(OR(M147&gt;=4,I147&lt;=-8%),MAX(0,B147*60%-C147),IF(AND(ISNUMBER(AD147),B147&gt;AD147),IF(B147&lt;30000,0,IF(B147&lt;100000,MAX(0,(B147-AD147)*0.2),MAX(0,(B147-AD147)*0.3))),0)))</f>
        <v/>
      </c>
      <c r="Z147" s="7"/>
      <c r="AA147" s="19" t="str">
        <f aca="false">IF($A147="","",IF($AA$2&lt;&gt;"",$AA$2,""))</f>
        <v/>
      </c>
      <c r="AB147" s="7" t="str">
        <f aca="false">IF($A147="","",IF(B147&lt;30000,0.03,IF(B147&lt;100000,0.02,0.015)))</f>
        <v/>
      </c>
      <c r="AC147" s="18" t="str">
        <f aca="false">IF($A147="","",IFERROR(DATEDIF($A$2,$A147,"m"),0))</f>
        <v/>
      </c>
      <c r="AD147" s="15" t="str">
        <f aca="false">IF($A147="","",IF(OR(AA147="",AB147="",AC147=""),"",AA147*POWER(1+AB147,AC147)))</f>
        <v/>
      </c>
      <c r="AE147" s="27" t="str">
        <f aca="false">IF($A147="","",IF(OR(AD147="",AD147=0),"",B147/AD147-1))</f>
        <v/>
      </c>
      <c r="AG147" s="1" t="str">
        <f aca="false">IF($A147="","",IF(B147&lt;30000,"婴儿",IF(B147&lt;100000,"成长","成熟")))</f>
        <v/>
      </c>
      <c r="AH147" s="22"/>
      <c r="AJ147" s="22"/>
      <c r="AK147" s="22"/>
      <c r="AM147" s="22"/>
      <c r="AP147" s="13"/>
      <c r="AQ147" s="23" t="str">
        <f aca="false">IF($A147="","",B147-$AA$2-SUM($F$2:F147))</f>
        <v/>
      </c>
    </row>
    <row r="148" customFormat="false" ht="15" hidden="false" customHeight="true" outlineLevel="0" collapsed="false">
      <c r="A148" s="5"/>
      <c r="B148" s="14"/>
      <c r="C148" s="14"/>
      <c r="D148" s="15" t="str">
        <f aca="false">IF($A148="","",SUMIFS(持仓表!$J:$J,持仓表!$A:$A,$A148))</f>
        <v/>
      </c>
      <c r="E148" s="16" t="n">
        <f aca="false">IFERROR(D148/B148,0)</f>
        <v>0</v>
      </c>
      <c r="F148" s="14"/>
      <c r="G148" s="15" t="str">
        <f aca="false">IF($B148="","",MAX($B$2:B148))</f>
        <v/>
      </c>
      <c r="H148" s="16" t="n">
        <f aca="false">IFERROR((B148-F148)/F148,0)</f>
        <v>0</v>
      </c>
      <c r="I148" s="16" t="n">
        <f aca="false">IFERROR((B148-G148)/G148,0)</f>
        <v>0</v>
      </c>
      <c r="J148" s="11"/>
      <c r="K148" s="5"/>
      <c r="L148" s="17"/>
      <c r="M148" s="17"/>
      <c r="N148" s="16" t="str">
        <f aca="false">IF($B148="","",MIN(70%,IF($I148&lt;=-15%,10%,IF($I148&lt;=-10%,30%,IF($M148&gt;=4,10%,IF($M148&gt;=3,30%,IF($J148="强",IF($K148="A",70%,IF($K148="B",60%,40%)),IF($J148="中性",IF($K148="A",50%,IF($K148="B",40%,25%)),IF($K148="A",30%,IF($K148="B",20%,10%))))))))))</f>
        <v/>
      </c>
      <c r="O148" s="16" t="str">
        <f aca="false">IF($B148="","",IF(B148&lt;30000,35%,IF(B148&lt;50000,30%,IF(B148&lt;100000,25%,20%))))</f>
        <v/>
      </c>
      <c r="P148" s="18" t="str">
        <f aca="false">IF($A148="","",COUNTIFS(持仓表!$A:$A,$A148,持仓表!$G:$G,"&gt;0"))</f>
        <v/>
      </c>
      <c r="Q148" s="18" t="str">
        <f aca="false">IF($A148="","",COUNTIFS(持仓表!$A:$A,$A148,持仓表!$D:$D,"是",持仓表!$G:$G,"&gt;0"))</f>
        <v/>
      </c>
      <c r="R148" s="18" t="str">
        <f aca="false">IF($A148="","",MAX(0,P148-Q148))</f>
        <v/>
      </c>
      <c r="S148" s="18" t="str">
        <f aca="false">IF($B148="","",IF(B148&lt;50000,3,IF(B148&lt;100000,4,5)))</f>
        <v/>
      </c>
      <c r="T148" s="19" t="str">
        <f aca="false">IF($A148="","",IF(OR(M148&gt;=4,I148&lt;=-8%),"防守",IF(OR(M148&gt;=2,I148&lt;=-5%),"警戒","正常")))</f>
        <v/>
      </c>
      <c r="U148" s="19" t="str">
        <f aca="false">IF($A148="","",IF(AND(L148&gt;=3,M148&lt;=2,T148&lt;&gt;"防守"),"是","否"))</f>
        <v/>
      </c>
      <c r="V148" s="19" t="str">
        <f aca="false">IF($A148="","",IF(AND(E148&lt;N148,R148&lt;S148,M148&lt;=2,I148&gt;-15%),"是","否"))</f>
        <v/>
      </c>
      <c r="W148" s="19" t="str">
        <f aca="false">IF($A148="","",IF(OR(M148&gt;=3,I148&lt;=-15%),"是","否"))</f>
        <v/>
      </c>
      <c r="X148" s="15" t="str">
        <f aca="false">IF($A148="","",IFERROR(maxifs(候选池!$AB:$AB,候选池!$A:$A,$A148),0))</f>
        <v/>
      </c>
      <c r="Y148" s="15" t="str">
        <f aca="false">IF($A148="","",IF(OR(M148&gt;=4,I148&lt;=-8%),MAX(0,B148*60%-C148),IF(AND(ISNUMBER(AD148),B148&gt;AD148),IF(B148&lt;30000,0,IF(B148&lt;100000,MAX(0,(B148-AD148)*0.2),MAX(0,(B148-AD148)*0.3))),0)))</f>
        <v/>
      </c>
      <c r="Z148" s="5"/>
      <c r="AA148" s="19" t="str">
        <f aca="false">IF($A148="","",IF($AA$2&lt;&gt;"",$AA$2,""))</f>
        <v/>
      </c>
      <c r="AB148" s="5" t="str">
        <f aca="false">IF($A148="","",IF(B148&lt;30000,0.03,IF(B148&lt;100000,0.02,0.015)))</f>
        <v/>
      </c>
      <c r="AC148" s="18" t="str">
        <f aca="false">IF($A148="","",IFERROR(DATEDIF($A$2,$A148,"m"),0))</f>
        <v/>
      </c>
      <c r="AD148" s="15" t="str">
        <f aca="false">IF($A148="","",IF(OR(AA148="",AB148="",AC148=""),"",AA148*POWER(1+AB148,AC148)))</f>
        <v/>
      </c>
      <c r="AE148" s="21" t="str">
        <f aca="false">IF($A148="","",IF(OR(AD148="",AD148=0),"",B148/AD148-1))</f>
        <v/>
      </c>
      <c r="AG148" s="1" t="str">
        <f aca="false">IF($A148="","",IF(B148&lt;30000,"婴儿",IF(B148&lt;100000,"成长","成熟")))</f>
        <v/>
      </c>
      <c r="AH148" s="22"/>
      <c r="AJ148" s="22"/>
      <c r="AK148" s="22"/>
      <c r="AM148" s="22"/>
      <c r="AP148" s="13"/>
      <c r="AQ148" s="23" t="str">
        <f aca="false">IF($A148="","",B148-$AA$2-SUM($F$2:F148))</f>
        <v/>
      </c>
    </row>
    <row r="149" customFormat="false" ht="15" hidden="false" customHeight="true" outlineLevel="0" collapsed="false">
      <c r="A149" s="7"/>
      <c r="B149" s="24"/>
      <c r="C149" s="24"/>
      <c r="D149" s="15" t="str">
        <f aca="false">IF($A149="","",SUMIFS(持仓表!$J:$J,持仓表!$A:$A,$A149))</f>
        <v/>
      </c>
      <c r="E149" s="16" t="n">
        <f aca="false">IFERROR(D149/B149,0)</f>
        <v>0</v>
      </c>
      <c r="F149" s="24"/>
      <c r="G149" s="15" t="str">
        <f aca="false">IF($B149="","",MAX($B$2:B149))</f>
        <v/>
      </c>
      <c r="H149" s="16" t="n">
        <f aca="false">IFERROR((B149-F149)/F149,0)</f>
        <v>0</v>
      </c>
      <c r="I149" s="16" t="n">
        <f aca="false">IFERROR((B149-G149)/G149,0)</f>
        <v>0</v>
      </c>
      <c r="J149" s="12"/>
      <c r="K149" s="7"/>
      <c r="L149" s="25"/>
      <c r="M149" s="25"/>
      <c r="N149" s="16" t="str">
        <f aca="false">IF($B149="","",MIN(70%,IF($I149&lt;=-15%,10%,IF($I149&lt;=-10%,30%,IF($M149&gt;=4,10%,IF($M149&gt;=3,30%,IF($J149="强",IF($K149="A",70%,IF($K149="B",60%,40%)),IF($J149="中性",IF($K149="A",50%,IF($K149="B",40%,25%)),IF($K149="A",30%,IF($K149="B",20%,10%))))))))))</f>
        <v/>
      </c>
      <c r="O149" s="16" t="str">
        <f aca="false">IF($B149="","",IF(B149&lt;30000,35%,IF(B149&lt;50000,30%,IF(B149&lt;100000,25%,20%))))</f>
        <v/>
      </c>
      <c r="P149" s="18" t="str">
        <f aca="false">IF($A149="","",COUNTIFS(持仓表!$A:$A,$A149,持仓表!$G:$G,"&gt;0"))</f>
        <v/>
      </c>
      <c r="Q149" s="18" t="str">
        <f aca="false">IF($A149="","",COUNTIFS(持仓表!$A:$A,$A149,持仓表!$D:$D,"是",持仓表!$G:$G,"&gt;0"))</f>
        <v/>
      </c>
      <c r="R149" s="18" t="str">
        <f aca="false">IF($A149="","",MAX(0,P149-Q149))</f>
        <v/>
      </c>
      <c r="S149" s="18" t="str">
        <f aca="false">IF($B149="","",IF(B149&lt;50000,3,IF(B149&lt;100000,4,5)))</f>
        <v/>
      </c>
      <c r="T149" s="19" t="str">
        <f aca="false">IF($A149="","",IF(OR(M149&gt;=4,I149&lt;=-8%),"防守",IF(OR(M149&gt;=2,I149&lt;=-5%),"警戒","正常")))</f>
        <v/>
      </c>
      <c r="U149" s="19" t="str">
        <f aca="false">IF($A149="","",IF(AND(L149&gt;=3,M149&lt;=2,T149&lt;&gt;"防守"),"是","否"))</f>
        <v/>
      </c>
      <c r="V149" s="19" t="str">
        <f aca="false">IF($A149="","",IF(AND(E149&lt;N149,R149&lt;S149,M149&lt;=2,I149&gt;-15%),"是","否"))</f>
        <v/>
      </c>
      <c r="W149" s="19" t="str">
        <f aca="false">IF($A149="","",IF(OR(M149&gt;=3,I149&lt;=-15%),"是","否"))</f>
        <v/>
      </c>
      <c r="X149" s="15" t="str">
        <f aca="false">IF($A149="","",IFERROR(maxifs(候选池!$AB:$AB,候选池!$A:$A,$A149),0))</f>
        <v/>
      </c>
      <c r="Y149" s="15" t="str">
        <f aca="false">IF($A149="","",IF(OR(M149&gt;=4,I149&lt;=-8%),MAX(0,B149*60%-C149),IF(AND(ISNUMBER(AD149),B149&gt;AD149),IF(B149&lt;30000,0,IF(B149&lt;100000,MAX(0,(B149-AD149)*0.2),MAX(0,(B149-AD149)*0.3))),0)))</f>
        <v/>
      </c>
      <c r="Z149" s="7"/>
      <c r="AA149" s="19" t="str">
        <f aca="false">IF($A149="","",IF($AA$2&lt;&gt;"",$AA$2,""))</f>
        <v/>
      </c>
      <c r="AB149" s="7" t="str">
        <f aca="false">IF($A149="","",IF(B149&lt;30000,0.03,IF(B149&lt;100000,0.02,0.015)))</f>
        <v/>
      </c>
      <c r="AC149" s="18" t="str">
        <f aca="false">IF($A149="","",IFERROR(DATEDIF($A$2,$A149,"m"),0))</f>
        <v/>
      </c>
      <c r="AD149" s="15" t="str">
        <f aca="false">IF($A149="","",IF(OR(AA149="",AB149="",AC149=""),"",AA149*POWER(1+AB149,AC149)))</f>
        <v/>
      </c>
      <c r="AE149" s="27" t="str">
        <f aca="false">IF($A149="","",IF(OR(AD149="",AD149=0),"",B149/AD149-1))</f>
        <v/>
      </c>
      <c r="AG149" s="1" t="str">
        <f aca="false">IF($A149="","",IF(B149&lt;30000,"婴儿",IF(B149&lt;100000,"成长","成熟")))</f>
        <v/>
      </c>
      <c r="AH149" s="22"/>
      <c r="AJ149" s="22"/>
      <c r="AK149" s="22"/>
      <c r="AM149" s="22"/>
      <c r="AP149" s="13"/>
      <c r="AQ149" s="23" t="str">
        <f aca="false">IF($A149="","",B149-$AA$2-SUM($F$2:F149))</f>
        <v/>
      </c>
    </row>
    <row r="150" customFormat="false" ht="15" hidden="false" customHeight="true" outlineLevel="0" collapsed="false">
      <c r="A150" s="5"/>
      <c r="B150" s="14"/>
      <c r="C150" s="14"/>
      <c r="D150" s="15" t="str">
        <f aca="false">IF($A150="","",SUMIFS(持仓表!$J:$J,持仓表!$A:$A,$A150))</f>
        <v/>
      </c>
      <c r="E150" s="16" t="n">
        <f aca="false">IFERROR(D150/B150,0)</f>
        <v>0</v>
      </c>
      <c r="F150" s="14"/>
      <c r="G150" s="15" t="str">
        <f aca="false">IF($B150="","",MAX($B$2:B150))</f>
        <v/>
      </c>
      <c r="H150" s="16" t="n">
        <f aca="false">IFERROR((B150-F150)/F150,0)</f>
        <v>0</v>
      </c>
      <c r="I150" s="16" t="n">
        <f aca="false">IFERROR((B150-G150)/G150,0)</f>
        <v>0</v>
      </c>
      <c r="J150" s="11"/>
      <c r="K150" s="5"/>
      <c r="L150" s="17"/>
      <c r="M150" s="17"/>
      <c r="N150" s="16" t="str">
        <f aca="false">IF($B150="","",MIN(70%,IF($I150&lt;=-15%,10%,IF($I150&lt;=-10%,30%,IF($M150&gt;=4,10%,IF($M150&gt;=3,30%,IF($J150="强",IF($K150="A",70%,IF($K150="B",60%,40%)),IF($J150="中性",IF($K150="A",50%,IF($K150="B",40%,25%)),IF($K150="A",30%,IF($K150="B",20%,10%))))))))))</f>
        <v/>
      </c>
      <c r="O150" s="16" t="str">
        <f aca="false">IF($B150="","",IF(B150&lt;30000,35%,IF(B150&lt;50000,30%,IF(B150&lt;100000,25%,20%))))</f>
        <v/>
      </c>
      <c r="P150" s="18" t="str">
        <f aca="false">IF($A150="","",COUNTIFS(持仓表!$A:$A,$A150,持仓表!$G:$G,"&gt;0"))</f>
        <v/>
      </c>
      <c r="Q150" s="18" t="str">
        <f aca="false">IF($A150="","",COUNTIFS(持仓表!$A:$A,$A150,持仓表!$D:$D,"是",持仓表!$G:$G,"&gt;0"))</f>
        <v/>
      </c>
      <c r="R150" s="18" t="str">
        <f aca="false">IF($A150="","",MAX(0,P150-Q150))</f>
        <v/>
      </c>
      <c r="S150" s="18" t="str">
        <f aca="false">IF($B150="","",IF(B150&lt;50000,3,IF(B150&lt;100000,4,5)))</f>
        <v/>
      </c>
      <c r="T150" s="19" t="str">
        <f aca="false">IF($A150="","",IF(OR(M150&gt;=4,I150&lt;=-8%),"防守",IF(OR(M150&gt;=2,I150&lt;=-5%),"警戒","正常")))</f>
        <v/>
      </c>
      <c r="U150" s="19" t="str">
        <f aca="false">IF($A150="","",IF(AND(L150&gt;=3,M150&lt;=2,T150&lt;&gt;"防守"),"是","否"))</f>
        <v/>
      </c>
      <c r="V150" s="19" t="str">
        <f aca="false">IF($A150="","",IF(AND(E150&lt;N150,R150&lt;S150,M150&lt;=2,I150&gt;-15%),"是","否"))</f>
        <v/>
      </c>
      <c r="W150" s="19" t="str">
        <f aca="false">IF($A150="","",IF(OR(M150&gt;=3,I150&lt;=-15%),"是","否"))</f>
        <v/>
      </c>
      <c r="X150" s="15" t="str">
        <f aca="false">IF($A150="","",IFERROR(maxifs(候选池!$AB:$AB,候选池!$A:$A,$A150),0))</f>
        <v/>
      </c>
      <c r="Y150" s="15" t="str">
        <f aca="false">IF($A150="","",IF(OR(M150&gt;=4,I150&lt;=-8%),MAX(0,B150*60%-C150),IF(AND(ISNUMBER(AD150),B150&gt;AD150),IF(B150&lt;30000,0,IF(B150&lt;100000,MAX(0,(B150-AD150)*0.2),MAX(0,(B150-AD150)*0.3))),0)))</f>
        <v/>
      </c>
      <c r="Z150" s="5"/>
      <c r="AA150" s="19" t="str">
        <f aca="false">IF($A150="","",IF($AA$2&lt;&gt;"",$AA$2,""))</f>
        <v/>
      </c>
      <c r="AB150" s="5" t="str">
        <f aca="false">IF($A150="","",IF(B150&lt;30000,0.03,IF(B150&lt;100000,0.02,0.015)))</f>
        <v/>
      </c>
      <c r="AC150" s="18" t="str">
        <f aca="false">IF($A150="","",IFERROR(DATEDIF($A$2,$A150,"m"),0))</f>
        <v/>
      </c>
      <c r="AD150" s="15" t="str">
        <f aca="false">IF($A150="","",IF(OR(AA150="",AB150="",AC150=""),"",AA150*POWER(1+AB150,AC150)))</f>
        <v/>
      </c>
      <c r="AE150" s="21" t="str">
        <f aca="false">IF($A150="","",IF(OR(AD150="",AD150=0),"",B150/AD150-1))</f>
        <v/>
      </c>
      <c r="AG150" s="1" t="str">
        <f aca="false">IF($A150="","",IF(B150&lt;30000,"婴儿",IF(B150&lt;100000,"成长","成熟")))</f>
        <v/>
      </c>
      <c r="AH150" s="22"/>
      <c r="AJ150" s="22"/>
      <c r="AK150" s="22"/>
      <c r="AM150" s="22"/>
      <c r="AP150" s="13"/>
      <c r="AQ150" s="23" t="str">
        <f aca="false">IF($A150="","",B150-$AA$2-SUM($F$2:F150))</f>
        <v/>
      </c>
    </row>
    <row r="151" customFormat="false" ht="15" hidden="false" customHeight="true" outlineLevel="0" collapsed="false">
      <c r="A151" s="7"/>
      <c r="B151" s="24"/>
      <c r="C151" s="24"/>
      <c r="D151" s="15" t="str">
        <f aca="false">IF($A151="","",SUMIFS(持仓表!$J:$J,持仓表!$A:$A,$A151))</f>
        <v/>
      </c>
      <c r="E151" s="16" t="n">
        <f aca="false">IFERROR(D151/B151,0)</f>
        <v>0</v>
      </c>
      <c r="F151" s="24"/>
      <c r="G151" s="15" t="str">
        <f aca="false">IF($B151="","",MAX($B$2:B151))</f>
        <v/>
      </c>
      <c r="H151" s="16" t="n">
        <f aca="false">IFERROR((B151-F151)/F151,0)</f>
        <v>0</v>
      </c>
      <c r="I151" s="16" t="n">
        <f aca="false">IFERROR((B151-G151)/G151,0)</f>
        <v>0</v>
      </c>
      <c r="J151" s="12"/>
      <c r="K151" s="7"/>
      <c r="L151" s="25"/>
      <c r="M151" s="25"/>
      <c r="N151" s="16" t="str">
        <f aca="false">IF($B151="","",MIN(70%,IF($I151&lt;=-15%,10%,IF($I151&lt;=-10%,30%,IF($M151&gt;=4,10%,IF($M151&gt;=3,30%,IF($J151="强",IF($K151="A",70%,IF($K151="B",60%,40%)),IF($J151="中性",IF($K151="A",50%,IF($K151="B",40%,25%)),IF($K151="A",30%,IF($K151="B",20%,10%))))))))))</f>
        <v/>
      </c>
      <c r="O151" s="16" t="str">
        <f aca="false">IF($B151="","",IF(B151&lt;30000,35%,IF(B151&lt;50000,30%,IF(B151&lt;100000,25%,20%))))</f>
        <v/>
      </c>
      <c r="P151" s="18" t="str">
        <f aca="false">IF($A151="","",COUNTIFS(持仓表!$A:$A,$A151,持仓表!$G:$G,"&gt;0"))</f>
        <v/>
      </c>
      <c r="Q151" s="18" t="str">
        <f aca="false">IF($A151="","",COUNTIFS(持仓表!$A:$A,$A151,持仓表!$D:$D,"是",持仓表!$G:$G,"&gt;0"))</f>
        <v/>
      </c>
      <c r="R151" s="18" t="str">
        <f aca="false">IF($A151="","",MAX(0,P151-Q151))</f>
        <v/>
      </c>
      <c r="S151" s="18" t="str">
        <f aca="false">IF($B151="","",IF(B151&lt;50000,3,IF(B151&lt;100000,4,5)))</f>
        <v/>
      </c>
      <c r="T151" s="19" t="str">
        <f aca="false">IF($A151="","",IF(OR(M151&gt;=4,I151&lt;=-8%),"防守",IF(OR(M151&gt;=2,I151&lt;=-5%),"警戒","正常")))</f>
        <v/>
      </c>
      <c r="U151" s="19" t="str">
        <f aca="false">IF($A151="","",IF(AND(L151&gt;=3,M151&lt;=2,T151&lt;&gt;"防守"),"是","否"))</f>
        <v/>
      </c>
      <c r="V151" s="19" t="str">
        <f aca="false">IF($A151="","",IF(AND(E151&lt;N151,R151&lt;S151,M151&lt;=2,I151&gt;-15%),"是","否"))</f>
        <v/>
      </c>
      <c r="W151" s="19" t="str">
        <f aca="false">IF($A151="","",IF(OR(M151&gt;=3,I151&lt;=-15%),"是","否"))</f>
        <v/>
      </c>
      <c r="X151" s="15" t="str">
        <f aca="false">IF($A151="","",IFERROR(maxifs(候选池!$AB:$AB,候选池!$A:$A,$A151),0))</f>
        <v/>
      </c>
      <c r="Y151" s="15" t="str">
        <f aca="false">IF($A151="","",IF(OR(M151&gt;=4,I151&lt;=-8%),MAX(0,B151*60%-C151),IF(AND(ISNUMBER(AD151),B151&gt;AD151),IF(B151&lt;30000,0,IF(B151&lt;100000,MAX(0,(B151-AD151)*0.2),MAX(0,(B151-AD151)*0.3))),0)))</f>
        <v/>
      </c>
      <c r="Z151" s="7"/>
      <c r="AA151" s="19" t="str">
        <f aca="false">IF($A151="","",IF($AA$2&lt;&gt;"",$AA$2,""))</f>
        <v/>
      </c>
      <c r="AB151" s="7" t="str">
        <f aca="false">IF($A151="","",IF(B151&lt;30000,0.03,IF(B151&lt;100000,0.02,0.015)))</f>
        <v/>
      </c>
      <c r="AC151" s="18" t="str">
        <f aca="false">IF($A151="","",IFERROR(DATEDIF($A$2,$A151,"m"),0))</f>
        <v/>
      </c>
      <c r="AD151" s="15" t="str">
        <f aca="false">IF($A151="","",IF(OR(AA151="",AB151="",AC151=""),"",AA151*POWER(1+AB151,AC151)))</f>
        <v/>
      </c>
      <c r="AE151" s="27" t="str">
        <f aca="false">IF($A151="","",IF(OR(AD151="",AD151=0),"",B151/AD151-1))</f>
        <v/>
      </c>
      <c r="AG151" s="1" t="str">
        <f aca="false">IF($A151="","",IF(B151&lt;30000,"婴儿",IF(B151&lt;100000,"成长","成熟")))</f>
        <v/>
      </c>
      <c r="AH151" s="22"/>
      <c r="AJ151" s="22"/>
      <c r="AK151" s="22"/>
      <c r="AM151" s="22"/>
      <c r="AP151" s="13"/>
      <c r="AQ151" s="23" t="str">
        <f aca="false">IF($A151="","",B151-$AA$2-SUM($F$2:F151))</f>
        <v/>
      </c>
    </row>
    <row r="152" customFormat="false" ht="15" hidden="false" customHeight="true" outlineLevel="0" collapsed="false">
      <c r="A152" s="5"/>
      <c r="B152" s="14"/>
      <c r="C152" s="14"/>
      <c r="D152" s="15" t="str">
        <f aca="false">IF($A152="","",SUMIFS(持仓表!$J:$J,持仓表!$A:$A,$A152))</f>
        <v/>
      </c>
      <c r="E152" s="16" t="n">
        <f aca="false">IFERROR(D152/B152,0)</f>
        <v>0</v>
      </c>
      <c r="F152" s="14"/>
      <c r="G152" s="15" t="str">
        <f aca="false">IF($B152="","",MAX($B$2:B152))</f>
        <v/>
      </c>
      <c r="H152" s="16" t="n">
        <f aca="false">IFERROR((B152-F152)/F152,0)</f>
        <v>0</v>
      </c>
      <c r="I152" s="16" t="n">
        <f aca="false">IFERROR((B152-G152)/G152,0)</f>
        <v>0</v>
      </c>
      <c r="J152" s="11"/>
      <c r="K152" s="5"/>
      <c r="L152" s="17"/>
      <c r="M152" s="17"/>
      <c r="N152" s="16" t="str">
        <f aca="false">IF($B152="","",MIN(70%,IF($I152&lt;=-15%,10%,IF($I152&lt;=-10%,30%,IF($M152&gt;=4,10%,IF($M152&gt;=3,30%,IF($J152="强",IF($K152="A",70%,IF($K152="B",60%,40%)),IF($J152="中性",IF($K152="A",50%,IF($K152="B",40%,25%)),IF($K152="A",30%,IF($K152="B",20%,10%))))))))))</f>
        <v/>
      </c>
      <c r="O152" s="16" t="str">
        <f aca="false">IF($B152="","",IF(B152&lt;30000,35%,IF(B152&lt;50000,30%,IF(B152&lt;100000,25%,20%))))</f>
        <v/>
      </c>
      <c r="P152" s="18" t="str">
        <f aca="false">IF($A152="","",COUNTIFS(持仓表!$A:$A,$A152,持仓表!$G:$G,"&gt;0"))</f>
        <v/>
      </c>
      <c r="Q152" s="18" t="str">
        <f aca="false">IF($A152="","",COUNTIFS(持仓表!$A:$A,$A152,持仓表!$D:$D,"是",持仓表!$G:$G,"&gt;0"))</f>
        <v/>
      </c>
      <c r="R152" s="18" t="str">
        <f aca="false">IF($A152="","",MAX(0,P152-Q152))</f>
        <v/>
      </c>
      <c r="S152" s="18" t="str">
        <f aca="false">IF($B152="","",IF(B152&lt;50000,3,IF(B152&lt;100000,4,5)))</f>
        <v/>
      </c>
      <c r="T152" s="19" t="str">
        <f aca="false">IF($A152="","",IF(OR(M152&gt;=4,I152&lt;=-8%),"防守",IF(OR(M152&gt;=2,I152&lt;=-5%),"警戒","正常")))</f>
        <v/>
      </c>
      <c r="U152" s="19" t="str">
        <f aca="false">IF($A152="","",IF(AND(L152&gt;=3,M152&lt;=2,T152&lt;&gt;"防守"),"是","否"))</f>
        <v/>
      </c>
      <c r="V152" s="19" t="str">
        <f aca="false">IF($A152="","",IF(AND(E152&lt;N152,R152&lt;S152,M152&lt;=2,I152&gt;-15%),"是","否"))</f>
        <v/>
      </c>
      <c r="W152" s="19" t="str">
        <f aca="false">IF($A152="","",IF(OR(M152&gt;=3,I152&lt;=-15%),"是","否"))</f>
        <v/>
      </c>
      <c r="X152" s="15" t="str">
        <f aca="false">IF($A152="","",IFERROR(maxifs(候选池!$AB:$AB,候选池!$A:$A,$A152),0))</f>
        <v/>
      </c>
      <c r="Y152" s="15" t="str">
        <f aca="false">IF($A152="","",IF(OR(M152&gt;=4,I152&lt;=-8%),MAX(0,B152*60%-C152),IF(AND(ISNUMBER(AD152),B152&gt;AD152),IF(B152&lt;30000,0,IF(B152&lt;100000,MAX(0,(B152-AD152)*0.2),MAX(0,(B152-AD152)*0.3))),0)))</f>
        <v/>
      </c>
      <c r="Z152" s="5"/>
      <c r="AA152" s="19" t="str">
        <f aca="false">IF($A152="","",IF($AA$2&lt;&gt;"",$AA$2,""))</f>
        <v/>
      </c>
      <c r="AB152" s="5" t="str">
        <f aca="false">IF($A152="","",IF(B152&lt;30000,0.03,IF(B152&lt;100000,0.02,0.015)))</f>
        <v/>
      </c>
      <c r="AC152" s="18" t="str">
        <f aca="false">IF($A152="","",IFERROR(DATEDIF($A$2,$A152,"m"),0))</f>
        <v/>
      </c>
      <c r="AD152" s="15" t="str">
        <f aca="false">IF($A152="","",IF(OR(AA152="",AB152="",AC152=""),"",AA152*POWER(1+AB152,AC152)))</f>
        <v/>
      </c>
      <c r="AE152" s="21" t="str">
        <f aca="false">IF($A152="","",IF(OR(AD152="",AD152=0),"",B152/AD152-1))</f>
        <v/>
      </c>
      <c r="AG152" s="1" t="str">
        <f aca="false">IF($A152="","",IF(B152&lt;30000,"婴儿",IF(B152&lt;100000,"成长","成熟")))</f>
        <v/>
      </c>
      <c r="AH152" s="22"/>
      <c r="AJ152" s="22"/>
      <c r="AK152" s="22"/>
      <c r="AM152" s="22"/>
      <c r="AP152" s="13"/>
      <c r="AQ152" s="23" t="str">
        <f aca="false">IF($A152="","",B152-$AA$2-SUM($F$2:F152))</f>
        <v/>
      </c>
    </row>
    <row r="153" customFormat="false" ht="15" hidden="false" customHeight="true" outlineLevel="0" collapsed="false">
      <c r="A153" s="7"/>
      <c r="B153" s="24"/>
      <c r="C153" s="24"/>
      <c r="D153" s="15" t="str">
        <f aca="false">IF($A153="","",SUMIFS(持仓表!$J:$J,持仓表!$A:$A,$A153))</f>
        <v/>
      </c>
      <c r="E153" s="16" t="n">
        <f aca="false">IFERROR(D153/B153,0)</f>
        <v>0</v>
      </c>
      <c r="F153" s="24"/>
      <c r="G153" s="15" t="str">
        <f aca="false">IF($B153="","",MAX($B$2:B153))</f>
        <v/>
      </c>
      <c r="H153" s="16" t="n">
        <f aca="false">IFERROR((B153-F153)/F153,0)</f>
        <v>0</v>
      </c>
      <c r="I153" s="16" t="n">
        <f aca="false">IFERROR((B153-G153)/G153,0)</f>
        <v>0</v>
      </c>
      <c r="J153" s="12"/>
      <c r="K153" s="7"/>
      <c r="L153" s="25"/>
      <c r="M153" s="25"/>
      <c r="N153" s="16" t="str">
        <f aca="false">IF($B153="","",MIN(70%,IF($I153&lt;=-15%,10%,IF($I153&lt;=-10%,30%,IF($M153&gt;=4,10%,IF($M153&gt;=3,30%,IF($J153="强",IF($K153="A",70%,IF($K153="B",60%,40%)),IF($J153="中性",IF($K153="A",50%,IF($K153="B",40%,25%)),IF($K153="A",30%,IF($K153="B",20%,10%))))))))))</f>
        <v/>
      </c>
      <c r="O153" s="16" t="str">
        <f aca="false">IF($B153="","",IF(B153&lt;30000,35%,IF(B153&lt;50000,30%,IF(B153&lt;100000,25%,20%))))</f>
        <v/>
      </c>
      <c r="P153" s="18" t="str">
        <f aca="false">IF($A153="","",COUNTIFS(持仓表!$A:$A,$A153,持仓表!$G:$G,"&gt;0"))</f>
        <v/>
      </c>
      <c r="Q153" s="18" t="str">
        <f aca="false">IF($A153="","",COUNTIFS(持仓表!$A:$A,$A153,持仓表!$D:$D,"是",持仓表!$G:$G,"&gt;0"))</f>
        <v/>
      </c>
      <c r="R153" s="18" t="str">
        <f aca="false">IF($A153="","",MAX(0,P153-Q153))</f>
        <v/>
      </c>
      <c r="S153" s="18" t="str">
        <f aca="false">IF($B153="","",IF(B153&lt;50000,3,IF(B153&lt;100000,4,5)))</f>
        <v/>
      </c>
      <c r="T153" s="19" t="str">
        <f aca="false">IF($A153="","",IF(OR(M153&gt;=4,I153&lt;=-8%),"防守",IF(OR(M153&gt;=2,I153&lt;=-5%),"警戒","正常")))</f>
        <v/>
      </c>
      <c r="U153" s="19" t="str">
        <f aca="false">IF($A153="","",IF(AND(L153&gt;=3,M153&lt;=2,T153&lt;&gt;"防守"),"是","否"))</f>
        <v/>
      </c>
      <c r="V153" s="19" t="str">
        <f aca="false">IF($A153="","",IF(AND(E153&lt;N153,R153&lt;S153,M153&lt;=2,I153&gt;-15%),"是","否"))</f>
        <v/>
      </c>
      <c r="W153" s="19" t="str">
        <f aca="false">IF($A153="","",IF(OR(M153&gt;=3,I153&lt;=-15%),"是","否"))</f>
        <v/>
      </c>
      <c r="X153" s="15" t="str">
        <f aca="false">IF($A153="","",IFERROR(maxifs(候选池!$AB:$AB,候选池!$A:$A,$A153),0))</f>
        <v/>
      </c>
      <c r="Y153" s="15" t="str">
        <f aca="false">IF($A153="","",IF(OR(M153&gt;=4,I153&lt;=-8%),MAX(0,B153*60%-C153),IF(AND(ISNUMBER(AD153),B153&gt;AD153),IF(B153&lt;30000,0,IF(B153&lt;100000,MAX(0,(B153-AD153)*0.2),MAX(0,(B153-AD153)*0.3))),0)))</f>
        <v/>
      </c>
      <c r="Z153" s="7"/>
      <c r="AA153" s="19" t="str">
        <f aca="false">IF($A153="","",IF($AA$2&lt;&gt;"",$AA$2,""))</f>
        <v/>
      </c>
      <c r="AB153" s="7" t="str">
        <f aca="false">IF($A153="","",IF(B153&lt;30000,0.03,IF(B153&lt;100000,0.02,0.015)))</f>
        <v/>
      </c>
      <c r="AC153" s="18" t="str">
        <f aca="false">IF($A153="","",IFERROR(DATEDIF($A$2,$A153,"m"),0))</f>
        <v/>
      </c>
      <c r="AD153" s="15" t="str">
        <f aca="false">IF($A153="","",IF(OR(AA153="",AB153="",AC153=""),"",AA153*POWER(1+AB153,AC153)))</f>
        <v/>
      </c>
      <c r="AE153" s="27" t="str">
        <f aca="false">IF($A153="","",IF(OR(AD153="",AD153=0),"",B153/AD153-1))</f>
        <v/>
      </c>
      <c r="AG153" s="1" t="str">
        <f aca="false">IF($A153="","",IF(B153&lt;30000,"婴儿",IF(B153&lt;100000,"成长","成熟")))</f>
        <v/>
      </c>
      <c r="AH153" s="22"/>
      <c r="AJ153" s="22"/>
      <c r="AK153" s="22"/>
      <c r="AM153" s="22"/>
      <c r="AP153" s="13"/>
      <c r="AQ153" s="23" t="str">
        <f aca="false">IF($A153="","",B153-$AA$2-SUM($F$2:F153))</f>
        <v/>
      </c>
    </row>
    <row r="154" customFormat="false" ht="15" hidden="false" customHeight="true" outlineLevel="0" collapsed="false">
      <c r="A154" s="5"/>
      <c r="B154" s="14"/>
      <c r="C154" s="14"/>
      <c r="D154" s="15" t="str">
        <f aca="false">IF($A154="","",SUMIFS(持仓表!$J:$J,持仓表!$A:$A,$A154))</f>
        <v/>
      </c>
      <c r="E154" s="16" t="n">
        <f aca="false">IFERROR(D154/B154,0)</f>
        <v>0</v>
      </c>
      <c r="F154" s="14"/>
      <c r="G154" s="15" t="str">
        <f aca="false">IF($B154="","",MAX($B$2:B154))</f>
        <v/>
      </c>
      <c r="H154" s="16" t="n">
        <f aca="false">IFERROR((B154-F154)/F154,0)</f>
        <v>0</v>
      </c>
      <c r="I154" s="16" t="n">
        <f aca="false">IFERROR((B154-G154)/G154,0)</f>
        <v>0</v>
      </c>
      <c r="J154" s="11"/>
      <c r="K154" s="5"/>
      <c r="L154" s="17"/>
      <c r="M154" s="17"/>
      <c r="N154" s="16" t="str">
        <f aca="false">IF($B154="","",MIN(70%,IF($I154&lt;=-15%,10%,IF($I154&lt;=-10%,30%,IF($M154&gt;=4,10%,IF($M154&gt;=3,30%,IF($J154="强",IF($K154="A",70%,IF($K154="B",60%,40%)),IF($J154="中性",IF($K154="A",50%,IF($K154="B",40%,25%)),IF($K154="A",30%,IF($K154="B",20%,10%))))))))))</f>
        <v/>
      </c>
      <c r="O154" s="16" t="str">
        <f aca="false">IF($B154="","",IF(B154&lt;30000,35%,IF(B154&lt;50000,30%,IF(B154&lt;100000,25%,20%))))</f>
        <v/>
      </c>
      <c r="P154" s="18" t="str">
        <f aca="false">IF($A154="","",COUNTIFS(持仓表!$A:$A,$A154,持仓表!$G:$G,"&gt;0"))</f>
        <v/>
      </c>
      <c r="Q154" s="18" t="str">
        <f aca="false">IF($A154="","",COUNTIFS(持仓表!$A:$A,$A154,持仓表!$D:$D,"是",持仓表!$G:$G,"&gt;0"))</f>
        <v/>
      </c>
      <c r="R154" s="18" t="str">
        <f aca="false">IF($A154="","",MAX(0,P154-Q154))</f>
        <v/>
      </c>
      <c r="S154" s="18" t="str">
        <f aca="false">IF($B154="","",IF(B154&lt;50000,3,IF(B154&lt;100000,4,5)))</f>
        <v/>
      </c>
      <c r="T154" s="19" t="str">
        <f aca="false">IF($A154="","",IF(OR(M154&gt;=4,I154&lt;=-8%),"防守",IF(OR(M154&gt;=2,I154&lt;=-5%),"警戒","正常")))</f>
        <v/>
      </c>
      <c r="U154" s="19" t="str">
        <f aca="false">IF($A154="","",IF(AND(L154&gt;=3,M154&lt;=2,T154&lt;&gt;"防守"),"是","否"))</f>
        <v/>
      </c>
      <c r="V154" s="19" t="str">
        <f aca="false">IF($A154="","",IF(AND(E154&lt;N154,R154&lt;S154,M154&lt;=2,I154&gt;-15%),"是","否"))</f>
        <v/>
      </c>
      <c r="W154" s="19" t="str">
        <f aca="false">IF($A154="","",IF(OR(M154&gt;=3,I154&lt;=-15%),"是","否"))</f>
        <v/>
      </c>
      <c r="X154" s="15" t="str">
        <f aca="false">IF($A154="","",IFERROR(maxifs(候选池!$AB:$AB,候选池!$A:$A,$A154),0))</f>
        <v/>
      </c>
      <c r="Y154" s="15" t="str">
        <f aca="false">IF($A154="","",IF(OR(M154&gt;=4,I154&lt;=-8%),MAX(0,B154*60%-C154),IF(AND(ISNUMBER(AD154),B154&gt;AD154),IF(B154&lt;30000,0,IF(B154&lt;100000,MAX(0,(B154-AD154)*0.2),MAX(0,(B154-AD154)*0.3))),0)))</f>
        <v/>
      </c>
      <c r="Z154" s="5"/>
      <c r="AA154" s="19" t="str">
        <f aca="false">IF($A154="","",IF($AA$2&lt;&gt;"",$AA$2,""))</f>
        <v/>
      </c>
      <c r="AB154" s="5" t="str">
        <f aca="false">IF($A154="","",IF(B154&lt;30000,0.03,IF(B154&lt;100000,0.02,0.015)))</f>
        <v/>
      </c>
      <c r="AC154" s="18" t="str">
        <f aca="false">IF($A154="","",IFERROR(DATEDIF($A$2,$A154,"m"),0))</f>
        <v/>
      </c>
      <c r="AD154" s="15" t="str">
        <f aca="false">IF($A154="","",IF(OR(AA154="",AB154="",AC154=""),"",AA154*POWER(1+AB154,AC154)))</f>
        <v/>
      </c>
      <c r="AE154" s="21" t="str">
        <f aca="false">IF($A154="","",IF(OR(AD154="",AD154=0),"",B154/AD154-1))</f>
        <v/>
      </c>
      <c r="AG154" s="1" t="str">
        <f aca="false">IF($A154="","",IF(B154&lt;30000,"婴儿",IF(B154&lt;100000,"成长","成熟")))</f>
        <v/>
      </c>
      <c r="AH154" s="22"/>
      <c r="AJ154" s="22"/>
      <c r="AK154" s="22"/>
      <c r="AM154" s="22"/>
      <c r="AP154" s="13"/>
      <c r="AQ154" s="23" t="str">
        <f aca="false">IF($A154="","",B154-$AA$2-SUM($F$2:F154))</f>
        <v/>
      </c>
    </row>
    <row r="155" customFormat="false" ht="15" hidden="false" customHeight="true" outlineLevel="0" collapsed="false">
      <c r="A155" s="7"/>
      <c r="B155" s="24"/>
      <c r="C155" s="24"/>
      <c r="D155" s="15" t="str">
        <f aca="false">IF($A155="","",SUMIFS(持仓表!$J:$J,持仓表!$A:$A,$A155))</f>
        <v/>
      </c>
      <c r="E155" s="16" t="n">
        <f aca="false">IFERROR(D155/B155,0)</f>
        <v>0</v>
      </c>
      <c r="F155" s="24"/>
      <c r="G155" s="15" t="str">
        <f aca="false">IF($B155="","",MAX($B$2:B155))</f>
        <v/>
      </c>
      <c r="H155" s="16" t="n">
        <f aca="false">IFERROR((B155-F155)/F155,0)</f>
        <v>0</v>
      </c>
      <c r="I155" s="16" t="n">
        <f aca="false">IFERROR((B155-G155)/G155,0)</f>
        <v>0</v>
      </c>
      <c r="J155" s="12"/>
      <c r="K155" s="7"/>
      <c r="L155" s="25"/>
      <c r="M155" s="25"/>
      <c r="N155" s="16" t="str">
        <f aca="false">IF($B155="","",MIN(70%,IF($I155&lt;=-15%,10%,IF($I155&lt;=-10%,30%,IF($M155&gt;=4,10%,IF($M155&gt;=3,30%,IF($J155="强",IF($K155="A",70%,IF($K155="B",60%,40%)),IF($J155="中性",IF($K155="A",50%,IF($K155="B",40%,25%)),IF($K155="A",30%,IF($K155="B",20%,10%))))))))))</f>
        <v/>
      </c>
      <c r="O155" s="16" t="str">
        <f aca="false">IF($B155="","",IF(B155&lt;30000,35%,IF(B155&lt;50000,30%,IF(B155&lt;100000,25%,20%))))</f>
        <v/>
      </c>
      <c r="P155" s="18" t="str">
        <f aca="false">IF($A155="","",COUNTIFS(持仓表!$A:$A,$A155,持仓表!$G:$G,"&gt;0"))</f>
        <v/>
      </c>
      <c r="Q155" s="18" t="str">
        <f aca="false">IF($A155="","",COUNTIFS(持仓表!$A:$A,$A155,持仓表!$D:$D,"是",持仓表!$G:$G,"&gt;0"))</f>
        <v/>
      </c>
      <c r="R155" s="18" t="str">
        <f aca="false">IF($A155="","",MAX(0,P155-Q155))</f>
        <v/>
      </c>
      <c r="S155" s="18" t="str">
        <f aca="false">IF($B155="","",IF(B155&lt;50000,3,IF(B155&lt;100000,4,5)))</f>
        <v/>
      </c>
      <c r="T155" s="19" t="str">
        <f aca="false">IF($A155="","",IF(OR(M155&gt;=4,I155&lt;=-8%),"防守",IF(OR(M155&gt;=2,I155&lt;=-5%),"警戒","正常")))</f>
        <v/>
      </c>
      <c r="U155" s="19" t="str">
        <f aca="false">IF($A155="","",IF(AND(L155&gt;=3,M155&lt;=2,T155&lt;&gt;"防守"),"是","否"))</f>
        <v/>
      </c>
      <c r="V155" s="19" t="str">
        <f aca="false">IF($A155="","",IF(AND(E155&lt;N155,R155&lt;S155,M155&lt;=2,I155&gt;-15%),"是","否"))</f>
        <v/>
      </c>
      <c r="W155" s="19" t="str">
        <f aca="false">IF($A155="","",IF(OR(M155&gt;=3,I155&lt;=-15%),"是","否"))</f>
        <v/>
      </c>
      <c r="X155" s="15" t="str">
        <f aca="false">IF($A155="","",IFERROR(maxifs(候选池!$AB:$AB,候选池!$A:$A,$A155),0))</f>
        <v/>
      </c>
      <c r="Y155" s="15" t="str">
        <f aca="false">IF($A155="","",IF(OR(M155&gt;=4,I155&lt;=-8%),MAX(0,B155*60%-C155),IF(AND(ISNUMBER(AD155),B155&gt;AD155),IF(B155&lt;30000,0,IF(B155&lt;100000,MAX(0,(B155-AD155)*0.2),MAX(0,(B155-AD155)*0.3))),0)))</f>
        <v/>
      </c>
      <c r="Z155" s="7"/>
      <c r="AA155" s="19" t="str">
        <f aca="false">IF($A155="","",IF($AA$2&lt;&gt;"",$AA$2,""))</f>
        <v/>
      </c>
      <c r="AB155" s="7" t="str">
        <f aca="false">IF($A155="","",IF(B155&lt;30000,0.03,IF(B155&lt;100000,0.02,0.015)))</f>
        <v/>
      </c>
      <c r="AC155" s="18" t="str">
        <f aca="false">IF($A155="","",IFERROR(DATEDIF($A$2,$A155,"m"),0))</f>
        <v/>
      </c>
      <c r="AD155" s="15" t="str">
        <f aca="false">IF($A155="","",IF(OR(AA155="",AB155="",AC155=""),"",AA155*POWER(1+AB155,AC155)))</f>
        <v/>
      </c>
      <c r="AE155" s="27" t="str">
        <f aca="false">IF($A155="","",IF(OR(AD155="",AD155=0),"",B155/AD155-1))</f>
        <v/>
      </c>
      <c r="AG155" s="1" t="str">
        <f aca="false">IF($A155="","",IF(B155&lt;30000,"婴儿",IF(B155&lt;100000,"成长","成熟")))</f>
        <v/>
      </c>
      <c r="AH155" s="22"/>
      <c r="AJ155" s="22"/>
      <c r="AK155" s="22"/>
      <c r="AM155" s="22"/>
      <c r="AP155" s="13"/>
      <c r="AQ155" s="23" t="str">
        <f aca="false">IF($A155="","",B155-$AA$2-SUM($F$2:F155))</f>
        <v/>
      </c>
    </row>
    <row r="156" customFormat="false" ht="15" hidden="false" customHeight="true" outlineLevel="0" collapsed="false">
      <c r="A156" s="5"/>
      <c r="B156" s="14"/>
      <c r="C156" s="14"/>
      <c r="D156" s="15" t="str">
        <f aca="false">IF($A156="","",SUMIFS(持仓表!$J:$J,持仓表!$A:$A,$A156))</f>
        <v/>
      </c>
      <c r="E156" s="16" t="n">
        <f aca="false">IFERROR(D156/B156,0)</f>
        <v>0</v>
      </c>
      <c r="F156" s="14"/>
      <c r="G156" s="15" t="str">
        <f aca="false">IF($B156="","",MAX($B$2:B156))</f>
        <v/>
      </c>
      <c r="H156" s="16" t="n">
        <f aca="false">IFERROR((B156-F156)/F156,0)</f>
        <v>0</v>
      </c>
      <c r="I156" s="16" t="n">
        <f aca="false">IFERROR((B156-G156)/G156,0)</f>
        <v>0</v>
      </c>
      <c r="J156" s="11"/>
      <c r="K156" s="5"/>
      <c r="L156" s="17"/>
      <c r="M156" s="17"/>
      <c r="N156" s="16" t="str">
        <f aca="false">IF($B156="","",MIN(70%,IF($I156&lt;=-15%,10%,IF($I156&lt;=-10%,30%,IF($M156&gt;=4,10%,IF($M156&gt;=3,30%,IF($J156="强",IF($K156="A",70%,IF($K156="B",60%,40%)),IF($J156="中性",IF($K156="A",50%,IF($K156="B",40%,25%)),IF($K156="A",30%,IF($K156="B",20%,10%))))))))))</f>
        <v/>
      </c>
      <c r="O156" s="16" t="str">
        <f aca="false">IF($B156="","",IF(B156&lt;30000,35%,IF(B156&lt;50000,30%,IF(B156&lt;100000,25%,20%))))</f>
        <v/>
      </c>
      <c r="P156" s="18" t="str">
        <f aca="false">IF($A156="","",COUNTIFS(持仓表!$A:$A,$A156,持仓表!$G:$G,"&gt;0"))</f>
        <v/>
      </c>
      <c r="Q156" s="18" t="str">
        <f aca="false">IF($A156="","",COUNTIFS(持仓表!$A:$A,$A156,持仓表!$D:$D,"是",持仓表!$G:$G,"&gt;0"))</f>
        <v/>
      </c>
      <c r="R156" s="18" t="str">
        <f aca="false">IF($A156="","",MAX(0,P156-Q156))</f>
        <v/>
      </c>
      <c r="S156" s="18" t="str">
        <f aca="false">IF($B156="","",IF(B156&lt;50000,3,IF(B156&lt;100000,4,5)))</f>
        <v/>
      </c>
      <c r="T156" s="19" t="str">
        <f aca="false">IF($A156="","",IF(OR(M156&gt;=4,I156&lt;=-8%),"防守",IF(OR(M156&gt;=2,I156&lt;=-5%),"警戒","正常")))</f>
        <v/>
      </c>
      <c r="U156" s="19" t="str">
        <f aca="false">IF($A156="","",IF(AND(L156&gt;=3,M156&lt;=2,T156&lt;&gt;"防守"),"是","否"))</f>
        <v/>
      </c>
      <c r="V156" s="19" t="str">
        <f aca="false">IF($A156="","",IF(AND(E156&lt;N156,R156&lt;S156,M156&lt;=2,I156&gt;-15%),"是","否"))</f>
        <v/>
      </c>
      <c r="W156" s="19" t="str">
        <f aca="false">IF($A156="","",IF(OR(M156&gt;=3,I156&lt;=-15%),"是","否"))</f>
        <v/>
      </c>
      <c r="X156" s="15" t="str">
        <f aca="false">IF($A156="","",IFERROR(maxifs(候选池!$AB:$AB,候选池!$A:$A,$A156),0))</f>
        <v/>
      </c>
      <c r="Y156" s="15" t="str">
        <f aca="false">IF($A156="","",IF(OR(M156&gt;=4,I156&lt;=-8%),MAX(0,B156*60%-C156),IF(AND(ISNUMBER(AD156),B156&gt;AD156),IF(B156&lt;30000,0,IF(B156&lt;100000,MAX(0,(B156-AD156)*0.2),MAX(0,(B156-AD156)*0.3))),0)))</f>
        <v/>
      </c>
      <c r="Z156" s="5"/>
      <c r="AA156" s="19" t="str">
        <f aca="false">IF($A156="","",IF($AA$2&lt;&gt;"",$AA$2,""))</f>
        <v/>
      </c>
      <c r="AB156" s="5" t="str">
        <f aca="false">IF($A156="","",IF(B156&lt;30000,0.03,IF(B156&lt;100000,0.02,0.015)))</f>
        <v/>
      </c>
      <c r="AC156" s="18" t="str">
        <f aca="false">IF($A156="","",IFERROR(DATEDIF($A$2,$A156,"m"),0))</f>
        <v/>
      </c>
      <c r="AD156" s="15" t="str">
        <f aca="false">IF($A156="","",IF(OR(AA156="",AB156="",AC156=""),"",AA156*POWER(1+AB156,AC156)))</f>
        <v/>
      </c>
      <c r="AE156" s="21" t="str">
        <f aca="false">IF($A156="","",IF(OR(AD156="",AD156=0),"",B156/AD156-1))</f>
        <v/>
      </c>
      <c r="AG156" s="1" t="str">
        <f aca="false">IF($A156="","",IF(B156&lt;30000,"婴儿",IF(B156&lt;100000,"成长","成熟")))</f>
        <v/>
      </c>
      <c r="AH156" s="22"/>
      <c r="AJ156" s="22"/>
      <c r="AK156" s="22"/>
      <c r="AM156" s="22"/>
      <c r="AP156" s="13"/>
      <c r="AQ156" s="23" t="str">
        <f aca="false">IF($A156="","",B156-$AA$2-SUM($F$2:F156))</f>
        <v/>
      </c>
    </row>
    <row r="157" customFormat="false" ht="15" hidden="false" customHeight="true" outlineLevel="0" collapsed="false">
      <c r="A157" s="7"/>
      <c r="B157" s="24"/>
      <c r="C157" s="24"/>
      <c r="D157" s="15" t="str">
        <f aca="false">IF($A157="","",SUMIFS(持仓表!$J:$J,持仓表!$A:$A,$A157))</f>
        <v/>
      </c>
      <c r="E157" s="16" t="n">
        <f aca="false">IFERROR(D157/B157,0)</f>
        <v>0</v>
      </c>
      <c r="F157" s="24"/>
      <c r="G157" s="15" t="str">
        <f aca="false">IF($B157="","",MAX($B$2:B157))</f>
        <v/>
      </c>
      <c r="H157" s="16" t="n">
        <f aca="false">IFERROR((B157-F157)/F157,0)</f>
        <v>0</v>
      </c>
      <c r="I157" s="16" t="n">
        <f aca="false">IFERROR((B157-G157)/G157,0)</f>
        <v>0</v>
      </c>
      <c r="J157" s="12"/>
      <c r="K157" s="7"/>
      <c r="L157" s="25"/>
      <c r="M157" s="25"/>
      <c r="N157" s="16" t="str">
        <f aca="false">IF($B157="","",MIN(70%,IF($I157&lt;=-15%,10%,IF($I157&lt;=-10%,30%,IF($M157&gt;=4,10%,IF($M157&gt;=3,30%,IF($J157="强",IF($K157="A",70%,IF($K157="B",60%,40%)),IF($J157="中性",IF($K157="A",50%,IF($K157="B",40%,25%)),IF($K157="A",30%,IF($K157="B",20%,10%))))))))))</f>
        <v/>
      </c>
      <c r="O157" s="16" t="str">
        <f aca="false">IF($B157="","",IF(B157&lt;30000,35%,IF(B157&lt;50000,30%,IF(B157&lt;100000,25%,20%))))</f>
        <v/>
      </c>
      <c r="P157" s="18" t="str">
        <f aca="false">IF($A157="","",COUNTIFS(持仓表!$A:$A,$A157,持仓表!$G:$G,"&gt;0"))</f>
        <v/>
      </c>
      <c r="Q157" s="18" t="str">
        <f aca="false">IF($A157="","",COUNTIFS(持仓表!$A:$A,$A157,持仓表!$D:$D,"是",持仓表!$G:$G,"&gt;0"))</f>
        <v/>
      </c>
      <c r="R157" s="18" t="str">
        <f aca="false">IF($A157="","",MAX(0,P157-Q157))</f>
        <v/>
      </c>
      <c r="S157" s="18" t="str">
        <f aca="false">IF($B157="","",IF(B157&lt;50000,3,IF(B157&lt;100000,4,5)))</f>
        <v/>
      </c>
      <c r="T157" s="19" t="str">
        <f aca="false">IF($A157="","",IF(OR(M157&gt;=4,I157&lt;=-8%),"防守",IF(OR(M157&gt;=2,I157&lt;=-5%),"警戒","正常")))</f>
        <v/>
      </c>
      <c r="U157" s="19" t="str">
        <f aca="false">IF($A157="","",IF(AND(L157&gt;=3,M157&lt;=2,T157&lt;&gt;"防守"),"是","否"))</f>
        <v/>
      </c>
      <c r="V157" s="19" t="str">
        <f aca="false">IF($A157="","",IF(AND(E157&lt;N157,R157&lt;S157,M157&lt;=2,I157&gt;-15%),"是","否"))</f>
        <v/>
      </c>
      <c r="W157" s="19" t="str">
        <f aca="false">IF($A157="","",IF(OR(M157&gt;=3,I157&lt;=-15%),"是","否"))</f>
        <v/>
      </c>
      <c r="X157" s="15" t="str">
        <f aca="false">IF($A157="","",IFERROR(maxifs(候选池!$AB:$AB,候选池!$A:$A,$A157),0))</f>
        <v/>
      </c>
      <c r="Y157" s="15" t="str">
        <f aca="false">IF($A157="","",IF(OR(M157&gt;=4,I157&lt;=-8%),MAX(0,B157*60%-C157),IF(AND(ISNUMBER(AD157),B157&gt;AD157),IF(B157&lt;30000,0,IF(B157&lt;100000,MAX(0,(B157-AD157)*0.2),MAX(0,(B157-AD157)*0.3))),0)))</f>
        <v/>
      </c>
      <c r="Z157" s="7"/>
      <c r="AA157" s="19" t="str">
        <f aca="false">IF($A157="","",IF($AA$2&lt;&gt;"",$AA$2,""))</f>
        <v/>
      </c>
      <c r="AB157" s="7" t="str">
        <f aca="false">IF($A157="","",IF(B157&lt;30000,0.03,IF(B157&lt;100000,0.02,0.015)))</f>
        <v/>
      </c>
      <c r="AC157" s="18" t="str">
        <f aca="false">IF($A157="","",IFERROR(DATEDIF($A$2,$A157,"m"),0))</f>
        <v/>
      </c>
      <c r="AD157" s="15" t="str">
        <f aca="false">IF($A157="","",IF(OR(AA157="",AB157="",AC157=""),"",AA157*POWER(1+AB157,AC157)))</f>
        <v/>
      </c>
      <c r="AE157" s="27" t="str">
        <f aca="false">IF($A157="","",IF(OR(AD157="",AD157=0),"",B157/AD157-1))</f>
        <v/>
      </c>
      <c r="AG157" s="1" t="str">
        <f aca="false">IF($A157="","",IF(B157&lt;30000,"婴儿",IF(B157&lt;100000,"成长","成熟")))</f>
        <v/>
      </c>
      <c r="AH157" s="22"/>
      <c r="AJ157" s="22"/>
      <c r="AK157" s="22"/>
      <c r="AM157" s="22"/>
      <c r="AP157" s="13"/>
      <c r="AQ157" s="23" t="str">
        <f aca="false">IF($A157="","",B157-$AA$2-SUM($F$2:F157))</f>
        <v/>
      </c>
    </row>
    <row r="158" customFormat="false" ht="15" hidden="false" customHeight="true" outlineLevel="0" collapsed="false">
      <c r="A158" s="5"/>
      <c r="B158" s="14"/>
      <c r="C158" s="14"/>
      <c r="D158" s="15" t="str">
        <f aca="false">IF($A158="","",SUMIFS(持仓表!$J:$J,持仓表!$A:$A,$A158))</f>
        <v/>
      </c>
      <c r="E158" s="16" t="n">
        <f aca="false">IFERROR(D158/B158,0)</f>
        <v>0</v>
      </c>
      <c r="F158" s="14"/>
      <c r="G158" s="15" t="str">
        <f aca="false">IF($B158="","",MAX($B$2:B158))</f>
        <v/>
      </c>
      <c r="H158" s="16" t="n">
        <f aca="false">IFERROR((B158-F158)/F158,0)</f>
        <v>0</v>
      </c>
      <c r="I158" s="16" t="n">
        <f aca="false">IFERROR((B158-G158)/G158,0)</f>
        <v>0</v>
      </c>
      <c r="J158" s="11"/>
      <c r="K158" s="5"/>
      <c r="L158" s="17"/>
      <c r="M158" s="17"/>
      <c r="N158" s="16" t="str">
        <f aca="false">IF($B158="","",MIN(70%,IF($I158&lt;=-15%,10%,IF($I158&lt;=-10%,30%,IF($M158&gt;=4,10%,IF($M158&gt;=3,30%,IF($J158="强",IF($K158="A",70%,IF($K158="B",60%,40%)),IF($J158="中性",IF($K158="A",50%,IF($K158="B",40%,25%)),IF($K158="A",30%,IF($K158="B",20%,10%))))))))))</f>
        <v/>
      </c>
      <c r="O158" s="16" t="str">
        <f aca="false">IF($B158="","",IF(B158&lt;30000,35%,IF(B158&lt;50000,30%,IF(B158&lt;100000,25%,20%))))</f>
        <v/>
      </c>
      <c r="P158" s="18" t="str">
        <f aca="false">IF($A158="","",COUNTIFS(持仓表!$A:$A,$A158,持仓表!$G:$G,"&gt;0"))</f>
        <v/>
      </c>
      <c r="Q158" s="18" t="str">
        <f aca="false">IF($A158="","",COUNTIFS(持仓表!$A:$A,$A158,持仓表!$D:$D,"是",持仓表!$G:$G,"&gt;0"))</f>
        <v/>
      </c>
      <c r="R158" s="18" t="str">
        <f aca="false">IF($A158="","",MAX(0,P158-Q158))</f>
        <v/>
      </c>
      <c r="S158" s="18" t="str">
        <f aca="false">IF($B158="","",IF(B158&lt;50000,3,IF(B158&lt;100000,4,5)))</f>
        <v/>
      </c>
      <c r="T158" s="19" t="str">
        <f aca="false">IF($A158="","",IF(OR(M158&gt;=4,I158&lt;=-8%),"防守",IF(OR(M158&gt;=2,I158&lt;=-5%),"警戒","正常")))</f>
        <v/>
      </c>
      <c r="U158" s="19" t="str">
        <f aca="false">IF($A158="","",IF(AND(L158&gt;=3,M158&lt;=2,T158&lt;&gt;"防守"),"是","否"))</f>
        <v/>
      </c>
      <c r="V158" s="19" t="str">
        <f aca="false">IF($A158="","",IF(AND(E158&lt;N158,R158&lt;S158,M158&lt;=2,I158&gt;-15%),"是","否"))</f>
        <v/>
      </c>
      <c r="W158" s="19" t="str">
        <f aca="false">IF($A158="","",IF(OR(M158&gt;=3,I158&lt;=-15%),"是","否"))</f>
        <v/>
      </c>
      <c r="X158" s="15" t="str">
        <f aca="false">IF($A158="","",IFERROR(maxifs(候选池!$AB:$AB,候选池!$A:$A,$A158),0))</f>
        <v/>
      </c>
      <c r="Y158" s="15" t="str">
        <f aca="false">IF($A158="","",IF(OR(M158&gt;=4,I158&lt;=-8%),MAX(0,B158*60%-C158),IF(AND(ISNUMBER(AD158),B158&gt;AD158),IF(B158&lt;30000,0,IF(B158&lt;100000,MAX(0,(B158-AD158)*0.2),MAX(0,(B158-AD158)*0.3))),0)))</f>
        <v/>
      </c>
      <c r="Z158" s="5"/>
      <c r="AA158" s="19" t="str">
        <f aca="false">IF($A158="","",IF($AA$2&lt;&gt;"",$AA$2,""))</f>
        <v/>
      </c>
      <c r="AB158" s="5" t="str">
        <f aca="false">IF($A158="","",IF(B158&lt;30000,0.03,IF(B158&lt;100000,0.02,0.015)))</f>
        <v/>
      </c>
      <c r="AC158" s="18" t="str">
        <f aca="false">IF($A158="","",IFERROR(DATEDIF($A$2,$A158,"m"),0))</f>
        <v/>
      </c>
      <c r="AD158" s="15" t="str">
        <f aca="false">IF($A158="","",IF(OR(AA158="",AB158="",AC158=""),"",AA158*POWER(1+AB158,AC158)))</f>
        <v/>
      </c>
      <c r="AE158" s="21" t="str">
        <f aca="false">IF($A158="","",IF(OR(AD158="",AD158=0),"",B158/AD158-1))</f>
        <v/>
      </c>
      <c r="AG158" s="1" t="str">
        <f aca="false">IF($A158="","",IF(B158&lt;30000,"婴儿",IF(B158&lt;100000,"成长","成熟")))</f>
        <v/>
      </c>
      <c r="AH158" s="22"/>
      <c r="AJ158" s="22"/>
      <c r="AK158" s="22"/>
      <c r="AM158" s="22"/>
      <c r="AP158" s="13"/>
      <c r="AQ158" s="23" t="str">
        <f aca="false">IF($A158="","",B158-$AA$2-SUM($F$2:F158))</f>
        <v/>
      </c>
    </row>
    <row r="159" customFormat="false" ht="15" hidden="false" customHeight="true" outlineLevel="0" collapsed="false">
      <c r="A159" s="7"/>
      <c r="B159" s="24"/>
      <c r="C159" s="24"/>
      <c r="D159" s="15" t="str">
        <f aca="false">IF($A159="","",SUMIFS(持仓表!$J:$J,持仓表!$A:$A,$A159))</f>
        <v/>
      </c>
      <c r="E159" s="16" t="n">
        <f aca="false">IFERROR(D159/B159,0)</f>
        <v>0</v>
      </c>
      <c r="F159" s="24"/>
      <c r="G159" s="15" t="str">
        <f aca="false">IF($B159="","",MAX($B$2:B159))</f>
        <v/>
      </c>
      <c r="H159" s="16" t="n">
        <f aca="false">IFERROR((B159-F159)/F159,0)</f>
        <v>0</v>
      </c>
      <c r="I159" s="16" t="n">
        <f aca="false">IFERROR((B159-G159)/G159,0)</f>
        <v>0</v>
      </c>
      <c r="J159" s="12"/>
      <c r="K159" s="7"/>
      <c r="L159" s="25"/>
      <c r="M159" s="25"/>
      <c r="N159" s="16" t="str">
        <f aca="false">IF($B159="","",MIN(70%,IF($I159&lt;=-15%,10%,IF($I159&lt;=-10%,30%,IF($M159&gt;=4,10%,IF($M159&gt;=3,30%,IF($J159="强",IF($K159="A",70%,IF($K159="B",60%,40%)),IF($J159="中性",IF($K159="A",50%,IF($K159="B",40%,25%)),IF($K159="A",30%,IF($K159="B",20%,10%))))))))))</f>
        <v/>
      </c>
      <c r="O159" s="16" t="str">
        <f aca="false">IF($B159="","",IF(B159&lt;30000,35%,IF(B159&lt;50000,30%,IF(B159&lt;100000,25%,20%))))</f>
        <v/>
      </c>
      <c r="P159" s="18" t="str">
        <f aca="false">IF($A159="","",COUNTIFS(持仓表!$A:$A,$A159,持仓表!$G:$G,"&gt;0"))</f>
        <v/>
      </c>
      <c r="Q159" s="18" t="str">
        <f aca="false">IF($A159="","",COUNTIFS(持仓表!$A:$A,$A159,持仓表!$D:$D,"是",持仓表!$G:$G,"&gt;0"))</f>
        <v/>
      </c>
      <c r="R159" s="18" t="str">
        <f aca="false">IF($A159="","",MAX(0,P159-Q159))</f>
        <v/>
      </c>
      <c r="S159" s="18" t="str">
        <f aca="false">IF($B159="","",IF(B159&lt;50000,3,IF(B159&lt;100000,4,5)))</f>
        <v/>
      </c>
      <c r="T159" s="19" t="str">
        <f aca="false">IF($A159="","",IF(OR(M159&gt;=4,I159&lt;=-8%),"防守",IF(OR(M159&gt;=2,I159&lt;=-5%),"警戒","正常")))</f>
        <v/>
      </c>
      <c r="U159" s="19" t="str">
        <f aca="false">IF($A159="","",IF(AND(L159&gt;=3,M159&lt;=2,T159&lt;&gt;"防守"),"是","否"))</f>
        <v/>
      </c>
      <c r="V159" s="19" t="str">
        <f aca="false">IF($A159="","",IF(AND(E159&lt;N159,R159&lt;S159,M159&lt;=2,I159&gt;-15%),"是","否"))</f>
        <v/>
      </c>
      <c r="W159" s="19" t="str">
        <f aca="false">IF($A159="","",IF(OR(M159&gt;=3,I159&lt;=-15%),"是","否"))</f>
        <v/>
      </c>
      <c r="X159" s="15" t="str">
        <f aca="false">IF($A159="","",IFERROR(maxifs(候选池!$AB:$AB,候选池!$A:$A,$A159),0))</f>
        <v/>
      </c>
      <c r="Y159" s="15" t="str">
        <f aca="false">IF($A159="","",IF(OR(M159&gt;=4,I159&lt;=-8%),MAX(0,B159*60%-C159),IF(AND(ISNUMBER(AD159),B159&gt;AD159),IF(B159&lt;30000,0,IF(B159&lt;100000,MAX(0,(B159-AD159)*0.2),MAX(0,(B159-AD159)*0.3))),0)))</f>
        <v/>
      </c>
      <c r="Z159" s="7"/>
      <c r="AA159" s="19" t="str">
        <f aca="false">IF($A159="","",IF($AA$2&lt;&gt;"",$AA$2,""))</f>
        <v/>
      </c>
      <c r="AB159" s="7" t="str">
        <f aca="false">IF($A159="","",IF(B159&lt;30000,0.03,IF(B159&lt;100000,0.02,0.015)))</f>
        <v/>
      </c>
      <c r="AC159" s="18" t="str">
        <f aca="false">IF($A159="","",IFERROR(DATEDIF($A$2,$A159,"m"),0))</f>
        <v/>
      </c>
      <c r="AD159" s="15" t="str">
        <f aca="false">IF($A159="","",IF(OR(AA159="",AB159="",AC159=""),"",AA159*POWER(1+AB159,AC159)))</f>
        <v/>
      </c>
      <c r="AE159" s="27" t="str">
        <f aca="false">IF($A159="","",IF(OR(AD159="",AD159=0),"",B159/AD159-1))</f>
        <v/>
      </c>
      <c r="AG159" s="1" t="str">
        <f aca="false">IF($A159="","",IF(B159&lt;30000,"婴儿",IF(B159&lt;100000,"成长","成熟")))</f>
        <v/>
      </c>
      <c r="AH159" s="22"/>
      <c r="AJ159" s="22"/>
      <c r="AK159" s="22"/>
      <c r="AM159" s="22"/>
      <c r="AP159" s="13"/>
      <c r="AQ159" s="23" t="str">
        <f aca="false">IF($A159="","",B159-$AA$2-SUM($F$2:F159))</f>
        <v/>
      </c>
    </row>
    <row r="160" customFormat="false" ht="15" hidden="false" customHeight="true" outlineLevel="0" collapsed="false">
      <c r="A160" s="5"/>
      <c r="B160" s="14"/>
      <c r="C160" s="14"/>
      <c r="D160" s="15" t="str">
        <f aca="false">IF($A160="","",SUMIFS(持仓表!$J:$J,持仓表!$A:$A,$A160))</f>
        <v/>
      </c>
      <c r="E160" s="16" t="n">
        <f aca="false">IFERROR(D160/B160,0)</f>
        <v>0</v>
      </c>
      <c r="F160" s="14"/>
      <c r="G160" s="15" t="str">
        <f aca="false">IF($B160="","",MAX($B$2:B160))</f>
        <v/>
      </c>
      <c r="H160" s="16" t="n">
        <f aca="false">IFERROR((B160-F160)/F160,0)</f>
        <v>0</v>
      </c>
      <c r="I160" s="16" t="n">
        <f aca="false">IFERROR((B160-G160)/G160,0)</f>
        <v>0</v>
      </c>
      <c r="J160" s="11"/>
      <c r="K160" s="5"/>
      <c r="L160" s="17"/>
      <c r="M160" s="17"/>
      <c r="N160" s="16" t="str">
        <f aca="false">IF($B160="","",MIN(70%,IF($I160&lt;=-15%,10%,IF($I160&lt;=-10%,30%,IF($M160&gt;=4,10%,IF($M160&gt;=3,30%,IF($J160="强",IF($K160="A",70%,IF($K160="B",60%,40%)),IF($J160="中性",IF($K160="A",50%,IF($K160="B",40%,25%)),IF($K160="A",30%,IF($K160="B",20%,10%))))))))))</f>
        <v/>
      </c>
      <c r="O160" s="16" t="str">
        <f aca="false">IF($B160="","",IF(B160&lt;30000,35%,IF(B160&lt;50000,30%,IF(B160&lt;100000,25%,20%))))</f>
        <v/>
      </c>
      <c r="P160" s="18" t="str">
        <f aca="false">IF($A160="","",COUNTIFS(持仓表!$A:$A,$A160,持仓表!$G:$G,"&gt;0"))</f>
        <v/>
      </c>
      <c r="Q160" s="18" t="str">
        <f aca="false">IF($A160="","",COUNTIFS(持仓表!$A:$A,$A160,持仓表!$D:$D,"是",持仓表!$G:$G,"&gt;0"))</f>
        <v/>
      </c>
      <c r="R160" s="18" t="str">
        <f aca="false">IF($A160="","",MAX(0,P160-Q160))</f>
        <v/>
      </c>
      <c r="S160" s="18" t="str">
        <f aca="false">IF($B160="","",IF(B160&lt;50000,3,IF(B160&lt;100000,4,5)))</f>
        <v/>
      </c>
      <c r="T160" s="19" t="str">
        <f aca="false">IF($A160="","",IF(OR(M160&gt;=4,I160&lt;=-8%),"防守",IF(OR(M160&gt;=2,I160&lt;=-5%),"警戒","正常")))</f>
        <v/>
      </c>
      <c r="U160" s="19" t="str">
        <f aca="false">IF($A160="","",IF(AND(L160&gt;=3,M160&lt;=2,T160&lt;&gt;"防守"),"是","否"))</f>
        <v/>
      </c>
      <c r="V160" s="19" t="str">
        <f aca="false">IF($A160="","",IF(AND(E160&lt;N160,R160&lt;S160,M160&lt;=2,I160&gt;-15%),"是","否"))</f>
        <v/>
      </c>
      <c r="W160" s="19" t="str">
        <f aca="false">IF($A160="","",IF(OR(M160&gt;=3,I160&lt;=-15%),"是","否"))</f>
        <v/>
      </c>
      <c r="X160" s="15" t="str">
        <f aca="false">IF($A160="","",IFERROR(maxifs(候选池!$AB:$AB,候选池!$A:$A,$A160),0))</f>
        <v/>
      </c>
      <c r="Y160" s="15" t="str">
        <f aca="false">IF($A160="","",IF(OR(M160&gt;=4,I160&lt;=-8%),MAX(0,B160*60%-C160),IF(AND(ISNUMBER(AD160),B160&gt;AD160),IF(B160&lt;30000,0,IF(B160&lt;100000,MAX(0,(B160-AD160)*0.2),MAX(0,(B160-AD160)*0.3))),0)))</f>
        <v/>
      </c>
      <c r="Z160" s="5"/>
      <c r="AA160" s="19" t="str">
        <f aca="false">IF($A160="","",IF($AA$2&lt;&gt;"",$AA$2,""))</f>
        <v/>
      </c>
      <c r="AB160" s="5" t="str">
        <f aca="false">IF($A160="","",IF(B160&lt;30000,0.03,IF(B160&lt;100000,0.02,0.015)))</f>
        <v/>
      </c>
      <c r="AC160" s="18" t="str">
        <f aca="false">IF($A160="","",IFERROR(DATEDIF($A$2,$A160,"m"),0))</f>
        <v/>
      </c>
      <c r="AD160" s="15" t="str">
        <f aca="false">IF($A160="","",IF(OR(AA160="",AB160="",AC160=""),"",AA160*POWER(1+AB160,AC160)))</f>
        <v/>
      </c>
      <c r="AE160" s="21" t="str">
        <f aca="false">IF($A160="","",IF(OR(AD160="",AD160=0),"",B160/AD160-1))</f>
        <v/>
      </c>
      <c r="AG160" s="1" t="str">
        <f aca="false">IF($A160="","",IF(B160&lt;30000,"婴儿",IF(B160&lt;100000,"成长","成熟")))</f>
        <v/>
      </c>
      <c r="AH160" s="22"/>
      <c r="AJ160" s="22"/>
      <c r="AK160" s="22"/>
      <c r="AM160" s="22"/>
      <c r="AP160" s="13"/>
      <c r="AQ160" s="23" t="str">
        <f aca="false">IF($A160="","",B160-$AA$2-SUM($F$2:F160))</f>
        <v/>
      </c>
    </row>
    <row r="161" customFormat="false" ht="15" hidden="false" customHeight="true" outlineLevel="0" collapsed="false">
      <c r="A161" s="7"/>
      <c r="B161" s="24"/>
      <c r="C161" s="24"/>
      <c r="D161" s="15" t="str">
        <f aca="false">IF($A161="","",SUMIFS(持仓表!$J:$J,持仓表!$A:$A,$A161))</f>
        <v/>
      </c>
      <c r="E161" s="16" t="n">
        <f aca="false">IFERROR(D161/B161,0)</f>
        <v>0</v>
      </c>
      <c r="F161" s="24"/>
      <c r="G161" s="15" t="str">
        <f aca="false">IF($B161="","",MAX($B$2:B161))</f>
        <v/>
      </c>
      <c r="H161" s="16" t="n">
        <f aca="false">IFERROR((B161-F161)/F161,0)</f>
        <v>0</v>
      </c>
      <c r="I161" s="16" t="n">
        <f aca="false">IFERROR((B161-G161)/G161,0)</f>
        <v>0</v>
      </c>
      <c r="J161" s="12"/>
      <c r="K161" s="7"/>
      <c r="L161" s="25"/>
      <c r="M161" s="25"/>
      <c r="N161" s="16" t="str">
        <f aca="false">IF($B161="","",MIN(70%,IF($I161&lt;=-15%,10%,IF($I161&lt;=-10%,30%,IF($M161&gt;=4,10%,IF($M161&gt;=3,30%,IF($J161="强",IF($K161="A",70%,IF($K161="B",60%,40%)),IF($J161="中性",IF($K161="A",50%,IF($K161="B",40%,25%)),IF($K161="A",30%,IF($K161="B",20%,10%))))))))))</f>
        <v/>
      </c>
      <c r="O161" s="16" t="str">
        <f aca="false">IF($B161="","",IF(B161&lt;30000,35%,IF(B161&lt;50000,30%,IF(B161&lt;100000,25%,20%))))</f>
        <v/>
      </c>
      <c r="P161" s="18" t="str">
        <f aca="false">IF($A161="","",COUNTIFS(持仓表!$A:$A,$A161,持仓表!$G:$G,"&gt;0"))</f>
        <v/>
      </c>
      <c r="Q161" s="18" t="str">
        <f aca="false">IF($A161="","",COUNTIFS(持仓表!$A:$A,$A161,持仓表!$D:$D,"是",持仓表!$G:$G,"&gt;0"))</f>
        <v/>
      </c>
      <c r="R161" s="18" t="str">
        <f aca="false">IF($A161="","",MAX(0,P161-Q161))</f>
        <v/>
      </c>
      <c r="S161" s="18" t="str">
        <f aca="false">IF($B161="","",IF(B161&lt;50000,3,IF(B161&lt;100000,4,5)))</f>
        <v/>
      </c>
      <c r="T161" s="19" t="str">
        <f aca="false">IF($A161="","",IF(OR(M161&gt;=4,I161&lt;=-8%),"防守",IF(OR(M161&gt;=2,I161&lt;=-5%),"警戒","正常")))</f>
        <v/>
      </c>
      <c r="U161" s="19" t="str">
        <f aca="false">IF($A161="","",IF(AND(L161&gt;=3,M161&lt;=2,T161&lt;&gt;"防守"),"是","否"))</f>
        <v/>
      </c>
      <c r="V161" s="19" t="str">
        <f aca="false">IF($A161="","",IF(AND(E161&lt;N161,R161&lt;S161,M161&lt;=2,I161&gt;-15%),"是","否"))</f>
        <v/>
      </c>
      <c r="W161" s="19" t="str">
        <f aca="false">IF($A161="","",IF(OR(M161&gt;=3,I161&lt;=-15%),"是","否"))</f>
        <v/>
      </c>
      <c r="X161" s="15" t="str">
        <f aca="false">IF($A161="","",IFERROR(maxifs(候选池!$AB:$AB,候选池!$A:$A,$A161),0))</f>
        <v/>
      </c>
      <c r="Y161" s="15" t="str">
        <f aca="false">IF($A161="","",IF(OR(M161&gt;=4,I161&lt;=-8%),MAX(0,B161*60%-C161),IF(AND(ISNUMBER(AD161),B161&gt;AD161),IF(B161&lt;30000,0,IF(B161&lt;100000,MAX(0,(B161-AD161)*0.2),MAX(0,(B161-AD161)*0.3))),0)))</f>
        <v/>
      </c>
      <c r="Z161" s="7"/>
      <c r="AA161" s="19" t="str">
        <f aca="false">IF($A161="","",IF($AA$2&lt;&gt;"",$AA$2,""))</f>
        <v/>
      </c>
      <c r="AB161" s="7" t="str">
        <f aca="false">IF($A161="","",IF(B161&lt;30000,0.03,IF(B161&lt;100000,0.02,0.015)))</f>
        <v/>
      </c>
      <c r="AC161" s="18" t="str">
        <f aca="false">IF($A161="","",IFERROR(DATEDIF($A$2,$A161,"m"),0))</f>
        <v/>
      </c>
      <c r="AD161" s="15" t="str">
        <f aca="false">IF($A161="","",IF(OR(AA161="",AB161="",AC161=""),"",AA161*POWER(1+AB161,AC161)))</f>
        <v/>
      </c>
      <c r="AE161" s="27" t="str">
        <f aca="false">IF($A161="","",IF(OR(AD161="",AD161=0),"",B161/AD161-1))</f>
        <v/>
      </c>
      <c r="AG161" s="1" t="str">
        <f aca="false">IF($A161="","",IF(B161&lt;30000,"婴儿",IF(B161&lt;100000,"成长","成熟")))</f>
        <v/>
      </c>
      <c r="AH161" s="22"/>
      <c r="AJ161" s="22"/>
      <c r="AK161" s="22"/>
      <c r="AM161" s="22"/>
      <c r="AP161" s="13"/>
      <c r="AQ161" s="23" t="str">
        <f aca="false">IF($A161="","",B161-$AA$2-SUM($F$2:F161))</f>
        <v/>
      </c>
    </row>
    <row r="162" customFormat="false" ht="15" hidden="false" customHeight="true" outlineLevel="0" collapsed="false">
      <c r="A162" s="5"/>
      <c r="B162" s="14"/>
      <c r="C162" s="14"/>
      <c r="D162" s="15" t="str">
        <f aca="false">IF($A162="","",SUMIFS(持仓表!$J:$J,持仓表!$A:$A,$A162))</f>
        <v/>
      </c>
      <c r="E162" s="16" t="n">
        <f aca="false">IFERROR(D162/B162,0)</f>
        <v>0</v>
      </c>
      <c r="F162" s="14"/>
      <c r="G162" s="15" t="str">
        <f aca="false">IF($B162="","",MAX($B$2:B162))</f>
        <v/>
      </c>
      <c r="H162" s="16" t="n">
        <f aca="false">IFERROR((B162-F162)/F162,0)</f>
        <v>0</v>
      </c>
      <c r="I162" s="16" t="n">
        <f aca="false">IFERROR((B162-G162)/G162,0)</f>
        <v>0</v>
      </c>
      <c r="J162" s="11"/>
      <c r="K162" s="5"/>
      <c r="L162" s="17"/>
      <c r="M162" s="17"/>
      <c r="N162" s="16" t="str">
        <f aca="false">IF($B162="","",MIN(70%,IF($I162&lt;=-15%,10%,IF($I162&lt;=-10%,30%,IF($M162&gt;=4,10%,IF($M162&gt;=3,30%,IF($J162="强",IF($K162="A",70%,IF($K162="B",60%,40%)),IF($J162="中性",IF($K162="A",50%,IF($K162="B",40%,25%)),IF($K162="A",30%,IF($K162="B",20%,10%))))))))))</f>
        <v/>
      </c>
      <c r="O162" s="16" t="str">
        <f aca="false">IF($B162="","",IF(B162&lt;30000,35%,IF(B162&lt;50000,30%,IF(B162&lt;100000,25%,20%))))</f>
        <v/>
      </c>
      <c r="P162" s="18" t="str">
        <f aca="false">IF($A162="","",COUNTIFS(持仓表!$A:$A,$A162,持仓表!$G:$G,"&gt;0"))</f>
        <v/>
      </c>
      <c r="Q162" s="18" t="str">
        <f aca="false">IF($A162="","",COUNTIFS(持仓表!$A:$A,$A162,持仓表!$D:$D,"是",持仓表!$G:$G,"&gt;0"))</f>
        <v/>
      </c>
      <c r="R162" s="18" t="str">
        <f aca="false">IF($A162="","",MAX(0,P162-Q162))</f>
        <v/>
      </c>
      <c r="S162" s="18" t="str">
        <f aca="false">IF($B162="","",IF(B162&lt;50000,3,IF(B162&lt;100000,4,5)))</f>
        <v/>
      </c>
      <c r="T162" s="19" t="str">
        <f aca="false">IF($A162="","",IF(OR(M162&gt;=4,I162&lt;=-8%),"防守",IF(OR(M162&gt;=2,I162&lt;=-5%),"警戒","正常")))</f>
        <v/>
      </c>
      <c r="U162" s="19" t="str">
        <f aca="false">IF($A162="","",IF(AND(L162&gt;=3,M162&lt;=2,T162&lt;&gt;"防守"),"是","否"))</f>
        <v/>
      </c>
      <c r="V162" s="19" t="str">
        <f aca="false">IF($A162="","",IF(AND(E162&lt;N162,R162&lt;S162,M162&lt;=2,I162&gt;-15%),"是","否"))</f>
        <v/>
      </c>
      <c r="W162" s="19" t="str">
        <f aca="false">IF($A162="","",IF(OR(M162&gt;=3,I162&lt;=-15%),"是","否"))</f>
        <v/>
      </c>
      <c r="X162" s="15" t="str">
        <f aca="false">IF($A162="","",IFERROR(maxifs(候选池!$AB:$AB,候选池!$A:$A,$A162),0))</f>
        <v/>
      </c>
      <c r="Y162" s="15" t="str">
        <f aca="false">IF($A162="","",IF(OR(M162&gt;=4,I162&lt;=-8%),MAX(0,B162*60%-C162),IF(AND(ISNUMBER(AD162),B162&gt;AD162),IF(B162&lt;30000,0,IF(B162&lt;100000,MAX(0,(B162-AD162)*0.2),MAX(0,(B162-AD162)*0.3))),0)))</f>
        <v/>
      </c>
      <c r="Z162" s="5"/>
      <c r="AA162" s="19" t="str">
        <f aca="false">IF($A162="","",IF($AA$2&lt;&gt;"",$AA$2,""))</f>
        <v/>
      </c>
      <c r="AB162" s="5" t="str">
        <f aca="false">IF($A162="","",IF(B162&lt;30000,0.03,IF(B162&lt;100000,0.02,0.015)))</f>
        <v/>
      </c>
      <c r="AC162" s="18" t="str">
        <f aca="false">IF($A162="","",IFERROR(DATEDIF($A$2,$A162,"m"),0))</f>
        <v/>
      </c>
      <c r="AD162" s="15" t="str">
        <f aca="false">IF($A162="","",IF(OR(AA162="",AB162="",AC162=""),"",AA162*POWER(1+AB162,AC162)))</f>
        <v/>
      </c>
      <c r="AE162" s="21" t="str">
        <f aca="false">IF($A162="","",IF(OR(AD162="",AD162=0),"",B162/AD162-1))</f>
        <v/>
      </c>
      <c r="AG162" s="1" t="str">
        <f aca="false">IF($A162="","",IF(B162&lt;30000,"婴儿",IF(B162&lt;100000,"成长","成熟")))</f>
        <v/>
      </c>
      <c r="AH162" s="22"/>
      <c r="AJ162" s="22"/>
      <c r="AK162" s="22"/>
      <c r="AM162" s="22"/>
      <c r="AP162" s="13"/>
      <c r="AQ162" s="23" t="str">
        <f aca="false">IF($A162="","",B162-$AA$2-SUM($F$2:F162))</f>
        <v/>
      </c>
    </row>
    <row r="163" customFormat="false" ht="15" hidden="false" customHeight="true" outlineLevel="0" collapsed="false">
      <c r="A163" s="7"/>
      <c r="B163" s="24"/>
      <c r="C163" s="24"/>
      <c r="D163" s="15" t="str">
        <f aca="false">IF($A163="","",SUMIFS(持仓表!$J:$J,持仓表!$A:$A,$A163))</f>
        <v/>
      </c>
      <c r="E163" s="16" t="n">
        <f aca="false">IFERROR(D163/B163,0)</f>
        <v>0</v>
      </c>
      <c r="F163" s="24"/>
      <c r="G163" s="15" t="str">
        <f aca="false">IF($B163="","",MAX($B$2:B163))</f>
        <v/>
      </c>
      <c r="H163" s="16" t="n">
        <f aca="false">IFERROR((B163-F163)/F163,0)</f>
        <v>0</v>
      </c>
      <c r="I163" s="16" t="n">
        <f aca="false">IFERROR((B163-G163)/G163,0)</f>
        <v>0</v>
      </c>
      <c r="J163" s="12"/>
      <c r="K163" s="7"/>
      <c r="L163" s="25"/>
      <c r="M163" s="25"/>
      <c r="N163" s="16" t="str">
        <f aca="false">IF($B163="","",MIN(70%,IF($I163&lt;=-15%,10%,IF($I163&lt;=-10%,30%,IF($M163&gt;=4,10%,IF($M163&gt;=3,30%,IF($J163="强",IF($K163="A",70%,IF($K163="B",60%,40%)),IF($J163="中性",IF($K163="A",50%,IF($K163="B",40%,25%)),IF($K163="A",30%,IF($K163="B",20%,10%))))))))))</f>
        <v/>
      </c>
      <c r="O163" s="16" t="str">
        <f aca="false">IF($B163="","",IF(B163&lt;30000,35%,IF(B163&lt;50000,30%,IF(B163&lt;100000,25%,20%))))</f>
        <v/>
      </c>
      <c r="P163" s="18" t="str">
        <f aca="false">IF($A163="","",COUNTIFS(持仓表!$A:$A,$A163,持仓表!$G:$G,"&gt;0"))</f>
        <v/>
      </c>
      <c r="Q163" s="18" t="str">
        <f aca="false">IF($A163="","",COUNTIFS(持仓表!$A:$A,$A163,持仓表!$D:$D,"是",持仓表!$G:$G,"&gt;0"))</f>
        <v/>
      </c>
      <c r="R163" s="18" t="str">
        <f aca="false">IF($A163="","",MAX(0,P163-Q163))</f>
        <v/>
      </c>
      <c r="S163" s="18" t="str">
        <f aca="false">IF($B163="","",IF(B163&lt;50000,3,IF(B163&lt;100000,4,5)))</f>
        <v/>
      </c>
      <c r="T163" s="19" t="str">
        <f aca="false">IF($A163="","",IF(OR(M163&gt;=4,I163&lt;=-8%),"防守",IF(OR(M163&gt;=2,I163&lt;=-5%),"警戒","正常")))</f>
        <v/>
      </c>
      <c r="U163" s="19" t="str">
        <f aca="false">IF($A163="","",IF(AND(L163&gt;=3,M163&lt;=2,T163&lt;&gt;"防守"),"是","否"))</f>
        <v/>
      </c>
      <c r="V163" s="19" t="str">
        <f aca="false">IF($A163="","",IF(AND(E163&lt;N163,R163&lt;S163,M163&lt;=2,I163&gt;-15%),"是","否"))</f>
        <v/>
      </c>
      <c r="W163" s="19" t="str">
        <f aca="false">IF($A163="","",IF(OR(M163&gt;=3,I163&lt;=-15%),"是","否"))</f>
        <v/>
      </c>
      <c r="X163" s="15" t="str">
        <f aca="false">IF($A163="","",IFERROR(maxifs(候选池!$AB:$AB,候选池!$A:$A,$A163),0))</f>
        <v/>
      </c>
      <c r="Y163" s="15" t="str">
        <f aca="false">IF($A163="","",IF(OR(M163&gt;=4,I163&lt;=-8%),MAX(0,B163*60%-C163),IF(AND(ISNUMBER(AD163),B163&gt;AD163),IF(B163&lt;30000,0,IF(B163&lt;100000,MAX(0,(B163-AD163)*0.2),MAX(0,(B163-AD163)*0.3))),0)))</f>
        <v/>
      </c>
      <c r="Z163" s="7"/>
      <c r="AA163" s="19" t="str">
        <f aca="false">IF($A163="","",IF($AA$2&lt;&gt;"",$AA$2,""))</f>
        <v/>
      </c>
      <c r="AB163" s="7" t="str">
        <f aca="false">IF($A163="","",IF(B163&lt;30000,0.03,IF(B163&lt;100000,0.02,0.015)))</f>
        <v/>
      </c>
      <c r="AC163" s="18" t="str">
        <f aca="false">IF($A163="","",IFERROR(DATEDIF($A$2,$A163,"m"),0))</f>
        <v/>
      </c>
      <c r="AD163" s="15" t="str">
        <f aca="false">IF($A163="","",IF(OR(AA163="",AB163="",AC163=""),"",AA163*POWER(1+AB163,AC163)))</f>
        <v/>
      </c>
      <c r="AE163" s="27" t="str">
        <f aca="false">IF($A163="","",IF(OR(AD163="",AD163=0),"",B163/AD163-1))</f>
        <v/>
      </c>
      <c r="AG163" s="1" t="str">
        <f aca="false">IF($A163="","",IF(B163&lt;30000,"婴儿",IF(B163&lt;100000,"成长","成熟")))</f>
        <v/>
      </c>
      <c r="AH163" s="22"/>
      <c r="AJ163" s="22"/>
      <c r="AK163" s="22"/>
      <c r="AM163" s="22"/>
      <c r="AP163" s="13"/>
      <c r="AQ163" s="23" t="str">
        <f aca="false">IF($A163="","",B163-$AA$2-SUM($F$2:F163))</f>
        <v/>
      </c>
    </row>
    <row r="164" customFormat="false" ht="15" hidden="false" customHeight="true" outlineLevel="0" collapsed="false">
      <c r="A164" s="5"/>
      <c r="B164" s="14"/>
      <c r="C164" s="14"/>
      <c r="D164" s="15" t="str">
        <f aca="false">IF($A164="","",SUMIFS(持仓表!$J:$J,持仓表!$A:$A,$A164))</f>
        <v/>
      </c>
      <c r="E164" s="16" t="n">
        <f aca="false">IFERROR(D164/B164,0)</f>
        <v>0</v>
      </c>
      <c r="F164" s="14"/>
      <c r="G164" s="15" t="str">
        <f aca="false">IF($B164="","",MAX($B$2:B164))</f>
        <v/>
      </c>
      <c r="H164" s="16" t="n">
        <f aca="false">IFERROR((B164-F164)/F164,0)</f>
        <v>0</v>
      </c>
      <c r="I164" s="16" t="n">
        <f aca="false">IFERROR((B164-G164)/G164,0)</f>
        <v>0</v>
      </c>
      <c r="J164" s="11"/>
      <c r="K164" s="5"/>
      <c r="L164" s="17"/>
      <c r="M164" s="17"/>
      <c r="N164" s="16" t="str">
        <f aca="false">IF($B164="","",MIN(70%,IF($I164&lt;=-15%,10%,IF($I164&lt;=-10%,30%,IF($M164&gt;=4,10%,IF($M164&gt;=3,30%,IF($J164="强",IF($K164="A",70%,IF($K164="B",60%,40%)),IF($J164="中性",IF($K164="A",50%,IF($K164="B",40%,25%)),IF($K164="A",30%,IF($K164="B",20%,10%))))))))))</f>
        <v/>
      </c>
      <c r="O164" s="16" t="str">
        <f aca="false">IF($B164="","",IF(B164&lt;30000,35%,IF(B164&lt;50000,30%,IF(B164&lt;100000,25%,20%))))</f>
        <v/>
      </c>
      <c r="P164" s="18" t="str">
        <f aca="false">IF($A164="","",COUNTIFS(持仓表!$A:$A,$A164,持仓表!$G:$G,"&gt;0"))</f>
        <v/>
      </c>
      <c r="Q164" s="18" t="str">
        <f aca="false">IF($A164="","",COUNTIFS(持仓表!$A:$A,$A164,持仓表!$D:$D,"是",持仓表!$G:$G,"&gt;0"))</f>
        <v/>
      </c>
      <c r="R164" s="18" t="str">
        <f aca="false">IF($A164="","",MAX(0,P164-Q164))</f>
        <v/>
      </c>
      <c r="S164" s="18" t="str">
        <f aca="false">IF($B164="","",IF(B164&lt;50000,3,IF(B164&lt;100000,4,5)))</f>
        <v/>
      </c>
      <c r="T164" s="19" t="str">
        <f aca="false">IF($A164="","",IF(OR(M164&gt;=4,I164&lt;=-8%),"防守",IF(OR(M164&gt;=2,I164&lt;=-5%),"警戒","正常")))</f>
        <v/>
      </c>
      <c r="U164" s="19" t="str">
        <f aca="false">IF($A164="","",IF(AND(L164&gt;=3,M164&lt;=2,T164&lt;&gt;"防守"),"是","否"))</f>
        <v/>
      </c>
      <c r="V164" s="19" t="str">
        <f aca="false">IF($A164="","",IF(AND(E164&lt;N164,R164&lt;S164,M164&lt;=2,I164&gt;-15%),"是","否"))</f>
        <v/>
      </c>
      <c r="W164" s="19" t="str">
        <f aca="false">IF($A164="","",IF(OR(M164&gt;=3,I164&lt;=-15%),"是","否"))</f>
        <v/>
      </c>
      <c r="X164" s="15" t="str">
        <f aca="false">IF($A164="","",IFERROR(maxifs(候选池!$AB:$AB,候选池!$A:$A,$A164),0))</f>
        <v/>
      </c>
      <c r="Y164" s="15" t="str">
        <f aca="false">IF($A164="","",IF(OR(M164&gt;=4,I164&lt;=-8%),MAX(0,B164*60%-C164),IF(AND(ISNUMBER(AD164),B164&gt;AD164),IF(B164&lt;30000,0,IF(B164&lt;100000,MAX(0,(B164-AD164)*0.2),MAX(0,(B164-AD164)*0.3))),0)))</f>
        <v/>
      </c>
      <c r="Z164" s="5"/>
      <c r="AA164" s="19" t="str">
        <f aca="false">IF($A164="","",IF($AA$2&lt;&gt;"",$AA$2,""))</f>
        <v/>
      </c>
      <c r="AB164" s="5" t="str">
        <f aca="false">IF($A164="","",IF(B164&lt;30000,0.03,IF(B164&lt;100000,0.02,0.015)))</f>
        <v/>
      </c>
      <c r="AC164" s="18" t="str">
        <f aca="false">IF($A164="","",IFERROR(DATEDIF($A$2,$A164,"m"),0))</f>
        <v/>
      </c>
      <c r="AD164" s="15" t="str">
        <f aca="false">IF($A164="","",IF(OR(AA164="",AB164="",AC164=""),"",AA164*POWER(1+AB164,AC164)))</f>
        <v/>
      </c>
      <c r="AE164" s="21" t="str">
        <f aca="false">IF($A164="","",IF(OR(AD164="",AD164=0),"",B164/AD164-1))</f>
        <v/>
      </c>
      <c r="AG164" s="1" t="str">
        <f aca="false">IF($A164="","",IF(B164&lt;30000,"婴儿",IF(B164&lt;100000,"成长","成熟")))</f>
        <v/>
      </c>
      <c r="AH164" s="22"/>
      <c r="AJ164" s="22"/>
      <c r="AK164" s="22"/>
      <c r="AM164" s="22"/>
      <c r="AP164" s="13"/>
      <c r="AQ164" s="23" t="str">
        <f aca="false">IF($A164="","",B164-$AA$2-SUM($F$2:F164))</f>
        <v/>
      </c>
    </row>
    <row r="165" customFormat="false" ht="15" hidden="false" customHeight="true" outlineLevel="0" collapsed="false">
      <c r="A165" s="7"/>
      <c r="B165" s="24"/>
      <c r="C165" s="24"/>
      <c r="D165" s="15" t="str">
        <f aca="false">IF($A165="","",SUMIFS(持仓表!$J:$J,持仓表!$A:$A,$A165))</f>
        <v/>
      </c>
      <c r="E165" s="16" t="n">
        <f aca="false">IFERROR(D165/B165,0)</f>
        <v>0</v>
      </c>
      <c r="F165" s="24"/>
      <c r="G165" s="15" t="str">
        <f aca="false">IF($B165="","",MAX($B$2:B165))</f>
        <v/>
      </c>
      <c r="H165" s="16" t="n">
        <f aca="false">IFERROR((B165-F165)/F165,0)</f>
        <v>0</v>
      </c>
      <c r="I165" s="16" t="n">
        <f aca="false">IFERROR((B165-G165)/G165,0)</f>
        <v>0</v>
      </c>
      <c r="J165" s="12"/>
      <c r="K165" s="7"/>
      <c r="L165" s="25"/>
      <c r="M165" s="25"/>
      <c r="N165" s="16" t="str">
        <f aca="false">IF($B165="","",MIN(70%,IF($I165&lt;=-15%,10%,IF($I165&lt;=-10%,30%,IF($M165&gt;=4,10%,IF($M165&gt;=3,30%,IF($J165="强",IF($K165="A",70%,IF($K165="B",60%,40%)),IF($J165="中性",IF($K165="A",50%,IF($K165="B",40%,25%)),IF($K165="A",30%,IF($K165="B",20%,10%))))))))))</f>
        <v/>
      </c>
      <c r="O165" s="16" t="str">
        <f aca="false">IF($B165="","",IF(B165&lt;30000,35%,IF(B165&lt;50000,30%,IF(B165&lt;100000,25%,20%))))</f>
        <v/>
      </c>
      <c r="P165" s="18" t="str">
        <f aca="false">IF($A165="","",COUNTIFS(持仓表!$A:$A,$A165,持仓表!$G:$G,"&gt;0"))</f>
        <v/>
      </c>
      <c r="Q165" s="18" t="str">
        <f aca="false">IF($A165="","",COUNTIFS(持仓表!$A:$A,$A165,持仓表!$D:$D,"是",持仓表!$G:$G,"&gt;0"))</f>
        <v/>
      </c>
      <c r="R165" s="18" t="str">
        <f aca="false">IF($A165="","",MAX(0,P165-Q165))</f>
        <v/>
      </c>
      <c r="S165" s="18" t="str">
        <f aca="false">IF($B165="","",IF(B165&lt;50000,3,IF(B165&lt;100000,4,5)))</f>
        <v/>
      </c>
      <c r="T165" s="19" t="str">
        <f aca="false">IF($A165="","",IF(OR(M165&gt;=4,I165&lt;=-8%),"防守",IF(OR(M165&gt;=2,I165&lt;=-5%),"警戒","正常")))</f>
        <v/>
      </c>
      <c r="U165" s="19" t="str">
        <f aca="false">IF($A165="","",IF(AND(L165&gt;=3,M165&lt;=2,T165&lt;&gt;"防守"),"是","否"))</f>
        <v/>
      </c>
      <c r="V165" s="19" t="str">
        <f aca="false">IF($A165="","",IF(AND(E165&lt;N165,R165&lt;S165,M165&lt;=2,I165&gt;-15%),"是","否"))</f>
        <v/>
      </c>
      <c r="W165" s="19" t="str">
        <f aca="false">IF($A165="","",IF(OR(M165&gt;=3,I165&lt;=-15%),"是","否"))</f>
        <v/>
      </c>
      <c r="X165" s="15" t="str">
        <f aca="false">IF($A165="","",IFERROR(maxifs(候选池!$AB:$AB,候选池!$A:$A,$A165),0))</f>
        <v/>
      </c>
      <c r="Y165" s="15" t="str">
        <f aca="false">IF($A165="","",IF(OR(M165&gt;=4,I165&lt;=-8%),MAX(0,B165*60%-C165),IF(AND(ISNUMBER(AD165),B165&gt;AD165),IF(B165&lt;30000,0,IF(B165&lt;100000,MAX(0,(B165-AD165)*0.2),MAX(0,(B165-AD165)*0.3))),0)))</f>
        <v/>
      </c>
      <c r="Z165" s="7"/>
      <c r="AA165" s="19" t="str">
        <f aca="false">IF($A165="","",IF($AA$2&lt;&gt;"",$AA$2,""))</f>
        <v/>
      </c>
      <c r="AB165" s="7" t="str">
        <f aca="false">IF($A165="","",IF(B165&lt;30000,0.03,IF(B165&lt;100000,0.02,0.015)))</f>
        <v/>
      </c>
      <c r="AC165" s="18" t="str">
        <f aca="false">IF($A165="","",IFERROR(DATEDIF($A$2,$A165,"m"),0))</f>
        <v/>
      </c>
      <c r="AD165" s="15" t="str">
        <f aca="false">IF($A165="","",IF(OR(AA165="",AB165="",AC165=""),"",AA165*POWER(1+AB165,AC165)))</f>
        <v/>
      </c>
      <c r="AE165" s="27" t="str">
        <f aca="false">IF($A165="","",IF(OR(AD165="",AD165=0),"",B165/AD165-1))</f>
        <v/>
      </c>
      <c r="AG165" s="1" t="str">
        <f aca="false">IF($A165="","",IF(B165&lt;30000,"婴儿",IF(B165&lt;100000,"成长","成熟")))</f>
        <v/>
      </c>
      <c r="AH165" s="22"/>
      <c r="AJ165" s="22"/>
      <c r="AK165" s="22"/>
      <c r="AM165" s="22"/>
      <c r="AP165" s="13"/>
      <c r="AQ165" s="23" t="str">
        <f aca="false">IF($A165="","",B165-$AA$2-SUM($F$2:F165))</f>
        <v/>
      </c>
    </row>
    <row r="166" customFormat="false" ht="15" hidden="false" customHeight="true" outlineLevel="0" collapsed="false">
      <c r="A166" s="5"/>
      <c r="B166" s="14"/>
      <c r="C166" s="14"/>
      <c r="D166" s="15" t="str">
        <f aca="false">IF($A166="","",SUMIFS(持仓表!$J:$J,持仓表!$A:$A,$A166))</f>
        <v/>
      </c>
      <c r="E166" s="16" t="n">
        <f aca="false">IFERROR(D166/B166,0)</f>
        <v>0</v>
      </c>
      <c r="F166" s="14"/>
      <c r="G166" s="15" t="str">
        <f aca="false">IF($B166="","",MAX($B$2:B166))</f>
        <v/>
      </c>
      <c r="H166" s="16" t="n">
        <f aca="false">IFERROR((B166-F166)/F166,0)</f>
        <v>0</v>
      </c>
      <c r="I166" s="16" t="n">
        <f aca="false">IFERROR((B166-G166)/G166,0)</f>
        <v>0</v>
      </c>
      <c r="J166" s="11"/>
      <c r="K166" s="5"/>
      <c r="L166" s="17"/>
      <c r="M166" s="17"/>
      <c r="N166" s="16" t="str">
        <f aca="false">IF($B166="","",MIN(70%,IF($I166&lt;=-15%,10%,IF($I166&lt;=-10%,30%,IF($M166&gt;=4,10%,IF($M166&gt;=3,30%,IF($J166="强",IF($K166="A",70%,IF($K166="B",60%,40%)),IF($J166="中性",IF($K166="A",50%,IF($K166="B",40%,25%)),IF($K166="A",30%,IF($K166="B",20%,10%))))))))))</f>
        <v/>
      </c>
      <c r="O166" s="16" t="str">
        <f aca="false">IF($B166="","",IF(B166&lt;30000,35%,IF(B166&lt;50000,30%,IF(B166&lt;100000,25%,20%))))</f>
        <v/>
      </c>
      <c r="P166" s="18" t="str">
        <f aca="false">IF($A166="","",COUNTIFS(持仓表!$A:$A,$A166,持仓表!$G:$G,"&gt;0"))</f>
        <v/>
      </c>
      <c r="Q166" s="18" t="str">
        <f aca="false">IF($A166="","",COUNTIFS(持仓表!$A:$A,$A166,持仓表!$D:$D,"是",持仓表!$G:$G,"&gt;0"))</f>
        <v/>
      </c>
      <c r="R166" s="18" t="str">
        <f aca="false">IF($A166="","",MAX(0,P166-Q166))</f>
        <v/>
      </c>
      <c r="S166" s="18" t="str">
        <f aca="false">IF($B166="","",IF(B166&lt;50000,3,IF(B166&lt;100000,4,5)))</f>
        <v/>
      </c>
      <c r="T166" s="19" t="str">
        <f aca="false">IF($A166="","",IF(OR(M166&gt;=4,I166&lt;=-8%),"防守",IF(OR(M166&gt;=2,I166&lt;=-5%),"警戒","正常")))</f>
        <v/>
      </c>
      <c r="U166" s="19" t="str">
        <f aca="false">IF($A166="","",IF(AND(L166&gt;=3,M166&lt;=2,T166&lt;&gt;"防守"),"是","否"))</f>
        <v/>
      </c>
      <c r="V166" s="19" t="str">
        <f aca="false">IF($A166="","",IF(AND(E166&lt;N166,R166&lt;S166,M166&lt;=2,I166&gt;-15%),"是","否"))</f>
        <v/>
      </c>
      <c r="W166" s="19" t="str">
        <f aca="false">IF($A166="","",IF(OR(M166&gt;=3,I166&lt;=-15%),"是","否"))</f>
        <v/>
      </c>
      <c r="X166" s="15" t="str">
        <f aca="false">IF($A166="","",IFERROR(maxifs(候选池!$AB:$AB,候选池!$A:$A,$A166),0))</f>
        <v/>
      </c>
      <c r="Y166" s="15" t="str">
        <f aca="false">IF($A166="","",IF(OR(M166&gt;=4,I166&lt;=-8%),MAX(0,B166*60%-C166),IF(AND(ISNUMBER(AD166),B166&gt;AD166),IF(B166&lt;30000,0,IF(B166&lt;100000,MAX(0,(B166-AD166)*0.2),MAX(0,(B166-AD166)*0.3))),0)))</f>
        <v/>
      </c>
      <c r="Z166" s="5"/>
      <c r="AA166" s="19" t="str">
        <f aca="false">IF($A166="","",IF($AA$2&lt;&gt;"",$AA$2,""))</f>
        <v/>
      </c>
      <c r="AB166" s="5" t="str">
        <f aca="false">IF($A166="","",IF(B166&lt;30000,0.03,IF(B166&lt;100000,0.02,0.015)))</f>
        <v/>
      </c>
      <c r="AC166" s="18" t="str">
        <f aca="false">IF($A166="","",IFERROR(DATEDIF($A$2,$A166,"m"),0))</f>
        <v/>
      </c>
      <c r="AD166" s="15" t="str">
        <f aca="false">IF($A166="","",IF(OR(AA166="",AB166="",AC166=""),"",AA166*POWER(1+AB166,AC166)))</f>
        <v/>
      </c>
      <c r="AE166" s="21" t="str">
        <f aca="false">IF($A166="","",IF(OR(AD166="",AD166=0),"",B166/AD166-1))</f>
        <v/>
      </c>
      <c r="AG166" s="1" t="str">
        <f aca="false">IF($A166="","",IF(B166&lt;30000,"婴儿",IF(B166&lt;100000,"成长","成熟")))</f>
        <v/>
      </c>
      <c r="AH166" s="22"/>
      <c r="AJ166" s="22"/>
      <c r="AK166" s="22"/>
      <c r="AM166" s="22"/>
      <c r="AP166" s="13"/>
      <c r="AQ166" s="23" t="str">
        <f aca="false">IF($A166="","",B166-$AA$2-SUM($F$2:F166))</f>
        <v/>
      </c>
    </row>
    <row r="167" customFormat="false" ht="15" hidden="false" customHeight="true" outlineLevel="0" collapsed="false">
      <c r="A167" s="7"/>
      <c r="B167" s="24"/>
      <c r="C167" s="24"/>
      <c r="D167" s="15" t="str">
        <f aca="false">IF($A167="","",SUMIFS(持仓表!$J:$J,持仓表!$A:$A,$A167))</f>
        <v/>
      </c>
      <c r="E167" s="16" t="n">
        <f aca="false">IFERROR(D167/B167,0)</f>
        <v>0</v>
      </c>
      <c r="F167" s="24"/>
      <c r="G167" s="15" t="str">
        <f aca="false">IF($B167="","",MAX($B$2:B167))</f>
        <v/>
      </c>
      <c r="H167" s="16" t="n">
        <f aca="false">IFERROR((B167-F167)/F167,0)</f>
        <v>0</v>
      </c>
      <c r="I167" s="16" t="n">
        <f aca="false">IFERROR((B167-G167)/G167,0)</f>
        <v>0</v>
      </c>
      <c r="J167" s="12"/>
      <c r="K167" s="7"/>
      <c r="L167" s="25"/>
      <c r="M167" s="25"/>
      <c r="N167" s="16" t="str">
        <f aca="false">IF($B167="","",MIN(70%,IF($I167&lt;=-15%,10%,IF($I167&lt;=-10%,30%,IF($M167&gt;=4,10%,IF($M167&gt;=3,30%,IF($J167="强",IF($K167="A",70%,IF($K167="B",60%,40%)),IF($J167="中性",IF($K167="A",50%,IF($K167="B",40%,25%)),IF($K167="A",30%,IF($K167="B",20%,10%))))))))))</f>
        <v/>
      </c>
      <c r="O167" s="16" t="str">
        <f aca="false">IF($B167="","",IF(B167&lt;30000,35%,IF(B167&lt;50000,30%,IF(B167&lt;100000,25%,20%))))</f>
        <v/>
      </c>
      <c r="P167" s="18" t="str">
        <f aca="false">IF($A167="","",COUNTIFS(持仓表!$A:$A,$A167,持仓表!$G:$G,"&gt;0"))</f>
        <v/>
      </c>
      <c r="Q167" s="18" t="str">
        <f aca="false">IF($A167="","",COUNTIFS(持仓表!$A:$A,$A167,持仓表!$D:$D,"是",持仓表!$G:$G,"&gt;0"))</f>
        <v/>
      </c>
      <c r="R167" s="18" t="str">
        <f aca="false">IF($A167="","",MAX(0,P167-Q167))</f>
        <v/>
      </c>
      <c r="S167" s="18" t="str">
        <f aca="false">IF($B167="","",IF(B167&lt;50000,3,IF(B167&lt;100000,4,5)))</f>
        <v/>
      </c>
      <c r="T167" s="19" t="str">
        <f aca="false">IF($A167="","",IF(OR(M167&gt;=4,I167&lt;=-8%),"防守",IF(OR(M167&gt;=2,I167&lt;=-5%),"警戒","正常")))</f>
        <v/>
      </c>
      <c r="U167" s="19" t="str">
        <f aca="false">IF($A167="","",IF(AND(L167&gt;=3,M167&lt;=2,T167&lt;&gt;"防守"),"是","否"))</f>
        <v/>
      </c>
      <c r="V167" s="19" t="str">
        <f aca="false">IF($A167="","",IF(AND(E167&lt;N167,R167&lt;S167,M167&lt;=2,I167&gt;-15%),"是","否"))</f>
        <v/>
      </c>
      <c r="W167" s="19" t="str">
        <f aca="false">IF($A167="","",IF(OR(M167&gt;=3,I167&lt;=-15%),"是","否"))</f>
        <v/>
      </c>
      <c r="X167" s="15" t="str">
        <f aca="false">IF($A167="","",IFERROR(maxifs(候选池!$AB:$AB,候选池!$A:$A,$A167),0))</f>
        <v/>
      </c>
      <c r="Y167" s="15" t="str">
        <f aca="false">IF($A167="","",IF(OR(M167&gt;=4,I167&lt;=-8%),MAX(0,B167*60%-C167),IF(AND(ISNUMBER(AD167),B167&gt;AD167),IF(B167&lt;30000,0,IF(B167&lt;100000,MAX(0,(B167-AD167)*0.2),MAX(0,(B167-AD167)*0.3))),0)))</f>
        <v/>
      </c>
      <c r="Z167" s="7"/>
      <c r="AA167" s="19" t="str">
        <f aca="false">IF($A167="","",IF($AA$2&lt;&gt;"",$AA$2,""))</f>
        <v/>
      </c>
      <c r="AB167" s="7" t="str">
        <f aca="false">IF($A167="","",IF(B167&lt;30000,0.03,IF(B167&lt;100000,0.02,0.015)))</f>
        <v/>
      </c>
      <c r="AC167" s="18" t="str">
        <f aca="false">IF($A167="","",IFERROR(DATEDIF($A$2,$A167,"m"),0))</f>
        <v/>
      </c>
      <c r="AD167" s="15" t="str">
        <f aca="false">IF($A167="","",IF(OR(AA167="",AB167="",AC167=""),"",AA167*POWER(1+AB167,AC167)))</f>
        <v/>
      </c>
      <c r="AE167" s="27" t="str">
        <f aca="false">IF($A167="","",IF(OR(AD167="",AD167=0),"",B167/AD167-1))</f>
        <v/>
      </c>
      <c r="AG167" s="1" t="str">
        <f aca="false">IF($A167="","",IF(B167&lt;30000,"婴儿",IF(B167&lt;100000,"成长","成熟")))</f>
        <v/>
      </c>
      <c r="AH167" s="22"/>
      <c r="AJ167" s="22"/>
      <c r="AK167" s="22"/>
      <c r="AM167" s="22"/>
      <c r="AP167" s="13"/>
      <c r="AQ167" s="23" t="str">
        <f aca="false">IF($A167="","",B167-$AA$2-SUM($F$2:F167))</f>
        <v/>
      </c>
    </row>
    <row r="168" customFormat="false" ht="15" hidden="false" customHeight="true" outlineLevel="0" collapsed="false">
      <c r="A168" s="5"/>
      <c r="B168" s="14"/>
      <c r="C168" s="14"/>
      <c r="D168" s="15" t="str">
        <f aca="false">IF($A168="","",SUMIFS(持仓表!$J:$J,持仓表!$A:$A,$A168))</f>
        <v/>
      </c>
      <c r="E168" s="16" t="n">
        <f aca="false">IFERROR(D168/B168,0)</f>
        <v>0</v>
      </c>
      <c r="F168" s="14"/>
      <c r="G168" s="15" t="str">
        <f aca="false">IF($B168="","",MAX($B$2:B168))</f>
        <v/>
      </c>
      <c r="H168" s="16" t="n">
        <f aca="false">IFERROR((B168-F168)/F168,0)</f>
        <v>0</v>
      </c>
      <c r="I168" s="16" t="n">
        <f aca="false">IFERROR((B168-G168)/G168,0)</f>
        <v>0</v>
      </c>
      <c r="J168" s="11"/>
      <c r="K168" s="5"/>
      <c r="L168" s="17"/>
      <c r="M168" s="17"/>
      <c r="N168" s="16" t="str">
        <f aca="false">IF($B168="","",MIN(70%,IF($I168&lt;=-15%,10%,IF($I168&lt;=-10%,30%,IF($M168&gt;=4,10%,IF($M168&gt;=3,30%,IF($J168="强",IF($K168="A",70%,IF($K168="B",60%,40%)),IF($J168="中性",IF($K168="A",50%,IF($K168="B",40%,25%)),IF($K168="A",30%,IF($K168="B",20%,10%))))))))))</f>
        <v/>
      </c>
      <c r="O168" s="16" t="str">
        <f aca="false">IF($B168="","",IF(B168&lt;30000,35%,IF(B168&lt;50000,30%,IF(B168&lt;100000,25%,20%))))</f>
        <v/>
      </c>
      <c r="P168" s="18" t="str">
        <f aca="false">IF($A168="","",COUNTIFS(持仓表!$A:$A,$A168,持仓表!$G:$G,"&gt;0"))</f>
        <v/>
      </c>
      <c r="Q168" s="18" t="str">
        <f aca="false">IF($A168="","",COUNTIFS(持仓表!$A:$A,$A168,持仓表!$D:$D,"是",持仓表!$G:$G,"&gt;0"))</f>
        <v/>
      </c>
      <c r="R168" s="18" t="str">
        <f aca="false">IF($A168="","",MAX(0,P168-Q168))</f>
        <v/>
      </c>
      <c r="S168" s="18" t="str">
        <f aca="false">IF($B168="","",IF(B168&lt;50000,3,IF(B168&lt;100000,4,5)))</f>
        <v/>
      </c>
      <c r="T168" s="19" t="str">
        <f aca="false">IF($A168="","",IF(OR(M168&gt;=4,I168&lt;=-8%),"防守",IF(OR(M168&gt;=2,I168&lt;=-5%),"警戒","正常")))</f>
        <v/>
      </c>
      <c r="U168" s="19" t="str">
        <f aca="false">IF($A168="","",IF(AND(L168&gt;=3,M168&lt;=2,T168&lt;&gt;"防守"),"是","否"))</f>
        <v/>
      </c>
      <c r="V168" s="19" t="str">
        <f aca="false">IF($A168="","",IF(AND(E168&lt;N168,R168&lt;S168,M168&lt;=2,I168&gt;-15%),"是","否"))</f>
        <v/>
      </c>
      <c r="W168" s="19" t="str">
        <f aca="false">IF($A168="","",IF(OR(M168&gt;=3,I168&lt;=-15%),"是","否"))</f>
        <v/>
      </c>
      <c r="X168" s="15" t="str">
        <f aca="false">IF($A168="","",IFERROR(maxifs(候选池!$AB:$AB,候选池!$A:$A,$A168),0))</f>
        <v/>
      </c>
      <c r="Y168" s="15" t="str">
        <f aca="false">IF($A168="","",IF(OR(M168&gt;=4,I168&lt;=-8%),MAX(0,B168*60%-C168),IF(AND(ISNUMBER(AD168),B168&gt;AD168),IF(B168&lt;30000,0,IF(B168&lt;100000,MAX(0,(B168-AD168)*0.2),MAX(0,(B168-AD168)*0.3))),0)))</f>
        <v/>
      </c>
      <c r="Z168" s="5"/>
      <c r="AA168" s="19" t="str">
        <f aca="false">IF($A168="","",IF($AA$2&lt;&gt;"",$AA$2,""))</f>
        <v/>
      </c>
      <c r="AB168" s="5" t="str">
        <f aca="false">IF($A168="","",IF(B168&lt;30000,0.03,IF(B168&lt;100000,0.02,0.015)))</f>
        <v/>
      </c>
      <c r="AC168" s="18" t="str">
        <f aca="false">IF($A168="","",IFERROR(DATEDIF($A$2,$A168,"m"),0))</f>
        <v/>
      </c>
      <c r="AD168" s="15" t="str">
        <f aca="false">IF($A168="","",IF(OR(AA168="",AB168="",AC168=""),"",AA168*POWER(1+AB168,AC168)))</f>
        <v/>
      </c>
      <c r="AE168" s="21" t="str">
        <f aca="false">IF($A168="","",IF(OR(AD168="",AD168=0),"",B168/AD168-1))</f>
        <v/>
      </c>
      <c r="AG168" s="1" t="str">
        <f aca="false">IF($A168="","",IF(B168&lt;30000,"婴儿",IF(B168&lt;100000,"成长","成熟")))</f>
        <v/>
      </c>
      <c r="AH168" s="22"/>
      <c r="AJ168" s="22"/>
      <c r="AK168" s="22"/>
      <c r="AM168" s="22"/>
      <c r="AP168" s="13"/>
      <c r="AQ168" s="23" t="str">
        <f aca="false">IF($A168="","",B168-$AA$2-SUM($F$2:F168))</f>
        <v/>
      </c>
    </row>
    <row r="169" customFormat="false" ht="15" hidden="false" customHeight="true" outlineLevel="0" collapsed="false">
      <c r="A169" s="7"/>
      <c r="B169" s="24"/>
      <c r="C169" s="24"/>
      <c r="D169" s="15" t="str">
        <f aca="false">IF($A169="","",SUMIFS(持仓表!$J:$J,持仓表!$A:$A,$A169))</f>
        <v/>
      </c>
      <c r="E169" s="16" t="n">
        <f aca="false">IFERROR(D169/B169,0)</f>
        <v>0</v>
      </c>
      <c r="F169" s="24"/>
      <c r="G169" s="15" t="str">
        <f aca="false">IF($B169="","",MAX($B$2:B169))</f>
        <v/>
      </c>
      <c r="H169" s="16" t="n">
        <f aca="false">IFERROR((B169-F169)/F169,0)</f>
        <v>0</v>
      </c>
      <c r="I169" s="16" t="n">
        <f aca="false">IFERROR((B169-G169)/G169,0)</f>
        <v>0</v>
      </c>
      <c r="J169" s="12"/>
      <c r="K169" s="7"/>
      <c r="L169" s="25"/>
      <c r="M169" s="25"/>
      <c r="N169" s="16" t="str">
        <f aca="false">IF($B169="","",MIN(70%,IF($I169&lt;=-15%,10%,IF($I169&lt;=-10%,30%,IF($M169&gt;=4,10%,IF($M169&gt;=3,30%,IF($J169="强",IF($K169="A",70%,IF($K169="B",60%,40%)),IF($J169="中性",IF($K169="A",50%,IF($K169="B",40%,25%)),IF($K169="A",30%,IF($K169="B",20%,10%))))))))))</f>
        <v/>
      </c>
      <c r="O169" s="16" t="str">
        <f aca="false">IF($B169="","",IF(B169&lt;30000,35%,IF(B169&lt;50000,30%,IF(B169&lt;100000,25%,20%))))</f>
        <v/>
      </c>
      <c r="P169" s="18" t="str">
        <f aca="false">IF($A169="","",COUNTIFS(持仓表!$A:$A,$A169,持仓表!$G:$G,"&gt;0"))</f>
        <v/>
      </c>
      <c r="Q169" s="18" t="str">
        <f aca="false">IF($A169="","",COUNTIFS(持仓表!$A:$A,$A169,持仓表!$D:$D,"是",持仓表!$G:$G,"&gt;0"))</f>
        <v/>
      </c>
      <c r="R169" s="18" t="str">
        <f aca="false">IF($A169="","",MAX(0,P169-Q169))</f>
        <v/>
      </c>
      <c r="S169" s="18" t="str">
        <f aca="false">IF($B169="","",IF(B169&lt;50000,3,IF(B169&lt;100000,4,5)))</f>
        <v/>
      </c>
      <c r="T169" s="19" t="str">
        <f aca="false">IF($A169="","",IF(OR(M169&gt;=4,I169&lt;=-8%),"防守",IF(OR(M169&gt;=2,I169&lt;=-5%),"警戒","正常")))</f>
        <v/>
      </c>
      <c r="U169" s="19" t="str">
        <f aca="false">IF($A169="","",IF(AND(L169&gt;=3,M169&lt;=2,T169&lt;&gt;"防守"),"是","否"))</f>
        <v/>
      </c>
      <c r="V169" s="19" t="str">
        <f aca="false">IF($A169="","",IF(AND(E169&lt;N169,R169&lt;S169,M169&lt;=2,I169&gt;-15%),"是","否"))</f>
        <v/>
      </c>
      <c r="W169" s="19" t="str">
        <f aca="false">IF($A169="","",IF(OR(M169&gt;=3,I169&lt;=-15%),"是","否"))</f>
        <v/>
      </c>
      <c r="X169" s="15" t="str">
        <f aca="false">IF($A169="","",IFERROR(maxifs(候选池!$AB:$AB,候选池!$A:$A,$A169),0))</f>
        <v/>
      </c>
      <c r="Y169" s="15" t="str">
        <f aca="false">IF($A169="","",IF(OR(M169&gt;=4,I169&lt;=-8%),MAX(0,B169*60%-C169),IF(AND(ISNUMBER(AD169),B169&gt;AD169),IF(B169&lt;30000,0,IF(B169&lt;100000,MAX(0,(B169-AD169)*0.2),MAX(0,(B169-AD169)*0.3))),0)))</f>
        <v/>
      </c>
      <c r="Z169" s="7"/>
      <c r="AA169" s="19" t="str">
        <f aca="false">IF($A169="","",IF($AA$2&lt;&gt;"",$AA$2,""))</f>
        <v/>
      </c>
      <c r="AB169" s="7" t="str">
        <f aca="false">IF($A169="","",IF(B169&lt;30000,0.03,IF(B169&lt;100000,0.02,0.015)))</f>
        <v/>
      </c>
      <c r="AC169" s="18" t="str">
        <f aca="false">IF($A169="","",IFERROR(DATEDIF($A$2,$A169,"m"),0))</f>
        <v/>
      </c>
      <c r="AD169" s="15" t="str">
        <f aca="false">IF($A169="","",IF(OR(AA169="",AB169="",AC169=""),"",AA169*POWER(1+AB169,AC169)))</f>
        <v/>
      </c>
      <c r="AE169" s="27" t="str">
        <f aca="false">IF($A169="","",IF(OR(AD169="",AD169=0),"",B169/AD169-1))</f>
        <v/>
      </c>
      <c r="AG169" s="1" t="str">
        <f aca="false">IF($A169="","",IF(B169&lt;30000,"婴儿",IF(B169&lt;100000,"成长","成熟")))</f>
        <v/>
      </c>
      <c r="AH169" s="22"/>
      <c r="AJ169" s="22"/>
      <c r="AK169" s="22"/>
      <c r="AM169" s="22"/>
      <c r="AP169" s="13"/>
      <c r="AQ169" s="23" t="str">
        <f aca="false">IF($A169="","",B169-$AA$2-SUM($F$2:F169))</f>
        <v/>
      </c>
    </row>
    <row r="170" customFormat="false" ht="15" hidden="false" customHeight="true" outlineLevel="0" collapsed="false">
      <c r="A170" s="5"/>
      <c r="B170" s="14"/>
      <c r="C170" s="14"/>
      <c r="D170" s="15" t="str">
        <f aca="false">IF($A170="","",SUMIFS(持仓表!$J:$J,持仓表!$A:$A,$A170))</f>
        <v/>
      </c>
      <c r="E170" s="16" t="n">
        <f aca="false">IFERROR(D170/B170,0)</f>
        <v>0</v>
      </c>
      <c r="F170" s="14"/>
      <c r="G170" s="15" t="str">
        <f aca="false">IF($B170="","",MAX($B$2:B170))</f>
        <v/>
      </c>
      <c r="H170" s="16" t="n">
        <f aca="false">IFERROR((B170-F170)/F170,0)</f>
        <v>0</v>
      </c>
      <c r="I170" s="16" t="n">
        <f aca="false">IFERROR((B170-G170)/G170,0)</f>
        <v>0</v>
      </c>
      <c r="J170" s="11"/>
      <c r="K170" s="5"/>
      <c r="L170" s="17"/>
      <c r="M170" s="17"/>
      <c r="N170" s="16" t="str">
        <f aca="false">IF($B170="","",MIN(70%,IF($I170&lt;=-15%,10%,IF($I170&lt;=-10%,30%,IF($M170&gt;=4,10%,IF($M170&gt;=3,30%,IF($J170="强",IF($K170="A",70%,IF($K170="B",60%,40%)),IF($J170="中性",IF($K170="A",50%,IF($K170="B",40%,25%)),IF($K170="A",30%,IF($K170="B",20%,10%))))))))))</f>
        <v/>
      </c>
      <c r="O170" s="16" t="str">
        <f aca="false">IF($B170="","",IF(B170&lt;30000,35%,IF(B170&lt;50000,30%,IF(B170&lt;100000,25%,20%))))</f>
        <v/>
      </c>
      <c r="P170" s="18" t="str">
        <f aca="false">IF($A170="","",COUNTIFS(持仓表!$A:$A,$A170,持仓表!$G:$G,"&gt;0"))</f>
        <v/>
      </c>
      <c r="Q170" s="18" t="str">
        <f aca="false">IF($A170="","",COUNTIFS(持仓表!$A:$A,$A170,持仓表!$D:$D,"是",持仓表!$G:$G,"&gt;0"))</f>
        <v/>
      </c>
      <c r="R170" s="18" t="str">
        <f aca="false">IF($A170="","",MAX(0,P170-Q170))</f>
        <v/>
      </c>
      <c r="S170" s="18" t="str">
        <f aca="false">IF($B170="","",IF(B170&lt;50000,3,IF(B170&lt;100000,4,5)))</f>
        <v/>
      </c>
      <c r="T170" s="19" t="str">
        <f aca="false">IF($A170="","",IF(OR(M170&gt;=4,I170&lt;=-8%),"防守",IF(OR(M170&gt;=2,I170&lt;=-5%),"警戒","正常")))</f>
        <v/>
      </c>
      <c r="U170" s="19" t="str">
        <f aca="false">IF($A170="","",IF(AND(L170&gt;=3,M170&lt;=2,T170&lt;&gt;"防守"),"是","否"))</f>
        <v/>
      </c>
      <c r="V170" s="19" t="str">
        <f aca="false">IF($A170="","",IF(AND(E170&lt;N170,R170&lt;S170,M170&lt;=2,I170&gt;-15%),"是","否"))</f>
        <v/>
      </c>
      <c r="W170" s="19" t="str">
        <f aca="false">IF($A170="","",IF(OR(M170&gt;=3,I170&lt;=-15%),"是","否"))</f>
        <v/>
      </c>
      <c r="X170" s="15" t="str">
        <f aca="false">IF($A170="","",IFERROR(maxifs(候选池!$AB:$AB,候选池!$A:$A,$A170),0))</f>
        <v/>
      </c>
      <c r="Y170" s="15" t="str">
        <f aca="false">IF($A170="","",IF(OR(M170&gt;=4,I170&lt;=-8%),MAX(0,B170*60%-C170),IF(AND(ISNUMBER(AD170),B170&gt;AD170),IF(B170&lt;30000,0,IF(B170&lt;100000,MAX(0,(B170-AD170)*0.2),MAX(0,(B170-AD170)*0.3))),0)))</f>
        <v/>
      </c>
      <c r="Z170" s="5"/>
      <c r="AA170" s="19" t="str">
        <f aca="false">IF($A170="","",IF($AA$2&lt;&gt;"",$AA$2,""))</f>
        <v/>
      </c>
      <c r="AB170" s="5" t="str">
        <f aca="false">IF($A170="","",IF(B170&lt;30000,0.03,IF(B170&lt;100000,0.02,0.015)))</f>
        <v/>
      </c>
      <c r="AC170" s="18" t="str">
        <f aca="false">IF($A170="","",IFERROR(DATEDIF($A$2,$A170,"m"),0))</f>
        <v/>
      </c>
      <c r="AD170" s="15" t="str">
        <f aca="false">IF($A170="","",IF(OR(AA170="",AB170="",AC170=""),"",AA170*POWER(1+AB170,AC170)))</f>
        <v/>
      </c>
      <c r="AE170" s="21" t="str">
        <f aca="false">IF($A170="","",IF(OR(AD170="",AD170=0),"",B170/AD170-1))</f>
        <v/>
      </c>
      <c r="AG170" s="1" t="str">
        <f aca="false">IF($A170="","",IF(B170&lt;30000,"婴儿",IF(B170&lt;100000,"成长","成熟")))</f>
        <v/>
      </c>
      <c r="AH170" s="22"/>
      <c r="AJ170" s="22"/>
      <c r="AK170" s="22"/>
      <c r="AM170" s="22"/>
      <c r="AP170" s="13"/>
      <c r="AQ170" s="23" t="str">
        <f aca="false">IF($A170="","",B170-$AA$2-SUM($F$2:F170))</f>
        <v/>
      </c>
    </row>
    <row r="171" customFormat="false" ht="15" hidden="false" customHeight="true" outlineLevel="0" collapsed="false">
      <c r="A171" s="7"/>
      <c r="B171" s="24"/>
      <c r="C171" s="24"/>
      <c r="D171" s="15" t="str">
        <f aca="false">IF($A171="","",SUMIFS(持仓表!$J:$J,持仓表!$A:$A,$A171))</f>
        <v/>
      </c>
      <c r="E171" s="16" t="n">
        <f aca="false">IFERROR(D171/B171,0)</f>
        <v>0</v>
      </c>
      <c r="F171" s="24"/>
      <c r="G171" s="15" t="str">
        <f aca="false">IF($B171="","",MAX($B$2:B171))</f>
        <v/>
      </c>
      <c r="H171" s="16" t="n">
        <f aca="false">IFERROR((B171-F171)/F171,0)</f>
        <v>0</v>
      </c>
      <c r="I171" s="16" t="n">
        <f aca="false">IFERROR((B171-G171)/G171,0)</f>
        <v>0</v>
      </c>
      <c r="J171" s="12"/>
      <c r="K171" s="7"/>
      <c r="L171" s="25"/>
      <c r="M171" s="25"/>
      <c r="N171" s="16" t="str">
        <f aca="false">IF($B171="","",MIN(70%,IF($I171&lt;=-15%,10%,IF($I171&lt;=-10%,30%,IF($M171&gt;=4,10%,IF($M171&gt;=3,30%,IF($J171="强",IF($K171="A",70%,IF($K171="B",60%,40%)),IF($J171="中性",IF($K171="A",50%,IF($K171="B",40%,25%)),IF($K171="A",30%,IF($K171="B",20%,10%))))))))))</f>
        <v/>
      </c>
      <c r="O171" s="16" t="str">
        <f aca="false">IF($B171="","",IF(B171&lt;30000,35%,IF(B171&lt;50000,30%,IF(B171&lt;100000,25%,20%))))</f>
        <v/>
      </c>
      <c r="P171" s="18" t="str">
        <f aca="false">IF($A171="","",COUNTIFS(持仓表!$A:$A,$A171,持仓表!$G:$G,"&gt;0"))</f>
        <v/>
      </c>
      <c r="Q171" s="18" t="str">
        <f aca="false">IF($A171="","",COUNTIFS(持仓表!$A:$A,$A171,持仓表!$D:$D,"是",持仓表!$G:$G,"&gt;0"))</f>
        <v/>
      </c>
      <c r="R171" s="18" t="str">
        <f aca="false">IF($A171="","",MAX(0,P171-Q171))</f>
        <v/>
      </c>
      <c r="S171" s="18" t="str">
        <f aca="false">IF($B171="","",IF(B171&lt;50000,3,IF(B171&lt;100000,4,5)))</f>
        <v/>
      </c>
      <c r="T171" s="19" t="str">
        <f aca="false">IF($A171="","",IF(OR(M171&gt;=4,I171&lt;=-8%),"防守",IF(OR(M171&gt;=2,I171&lt;=-5%),"警戒","正常")))</f>
        <v/>
      </c>
      <c r="U171" s="19" t="str">
        <f aca="false">IF($A171="","",IF(AND(L171&gt;=3,M171&lt;=2,T171&lt;&gt;"防守"),"是","否"))</f>
        <v/>
      </c>
      <c r="V171" s="19" t="str">
        <f aca="false">IF($A171="","",IF(AND(E171&lt;N171,R171&lt;S171,M171&lt;=2,I171&gt;-15%),"是","否"))</f>
        <v/>
      </c>
      <c r="W171" s="19" t="str">
        <f aca="false">IF($A171="","",IF(OR(M171&gt;=3,I171&lt;=-15%),"是","否"))</f>
        <v/>
      </c>
      <c r="X171" s="15" t="str">
        <f aca="false">IF($A171="","",IFERROR(maxifs(候选池!$AB:$AB,候选池!$A:$A,$A171),0))</f>
        <v/>
      </c>
      <c r="Y171" s="15" t="str">
        <f aca="false">IF($A171="","",IF(OR(M171&gt;=4,I171&lt;=-8%),MAX(0,B171*60%-C171),IF(AND(ISNUMBER(AD171),B171&gt;AD171),IF(B171&lt;30000,0,IF(B171&lt;100000,MAX(0,(B171-AD171)*0.2),MAX(0,(B171-AD171)*0.3))),0)))</f>
        <v/>
      </c>
      <c r="Z171" s="7"/>
      <c r="AA171" s="19" t="str">
        <f aca="false">IF($A171="","",IF($AA$2&lt;&gt;"",$AA$2,""))</f>
        <v/>
      </c>
      <c r="AB171" s="7" t="str">
        <f aca="false">IF($A171="","",IF(B171&lt;30000,0.03,IF(B171&lt;100000,0.02,0.015)))</f>
        <v/>
      </c>
      <c r="AC171" s="18" t="str">
        <f aca="false">IF($A171="","",IFERROR(DATEDIF($A$2,$A171,"m"),0))</f>
        <v/>
      </c>
      <c r="AD171" s="15" t="str">
        <f aca="false">IF($A171="","",IF(OR(AA171="",AB171="",AC171=""),"",AA171*POWER(1+AB171,AC171)))</f>
        <v/>
      </c>
      <c r="AE171" s="27" t="str">
        <f aca="false">IF($A171="","",IF(OR(AD171="",AD171=0),"",B171/AD171-1))</f>
        <v/>
      </c>
      <c r="AG171" s="1" t="str">
        <f aca="false">IF($A171="","",IF(B171&lt;30000,"婴儿",IF(B171&lt;100000,"成长","成熟")))</f>
        <v/>
      </c>
      <c r="AH171" s="22"/>
      <c r="AJ171" s="22"/>
      <c r="AK171" s="22"/>
      <c r="AM171" s="22"/>
      <c r="AP171" s="13"/>
      <c r="AQ171" s="23" t="str">
        <f aca="false">IF($A171="","",B171-$AA$2-SUM($F$2:F171))</f>
        <v/>
      </c>
    </row>
    <row r="172" customFormat="false" ht="15" hidden="false" customHeight="true" outlineLevel="0" collapsed="false">
      <c r="A172" s="5"/>
      <c r="B172" s="14"/>
      <c r="C172" s="14"/>
      <c r="D172" s="15" t="str">
        <f aca="false">IF($A172="","",SUMIFS(持仓表!$J:$J,持仓表!$A:$A,$A172))</f>
        <v/>
      </c>
      <c r="E172" s="16" t="n">
        <f aca="false">IFERROR(D172/B172,0)</f>
        <v>0</v>
      </c>
      <c r="F172" s="14"/>
      <c r="G172" s="15" t="str">
        <f aca="false">IF($B172="","",MAX($B$2:B172))</f>
        <v/>
      </c>
      <c r="H172" s="16" t="n">
        <f aca="false">IFERROR((B172-F172)/F172,0)</f>
        <v>0</v>
      </c>
      <c r="I172" s="16" t="n">
        <f aca="false">IFERROR((B172-G172)/G172,0)</f>
        <v>0</v>
      </c>
      <c r="J172" s="11"/>
      <c r="K172" s="5"/>
      <c r="L172" s="17"/>
      <c r="M172" s="17"/>
      <c r="N172" s="16" t="str">
        <f aca="false">IF($B172="","",MIN(70%,IF($I172&lt;=-15%,10%,IF($I172&lt;=-10%,30%,IF($M172&gt;=4,10%,IF($M172&gt;=3,30%,IF($J172="强",IF($K172="A",70%,IF($K172="B",60%,40%)),IF($J172="中性",IF($K172="A",50%,IF($K172="B",40%,25%)),IF($K172="A",30%,IF($K172="B",20%,10%))))))))))</f>
        <v/>
      </c>
      <c r="O172" s="16" t="str">
        <f aca="false">IF($B172="","",IF(B172&lt;30000,35%,IF(B172&lt;50000,30%,IF(B172&lt;100000,25%,20%))))</f>
        <v/>
      </c>
      <c r="P172" s="18" t="str">
        <f aca="false">IF($A172="","",COUNTIFS(持仓表!$A:$A,$A172,持仓表!$G:$G,"&gt;0"))</f>
        <v/>
      </c>
      <c r="Q172" s="18" t="str">
        <f aca="false">IF($A172="","",COUNTIFS(持仓表!$A:$A,$A172,持仓表!$D:$D,"是",持仓表!$G:$G,"&gt;0"))</f>
        <v/>
      </c>
      <c r="R172" s="18" t="str">
        <f aca="false">IF($A172="","",MAX(0,P172-Q172))</f>
        <v/>
      </c>
      <c r="S172" s="18" t="str">
        <f aca="false">IF($B172="","",IF(B172&lt;50000,3,IF(B172&lt;100000,4,5)))</f>
        <v/>
      </c>
      <c r="T172" s="19" t="str">
        <f aca="false">IF($A172="","",IF(OR(M172&gt;=4,I172&lt;=-8%),"防守",IF(OR(M172&gt;=2,I172&lt;=-5%),"警戒","正常")))</f>
        <v/>
      </c>
      <c r="U172" s="19" t="str">
        <f aca="false">IF($A172="","",IF(AND(L172&gt;=3,M172&lt;=2,T172&lt;&gt;"防守"),"是","否"))</f>
        <v/>
      </c>
      <c r="V172" s="19" t="str">
        <f aca="false">IF($A172="","",IF(AND(E172&lt;N172,R172&lt;S172,M172&lt;=2,I172&gt;-15%),"是","否"))</f>
        <v/>
      </c>
      <c r="W172" s="19" t="str">
        <f aca="false">IF($A172="","",IF(OR(M172&gt;=3,I172&lt;=-15%),"是","否"))</f>
        <v/>
      </c>
      <c r="X172" s="15" t="str">
        <f aca="false">IF($A172="","",IFERROR(maxifs(候选池!$AB:$AB,候选池!$A:$A,$A172),0))</f>
        <v/>
      </c>
      <c r="Y172" s="15" t="str">
        <f aca="false">IF($A172="","",IF(OR(M172&gt;=4,I172&lt;=-8%),MAX(0,B172*60%-C172),IF(AND(ISNUMBER(AD172),B172&gt;AD172),IF(B172&lt;30000,0,IF(B172&lt;100000,MAX(0,(B172-AD172)*0.2),MAX(0,(B172-AD172)*0.3))),0)))</f>
        <v/>
      </c>
      <c r="Z172" s="5"/>
      <c r="AA172" s="19" t="str">
        <f aca="false">IF($A172="","",IF($AA$2&lt;&gt;"",$AA$2,""))</f>
        <v/>
      </c>
      <c r="AB172" s="5" t="str">
        <f aca="false">IF($A172="","",IF(B172&lt;30000,0.03,IF(B172&lt;100000,0.02,0.015)))</f>
        <v/>
      </c>
      <c r="AC172" s="18" t="str">
        <f aca="false">IF($A172="","",IFERROR(DATEDIF($A$2,$A172,"m"),0))</f>
        <v/>
      </c>
      <c r="AD172" s="15" t="str">
        <f aca="false">IF($A172="","",IF(OR(AA172="",AB172="",AC172=""),"",AA172*POWER(1+AB172,AC172)))</f>
        <v/>
      </c>
      <c r="AE172" s="21" t="str">
        <f aca="false">IF($A172="","",IF(OR(AD172="",AD172=0),"",B172/AD172-1))</f>
        <v/>
      </c>
      <c r="AG172" s="1" t="str">
        <f aca="false">IF($A172="","",IF(B172&lt;30000,"婴儿",IF(B172&lt;100000,"成长","成熟")))</f>
        <v/>
      </c>
      <c r="AH172" s="22"/>
      <c r="AJ172" s="22"/>
      <c r="AK172" s="22"/>
      <c r="AM172" s="22"/>
      <c r="AP172" s="13"/>
      <c r="AQ172" s="23" t="str">
        <f aca="false">IF($A172="","",B172-$AA$2-SUM($F$2:F172))</f>
        <v/>
      </c>
    </row>
    <row r="173" customFormat="false" ht="15" hidden="false" customHeight="true" outlineLevel="0" collapsed="false">
      <c r="A173" s="7"/>
      <c r="B173" s="24"/>
      <c r="C173" s="24"/>
      <c r="D173" s="15" t="str">
        <f aca="false">IF($A173="","",SUMIFS(持仓表!$J:$J,持仓表!$A:$A,$A173))</f>
        <v/>
      </c>
      <c r="E173" s="16" t="n">
        <f aca="false">IFERROR(D173/B173,0)</f>
        <v>0</v>
      </c>
      <c r="F173" s="24"/>
      <c r="G173" s="15" t="str">
        <f aca="false">IF($B173="","",MAX($B$2:B173))</f>
        <v/>
      </c>
      <c r="H173" s="16" t="n">
        <f aca="false">IFERROR((B173-F173)/F173,0)</f>
        <v>0</v>
      </c>
      <c r="I173" s="16" t="n">
        <f aca="false">IFERROR((B173-G173)/G173,0)</f>
        <v>0</v>
      </c>
      <c r="J173" s="12"/>
      <c r="K173" s="7"/>
      <c r="L173" s="25"/>
      <c r="M173" s="25"/>
      <c r="N173" s="16" t="str">
        <f aca="false">IF($B173="","",MIN(70%,IF($I173&lt;=-15%,10%,IF($I173&lt;=-10%,30%,IF($M173&gt;=4,10%,IF($M173&gt;=3,30%,IF($J173="强",IF($K173="A",70%,IF($K173="B",60%,40%)),IF($J173="中性",IF($K173="A",50%,IF($K173="B",40%,25%)),IF($K173="A",30%,IF($K173="B",20%,10%))))))))))</f>
        <v/>
      </c>
      <c r="O173" s="16" t="str">
        <f aca="false">IF($B173="","",IF(B173&lt;30000,35%,IF(B173&lt;50000,30%,IF(B173&lt;100000,25%,20%))))</f>
        <v/>
      </c>
      <c r="P173" s="18" t="str">
        <f aca="false">IF($A173="","",COUNTIFS(持仓表!$A:$A,$A173,持仓表!$G:$G,"&gt;0"))</f>
        <v/>
      </c>
      <c r="Q173" s="18" t="str">
        <f aca="false">IF($A173="","",COUNTIFS(持仓表!$A:$A,$A173,持仓表!$D:$D,"是",持仓表!$G:$G,"&gt;0"))</f>
        <v/>
      </c>
      <c r="R173" s="18" t="str">
        <f aca="false">IF($A173="","",MAX(0,P173-Q173))</f>
        <v/>
      </c>
      <c r="S173" s="18" t="str">
        <f aca="false">IF($B173="","",IF(B173&lt;50000,3,IF(B173&lt;100000,4,5)))</f>
        <v/>
      </c>
      <c r="T173" s="19" t="str">
        <f aca="false">IF($A173="","",IF(OR(M173&gt;=4,I173&lt;=-8%),"防守",IF(OR(M173&gt;=2,I173&lt;=-5%),"警戒","正常")))</f>
        <v/>
      </c>
      <c r="U173" s="19" t="str">
        <f aca="false">IF($A173="","",IF(AND(L173&gt;=3,M173&lt;=2,T173&lt;&gt;"防守"),"是","否"))</f>
        <v/>
      </c>
      <c r="V173" s="19" t="str">
        <f aca="false">IF($A173="","",IF(AND(E173&lt;N173,R173&lt;S173,M173&lt;=2,I173&gt;-15%),"是","否"))</f>
        <v/>
      </c>
      <c r="W173" s="19" t="str">
        <f aca="false">IF($A173="","",IF(OR(M173&gt;=3,I173&lt;=-15%),"是","否"))</f>
        <v/>
      </c>
      <c r="X173" s="15" t="str">
        <f aca="false">IF($A173="","",IFERROR(maxifs(候选池!$AB:$AB,候选池!$A:$A,$A173),0))</f>
        <v/>
      </c>
      <c r="Y173" s="15" t="str">
        <f aca="false">IF($A173="","",IF(OR(M173&gt;=4,I173&lt;=-8%),MAX(0,B173*60%-C173),IF(AND(ISNUMBER(AD173),B173&gt;AD173),IF(B173&lt;30000,0,IF(B173&lt;100000,MAX(0,(B173-AD173)*0.2),MAX(0,(B173-AD173)*0.3))),0)))</f>
        <v/>
      </c>
      <c r="Z173" s="7"/>
      <c r="AA173" s="19" t="str">
        <f aca="false">IF($A173="","",IF($AA$2&lt;&gt;"",$AA$2,""))</f>
        <v/>
      </c>
      <c r="AB173" s="7" t="str">
        <f aca="false">IF($A173="","",IF(B173&lt;30000,0.03,IF(B173&lt;100000,0.02,0.015)))</f>
        <v/>
      </c>
      <c r="AC173" s="18" t="str">
        <f aca="false">IF($A173="","",IFERROR(DATEDIF($A$2,$A173,"m"),0))</f>
        <v/>
      </c>
      <c r="AD173" s="15" t="str">
        <f aca="false">IF($A173="","",IF(OR(AA173="",AB173="",AC173=""),"",AA173*POWER(1+AB173,AC173)))</f>
        <v/>
      </c>
      <c r="AE173" s="27" t="str">
        <f aca="false">IF($A173="","",IF(OR(AD173="",AD173=0),"",B173/AD173-1))</f>
        <v/>
      </c>
      <c r="AG173" s="1" t="str">
        <f aca="false">IF($A173="","",IF(B173&lt;30000,"婴儿",IF(B173&lt;100000,"成长","成熟")))</f>
        <v/>
      </c>
      <c r="AH173" s="22"/>
      <c r="AJ173" s="22"/>
      <c r="AK173" s="22"/>
      <c r="AM173" s="22"/>
      <c r="AP173" s="13"/>
      <c r="AQ173" s="23" t="str">
        <f aca="false">IF($A173="","",B173-$AA$2-SUM($F$2:F173))</f>
        <v/>
      </c>
    </row>
    <row r="174" customFormat="false" ht="15" hidden="false" customHeight="true" outlineLevel="0" collapsed="false">
      <c r="A174" s="5"/>
      <c r="B174" s="14"/>
      <c r="C174" s="14"/>
      <c r="D174" s="15" t="str">
        <f aca="false">IF($A174="","",SUMIFS(持仓表!$J:$J,持仓表!$A:$A,$A174))</f>
        <v/>
      </c>
      <c r="E174" s="16" t="n">
        <f aca="false">IFERROR(D174/B174,0)</f>
        <v>0</v>
      </c>
      <c r="F174" s="14"/>
      <c r="G174" s="15" t="str">
        <f aca="false">IF($B174="","",MAX($B$2:B174))</f>
        <v/>
      </c>
      <c r="H174" s="16" t="n">
        <f aca="false">IFERROR((B174-F174)/F174,0)</f>
        <v>0</v>
      </c>
      <c r="I174" s="16" t="n">
        <f aca="false">IFERROR((B174-G174)/G174,0)</f>
        <v>0</v>
      </c>
      <c r="J174" s="11"/>
      <c r="K174" s="5"/>
      <c r="L174" s="17"/>
      <c r="M174" s="17"/>
      <c r="N174" s="16" t="str">
        <f aca="false">IF($B174="","",MIN(70%,IF($I174&lt;=-15%,10%,IF($I174&lt;=-10%,30%,IF($M174&gt;=4,10%,IF($M174&gt;=3,30%,IF($J174="强",IF($K174="A",70%,IF($K174="B",60%,40%)),IF($J174="中性",IF($K174="A",50%,IF($K174="B",40%,25%)),IF($K174="A",30%,IF($K174="B",20%,10%))))))))))</f>
        <v/>
      </c>
      <c r="O174" s="16" t="str">
        <f aca="false">IF($B174="","",IF(B174&lt;30000,35%,IF(B174&lt;50000,30%,IF(B174&lt;100000,25%,20%))))</f>
        <v/>
      </c>
      <c r="P174" s="18" t="str">
        <f aca="false">IF($A174="","",COUNTIFS(持仓表!$A:$A,$A174,持仓表!$G:$G,"&gt;0"))</f>
        <v/>
      </c>
      <c r="Q174" s="18" t="str">
        <f aca="false">IF($A174="","",COUNTIFS(持仓表!$A:$A,$A174,持仓表!$D:$D,"是",持仓表!$G:$G,"&gt;0"))</f>
        <v/>
      </c>
      <c r="R174" s="18" t="str">
        <f aca="false">IF($A174="","",MAX(0,P174-Q174))</f>
        <v/>
      </c>
      <c r="S174" s="18" t="str">
        <f aca="false">IF($B174="","",IF(B174&lt;50000,3,IF(B174&lt;100000,4,5)))</f>
        <v/>
      </c>
      <c r="T174" s="19" t="str">
        <f aca="false">IF($A174="","",IF(OR(M174&gt;=4,I174&lt;=-8%),"防守",IF(OR(M174&gt;=2,I174&lt;=-5%),"警戒","正常")))</f>
        <v/>
      </c>
      <c r="U174" s="19" t="str">
        <f aca="false">IF($A174="","",IF(AND(L174&gt;=3,M174&lt;=2,T174&lt;&gt;"防守"),"是","否"))</f>
        <v/>
      </c>
      <c r="V174" s="19" t="str">
        <f aca="false">IF($A174="","",IF(AND(E174&lt;N174,R174&lt;S174,M174&lt;=2,I174&gt;-15%),"是","否"))</f>
        <v/>
      </c>
      <c r="W174" s="19" t="str">
        <f aca="false">IF($A174="","",IF(OR(M174&gt;=3,I174&lt;=-15%),"是","否"))</f>
        <v/>
      </c>
      <c r="X174" s="15" t="str">
        <f aca="false">IF($A174="","",IFERROR(maxifs(候选池!$AB:$AB,候选池!$A:$A,$A174),0))</f>
        <v/>
      </c>
      <c r="Y174" s="15" t="str">
        <f aca="false">IF($A174="","",IF(OR(M174&gt;=4,I174&lt;=-8%),MAX(0,B174*60%-C174),IF(AND(ISNUMBER(AD174),B174&gt;AD174),IF(B174&lt;30000,0,IF(B174&lt;100000,MAX(0,(B174-AD174)*0.2),MAX(0,(B174-AD174)*0.3))),0)))</f>
        <v/>
      </c>
      <c r="Z174" s="5"/>
      <c r="AA174" s="19" t="str">
        <f aca="false">IF($A174="","",IF($AA$2&lt;&gt;"",$AA$2,""))</f>
        <v/>
      </c>
      <c r="AB174" s="5" t="str">
        <f aca="false">IF($A174="","",IF(B174&lt;30000,0.03,IF(B174&lt;100000,0.02,0.015)))</f>
        <v/>
      </c>
      <c r="AC174" s="18" t="str">
        <f aca="false">IF($A174="","",IFERROR(DATEDIF($A$2,$A174,"m"),0))</f>
        <v/>
      </c>
      <c r="AD174" s="15" t="str">
        <f aca="false">IF($A174="","",IF(OR(AA174="",AB174="",AC174=""),"",AA174*POWER(1+AB174,AC174)))</f>
        <v/>
      </c>
      <c r="AE174" s="21" t="str">
        <f aca="false">IF($A174="","",IF(OR(AD174="",AD174=0),"",B174/AD174-1))</f>
        <v/>
      </c>
      <c r="AG174" s="1" t="str">
        <f aca="false">IF($A174="","",IF(B174&lt;30000,"婴儿",IF(B174&lt;100000,"成长","成熟")))</f>
        <v/>
      </c>
      <c r="AH174" s="22"/>
      <c r="AJ174" s="22"/>
      <c r="AK174" s="22"/>
      <c r="AM174" s="22"/>
      <c r="AP174" s="13"/>
      <c r="AQ174" s="23" t="str">
        <f aca="false">IF($A174="","",B174-$AA$2-SUM($F$2:F174))</f>
        <v/>
      </c>
    </row>
    <row r="175" customFormat="false" ht="15" hidden="false" customHeight="true" outlineLevel="0" collapsed="false">
      <c r="A175" s="7"/>
      <c r="B175" s="24"/>
      <c r="C175" s="24"/>
      <c r="D175" s="15" t="str">
        <f aca="false">IF($A175="","",SUMIFS(持仓表!$J:$J,持仓表!$A:$A,$A175))</f>
        <v/>
      </c>
      <c r="E175" s="16" t="n">
        <f aca="false">IFERROR(D175/B175,0)</f>
        <v>0</v>
      </c>
      <c r="F175" s="24"/>
      <c r="G175" s="15" t="str">
        <f aca="false">IF($B175="","",MAX($B$2:B175))</f>
        <v/>
      </c>
      <c r="H175" s="16" t="n">
        <f aca="false">IFERROR((B175-F175)/F175,0)</f>
        <v>0</v>
      </c>
      <c r="I175" s="16" t="n">
        <f aca="false">IFERROR((B175-G175)/G175,0)</f>
        <v>0</v>
      </c>
      <c r="J175" s="12"/>
      <c r="K175" s="7"/>
      <c r="L175" s="25"/>
      <c r="M175" s="25"/>
      <c r="N175" s="16" t="str">
        <f aca="false">IF($B175="","",MIN(70%,IF($I175&lt;=-15%,10%,IF($I175&lt;=-10%,30%,IF($M175&gt;=4,10%,IF($M175&gt;=3,30%,IF($J175="强",IF($K175="A",70%,IF($K175="B",60%,40%)),IF($J175="中性",IF($K175="A",50%,IF($K175="B",40%,25%)),IF($K175="A",30%,IF($K175="B",20%,10%))))))))))</f>
        <v/>
      </c>
      <c r="O175" s="16" t="str">
        <f aca="false">IF($B175="","",IF(B175&lt;30000,35%,IF(B175&lt;50000,30%,IF(B175&lt;100000,25%,20%))))</f>
        <v/>
      </c>
      <c r="P175" s="18" t="str">
        <f aca="false">IF($A175="","",COUNTIFS(持仓表!$A:$A,$A175,持仓表!$G:$G,"&gt;0"))</f>
        <v/>
      </c>
      <c r="Q175" s="18" t="str">
        <f aca="false">IF($A175="","",COUNTIFS(持仓表!$A:$A,$A175,持仓表!$D:$D,"是",持仓表!$G:$G,"&gt;0"))</f>
        <v/>
      </c>
      <c r="R175" s="18" t="str">
        <f aca="false">IF($A175="","",MAX(0,P175-Q175))</f>
        <v/>
      </c>
      <c r="S175" s="18" t="str">
        <f aca="false">IF($B175="","",IF(B175&lt;50000,3,IF(B175&lt;100000,4,5)))</f>
        <v/>
      </c>
      <c r="T175" s="19" t="str">
        <f aca="false">IF($A175="","",IF(OR(M175&gt;=4,I175&lt;=-8%),"防守",IF(OR(M175&gt;=2,I175&lt;=-5%),"警戒","正常")))</f>
        <v/>
      </c>
      <c r="U175" s="19" t="str">
        <f aca="false">IF($A175="","",IF(AND(L175&gt;=3,M175&lt;=2,T175&lt;&gt;"防守"),"是","否"))</f>
        <v/>
      </c>
      <c r="V175" s="19" t="str">
        <f aca="false">IF($A175="","",IF(AND(E175&lt;N175,R175&lt;S175,M175&lt;=2,I175&gt;-15%),"是","否"))</f>
        <v/>
      </c>
      <c r="W175" s="19" t="str">
        <f aca="false">IF($A175="","",IF(OR(M175&gt;=3,I175&lt;=-15%),"是","否"))</f>
        <v/>
      </c>
      <c r="X175" s="15" t="str">
        <f aca="false">IF($A175="","",IFERROR(maxifs(候选池!$AB:$AB,候选池!$A:$A,$A175),0))</f>
        <v/>
      </c>
      <c r="Y175" s="15" t="str">
        <f aca="false">IF($A175="","",IF(OR(M175&gt;=4,I175&lt;=-8%),MAX(0,B175*60%-C175),IF(AND(ISNUMBER(AD175),B175&gt;AD175),IF(B175&lt;30000,0,IF(B175&lt;100000,MAX(0,(B175-AD175)*0.2),MAX(0,(B175-AD175)*0.3))),0)))</f>
        <v/>
      </c>
      <c r="Z175" s="7"/>
      <c r="AA175" s="19" t="str">
        <f aca="false">IF($A175="","",IF($AA$2&lt;&gt;"",$AA$2,""))</f>
        <v/>
      </c>
      <c r="AB175" s="7" t="str">
        <f aca="false">IF($A175="","",IF(B175&lt;30000,0.03,IF(B175&lt;100000,0.02,0.015)))</f>
        <v/>
      </c>
      <c r="AC175" s="18" t="str">
        <f aca="false">IF($A175="","",IFERROR(DATEDIF($A$2,$A175,"m"),0))</f>
        <v/>
      </c>
      <c r="AD175" s="15" t="str">
        <f aca="false">IF($A175="","",IF(OR(AA175="",AB175="",AC175=""),"",AA175*POWER(1+AB175,AC175)))</f>
        <v/>
      </c>
      <c r="AE175" s="27" t="str">
        <f aca="false">IF($A175="","",IF(OR(AD175="",AD175=0),"",B175/AD175-1))</f>
        <v/>
      </c>
      <c r="AG175" s="1" t="str">
        <f aca="false">IF($A175="","",IF(B175&lt;30000,"婴儿",IF(B175&lt;100000,"成长","成熟")))</f>
        <v/>
      </c>
      <c r="AH175" s="22"/>
      <c r="AJ175" s="22"/>
      <c r="AK175" s="22"/>
      <c r="AM175" s="22"/>
      <c r="AP175" s="13"/>
      <c r="AQ175" s="23" t="str">
        <f aca="false">IF($A175="","",B175-$AA$2-SUM($F$2:F175))</f>
        <v/>
      </c>
    </row>
    <row r="176" customFormat="false" ht="15" hidden="false" customHeight="true" outlineLevel="0" collapsed="false">
      <c r="A176" s="5"/>
      <c r="B176" s="14"/>
      <c r="C176" s="14"/>
      <c r="D176" s="15" t="str">
        <f aca="false">IF($A176="","",SUMIFS(持仓表!$J:$J,持仓表!$A:$A,$A176))</f>
        <v/>
      </c>
      <c r="E176" s="16" t="n">
        <f aca="false">IFERROR(D176/B176,0)</f>
        <v>0</v>
      </c>
      <c r="F176" s="14"/>
      <c r="G176" s="15" t="str">
        <f aca="false">IF($B176="","",MAX($B$2:B176))</f>
        <v/>
      </c>
      <c r="H176" s="16" t="n">
        <f aca="false">IFERROR((B176-F176)/F176,0)</f>
        <v>0</v>
      </c>
      <c r="I176" s="16" t="n">
        <f aca="false">IFERROR((B176-G176)/G176,0)</f>
        <v>0</v>
      </c>
      <c r="J176" s="11"/>
      <c r="K176" s="5"/>
      <c r="L176" s="17"/>
      <c r="M176" s="17"/>
      <c r="N176" s="16" t="str">
        <f aca="false">IF($B176="","",MIN(70%,IF($I176&lt;=-15%,10%,IF($I176&lt;=-10%,30%,IF($M176&gt;=4,10%,IF($M176&gt;=3,30%,IF($J176="强",IF($K176="A",70%,IF($K176="B",60%,40%)),IF($J176="中性",IF($K176="A",50%,IF($K176="B",40%,25%)),IF($K176="A",30%,IF($K176="B",20%,10%))))))))))</f>
        <v/>
      </c>
      <c r="O176" s="16" t="str">
        <f aca="false">IF($B176="","",IF(B176&lt;30000,35%,IF(B176&lt;50000,30%,IF(B176&lt;100000,25%,20%))))</f>
        <v/>
      </c>
      <c r="P176" s="18" t="str">
        <f aca="false">IF($A176="","",COUNTIFS(持仓表!$A:$A,$A176,持仓表!$G:$G,"&gt;0"))</f>
        <v/>
      </c>
      <c r="Q176" s="18" t="str">
        <f aca="false">IF($A176="","",COUNTIFS(持仓表!$A:$A,$A176,持仓表!$D:$D,"是",持仓表!$G:$G,"&gt;0"))</f>
        <v/>
      </c>
      <c r="R176" s="18" t="str">
        <f aca="false">IF($A176="","",MAX(0,P176-Q176))</f>
        <v/>
      </c>
      <c r="S176" s="18" t="str">
        <f aca="false">IF($B176="","",IF(B176&lt;50000,3,IF(B176&lt;100000,4,5)))</f>
        <v/>
      </c>
      <c r="T176" s="19" t="str">
        <f aca="false">IF($A176="","",IF(OR(M176&gt;=4,I176&lt;=-8%),"防守",IF(OR(M176&gt;=2,I176&lt;=-5%),"警戒","正常")))</f>
        <v/>
      </c>
      <c r="U176" s="19" t="str">
        <f aca="false">IF($A176="","",IF(AND(L176&gt;=3,M176&lt;=2,T176&lt;&gt;"防守"),"是","否"))</f>
        <v/>
      </c>
      <c r="V176" s="19" t="str">
        <f aca="false">IF($A176="","",IF(AND(E176&lt;N176,R176&lt;S176,M176&lt;=2,I176&gt;-15%),"是","否"))</f>
        <v/>
      </c>
      <c r="W176" s="19" t="str">
        <f aca="false">IF($A176="","",IF(OR(M176&gt;=3,I176&lt;=-15%),"是","否"))</f>
        <v/>
      </c>
      <c r="X176" s="15" t="str">
        <f aca="false">IF($A176="","",IFERROR(maxifs(候选池!$AB:$AB,候选池!$A:$A,$A176),0))</f>
        <v/>
      </c>
      <c r="Y176" s="15" t="str">
        <f aca="false">IF($A176="","",IF(OR(M176&gt;=4,I176&lt;=-8%),MAX(0,B176*60%-C176),IF(AND(ISNUMBER(AD176),B176&gt;AD176),IF(B176&lt;30000,0,IF(B176&lt;100000,MAX(0,(B176-AD176)*0.2),MAX(0,(B176-AD176)*0.3))),0)))</f>
        <v/>
      </c>
      <c r="Z176" s="5"/>
      <c r="AA176" s="19" t="str">
        <f aca="false">IF($A176="","",IF($AA$2&lt;&gt;"",$AA$2,""))</f>
        <v/>
      </c>
      <c r="AB176" s="5" t="str">
        <f aca="false">IF($A176="","",IF(B176&lt;30000,0.03,IF(B176&lt;100000,0.02,0.015)))</f>
        <v/>
      </c>
      <c r="AC176" s="18" t="str">
        <f aca="false">IF($A176="","",IFERROR(DATEDIF($A$2,$A176,"m"),0))</f>
        <v/>
      </c>
      <c r="AD176" s="15" t="str">
        <f aca="false">IF($A176="","",IF(OR(AA176="",AB176="",AC176=""),"",AA176*POWER(1+AB176,AC176)))</f>
        <v/>
      </c>
      <c r="AE176" s="21" t="str">
        <f aca="false">IF($A176="","",IF(OR(AD176="",AD176=0),"",B176/AD176-1))</f>
        <v/>
      </c>
      <c r="AG176" s="1" t="str">
        <f aca="false">IF($A176="","",IF(B176&lt;30000,"婴儿",IF(B176&lt;100000,"成长","成熟")))</f>
        <v/>
      </c>
      <c r="AH176" s="22"/>
      <c r="AJ176" s="22"/>
      <c r="AK176" s="22"/>
      <c r="AM176" s="22"/>
      <c r="AP176" s="13"/>
      <c r="AQ176" s="23" t="str">
        <f aca="false">IF($A176="","",B176-$AA$2-SUM($F$2:F176))</f>
        <v/>
      </c>
    </row>
    <row r="177" customFormat="false" ht="15" hidden="false" customHeight="true" outlineLevel="0" collapsed="false">
      <c r="A177" s="7"/>
      <c r="B177" s="24"/>
      <c r="C177" s="24"/>
      <c r="D177" s="15" t="str">
        <f aca="false">IF($A177="","",SUMIFS(持仓表!$J:$J,持仓表!$A:$A,$A177))</f>
        <v/>
      </c>
      <c r="E177" s="16" t="n">
        <f aca="false">IFERROR(D177/B177,0)</f>
        <v>0</v>
      </c>
      <c r="F177" s="24"/>
      <c r="G177" s="15" t="str">
        <f aca="false">IF($B177="","",MAX($B$2:B177))</f>
        <v/>
      </c>
      <c r="H177" s="16" t="n">
        <f aca="false">IFERROR((B177-F177)/F177,0)</f>
        <v>0</v>
      </c>
      <c r="I177" s="16" t="n">
        <f aca="false">IFERROR((B177-G177)/G177,0)</f>
        <v>0</v>
      </c>
      <c r="J177" s="12"/>
      <c r="K177" s="7"/>
      <c r="L177" s="25"/>
      <c r="M177" s="25"/>
      <c r="N177" s="16" t="str">
        <f aca="false">IF($B177="","",MIN(70%,IF($I177&lt;=-15%,10%,IF($I177&lt;=-10%,30%,IF($M177&gt;=4,10%,IF($M177&gt;=3,30%,IF($J177="强",IF($K177="A",70%,IF($K177="B",60%,40%)),IF($J177="中性",IF($K177="A",50%,IF($K177="B",40%,25%)),IF($K177="A",30%,IF($K177="B",20%,10%))))))))))</f>
        <v/>
      </c>
      <c r="O177" s="16" t="str">
        <f aca="false">IF($B177="","",IF(B177&lt;30000,35%,IF(B177&lt;50000,30%,IF(B177&lt;100000,25%,20%))))</f>
        <v/>
      </c>
      <c r="P177" s="18" t="str">
        <f aca="false">IF($A177="","",COUNTIFS(持仓表!$A:$A,$A177,持仓表!$G:$G,"&gt;0"))</f>
        <v/>
      </c>
      <c r="Q177" s="18" t="str">
        <f aca="false">IF($A177="","",COUNTIFS(持仓表!$A:$A,$A177,持仓表!$D:$D,"是",持仓表!$G:$G,"&gt;0"))</f>
        <v/>
      </c>
      <c r="R177" s="18" t="str">
        <f aca="false">IF($A177="","",MAX(0,P177-Q177))</f>
        <v/>
      </c>
      <c r="S177" s="18" t="str">
        <f aca="false">IF($B177="","",IF(B177&lt;50000,3,IF(B177&lt;100000,4,5)))</f>
        <v/>
      </c>
      <c r="T177" s="19" t="str">
        <f aca="false">IF($A177="","",IF(OR(M177&gt;=4,I177&lt;=-8%),"防守",IF(OR(M177&gt;=2,I177&lt;=-5%),"警戒","正常")))</f>
        <v/>
      </c>
      <c r="U177" s="19" t="str">
        <f aca="false">IF($A177="","",IF(AND(L177&gt;=3,M177&lt;=2,T177&lt;&gt;"防守"),"是","否"))</f>
        <v/>
      </c>
      <c r="V177" s="19" t="str">
        <f aca="false">IF($A177="","",IF(AND(E177&lt;N177,R177&lt;S177,M177&lt;=2,I177&gt;-15%),"是","否"))</f>
        <v/>
      </c>
      <c r="W177" s="19" t="str">
        <f aca="false">IF($A177="","",IF(OR(M177&gt;=3,I177&lt;=-15%),"是","否"))</f>
        <v/>
      </c>
      <c r="X177" s="15" t="str">
        <f aca="false">IF($A177="","",IFERROR(maxifs(候选池!$AB:$AB,候选池!$A:$A,$A177),0))</f>
        <v/>
      </c>
      <c r="Y177" s="15" t="str">
        <f aca="false">IF($A177="","",IF(OR(M177&gt;=4,I177&lt;=-8%),MAX(0,B177*60%-C177),IF(AND(ISNUMBER(AD177),B177&gt;AD177),IF(B177&lt;30000,0,IF(B177&lt;100000,MAX(0,(B177-AD177)*0.2),MAX(0,(B177-AD177)*0.3))),0)))</f>
        <v/>
      </c>
      <c r="Z177" s="7"/>
      <c r="AA177" s="19" t="str">
        <f aca="false">IF($A177="","",IF($AA$2&lt;&gt;"",$AA$2,""))</f>
        <v/>
      </c>
      <c r="AB177" s="7" t="str">
        <f aca="false">IF($A177="","",IF(B177&lt;30000,0.03,IF(B177&lt;100000,0.02,0.015)))</f>
        <v/>
      </c>
      <c r="AC177" s="18" t="str">
        <f aca="false">IF($A177="","",IFERROR(DATEDIF($A$2,$A177,"m"),0))</f>
        <v/>
      </c>
      <c r="AD177" s="15" t="str">
        <f aca="false">IF($A177="","",IF(OR(AA177="",AB177="",AC177=""),"",AA177*POWER(1+AB177,AC177)))</f>
        <v/>
      </c>
      <c r="AE177" s="27" t="str">
        <f aca="false">IF($A177="","",IF(OR(AD177="",AD177=0),"",B177/AD177-1))</f>
        <v/>
      </c>
      <c r="AG177" s="1" t="str">
        <f aca="false">IF($A177="","",IF(B177&lt;30000,"婴儿",IF(B177&lt;100000,"成长","成熟")))</f>
        <v/>
      </c>
      <c r="AH177" s="22"/>
      <c r="AJ177" s="22"/>
      <c r="AK177" s="22"/>
      <c r="AM177" s="22"/>
      <c r="AP177" s="13"/>
      <c r="AQ177" s="23" t="str">
        <f aca="false">IF($A177="","",B177-$AA$2-SUM($F$2:F177))</f>
        <v/>
      </c>
    </row>
    <row r="178" customFormat="false" ht="15" hidden="false" customHeight="true" outlineLevel="0" collapsed="false">
      <c r="A178" s="5"/>
      <c r="B178" s="14"/>
      <c r="C178" s="14"/>
      <c r="D178" s="15" t="str">
        <f aca="false">IF($A178="","",SUMIFS(持仓表!$J:$J,持仓表!$A:$A,$A178))</f>
        <v/>
      </c>
      <c r="E178" s="16" t="n">
        <f aca="false">IFERROR(D178/B178,0)</f>
        <v>0</v>
      </c>
      <c r="F178" s="14"/>
      <c r="G178" s="15" t="str">
        <f aca="false">IF($B178="","",MAX($B$2:B178))</f>
        <v/>
      </c>
      <c r="H178" s="16" t="n">
        <f aca="false">IFERROR((B178-F178)/F178,0)</f>
        <v>0</v>
      </c>
      <c r="I178" s="16" t="n">
        <f aca="false">IFERROR((B178-G178)/G178,0)</f>
        <v>0</v>
      </c>
      <c r="J178" s="11"/>
      <c r="K178" s="5"/>
      <c r="L178" s="17"/>
      <c r="M178" s="17"/>
      <c r="N178" s="16" t="str">
        <f aca="false">IF($B178="","",MIN(70%,IF($I178&lt;=-15%,10%,IF($I178&lt;=-10%,30%,IF($M178&gt;=4,10%,IF($M178&gt;=3,30%,IF($J178="强",IF($K178="A",70%,IF($K178="B",60%,40%)),IF($J178="中性",IF($K178="A",50%,IF($K178="B",40%,25%)),IF($K178="A",30%,IF($K178="B",20%,10%))))))))))</f>
        <v/>
      </c>
      <c r="O178" s="16" t="str">
        <f aca="false">IF($B178="","",IF(B178&lt;30000,35%,IF(B178&lt;50000,30%,IF(B178&lt;100000,25%,20%))))</f>
        <v/>
      </c>
      <c r="P178" s="18" t="str">
        <f aca="false">IF($A178="","",COUNTIFS(持仓表!$A:$A,$A178,持仓表!$G:$G,"&gt;0"))</f>
        <v/>
      </c>
      <c r="Q178" s="18" t="str">
        <f aca="false">IF($A178="","",COUNTIFS(持仓表!$A:$A,$A178,持仓表!$D:$D,"是",持仓表!$G:$G,"&gt;0"))</f>
        <v/>
      </c>
      <c r="R178" s="18" t="str">
        <f aca="false">IF($A178="","",MAX(0,P178-Q178))</f>
        <v/>
      </c>
      <c r="S178" s="18" t="str">
        <f aca="false">IF($B178="","",IF(B178&lt;50000,3,IF(B178&lt;100000,4,5)))</f>
        <v/>
      </c>
      <c r="T178" s="19" t="str">
        <f aca="false">IF($A178="","",IF(OR(M178&gt;=4,I178&lt;=-8%),"防守",IF(OR(M178&gt;=2,I178&lt;=-5%),"警戒","正常")))</f>
        <v/>
      </c>
      <c r="U178" s="19" t="str">
        <f aca="false">IF($A178="","",IF(AND(L178&gt;=3,M178&lt;=2,T178&lt;&gt;"防守"),"是","否"))</f>
        <v/>
      </c>
      <c r="V178" s="19" t="str">
        <f aca="false">IF($A178="","",IF(AND(E178&lt;N178,R178&lt;S178,M178&lt;=2,I178&gt;-15%),"是","否"))</f>
        <v/>
      </c>
      <c r="W178" s="19" t="str">
        <f aca="false">IF($A178="","",IF(OR(M178&gt;=3,I178&lt;=-15%),"是","否"))</f>
        <v/>
      </c>
      <c r="X178" s="15" t="str">
        <f aca="false">IF($A178="","",IFERROR(maxifs(候选池!$AB:$AB,候选池!$A:$A,$A178),0))</f>
        <v/>
      </c>
      <c r="Y178" s="15" t="str">
        <f aca="false">IF($A178="","",IF(OR(M178&gt;=4,I178&lt;=-8%),MAX(0,B178*60%-C178),IF(AND(ISNUMBER(AD178),B178&gt;AD178),IF(B178&lt;30000,0,IF(B178&lt;100000,MAX(0,(B178-AD178)*0.2),MAX(0,(B178-AD178)*0.3))),0)))</f>
        <v/>
      </c>
      <c r="Z178" s="5"/>
      <c r="AA178" s="19" t="str">
        <f aca="false">IF($A178="","",IF($AA$2&lt;&gt;"",$AA$2,""))</f>
        <v/>
      </c>
      <c r="AB178" s="5" t="str">
        <f aca="false">IF($A178="","",IF(B178&lt;30000,0.03,IF(B178&lt;100000,0.02,0.015)))</f>
        <v/>
      </c>
      <c r="AC178" s="18" t="str">
        <f aca="false">IF($A178="","",IFERROR(DATEDIF($A$2,$A178,"m"),0))</f>
        <v/>
      </c>
      <c r="AD178" s="15" t="str">
        <f aca="false">IF($A178="","",IF(OR(AA178="",AB178="",AC178=""),"",AA178*POWER(1+AB178,AC178)))</f>
        <v/>
      </c>
      <c r="AE178" s="21" t="str">
        <f aca="false">IF($A178="","",IF(OR(AD178="",AD178=0),"",B178/AD178-1))</f>
        <v/>
      </c>
      <c r="AG178" s="1" t="str">
        <f aca="false">IF($A178="","",IF(B178&lt;30000,"婴儿",IF(B178&lt;100000,"成长","成熟")))</f>
        <v/>
      </c>
      <c r="AH178" s="22"/>
      <c r="AJ178" s="22"/>
      <c r="AK178" s="22"/>
      <c r="AM178" s="22"/>
      <c r="AP178" s="13"/>
      <c r="AQ178" s="23" t="str">
        <f aca="false">IF($A178="","",B178-$AA$2-SUM($F$2:F178))</f>
        <v/>
      </c>
    </row>
    <row r="179" customFormat="false" ht="15" hidden="false" customHeight="true" outlineLevel="0" collapsed="false">
      <c r="A179" s="7"/>
      <c r="B179" s="24"/>
      <c r="C179" s="24"/>
      <c r="D179" s="15" t="str">
        <f aca="false">IF($A179="","",SUMIFS(持仓表!$J:$J,持仓表!$A:$A,$A179))</f>
        <v/>
      </c>
      <c r="E179" s="16" t="n">
        <f aca="false">IFERROR(D179/B179,0)</f>
        <v>0</v>
      </c>
      <c r="F179" s="24"/>
      <c r="G179" s="15" t="str">
        <f aca="false">IF($B179="","",MAX($B$2:B179))</f>
        <v/>
      </c>
      <c r="H179" s="16" t="n">
        <f aca="false">IFERROR((B179-F179)/F179,0)</f>
        <v>0</v>
      </c>
      <c r="I179" s="16" t="n">
        <f aca="false">IFERROR((B179-G179)/G179,0)</f>
        <v>0</v>
      </c>
      <c r="J179" s="12"/>
      <c r="K179" s="7"/>
      <c r="L179" s="25"/>
      <c r="M179" s="25"/>
      <c r="N179" s="16" t="str">
        <f aca="false">IF($B179="","",MIN(70%,IF($I179&lt;=-15%,10%,IF($I179&lt;=-10%,30%,IF($M179&gt;=4,10%,IF($M179&gt;=3,30%,IF($J179="强",IF($K179="A",70%,IF($K179="B",60%,40%)),IF($J179="中性",IF($K179="A",50%,IF($K179="B",40%,25%)),IF($K179="A",30%,IF($K179="B",20%,10%))))))))))</f>
        <v/>
      </c>
      <c r="O179" s="16" t="str">
        <f aca="false">IF($B179="","",IF(B179&lt;30000,35%,IF(B179&lt;50000,30%,IF(B179&lt;100000,25%,20%))))</f>
        <v/>
      </c>
      <c r="P179" s="18" t="str">
        <f aca="false">IF($A179="","",COUNTIFS(持仓表!$A:$A,$A179,持仓表!$G:$G,"&gt;0"))</f>
        <v/>
      </c>
      <c r="Q179" s="18" t="str">
        <f aca="false">IF($A179="","",COUNTIFS(持仓表!$A:$A,$A179,持仓表!$D:$D,"是",持仓表!$G:$G,"&gt;0"))</f>
        <v/>
      </c>
      <c r="R179" s="18" t="str">
        <f aca="false">IF($A179="","",MAX(0,P179-Q179))</f>
        <v/>
      </c>
      <c r="S179" s="18" t="str">
        <f aca="false">IF($B179="","",IF(B179&lt;50000,3,IF(B179&lt;100000,4,5)))</f>
        <v/>
      </c>
      <c r="T179" s="19" t="str">
        <f aca="false">IF($A179="","",IF(OR(M179&gt;=4,I179&lt;=-8%),"防守",IF(OR(M179&gt;=2,I179&lt;=-5%),"警戒","正常")))</f>
        <v/>
      </c>
      <c r="U179" s="19" t="str">
        <f aca="false">IF($A179="","",IF(AND(L179&gt;=3,M179&lt;=2,T179&lt;&gt;"防守"),"是","否"))</f>
        <v/>
      </c>
      <c r="V179" s="19" t="str">
        <f aca="false">IF($A179="","",IF(AND(E179&lt;N179,R179&lt;S179,M179&lt;=2,I179&gt;-15%),"是","否"))</f>
        <v/>
      </c>
      <c r="W179" s="19" t="str">
        <f aca="false">IF($A179="","",IF(OR(M179&gt;=3,I179&lt;=-15%),"是","否"))</f>
        <v/>
      </c>
      <c r="X179" s="15" t="str">
        <f aca="false">IF($A179="","",IFERROR(maxifs(候选池!$AB:$AB,候选池!$A:$A,$A179),0))</f>
        <v/>
      </c>
      <c r="Y179" s="15" t="str">
        <f aca="false">IF($A179="","",IF(OR(M179&gt;=4,I179&lt;=-8%),MAX(0,B179*60%-C179),IF(AND(ISNUMBER(AD179),B179&gt;AD179),IF(B179&lt;30000,0,IF(B179&lt;100000,MAX(0,(B179-AD179)*0.2),MAX(0,(B179-AD179)*0.3))),0)))</f>
        <v/>
      </c>
      <c r="Z179" s="7"/>
      <c r="AA179" s="19" t="str">
        <f aca="false">IF($A179="","",IF($AA$2&lt;&gt;"",$AA$2,""))</f>
        <v/>
      </c>
      <c r="AB179" s="7" t="str">
        <f aca="false">IF($A179="","",IF(B179&lt;30000,0.03,IF(B179&lt;100000,0.02,0.015)))</f>
        <v/>
      </c>
      <c r="AC179" s="18" t="str">
        <f aca="false">IF($A179="","",IFERROR(DATEDIF($A$2,$A179,"m"),0))</f>
        <v/>
      </c>
      <c r="AD179" s="15" t="str">
        <f aca="false">IF($A179="","",IF(OR(AA179="",AB179="",AC179=""),"",AA179*POWER(1+AB179,AC179)))</f>
        <v/>
      </c>
      <c r="AE179" s="27" t="str">
        <f aca="false">IF($A179="","",IF(OR(AD179="",AD179=0),"",B179/AD179-1))</f>
        <v/>
      </c>
      <c r="AG179" s="1" t="str">
        <f aca="false">IF($A179="","",IF(B179&lt;30000,"婴儿",IF(B179&lt;100000,"成长","成熟")))</f>
        <v/>
      </c>
      <c r="AH179" s="22"/>
      <c r="AJ179" s="22"/>
      <c r="AK179" s="22"/>
      <c r="AM179" s="22"/>
      <c r="AP179" s="13"/>
      <c r="AQ179" s="23" t="str">
        <f aca="false">IF($A179="","",B179-$AA$2-SUM($F$2:F179))</f>
        <v/>
      </c>
    </row>
    <row r="180" customFormat="false" ht="15" hidden="false" customHeight="true" outlineLevel="0" collapsed="false">
      <c r="A180" s="5"/>
      <c r="B180" s="14"/>
      <c r="C180" s="14"/>
      <c r="D180" s="15" t="str">
        <f aca="false">IF($A180="","",SUMIFS(持仓表!$J:$J,持仓表!$A:$A,$A180))</f>
        <v/>
      </c>
      <c r="E180" s="16" t="n">
        <f aca="false">IFERROR(D180/B180,0)</f>
        <v>0</v>
      </c>
      <c r="F180" s="14"/>
      <c r="G180" s="15" t="str">
        <f aca="false">IF($B180="","",MAX($B$2:B180))</f>
        <v/>
      </c>
      <c r="H180" s="16" t="n">
        <f aca="false">IFERROR((B180-F180)/F180,0)</f>
        <v>0</v>
      </c>
      <c r="I180" s="16" t="n">
        <f aca="false">IFERROR((B180-G180)/G180,0)</f>
        <v>0</v>
      </c>
      <c r="J180" s="11"/>
      <c r="K180" s="5"/>
      <c r="L180" s="17"/>
      <c r="M180" s="17"/>
      <c r="N180" s="16" t="str">
        <f aca="false">IF($B180="","",MIN(70%,IF($I180&lt;=-15%,10%,IF($I180&lt;=-10%,30%,IF($M180&gt;=4,10%,IF($M180&gt;=3,30%,IF($J180="强",IF($K180="A",70%,IF($K180="B",60%,40%)),IF($J180="中性",IF($K180="A",50%,IF($K180="B",40%,25%)),IF($K180="A",30%,IF($K180="B",20%,10%))))))))))</f>
        <v/>
      </c>
      <c r="O180" s="16" t="str">
        <f aca="false">IF($B180="","",IF(B180&lt;30000,35%,IF(B180&lt;50000,30%,IF(B180&lt;100000,25%,20%))))</f>
        <v/>
      </c>
      <c r="P180" s="18" t="str">
        <f aca="false">IF($A180="","",COUNTIFS(持仓表!$A:$A,$A180,持仓表!$G:$G,"&gt;0"))</f>
        <v/>
      </c>
      <c r="Q180" s="18" t="str">
        <f aca="false">IF($A180="","",COUNTIFS(持仓表!$A:$A,$A180,持仓表!$D:$D,"是",持仓表!$G:$G,"&gt;0"))</f>
        <v/>
      </c>
      <c r="R180" s="18" t="str">
        <f aca="false">IF($A180="","",MAX(0,P180-Q180))</f>
        <v/>
      </c>
      <c r="S180" s="18" t="str">
        <f aca="false">IF($B180="","",IF(B180&lt;50000,3,IF(B180&lt;100000,4,5)))</f>
        <v/>
      </c>
      <c r="T180" s="19" t="str">
        <f aca="false">IF($A180="","",IF(OR(M180&gt;=4,I180&lt;=-8%),"防守",IF(OR(M180&gt;=2,I180&lt;=-5%),"警戒","正常")))</f>
        <v/>
      </c>
      <c r="U180" s="19" t="str">
        <f aca="false">IF($A180="","",IF(AND(L180&gt;=3,M180&lt;=2,T180&lt;&gt;"防守"),"是","否"))</f>
        <v/>
      </c>
      <c r="V180" s="19" t="str">
        <f aca="false">IF($A180="","",IF(AND(E180&lt;N180,R180&lt;S180,M180&lt;=2,I180&gt;-15%),"是","否"))</f>
        <v/>
      </c>
      <c r="W180" s="19" t="str">
        <f aca="false">IF($A180="","",IF(OR(M180&gt;=3,I180&lt;=-15%),"是","否"))</f>
        <v/>
      </c>
      <c r="X180" s="15" t="str">
        <f aca="false">IF($A180="","",IFERROR(maxifs(候选池!$AB:$AB,候选池!$A:$A,$A180),0))</f>
        <v/>
      </c>
      <c r="Y180" s="15" t="str">
        <f aca="false">IF($A180="","",IF(OR(M180&gt;=4,I180&lt;=-8%),MAX(0,B180*60%-C180),IF(AND(ISNUMBER(AD180),B180&gt;AD180),IF(B180&lt;30000,0,IF(B180&lt;100000,MAX(0,(B180-AD180)*0.2),MAX(0,(B180-AD180)*0.3))),0)))</f>
        <v/>
      </c>
      <c r="Z180" s="5"/>
      <c r="AA180" s="19" t="str">
        <f aca="false">IF($A180="","",IF($AA$2&lt;&gt;"",$AA$2,""))</f>
        <v/>
      </c>
      <c r="AB180" s="5" t="str">
        <f aca="false">IF($A180="","",IF(B180&lt;30000,0.03,IF(B180&lt;100000,0.02,0.015)))</f>
        <v/>
      </c>
      <c r="AC180" s="18" t="str">
        <f aca="false">IF($A180="","",IFERROR(DATEDIF($A$2,$A180,"m"),0))</f>
        <v/>
      </c>
      <c r="AD180" s="15" t="str">
        <f aca="false">IF($A180="","",IF(OR(AA180="",AB180="",AC180=""),"",AA180*POWER(1+AB180,AC180)))</f>
        <v/>
      </c>
      <c r="AE180" s="21" t="str">
        <f aca="false">IF($A180="","",IF(OR(AD180="",AD180=0),"",B180/AD180-1))</f>
        <v/>
      </c>
      <c r="AG180" s="1" t="str">
        <f aca="false">IF($A180="","",IF(B180&lt;30000,"婴儿",IF(B180&lt;100000,"成长","成熟")))</f>
        <v/>
      </c>
      <c r="AH180" s="22"/>
      <c r="AJ180" s="22"/>
      <c r="AK180" s="22"/>
      <c r="AM180" s="22"/>
      <c r="AP180" s="13"/>
      <c r="AQ180" s="23" t="str">
        <f aca="false">IF($A180="","",B180-$AA$2-SUM($F$2:F180))</f>
        <v/>
      </c>
    </row>
    <row r="181" customFormat="false" ht="15" hidden="false" customHeight="true" outlineLevel="0" collapsed="false">
      <c r="A181" s="7"/>
      <c r="B181" s="24"/>
      <c r="C181" s="24"/>
      <c r="D181" s="15" t="str">
        <f aca="false">IF($A181="","",SUMIFS(持仓表!$J:$J,持仓表!$A:$A,$A181))</f>
        <v/>
      </c>
      <c r="E181" s="16" t="n">
        <f aca="false">IFERROR(D181/B181,0)</f>
        <v>0</v>
      </c>
      <c r="F181" s="24"/>
      <c r="G181" s="15" t="str">
        <f aca="false">IF($B181="","",MAX($B$2:B181))</f>
        <v/>
      </c>
      <c r="H181" s="16" t="n">
        <f aca="false">IFERROR((B181-F181)/F181,0)</f>
        <v>0</v>
      </c>
      <c r="I181" s="16" t="n">
        <f aca="false">IFERROR((B181-G181)/G181,0)</f>
        <v>0</v>
      </c>
      <c r="J181" s="12"/>
      <c r="K181" s="7"/>
      <c r="L181" s="25"/>
      <c r="M181" s="25"/>
      <c r="N181" s="16" t="str">
        <f aca="false">IF($B181="","",MIN(70%,IF($I181&lt;=-15%,10%,IF($I181&lt;=-10%,30%,IF($M181&gt;=4,10%,IF($M181&gt;=3,30%,IF($J181="强",IF($K181="A",70%,IF($K181="B",60%,40%)),IF($J181="中性",IF($K181="A",50%,IF($K181="B",40%,25%)),IF($K181="A",30%,IF($K181="B",20%,10%))))))))))</f>
        <v/>
      </c>
      <c r="O181" s="16" t="str">
        <f aca="false">IF($B181="","",IF(B181&lt;30000,35%,IF(B181&lt;50000,30%,IF(B181&lt;100000,25%,20%))))</f>
        <v/>
      </c>
      <c r="P181" s="18" t="str">
        <f aca="false">IF($A181="","",COUNTIFS(持仓表!$A:$A,$A181,持仓表!$G:$G,"&gt;0"))</f>
        <v/>
      </c>
      <c r="Q181" s="18" t="str">
        <f aca="false">IF($A181="","",COUNTIFS(持仓表!$A:$A,$A181,持仓表!$D:$D,"是",持仓表!$G:$G,"&gt;0"))</f>
        <v/>
      </c>
      <c r="R181" s="18" t="str">
        <f aca="false">IF($A181="","",MAX(0,P181-Q181))</f>
        <v/>
      </c>
      <c r="S181" s="18" t="str">
        <f aca="false">IF($B181="","",IF(B181&lt;50000,3,IF(B181&lt;100000,4,5)))</f>
        <v/>
      </c>
      <c r="T181" s="19" t="str">
        <f aca="false">IF($A181="","",IF(OR(M181&gt;=4,I181&lt;=-8%),"防守",IF(OR(M181&gt;=2,I181&lt;=-5%),"警戒","正常")))</f>
        <v/>
      </c>
      <c r="U181" s="19" t="str">
        <f aca="false">IF($A181="","",IF(AND(L181&gt;=3,M181&lt;=2,T181&lt;&gt;"防守"),"是","否"))</f>
        <v/>
      </c>
      <c r="V181" s="19" t="str">
        <f aca="false">IF($A181="","",IF(AND(E181&lt;N181,R181&lt;S181,M181&lt;=2,I181&gt;-15%),"是","否"))</f>
        <v/>
      </c>
      <c r="W181" s="19" t="str">
        <f aca="false">IF($A181="","",IF(OR(M181&gt;=3,I181&lt;=-15%),"是","否"))</f>
        <v/>
      </c>
      <c r="X181" s="15" t="str">
        <f aca="false">IF($A181="","",IFERROR(maxifs(候选池!$AB:$AB,候选池!$A:$A,$A181),0))</f>
        <v/>
      </c>
      <c r="Y181" s="15" t="str">
        <f aca="false">IF($A181="","",IF(OR(M181&gt;=4,I181&lt;=-8%),MAX(0,B181*60%-C181),IF(AND(ISNUMBER(AD181),B181&gt;AD181),IF(B181&lt;30000,0,IF(B181&lt;100000,MAX(0,(B181-AD181)*0.2),MAX(0,(B181-AD181)*0.3))),0)))</f>
        <v/>
      </c>
      <c r="Z181" s="7"/>
      <c r="AA181" s="19" t="str">
        <f aca="false">IF($A181="","",IF($AA$2&lt;&gt;"",$AA$2,""))</f>
        <v/>
      </c>
      <c r="AB181" s="7" t="str">
        <f aca="false">IF($A181="","",IF(B181&lt;30000,0.03,IF(B181&lt;100000,0.02,0.015)))</f>
        <v/>
      </c>
      <c r="AC181" s="18" t="str">
        <f aca="false">IF($A181="","",IFERROR(DATEDIF($A$2,$A181,"m"),0))</f>
        <v/>
      </c>
      <c r="AD181" s="15" t="str">
        <f aca="false">IF($A181="","",IF(OR(AA181="",AB181="",AC181=""),"",AA181*POWER(1+AB181,AC181)))</f>
        <v/>
      </c>
      <c r="AE181" s="27" t="str">
        <f aca="false">IF($A181="","",IF(OR(AD181="",AD181=0),"",B181/AD181-1))</f>
        <v/>
      </c>
      <c r="AG181" s="1" t="str">
        <f aca="false">IF($A181="","",IF(B181&lt;30000,"婴儿",IF(B181&lt;100000,"成长","成熟")))</f>
        <v/>
      </c>
      <c r="AH181" s="22"/>
      <c r="AJ181" s="22"/>
      <c r="AK181" s="22"/>
      <c r="AM181" s="22"/>
      <c r="AP181" s="13"/>
      <c r="AQ181" s="23" t="str">
        <f aca="false">IF($A181="","",B181-$AA$2-SUM($F$2:F181))</f>
        <v/>
      </c>
    </row>
    <row r="182" customFormat="false" ht="15" hidden="false" customHeight="true" outlineLevel="0" collapsed="false">
      <c r="A182" s="5"/>
      <c r="B182" s="14"/>
      <c r="C182" s="14"/>
      <c r="D182" s="15" t="str">
        <f aca="false">IF($A182="","",SUMIFS(持仓表!$J:$J,持仓表!$A:$A,$A182))</f>
        <v/>
      </c>
      <c r="E182" s="16" t="n">
        <f aca="false">IFERROR(D182/B182,0)</f>
        <v>0</v>
      </c>
      <c r="F182" s="14"/>
      <c r="G182" s="15" t="str">
        <f aca="false">IF($B182="","",MAX($B$2:B182))</f>
        <v/>
      </c>
      <c r="H182" s="16" t="n">
        <f aca="false">IFERROR((B182-F182)/F182,0)</f>
        <v>0</v>
      </c>
      <c r="I182" s="16" t="n">
        <f aca="false">IFERROR((B182-G182)/G182,0)</f>
        <v>0</v>
      </c>
      <c r="J182" s="11"/>
      <c r="K182" s="5"/>
      <c r="L182" s="17"/>
      <c r="M182" s="17"/>
      <c r="N182" s="16" t="str">
        <f aca="false">IF($B182="","",MIN(70%,IF($I182&lt;=-15%,10%,IF($I182&lt;=-10%,30%,IF($M182&gt;=4,10%,IF($M182&gt;=3,30%,IF($J182="强",IF($K182="A",70%,IF($K182="B",60%,40%)),IF($J182="中性",IF($K182="A",50%,IF($K182="B",40%,25%)),IF($K182="A",30%,IF($K182="B",20%,10%))))))))))</f>
        <v/>
      </c>
      <c r="O182" s="16" t="str">
        <f aca="false">IF($B182="","",IF(B182&lt;30000,35%,IF(B182&lt;50000,30%,IF(B182&lt;100000,25%,20%))))</f>
        <v/>
      </c>
      <c r="P182" s="18" t="str">
        <f aca="false">IF($A182="","",COUNTIFS(持仓表!$A:$A,$A182,持仓表!$G:$G,"&gt;0"))</f>
        <v/>
      </c>
      <c r="Q182" s="18" t="str">
        <f aca="false">IF($A182="","",COUNTIFS(持仓表!$A:$A,$A182,持仓表!$D:$D,"是",持仓表!$G:$G,"&gt;0"))</f>
        <v/>
      </c>
      <c r="R182" s="18" t="str">
        <f aca="false">IF($A182="","",MAX(0,P182-Q182))</f>
        <v/>
      </c>
      <c r="S182" s="18" t="str">
        <f aca="false">IF($B182="","",IF(B182&lt;50000,3,IF(B182&lt;100000,4,5)))</f>
        <v/>
      </c>
      <c r="T182" s="19" t="str">
        <f aca="false">IF($A182="","",IF(OR(M182&gt;=4,I182&lt;=-8%),"防守",IF(OR(M182&gt;=2,I182&lt;=-5%),"警戒","正常")))</f>
        <v/>
      </c>
      <c r="U182" s="19" t="str">
        <f aca="false">IF($A182="","",IF(AND(L182&gt;=3,M182&lt;=2,T182&lt;&gt;"防守"),"是","否"))</f>
        <v/>
      </c>
      <c r="V182" s="19" t="str">
        <f aca="false">IF($A182="","",IF(AND(E182&lt;N182,R182&lt;S182,M182&lt;=2,I182&gt;-15%),"是","否"))</f>
        <v/>
      </c>
      <c r="W182" s="19" t="str">
        <f aca="false">IF($A182="","",IF(OR(M182&gt;=3,I182&lt;=-15%),"是","否"))</f>
        <v/>
      </c>
      <c r="X182" s="15" t="str">
        <f aca="false">IF($A182="","",IFERROR(maxifs(候选池!$AB:$AB,候选池!$A:$A,$A182),0))</f>
        <v/>
      </c>
      <c r="Y182" s="15" t="str">
        <f aca="false">IF($A182="","",IF(OR(M182&gt;=4,I182&lt;=-8%),MAX(0,B182*60%-C182),IF(AND(ISNUMBER(AD182),B182&gt;AD182),IF(B182&lt;30000,0,IF(B182&lt;100000,MAX(0,(B182-AD182)*0.2),MAX(0,(B182-AD182)*0.3))),0)))</f>
        <v/>
      </c>
      <c r="Z182" s="5"/>
      <c r="AA182" s="19" t="str">
        <f aca="false">IF($A182="","",IF($AA$2&lt;&gt;"",$AA$2,""))</f>
        <v/>
      </c>
      <c r="AB182" s="5" t="str">
        <f aca="false">IF($A182="","",IF(B182&lt;30000,0.03,IF(B182&lt;100000,0.02,0.015)))</f>
        <v/>
      </c>
      <c r="AC182" s="18" t="str">
        <f aca="false">IF($A182="","",IFERROR(DATEDIF($A$2,$A182,"m"),0))</f>
        <v/>
      </c>
      <c r="AD182" s="15" t="str">
        <f aca="false">IF($A182="","",IF(OR(AA182="",AB182="",AC182=""),"",AA182*POWER(1+AB182,AC182)))</f>
        <v/>
      </c>
      <c r="AE182" s="21" t="str">
        <f aca="false">IF($A182="","",IF(OR(AD182="",AD182=0),"",B182/AD182-1))</f>
        <v/>
      </c>
      <c r="AG182" s="1" t="str">
        <f aca="false">IF($A182="","",IF(B182&lt;30000,"婴儿",IF(B182&lt;100000,"成长","成熟")))</f>
        <v/>
      </c>
      <c r="AH182" s="22"/>
      <c r="AJ182" s="22"/>
      <c r="AK182" s="22"/>
      <c r="AM182" s="22"/>
      <c r="AP182" s="13"/>
      <c r="AQ182" s="23" t="str">
        <f aca="false">IF($A182="","",B182-$AA$2-SUM($F$2:F182))</f>
        <v/>
      </c>
    </row>
    <row r="183" customFormat="false" ht="15" hidden="false" customHeight="true" outlineLevel="0" collapsed="false">
      <c r="A183" s="7"/>
      <c r="B183" s="24"/>
      <c r="C183" s="24"/>
      <c r="D183" s="15" t="str">
        <f aca="false">IF($A183="","",SUMIFS(持仓表!$J:$J,持仓表!$A:$A,$A183))</f>
        <v/>
      </c>
      <c r="E183" s="16" t="n">
        <f aca="false">IFERROR(D183/B183,0)</f>
        <v>0</v>
      </c>
      <c r="F183" s="24"/>
      <c r="G183" s="15" t="str">
        <f aca="false">IF($B183="","",MAX($B$2:B183))</f>
        <v/>
      </c>
      <c r="H183" s="16" t="n">
        <f aca="false">IFERROR((B183-F183)/F183,0)</f>
        <v>0</v>
      </c>
      <c r="I183" s="16" t="n">
        <f aca="false">IFERROR((B183-G183)/G183,0)</f>
        <v>0</v>
      </c>
      <c r="J183" s="12"/>
      <c r="K183" s="7"/>
      <c r="L183" s="25"/>
      <c r="M183" s="25"/>
      <c r="N183" s="16" t="str">
        <f aca="false">IF($B183="","",MIN(70%,IF($I183&lt;=-15%,10%,IF($I183&lt;=-10%,30%,IF($M183&gt;=4,10%,IF($M183&gt;=3,30%,IF($J183="强",IF($K183="A",70%,IF($K183="B",60%,40%)),IF($J183="中性",IF($K183="A",50%,IF($K183="B",40%,25%)),IF($K183="A",30%,IF($K183="B",20%,10%))))))))))</f>
        <v/>
      </c>
      <c r="O183" s="16" t="str">
        <f aca="false">IF($B183="","",IF(B183&lt;30000,35%,IF(B183&lt;50000,30%,IF(B183&lt;100000,25%,20%))))</f>
        <v/>
      </c>
      <c r="P183" s="18" t="str">
        <f aca="false">IF($A183="","",COUNTIFS(持仓表!$A:$A,$A183,持仓表!$G:$G,"&gt;0"))</f>
        <v/>
      </c>
      <c r="Q183" s="18" t="str">
        <f aca="false">IF($A183="","",COUNTIFS(持仓表!$A:$A,$A183,持仓表!$D:$D,"是",持仓表!$G:$G,"&gt;0"))</f>
        <v/>
      </c>
      <c r="R183" s="18" t="str">
        <f aca="false">IF($A183="","",MAX(0,P183-Q183))</f>
        <v/>
      </c>
      <c r="S183" s="18" t="str">
        <f aca="false">IF($B183="","",IF(B183&lt;50000,3,IF(B183&lt;100000,4,5)))</f>
        <v/>
      </c>
      <c r="T183" s="19" t="str">
        <f aca="false">IF($A183="","",IF(OR(M183&gt;=4,I183&lt;=-8%),"防守",IF(OR(M183&gt;=2,I183&lt;=-5%),"警戒","正常")))</f>
        <v/>
      </c>
      <c r="U183" s="19" t="str">
        <f aca="false">IF($A183="","",IF(AND(L183&gt;=3,M183&lt;=2,T183&lt;&gt;"防守"),"是","否"))</f>
        <v/>
      </c>
      <c r="V183" s="19" t="str">
        <f aca="false">IF($A183="","",IF(AND(E183&lt;N183,R183&lt;S183,M183&lt;=2,I183&gt;-15%),"是","否"))</f>
        <v/>
      </c>
      <c r="W183" s="19" t="str">
        <f aca="false">IF($A183="","",IF(OR(M183&gt;=3,I183&lt;=-15%),"是","否"))</f>
        <v/>
      </c>
      <c r="X183" s="15" t="str">
        <f aca="false">IF($A183="","",IFERROR(maxifs(候选池!$AB:$AB,候选池!$A:$A,$A183),0))</f>
        <v/>
      </c>
      <c r="Y183" s="15" t="str">
        <f aca="false">IF($A183="","",IF(OR(M183&gt;=4,I183&lt;=-8%),MAX(0,B183*60%-C183),IF(AND(ISNUMBER(AD183),B183&gt;AD183),IF(B183&lt;30000,0,IF(B183&lt;100000,MAX(0,(B183-AD183)*0.2),MAX(0,(B183-AD183)*0.3))),0)))</f>
        <v/>
      </c>
      <c r="Z183" s="7"/>
      <c r="AA183" s="19" t="str">
        <f aca="false">IF($A183="","",IF($AA$2&lt;&gt;"",$AA$2,""))</f>
        <v/>
      </c>
      <c r="AB183" s="7" t="str">
        <f aca="false">IF($A183="","",IF(B183&lt;30000,0.03,IF(B183&lt;100000,0.02,0.015)))</f>
        <v/>
      </c>
      <c r="AC183" s="18" t="str">
        <f aca="false">IF($A183="","",IFERROR(DATEDIF($A$2,$A183,"m"),0))</f>
        <v/>
      </c>
      <c r="AD183" s="15" t="str">
        <f aca="false">IF($A183="","",IF(OR(AA183="",AB183="",AC183=""),"",AA183*POWER(1+AB183,AC183)))</f>
        <v/>
      </c>
      <c r="AE183" s="27" t="str">
        <f aca="false">IF($A183="","",IF(OR(AD183="",AD183=0),"",B183/AD183-1))</f>
        <v/>
      </c>
      <c r="AG183" s="1" t="str">
        <f aca="false">IF($A183="","",IF(B183&lt;30000,"婴儿",IF(B183&lt;100000,"成长","成熟")))</f>
        <v/>
      </c>
      <c r="AH183" s="22"/>
      <c r="AJ183" s="22"/>
      <c r="AK183" s="22"/>
      <c r="AM183" s="22"/>
      <c r="AP183" s="13"/>
      <c r="AQ183" s="23" t="str">
        <f aca="false">IF($A183="","",B183-$AA$2-SUM($F$2:F183))</f>
        <v/>
      </c>
    </row>
    <row r="184" customFormat="false" ht="15" hidden="false" customHeight="true" outlineLevel="0" collapsed="false">
      <c r="A184" s="5"/>
      <c r="B184" s="14"/>
      <c r="C184" s="14"/>
      <c r="D184" s="15" t="str">
        <f aca="false">IF($A184="","",SUMIFS(持仓表!$J:$J,持仓表!$A:$A,$A184))</f>
        <v/>
      </c>
      <c r="E184" s="16" t="n">
        <f aca="false">IFERROR(D184/B184,0)</f>
        <v>0</v>
      </c>
      <c r="F184" s="14"/>
      <c r="G184" s="15" t="str">
        <f aca="false">IF($B184="","",MAX($B$2:B184))</f>
        <v/>
      </c>
      <c r="H184" s="16" t="n">
        <f aca="false">IFERROR((B184-F184)/F184,0)</f>
        <v>0</v>
      </c>
      <c r="I184" s="16" t="n">
        <f aca="false">IFERROR((B184-G184)/G184,0)</f>
        <v>0</v>
      </c>
      <c r="J184" s="11"/>
      <c r="K184" s="5"/>
      <c r="L184" s="17"/>
      <c r="M184" s="17"/>
      <c r="N184" s="16" t="str">
        <f aca="false">IF($B184="","",MIN(70%,IF($I184&lt;=-15%,10%,IF($I184&lt;=-10%,30%,IF($M184&gt;=4,10%,IF($M184&gt;=3,30%,IF($J184="强",IF($K184="A",70%,IF($K184="B",60%,40%)),IF($J184="中性",IF($K184="A",50%,IF($K184="B",40%,25%)),IF($K184="A",30%,IF($K184="B",20%,10%))))))))))</f>
        <v/>
      </c>
      <c r="O184" s="16" t="str">
        <f aca="false">IF($B184="","",IF(B184&lt;30000,35%,IF(B184&lt;50000,30%,IF(B184&lt;100000,25%,20%))))</f>
        <v/>
      </c>
      <c r="P184" s="18" t="str">
        <f aca="false">IF($A184="","",COUNTIFS(持仓表!$A:$A,$A184,持仓表!$G:$G,"&gt;0"))</f>
        <v/>
      </c>
      <c r="Q184" s="18" t="str">
        <f aca="false">IF($A184="","",COUNTIFS(持仓表!$A:$A,$A184,持仓表!$D:$D,"是",持仓表!$G:$G,"&gt;0"))</f>
        <v/>
      </c>
      <c r="R184" s="18" t="str">
        <f aca="false">IF($A184="","",MAX(0,P184-Q184))</f>
        <v/>
      </c>
      <c r="S184" s="18" t="str">
        <f aca="false">IF($B184="","",IF(B184&lt;50000,3,IF(B184&lt;100000,4,5)))</f>
        <v/>
      </c>
      <c r="T184" s="19" t="str">
        <f aca="false">IF($A184="","",IF(OR(M184&gt;=4,I184&lt;=-8%),"防守",IF(OR(M184&gt;=2,I184&lt;=-5%),"警戒","正常")))</f>
        <v/>
      </c>
      <c r="U184" s="19" t="str">
        <f aca="false">IF($A184="","",IF(AND(L184&gt;=3,M184&lt;=2,T184&lt;&gt;"防守"),"是","否"))</f>
        <v/>
      </c>
      <c r="V184" s="19" t="str">
        <f aca="false">IF($A184="","",IF(AND(E184&lt;N184,R184&lt;S184,M184&lt;=2,I184&gt;-15%),"是","否"))</f>
        <v/>
      </c>
      <c r="W184" s="19" t="str">
        <f aca="false">IF($A184="","",IF(OR(M184&gt;=3,I184&lt;=-15%),"是","否"))</f>
        <v/>
      </c>
      <c r="X184" s="15" t="str">
        <f aca="false">IF($A184="","",IFERROR(maxifs(候选池!$AB:$AB,候选池!$A:$A,$A184),0))</f>
        <v/>
      </c>
      <c r="Y184" s="15" t="str">
        <f aca="false">IF($A184="","",IF(OR(M184&gt;=4,I184&lt;=-8%),MAX(0,B184*60%-C184),IF(AND(ISNUMBER(AD184),B184&gt;AD184),IF(B184&lt;30000,0,IF(B184&lt;100000,MAX(0,(B184-AD184)*0.2),MAX(0,(B184-AD184)*0.3))),0)))</f>
        <v/>
      </c>
      <c r="Z184" s="5"/>
      <c r="AA184" s="19" t="str">
        <f aca="false">IF($A184="","",IF($AA$2&lt;&gt;"",$AA$2,""))</f>
        <v/>
      </c>
      <c r="AB184" s="5" t="str">
        <f aca="false">IF($A184="","",IF(B184&lt;30000,0.03,IF(B184&lt;100000,0.02,0.015)))</f>
        <v/>
      </c>
      <c r="AC184" s="18" t="str">
        <f aca="false">IF($A184="","",IFERROR(DATEDIF($A$2,$A184,"m"),0))</f>
        <v/>
      </c>
      <c r="AD184" s="15" t="str">
        <f aca="false">IF($A184="","",IF(OR(AA184="",AB184="",AC184=""),"",AA184*POWER(1+AB184,AC184)))</f>
        <v/>
      </c>
      <c r="AE184" s="21" t="str">
        <f aca="false">IF($A184="","",IF(OR(AD184="",AD184=0),"",B184/AD184-1))</f>
        <v/>
      </c>
      <c r="AG184" s="1" t="str">
        <f aca="false">IF($A184="","",IF(B184&lt;30000,"婴儿",IF(B184&lt;100000,"成长","成熟")))</f>
        <v/>
      </c>
      <c r="AH184" s="22"/>
      <c r="AJ184" s="22"/>
      <c r="AK184" s="22"/>
      <c r="AM184" s="22"/>
      <c r="AP184" s="13"/>
      <c r="AQ184" s="23" t="str">
        <f aca="false">IF($A184="","",B184-$AA$2-SUM($F$2:F184))</f>
        <v/>
      </c>
    </row>
    <row r="185" customFormat="false" ht="15" hidden="false" customHeight="true" outlineLevel="0" collapsed="false">
      <c r="A185" s="7"/>
      <c r="B185" s="24"/>
      <c r="C185" s="24"/>
      <c r="D185" s="15" t="str">
        <f aca="false">IF($A185="","",SUMIFS(持仓表!$J:$J,持仓表!$A:$A,$A185))</f>
        <v/>
      </c>
      <c r="E185" s="16" t="n">
        <f aca="false">IFERROR(D185/B185,0)</f>
        <v>0</v>
      </c>
      <c r="F185" s="24"/>
      <c r="G185" s="15" t="str">
        <f aca="false">IF($B185="","",MAX($B$2:B185))</f>
        <v/>
      </c>
      <c r="H185" s="16" t="n">
        <f aca="false">IFERROR((B185-F185)/F185,0)</f>
        <v>0</v>
      </c>
      <c r="I185" s="16" t="n">
        <f aca="false">IFERROR((B185-G185)/G185,0)</f>
        <v>0</v>
      </c>
      <c r="J185" s="12"/>
      <c r="K185" s="7"/>
      <c r="L185" s="25"/>
      <c r="M185" s="25"/>
      <c r="N185" s="16" t="str">
        <f aca="false">IF($B185="","",MIN(70%,IF($I185&lt;=-15%,10%,IF($I185&lt;=-10%,30%,IF($M185&gt;=4,10%,IF($M185&gt;=3,30%,IF($J185="强",IF($K185="A",70%,IF($K185="B",60%,40%)),IF($J185="中性",IF($K185="A",50%,IF($K185="B",40%,25%)),IF($K185="A",30%,IF($K185="B",20%,10%))))))))))</f>
        <v/>
      </c>
      <c r="O185" s="16" t="str">
        <f aca="false">IF($B185="","",IF(B185&lt;30000,35%,IF(B185&lt;50000,30%,IF(B185&lt;100000,25%,20%))))</f>
        <v/>
      </c>
      <c r="P185" s="18" t="str">
        <f aca="false">IF($A185="","",COUNTIFS(持仓表!$A:$A,$A185,持仓表!$G:$G,"&gt;0"))</f>
        <v/>
      </c>
      <c r="Q185" s="18" t="str">
        <f aca="false">IF($A185="","",COUNTIFS(持仓表!$A:$A,$A185,持仓表!$D:$D,"是",持仓表!$G:$G,"&gt;0"))</f>
        <v/>
      </c>
      <c r="R185" s="18" t="str">
        <f aca="false">IF($A185="","",MAX(0,P185-Q185))</f>
        <v/>
      </c>
      <c r="S185" s="18" t="str">
        <f aca="false">IF($B185="","",IF(B185&lt;50000,3,IF(B185&lt;100000,4,5)))</f>
        <v/>
      </c>
      <c r="T185" s="19" t="str">
        <f aca="false">IF($A185="","",IF(OR(M185&gt;=4,I185&lt;=-8%),"防守",IF(OR(M185&gt;=2,I185&lt;=-5%),"警戒","正常")))</f>
        <v/>
      </c>
      <c r="U185" s="19" t="str">
        <f aca="false">IF($A185="","",IF(AND(L185&gt;=3,M185&lt;=2,T185&lt;&gt;"防守"),"是","否"))</f>
        <v/>
      </c>
      <c r="V185" s="19" t="str">
        <f aca="false">IF($A185="","",IF(AND(E185&lt;N185,R185&lt;S185,M185&lt;=2,I185&gt;-15%),"是","否"))</f>
        <v/>
      </c>
      <c r="W185" s="19" t="str">
        <f aca="false">IF($A185="","",IF(OR(M185&gt;=3,I185&lt;=-15%),"是","否"))</f>
        <v/>
      </c>
      <c r="X185" s="15" t="str">
        <f aca="false">IF($A185="","",IFERROR(maxifs(候选池!$AB:$AB,候选池!$A:$A,$A185),0))</f>
        <v/>
      </c>
      <c r="Y185" s="15" t="str">
        <f aca="false">IF($A185="","",IF(OR(M185&gt;=4,I185&lt;=-8%),MAX(0,B185*60%-C185),IF(AND(ISNUMBER(AD185),B185&gt;AD185),IF(B185&lt;30000,0,IF(B185&lt;100000,MAX(0,(B185-AD185)*0.2),MAX(0,(B185-AD185)*0.3))),0)))</f>
        <v/>
      </c>
      <c r="Z185" s="7"/>
      <c r="AA185" s="19" t="str">
        <f aca="false">IF($A185="","",IF($AA$2&lt;&gt;"",$AA$2,""))</f>
        <v/>
      </c>
      <c r="AB185" s="7" t="str">
        <f aca="false">IF($A185="","",IF(B185&lt;30000,0.03,IF(B185&lt;100000,0.02,0.015)))</f>
        <v/>
      </c>
      <c r="AC185" s="18" t="str">
        <f aca="false">IF($A185="","",IFERROR(DATEDIF($A$2,$A185,"m"),0))</f>
        <v/>
      </c>
      <c r="AD185" s="15" t="str">
        <f aca="false">IF($A185="","",IF(OR(AA185="",AB185="",AC185=""),"",AA185*POWER(1+AB185,AC185)))</f>
        <v/>
      </c>
      <c r="AE185" s="27" t="str">
        <f aca="false">IF($A185="","",IF(OR(AD185="",AD185=0),"",B185/AD185-1))</f>
        <v/>
      </c>
      <c r="AG185" s="1" t="str">
        <f aca="false">IF($A185="","",IF(B185&lt;30000,"婴儿",IF(B185&lt;100000,"成长","成熟")))</f>
        <v/>
      </c>
      <c r="AH185" s="22"/>
      <c r="AJ185" s="22"/>
      <c r="AK185" s="22"/>
      <c r="AM185" s="22"/>
      <c r="AP185" s="13"/>
      <c r="AQ185" s="23" t="str">
        <f aca="false">IF($A185="","",B185-$AA$2-SUM($F$2:F185))</f>
        <v/>
      </c>
    </row>
    <row r="186" customFormat="false" ht="15" hidden="false" customHeight="true" outlineLevel="0" collapsed="false">
      <c r="A186" s="5"/>
      <c r="B186" s="14"/>
      <c r="C186" s="14"/>
      <c r="D186" s="15" t="str">
        <f aca="false">IF($A186="","",SUMIFS(持仓表!$J:$J,持仓表!$A:$A,$A186))</f>
        <v/>
      </c>
      <c r="E186" s="16" t="n">
        <f aca="false">IFERROR(D186/B186,0)</f>
        <v>0</v>
      </c>
      <c r="F186" s="14"/>
      <c r="G186" s="15" t="str">
        <f aca="false">IF($B186="","",MAX($B$2:B186))</f>
        <v/>
      </c>
      <c r="H186" s="16" t="n">
        <f aca="false">IFERROR((B186-F186)/F186,0)</f>
        <v>0</v>
      </c>
      <c r="I186" s="16" t="n">
        <f aca="false">IFERROR((B186-G186)/G186,0)</f>
        <v>0</v>
      </c>
      <c r="J186" s="11"/>
      <c r="K186" s="5"/>
      <c r="L186" s="17"/>
      <c r="M186" s="17"/>
      <c r="N186" s="16" t="str">
        <f aca="false">IF($B186="","",MIN(70%,IF($I186&lt;=-15%,10%,IF($I186&lt;=-10%,30%,IF($M186&gt;=4,10%,IF($M186&gt;=3,30%,IF($J186="强",IF($K186="A",70%,IF($K186="B",60%,40%)),IF($J186="中性",IF($K186="A",50%,IF($K186="B",40%,25%)),IF($K186="A",30%,IF($K186="B",20%,10%))))))))))</f>
        <v/>
      </c>
      <c r="O186" s="16" t="str">
        <f aca="false">IF($B186="","",IF(B186&lt;30000,35%,IF(B186&lt;50000,30%,IF(B186&lt;100000,25%,20%))))</f>
        <v/>
      </c>
      <c r="P186" s="18" t="str">
        <f aca="false">IF($A186="","",COUNTIFS(持仓表!$A:$A,$A186,持仓表!$G:$G,"&gt;0"))</f>
        <v/>
      </c>
      <c r="Q186" s="18" t="str">
        <f aca="false">IF($A186="","",COUNTIFS(持仓表!$A:$A,$A186,持仓表!$D:$D,"是",持仓表!$G:$G,"&gt;0"))</f>
        <v/>
      </c>
      <c r="R186" s="18" t="str">
        <f aca="false">IF($A186="","",MAX(0,P186-Q186))</f>
        <v/>
      </c>
      <c r="S186" s="18" t="str">
        <f aca="false">IF($B186="","",IF(B186&lt;50000,3,IF(B186&lt;100000,4,5)))</f>
        <v/>
      </c>
      <c r="T186" s="19" t="str">
        <f aca="false">IF($A186="","",IF(OR(M186&gt;=4,I186&lt;=-8%),"防守",IF(OR(M186&gt;=2,I186&lt;=-5%),"警戒","正常")))</f>
        <v/>
      </c>
      <c r="U186" s="19" t="str">
        <f aca="false">IF($A186="","",IF(AND(L186&gt;=3,M186&lt;=2,T186&lt;&gt;"防守"),"是","否"))</f>
        <v/>
      </c>
      <c r="V186" s="19" t="str">
        <f aca="false">IF($A186="","",IF(AND(E186&lt;N186,R186&lt;S186,M186&lt;=2,I186&gt;-15%),"是","否"))</f>
        <v/>
      </c>
      <c r="W186" s="19" t="str">
        <f aca="false">IF($A186="","",IF(OR(M186&gt;=3,I186&lt;=-15%),"是","否"))</f>
        <v/>
      </c>
      <c r="X186" s="15" t="str">
        <f aca="false">IF($A186="","",IFERROR(maxifs(候选池!$AB:$AB,候选池!$A:$A,$A186),0))</f>
        <v/>
      </c>
      <c r="Y186" s="15" t="str">
        <f aca="false">IF($A186="","",IF(OR(M186&gt;=4,I186&lt;=-8%),MAX(0,B186*60%-C186),IF(AND(ISNUMBER(AD186),B186&gt;AD186),IF(B186&lt;30000,0,IF(B186&lt;100000,MAX(0,(B186-AD186)*0.2),MAX(0,(B186-AD186)*0.3))),0)))</f>
        <v/>
      </c>
      <c r="Z186" s="5"/>
      <c r="AA186" s="19" t="str">
        <f aca="false">IF($A186="","",IF($AA$2&lt;&gt;"",$AA$2,""))</f>
        <v/>
      </c>
      <c r="AB186" s="5" t="str">
        <f aca="false">IF($A186="","",IF(B186&lt;30000,0.03,IF(B186&lt;100000,0.02,0.015)))</f>
        <v/>
      </c>
      <c r="AC186" s="18" t="str">
        <f aca="false">IF($A186="","",IFERROR(DATEDIF($A$2,$A186,"m"),0))</f>
        <v/>
      </c>
      <c r="AD186" s="15" t="str">
        <f aca="false">IF($A186="","",IF(OR(AA186="",AB186="",AC186=""),"",AA186*POWER(1+AB186,AC186)))</f>
        <v/>
      </c>
      <c r="AE186" s="21" t="str">
        <f aca="false">IF($A186="","",IF(OR(AD186="",AD186=0),"",B186/AD186-1))</f>
        <v/>
      </c>
      <c r="AG186" s="1" t="str">
        <f aca="false">IF($A186="","",IF(B186&lt;30000,"婴儿",IF(B186&lt;100000,"成长","成熟")))</f>
        <v/>
      </c>
      <c r="AH186" s="22"/>
      <c r="AJ186" s="22"/>
      <c r="AK186" s="22"/>
      <c r="AM186" s="22"/>
      <c r="AP186" s="13"/>
      <c r="AQ186" s="23" t="str">
        <f aca="false">IF($A186="","",B186-$AA$2-SUM($F$2:F186))</f>
        <v/>
      </c>
    </row>
    <row r="187" customFormat="false" ht="15" hidden="false" customHeight="true" outlineLevel="0" collapsed="false">
      <c r="A187" s="7"/>
      <c r="B187" s="24"/>
      <c r="C187" s="24"/>
      <c r="D187" s="15" t="str">
        <f aca="false">IF($A187="","",SUMIFS(持仓表!$J:$J,持仓表!$A:$A,$A187))</f>
        <v/>
      </c>
      <c r="E187" s="16" t="n">
        <f aca="false">IFERROR(D187/B187,0)</f>
        <v>0</v>
      </c>
      <c r="F187" s="24"/>
      <c r="G187" s="15" t="str">
        <f aca="false">IF($B187="","",MAX($B$2:B187))</f>
        <v/>
      </c>
      <c r="H187" s="16" t="n">
        <f aca="false">IFERROR((B187-F187)/F187,0)</f>
        <v>0</v>
      </c>
      <c r="I187" s="16" t="n">
        <f aca="false">IFERROR((B187-G187)/G187,0)</f>
        <v>0</v>
      </c>
      <c r="J187" s="12"/>
      <c r="K187" s="7"/>
      <c r="L187" s="25"/>
      <c r="M187" s="25"/>
      <c r="N187" s="16" t="str">
        <f aca="false">IF($B187="","",MIN(70%,IF($I187&lt;=-15%,10%,IF($I187&lt;=-10%,30%,IF($M187&gt;=4,10%,IF($M187&gt;=3,30%,IF($J187="强",IF($K187="A",70%,IF($K187="B",60%,40%)),IF($J187="中性",IF($K187="A",50%,IF($K187="B",40%,25%)),IF($K187="A",30%,IF($K187="B",20%,10%))))))))))</f>
        <v/>
      </c>
      <c r="O187" s="16" t="str">
        <f aca="false">IF($B187="","",IF(B187&lt;30000,35%,IF(B187&lt;50000,30%,IF(B187&lt;100000,25%,20%))))</f>
        <v/>
      </c>
      <c r="P187" s="18" t="str">
        <f aca="false">IF($A187="","",COUNTIFS(持仓表!$A:$A,$A187,持仓表!$G:$G,"&gt;0"))</f>
        <v/>
      </c>
      <c r="Q187" s="18" t="str">
        <f aca="false">IF($A187="","",COUNTIFS(持仓表!$A:$A,$A187,持仓表!$D:$D,"是",持仓表!$G:$G,"&gt;0"))</f>
        <v/>
      </c>
      <c r="R187" s="18" t="str">
        <f aca="false">IF($A187="","",MAX(0,P187-Q187))</f>
        <v/>
      </c>
      <c r="S187" s="18" t="str">
        <f aca="false">IF($B187="","",IF(B187&lt;50000,3,IF(B187&lt;100000,4,5)))</f>
        <v/>
      </c>
      <c r="T187" s="19" t="str">
        <f aca="false">IF($A187="","",IF(OR(M187&gt;=4,I187&lt;=-8%),"防守",IF(OR(M187&gt;=2,I187&lt;=-5%),"警戒","正常")))</f>
        <v/>
      </c>
      <c r="U187" s="19" t="str">
        <f aca="false">IF($A187="","",IF(AND(L187&gt;=3,M187&lt;=2,T187&lt;&gt;"防守"),"是","否"))</f>
        <v/>
      </c>
      <c r="V187" s="19" t="str">
        <f aca="false">IF($A187="","",IF(AND(E187&lt;N187,R187&lt;S187,M187&lt;=2,I187&gt;-15%),"是","否"))</f>
        <v/>
      </c>
      <c r="W187" s="19" t="str">
        <f aca="false">IF($A187="","",IF(OR(M187&gt;=3,I187&lt;=-15%),"是","否"))</f>
        <v/>
      </c>
      <c r="X187" s="15" t="str">
        <f aca="false">IF($A187="","",IFERROR(maxifs(候选池!$AB:$AB,候选池!$A:$A,$A187),0))</f>
        <v/>
      </c>
      <c r="Y187" s="15" t="str">
        <f aca="false">IF($A187="","",IF(OR(M187&gt;=4,I187&lt;=-8%),MAX(0,B187*60%-C187),IF(AND(ISNUMBER(AD187),B187&gt;AD187),IF(B187&lt;30000,0,IF(B187&lt;100000,MAX(0,(B187-AD187)*0.2),MAX(0,(B187-AD187)*0.3))),0)))</f>
        <v/>
      </c>
      <c r="Z187" s="7"/>
      <c r="AA187" s="19" t="str">
        <f aca="false">IF($A187="","",IF($AA$2&lt;&gt;"",$AA$2,""))</f>
        <v/>
      </c>
      <c r="AB187" s="7" t="str">
        <f aca="false">IF($A187="","",IF(B187&lt;30000,0.03,IF(B187&lt;100000,0.02,0.015)))</f>
        <v/>
      </c>
      <c r="AC187" s="18" t="str">
        <f aca="false">IF($A187="","",IFERROR(DATEDIF($A$2,$A187,"m"),0))</f>
        <v/>
      </c>
      <c r="AD187" s="15" t="str">
        <f aca="false">IF($A187="","",IF(OR(AA187="",AB187="",AC187=""),"",AA187*POWER(1+AB187,AC187)))</f>
        <v/>
      </c>
      <c r="AE187" s="27" t="str">
        <f aca="false">IF($A187="","",IF(OR(AD187="",AD187=0),"",B187/AD187-1))</f>
        <v/>
      </c>
      <c r="AG187" s="1" t="str">
        <f aca="false">IF($A187="","",IF(B187&lt;30000,"婴儿",IF(B187&lt;100000,"成长","成熟")))</f>
        <v/>
      </c>
      <c r="AH187" s="22"/>
      <c r="AJ187" s="22"/>
      <c r="AK187" s="22"/>
      <c r="AM187" s="22"/>
      <c r="AP187" s="13"/>
      <c r="AQ187" s="23" t="str">
        <f aca="false">IF($A187="","",B187-$AA$2-SUM($F$2:F187))</f>
        <v/>
      </c>
    </row>
    <row r="188" customFormat="false" ht="15" hidden="false" customHeight="true" outlineLevel="0" collapsed="false">
      <c r="A188" s="5"/>
      <c r="B188" s="14"/>
      <c r="C188" s="14"/>
      <c r="D188" s="15" t="str">
        <f aca="false">IF($A188="","",SUMIFS(持仓表!$J:$J,持仓表!$A:$A,$A188))</f>
        <v/>
      </c>
      <c r="E188" s="16" t="n">
        <f aca="false">IFERROR(D188/B188,0)</f>
        <v>0</v>
      </c>
      <c r="F188" s="14"/>
      <c r="G188" s="15" t="str">
        <f aca="false">IF($B188="","",MAX($B$2:B188))</f>
        <v/>
      </c>
      <c r="H188" s="16" t="n">
        <f aca="false">IFERROR((B188-F188)/F188,0)</f>
        <v>0</v>
      </c>
      <c r="I188" s="16" t="n">
        <f aca="false">IFERROR((B188-G188)/G188,0)</f>
        <v>0</v>
      </c>
      <c r="J188" s="11"/>
      <c r="K188" s="5"/>
      <c r="L188" s="17"/>
      <c r="M188" s="17"/>
      <c r="N188" s="16" t="str">
        <f aca="false">IF($B188="","",MIN(70%,IF($I188&lt;=-15%,10%,IF($I188&lt;=-10%,30%,IF($M188&gt;=4,10%,IF($M188&gt;=3,30%,IF($J188="强",IF($K188="A",70%,IF($K188="B",60%,40%)),IF($J188="中性",IF($K188="A",50%,IF($K188="B",40%,25%)),IF($K188="A",30%,IF($K188="B",20%,10%))))))))))</f>
        <v/>
      </c>
      <c r="O188" s="16" t="str">
        <f aca="false">IF($B188="","",IF(B188&lt;30000,35%,IF(B188&lt;50000,30%,IF(B188&lt;100000,25%,20%))))</f>
        <v/>
      </c>
      <c r="P188" s="18" t="str">
        <f aca="false">IF($A188="","",COUNTIFS(持仓表!$A:$A,$A188,持仓表!$G:$G,"&gt;0"))</f>
        <v/>
      </c>
      <c r="Q188" s="18" t="str">
        <f aca="false">IF($A188="","",COUNTIFS(持仓表!$A:$A,$A188,持仓表!$D:$D,"是",持仓表!$G:$G,"&gt;0"))</f>
        <v/>
      </c>
      <c r="R188" s="18" t="str">
        <f aca="false">IF($A188="","",MAX(0,P188-Q188))</f>
        <v/>
      </c>
      <c r="S188" s="18" t="str">
        <f aca="false">IF($B188="","",IF(B188&lt;50000,3,IF(B188&lt;100000,4,5)))</f>
        <v/>
      </c>
      <c r="T188" s="19" t="str">
        <f aca="false">IF($A188="","",IF(OR(M188&gt;=4,I188&lt;=-8%),"防守",IF(OR(M188&gt;=2,I188&lt;=-5%),"警戒","正常")))</f>
        <v/>
      </c>
      <c r="U188" s="19" t="str">
        <f aca="false">IF($A188="","",IF(AND(L188&gt;=3,M188&lt;=2,T188&lt;&gt;"防守"),"是","否"))</f>
        <v/>
      </c>
      <c r="V188" s="19" t="str">
        <f aca="false">IF($A188="","",IF(AND(E188&lt;N188,R188&lt;S188,M188&lt;=2,I188&gt;-15%),"是","否"))</f>
        <v/>
      </c>
      <c r="W188" s="19" t="str">
        <f aca="false">IF($A188="","",IF(OR(M188&gt;=3,I188&lt;=-15%),"是","否"))</f>
        <v/>
      </c>
      <c r="X188" s="15" t="str">
        <f aca="false">IF($A188="","",IFERROR(maxifs(候选池!$AB:$AB,候选池!$A:$A,$A188),0))</f>
        <v/>
      </c>
      <c r="Y188" s="15" t="str">
        <f aca="false">IF($A188="","",IF(OR(M188&gt;=4,I188&lt;=-8%),MAX(0,B188*60%-C188),IF(AND(ISNUMBER(AD188),B188&gt;AD188),IF(B188&lt;30000,0,IF(B188&lt;100000,MAX(0,(B188-AD188)*0.2),MAX(0,(B188-AD188)*0.3))),0)))</f>
        <v/>
      </c>
      <c r="Z188" s="5"/>
      <c r="AA188" s="19" t="str">
        <f aca="false">IF($A188="","",IF($AA$2&lt;&gt;"",$AA$2,""))</f>
        <v/>
      </c>
      <c r="AB188" s="5" t="str">
        <f aca="false">IF($A188="","",IF(B188&lt;30000,0.03,IF(B188&lt;100000,0.02,0.015)))</f>
        <v/>
      </c>
      <c r="AC188" s="18" t="str">
        <f aca="false">IF($A188="","",IFERROR(DATEDIF($A$2,$A188,"m"),0))</f>
        <v/>
      </c>
      <c r="AD188" s="15" t="str">
        <f aca="false">IF($A188="","",IF(OR(AA188="",AB188="",AC188=""),"",AA188*POWER(1+AB188,AC188)))</f>
        <v/>
      </c>
      <c r="AE188" s="21" t="str">
        <f aca="false">IF($A188="","",IF(OR(AD188="",AD188=0),"",B188/AD188-1))</f>
        <v/>
      </c>
      <c r="AG188" s="1" t="str">
        <f aca="false">IF($A188="","",IF(B188&lt;30000,"婴儿",IF(B188&lt;100000,"成长","成熟")))</f>
        <v/>
      </c>
      <c r="AH188" s="22"/>
      <c r="AJ188" s="22"/>
      <c r="AK188" s="22"/>
      <c r="AM188" s="22"/>
      <c r="AP188" s="13"/>
      <c r="AQ188" s="23" t="str">
        <f aca="false">IF($A188="","",B188-$AA$2-SUM($F$2:F188))</f>
        <v/>
      </c>
    </row>
    <row r="189" customFormat="false" ht="15" hidden="false" customHeight="true" outlineLevel="0" collapsed="false">
      <c r="A189" s="7"/>
      <c r="B189" s="24"/>
      <c r="C189" s="24"/>
      <c r="D189" s="15" t="str">
        <f aca="false">IF($A189="","",SUMIFS(持仓表!$J:$J,持仓表!$A:$A,$A189))</f>
        <v/>
      </c>
      <c r="E189" s="16" t="n">
        <f aca="false">IFERROR(D189/B189,0)</f>
        <v>0</v>
      </c>
      <c r="F189" s="24"/>
      <c r="G189" s="15" t="str">
        <f aca="false">IF($B189="","",MAX($B$2:B189))</f>
        <v/>
      </c>
      <c r="H189" s="16" t="n">
        <f aca="false">IFERROR((B189-F189)/F189,0)</f>
        <v>0</v>
      </c>
      <c r="I189" s="16" t="n">
        <f aca="false">IFERROR((B189-G189)/G189,0)</f>
        <v>0</v>
      </c>
      <c r="J189" s="12"/>
      <c r="K189" s="7"/>
      <c r="L189" s="25"/>
      <c r="M189" s="25"/>
      <c r="N189" s="16" t="str">
        <f aca="false">IF($B189="","",MIN(70%,IF($I189&lt;=-15%,10%,IF($I189&lt;=-10%,30%,IF($M189&gt;=4,10%,IF($M189&gt;=3,30%,IF($J189="强",IF($K189="A",70%,IF($K189="B",60%,40%)),IF($J189="中性",IF($K189="A",50%,IF($K189="B",40%,25%)),IF($K189="A",30%,IF($K189="B",20%,10%))))))))))</f>
        <v/>
      </c>
      <c r="O189" s="16" t="str">
        <f aca="false">IF($B189="","",IF(B189&lt;30000,35%,IF(B189&lt;50000,30%,IF(B189&lt;100000,25%,20%))))</f>
        <v/>
      </c>
      <c r="P189" s="18" t="str">
        <f aca="false">IF($A189="","",COUNTIFS(持仓表!$A:$A,$A189,持仓表!$G:$G,"&gt;0"))</f>
        <v/>
      </c>
      <c r="Q189" s="18" t="str">
        <f aca="false">IF($A189="","",COUNTIFS(持仓表!$A:$A,$A189,持仓表!$D:$D,"是",持仓表!$G:$G,"&gt;0"))</f>
        <v/>
      </c>
      <c r="R189" s="18" t="str">
        <f aca="false">IF($A189="","",MAX(0,P189-Q189))</f>
        <v/>
      </c>
      <c r="S189" s="18" t="str">
        <f aca="false">IF($B189="","",IF(B189&lt;50000,3,IF(B189&lt;100000,4,5)))</f>
        <v/>
      </c>
      <c r="T189" s="19" t="str">
        <f aca="false">IF($A189="","",IF(OR(M189&gt;=4,I189&lt;=-8%),"防守",IF(OR(M189&gt;=2,I189&lt;=-5%),"警戒","正常")))</f>
        <v/>
      </c>
      <c r="U189" s="19" t="str">
        <f aca="false">IF($A189="","",IF(AND(L189&gt;=3,M189&lt;=2,T189&lt;&gt;"防守"),"是","否"))</f>
        <v/>
      </c>
      <c r="V189" s="19" t="str">
        <f aca="false">IF($A189="","",IF(AND(E189&lt;N189,R189&lt;S189,M189&lt;=2,I189&gt;-15%),"是","否"))</f>
        <v/>
      </c>
      <c r="W189" s="19" t="str">
        <f aca="false">IF($A189="","",IF(OR(M189&gt;=3,I189&lt;=-15%),"是","否"))</f>
        <v/>
      </c>
      <c r="X189" s="15" t="str">
        <f aca="false">IF($A189="","",IFERROR(maxifs(候选池!$AB:$AB,候选池!$A:$A,$A189),0))</f>
        <v/>
      </c>
      <c r="Y189" s="15" t="str">
        <f aca="false">IF($A189="","",IF(OR(M189&gt;=4,I189&lt;=-8%),MAX(0,B189*60%-C189),IF(AND(ISNUMBER(AD189),B189&gt;AD189),IF(B189&lt;30000,0,IF(B189&lt;100000,MAX(0,(B189-AD189)*0.2),MAX(0,(B189-AD189)*0.3))),0)))</f>
        <v/>
      </c>
      <c r="Z189" s="7"/>
      <c r="AA189" s="19" t="str">
        <f aca="false">IF($A189="","",IF($AA$2&lt;&gt;"",$AA$2,""))</f>
        <v/>
      </c>
      <c r="AB189" s="7" t="str">
        <f aca="false">IF($A189="","",IF(B189&lt;30000,0.03,IF(B189&lt;100000,0.02,0.015)))</f>
        <v/>
      </c>
      <c r="AC189" s="18" t="str">
        <f aca="false">IF($A189="","",IFERROR(DATEDIF($A$2,$A189,"m"),0))</f>
        <v/>
      </c>
      <c r="AD189" s="15" t="str">
        <f aca="false">IF($A189="","",IF(OR(AA189="",AB189="",AC189=""),"",AA189*POWER(1+AB189,AC189)))</f>
        <v/>
      </c>
      <c r="AE189" s="27" t="str">
        <f aca="false">IF($A189="","",IF(OR(AD189="",AD189=0),"",B189/AD189-1))</f>
        <v/>
      </c>
      <c r="AG189" s="1" t="str">
        <f aca="false">IF($A189="","",IF(B189&lt;30000,"婴儿",IF(B189&lt;100000,"成长","成熟")))</f>
        <v/>
      </c>
      <c r="AH189" s="22"/>
      <c r="AJ189" s="22"/>
      <c r="AK189" s="22"/>
      <c r="AM189" s="22"/>
      <c r="AP189" s="13"/>
      <c r="AQ189" s="23" t="str">
        <f aca="false">IF($A189="","",B189-$AA$2-SUM($F$2:F189))</f>
        <v/>
      </c>
    </row>
    <row r="190" customFormat="false" ht="15" hidden="false" customHeight="true" outlineLevel="0" collapsed="false">
      <c r="A190" s="5"/>
      <c r="B190" s="14"/>
      <c r="C190" s="14"/>
      <c r="D190" s="15" t="str">
        <f aca="false">IF($A190="","",SUMIFS(持仓表!$J:$J,持仓表!$A:$A,$A190))</f>
        <v/>
      </c>
      <c r="E190" s="16" t="n">
        <f aca="false">IFERROR(D190/B190,0)</f>
        <v>0</v>
      </c>
      <c r="F190" s="14"/>
      <c r="G190" s="15" t="str">
        <f aca="false">IF($B190="","",MAX($B$2:B190))</f>
        <v/>
      </c>
      <c r="H190" s="16" t="n">
        <f aca="false">IFERROR((B190-F190)/F190,0)</f>
        <v>0</v>
      </c>
      <c r="I190" s="16" t="n">
        <f aca="false">IFERROR((B190-G190)/G190,0)</f>
        <v>0</v>
      </c>
      <c r="J190" s="11"/>
      <c r="K190" s="5"/>
      <c r="L190" s="17"/>
      <c r="M190" s="17"/>
      <c r="N190" s="16" t="str">
        <f aca="false">IF($B190="","",MIN(70%,IF($I190&lt;=-15%,10%,IF($I190&lt;=-10%,30%,IF($M190&gt;=4,10%,IF($M190&gt;=3,30%,IF($J190="强",IF($K190="A",70%,IF($K190="B",60%,40%)),IF($J190="中性",IF($K190="A",50%,IF($K190="B",40%,25%)),IF($K190="A",30%,IF($K190="B",20%,10%))))))))))</f>
        <v/>
      </c>
      <c r="O190" s="16" t="str">
        <f aca="false">IF($B190="","",IF(B190&lt;30000,35%,IF(B190&lt;50000,30%,IF(B190&lt;100000,25%,20%))))</f>
        <v/>
      </c>
      <c r="P190" s="18" t="str">
        <f aca="false">IF($A190="","",COUNTIFS(持仓表!$A:$A,$A190,持仓表!$G:$G,"&gt;0"))</f>
        <v/>
      </c>
      <c r="Q190" s="18" t="str">
        <f aca="false">IF($A190="","",COUNTIFS(持仓表!$A:$A,$A190,持仓表!$D:$D,"是",持仓表!$G:$G,"&gt;0"))</f>
        <v/>
      </c>
      <c r="R190" s="18" t="str">
        <f aca="false">IF($A190="","",MAX(0,P190-Q190))</f>
        <v/>
      </c>
      <c r="S190" s="18" t="str">
        <f aca="false">IF($B190="","",IF(B190&lt;50000,3,IF(B190&lt;100000,4,5)))</f>
        <v/>
      </c>
      <c r="T190" s="19" t="str">
        <f aca="false">IF($A190="","",IF(OR(M190&gt;=4,I190&lt;=-8%),"防守",IF(OR(M190&gt;=2,I190&lt;=-5%),"警戒","正常")))</f>
        <v/>
      </c>
      <c r="U190" s="19" t="str">
        <f aca="false">IF($A190="","",IF(AND(L190&gt;=3,M190&lt;=2,T190&lt;&gt;"防守"),"是","否"))</f>
        <v/>
      </c>
      <c r="V190" s="19" t="str">
        <f aca="false">IF($A190="","",IF(AND(E190&lt;N190,R190&lt;S190,M190&lt;=2,I190&gt;-15%),"是","否"))</f>
        <v/>
      </c>
      <c r="W190" s="19" t="str">
        <f aca="false">IF($A190="","",IF(OR(M190&gt;=3,I190&lt;=-15%),"是","否"))</f>
        <v/>
      </c>
      <c r="X190" s="15" t="str">
        <f aca="false">IF($A190="","",IFERROR(maxifs(候选池!$AB:$AB,候选池!$A:$A,$A190),0))</f>
        <v/>
      </c>
      <c r="Y190" s="15" t="str">
        <f aca="false">IF($A190="","",IF(OR(M190&gt;=4,I190&lt;=-8%),MAX(0,B190*60%-C190),IF(AND(ISNUMBER(AD190),B190&gt;AD190),IF(B190&lt;30000,0,IF(B190&lt;100000,MAX(0,(B190-AD190)*0.2),MAX(0,(B190-AD190)*0.3))),0)))</f>
        <v/>
      </c>
      <c r="Z190" s="5"/>
      <c r="AA190" s="19" t="str">
        <f aca="false">IF($A190="","",IF($AA$2&lt;&gt;"",$AA$2,""))</f>
        <v/>
      </c>
      <c r="AB190" s="5" t="str">
        <f aca="false">IF($A190="","",IF(B190&lt;30000,0.03,IF(B190&lt;100000,0.02,0.015)))</f>
        <v/>
      </c>
      <c r="AC190" s="18" t="str">
        <f aca="false">IF($A190="","",IFERROR(DATEDIF($A$2,$A190,"m"),0))</f>
        <v/>
      </c>
      <c r="AD190" s="15" t="str">
        <f aca="false">IF($A190="","",IF(OR(AA190="",AB190="",AC190=""),"",AA190*POWER(1+AB190,AC190)))</f>
        <v/>
      </c>
      <c r="AE190" s="21" t="str">
        <f aca="false">IF($A190="","",IF(OR(AD190="",AD190=0),"",B190/AD190-1))</f>
        <v/>
      </c>
      <c r="AG190" s="1" t="str">
        <f aca="false">IF($A190="","",IF(B190&lt;30000,"婴儿",IF(B190&lt;100000,"成长","成熟")))</f>
        <v/>
      </c>
      <c r="AH190" s="22"/>
      <c r="AJ190" s="22"/>
      <c r="AK190" s="22"/>
      <c r="AM190" s="22"/>
      <c r="AP190" s="13"/>
      <c r="AQ190" s="23" t="str">
        <f aca="false">IF($A190="","",B190-$AA$2-SUM($F$2:F190))</f>
        <v/>
      </c>
    </row>
    <row r="191" customFormat="false" ht="15" hidden="false" customHeight="true" outlineLevel="0" collapsed="false">
      <c r="A191" s="7"/>
      <c r="B191" s="24"/>
      <c r="C191" s="24"/>
      <c r="D191" s="15" t="str">
        <f aca="false">IF($A191="","",SUMIFS(持仓表!$J:$J,持仓表!$A:$A,$A191))</f>
        <v/>
      </c>
      <c r="E191" s="16" t="n">
        <f aca="false">IFERROR(D191/B191,0)</f>
        <v>0</v>
      </c>
      <c r="F191" s="24"/>
      <c r="G191" s="15" t="str">
        <f aca="false">IF($B191="","",MAX($B$2:B191))</f>
        <v/>
      </c>
      <c r="H191" s="16" t="n">
        <f aca="false">IFERROR((B191-F191)/F191,0)</f>
        <v>0</v>
      </c>
      <c r="I191" s="16" t="n">
        <f aca="false">IFERROR((B191-G191)/G191,0)</f>
        <v>0</v>
      </c>
      <c r="J191" s="12"/>
      <c r="K191" s="7"/>
      <c r="L191" s="25"/>
      <c r="M191" s="25"/>
      <c r="N191" s="16" t="str">
        <f aca="false">IF($B191="","",MIN(70%,IF($I191&lt;=-15%,10%,IF($I191&lt;=-10%,30%,IF($M191&gt;=4,10%,IF($M191&gt;=3,30%,IF($J191="强",IF($K191="A",70%,IF($K191="B",60%,40%)),IF($J191="中性",IF($K191="A",50%,IF($K191="B",40%,25%)),IF($K191="A",30%,IF($K191="B",20%,10%))))))))))</f>
        <v/>
      </c>
      <c r="O191" s="16" t="str">
        <f aca="false">IF($B191="","",IF(B191&lt;30000,35%,IF(B191&lt;50000,30%,IF(B191&lt;100000,25%,20%))))</f>
        <v/>
      </c>
      <c r="P191" s="18" t="str">
        <f aca="false">IF($A191="","",COUNTIFS(持仓表!$A:$A,$A191,持仓表!$G:$G,"&gt;0"))</f>
        <v/>
      </c>
      <c r="Q191" s="18" t="str">
        <f aca="false">IF($A191="","",COUNTIFS(持仓表!$A:$A,$A191,持仓表!$D:$D,"是",持仓表!$G:$G,"&gt;0"))</f>
        <v/>
      </c>
      <c r="R191" s="18" t="str">
        <f aca="false">IF($A191="","",MAX(0,P191-Q191))</f>
        <v/>
      </c>
      <c r="S191" s="18" t="str">
        <f aca="false">IF($B191="","",IF(B191&lt;50000,3,IF(B191&lt;100000,4,5)))</f>
        <v/>
      </c>
      <c r="T191" s="19" t="str">
        <f aca="false">IF($A191="","",IF(OR(M191&gt;=4,I191&lt;=-8%),"防守",IF(OR(M191&gt;=2,I191&lt;=-5%),"警戒","正常")))</f>
        <v/>
      </c>
      <c r="U191" s="19" t="str">
        <f aca="false">IF($A191="","",IF(AND(L191&gt;=3,M191&lt;=2,T191&lt;&gt;"防守"),"是","否"))</f>
        <v/>
      </c>
      <c r="V191" s="19" t="str">
        <f aca="false">IF($A191="","",IF(AND(E191&lt;N191,R191&lt;S191,M191&lt;=2,I191&gt;-15%),"是","否"))</f>
        <v/>
      </c>
      <c r="W191" s="19" t="str">
        <f aca="false">IF($A191="","",IF(OR(M191&gt;=3,I191&lt;=-15%),"是","否"))</f>
        <v/>
      </c>
      <c r="X191" s="15" t="str">
        <f aca="false">IF($A191="","",IFERROR(maxifs(候选池!$AB:$AB,候选池!$A:$A,$A191),0))</f>
        <v/>
      </c>
      <c r="Y191" s="15" t="str">
        <f aca="false">IF($A191="","",IF(OR(M191&gt;=4,I191&lt;=-8%),MAX(0,B191*60%-C191),IF(AND(ISNUMBER(AD191),B191&gt;AD191),IF(B191&lt;30000,0,IF(B191&lt;100000,MAX(0,(B191-AD191)*0.2),MAX(0,(B191-AD191)*0.3))),0)))</f>
        <v/>
      </c>
      <c r="Z191" s="7"/>
      <c r="AA191" s="19" t="str">
        <f aca="false">IF($A191="","",IF($AA$2&lt;&gt;"",$AA$2,""))</f>
        <v/>
      </c>
      <c r="AB191" s="7" t="str">
        <f aca="false">IF($A191="","",IF(B191&lt;30000,0.03,IF(B191&lt;100000,0.02,0.015)))</f>
        <v/>
      </c>
      <c r="AC191" s="18" t="str">
        <f aca="false">IF($A191="","",IFERROR(DATEDIF($A$2,$A191,"m"),0))</f>
        <v/>
      </c>
      <c r="AD191" s="15" t="str">
        <f aca="false">IF($A191="","",IF(OR(AA191="",AB191="",AC191=""),"",AA191*POWER(1+AB191,AC191)))</f>
        <v/>
      </c>
      <c r="AE191" s="27" t="str">
        <f aca="false">IF($A191="","",IF(OR(AD191="",AD191=0),"",B191/AD191-1))</f>
        <v/>
      </c>
      <c r="AG191" s="1" t="str">
        <f aca="false">IF($A191="","",IF(B191&lt;30000,"婴儿",IF(B191&lt;100000,"成长","成熟")))</f>
        <v/>
      </c>
      <c r="AH191" s="22"/>
      <c r="AJ191" s="22"/>
      <c r="AK191" s="22"/>
      <c r="AM191" s="22"/>
      <c r="AP191" s="13"/>
      <c r="AQ191" s="23" t="str">
        <f aca="false">IF($A191="","",B191-$AA$2-SUM($F$2:F191))</f>
        <v/>
      </c>
    </row>
    <row r="192" customFormat="false" ht="15" hidden="false" customHeight="true" outlineLevel="0" collapsed="false">
      <c r="A192" s="5"/>
      <c r="B192" s="14"/>
      <c r="C192" s="14"/>
      <c r="D192" s="15" t="str">
        <f aca="false">IF($A192="","",SUMIFS(持仓表!$J:$J,持仓表!$A:$A,$A192))</f>
        <v/>
      </c>
      <c r="E192" s="16" t="n">
        <f aca="false">IFERROR(D192/B192,0)</f>
        <v>0</v>
      </c>
      <c r="F192" s="14"/>
      <c r="G192" s="15" t="str">
        <f aca="false">IF($B192="","",MAX($B$2:B192))</f>
        <v/>
      </c>
      <c r="H192" s="16" t="n">
        <f aca="false">IFERROR((B192-F192)/F192,0)</f>
        <v>0</v>
      </c>
      <c r="I192" s="16" t="n">
        <f aca="false">IFERROR((B192-G192)/G192,0)</f>
        <v>0</v>
      </c>
      <c r="J192" s="11"/>
      <c r="K192" s="5"/>
      <c r="L192" s="17"/>
      <c r="M192" s="17"/>
      <c r="N192" s="16" t="str">
        <f aca="false">IF($B192="","",MIN(70%,IF($I192&lt;=-15%,10%,IF($I192&lt;=-10%,30%,IF($M192&gt;=4,10%,IF($M192&gt;=3,30%,IF($J192="强",IF($K192="A",70%,IF($K192="B",60%,40%)),IF($J192="中性",IF($K192="A",50%,IF($K192="B",40%,25%)),IF($K192="A",30%,IF($K192="B",20%,10%))))))))))</f>
        <v/>
      </c>
      <c r="O192" s="16" t="str">
        <f aca="false">IF($B192="","",IF(B192&lt;30000,35%,IF(B192&lt;50000,30%,IF(B192&lt;100000,25%,20%))))</f>
        <v/>
      </c>
      <c r="P192" s="18" t="str">
        <f aca="false">IF($A192="","",COUNTIFS(持仓表!$A:$A,$A192,持仓表!$G:$G,"&gt;0"))</f>
        <v/>
      </c>
      <c r="Q192" s="18" t="str">
        <f aca="false">IF($A192="","",COUNTIFS(持仓表!$A:$A,$A192,持仓表!$D:$D,"是",持仓表!$G:$G,"&gt;0"))</f>
        <v/>
      </c>
      <c r="R192" s="18" t="str">
        <f aca="false">IF($A192="","",MAX(0,P192-Q192))</f>
        <v/>
      </c>
      <c r="S192" s="18" t="str">
        <f aca="false">IF($B192="","",IF(B192&lt;50000,3,IF(B192&lt;100000,4,5)))</f>
        <v/>
      </c>
      <c r="T192" s="19" t="str">
        <f aca="false">IF($A192="","",IF(OR(M192&gt;=4,I192&lt;=-8%),"防守",IF(OR(M192&gt;=2,I192&lt;=-5%),"警戒","正常")))</f>
        <v/>
      </c>
      <c r="U192" s="19" t="str">
        <f aca="false">IF($A192="","",IF(AND(L192&gt;=3,M192&lt;=2,T192&lt;&gt;"防守"),"是","否"))</f>
        <v/>
      </c>
      <c r="V192" s="19" t="str">
        <f aca="false">IF($A192="","",IF(AND(E192&lt;N192,R192&lt;S192,M192&lt;=2,I192&gt;-15%),"是","否"))</f>
        <v/>
      </c>
      <c r="W192" s="19" t="str">
        <f aca="false">IF($A192="","",IF(OR(M192&gt;=3,I192&lt;=-15%),"是","否"))</f>
        <v/>
      </c>
      <c r="X192" s="15" t="str">
        <f aca="false">IF($A192="","",IFERROR(maxifs(候选池!$AB:$AB,候选池!$A:$A,$A192),0))</f>
        <v/>
      </c>
      <c r="Y192" s="15" t="str">
        <f aca="false">IF($A192="","",IF(OR(M192&gt;=4,I192&lt;=-8%),MAX(0,B192*60%-C192),IF(AND(ISNUMBER(AD192),B192&gt;AD192),IF(B192&lt;30000,0,IF(B192&lt;100000,MAX(0,(B192-AD192)*0.2),MAX(0,(B192-AD192)*0.3))),0)))</f>
        <v/>
      </c>
      <c r="Z192" s="5"/>
      <c r="AA192" s="19" t="str">
        <f aca="false">IF($A192="","",IF($AA$2&lt;&gt;"",$AA$2,""))</f>
        <v/>
      </c>
      <c r="AB192" s="5" t="str">
        <f aca="false">IF($A192="","",IF(B192&lt;30000,0.03,IF(B192&lt;100000,0.02,0.015)))</f>
        <v/>
      </c>
      <c r="AC192" s="18" t="str">
        <f aca="false">IF($A192="","",IFERROR(DATEDIF($A$2,$A192,"m"),0))</f>
        <v/>
      </c>
      <c r="AD192" s="15" t="str">
        <f aca="false">IF($A192="","",IF(OR(AA192="",AB192="",AC192=""),"",AA192*POWER(1+AB192,AC192)))</f>
        <v/>
      </c>
      <c r="AE192" s="21" t="str">
        <f aca="false">IF($A192="","",IF(OR(AD192="",AD192=0),"",B192/AD192-1))</f>
        <v/>
      </c>
      <c r="AG192" s="1" t="str">
        <f aca="false">IF($A192="","",IF(B192&lt;30000,"婴儿",IF(B192&lt;100000,"成长","成熟")))</f>
        <v/>
      </c>
      <c r="AH192" s="22"/>
      <c r="AJ192" s="22"/>
      <c r="AK192" s="22"/>
      <c r="AM192" s="22"/>
      <c r="AP192" s="13"/>
      <c r="AQ192" s="23" t="str">
        <f aca="false">IF($A192="","",B192-$AA$2-SUM($F$2:F192))</f>
        <v/>
      </c>
    </row>
    <row r="193" customFormat="false" ht="15" hidden="false" customHeight="true" outlineLevel="0" collapsed="false">
      <c r="A193" s="7"/>
      <c r="B193" s="24"/>
      <c r="C193" s="24"/>
      <c r="D193" s="15" t="str">
        <f aca="false">IF($A193="","",SUMIFS(持仓表!$J:$J,持仓表!$A:$A,$A193))</f>
        <v/>
      </c>
      <c r="E193" s="16" t="n">
        <f aca="false">IFERROR(D193/B193,0)</f>
        <v>0</v>
      </c>
      <c r="F193" s="24"/>
      <c r="G193" s="15" t="str">
        <f aca="false">IF($B193="","",MAX($B$2:B193))</f>
        <v/>
      </c>
      <c r="H193" s="16" t="n">
        <f aca="false">IFERROR((B193-F193)/F193,0)</f>
        <v>0</v>
      </c>
      <c r="I193" s="16" t="n">
        <f aca="false">IFERROR((B193-G193)/G193,0)</f>
        <v>0</v>
      </c>
      <c r="J193" s="12"/>
      <c r="K193" s="7"/>
      <c r="L193" s="25"/>
      <c r="M193" s="25"/>
      <c r="N193" s="16" t="str">
        <f aca="false">IF($B193="","",MIN(70%,IF($I193&lt;=-15%,10%,IF($I193&lt;=-10%,30%,IF($M193&gt;=4,10%,IF($M193&gt;=3,30%,IF($J193="强",IF($K193="A",70%,IF($K193="B",60%,40%)),IF($J193="中性",IF($K193="A",50%,IF($K193="B",40%,25%)),IF($K193="A",30%,IF($K193="B",20%,10%))))))))))</f>
        <v/>
      </c>
      <c r="O193" s="16" t="str">
        <f aca="false">IF($B193="","",IF(B193&lt;30000,35%,IF(B193&lt;50000,30%,IF(B193&lt;100000,25%,20%))))</f>
        <v/>
      </c>
      <c r="P193" s="18" t="str">
        <f aca="false">IF($A193="","",COUNTIFS(持仓表!$A:$A,$A193,持仓表!$G:$G,"&gt;0"))</f>
        <v/>
      </c>
      <c r="Q193" s="18" t="str">
        <f aca="false">IF($A193="","",COUNTIFS(持仓表!$A:$A,$A193,持仓表!$D:$D,"是",持仓表!$G:$G,"&gt;0"))</f>
        <v/>
      </c>
      <c r="R193" s="18" t="str">
        <f aca="false">IF($A193="","",MAX(0,P193-Q193))</f>
        <v/>
      </c>
      <c r="S193" s="18" t="str">
        <f aca="false">IF($B193="","",IF(B193&lt;50000,3,IF(B193&lt;100000,4,5)))</f>
        <v/>
      </c>
      <c r="T193" s="19" t="str">
        <f aca="false">IF($A193="","",IF(OR(M193&gt;=4,I193&lt;=-8%),"防守",IF(OR(M193&gt;=2,I193&lt;=-5%),"警戒","正常")))</f>
        <v/>
      </c>
      <c r="U193" s="19" t="str">
        <f aca="false">IF($A193="","",IF(AND(L193&gt;=3,M193&lt;=2,T193&lt;&gt;"防守"),"是","否"))</f>
        <v/>
      </c>
      <c r="V193" s="19" t="str">
        <f aca="false">IF($A193="","",IF(AND(E193&lt;N193,R193&lt;S193,M193&lt;=2,I193&gt;-15%),"是","否"))</f>
        <v/>
      </c>
      <c r="W193" s="19" t="str">
        <f aca="false">IF($A193="","",IF(OR(M193&gt;=3,I193&lt;=-15%),"是","否"))</f>
        <v/>
      </c>
      <c r="X193" s="15" t="str">
        <f aca="false">IF($A193="","",IFERROR(maxifs(候选池!$AB:$AB,候选池!$A:$A,$A193),0))</f>
        <v/>
      </c>
      <c r="Y193" s="15" t="str">
        <f aca="false">IF($A193="","",IF(OR(M193&gt;=4,I193&lt;=-8%),MAX(0,B193*60%-C193),IF(AND(ISNUMBER(AD193),B193&gt;AD193),IF(B193&lt;30000,0,IF(B193&lt;100000,MAX(0,(B193-AD193)*0.2),MAX(0,(B193-AD193)*0.3))),0)))</f>
        <v/>
      </c>
      <c r="Z193" s="7"/>
      <c r="AA193" s="19" t="str">
        <f aca="false">IF($A193="","",IF($AA$2&lt;&gt;"",$AA$2,""))</f>
        <v/>
      </c>
      <c r="AB193" s="7" t="str">
        <f aca="false">IF($A193="","",IF(B193&lt;30000,0.03,IF(B193&lt;100000,0.02,0.015)))</f>
        <v/>
      </c>
      <c r="AC193" s="18" t="str">
        <f aca="false">IF($A193="","",IFERROR(DATEDIF($A$2,$A193,"m"),0))</f>
        <v/>
      </c>
      <c r="AD193" s="15" t="str">
        <f aca="false">IF($A193="","",IF(OR(AA193="",AB193="",AC193=""),"",AA193*POWER(1+AB193,AC193)))</f>
        <v/>
      </c>
      <c r="AE193" s="27" t="str">
        <f aca="false">IF($A193="","",IF(OR(AD193="",AD193=0),"",B193/AD193-1))</f>
        <v/>
      </c>
      <c r="AG193" s="1" t="str">
        <f aca="false">IF($A193="","",IF(B193&lt;30000,"婴儿",IF(B193&lt;100000,"成长","成熟")))</f>
        <v/>
      </c>
      <c r="AH193" s="22"/>
      <c r="AJ193" s="22"/>
      <c r="AK193" s="22"/>
      <c r="AM193" s="22"/>
      <c r="AP193" s="13"/>
      <c r="AQ193" s="23" t="str">
        <f aca="false">IF($A193="","",B193-$AA$2-SUM($F$2:F193))</f>
        <v/>
      </c>
    </row>
    <row r="194" customFormat="false" ht="15" hidden="false" customHeight="true" outlineLevel="0" collapsed="false">
      <c r="A194" s="5"/>
      <c r="B194" s="14"/>
      <c r="C194" s="14"/>
      <c r="D194" s="15" t="str">
        <f aca="false">IF($A194="","",SUMIFS(持仓表!$J:$J,持仓表!$A:$A,$A194))</f>
        <v/>
      </c>
      <c r="E194" s="16" t="n">
        <f aca="false">IFERROR(D194/B194,0)</f>
        <v>0</v>
      </c>
      <c r="F194" s="14"/>
      <c r="G194" s="15" t="str">
        <f aca="false">IF($B194="","",MAX($B$2:B194))</f>
        <v/>
      </c>
      <c r="H194" s="16" t="n">
        <f aca="false">IFERROR((B194-F194)/F194,0)</f>
        <v>0</v>
      </c>
      <c r="I194" s="16" t="n">
        <f aca="false">IFERROR((B194-G194)/G194,0)</f>
        <v>0</v>
      </c>
      <c r="J194" s="11"/>
      <c r="K194" s="5"/>
      <c r="L194" s="17"/>
      <c r="M194" s="17"/>
      <c r="N194" s="16" t="str">
        <f aca="false">IF($B194="","",MIN(70%,IF($I194&lt;=-15%,10%,IF($I194&lt;=-10%,30%,IF($M194&gt;=4,10%,IF($M194&gt;=3,30%,IF($J194="强",IF($K194="A",70%,IF($K194="B",60%,40%)),IF($J194="中性",IF($K194="A",50%,IF($K194="B",40%,25%)),IF($K194="A",30%,IF($K194="B",20%,10%))))))))))</f>
        <v/>
      </c>
      <c r="O194" s="16" t="str">
        <f aca="false">IF($B194="","",IF(B194&lt;30000,35%,IF(B194&lt;50000,30%,IF(B194&lt;100000,25%,20%))))</f>
        <v/>
      </c>
      <c r="P194" s="18" t="str">
        <f aca="false">IF($A194="","",COUNTIFS(持仓表!$A:$A,$A194,持仓表!$G:$G,"&gt;0"))</f>
        <v/>
      </c>
      <c r="Q194" s="18" t="str">
        <f aca="false">IF($A194="","",COUNTIFS(持仓表!$A:$A,$A194,持仓表!$D:$D,"是",持仓表!$G:$G,"&gt;0"))</f>
        <v/>
      </c>
      <c r="R194" s="18" t="str">
        <f aca="false">IF($A194="","",MAX(0,P194-Q194))</f>
        <v/>
      </c>
      <c r="S194" s="18" t="str">
        <f aca="false">IF($B194="","",IF(B194&lt;50000,3,IF(B194&lt;100000,4,5)))</f>
        <v/>
      </c>
      <c r="T194" s="19" t="str">
        <f aca="false">IF($A194="","",IF(OR(M194&gt;=4,I194&lt;=-8%),"防守",IF(OR(M194&gt;=2,I194&lt;=-5%),"警戒","正常")))</f>
        <v/>
      </c>
      <c r="U194" s="19" t="str">
        <f aca="false">IF($A194="","",IF(AND(L194&gt;=3,M194&lt;=2,T194&lt;&gt;"防守"),"是","否"))</f>
        <v/>
      </c>
      <c r="V194" s="19" t="str">
        <f aca="false">IF($A194="","",IF(AND(E194&lt;N194,R194&lt;S194,M194&lt;=2,I194&gt;-15%),"是","否"))</f>
        <v/>
      </c>
      <c r="W194" s="19" t="str">
        <f aca="false">IF($A194="","",IF(OR(M194&gt;=3,I194&lt;=-15%),"是","否"))</f>
        <v/>
      </c>
      <c r="X194" s="15" t="str">
        <f aca="false">IF($A194="","",IFERROR(maxifs(候选池!$AB:$AB,候选池!$A:$A,$A194),0))</f>
        <v/>
      </c>
      <c r="Y194" s="15" t="str">
        <f aca="false">IF($A194="","",IF(OR(M194&gt;=4,I194&lt;=-8%),MAX(0,B194*60%-C194),IF(AND(ISNUMBER(AD194),B194&gt;AD194),IF(B194&lt;30000,0,IF(B194&lt;100000,MAX(0,(B194-AD194)*0.2),MAX(0,(B194-AD194)*0.3))),0)))</f>
        <v/>
      </c>
      <c r="Z194" s="5"/>
      <c r="AA194" s="19" t="str">
        <f aca="false">IF($A194="","",IF($AA$2&lt;&gt;"",$AA$2,""))</f>
        <v/>
      </c>
      <c r="AB194" s="5" t="str">
        <f aca="false">IF($A194="","",IF(B194&lt;30000,0.03,IF(B194&lt;100000,0.02,0.015)))</f>
        <v/>
      </c>
      <c r="AC194" s="18" t="str">
        <f aca="false">IF($A194="","",IFERROR(DATEDIF($A$2,$A194,"m"),0))</f>
        <v/>
      </c>
      <c r="AD194" s="15" t="str">
        <f aca="false">IF($A194="","",IF(OR(AA194="",AB194="",AC194=""),"",AA194*POWER(1+AB194,AC194)))</f>
        <v/>
      </c>
      <c r="AE194" s="21" t="str">
        <f aca="false">IF($A194="","",IF(OR(AD194="",AD194=0),"",B194/AD194-1))</f>
        <v/>
      </c>
      <c r="AG194" s="1" t="str">
        <f aca="false">IF($A194="","",IF(B194&lt;30000,"婴儿",IF(B194&lt;100000,"成长","成熟")))</f>
        <v/>
      </c>
      <c r="AH194" s="22"/>
      <c r="AJ194" s="22"/>
      <c r="AK194" s="22"/>
      <c r="AM194" s="22"/>
      <c r="AP194" s="13"/>
      <c r="AQ194" s="23" t="str">
        <f aca="false">IF($A194="","",B194-$AA$2-SUM($F$2:F194))</f>
        <v/>
      </c>
    </row>
    <row r="195" customFormat="false" ht="15" hidden="false" customHeight="true" outlineLevel="0" collapsed="false">
      <c r="A195" s="7"/>
      <c r="B195" s="24"/>
      <c r="C195" s="24"/>
      <c r="D195" s="15" t="str">
        <f aca="false">IF($A195="","",SUMIFS(持仓表!$J:$J,持仓表!$A:$A,$A195))</f>
        <v/>
      </c>
      <c r="E195" s="16" t="n">
        <f aca="false">IFERROR(D195/B195,0)</f>
        <v>0</v>
      </c>
      <c r="F195" s="24"/>
      <c r="G195" s="15" t="str">
        <f aca="false">IF($B195="","",MAX($B$2:B195))</f>
        <v/>
      </c>
      <c r="H195" s="16" t="n">
        <f aca="false">IFERROR((B195-F195)/F195,0)</f>
        <v>0</v>
      </c>
      <c r="I195" s="16" t="n">
        <f aca="false">IFERROR((B195-G195)/G195,0)</f>
        <v>0</v>
      </c>
      <c r="J195" s="12"/>
      <c r="K195" s="7"/>
      <c r="L195" s="25"/>
      <c r="M195" s="25"/>
      <c r="N195" s="16" t="str">
        <f aca="false">IF($B195="","",MIN(70%,IF($I195&lt;=-15%,10%,IF($I195&lt;=-10%,30%,IF($M195&gt;=4,10%,IF($M195&gt;=3,30%,IF($J195="强",IF($K195="A",70%,IF($K195="B",60%,40%)),IF($J195="中性",IF($K195="A",50%,IF($K195="B",40%,25%)),IF($K195="A",30%,IF($K195="B",20%,10%))))))))))</f>
        <v/>
      </c>
      <c r="O195" s="16" t="str">
        <f aca="false">IF($B195="","",IF(B195&lt;30000,35%,IF(B195&lt;50000,30%,IF(B195&lt;100000,25%,20%))))</f>
        <v/>
      </c>
      <c r="P195" s="18" t="str">
        <f aca="false">IF($A195="","",COUNTIFS(持仓表!$A:$A,$A195,持仓表!$G:$G,"&gt;0"))</f>
        <v/>
      </c>
      <c r="Q195" s="18" t="str">
        <f aca="false">IF($A195="","",COUNTIFS(持仓表!$A:$A,$A195,持仓表!$D:$D,"是",持仓表!$G:$G,"&gt;0"))</f>
        <v/>
      </c>
      <c r="R195" s="18" t="str">
        <f aca="false">IF($A195="","",MAX(0,P195-Q195))</f>
        <v/>
      </c>
      <c r="S195" s="18" t="str">
        <f aca="false">IF($B195="","",IF(B195&lt;50000,3,IF(B195&lt;100000,4,5)))</f>
        <v/>
      </c>
      <c r="T195" s="19" t="str">
        <f aca="false">IF($A195="","",IF(OR(M195&gt;=4,I195&lt;=-8%),"防守",IF(OR(M195&gt;=2,I195&lt;=-5%),"警戒","正常")))</f>
        <v/>
      </c>
      <c r="U195" s="19" t="str">
        <f aca="false">IF($A195="","",IF(AND(L195&gt;=3,M195&lt;=2,T195&lt;&gt;"防守"),"是","否"))</f>
        <v/>
      </c>
      <c r="V195" s="19" t="str">
        <f aca="false">IF($A195="","",IF(AND(E195&lt;N195,R195&lt;S195,M195&lt;=2,I195&gt;-15%),"是","否"))</f>
        <v/>
      </c>
      <c r="W195" s="19" t="str">
        <f aca="false">IF($A195="","",IF(OR(M195&gt;=3,I195&lt;=-15%),"是","否"))</f>
        <v/>
      </c>
      <c r="X195" s="15" t="str">
        <f aca="false">IF($A195="","",IFERROR(maxifs(候选池!$AB:$AB,候选池!$A:$A,$A195),0))</f>
        <v/>
      </c>
      <c r="Y195" s="15" t="str">
        <f aca="false">IF($A195="","",IF(OR(M195&gt;=4,I195&lt;=-8%),MAX(0,B195*60%-C195),IF(AND(ISNUMBER(AD195),B195&gt;AD195),IF(B195&lt;30000,0,IF(B195&lt;100000,MAX(0,(B195-AD195)*0.2),MAX(0,(B195-AD195)*0.3))),0)))</f>
        <v/>
      </c>
      <c r="Z195" s="7"/>
      <c r="AA195" s="19" t="str">
        <f aca="false">IF($A195="","",IF($AA$2&lt;&gt;"",$AA$2,""))</f>
        <v/>
      </c>
      <c r="AB195" s="7" t="str">
        <f aca="false">IF($A195="","",IF(B195&lt;30000,0.03,IF(B195&lt;100000,0.02,0.015)))</f>
        <v/>
      </c>
      <c r="AC195" s="18" t="str">
        <f aca="false">IF($A195="","",IFERROR(DATEDIF($A$2,$A195,"m"),0))</f>
        <v/>
      </c>
      <c r="AD195" s="15" t="str">
        <f aca="false">IF($A195="","",IF(OR(AA195="",AB195="",AC195=""),"",AA195*POWER(1+AB195,AC195)))</f>
        <v/>
      </c>
      <c r="AE195" s="27" t="str">
        <f aca="false">IF($A195="","",IF(OR(AD195="",AD195=0),"",B195/AD195-1))</f>
        <v/>
      </c>
      <c r="AG195" s="1" t="str">
        <f aca="false">IF($A195="","",IF(B195&lt;30000,"婴儿",IF(B195&lt;100000,"成长","成熟")))</f>
        <v/>
      </c>
      <c r="AH195" s="22"/>
      <c r="AJ195" s="22"/>
      <c r="AK195" s="22"/>
      <c r="AM195" s="22"/>
      <c r="AP195" s="13"/>
      <c r="AQ195" s="23" t="str">
        <f aca="false">IF($A195="","",B195-$AA$2-SUM($F$2:F195))</f>
        <v/>
      </c>
    </row>
    <row r="196" customFormat="false" ht="15" hidden="false" customHeight="true" outlineLevel="0" collapsed="false">
      <c r="A196" s="5"/>
      <c r="B196" s="14"/>
      <c r="C196" s="14"/>
      <c r="D196" s="15" t="str">
        <f aca="false">IF($A196="","",SUMIFS(持仓表!$J:$J,持仓表!$A:$A,$A196))</f>
        <v/>
      </c>
      <c r="E196" s="16" t="n">
        <f aca="false">IFERROR(D196/B196,0)</f>
        <v>0</v>
      </c>
      <c r="F196" s="14"/>
      <c r="G196" s="15" t="str">
        <f aca="false">IF($B196="","",MAX($B$2:B196))</f>
        <v/>
      </c>
      <c r="H196" s="16" t="n">
        <f aca="false">IFERROR((B196-F196)/F196,0)</f>
        <v>0</v>
      </c>
      <c r="I196" s="16" t="n">
        <f aca="false">IFERROR((B196-G196)/G196,0)</f>
        <v>0</v>
      </c>
      <c r="J196" s="11"/>
      <c r="K196" s="5"/>
      <c r="L196" s="17"/>
      <c r="M196" s="17"/>
      <c r="N196" s="16" t="str">
        <f aca="false">IF($B196="","",MIN(70%,IF($I196&lt;=-15%,10%,IF($I196&lt;=-10%,30%,IF($M196&gt;=4,10%,IF($M196&gt;=3,30%,IF($J196="强",IF($K196="A",70%,IF($K196="B",60%,40%)),IF($J196="中性",IF($K196="A",50%,IF($K196="B",40%,25%)),IF($K196="A",30%,IF($K196="B",20%,10%))))))))))</f>
        <v/>
      </c>
      <c r="O196" s="16" t="str">
        <f aca="false">IF($B196="","",IF(B196&lt;30000,35%,IF(B196&lt;50000,30%,IF(B196&lt;100000,25%,20%))))</f>
        <v/>
      </c>
      <c r="P196" s="18" t="str">
        <f aca="false">IF($A196="","",COUNTIFS(持仓表!$A:$A,$A196,持仓表!$G:$G,"&gt;0"))</f>
        <v/>
      </c>
      <c r="Q196" s="18" t="str">
        <f aca="false">IF($A196="","",COUNTIFS(持仓表!$A:$A,$A196,持仓表!$D:$D,"是",持仓表!$G:$G,"&gt;0"))</f>
        <v/>
      </c>
      <c r="R196" s="18" t="str">
        <f aca="false">IF($A196="","",MAX(0,P196-Q196))</f>
        <v/>
      </c>
      <c r="S196" s="18" t="str">
        <f aca="false">IF($B196="","",IF(B196&lt;50000,3,IF(B196&lt;100000,4,5)))</f>
        <v/>
      </c>
      <c r="T196" s="19" t="str">
        <f aca="false">IF($A196="","",IF(OR(M196&gt;=4,I196&lt;=-8%),"防守",IF(OR(M196&gt;=2,I196&lt;=-5%),"警戒","正常")))</f>
        <v/>
      </c>
      <c r="U196" s="19" t="str">
        <f aca="false">IF($A196="","",IF(AND(L196&gt;=3,M196&lt;=2,T196&lt;&gt;"防守"),"是","否"))</f>
        <v/>
      </c>
      <c r="V196" s="19" t="str">
        <f aca="false">IF($A196="","",IF(AND(E196&lt;N196,R196&lt;S196,M196&lt;=2,I196&gt;-15%),"是","否"))</f>
        <v/>
      </c>
      <c r="W196" s="19" t="str">
        <f aca="false">IF($A196="","",IF(OR(M196&gt;=3,I196&lt;=-15%),"是","否"))</f>
        <v/>
      </c>
      <c r="X196" s="15" t="str">
        <f aca="false">IF($A196="","",IFERROR(maxifs(候选池!$AB:$AB,候选池!$A:$A,$A196),0))</f>
        <v/>
      </c>
      <c r="Y196" s="15" t="str">
        <f aca="false">IF($A196="","",IF(OR(M196&gt;=4,I196&lt;=-8%),MAX(0,B196*60%-C196),IF(AND(ISNUMBER(AD196),B196&gt;AD196),IF(B196&lt;30000,0,IF(B196&lt;100000,MAX(0,(B196-AD196)*0.2),MAX(0,(B196-AD196)*0.3))),0)))</f>
        <v/>
      </c>
      <c r="Z196" s="5"/>
      <c r="AA196" s="19" t="str">
        <f aca="false">IF($A196="","",IF($AA$2&lt;&gt;"",$AA$2,""))</f>
        <v/>
      </c>
      <c r="AB196" s="5" t="str">
        <f aca="false">IF($A196="","",IF(B196&lt;30000,0.03,IF(B196&lt;100000,0.02,0.015)))</f>
        <v/>
      </c>
      <c r="AC196" s="18" t="str">
        <f aca="false">IF($A196="","",IFERROR(DATEDIF($A$2,$A196,"m"),0))</f>
        <v/>
      </c>
      <c r="AD196" s="15" t="str">
        <f aca="false">IF($A196="","",IF(OR(AA196="",AB196="",AC196=""),"",AA196*POWER(1+AB196,AC196)))</f>
        <v/>
      </c>
      <c r="AE196" s="21" t="str">
        <f aca="false">IF($A196="","",IF(OR(AD196="",AD196=0),"",B196/AD196-1))</f>
        <v/>
      </c>
      <c r="AG196" s="1" t="str">
        <f aca="false">IF($A196="","",IF(B196&lt;30000,"婴儿",IF(B196&lt;100000,"成长","成熟")))</f>
        <v/>
      </c>
      <c r="AH196" s="22"/>
      <c r="AJ196" s="22"/>
      <c r="AK196" s="22"/>
      <c r="AM196" s="22"/>
      <c r="AP196" s="13"/>
      <c r="AQ196" s="23" t="str">
        <f aca="false">IF($A196="","",B196-$AA$2-SUM($F$2:F196))</f>
        <v/>
      </c>
    </row>
    <row r="197" customFormat="false" ht="15" hidden="false" customHeight="true" outlineLevel="0" collapsed="false">
      <c r="A197" s="7"/>
      <c r="B197" s="24"/>
      <c r="C197" s="24"/>
      <c r="D197" s="15" t="str">
        <f aca="false">IF($A197="","",SUMIFS(持仓表!$J:$J,持仓表!$A:$A,$A197))</f>
        <v/>
      </c>
      <c r="E197" s="16" t="n">
        <f aca="false">IFERROR(D197/B197,0)</f>
        <v>0</v>
      </c>
      <c r="F197" s="24"/>
      <c r="G197" s="15" t="str">
        <f aca="false">IF($B197="","",MAX($B$2:B197))</f>
        <v/>
      </c>
      <c r="H197" s="16" t="n">
        <f aca="false">IFERROR((B197-F197)/F197,0)</f>
        <v>0</v>
      </c>
      <c r="I197" s="16" t="n">
        <f aca="false">IFERROR((B197-G197)/G197,0)</f>
        <v>0</v>
      </c>
      <c r="J197" s="12"/>
      <c r="K197" s="7"/>
      <c r="L197" s="25"/>
      <c r="M197" s="25"/>
      <c r="N197" s="16" t="str">
        <f aca="false">IF($B197="","",MIN(70%,IF($I197&lt;=-15%,10%,IF($I197&lt;=-10%,30%,IF($M197&gt;=4,10%,IF($M197&gt;=3,30%,IF($J197="强",IF($K197="A",70%,IF($K197="B",60%,40%)),IF($J197="中性",IF($K197="A",50%,IF($K197="B",40%,25%)),IF($K197="A",30%,IF($K197="B",20%,10%))))))))))</f>
        <v/>
      </c>
      <c r="O197" s="16" t="str">
        <f aca="false">IF($B197="","",IF(B197&lt;30000,35%,IF(B197&lt;50000,30%,IF(B197&lt;100000,25%,20%))))</f>
        <v/>
      </c>
      <c r="P197" s="18" t="str">
        <f aca="false">IF($A197="","",COUNTIFS(持仓表!$A:$A,$A197,持仓表!$G:$G,"&gt;0"))</f>
        <v/>
      </c>
      <c r="Q197" s="18" t="str">
        <f aca="false">IF($A197="","",COUNTIFS(持仓表!$A:$A,$A197,持仓表!$D:$D,"是",持仓表!$G:$G,"&gt;0"))</f>
        <v/>
      </c>
      <c r="R197" s="18" t="str">
        <f aca="false">IF($A197="","",MAX(0,P197-Q197))</f>
        <v/>
      </c>
      <c r="S197" s="18" t="str">
        <f aca="false">IF($B197="","",IF(B197&lt;50000,3,IF(B197&lt;100000,4,5)))</f>
        <v/>
      </c>
      <c r="T197" s="19" t="str">
        <f aca="false">IF($A197="","",IF(OR(M197&gt;=4,I197&lt;=-8%),"防守",IF(OR(M197&gt;=2,I197&lt;=-5%),"警戒","正常")))</f>
        <v/>
      </c>
      <c r="U197" s="19" t="str">
        <f aca="false">IF($A197="","",IF(AND(L197&gt;=3,M197&lt;=2,T197&lt;&gt;"防守"),"是","否"))</f>
        <v/>
      </c>
      <c r="V197" s="19" t="str">
        <f aca="false">IF($A197="","",IF(AND(E197&lt;N197,R197&lt;S197,M197&lt;=2,I197&gt;-15%),"是","否"))</f>
        <v/>
      </c>
      <c r="W197" s="19" t="str">
        <f aca="false">IF($A197="","",IF(OR(M197&gt;=3,I197&lt;=-15%),"是","否"))</f>
        <v/>
      </c>
      <c r="X197" s="15" t="str">
        <f aca="false">IF($A197="","",IFERROR(maxifs(候选池!$AB:$AB,候选池!$A:$A,$A197),0))</f>
        <v/>
      </c>
      <c r="Y197" s="15" t="str">
        <f aca="false">IF($A197="","",IF(OR(M197&gt;=4,I197&lt;=-8%),MAX(0,B197*60%-C197),IF(AND(ISNUMBER(AD197),B197&gt;AD197),IF(B197&lt;30000,0,IF(B197&lt;100000,MAX(0,(B197-AD197)*0.2),MAX(0,(B197-AD197)*0.3))),0)))</f>
        <v/>
      </c>
      <c r="Z197" s="7"/>
      <c r="AA197" s="19" t="str">
        <f aca="false">IF($A197="","",IF($AA$2&lt;&gt;"",$AA$2,""))</f>
        <v/>
      </c>
      <c r="AB197" s="7" t="str">
        <f aca="false">IF($A197="","",IF(B197&lt;30000,0.03,IF(B197&lt;100000,0.02,0.015)))</f>
        <v/>
      </c>
      <c r="AC197" s="18" t="str">
        <f aca="false">IF($A197="","",IFERROR(DATEDIF($A$2,$A197,"m"),0))</f>
        <v/>
      </c>
      <c r="AD197" s="15" t="str">
        <f aca="false">IF($A197="","",IF(OR(AA197="",AB197="",AC197=""),"",AA197*POWER(1+AB197,AC197)))</f>
        <v/>
      </c>
      <c r="AE197" s="27" t="str">
        <f aca="false">IF($A197="","",IF(OR(AD197="",AD197=0),"",B197/AD197-1))</f>
        <v/>
      </c>
      <c r="AG197" s="1" t="str">
        <f aca="false">IF($A197="","",IF(B197&lt;30000,"婴儿",IF(B197&lt;100000,"成长","成熟")))</f>
        <v/>
      </c>
      <c r="AH197" s="22"/>
      <c r="AJ197" s="22"/>
      <c r="AK197" s="22"/>
      <c r="AM197" s="22"/>
      <c r="AP197" s="13"/>
      <c r="AQ197" s="23" t="str">
        <f aca="false">IF($A197="","",B197-$AA$2-SUM($F$2:F197))</f>
        <v/>
      </c>
    </row>
    <row r="198" customFormat="false" ht="15" hidden="false" customHeight="true" outlineLevel="0" collapsed="false">
      <c r="A198" s="5"/>
      <c r="B198" s="14"/>
      <c r="C198" s="14"/>
      <c r="D198" s="15" t="str">
        <f aca="false">IF($A198="","",SUMIFS(持仓表!$J:$J,持仓表!$A:$A,$A198))</f>
        <v/>
      </c>
      <c r="E198" s="16" t="n">
        <f aca="false">IFERROR(D198/B198,0)</f>
        <v>0</v>
      </c>
      <c r="F198" s="14"/>
      <c r="G198" s="15" t="str">
        <f aca="false">IF($B198="","",MAX($B$2:B198))</f>
        <v/>
      </c>
      <c r="H198" s="16" t="n">
        <f aca="false">IFERROR((B198-F198)/F198,0)</f>
        <v>0</v>
      </c>
      <c r="I198" s="16" t="n">
        <f aca="false">IFERROR((B198-G198)/G198,0)</f>
        <v>0</v>
      </c>
      <c r="J198" s="11"/>
      <c r="K198" s="5"/>
      <c r="L198" s="17"/>
      <c r="M198" s="17"/>
      <c r="N198" s="16" t="str">
        <f aca="false">IF($B198="","",MIN(70%,IF($I198&lt;=-15%,10%,IF($I198&lt;=-10%,30%,IF($M198&gt;=4,10%,IF($M198&gt;=3,30%,IF($J198="强",IF($K198="A",70%,IF($K198="B",60%,40%)),IF($J198="中性",IF($K198="A",50%,IF($K198="B",40%,25%)),IF($K198="A",30%,IF($K198="B",20%,10%))))))))))</f>
        <v/>
      </c>
      <c r="O198" s="16" t="str">
        <f aca="false">IF($B198="","",IF(B198&lt;30000,35%,IF(B198&lt;50000,30%,IF(B198&lt;100000,25%,20%))))</f>
        <v/>
      </c>
      <c r="P198" s="18" t="str">
        <f aca="false">IF($A198="","",COUNTIFS(持仓表!$A:$A,$A198,持仓表!$G:$G,"&gt;0"))</f>
        <v/>
      </c>
      <c r="Q198" s="18" t="str">
        <f aca="false">IF($A198="","",COUNTIFS(持仓表!$A:$A,$A198,持仓表!$D:$D,"是",持仓表!$G:$G,"&gt;0"))</f>
        <v/>
      </c>
      <c r="R198" s="18" t="str">
        <f aca="false">IF($A198="","",MAX(0,P198-Q198))</f>
        <v/>
      </c>
      <c r="S198" s="18" t="str">
        <f aca="false">IF($B198="","",IF(B198&lt;50000,3,IF(B198&lt;100000,4,5)))</f>
        <v/>
      </c>
      <c r="T198" s="19" t="str">
        <f aca="false">IF($A198="","",IF(OR(M198&gt;=4,I198&lt;=-8%),"防守",IF(OR(M198&gt;=2,I198&lt;=-5%),"警戒","正常")))</f>
        <v/>
      </c>
      <c r="U198" s="19" t="str">
        <f aca="false">IF($A198="","",IF(AND(L198&gt;=3,M198&lt;=2,T198&lt;&gt;"防守"),"是","否"))</f>
        <v/>
      </c>
      <c r="V198" s="19" t="str">
        <f aca="false">IF($A198="","",IF(AND(E198&lt;N198,R198&lt;S198,M198&lt;=2,I198&gt;-15%),"是","否"))</f>
        <v/>
      </c>
      <c r="W198" s="19" t="str">
        <f aca="false">IF($A198="","",IF(OR(M198&gt;=3,I198&lt;=-15%),"是","否"))</f>
        <v/>
      </c>
      <c r="X198" s="15" t="str">
        <f aca="false">IF($A198="","",IFERROR(maxifs(候选池!$AB:$AB,候选池!$A:$A,$A198),0))</f>
        <v/>
      </c>
      <c r="Y198" s="15" t="str">
        <f aca="false">IF($A198="","",IF(OR(M198&gt;=4,I198&lt;=-8%),MAX(0,B198*60%-C198),IF(AND(ISNUMBER(AD198),B198&gt;AD198),IF(B198&lt;30000,0,IF(B198&lt;100000,MAX(0,(B198-AD198)*0.2),MAX(0,(B198-AD198)*0.3))),0)))</f>
        <v/>
      </c>
      <c r="Z198" s="5"/>
      <c r="AA198" s="19" t="str">
        <f aca="false">IF($A198="","",IF($AA$2&lt;&gt;"",$AA$2,""))</f>
        <v/>
      </c>
      <c r="AB198" s="5" t="str">
        <f aca="false">IF($A198="","",IF(B198&lt;30000,0.03,IF(B198&lt;100000,0.02,0.015)))</f>
        <v/>
      </c>
      <c r="AC198" s="18" t="str">
        <f aca="false">IF($A198="","",IFERROR(DATEDIF($A$2,$A198,"m"),0))</f>
        <v/>
      </c>
      <c r="AD198" s="15" t="str">
        <f aca="false">IF($A198="","",IF(OR(AA198="",AB198="",AC198=""),"",AA198*POWER(1+AB198,AC198)))</f>
        <v/>
      </c>
      <c r="AE198" s="21" t="str">
        <f aca="false">IF($A198="","",IF(OR(AD198="",AD198=0),"",B198/AD198-1))</f>
        <v/>
      </c>
      <c r="AG198" s="1" t="str">
        <f aca="false">IF($A198="","",IF(B198&lt;30000,"婴儿",IF(B198&lt;100000,"成长","成熟")))</f>
        <v/>
      </c>
      <c r="AH198" s="22"/>
      <c r="AJ198" s="22"/>
      <c r="AK198" s="22"/>
      <c r="AM198" s="22"/>
      <c r="AP198" s="13"/>
      <c r="AQ198" s="23" t="str">
        <f aca="false">IF($A198="","",B198-$AA$2-SUM($F$2:F198))</f>
        <v/>
      </c>
    </row>
    <row r="199" customFormat="false" ht="15" hidden="false" customHeight="true" outlineLevel="0" collapsed="false">
      <c r="A199" s="7"/>
      <c r="B199" s="24"/>
      <c r="C199" s="24"/>
      <c r="D199" s="15" t="str">
        <f aca="false">IF($A199="","",SUMIFS(持仓表!$J:$J,持仓表!$A:$A,$A199))</f>
        <v/>
      </c>
      <c r="E199" s="16" t="n">
        <f aca="false">IFERROR(D199/B199,0)</f>
        <v>0</v>
      </c>
      <c r="F199" s="24"/>
      <c r="G199" s="15" t="str">
        <f aca="false">IF($B199="","",MAX($B$2:B199))</f>
        <v/>
      </c>
      <c r="H199" s="16" t="n">
        <f aca="false">IFERROR((B199-F199)/F199,0)</f>
        <v>0</v>
      </c>
      <c r="I199" s="16" t="n">
        <f aca="false">IFERROR((B199-G199)/G199,0)</f>
        <v>0</v>
      </c>
      <c r="J199" s="12"/>
      <c r="K199" s="7"/>
      <c r="L199" s="25"/>
      <c r="M199" s="25"/>
      <c r="N199" s="16" t="str">
        <f aca="false">IF($B199="","",MIN(70%,IF($I199&lt;=-15%,10%,IF($I199&lt;=-10%,30%,IF($M199&gt;=4,10%,IF($M199&gt;=3,30%,IF($J199="强",IF($K199="A",70%,IF($K199="B",60%,40%)),IF($J199="中性",IF($K199="A",50%,IF($K199="B",40%,25%)),IF($K199="A",30%,IF($K199="B",20%,10%))))))))))</f>
        <v/>
      </c>
      <c r="O199" s="16" t="str">
        <f aca="false">IF($B199="","",IF(B199&lt;30000,35%,IF(B199&lt;50000,30%,IF(B199&lt;100000,25%,20%))))</f>
        <v/>
      </c>
      <c r="P199" s="18" t="str">
        <f aca="false">IF($A199="","",COUNTIFS(持仓表!$A:$A,$A199,持仓表!$G:$G,"&gt;0"))</f>
        <v/>
      </c>
      <c r="Q199" s="18" t="str">
        <f aca="false">IF($A199="","",COUNTIFS(持仓表!$A:$A,$A199,持仓表!$D:$D,"是",持仓表!$G:$G,"&gt;0"))</f>
        <v/>
      </c>
      <c r="R199" s="18" t="str">
        <f aca="false">IF($A199="","",MAX(0,P199-Q199))</f>
        <v/>
      </c>
      <c r="S199" s="18" t="str">
        <f aca="false">IF($B199="","",IF(B199&lt;50000,3,IF(B199&lt;100000,4,5)))</f>
        <v/>
      </c>
      <c r="T199" s="19" t="str">
        <f aca="false">IF($A199="","",IF(OR(M199&gt;=4,I199&lt;=-8%),"防守",IF(OR(M199&gt;=2,I199&lt;=-5%),"警戒","正常")))</f>
        <v/>
      </c>
      <c r="U199" s="19" t="str">
        <f aca="false">IF($A199="","",IF(AND(L199&gt;=3,M199&lt;=2,T199&lt;&gt;"防守"),"是","否"))</f>
        <v/>
      </c>
      <c r="V199" s="19" t="str">
        <f aca="false">IF($A199="","",IF(AND(E199&lt;N199,R199&lt;S199,M199&lt;=2,I199&gt;-15%),"是","否"))</f>
        <v/>
      </c>
      <c r="W199" s="19" t="str">
        <f aca="false">IF($A199="","",IF(OR(M199&gt;=3,I199&lt;=-15%),"是","否"))</f>
        <v/>
      </c>
      <c r="X199" s="15" t="str">
        <f aca="false">IF($A199="","",IFERROR(maxifs(候选池!$AB:$AB,候选池!$A:$A,$A199),0))</f>
        <v/>
      </c>
      <c r="Y199" s="15" t="str">
        <f aca="false">IF($A199="","",IF(OR(M199&gt;=4,I199&lt;=-8%),MAX(0,B199*60%-C199),IF(AND(ISNUMBER(AD199),B199&gt;AD199),IF(B199&lt;30000,0,IF(B199&lt;100000,MAX(0,(B199-AD199)*0.2),MAX(0,(B199-AD199)*0.3))),0)))</f>
        <v/>
      </c>
      <c r="Z199" s="7"/>
      <c r="AA199" s="19" t="str">
        <f aca="false">IF($A199="","",IF($AA$2&lt;&gt;"",$AA$2,""))</f>
        <v/>
      </c>
      <c r="AB199" s="7" t="str">
        <f aca="false">IF($A199="","",IF(B199&lt;30000,0.03,IF(B199&lt;100000,0.02,0.015)))</f>
        <v/>
      </c>
      <c r="AC199" s="18" t="str">
        <f aca="false">IF($A199="","",IFERROR(DATEDIF($A$2,$A199,"m"),0))</f>
        <v/>
      </c>
      <c r="AD199" s="15" t="str">
        <f aca="false">IF($A199="","",IF(OR(AA199="",AB199="",AC199=""),"",AA199*POWER(1+AB199,AC199)))</f>
        <v/>
      </c>
      <c r="AE199" s="27" t="str">
        <f aca="false">IF($A199="","",IF(OR(AD199="",AD199=0),"",B199/AD199-1))</f>
        <v/>
      </c>
      <c r="AG199" s="1" t="str">
        <f aca="false">IF($A199="","",IF(B199&lt;30000,"婴儿",IF(B199&lt;100000,"成长","成熟")))</f>
        <v/>
      </c>
      <c r="AH199" s="22"/>
      <c r="AJ199" s="22"/>
      <c r="AK199" s="22"/>
      <c r="AM199" s="22"/>
      <c r="AP199" s="13"/>
      <c r="AQ199" s="23" t="str">
        <f aca="false">IF($A199="","",B199-$AA$2-SUM($F$2:F199))</f>
        <v/>
      </c>
    </row>
    <row r="200" customFormat="false" ht="15" hidden="false" customHeight="true" outlineLevel="0" collapsed="false">
      <c r="A200" s="5"/>
      <c r="B200" s="14"/>
      <c r="C200" s="14"/>
      <c r="D200" s="15" t="str">
        <f aca="false">IF($A200="","",SUMIFS(持仓表!$J:$J,持仓表!$A:$A,$A200))</f>
        <v/>
      </c>
      <c r="E200" s="16" t="n">
        <f aca="false">IFERROR(D200/B200,0)</f>
        <v>0</v>
      </c>
      <c r="F200" s="14"/>
      <c r="G200" s="15" t="str">
        <f aca="false">IF($B200="","",MAX($B$2:B200))</f>
        <v/>
      </c>
      <c r="H200" s="16" t="n">
        <f aca="false">IFERROR((B200-F200)/F200,0)</f>
        <v>0</v>
      </c>
      <c r="I200" s="16" t="n">
        <f aca="false">IFERROR((B200-G200)/G200,0)</f>
        <v>0</v>
      </c>
      <c r="J200" s="11"/>
      <c r="K200" s="5"/>
      <c r="L200" s="17"/>
      <c r="M200" s="17"/>
      <c r="N200" s="16" t="str">
        <f aca="false">IF($B200="","",MIN(70%,IF($I200&lt;=-15%,10%,IF($I200&lt;=-10%,30%,IF($M200&gt;=4,10%,IF($M200&gt;=3,30%,IF($J200="强",IF($K200="A",70%,IF($K200="B",60%,40%)),IF($J200="中性",IF($K200="A",50%,IF($K200="B",40%,25%)),IF($K200="A",30%,IF($K200="B",20%,10%))))))))))</f>
        <v/>
      </c>
      <c r="O200" s="16" t="str">
        <f aca="false">IF($B200="","",IF(B200&lt;30000,35%,IF(B200&lt;50000,30%,IF(B200&lt;100000,25%,20%))))</f>
        <v/>
      </c>
      <c r="P200" s="18" t="str">
        <f aca="false">IF($A200="","",COUNTIFS(持仓表!$A:$A,$A200,持仓表!$G:$G,"&gt;0"))</f>
        <v/>
      </c>
      <c r="Q200" s="18" t="str">
        <f aca="false">IF($A200="","",COUNTIFS(持仓表!$A:$A,$A200,持仓表!$D:$D,"是",持仓表!$G:$G,"&gt;0"))</f>
        <v/>
      </c>
      <c r="R200" s="18" t="str">
        <f aca="false">IF($A200="","",MAX(0,P200-Q200))</f>
        <v/>
      </c>
      <c r="S200" s="18" t="str">
        <f aca="false">IF($B200="","",IF(B200&lt;50000,3,IF(B200&lt;100000,4,5)))</f>
        <v/>
      </c>
      <c r="T200" s="19" t="str">
        <f aca="false">IF($A200="","",IF(OR(M200&gt;=4,I200&lt;=-8%),"防守",IF(OR(M200&gt;=2,I200&lt;=-5%),"警戒","正常")))</f>
        <v/>
      </c>
      <c r="U200" s="19" t="str">
        <f aca="false">IF($A200="","",IF(AND(L200&gt;=3,M200&lt;=2,T200&lt;&gt;"防守"),"是","否"))</f>
        <v/>
      </c>
      <c r="V200" s="19" t="str">
        <f aca="false">IF($A200="","",IF(AND(E200&lt;N200,R200&lt;S200,M200&lt;=2,I200&gt;-15%),"是","否"))</f>
        <v/>
      </c>
      <c r="W200" s="19" t="str">
        <f aca="false">IF($A200="","",IF(OR(M200&gt;=3,I200&lt;=-15%),"是","否"))</f>
        <v/>
      </c>
      <c r="X200" s="15" t="str">
        <f aca="false">IF($A200="","",IFERROR(maxifs(候选池!$AB:$AB,候选池!$A:$A,$A200),0))</f>
        <v/>
      </c>
      <c r="Y200" s="15" t="str">
        <f aca="false">IF($A200="","",IF(OR(M200&gt;=4,I200&lt;=-8%),MAX(0,B200*60%-C200),IF(AND(ISNUMBER(AD200),B200&gt;AD200),IF(B200&lt;30000,0,IF(B200&lt;100000,MAX(0,(B200-AD200)*0.2),MAX(0,(B200-AD200)*0.3))),0)))</f>
        <v/>
      </c>
      <c r="Z200" s="5"/>
      <c r="AA200" s="19" t="str">
        <f aca="false">IF($A200="","",IF($AA$2&lt;&gt;"",$AA$2,""))</f>
        <v/>
      </c>
      <c r="AB200" s="5" t="str">
        <f aca="false">IF($A200="","",IF(B200&lt;30000,0.03,IF(B200&lt;100000,0.02,0.015)))</f>
        <v/>
      </c>
      <c r="AC200" s="18" t="str">
        <f aca="false">IF($A200="","",IFERROR(DATEDIF($A$2,$A200,"m"),0))</f>
        <v/>
      </c>
      <c r="AD200" s="15" t="str">
        <f aca="false">IF($A200="","",IF(OR(AA200="",AB200="",AC200=""),"",AA200*POWER(1+AB200,AC200)))</f>
        <v/>
      </c>
      <c r="AE200" s="21" t="str">
        <f aca="false">IF($A200="","",IF(OR(AD200="",AD200=0),"",B200/AD200-1))</f>
        <v/>
      </c>
      <c r="AG200" s="1" t="str">
        <f aca="false">IF($A200="","",IF(B200&lt;30000,"婴儿",IF(B200&lt;100000,"成长","成熟")))</f>
        <v/>
      </c>
      <c r="AH200" s="22"/>
      <c r="AJ200" s="22"/>
      <c r="AK200" s="22"/>
      <c r="AM200" s="22"/>
      <c r="AP200" s="13"/>
      <c r="AQ200" s="23" t="str">
        <f aca="false">IF($A200="","",B200-$AA$2-SUM($F$2:F200))</f>
        <v/>
      </c>
    </row>
    <row r="201" customFormat="false" ht="15" hidden="false" customHeight="true" outlineLevel="0" collapsed="false">
      <c r="A201" s="7"/>
      <c r="B201" s="24"/>
      <c r="C201" s="24"/>
      <c r="D201" s="15" t="str">
        <f aca="false">IF($A201="","",SUMIFS(持仓表!$J:$J,持仓表!$A:$A,$A201))</f>
        <v/>
      </c>
      <c r="E201" s="16" t="n">
        <f aca="false">IFERROR(D201/B201,0)</f>
        <v>0</v>
      </c>
      <c r="F201" s="24"/>
      <c r="G201" s="15" t="str">
        <f aca="false">IF($B201="","",MAX($B$2:B201))</f>
        <v/>
      </c>
      <c r="H201" s="16" t="n">
        <f aca="false">IFERROR((B201-F201)/F201,0)</f>
        <v>0</v>
      </c>
      <c r="I201" s="16" t="n">
        <f aca="false">IFERROR((B201-G201)/G201,0)</f>
        <v>0</v>
      </c>
      <c r="J201" s="12"/>
      <c r="K201" s="7"/>
      <c r="L201" s="25"/>
      <c r="M201" s="25"/>
      <c r="N201" s="16" t="str">
        <f aca="false">IF($B201="","",MIN(70%,IF($I201&lt;=-15%,10%,IF($I201&lt;=-10%,30%,IF($M201&gt;=4,10%,IF($M201&gt;=3,30%,IF($J201="强",IF($K201="A",70%,IF($K201="B",60%,40%)),IF($J201="中性",IF($K201="A",50%,IF($K201="B",40%,25%)),IF($K201="A",30%,IF($K201="B",20%,10%))))))))))</f>
        <v/>
      </c>
      <c r="O201" s="16" t="str">
        <f aca="false">IF($B201="","",IF(B201&lt;30000,35%,IF(B201&lt;50000,30%,IF(B201&lt;100000,25%,20%))))</f>
        <v/>
      </c>
      <c r="P201" s="18" t="str">
        <f aca="false">IF($A201="","",COUNTIFS(持仓表!$A:$A,$A201,持仓表!$G:$G,"&gt;0"))</f>
        <v/>
      </c>
      <c r="Q201" s="18" t="str">
        <f aca="false">IF($A201="","",COUNTIFS(持仓表!$A:$A,$A201,持仓表!$D:$D,"是",持仓表!$G:$G,"&gt;0"))</f>
        <v/>
      </c>
      <c r="R201" s="18" t="str">
        <f aca="false">IF($A201="","",MAX(0,P201-Q201))</f>
        <v/>
      </c>
      <c r="S201" s="18" t="str">
        <f aca="false">IF($B201="","",IF(B201&lt;50000,3,IF(B201&lt;100000,4,5)))</f>
        <v/>
      </c>
      <c r="T201" s="19" t="str">
        <f aca="false">IF($A201="","",IF(OR(M201&gt;=4,I201&lt;=-8%),"防守",IF(OR(M201&gt;=2,I201&lt;=-5%),"警戒","正常")))</f>
        <v/>
      </c>
      <c r="U201" s="19" t="str">
        <f aca="false">IF($A201="","",IF(AND(L201&gt;=3,M201&lt;=2,T201&lt;&gt;"防守"),"是","否"))</f>
        <v/>
      </c>
      <c r="V201" s="19" t="str">
        <f aca="false">IF($A201="","",IF(AND(E201&lt;N201,R201&lt;S201,M201&lt;=2,I201&gt;-15%),"是","否"))</f>
        <v/>
      </c>
      <c r="W201" s="19" t="str">
        <f aca="false">IF($A201="","",IF(OR(M201&gt;=3,I201&lt;=-15%),"是","否"))</f>
        <v/>
      </c>
      <c r="X201" s="15" t="str">
        <f aca="false">IF($A201="","",IFERROR(maxifs(候选池!$AB:$AB,候选池!$A:$A,$A201),0))</f>
        <v/>
      </c>
      <c r="Y201" s="15" t="str">
        <f aca="false">IF($A201="","",IF(OR(M201&gt;=4,I201&lt;=-8%),MAX(0,B201*60%-C201),IF(AND(ISNUMBER(AD201),B201&gt;AD201),IF(B201&lt;30000,0,IF(B201&lt;100000,MAX(0,(B201-AD201)*0.2),MAX(0,(B201-AD201)*0.3))),0)))</f>
        <v/>
      </c>
      <c r="Z201" s="7"/>
      <c r="AA201" s="19" t="str">
        <f aca="false">IF($A201="","",IF($AA$2&lt;&gt;"",$AA$2,""))</f>
        <v/>
      </c>
      <c r="AB201" s="7" t="str">
        <f aca="false">IF($A201="","",IF(B201&lt;30000,0.03,IF(B201&lt;100000,0.02,0.015)))</f>
        <v/>
      </c>
      <c r="AC201" s="18" t="str">
        <f aca="false">IF($A201="","",IFERROR(DATEDIF($A$2,$A201,"m"),0))</f>
        <v/>
      </c>
      <c r="AD201" s="15" t="str">
        <f aca="false">IF($A201="","",IF(OR(AA201="",AB201="",AC201=""),"",AA201*POWER(1+AB201,AC201)))</f>
        <v/>
      </c>
      <c r="AE201" s="27" t="str">
        <f aca="false">IF($A201="","",IF(OR(AD201="",AD201=0),"",B201/AD201-1))</f>
        <v/>
      </c>
      <c r="AG201" s="1" t="str">
        <f aca="false">IF($A201="","",IF(B201&lt;30000,"婴儿",IF(B201&lt;100000,"成长","成熟")))</f>
        <v/>
      </c>
      <c r="AH201" s="22"/>
      <c r="AJ201" s="22"/>
      <c r="AK201" s="22"/>
      <c r="AM201" s="22"/>
      <c r="AP201" s="13"/>
      <c r="AQ201" s="23" t="str">
        <f aca="false">IF($A201="","",B201-$AA$2-SUM($F$2:F201))</f>
        <v/>
      </c>
    </row>
  </sheetData>
  <sheetProtection sheet="true" password="c42e"/>
  <autoFilter ref="A1:AE201"/>
  <conditionalFormatting sqref="AE2:AE201">
    <cfRule type="expression" priority="2" aboveAverage="0" equalAverage="0" bottom="0" percent="0" rank="0" text="" dxfId="7">
      <formula>AND($AE2&gt;=0.5,$AG2="婴儿")</formula>
    </cfRule>
    <cfRule type="expression" priority="3" aboveAverage="0" equalAverage="0" bottom="0" percent="0" rank="0" text="" dxfId="12">
      <formula>AND($AE2&gt;=0.3,$AE2&lt;0.5,$AG2="婴儿")</formula>
    </cfRule>
    <cfRule type="expression" priority="4" aboveAverage="0" equalAverage="0" bottom="0" percent="0" rank="0" text="" dxfId="13">
      <formula>AND($AE2&gt;=0,$AE2&lt;0.3,$AG2="婴儿")</formula>
    </cfRule>
    <cfRule type="expression" priority="5" aboveAverage="0" equalAverage="0" bottom="0" percent="0" rank="0" text="" dxfId="8">
      <formula>AND($AE2&lt;0,$AG2="婴儿")</formula>
    </cfRule>
    <cfRule type="expression" priority="6" aboveAverage="0" equalAverage="0" bottom="0" percent="0" rank="0" text="" dxfId="7">
      <formula>AND($AE2&gt;=0.3,$AG2="成长")</formula>
    </cfRule>
    <cfRule type="expression" priority="7" aboveAverage="0" equalAverage="0" bottom="0" percent="0" rank="0" text="" dxfId="12">
      <formula>AND($AE2&gt;=0.15,$AE2&lt;0.3,$AG2="成长")</formula>
    </cfRule>
    <cfRule type="expression" priority="8" aboveAverage="0" equalAverage="0" bottom="0" percent="0" rank="0" text="" dxfId="13">
      <formula>AND($AE2&gt;=0,$AE2&lt;0.15,$AG2="成长")</formula>
    </cfRule>
    <cfRule type="expression" priority="9" aboveAverage="0" equalAverage="0" bottom="0" percent="0" rank="0" text="" dxfId="8">
      <formula>AND($AE2&lt;0,$AG2="成长")</formula>
    </cfRule>
    <cfRule type="expression" priority="10" aboveAverage="0" equalAverage="0" bottom="0" percent="0" rank="0" text="" dxfId="7">
      <formula>AND($AE2&gt;=0.1,$AG2="成熟")</formula>
    </cfRule>
    <cfRule type="expression" priority="11" aboveAverage="0" equalAverage="0" bottom="0" percent="0" rank="0" text="" dxfId="12">
      <formula>AND($AE2&gt;=0.05,$AE2&lt;0.1,$AG2="成熟")</formula>
    </cfRule>
    <cfRule type="expression" priority="12" aboveAverage="0" equalAverage="0" bottom="0" percent="0" rank="0" text="" dxfId="13">
      <formula>AND($AE2&gt;=0,$AE2&lt;0.05,$AG2="成熟")</formula>
    </cfRule>
    <cfRule type="expression" priority="13" aboveAverage="0" equalAverage="0" bottom="0" percent="0" rank="0" text="" dxfId="8">
      <formula>AND($AE2&lt;-0.1,$AG2="成熟")</formula>
    </cfRule>
  </conditionalFormatting>
  <dataValidations count="3">
    <dataValidation allowBlank="true" errorStyle="stop" operator="between" showDropDown="false" showErrorMessage="false" showInputMessage="false" sqref="J2:J201" type="list">
      <formula1>"强,中性,弱"</formula1>
      <formula2>0</formula2>
    </dataValidation>
    <dataValidation allowBlank="true" errorStyle="stop" operator="between" showDropDown="false" showErrorMessage="false" showInputMessage="false" sqref="K2:K201" type="list">
      <formula1>"A,B,C"</formula1>
      <formula2>0</formula2>
    </dataValidation>
    <dataValidation allowBlank="true" errorStyle="stop" operator="between" showDropDown="false" showErrorMessage="false" showInputMessage="false" sqref="AP2:AP201" type="list">
      <formula1>"是,否"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2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4" min="2" style="1" width="12"/>
    <col collapsed="false" customWidth="true" hidden="false" outlineLevel="0" max="5" min="5" style="1" width="14"/>
    <col collapsed="false" customWidth="true" hidden="false" outlineLevel="0" max="6" min="6" style="1" width="13"/>
    <col collapsed="false" customWidth="true" hidden="false" outlineLevel="0" max="7" min="7" style="1" width="12"/>
    <col collapsed="false" customWidth="true" hidden="false" outlineLevel="0" max="12" min="8" style="1" width="14"/>
    <col collapsed="false" customWidth="true" hidden="false" outlineLevel="0" max="13" min="13" style="1" width="12"/>
    <col collapsed="false" customWidth="true" hidden="false" outlineLevel="0" max="14" min="14" style="1" width="13"/>
    <col collapsed="false" customWidth="true" hidden="false" outlineLevel="0" max="15" min="15" style="1" width="12"/>
    <col collapsed="false" customWidth="true" hidden="false" outlineLevel="0" max="16" min="16" style="1" width="14"/>
    <col collapsed="false" customWidth="true" hidden="false" outlineLevel="0" max="17" min="17" style="1" width="12"/>
    <col collapsed="false" customWidth="true" hidden="false" outlineLevel="0" max="18" min="18" style="1" width="13"/>
    <col collapsed="false" customWidth="true" hidden="false" outlineLevel="0" max="24" min="19" style="1" width="12"/>
    <col collapsed="false" customWidth="true" hidden="false" outlineLevel="0" max="25" min="25" style="1" width="13"/>
    <col collapsed="false" customWidth="true" hidden="false" outlineLevel="0" max="28" min="26" style="1" width="12"/>
    <col collapsed="false" customWidth="true" hidden="false" outlineLevel="0" max="30" min="29" style="1" width="26"/>
  </cols>
  <sheetData>
    <row r="1" customFormat="false" ht="15" hidden="false" customHeight="true" outlineLevel="0" collapsed="false">
      <c r="A1" s="2" t="s">
        <v>230</v>
      </c>
      <c r="B1" s="2" t="s">
        <v>292</v>
      </c>
      <c r="C1" s="2" t="s">
        <v>293</v>
      </c>
      <c r="D1" s="2" t="s">
        <v>294</v>
      </c>
      <c r="E1" s="10" t="s">
        <v>295</v>
      </c>
      <c r="F1" s="2" t="s">
        <v>296</v>
      </c>
      <c r="G1" s="2" t="s">
        <v>297</v>
      </c>
      <c r="H1" s="2" t="s">
        <v>298</v>
      </c>
      <c r="I1" s="2" t="s">
        <v>299</v>
      </c>
      <c r="J1" s="2" t="s">
        <v>233</v>
      </c>
      <c r="K1" s="2" t="s">
        <v>300</v>
      </c>
      <c r="L1" s="2" t="s">
        <v>301</v>
      </c>
      <c r="M1" s="2" t="s">
        <v>302</v>
      </c>
      <c r="N1" s="2" t="s">
        <v>303</v>
      </c>
      <c r="O1" s="2" t="s">
        <v>304</v>
      </c>
      <c r="P1" s="2" t="s">
        <v>305</v>
      </c>
      <c r="Q1" s="2" t="s">
        <v>306</v>
      </c>
      <c r="R1" s="10" t="s">
        <v>307</v>
      </c>
      <c r="S1" s="10" t="s">
        <v>308</v>
      </c>
      <c r="T1" s="10" t="s">
        <v>309</v>
      </c>
      <c r="U1" s="10" t="s">
        <v>310</v>
      </c>
      <c r="V1" s="10" t="s">
        <v>311</v>
      </c>
      <c r="W1" s="10" t="s">
        <v>138</v>
      </c>
      <c r="X1" s="2" t="s">
        <v>312</v>
      </c>
      <c r="Y1" s="2" t="s">
        <v>313</v>
      </c>
      <c r="Z1" s="2" t="s">
        <v>314</v>
      </c>
      <c r="AA1" s="2" t="s">
        <v>315</v>
      </c>
      <c r="AB1" s="2" t="s">
        <v>316</v>
      </c>
      <c r="AC1" s="2" t="s">
        <v>317</v>
      </c>
      <c r="AD1" s="2" t="s">
        <v>6</v>
      </c>
    </row>
    <row r="2" customFormat="false" ht="15" hidden="false" customHeight="true" outlineLevel="0" collapsed="false">
      <c r="A2" s="28" t="n">
        <v>46224</v>
      </c>
      <c r="B2" s="11" t="s">
        <v>318</v>
      </c>
      <c r="C2" s="5" t="s">
        <v>319</v>
      </c>
      <c r="D2" s="11" t="s">
        <v>168</v>
      </c>
      <c r="E2" s="14" t="n">
        <v>5.24</v>
      </c>
      <c r="F2" s="28" t="n">
        <v>45971</v>
      </c>
      <c r="G2" s="17" t="n">
        <v>100</v>
      </c>
      <c r="H2" s="14" t="n">
        <v>8.711</v>
      </c>
      <c r="I2" s="14" t="n">
        <v>5.33</v>
      </c>
      <c r="J2" s="15" t="n">
        <f aca="false">IFERROR(G2*I2,0)</f>
        <v>533</v>
      </c>
      <c r="K2" s="15" t="n">
        <f aca="false">IFERROR(G2*H2,0)</f>
        <v>871.1</v>
      </c>
      <c r="L2" s="15" t="n">
        <f aca="false">IFERROR(J2-K2,0)</f>
        <v>-338.1</v>
      </c>
      <c r="M2" s="16" t="n">
        <f aca="false">IFERROR((I2-H2)/H2,0)</f>
        <v>-0.388129950637125</v>
      </c>
      <c r="N2" s="16" t="n">
        <f aca="false">IFERROR(J2/INDEX(账户总表!$B:$B,MATCH($A2,账户总表!$A:$A,0)),0)</f>
        <v>0.0262224172640917</v>
      </c>
      <c r="O2" s="14" t="n">
        <v>5.24</v>
      </c>
      <c r="P2" s="15" t="n">
        <f aca="false">IF($A2="","",IF($D2="是",IF(E2&gt;0,E2*0.92,MAX(O2*0.98,H2*0.92)),MAX(O2*0.98,H2*0.92)))</f>
        <v>4.8208</v>
      </c>
      <c r="Q2" s="4" t="str">
        <f aca="false">IF($A2="","",IF(AND(I2&gt;0,P2&gt;0,I2&lt;=P2),"是","否"))</f>
        <v>否</v>
      </c>
      <c r="R2" s="20"/>
      <c r="S2" s="5"/>
      <c r="T2" s="5"/>
      <c r="U2" s="5"/>
      <c r="V2" s="19" t="str">
        <f aca="false">IF($A2="","",IF(OR(AND(O2&gt;0,I2&lt;O2),AND(T2="False",S2&lt;0.8)),"是","否"))</f>
        <v>否</v>
      </c>
      <c r="W2" s="19" t="str">
        <f aca="false">IF($A2="","",IF(AND(I2&lt;H2,S2&lt;0.8),"是","否"))</f>
        <v>是</v>
      </c>
      <c r="X2" s="19" t="str">
        <f aca="false">IF($A2="","",IF(AND(R2&lt;60%,S2&gt;0.8,T2="True",U2="一卖"),"是","否"))</f>
        <v>否</v>
      </c>
      <c r="Y2" s="19" t="str">
        <f aca="false">IF($A2="","",IF(D2="是","否",IF(N2&gt;LOOKUP(2,1/(账户总表!$A:$A&lt;&gt;""),账户总表!$O:$O),"是","否")))</f>
        <v>否</v>
      </c>
      <c r="Z2" s="19" t="str">
        <f aca="false">IF($A2="","",IF(M2&gt;=0,"盈利","亏损"))</f>
        <v>亏损</v>
      </c>
      <c r="AA2" s="19" t="str">
        <f aca="false">IF($A2="","",IF(OR(Q2="是",M2&lt;=-8%,V2="是",X2="是"),"卖出",IF(Y2="是","减仓",IF(W2="是","观察","持有"))))</f>
        <v>卖出</v>
      </c>
      <c r="AB2" s="19" t="str">
        <f aca="false">IF($A2="","",IF(D2="是",IF(I2&lt;=E2*0.92,"立即卖出(WAIVED止损)","继续持有(WAIVED)"),IF(OR(M2&lt;=-10%,Q2="是"),"立即卖出",IF(OR(AA2="卖出",V2="是",X2="是"),"次日卖出",IF(AND(Y2="是",NOT(OR(Q2="是",M2&lt;=-8%,V2="是",X2="是"))),"减仓至上限",IF(W2="是","观察","继续持有"))))))</f>
        <v>继续持有(WAIVED)</v>
      </c>
      <c r="AC2" s="19" t="str">
        <f aca="false">IF($A2="","",IF(Q2="是","触发止损",IF(M2&lt;=-8%,"固定止损",IF(V2="是","信号失效",IF(X2="是","确认一卖",IF(Y2="是","单股超限",IF(W2="是","DL_P弱化","规则内持有")))))))</f>
        <v>固定止损</v>
      </c>
      <c r="AD2" s="5"/>
    </row>
    <row r="3" customFormat="false" ht="15" hidden="false" customHeight="true" outlineLevel="0" collapsed="false">
      <c r="A3" s="31" t="n">
        <v>46224</v>
      </c>
      <c r="B3" s="12" t="s">
        <v>320</v>
      </c>
      <c r="C3" s="7" t="s">
        <v>321</v>
      </c>
      <c r="D3" s="12" t="s">
        <v>275</v>
      </c>
      <c r="E3" s="24"/>
      <c r="F3" s="31" t="n">
        <v>46217</v>
      </c>
      <c r="G3" s="25" t="n">
        <v>100</v>
      </c>
      <c r="H3" s="24" t="n">
        <v>67.558</v>
      </c>
      <c r="I3" s="24" t="n">
        <v>75.49</v>
      </c>
      <c r="J3" s="15" t="n">
        <f aca="false">IFERROR(G3*I3,0)</f>
        <v>7549</v>
      </c>
      <c r="K3" s="15" t="n">
        <f aca="false">IFERROR(G3*H3,0)</f>
        <v>6755.8</v>
      </c>
      <c r="L3" s="15" t="n">
        <f aca="false">IFERROR(J3-K3,0)</f>
        <v>793.199999999998</v>
      </c>
      <c r="M3" s="16" t="n">
        <f aca="false">IFERROR((I3-H3)/H3,0)</f>
        <v>0.117410225287901</v>
      </c>
      <c r="N3" s="16" t="n">
        <f aca="false">IFERROR(J3/INDEX(账户总表!$B:$B,MATCH($A3,账户总表!$A:$A,0)),0)</f>
        <v>0.37139404864283</v>
      </c>
      <c r="O3" s="24" t="n">
        <v>70.4</v>
      </c>
      <c r="P3" s="15" t="n">
        <f aca="false">IF($A3="","",IF($D3="是",IF(E3&gt;0,E3*0.92,MAX(O3*0.98,H3*0.92)),MAX(O3*0.98,H3*0.92)))</f>
        <v>68.992</v>
      </c>
      <c r="Q3" s="4" t="str">
        <f aca="false">IF($A3="","",IF(AND(I3&gt;0,P3&gt;0,I3&lt;=P3),"是","否"))</f>
        <v>否</v>
      </c>
      <c r="R3" s="26"/>
      <c r="S3" s="7"/>
      <c r="T3" s="7"/>
      <c r="U3" s="7"/>
      <c r="V3" s="19" t="str">
        <f aca="false">IF($A3="","",IF(OR(AND(O3&gt;0,I3&lt;O3),AND(T3="False",S3&lt;0.8)),"是","否"))</f>
        <v>否</v>
      </c>
      <c r="W3" s="19" t="str">
        <f aca="false">IF($A3="","",IF(AND(I3&lt;H3,S3&lt;0.8),"是","否"))</f>
        <v>否</v>
      </c>
      <c r="X3" s="19" t="str">
        <f aca="false">IF($A3="","",IF(AND(R3&lt;60%,S3&gt;0.8,T3="True",U3="一卖"),"是","否"))</f>
        <v>否</v>
      </c>
      <c r="Y3" s="19" t="str">
        <f aca="false">IF($A3="","",IF(D3="是","否",IF(N3&gt;LOOKUP(2,1/(账户总表!$A:$A&lt;&gt;""),账户总表!$O:$O),"是","否")))</f>
        <v>是</v>
      </c>
      <c r="Z3" s="19" t="str">
        <f aca="false">IF($A3="","",IF(M3&gt;=0,"盈利","亏损"))</f>
        <v>盈利</v>
      </c>
      <c r="AA3" s="19" t="str">
        <f aca="false">IF($A3="","",IF(OR(Q3="是",M3&lt;=-8%,V3="是",X3="是"),"卖出",IF(Y3="是","减仓",IF(W3="是","观察","持有"))))</f>
        <v>减仓</v>
      </c>
      <c r="AB3" s="19" t="str">
        <f aca="false">IF($A3="","",IF(D3="是",IF(I3&lt;=E3*0.92,"立即卖出(WAIVED止损)","继续持有(WAIVED)"),IF(OR(M3&lt;=-10%,Q3="是"),"立即卖出",IF(OR(AA3="卖出",V3="是",X3="是"),"次日卖出",IF(AND(Y3="是",NOT(OR(Q3="是",M3&lt;=-8%,V3="是",X3="是"))),"减仓至上限",IF(W3="是","观察","继续持有"))))))</f>
        <v>减仓至上限</v>
      </c>
      <c r="AC3" s="19" t="str">
        <f aca="false">IF($A3="","",IF(Q3="是","触发止损",IF(M3&lt;=-8%,"固定止损",IF(V3="是","信号失效",IF(X3="是","确认一卖",IF(Y3="是","单股超限",IF(W3="是","DL_P弱化","规则内持有")))))))</f>
        <v>单股超限</v>
      </c>
      <c r="AD3" s="7"/>
    </row>
    <row r="4" customFormat="false" ht="15" hidden="false" customHeight="true" outlineLevel="0" collapsed="false">
      <c r="A4" s="28" t="n">
        <v>46224</v>
      </c>
      <c r="B4" s="11" t="s">
        <v>322</v>
      </c>
      <c r="C4" s="5" t="s">
        <v>323</v>
      </c>
      <c r="D4" s="11" t="s">
        <v>275</v>
      </c>
      <c r="E4" s="14"/>
      <c r="F4" s="28" t="n">
        <v>46221</v>
      </c>
      <c r="G4" s="17" t="n">
        <v>200</v>
      </c>
      <c r="H4" s="14" t="n">
        <v>11.107</v>
      </c>
      <c r="I4" s="14" t="n">
        <v>12.8</v>
      </c>
      <c r="J4" s="15" t="n">
        <f aca="false">IFERROR(G4*I4,0)</f>
        <v>2560</v>
      </c>
      <c r="K4" s="15" t="n">
        <f aca="false">IFERROR(G4*H4,0)</f>
        <v>2221.4</v>
      </c>
      <c r="L4" s="15" t="n">
        <f aca="false">IFERROR(J4-K4,0)</f>
        <v>338.6</v>
      </c>
      <c r="M4" s="16" t="n">
        <f aca="false">IFERROR((I4-H4)/H4,0)</f>
        <v>0.152426397767174</v>
      </c>
      <c r="N4" s="16" t="n">
        <f aca="false">IFERROR(J4/INDEX(账户总表!$B:$B,MATCH($A4,账户总表!$A:$A,0)),0)</f>
        <v>0.125946319317214</v>
      </c>
      <c r="O4" s="14" t="n">
        <v>11.63</v>
      </c>
      <c r="P4" s="15" t="n">
        <f aca="false">IF($A4="","",IF($D4="是",IF(E4&gt;0,E4*0.92,MAX(O4*0.98,H4*0.92)),MAX(O4*0.98,H4*0.92)))</f>
        <v>11.3974</v>
      </c>
      <c r="Q4" s="4" t="str">
        <f aca="false">IF($A4="","",IF(AND(I4&gt;0,P4&gt;0,I4&lt;=P4),"是","否"))</f>
        <v>否</v>
      </c>
      <c r="R4" s="20"/>
      <c r="S4" s="5"/>
      <c r="T4" s="5"/>
      <c r="U4" s="5"/>
      <c r="V4" s="19" t="str">
        <f aca="false">IF($A4="","",IF(OR(AND(O4&gt;0,I4&lt;O4),AND(T4="False",S4&lt;0.8)),"是","否"))</f>
        <v>否</v>
      </c>
      <c r="W4" s="19" t="str">
        <f aca="false">IF($A4="","",IF(AND(I4&lt;H4,S4&lt;0.8),"是","否"))</f>
        <v>否</v>
      </c>
      <c r="X4" s="19" t="str">
        <f aca="false">IF($A4="","",IF(AND(R4&lt;60%,S4&gt;0.8,T4="True",U4="一卖"),"是","否"))</f>
        <v>否</v>
      </c>
      <c r="Y4" s="19" t="str">
        <f aca="false">IF($A4="","",IF(D4="是","否",IF(N4&gt;LOOKUP(2,1/(账户总表!$A:$A&lt;&gt;""),账户总表!$O:$O),"是","否")))</f>
        <v>否</v>
      </c>
      <c r="Z4" s="19" t="str">
        <f aca="false">IF($A4="","",IF(M4&gt;=0,"盈利","亏损"))</f>
        <v>盈利</v>
      </c>
      <c r="AA4" s="19" t="str">
        <f aca="false">IF($A4="","",IF(OR(Q4="是",M4&lt;=-8%,V4="是",X4="是"),"卖出",IF(Y4="是","减仓",IF(W4="是","观察","持有"))))</f>
        <v>持有</v>
      </c>
      <c r="AB4" s="19" t="str">
        <f aca="false">IF($A4="","",IF(D4="是",IF(I4&lt;=E4*0.92,"立即卖出(WAIVED止损)","继续持有(WAIVED)"),IF(OR(M4&lt;=-10%,Q4="是"),"立即卖出",IF(OR(AA4="卖出",V4="是",X4="是"),"次日卖出",IF(AND(Y4="是",NOT(OR(Q4="是",M4&lt;=-8%,V4="是",X4="是"))),"减仓至上限",IF(W4="是","观察","继续持有"))))))</f>
        <v>继续持有</v>
      </c>
      <c r="AC4" s="19" t="str">
        <f aca="false">IF($A4="","",IF(Q4="是","触发止损",IF(M4&lt;=-8%,"固定止损",IF(V4="是","信号失效",IF(X4="是","确认一卖",IF(Y4="是","单股超限",IF(W4="是","DL_P弱化","规则内持有")))))))</f>
        <v>规则内持有</v>
      </c>
      <c r="AD4" s="5"/>
    </row>
    <row r="5" customFormat="false" ht="15" hidden="false" customHeight="true" outlineLevel="0" collapsed="false">
      <c r="A5" s="29" t="n">
        <v>46227</v>
      </c>
      <c r="B5" s="12" t="s">
        <v>324</v>
      </c>
      <c r="C5" s="7" t="s">
        <v>325</v>
      </c>
      <c r="D5" s="12" t="s">
        <v>275</v>
      </c>
      <c r="E5" s="24"/>
      <c r="F5" s="7" t="s">
        <v>326</v>
      </c>
      <c r="G5" s="25" t="n">
        <v>100</v>
      </c>
      <c r="H5" s="24" t="n">
        <v>8.021</v>
      </c>
      <c r="I5" s="24" t="n">
        <v>8.03</v>
      </c>
      <c r="J5" s="15" t="n">
        <f aca="false">IF(A5="","",G5*I5)</f>
        <v>803</v>
      </c>
      <c r="K5" s="15" t="n">
        <f aca="false">IF(A5="","",G5*H5)</f>
        <v>802.1</v>
      </c>
      <c r="L5" s="15" t="n">
        <f aca="false">IF(A5="","",J5-K5)</f>
        <v>0.89999999999975</v>
      </c>
      <c r="M5" s="16" t="n">
        <f aca="false">IFERROR((I5-H5)/H5,0)</f>
        <v>0.00112205460665735</v>
      </c>
      <c r="N5" s="16" t="n">
        <f aca="false">IFERROR(J5/INDEX(账户总表!$B:$B,MATCH($A5,账户总表!$A:$A,0)),0)</f>
        <v>0.0385273808290056</v>
      </c>
      <c r="O5" s="24"/>
      <c r="P5" s="15" t="n">
        <v>7.61995</v>
      </c>
      <c r="Q5" s="4" t="str">
        <f aca="false">IF($A5="","",IF(AND(I5&gt;0,P5&gt;0,I5&lt;=P5),"是","否"))</f>
        <v>否</v>
      </c>
      <c r="R5" s="26"/>
      <c r="S5" s="7"/>
      <c r="T5" s="7"/>
      <c r="U5" s="7"/>
      <c r="V5" s="19" t="str">
        <f aca="false">IF($A5="","",IF(OR(AND(O5&gt;0,I5&lt;O5),AND(T5="False",S5&lt;0.8)),"是","否"))</f>
        <v>否</v>
      </c>
      <c r="W5" s="19" t="str">
        <f aca="false">IF($A5="","",IF(AND(I5&lt;H5,S5&lt;0.8),"是","否"))</f>
        <v>否</v>
      </c>
      <c r="X5" s="19" t="str">
        <f aca="false">IF($A5="","",IF(AND(R5&lt;60%,S5&gt;0.8,T5="True",U5="一卖"),"是","否"))</f>
        <v>否</v>
      </c>
      <c r="Y5" s="19" t="str">
        <f aca="false">IF($A5="","",IF(D5="是","否",IF(N5&gt;LOOKUP(2,1/(账户总表!$A:$A&lt;&gt;""),账户总表!$O:$O),"是","否")))</f>
        <v>否</v>
      </c>
      <c r="Z5" s="19" t="str">
        <f aca="false">IF($A5="","",IF(M5&gt;=0,"盈利","亏损"))</f>
        <v>盈利</v>
      </c>
      <c r="AA5" s="19" t="str">
        <f aca="false">IF($A5="","",IF(OR(Q5="是",M5&lt;=-8%,V5="是",X5="是"),"卖出",IF(Y5="是","减仓",IF(W5="是","观察","持有"))))</f>
        <v>持有</v>
      </c>
      <c r="AB5" s="19" t="str">
        <f aca="false">IF($A5="","",IF(D5="是",IF(I5&lt;=E5*0.92,"立即卖出(WAIVED止损)","继续持有(WAIVED)"),IF(OR(M5&lt;=-10%,Q5="是"),"立即卖出",IF(OR(AA5="卖出",V5="是",X5="是"),"次日卖出",IF(AND(Y5="是",NOT(OR(Q5="是",M5&lt;=-8%,V5="是",X5="是"))),"减仓至上限",IF(W5="是","观察","继续持有"))))))</f>
        <v>继续持有</v>
      </c>
      <c r="AC5" s="19" t="str">
        <f aca="false">IF($A5="","",IF(Q5="是","触发止损",IF(M5&lt;=-8%,"固定止损",IF(V5="是","信号失效",IF(X5="是","确认一卖",IF(Y5="是","单股超限",IF(W5="是","DL_P弱化","规则内持有")))))))</f>
        <v>规则内持有</v>
      </c>
      <c r="AD5" s="7"/>
    </row>
    <row r="6" customFormat="false" ht="15" hidden="false" customHeight="true" outlineLevel="0" collapsed="false">
      <c r="A6" s="30" t="n">
        <v>46227</v>
      </c>
      <c r="B6" s="11" t="s">
        <v>327</v>
      </c>
      <c r="C6" s="5" t="s">
        <v>328</v>
      </c>
      <c r="D6" s="11" t="s">
        <v>275</v>
      </c>
      <c r="E6" s="14"/>
      <c r="F6" s="5" t="s">
        <v>326</v>
      </c>
      <c r="G6" s="17" t="n">
        <v>300</v>
      </c>
      <c r="H6" s="14" t="n">
        <v>4.804</v>
      </c>
      <c r="I6" s="14" t="n">
        <v>4.73</v>
      </c>
      <c r="J6" s="15" t="n">
        <f aca="false">IF(A6="","",G6*I6)</f>
        <v>1419</v>
      </c>
      <c r="K6" s="15" t="n">
        <f aca="false">IF(A6="","",G6*H6)</f>
        <v>1441.2</v>
      </c>
      <c r="L6" s="15" t="n">
        <f aca="false">IF(A6="","",J6-K6)</f>
        <v>-22.1999999999998</v>
      </c>
      <c r="M6" s="16" t="n">
        <f aca="false">IFERROR((I6-H6)/H6,0)</f>
        <v>-0.0154038301415487</v>
      </c>
      <c r="N6" s="16" t="n">
        <f aca="false">IFERROR(J6/INDEX(账户总表!$B:$B,MATCH($A6,账户总表!$A:$A,0)),0)</f>
        <v>0.068082631875914</v>
      </c>
      <c r="O6" s="14"/>
      <c r="P6" s="15" t="n">
        <v>4.5638</v>
      </c>
      <c r="Q6" s="4" t="str">
        <f aca="false">IF($A6="","",IF(AND(I6&gt;0,P6&gt;0,I6&lt;=P6),"是","否"))</f>
        <v>否</v>
      </c>
      <c r="R6" s="20"/>
      <c r="S6" s="5"/>
      <c r="T6" s="5"/>
      <c r="U6" s="5"/>
      <c r="V6" s="19" t="str">
        <f aca="false">IF($A6="","",IF(OR(AND(O6&gt;0,I6&lt;O6),AND(T6="False",S6&lt;0.8)),"是","否"))</f>
        <v>否</v>
      </c>
      <c r="W6" s="19" t="str">
        <f aca="false">IF($A6="","",IF(AND(I6&lt;H6,S6&lt;0.8),"是","否"))</f>
        <v>是</v>
      </c>
      <c r="X6" s="19" t="str">
        <f aca="false">IF($A6="","",IF(AND(R6&lt;60%,S6&gt;0.8,T6="True",U6="一卖"),"是","否"))</f>
        <v>否</v>
      </c>
      <c r="Y6" s="19" t="str">
        <f aca="false">IF($A6="","",IF(D6="是","否",IF(N6&gt;LOOKUP(2,1/(账户总表!$A:$A&lt;&gt;""),账户总表!$O:$O),"是","否")))</f>
        <v>否</v>
      </c>
      <c r="Z6" s="19" t="str">
        <f aca="false">IF($A6="","",IF(M6&gt;=0,"盈利","亏损"))</f>
        <v>亏损</v>
      </c>
      <c r="AA6" s="19" t="str">
        <f aca="false">IF($A6="","",IF(OR(Q6="是",M6&lt;=-8%,V6="是",X6="是"),"卖出",IF(Y6="是","减仓",IF(W6="是","观察","持有"))))</f>
        <v>观察</v>
      </c>
      <c r="AB6" s="19" t="str">
        <f aca="false">IF($A6="","",IF(D6="是",IF(I6&lt;=E6*0.92,"立即卖出(WAIVED止损)","继续持有(WAIVED)"),IF(OR(M6&lt;=-10%,Q6="是"),"立即卖出",IF(OR(AA6="卖出",V6="是",X6="是"),"次日卖出",IF(AND(Y6="是",NOT(OR(Q6="是",M6&lt;=-8%,V6="是",X6="是"))),"减仓至上限",IF(W6="是","观察","继续持有"))))))</f>
        <v>观察</v>
      </c>
      <c r="AC6" s="19" t="str">
        <f aca="false">IF($A6="","",IF(Q6="是","触发止损",IF(M6&lt;=-8%,"固定止损",IF(V6="是","信号失效",IF(X6="是","确认一卖",IF(Y6="是","单股超限",IF(W6="是","DL_P弱化","规则内持有")))))))</f>
        <v>DL_P弱化</v>
      </c>
      <c r="AD6" s="5"/>
    </row>
    <row r="7" customFormat="false" ht="15" hidden="false" customHeight="true" outlineLevel="0" collapsed="false">
      <c r="A7" s="29" t="n">
        <v>46227</v>
      </c>
      <c r="B7" s="12" t="s">
        <v>329</v>
      </c>
      <c r="C7" s="7" t="s">
        <v>330</v>
      </c>
      <c r="D7" s="12" t="s">
        <v>275</v>
      </c>
      <c r="E7" s="24"/>
      <c r="F7" s="7" t="s">
        <v>326</v>
      </c>
      <c r="G7" s="25" t="n">
        <v>100</v>
      </c>
      <c r="H7" s="24" t="n">
        <v>9.271</v>
      </c>
      <c r="I7" s="24" t="n">
        <v>8.96</v>
      </c>
      <c r="J7" s="15" t="n">
        <f aca="false">IF(A7="","",G7*I7)</f>
        <v>896</v>
      </c>
      <c r="K7" s="15" t="n">
        <f aca="false">IF(A7="","",G7*H7)</f>
        <v>927.1</v>
      </c>
      <c r="L7" s="15" t="n">
        <f aca="false">IF(A7="","",J7-K7)</f>
        <v>-31.1</v>
      </c>
      <c r="M7" s="16" t="n">
        <f aca="false">IFERROR((I7-H7)/H7,0)</f>
        <v>-0.0335454643512027</v>
      </c>
      <c r="N7" s="16" t="n">
        <f aca="false">IFERROR(J7/INDEX(账户总表!$B:$B,MATCH($A7,账户总表!$A:$A,0)),0)</f>
        <v>0.0429894560682304</v>
      </c>
      <c r="O7" s="24"/>
      <c r="P7" s="15" t="n">
        <v>8.80745</v>
      </c>
      <c r="Q7" s="4" t="str">
        <f aca="false">IF($A7="","",IF(AND(I7&gt;0,P7&gt;0,I7&lt;=P7),"是","否"))</f>
        <v>否</v>
      </c>
      <c r="R7" s="26"/>
      <c r="S7" s="7"/>
      <c r="T7" s="7"/>
      <c r="U7" s="7"/>
      <c r="V7" s="19" t="str">
        <f aca="false">IF($A7="","",IF(OR(AND(O7&gt;0,I7&lt;O7),AND(T7="False",S7&lt;0.8)),"是","否"))</f>
        <v>否</v>
      </c>
      <c r="W7" s="19" t="str">
        <f aca="false">IF($A7="","",IF(AND(I7&lt;H7,S7&lt;0.8),"是","否"))</f>
        <v>是</v>
      </c>
      <c r="X7" s="19" t="str">
        <f aca="false">IF($A7="","",IF(AND(R7&lt;60%,S7&gt;0.8,T7="True",U7="一卖"),"是","否"))</f>
        <v>否</v>
      </c>
      <c r="Y7" s="19" t="str">
        <f aca="false">IF($A7="","",IF(D7="是","否",IF(N7&gt;LOOKUP(2,1/(账户总表!$A:$A&lt;&gt;""),账户总表!$O:$O),"是","否")))</f>
        <v>否</v>
      </c>
      <c r="Z7" s="19" t="str">
        <f aca="false">IF($A7="","",IF(M7&gt;=0,"盈利","亏损"))</f>
        <v>亏损</v>
      </c>
      <c r="AA7" s="19" t="str">
        <f aca="false">IF($A7="","",IF(OR(Q7="是",M7&lt;=-8%,V7="是",X7="是"),"卖出",IF(Y7="是","减仓",IF(W7="是","观察","持有"))))</f>
        <v>观察</v>
      </c>
      <c r="AB7" s="19" t="str">
        <f aca="false">IF($A7="","",IF(D7="是",IF(I7&lt;=E7*0.92,"立即卖出(WAIVED止损)","继续持有(WAIVED)"),IF(OR(M7&lt;=-10%,Q7="是"),"立即卖出",IF(OR(AA7="卖出",V7="是",X7="是"),"次日卖出",IF(AND(Y7="是",NOT(OR(Q7="是",M7&lt;=-8%,V7="是",X7="是"))),"减仓至上限",IF(W7="是","观察","继续持有"))))))</f>
        <v>观察</v>
      </c>
      <c r="AC7" s="19" t="str">
        <f aca="false">IF($A7="","",IF(Q7="是","触发止损",IF(M7&lt;=-8%,"固定止损",IF(V7="是","信号失效",IF(X7="是","确认一卖",IF(Y7="是","单股超限",IF(W7="是","DL_P弱化","规则内持有")))))))</f>
        <v>DL_P弱化</v>
      </c>
      <c r="AD7" s="7"/>
    </row>
    <row r="8" customFormat="false" ht="15" hidden="false" customHeight="true" outlineLevel="0" collapsed="false">
      <c r="A8" s="30" t="n">
        <v>46227</v>
      </c>
      <c r="B8" s="11" t="s">
        <v>331</v>
      </c>
      <c r="C8" s="5" t="s">
        <v>332</v>
      </c>
      <c r="D8" s="11" t="s">
        <v>275</v>
      </c>
      <c r="E8" s="14"/>
      <c r="F8" s="5" t="s">
        <v>326</v>
      </c>
      <c r="G8" s="17" t="n">
        <v>200</v>
      </c>
      <c r="H8" s="14" t="n">
        <v>3.966</v>
      </c>
      <c r="I8" s="14" t="n">
        <v>4.02</v>
      </c>
      <c r="J8" s="15" t="n">
        <f aca="false">IF(A8="","",G8*I8)</f>
        <v>804</v>
      </c>
      <c r="K8" s="15" t="n">
        <f aca="false">IF(A8="","",G8*H8)</f>
        <v>793.2</v>
      </c>
      <c r="L8" s="15" t="n">
        <f aca="false">IF(A8="","",J8-K8)</f>
        <v>10.7999999999998</v>
      </c>
      <c r="M8" s="16" t="n">
        <f aca="false">IFERROR((I8-H8)/H8,0)</f>
        <v>0.0136157337367623</v>
      </c>
      <c r="N8" s="16" t="n">
        <f aca="false">IFERROR(J8/INDEX(账户总表!$B:$B,MATCH($A8,账户总表!$A:$A,0)),0)</f>
        <v>0.0385753601326532</v>
      </c>
      <c r="O8" s="14"/>
      <c r="P8" s="15" t="n">
        <v>3.7677</v>
      </c>
      <c r="Q8" s="4" t="str">
        <f aca="false">IF($A8="","",IF(AND(I8&gt;0,P8&gt;0,I8&lt;=P8),"是","否"))</f>
        <v>否</v>
      </c>
      <c r="R8" s="20"/>
      <c r="S8" s="5"/>
      <c r="T8" s="5"/>
      <c r="U8" s="5"/>
      <c r="V8" s="19" t="str">
        <f aca="false">IF($A8="","",IF(OR(AND(O8&gt;0,I8&lt;O8),AND(T8="False",S8&lt;0.8)),"是","否"))</f>
        <v>否</v>
      </c>
      <c r="W8" s="19" t="str">
        <f aca="false">IF($A8="","",IF(AND(I8&lt;H8,S8&lt;0.8),"是","否"))</f>
        <v>否</v>
      </c>
      <c r="X8" s="19" t="str">
        <f aca="false">IF($A8="","",IF(AND(R8&lt;60%,S8&gt;0.8,T8="True",U8="一卖"),"是","否"))</f>
        <v>否</v>
      </c>
      <c r="Y8" s="19" t="str">
        <f aca="false">IF($A8="","",IF(D8="是","否",IF(N8&gt;LOOKUP(2,1/(账户总表!$A:$A&lt;&gt;""),账户总表!$O:$O),"是","否")))</f>
        <v>否</v>
      </c>
      <c r="Z8" s="19" t="str">
        <f aca="false">IF($A8="","",IF(M8&gt;=0,"盈利","亏损"))</f>
        <v>盈利</v>
      </c>
      <c r="AA8" s="19" t="str">
        <f aca="false">IF($A8="","",IF(OR(Q8="是",M8&lt;=-8%,V8="是",X8="是"),"卖出",IF(Y8="是","减仓",IF(W8="是","观察","持有"))))</f>
        <v>持有</v>
      </c>
      <c r="AB8" s="19" t="str">
        <f aca="false">IF($A8="","",IF(D8="是",IF(I8&lt;=E8*0.92,"立即卖出(WAIVED止损)","继续持有(WAIVED)"),IF(OR(M8&lt;=-10%,Q8="是"),"立即卖出",IF(OR(AA8="卖出",V8="是",X8="是"),"次日卖出",IF(AND(Y8="是",NOT(OR(Q8="是",M8&lt;=-8%,V8="是",X8="是"))),"减仓至上限",IF(W8="是","观察","继续持有"))))))</f>
        <v>继续持有</v>
      </c>
      <c r="AC8" s="19" t="str">
        <f aca="false">IF($A8="","",IF(Q8="是","触发止损",IF(M8&lt;=-8%,"固定止损",IF(V8="是","信号失效",IF(X8="是","确认一卖",IF(Y8="是","单股超限",IF(W8="是","DL_P弱化","规则内持有")))))))</f>
        <v>规则内持有</v>
      </c>
      <c r="AD8" s="5"/>
    </row>
    <row r="9" customFormat="false" ht="15" hidden="false" customHeight="true" outlineLevel="0" collapsed="false">
      <c r="A9" s="29" t="n">
        <v>46227</v>
      </c>
      <c r="B9" s="12" t="s">
        <v>333</v>
      </c>
      <c r="C9" s="7" t="s">
        <v>334</v>
      </c>
      <c r="D9" s="12" t="s">
        <v>275</v>
      </c>
      <c r="E9" s="24"/>
      <c r="F9" s="7" t="s">
        <v>326</v>
      </c>
      <c r="G9" s="25" t="n">
        <v>500</v>
      </c>
      <c r="H9" s="24" t="n">
        <v>3.142</v>
      </c>
      <c r="I9" s="24" t="n">
        <v>3.09</v>
      </c>
      <c r="J9" s="15" t="n">
        <f aca="false">IF(A9="","",G9*I9)</f>
        <v>1545</v>
      </c>
      <c r="K9" s="15" t="n">
        <f aca="false">IF(A9="","",G9*H9)</f>
        <v>1571</v>
      </c>
      <c r="L9" s="15" t="n">
        <f aca="false">IF(A9="","",J9-K9)</f>
        <v>-26</v>
      </c>
      <c r="M9" s="16" t="n">
        <f aca="false">IFERROR((I9-H9)/H9,0)</f>
        <v>-0.0165499681731381</v>
      </c>
      <c r="N9" s="16" t="n">
        <f aca="false">IFERROR(J9/INDEX(账户总表!$B:$B,MATCH($A9,账户总表!$A:$A,0)),0)</f>
        <v>0.0741280241355089</v>
      </c>
      <c r="O9" s="24"/>
      <c r="P9" s="15" t="n">
        <v>2.9849</v>
      </c>
      <c r="Q9" s="4" t="str">
        <f aca="false">IF($A9="","",IF(AND(I9&gt;0,P9&gt;0,I9&lt;=P9),"是","否"))</f>
        <v>否</v>
      </c>
      <c r="R9" s="26"/>
      <c r="S9" s="7"/>
      <c r="T9" s="7"/>
      <c r="U9" s="7"/>
      <c r="V9" s="19" t="str">
        <f aca="false">IF($A9="","",IF(OR(AND(O9&gt;0,I9&lt;O9),AND(T9="False",S9&lt;0.8)),"是","否"))</f>
        <v>否</v>
      </c>
      <c r="W9" s="19" t="str">
        <f aca="false">IF($A9="","",IF(AND(I9&lt;H9,S9&lt;0.8),"是","否"))</f>
        <v>是</v>
      </c>
      <c r="X9" s="19" t="str">
        <f aca="false">IF($A9="","",IF(AND(R9&lt;60%,S9&gt;0.8,T9="True",U9="一卖"),"是","否"))</f>
        <v>否</v>
      </c>
      <c r="Y9" s="19" t="str">
        <f aca="false">IF($A9="","",IF(D9="是","否",IF(N9&gt;LOOKUP(2,1/(账户总表!$A:$A&lt;&gt;""),账户总表!$O:$O),"是","否")))</f>
        <v>否</v>
      </c>
      <c r="Z9" s="19" t="str">
        <f aca="false">IF($A9="","",IF(M9&gt;=0,"盈利","亏损"))</f>
        <v>亏损</v>
      </c>
      <c r="AA9" s="19" t="str">
        <f aca="false">IF($A9="","",IF(OR(Q9="是",M9&lt;=-8%,V9="是",X9="是"),"卖出",IF(Y9="是","减仓",IF(W9="是","观察","持有"))))</f>
        <v>观察</v>
      </c>
      <c r="AB9" s="19" t="str">
        <f aca="false">IF($A9="","",IF(D9="是",IF(I9&lt;=E9*0.92,"立即卖出(WAIVED止损)","继续持有(WAIVED)"),IF(OR(M9&lt;=-10%,Q9="是"),"立即卖出",IF(OR(AA9="卖出",V9="是",X9="是"),"次日卖出",IF(AND(Y9="是",NOT(OR(Q9="是",M9&lt;=-8%,V9="是",X9="是"))),"减仓至上限",IF(W9="是","观察","继续持有"))))))</f>
        <v>观察</v>
      </c>
      <c r="AC9" s="19" t="str">
        <f aca="false">IF($A9="","",IF(Q9="是","触发止损",IF(M9&lt;=-8%,"固定止损",IF(V9="是","信号失效",IF(X9="是","确认一卖",IF(Y9="是","单股超限",IF(W9="是","DL_P弱化","规则内持有")))))))</f>
        <v>DL_P弱化</v>
      </c>
      <c r="AD9" s="7"/>
    </row>
    <row r="10" customFormat="false" ht="15" hidden="false" customHeight="true" outlineLevel="0" collapsed="false">
      <c r="A10" s="30" t="n">
        <v>46227</v>
      </c>
      <c r="B10" s="11" t="s">
        <v>318</v>
      </c>
      <c r="C10" s="5" t="s">
        <v>319</v>
      </c>
      <c r="D10" s="11" t="s">
        <v>168</v>
      </c>
      <c r="E10" s="14"/>
      <c r="F10" s="5" t="s">
        <v>326</v>
      </c>
      <c r="G10" s="17" t="n">
        <v>100</v>
      </c>
      <c r="H10" s="14" t="n">
        <v>8.711</v>
      </c>
      <c r="I10" s="14" t="n">
        <v>5.33</v>
      </c>
      <c r="J10" s="15" t="n">
        <f aca="false">IF(A10="","",G10*I10)</f>
        <v>533</v>
      </c>
      <c r="K10" s="15" t="n">
        <f aca="false">IF(A10="","",G10*H10)</f>
        <v>871.1</v>
      </c>
      <c r="L10" s="15" t="n">
        <f aca="false">IF(A10="","",J10-K10)</f>
        <v>-338.1</v>
      </c>
      <c r="M10" s="16" t="n">
        <f aca="false">IFERROR((I10-H10)/H10,0)</f>
        <v>-0.388129950637125</v>
      </c>
      <c r="N10" s="16" t="n">
        <f aca="false">IFERROR(J10/INDEX(账户总表!$B:$B,MATCH($A10,账户总表!$A:$A,0)),0)</f>
        <v>0.0255729688441594</v>
      </c>
      <c r="O10" s="14"/>
      <c r="P10" s="15" t="n">
        <v>5.2234</v>
      </c>
      <c r="Q10" s="4" t="str">
        <f aca="false">IF($A10="","",IF(AND(I10&gt;0,P10&gt;0,I10&lt;=P10),"是","否"))</f>
        <v>否</v>
      </c>
      <c r="R10" s="20"/>
      <c r="S10" s="5"/>
      <c r="T10" s="5"/>
      <c r="U10" s="5"/>
      <c r="V10" s="19" t="str">
        <f aca="false">IF($A10="","",IF(OR(AND(O10&gt;0,I10&lt;O10),AND(T10="False",S10&lt;0.8)),"是","否"))</f>
        <v>否</v>
      </c>
      <c r="W10" s="19" t="str">
        <f aca="false">IF($A10="","",IF(AND(I10&lt;H10,S10&lt;0.8),"是","否"))</f>
        <v>是</v>
      </c>
      <c r="X10" s="19" t="str">
        <f aca="false">IF($A10="","",IF(AND(R10&lt;60%,S10&gt;0.8,T10="True",U10="一卖"),"是","否"))</f>
        <v>否</v>
      </c>
      <c r="Y10" s="19" t="str">
        <f aca="false">IF($A10="","",IF(D10="是","否",IF(N10&gt;LOOKUP(2,1/(账户总表!$A:$A&lt;&gt;""),账户总表!$O:$O),"是","否")))</f>
        <v>否</v>
      </c>
      <c r="Z10" s="19" t="str">
        <f aca="false">IF($A10="","",IF(M10&gt;=0,"盈利","亏损"))</f>
        <v>亏损</v>
      </c>
      <c r="AA10" s="19" t="str">
        <f aca="false">IF($A10="","",IF(OR(Q10="是",M10&lt;=-8%,V10="是",X10="是"),"卖出",IF(Y10="是","减仓",IF(W10="是","观察","持有"))))</f>
        <v>卖出</v>
      </c>
      <c r="AB10" s="19" t="str">
        <f aca="false">IF($A10="","",IF(D10="是",IF(I10&lt;=E10*0.92,"立即卖出(WAIVED止损)","继续持有(WAIVED)"),IF(OR(M10&lt;=-10%,Q10="是"),"立即卖出",IF(OR(AA10="卖出",V10="是",X10="是"),"次日卖出",IF(AND(Y10="是",NOT(OR(Q10="是",M10&lt;=-8%,V10="是",X10="是"))),"减仓至上限",IF(W10="是","观察","继续持有"))))))</f>
        <v>继续持有(WAIVED)</v>
      </c>
      <c r="AC10" s="19" t="str">
        <f aca="false">IF($A10="","",IF(Q10="是","触发止损",IF(M10&lt;=-8%,"固定止损",IF(V10="是","信号失效",IF(X10="是","确认一卖",IF(Y10="是","单股超限",IF(W10="是","DL_P弱化","规则内持有")))))))</f>
        <v>固定止损</v>
      </c>
      <c r="AD10" s="5"/>
    </row>
    <row r="11" customFormat="false" ht="15" hidden="false" customHeight="true" outlineLevel="0" collapsed="false">
      <c r="A11" s="29" t="n">
        <v>46227</v>
      </c>
      <c r="B11" s="12" t="s">
        <v>320</v>
      </c>
      <c r="C11" s="7" t="s">
        <v>321</v>
      </c>
      <c r="D11" s="12" t="s">
        <v>275</v>
      </c>
      <c r="E11" s="24"/>
      <c r="F11" s="7" t="s">
        <v>326</v>
      </c>
      <c r="G11" s="25" t="n">
        <v>0</v>
      </c>
      <c r="H11" s="24" t="n">
        <v>67.607</v>
      </c>
      <c r="I11" s="24" t="n">
        <v>73.75</v>
      </c>
      <c r="J11" s="15" t="n">
        <f aca="false">IF(A11="","",G11*I11)</f>
        <v>0</v>
      </c>
      <c r="K11" s="15" t="n">
        <f aca="false">IF(A11="","",G11*H11)</f>
        <v>0</v>
      </c>
      <c r="L11" s="15" t="n">
        <f aca="false">IF(A11="","",J11-K11)</f>
        <v>0</v>
      </c>
      <c r="M11" s="16" t="n">
        <f aca="false">IFERROR((I11-H11)/H11,0)</f>
        <v>0.0908633721360214</v>
      </c>
      <c r="N11" s="16" t="n">
        <f aca="false">IFERROR(J11/INDEX(账户总表!$B:$B,MATCH($A11,账户总表!$A:$A,0)),0)</f>
        <v>0</v>
      </c>
      <c r="O11" s="24"/>
      <c r="P11" s="15" t="n">
        <f aca="false">IF($A11="","",IF($D11="是",IF(E11&gt;0,E11*0.92,MAX(O11*0.98,H11*0.92)),MAX(O11*0.98,H11*0.92)))</f>
        <v>62.19844</v>
      </c>
      <c r="Q11" s="4" t="str">
        <f aca="false">IF($A11="","",IF(AND(I11&gt;0,P11&gt;0,I11&lt;=P11),"是","否"))</f>
        <v>否</v>
      </c>
      <c r="R11" s="26"/>
      <c r="S11" s="7"/>
      <c r="T11" s="7"/>
      <c r="U11" s="7"/>
      <c r="V11" s="19" t="str">
        <f aca="false">IF($A11="","",IF(OR(AND(O11&gt;0,I11&lt;O11),AND(T11="False",S11&lt;0.8)),"是","否"))</f>
        <v>否</v>
      </c>
      <c r="W11" s="19" t="str">
        <f aca="false">IF($A11="","",IF(AND(I11&lt;H11,S11&lt;0.8),"是","否"))</f>
        <v>否</v>
      </c>
      <c r="X11" s="19" t="str">
        <f aca="false">IF($A11="","",IF(AND(R11&lt;60%,S11&gt;0.8,T11="True",U11="一卖"),"是","否"))</f>
        <v>否</v>
      </c>
      <c r="Y11" s="19" t="str">
        <f aca="false">IF($A11="","",IF(D11="是","否",IF(N11&gt;LOOKUP(2,1/(账户总表!$A:$A&lt;&gt;""),账户总表!$O:$O),"是","否")))</f>
        <v>否</v>
      </c>
      <c r="Z11" s="19" t="str">
        <f aca="false">IF($A11="","",IF(M11&gt;=0,"盈利","亏损"))</f>
        <v>盈利</v>
      </c>
      <c r="AA11" s="19" t="str">
        <f aca="false">IF($A11="","",IF(OR(Q11="是",M11&lt;=-8%,V11="是",X11="是"),"卖出",IF(Y11="是","减仓",IF(W11="是","观察","持有"))))</f>
        <v>持有</v>
      </c>
      <c r="AB11" s="19" t="str">
        <f aca="false">IF($A11="","",IF(D11="是",IF(I11&lt;=E11*0.92,"立即卖出(WAIVED止损)","继续持有(WAIVED)"),IF(OR(M11&lt;=-10%,Q11="是"),"立即卖出",IF(OR(AA11="卖出",V11="是",X11="是"),"次日卖出",IF(AND(Y11="是",NOT(OR(Q11="是",M11&lt;=-8%,V11="是",X11="是"))),"减仓至上限",IF(W11="是","观察","继续持有"))))))</f>
        <v>继续持有</v>
      </c>
      <c r="AC11" s="19" t="str">
        <f aca="false">IF($A11="","",IF(Q11="是","触发止损",IF(M11&lt;=-8%,"固定止损",IF(V11="是","信号失效",IF(X11="是","确认一卖",IF(Y11="是","单股超限",IF(W11="是","DL_P弱化","规则内持有")))))))</f>
        <v>规则内持有</v>
      </c>
      <c r="AD11" s="7"/>
    </row>
    <row r="12" customFormat="false" ht="15" hidden="false" customHeight="true" outlineLevel="0" collapsed="false">
      <c r="A12" s="30" t="n">
        <v>46227</v>
      </c>
      <c r="B12" s="11" t="s">
        <v>322</v>
      </c>
      <c r="C12" s="5" t="s">
        <v>323</v>
      </c>
      <c r="D12" s="11" t="s">
        <v>275</v>
      </c>
      <c r="E12" s="14"/>
      <c r="F12" s="5" t="s">
        <v>326</v>
      </c>
      <c r="G12" s="17" t="n">
        <v>200</v>
      </c>
      <c r="H12" s="14" t="n">
        <v>11.107</v>
      </c>
      <c r="I12" s="14" t="n">
        <v>12.42</v>
      </c>
      <c r="J12" s="15" t="n">
        <f aca="false">IF(A12="","",G12*I12)</f>
        <v>2484</v>
      </c>
      <c r="K12" s="15" t="n">
        <f aca="false">IF(A12="","",G12*H12)</f>
        <v>2221.4</v>
      </c>
      <c r="L12" s="15" t="n">
        <f aca="false">IF(A12="","",J12-K12)</f>
        <v>262.6</v>
      </c>
      <c r="M12" s="16" t="n">
        <f aca="false">IFERROR((I12-H12)/H12,0)</f>
        <v>0.118213739083461</v>
      </c>
      <c r="N12" s="16" t="n">
        <f aca="false">IFERROR(J12/INDEX(账户总表!$B:$B,MATCH($A12,账户总表!$A:$A,0)),0)</f>
        <v>0.119180590260585</v>
      </c>
      <c r="O12" s="14"/>
      <c r="P12" s="15" t="n">
        <v>10.55165</v>
      </c>
      <c r="Q12" s="4" t="str">
        <f aca="false">IF($A12="","",IF(AND(I12&gt;0,P12&gt;0,I12&lt;=P12),"是","否"))</f>
        <v>否</v>
      </c>
      <c r="R12" s="20"/>
      <c r="S12" s="5"/>
      <c r="T12" s="5"/>
      <c r="U12" s="5"/>
      <c r="V12" s="19" t="str">
        <f aca="false">IF($A12="","",IF(OR(AND(O12&gt;0,I12&lt;O12),AND(T12="False",S12&lt;0.8)),"是","否"))</f>
        <v>否</v>
      </c>
      <c r="W12" s="19" t="str">
        <f aca="false">IF($A12="","",IF(AND(I12&lt;H12,S12&lt;0.8),"是","否"))</f>
        <v>否</v>
      </c>
      <c r="X12" s="19" t="str">
        <f aca="false">IF($A12="","",IF(AND(R12&lt;60%,S12&gt;0.8,T12="True",U12="一卖"),"是","否"))</f>
        <v>否</v>
      </c>
      <c r="Y12" s="19" t="str">
        <f aca="false">IF($A12="","",IF(D12="是","否",IF(N12&gt;LOOKUP(2,1/(账户总表!$A:$A&lt;&gt;""),账户总表!$O:$O),"是","否")))</f>
        <v>否</v>
      </c>
      <c r="Z12" s="19" t="str">
        <f aca="false">IF($A12="","",IF(M12&gt;=0,"盈利","亏损"))</f>
        <v>盈利</v>
      </c>
      <c r="AA12" s="19" t="str">
        <f aca="false">IF($A12="","",IF(OR(Q12="是",M12&lt;=-8%,V12="是",X12="是"),"卖出",IF(Y12="是","减仓",IF(W12="是","观察","持有"))))</f>
        <v>持有</v>
      </c>
      <c r="AB12" s="19" t="str">
        <f aca="false">IF($A12="","",IF(D12="是",IF(I12&lt;=E12*0.92,"立即卖出(WAIVED止损)","继续持有(WAIVED)"),IF(OR(M12&lt;=-10%,Q12="是"),"立即卖出",IF(OR(AA12="卖出",V12="是",X12="是"),"次日卖出",IF(AND(Y12="是",NOT(OR(Q12="是",M12&lt;=-8%,V12="是",X12="是"))),"减仓至上限",IF(W12="是","观察","继续持有"))))))</f>
        <v>继续持有</v>
      </c>
      <c r="AC12" s="19" t="str">
        <f aca="false">IF($A12="","",IF(Q12="是","触发止损",IF(M12&lt;=-8%,"固定止损",IF(V12="是","信号失效",IF(X12="是","确认一卖",IF(Y12="是","单股超限",IF(W12="是","DL_P弱化","规则内持有")))))))</f>
        <v>规则内持有</v>
      </c>
      <c r="AD12" s="5"/>
    </row>
    <row r="13" customFormat="false" ht="15" hidden="false" customHeight="true" outlineLevel="0" collapsed="false">
      <c r="A13" s="7"/>
      <c r="B13" s="7"/>
      <c r="C13" s="7"/>
      <c r="D13" s="12"/>
      <c r="E13" s="24"/>
      <c r="F13" s="7"/>
      <c r="G13" s="25"/>
      <c r="H13" s="24"/>
      <c r="I13" s="24"/>
      <c r="J13" s="15" t="n">
        <f aca="false">IFERROR(G13*I13,0)</f>
        <v>0</v>
      </c>
      <c r="K13" s="15" t="n">
        <f aca="false">IFERROR(G13*H13,0)</f>
        <v>0</v>
      </c>
      <c r="L13" s="15" t="n">
        <f aca="false">IFERROR(J13-K13,0)</f>
        <v>0</v>
      </c>
      <c r="M13" s="16" t="n">
        <f aca="false">IFERROR((I13-H13)/H13,0)</f>
        <v>0</v>
      </c>
      <c r="N13" s="16" t="n">
        <f aca="false">IFERROR(J13/INDEX(账户总表!$B:$B,MATCH($A13,账户总表!$A:$A,0)),0)</f>
        <v>0</v>
      </c>
      <c r="O13" s="24"/>
      <c r="P13" s="15" t="str">
        <f aca="false">IF($A13="","",IF($D13="是",IF(E13&gt;0,E13*0.92,MAX(O13*0.98,H13*0.92)),MAX(O13*0.98,H13*0.92)))</f>
        <v/>
      </c>
      <c r="Q13" s="4" t="str">
        <f aca="false">IF($A13="","",IF(AND(I13&gt;0,P13&gt;0,I13&lt;=P13),"是","否"))</f>
        <v/>
      </c>
      <c r="R13" s="26"/>
      <c r="S13" s="7"/>
      <c r="T13" s="7"/>
      <c r="U13" s="7"/>
      <c r="V13" s="19" t="str">
        <f aca="false">IF($A13="","",IF(OR(AND(O13&gt;0,I13&lt;O13),AND(T13="False",S13&lt;0.8)),"是","否"))</f>
        <v/>
      </c>
      <c r="W13" s="19" t="str">
        <f aca="false">IF($A13="","",IF(AND(I13&lt;H13,S13&lt;0.8),"是","否"))</f>
        <v/>
      </c>
      <c r="X13" s="19" t="str">
        <f aca="false">IF($A13="","",IF(AND(R13&lt;60%,S13&gt;0.8,T13="True",U13="一卖"),"是","否"))</f>
        <v/>
      </c>
      <c r="Y13" s="19" t="str">
        <f aca="false">IF($A13="","",IF(D13="是","否",IF(N13&gt;LOOKUP(2,1/(账户总表!$A:$A&lt;&gt;""),账户总表!$O:$O),"是","否")))</f>
        <v/>
      </c>
      <c r="Z13" s="19" t="str">
        <f aca="false">IF($A13="","",IF(M13&gt;=0,"盈利","亏损"))</f>
        <v/>
      </c>
      <c r="AA13" s="19" t="str">
        <f aca="false">IF($A13="","",IF(OR(Q13="是",M13&lt;=-8%,V13="是",X13="是"),"卖出",IF(Y13="是","减仓",IF(W13="是","观察","持有"))))</f>
        <v/>
      </c>
      <c r="AB13" s="19" t="str">
        <f aca="false">IF($A13="","",IF(D13="是",IF(I13&lt;=E13*0.92,"立即卖出(WAIVED止损)","继续持有(WAIVED)"),IF(OR(M13&lt;=-10%,Q13="是"),"立即卖出",IF(OR(AA13="卖出",V13="是",X13="是"),"次日卖出",IF(AND(Y13="是",NOT(OR(Q13="是",M13&lt;=-8%,V13="是",X13="是"))),"减仓至上限",IF(W13="是","观察","继续持有"))))))</f>
        <v/>
      </c>
      <c r="AC13" s="19" t="str">
        <f aca="false">IF($A13="","",IF(Q13="是","触发止损",IF(M13&lt;=-8%,"固定止损",IF(V13="是","信号失效",IF(X13="是","确认一卖",IF(Y13="是","单股超限",IF(W13="是","DL_P弱化","规则内持有")))))))</f>
        <v/>
      </c>
      <c r="AD13" s="7"/>
    </row>
    <row r="14" customFormat="false" ht="15" hidden="false" customHeight="true" outlineLevel="0" collapsed="false">
      <c r="A14" s="5"/>
      <c r="B14" s="5"/>
      <c r="C14" s="5"/>
      <c r="D14" s="11"/>
      <c r="E14" s="14"/>
      <c r="F14" s="5"/>
      <c r="G14" s="17"/>
      <c r="H14" s="14"/>
      <c r="I14" s="14"/>
      <c r="J14" s="15" t="n">
        <f aca="false">IFERROR(G14*I14,0)</f>
        <v>0</v>
      </c>
      <c r="K14" s="15" t="n">
        <f aca="false">IFERROR(G14*H14,0)</f>
        <v>0</v>
      </c>
      <c r="L14" s="15" t="n">
        <f aca="false">IFERROR(J14-K14,0)</f>
        <v>0</v>
      </c>
      <c r="M14" s="16" t="n">
        <f aca="false">IFERROR((I14-H14)/H14,0)</f>
        <v>0</v>
      </c>
      <c r="N14" s="16" t="n">
        <f aca="false">IFERROR(J14/INDEX(账户总表!$B:$B,MATCH($A14,账户总表!$A:$A,0)),0)</f>
        <v>0</v>
      </c>
      <c r="O14" s="14"/>
      <c r="P14" s="15" t="str">
        <f aca="false">IF($A14="","",IF($D14="是",IF(E14&gt;0,E14*0.92,MAX(O14*0.98,H14*0.92)),MAX(O14*0.98,H14*0.92)))</f>
        <v/>
      </c>
      <c r="Q14" s="4" t="str">
        <f aca="false">IF($A14="","",IF(AND(I14&gt;0,P14&gt;0,I14&lt;=P14),"是","否"))</f>
        <v/>
      </c>
      <c r="R14" s="20"/>
      <c r="S14" s="5"/>
      <c r="T14" s="5"/>
      <c r="U14" s="5"/>
      <c r="V14" s="19" t="str">
        <f aca="false">IF($A14="","",IF(OR(AND(O14&gt;0,I14&lt;O14),AND(T14="False",S14&lt;0.8)),"是","否"))</f>
        <v/>
      </c>
      <c r="W14" s="19" t="str">
        <f aca="false">IF($A14="","",IF(AND(I14&lt;H14,S14&lt;0.8),"是","否"))</f>
        <v/>
      </c>
      <c r="X14" s="19" t="str">
        <f aca="false">IF($A14="","",IF(AND(R14&lt;60%,S14&gt;0.8,T14="True",U14="一卖"),"是","否"))</f>
        <v/>
      </c>
      <c r="Y14" s="19" t="str">
        <f aca="false">IF($A14="","",IF(D14="是","否",IF(N14&gt;LOOKUP(2,1/(账户总表!$A:$A&lt;&gt;""),账户总表!$O:$O),"是","否")))</f>
        <v/>
      </c>
      <c r="Z14" s="19" t="str">
        <f aca="false">IF($A14="","",IF(M14&gt;=0,"盈利","亏损"))</f>
        <v/>
      </c>
      <c r="AA14" s="19" t="str">
        <f aca="false">IF($A14="","",IF(OR(Q14="是",M14&lt;=-8%,V14="是",X14="是"),"卖出",IF(Y14="是","减仓",IF(W14="是","观察","持有"))))</f>
        <v/>
      </c>
      <c r="AB14" s="19" t="str">
        <f aca="false">IF($A14="","",IF(D14="是",IF(I14&lt;=E14*0.92,"立即卖出(WAIVED止损)","继续持有(WAIVED)"),IF(OR(M14&lt;=-10%,Q14="是"),"立即卖出",IF(OR(AA14="卖出",V14="是",X14="是"),"次日卖出",IF(AND(Y14="是",NOT(OR(Q14="是",M14&lt;=-8%,V14="是",X14="是"))),"减仓至上限",IF(W14="是","观察","继续持有"))))))</f>
        <v/>
      </c>
      <c r="AC14" s="19" t="str">
        <f aca="false">IF($A14="","",IF(Q14="是","触发止损",IF(M14&lt;=-8%,"固定止损",IF(V14="是","信号失效",IF(X14="是","确认一卖",IF(Y14="是","单股超限",IF(W14="是","DL_P弱化","规则内持有")))))))</f>
        <v/>
      </c>
      <c r="AD14" s="5"/>
    </row>
    <row r="15" customFormat="false" ht="15" hidden="false" customHeight="true" outlineLevel="0" collapsed="false">
      <c r="A15" s="7"/>
      <c r="B15" s="7"/>
      <c r="C15" s="7"/>
      <c r="D15" s="12"/>
      <c r="E15" s="24"/>
      <c r="F15" s="7"/>
      <c r="G15" s="25"/>
      <c r="H15" s="24"/>
      <c r="I15" s="24"/>
      <c r="J15" s="15" t="n">
        <f aca="false">IFERROR(G15*I15,0)</f>
        <v>0</v>
      </c>
      <c r="K15" s="15" t="n">
        <f aca="false">IFERROR(G15*H15,0)</f>
        <v>0</v>
      </c>
      <c r="L15" s="15" t="n">
        <f aca="false">IFERROR(J15-K15,0)</f>
        <v>0</v>
      </c>
      <c r="M15" s="16" t="n">
        <f aca="false">IFERROR((I15-H15)/H15,0)</f>
        <v>0</v>
      </c>
      <c r="N15" s="16" t="n">
        <f aca="false">IFERROR(J15/INDEX(账户总表!$B:$B,MATCH($A15,账户总表!$A:$A,0)),0)</f>
        <v>0</v>
      </c>
      <c r="O15" s="24"/>
      <c r="P15" s="15" t="str">
        <f aca="false">IF($A15="","",IF($D15="是",IF(E15&gt;0,E15*0.92,MAX(O15*0.98,H15*0.92)),MAX(O15*0.98,H15*0.92)))</f>
        <v/>
      </c>
      <c r="Q15" s="4" t="str">
        <f aca="false">IF($A15="","",IF(AND(I15&gt;0,P15&gt;0,I15&lt;=P15),"是","否"))</f>
        <v/>
      </c>
      <c r="R15" s="26"/>
      <c r="S15" s="7"/>
      <c r="T15" s="7"/>
      <c r="U15" s="7"/>
      <c r="V15" s="19" t="str">
        <f aca="false">IF($A15="","",IF(OR(AND(O15&gt;0,I15&lt;O15),AND(T15="False",S15&lt;0.8)),"是","否"))</f>
        <v/>
      </c>
      <c r="W15" s="19" t="str">
        <f aca="false">IF($A15="","",IF(AND(I15&lt;H15,S15&lt;0.8),"是","否"))</f>
        <v/>
      </c>
      <c r="X15" s="19" t="str">
        <f aca="false">IF($A15="","",IF(AND(R15&lt;60%,S15&gt;0.8,T15="True",U15="一卖"),"是","否"))</f>
        <v/>
      </c>
      <c r="Y15" s="19" t="str">
        <f aca="false">IF($A15="","",IF(D15="是","否",IF(N15&gt;LOOKUP(2,1/(账户总表!$A:$A&lt;&gt;""),账户总表!$O:$O),"是","否")))</f>
        <v/>
      </c>
      <c r="Z15" s="19" t="str">
        <f aca="false">IF($A15="","",IF(M15&gt;=0,"盈利","亏损"))</f>
        <v/>
      </c>
      <c r="AA15" s="19" t="str">
        <f aca="false">IF($A15="","",IF(OR(Q15="是",M15&lt;=-8%,V15="是",X15="是"),"卖出",IF(Y15="是","减仓",IF(W15="是","观察","持有"))))</f>
        <v/>
      </c>
      <c r="AB15" s="19" t="str">
        <f aca="false">IF($A15="","",IF(D15="是",IF(I15&lt;=E15*0.92,"立即卖出(WAIVED止损)","继续持有(WAIVED)"),IF(OR(M15&lt;=-10%,Q15="是"),"立即卖出",IF(OR(AA15="卖出",V15="是",X15="是"),"次日卖出",IF(AND(Y15="是",NOT(OR(Q15="是",M15&lt;=-8%,V15="是",X15="是"))),"减仓至上限",IF(W15="是","观察","继续持有"))))))</f>
        <v/>
      </c>
      <c r="AC15" s="19" t="str">
        <f aca="false">IF($A15="","",IF(Q15="是","触发止损",IF(M15&lt;=-8%,"固定止损",IF(V15="是","信号失效",IF(X15="是","确认一卖",IF(Y15="是","单股超限",IF(W15="是","DL_P弱化","规则内持有")))))))</f>
        <v/>
      </c>
      <c r="AD15" s="7"/>
    </row>
    <row r="16" customFormat="false" ht="15" hidden="false" customHeight="true" outlineLevel="0" collapsed="false">
      <c r="A16" s="5"/>
      <c r="B16" s="5"/>
      <c r="C16" s="5"/>
      <c r="D16" s="11"/>
      <c r="E16" s="14"/>
      <c r="F16" s="5"/>
      <c r="G16" s="17"/>
      <c r="H16" s="14"/>
      <c r="I16" s="14"/>
      <c r="J16" s="15" t="n">
        <f aca="false">IFERROR(G16*I16,0)</f>
        <v>0</v>
      </c>
      <c r="K16" s="15" t="n">
        <f aca="false">IFERROR(G16*H16,0)</f>
        <v>0</v>
      </c>
      <c r="L16" s="15" t="n">
        <f aca="false">IFERROR(J16-K16,0)</f>
        <v>0</v>
      </c>
      <c r="M16" s="16" t="n">
        <f aca="false">IFERROR((I16-H16)/H16,0)</f>
        <v>0</v>
      </c>
      <c r="N16" s="16" t="n">
        <f aca="false">IFERROR(J16/INDEX(账户总表!$B:$B,MATCH($A16,账户总表!$A:$A,0)),0)</f>
        <v>0</v>
      </c>
      <c r="O16" s="14"/>
      <c r="P16" s="15" t="str">
        <f aca="false">IF($A16="","",IF($D16="是",IF(E16&gt;0,E16*0.92,MAX(O16*0.98,H16*0.92)),MAX(O16*0.98,H16*0.92)))</f>
        <v/>
      </c>
      <c r="Q16" s="4" t="str">
        <f aca="false">IF($A16="","",IF(AND(I16&gt;0,P16&gt;0,I16&lt;=P16),"是","否"))</f>
        <v/>
      </c>
      <c r="R16" s="20"/>
      <c r="S16" s="5"/>
      <c r="T16" s="5"/>
      <c r="U16" s="5"/>
      <c r="V16" s="19" t="str">
        <f aca="false">IF($A16="","",IF(OR(AND(O16&gt;0,I16&lt;O16),AND(T16="False",S16&lt;0.8)),"是","否"))</f>
        <v/>
      </c>
      <c r="W16" s="19" t="str">
        <f aca="false">IF($A16="","",IF(AND(I16&lt;H16,S16&lt;0.8),"是","否"))</f>
        <v/>
      </c>
      <c r="X16" s="19" t="str">
        <f aca="false">IF($A16="","",IF(AND(R16&lt;60%,S16&gt;0.8,T16="True",U16="一卖"),"是","否"))</f>
        <v/>
      </c>
      <c r="Y16" s="19" t="str">
        <f aca="false">IF($A16="","",IF(D16="是","否",IF(N16&gt;LOOKUP(2,1/(账户总表!$A:$A&lt;&gt;""),账户总表!$O:$O),"是","否")))</f>
        <v/>
      </c>
      <c r="Z16" s="19" t="str">
        <f aca="false">IF($A16="","",IF(M16&gt;=0,"盈利","亏损"))</f>
        <v/>
      </c>
      <c r="AA16" s="19" t="str">
        <f aca="false">IF($A16="","",IF(OR(Q16="是",M16&lt;=-8%,V16="是",X16="是"),"卖出",IF(Y16="是","减仓",IF(W16="是","观察","持有"))))</f>
        <v/>
      </c>
      <c r="AB16" s="19" t="str">
        <f aca="false">IF($A16="","",IF(D16="是",IF(I16&lt;=E16*0.92,"立即卖出(WAIVED止损)","继续持有(WAIVED)"),IF(OR(M16&lt;=-10%,Q16="是"),"立即卖出",IF(OR(AA16="卖出",V16="是",X16="是"),"次日卖出",IF(AND(Y16="是",NOT(OR(Q16="是",M16&lt;=-8%,V16="是",X16="是"))),"减仓至上限",IF(W16="是","观察","继续持有"))))))</f>
        <v/>
      </c>
      <c r="AC16" s="19" t="str">
        <f aca="false">IF($A16="","",IF(Q16="是","触发止损",IF(M16&lt;=-8%,"固定止损",IF(V16="是","信号失效",IF(X16="是","确认一卖",IF(Y16="是","单股超限",IF(W16="是","DL_P弱化","规则内持有")))))))</f>
        <v/>
      </c>
      <c r="AD16" s="5"/>
    </row>
    <row r="17" customFormat="false" ht="15" hidden="false" customHeight="true" outlineLevel="0" collapsed="false">
      <c r="A17" s="7"/>
      <c r="B17" s="7"/>
      <c r="C17" s="7"/>
      <c r="D17" s="12"/>
      <c r="E17" s="24"/>
      <c r="F17" s="7"/>
      <c r="G17" s="25"/>
      <c r="H17" s="24"/>
      <c r="I17" s="24"/>
      <c r="J17" s="15" t="n">
        <f aca="false">IFERROR(G17*I17,0)</f>
        <v>0</v>
      </c>
      <c r="K17" s="15" t="n">
        <f aca="false">IFERROR(G17*H17,0)</f>
        <v>0</v>
      </c>
      <c r="L17" s="15" t="n">
        <f aca="false">IFERROR(J17-K17,0)</f>
        <v>0</v>
      </c>
      <c r="M17" s="16" t="n">
        <f aca="false">IFERROR((I17-H17)/H17,0)</f>
        <v>0</v>
      </c>
      <c r="N17" s="16" t="n">
        <f aca="false">IFERROR(J17/INDEX(账户总表!$B:$B,MATCH($A17,账户总表!$A:$A,0)),0)</f>
        <v>0</v>
      </c>
      <c r="O17" s="24"/>
      <c r="P17" s="15" t="str">
        <f aca="false">IF($A17="","",IF($D17="是",IF(E17&gt;0,E17*0.92,MAX(O17*0.98,H17*0.92)),MAX(O17*0.98,H17*0.92)))</f>
        <v/>
      </c>
      <c r="Q17" s="4" t="str">
        <f aca="false">IF($A17="","",IF(AND(I17&gt;0,P17&gt;0,I17&lt;=P17),"是","否"))</f>
        <v/>
      </c>
      <c r="R17" s="26"/>
      <c r="S17" s="7"/>
      <c r="T17" s="7"/>
      <c r="U17" s="7"/>
      <c r="V17" s="19" t="str">
        <f aca="false">IF($A17="","",IF(OR(AND(O17&gt;0,I17&lt;O17),AND(T17="False",S17&lt;0.8)),"是","否"))</f>
        <v/>
      </c>
      <c r="W17" s="19" t="str">
        <f aca="false">IF($A17="","",IF(AND(I17&lt;H17,S17&lt;0.8),"是","否"))</f>
        <v/>
      </c>
      <c r="X17" s="19" t="str">
        <f aca="false">IF($A17="","",IF(AND(R17&lt;60%,S17&gt;0.8,T17="True",U17="一卖"),"是","否"))</f>
        <v/>
      </c>
      <c r="Y17" s="19" t="str">
        <f aca="false">IF($A17="","",IF(D17="是","否",IF(N17&gt;LOOKUP(2,1/(账户总表!$A:$A&lt;&gt;""),账户总表!$O:$O),"是","否")))</f>
        <v/>
      </c>
      <c r="Z17" s="19" t="str">
        <f aca="false">IF($A17="","",IF(M17&gt;=0,"盈利","亏损"))</f>
        <v/>
      </c>
      <c r="AA17" s="19" t="str">
        <f aca="false">IF($A17="","",IF(OR(Q17="是",M17&lt;=-8%,V17="是",X17="是"),"卖出",IF(Y17="是","减仓",IF(W17="是","观察","持有"))))</f>
        <v/>
      </c>
      <c r="AB17" s="19" t="str">
        <f aca="false">IF($A17="","",IF(D17="是",IF(I17&lt;=E17*0.92,"立即卖出(WAIVED止损)","继续持有(WAIVED)"),IF(OR(M17&lt;=-10%,Q17="是"),"立即卖出",IF(OR(AA17="卖出",V17="是",X17="是"),"次日卖出",IF(AND(Y17="是",NOT(OR(Q17="是",M17&lt;=-8%,V17="是",X17="是"))),"减仓至上限",IF(W17="是","观察","继续持有"))))))</f>
        <v/>
      </c>
      <c r="AC17" s="19" t="str">
        <f aca="false">IF($A17="","",IF(Q17="是","触发止损",IF(M17&lt;=-8%,"固定止损",IF(V17="是","信号失效",IF(X17="是","确认一卖",IF(Y17="是","单股超限",IF(W17="是","DL_P弱化","规则内持有")))))))</f>
        <v/>
      </c>
      <c r="AD17" s="7"/>
    </row>
    <row r="18" customFormat="false" ht="15" hidden="false" customHeight="true" outlineLevel="0" collapsed="false">
      <c r="A18" s="5"/>
      <c r="B18" s="5"/>
      <c r="C18" s="5"/>
      <c r="D18" s="11"/>
      <c r="E18" s="14"/>
      <c r="F18" s="5"/>
      <c r="G18" s="17"/>
      <c r="H18" s="14"/>
      <c r="I18" s="14"/>
      <c r="J18" s="15" t="n">
        <f aca="false">IFERROR(G18*I18,0)</f>
        <v>0</v>
      </c>
      <c r="K18" s="15" t="n">
        <f aca="false">IFERROR(G18*H18,0)</f>
        <v>0</v>
      </c>
      <c r="L18" s="15" t="n">
        <f aca="false">IFERROR(J18-K18,0)</f>
        <v>0</v>
      </c>
      <c r="M18" s="16" t="n">
        <f aca="false">IFERROR((I18-H18)/H18,0)</f>
        <v>0</v>
      </c>
      <c r="N18" s="16" t="n">
        <f aca="false">IFERROR(J18/INDEX(账户总表!$B:$B,MATCH($A18,账户总表!$A:$A,0)),0)</f>
        <v>0</v>
      </c>
      <c r="O18" s="14"/>
      <c r="P18" s="15" t="str">
        <f aca="false">IF($A18="","",IF($D18="是",IF(E18&gt;0,E18*0.92,MAX(O18*0.98,H18*0.92)),MAX(O18*0.98,H18*0.92)))</f>
        <v/>
      </c>
      <c r="Q18" s="4" t="str">
        <f aca="false">IF($A18="","",IF(AND(I18&gt;0,P18&gt;0,I18&lt;=P18),"是","否"))</f>
        <v/>
      </c>
      <c r="R18" s="20"/>
      <c r="S18" s="5"/>
      <c r="T18" s="5"/>
      <c r="U18" s="5"/>
      <c r="V18" s="19" t="str">
        <f aca="false">IF($A18="","",IF(OR(AND(O18&gt;0,I18&lt;O18),AND(T18="False",S18&lt;0.8)),"是","否"))</f>
        <v/>
      </c>
      <c r="W18" s="19" t="str">
        <f aca="false">IF($A18="","",IF(AND(I18&lt;H18,S18&lt;0.8),"是","否"))</f>
        <v/>
      </c>
      <c r="X18" s="19" t="str">
        <f aca="false">IF($A18="","",IF(AND(R18&lt;60%,S18&gt;0.8,T18="True",U18="一卖"),"是","否"))</f>
        <v/>
      </c>
      <c r="Y18" s="19" t="str">
        <f aca="false">IF($A18="","",IF(D18="是","否",IF(N18&gt;LOOKUP(2,1/(账户总表!$A:$A&lt;&gt;""),账户总表!$O:$O),"是","否")))</f>
        <v/>
      </c>
      <c r="Z18" s="19" t="str">
        <f aca="false">IF($A18="","",IF(M18&gt;=0,"盈利","亏损"))</f>
        <v/>
      </c>
      <c r="AA18" s="19" t="str">
        <f aca="false">IF($A18="","",IF(OR(Q18="是",M18&lt;=-8%,V18="是",X18="是"),"卖出",IF(Y18="是","减仓",IF(W18="是","观察","持有"))))</f>
        <v/>
      </c>
      <c r="AB18" s="19" t="str">
        <f aca="false">IF($A18="","",IF(D18="是",IF(I18&lt;=E18*0.92,"立即卖出(WAIVED止损)","继续持有(WAIVED)"),IF(OR(M18&lt;=-10%,Q18="是"),"立即卖出",IF(OR(AA18="卖出",V18="是",X18="是"),"次日卖出",IF(AND(Y18="是",NOT(OR(Q18="是",M18&lt;=-8%,V18="是",X18="是"))),"减仓至上限",IF(W18="是","观察","继续持有"))))))</f>
        <v/>
      </c>
      <c r="AC18" s="19" t="str">
        <f aca="false">IF($A18="","",IF(Q18="是","触发止损",IF(M18&lt;=-8%,"固定止损",IF(V18="是","信号失效",IF(X18="是","确认一卖",IF(Y18="是","单股超限",IF(W18="是","DL_P弱化","规则内持有")))))))</f>
        <v/>
      </c>
      <c r="AD18" s="5"/>
    </row>
    <row r="19" customFormat="false" ht="15" hidden="false" customHeight="true" outlineLevel="0" collapsed="false">
      <c r="A19" s="7"/>
      <c r="B19" s="7"/>
      <c r="C19" s="7"/>
      <c r="D19" s="12"/>
      <c r="E19" s="24"/>
      <c r="F19" s="7"/>
      <c r="G19" s="25"/>
      <c r="H19" s="24"/>
      <c r="I19" s="24"/>
      <c r="J19" s="15" t="n">
        <f aca="false">IFERROR(G19*I19,0)</f>
        <v>0</v>
      </c>
      <c r="K19" s="15" t="n">
        <f aca="false">IFERROR(G19*H19,0)</f>
        <v>0</v>
      </c>
      <c r="L19" s="15" t="n">
        <f aca="false">IFERROR(J19-K19,0)</f>
        <v>0</v>
      </c>
      <c r="M19" s="16" t="n">
        <f aca="false">IFERROR((I19-H19)/H19,0)</f>
        <v>0</v>
      </c>
      <c r="N19" s="16" t="n">
        <f aca="false">IFERROR(J19/INDEX(账户总表!$B:$B,MATCH($A19,账户总表!$A:$A,0)),0)</f>
        <v>0</v>
      </c>
      <c r="O19" s="24"/>
      <c r="P19" s="15" t="str">
        <f aca="false">IF($A19="","",IF($D19="是",IF(E19&gt;0,E19*0.92,MAX(O19*0.98,H19*0.92)),MAX(O19*0.98,H19*0.92)))</f>
        <v/>
      </c>
      <c r="Q19" s="4" t="str">
        <f aca="false">IF($A19="","",IF(AND(I19&gt;0,P19&gt;0,I19&lt;=P19),"是","否"))</f>
        <v/>
      </c>
      <c r="R19" s="26"/>
      <c r="S19" s="7"/>
      <c r="T19" s="7"/>
      <c r="U19" s="7"/>
      <c r="V19" s="19" t="str">
        <f aca="false">IF($A19="","",IF(OR(AND(O19&gt;0,I19&lt;O19),AND(T19="False",S19&lt;0.8)),"是","否"))</f>
        <v/>
      </c>
      <c r="W19" s="19" t="str">
        <f aca="false">IF($A19="","",IF(AND(I19&lt;H19,S19&lt;0.8),"是","否"))</f>
        <v/>
      </c>
      <c r="X19" s="19" t="str">
        <f aca="false">IF($A19="","",IF(AND(R19&lt;60%,S19&gt;0.8,T19="True",U19="一卖"),"是","否"))</f>
        <v/>
      </c>
      <c r="Y19" s="19" t="str">
        <f aca="false">IF($A19="","",IF(D19="是","否",IF(N19&gt;LOOKUP(2,1/(账户总表!$A:$A&lt;&gt;""),账户总表!$O:$O),"是","否")))</f>
        <v/>
      </c>
      <c r="Z19" s="19" t="str">
        <f aca="false">IF($A19="","",IF(M19&gt;=0,"盈利","亏损"))</f>
        <v/>
      </c>
      <c r="AA19" s="19" t="str">
        <f aca="false">IF($A19="","",IF(OR(Q19="是",M19&lt;=-8%,V19="是",X19="是"),"卖出",IF(Y19="是","减仓",IF(W19="是","观察","持有"))))</f>
        <v/>
      </c>
      <c r="AB19" s="19" t="str">
        <f aca="false">IF($A19="","",IF(D19="是",IF(I19&lt;=E19*0.92,"立即卖出(WAIVED止损)","继续持有(WAIVED)"),IF(OR(M19&lt;=-10%,Q19="是"),"立即卖出",IF(OR(AA19="卖出",V19="是",X19="是"),"次日卖出",IF(AND(Y19="是",NOT(OR(Q19="是",M19&lt;=-8%,V19="是",X19="是"))),"减仓至上限",IF(W19="是","观察","继续持有"))))))</f>
        <v/>
      </c>
      <c r="AC19" s="19" t="str">
        <f aca="false">IF($A19="","",IF(Q19="是","触发止损",IF(M19&lt;=-8%,"固定止损",IF(V19="是","信号失效",IF(X19="是","确认一卖",IF(Y19="是","单股超限",IF(W19="是","DL_P弱化","规则内持有")))))))</f>
        <v/>
      </c>
      <c r="AD19" s="7"/>
    </row>
    <row r="20" customFormat="false" ht="15" hidden="false" customHeight="true" outlineLevel="0" collapsed="false">
      <c r="A20" s="5"/>
      <c r="B20" s="5"/>
      <c r="C20" s="5"/>
      <c r="D20" s="11"/>
      <c r="E20" s="14"/>
      <c r="F20" s="5"/>
      <c r="G20" s="17"/>
      <c r="H20" s="14"/>
      <c r="I20" s="14"/>
      <c r="J20" s="15" t="n">
        <f aca="false">IFERROR(G20*I20,0)</f>
        <v>0</v>
      </c>
      <c r="K20" s="15" t="n">
        <f aca="false">IFERROR(G20*H20,0)</f>
        <v>0</v>
      </c>
      <c r="L20" s="15" t="n">
        <f aca="false">IFERROR(J20-K20,0)</f>
        <v>0</v>
      </c>
      <c r="M20" s="16" t="n">
        <f aca="false">IFERROR((I20-H20)/H20,0)</f>
        <v>0</v>
      </c>
      <c r="N20" s="16" t="n">
        <f aca="false">IFERROR(J20/INDEX(账户总表!$B:$B,MATCH($A20,账户总表!$A:$A,0)),0)</f>
        <v>0</v>
      </c>
      <c r="O20" s="14"/>
      <c r="P20" s="15" t="str">
        <f aca="false">IF($A20="","",IF($D20="是",IF(E20&gt;0,E20*0.92,MAX(O20*0.98,H20*0.92)),MAX(O20*0.98,H20*0.92)))</f>
        <v/>
      </c>
      <c r="Q20" s="4" t="str">
        <f aca="false">IF($A20="","",IF(AND(I20&gt;0,P20&gt;0,I20&lt;=P20),"是","否"))</f>
        <v/>
      </c>
      <c r="R20" s="20"/>
      <c r="S20" s="5"/>
      <c r="T20" s="5"/>
      <c r="U20" s="5"/>
      <c r="V20" s="19" t="str">
        <f aca="false">IF($A20="","",IF(OR(AND(O20&gt;0,I20&lt;O20),AND(T20="False",S20&lt;0.8)),"是","否"))</f>
        <v/>
      </c>
      <c r="W20" s="19" t="str">
        <f aca="false">IF($A20="","",IF(AND(I20&lt;H20,S20&lt;0.8),"是","否"))</f>
        <v/>
      </c>
      <c r="X20" s="19" t="str">
        <f aca="false">IF($A20="","",IF(AND(R20&lt;60%,S20&gt;0.8,T20="True",U20="一卖"),"是","否"))</f>
        <v/>
      </c>
      <c r="Y20" s="19" t="str">
        <f aca="false">IF($A20="","",IF(D20="是","否",IF(N20&gt;LOOKUP(2,1/(账户总表!$A:$A&lt;&gt;""),账户总表!$O:$O),"是","否")))</f>
        <v/>
      </c>
      <c r="Z20" s="19" t="str">
        <f aca="false">IF($A20="","",IF(M20&gt;=0,"盈利","亏损"))</f>
        <v/>
      </c>
      <c r="AA20" s="19" t="str">
        <f aca="false">IF($A20="","",IF(OR(Q20="是",M20&lt;=-8%,V20="是",X20="是"),"卖出",IF(Y20="是","减仓",IF(W20="是","观察","持有"))))</f>
        <v/>
      </c>
      <c r="AB20" s="19" t="str">
        <f aca="false">IF($A20="","",IF(D20="是",IF(I20&lt;=E20*0.92,"立即卖出(WAIVED止损)","继续持有(WAIVED)"),IF(OR(M20&lt;=-10%,Q20="是"),"立即卖出",IF(OR(AA20="卖出",V20="是",X20="是"),"次日卖出",IF(AND(Y20="是",NOT(OR(Q20="是",M20&lt;=-8%,V20="是",X20="是"))),"减仓至上限",IF(W20="是","观察","继续持有"))))))</f>
        <v/>
      </c>
      <c r="AC20" s="19" t="str">
        <f aca="false">IF($A20="","",IF(Q20="是","触发止损",IF(M20&lt;=-8%,"固定止损",IF(V20="是","信号失效",IF(X20="是","确认一卖",IF(Y20="是","单股超限",IF(W20="是","DL_P弱化","规则内持有")))))))</f>
        <v/>
      </c>
      <c r="AD20" s="5"/>
    </row>
    <row r="21" customFormat="false" ht="15" hidden="false" customHeight="true" outlineLevel="0" collapsed="false">
      <c r="A21" s="7"/>
      <c r="B21" s="7"/>
      <c r="C21" s="7"/>
      <c r="D21" s="12"/>
      <c r="E21" s="24"/>
      <c r="F21" s="7"/>
      <c r="G21" s="25"/>
      <c r="H21" s="24"/>
      <c r="I21" s="24"/>
      <c r="J21" s="15" t="n">
        <f aca="false">IFERROR(G21*I21,0)</f>
        <v>0</v>
      </c>
      <c r="K21" s="15" t="n">
        <f aca="false">IFERROR(G21*H21,0)</f>
        <v>0</v>
      </c>
      <c r="L21" s="15" t="n">
        <f aca="false">IFERROR(J21-K21,0)</f>
        <v>0</v>
      </c>
      <c r="M21" s="16" t="n">
        <f aca="false">IFERROR((I21-H21)/H21,0)</f>
        <v>0</v>
      </c>
      <c r="N21" s="16" t="n">
        <f aca="false">IFERROR(J21/INDEX(账户总表!$B:$B,MATCH($A21,账户总表!$A:$A,0)),0)</f>
        <v>0</v>
      </c>
      <c r="O21" s="24"/>
      <c r="P21" s="15" t="str">
        <f aca="false">IF($A21="","",IF($D21="是",IF(E21&gt;0,E21*0.92,MAX(O21*0.98,H21*0.92)),MAX(O21*0.98,H21*0.92)))</f>
        <v/>
      </c>
      <c r="Q21" s="4" t="str">
        <f aca="false">IF($A21="","",IF(AND(I21&gt;0,P21&gt;0,I21&lt;=P21),"是","否"))</f>
        <v/>
      </c>
      <c r="R21" s="26"/>
      <c r="S21" s="7"/>
      <c r="T21" s="7"/>
      <c r="U21" s="7"/>
      <c r="V21" s="19" t="str">
        <f aca="false">IF($A21="","",IF(OR(AND(O21&gt;0,I21&lt;O21),AND(T21="False",S21&lt;0.8)),"是","否"))</f>
        <v/>
      </c>
      <c r="W21" s="19" t="str">
        <f aca="false">IF($A21="","",IF(AND(I21&lt;H21,S21&lt;0.8),"是","否"))</f>
        <v/>
      </c>
      <c r="X21" s="19" t="str">
        <f aca="false">IF($A21="","",IF(AND(R21&lt;60%,S21&gt;0.8,T21="True",U21="一卖"),"是","否"))</f>
        <v/>
      </c>
      <c r="Y21" s="19" t="str">
        <f aca="false">IF($A21="","",IF(D21="是","否",IF(N21&gt;LOOKUP(2,1/(账户总表!$A:$A&lt;&gt;""),账户总表!$O:$O),"是","否")))</f>
        <v/>
      </c>
      <c r="Z21" s="19" t="str">
        <f aca="false">IF($A21="","",IF(M21&gt;=0,"盈利","亏损"))</f>
        <v/>
      </c>
      <c r="AA21" s="19" t="str">
        <f aca="false">IF($A21="","",IF(OR(Q21="是",M21&lt;=-8%,V21="是",X21="是"),"卖出",IF(Y21="是","减仓",IF(W21="是","观察","持有"))))</f>
        <v/>
      </c>
      <c r="AB21" s="19" t="str">
        <f aca="false">IF($A21="","",IF(D21="是",IF(I21&lt;=E21*0.92,"立即卖出(WAIVED止损)","继续持有(WAIVED)"),IF(OR(M21&lt;=-10%,Q21="是"),"立即卖出",IF(OR(AA21="卖出",V21="是",X21="是"),"次日卖出",IF(AND(Y21="是",NOT(OR(Q21="是",M21&lt;=-8%,V21="是",X21="是"))),"减仓至上限",IF(W21="是","观察","继续持有"))))))</f>
        <v/>
      </c>
      <c r="AC21" s="19" t="str">
        <f aca="false">IF($A21="","",IF(Q21="是","触发止损",IF(M21&lt;=-8%,"固定止损",IF(V21="是","信号失效",IF(X21="是","确认一卖",IF(Y21="是","单股超限",IF(W21="是","DL_P弱化","规则内持有")))))))</f>
        <v/>
      </c>
      <c r="AD21" s="7"/>
    </row>
    <row r="22" customFormat="false" ht="15" hidden="false" customHeight="true" outlineLevel="0" collapsed="false">
      <c r="A22" s="5"/>
      <c r="B22" s="5"/>
      <c r="C22" s="5"/>
      <c r="D22" s="11"/>
      <c r="E22" s="14"/>
      <c r="F22" s="5"/>
      <c r="G22" s="17"/>
      <c r="H22" s="14"/>
      <c r="I22" s="14"/>
      <c r="J22" s="15" t="n">
        <f aca="false">IFERROR(G22*I22,0)</f>
        <v>0</v>
      </c>
      <c r="K22" s="15" t="n">
        <f aca="false">IFERROR(G22*H22,0)</f>
        <v>0</v>
      </c>
      <c r="L22" s="15" t="n">
        <f aca="false">IFERROR(J22-K22,0)</f>
        <v>0</v>
      </c>
      <c r="M22" s="16" t="n">
        <f aca="false">IFERROR((I22-H22)/H22,0)</f>
        <v>0</v>
      </c>
      <c r="N22" s="16" t="n">
        <f aca="false">IFERROR(J22/INDEX(账户总表!$B:$B,MATCH($A22,账户总表!$A:$A,0)),0)</f>
        <v>0</v>
      </c>
      <c r="O22" s="14"/>
      <c r="P22" s="15" t="str">
        <f aca="false">IF($A22="","",IF($D22="是",IF(E22&gt;0,E22*0.92,MAX(O22*0.98,H22*0.92)),MAX(O22*0.98,H22*0.92)))</f>
        <v/>
      </c>
      <c r="Q22" s="4" t="str">
        <f aca="false">IF($A22="","",IF(AND(I22&gt;0,P22&gt;0,I22&lt;=P22),"是","否"))</f>
        <v/>
      </c>
      <c r="R22" s="20"/>
      <c r="S22" s="5"/>
      <c r="T22" s="5"/>
      <c r="U22" s="5"/>
      <c r="V22" s="19" t="str">
        <f aca="false">IF($A22="","",IF(OR(AND(O22&gt;0,I22&lt;O22),AND(T22="False",S22&lt;0.8)),"是","否"))</f>
        <v/>
      </c>
      <c r="W22" s="19" t="str">
        <f aca="false">IF($A22="","",IF(AND(I22&lt;H22,S22&lt;0.8),"是","否"))</f>
        <v/>
      </c>
      <c r="X22" s="19" t="str">
        <f aca="false">IF($A22="","",IF(AND(R22&lt;60%,S22&gt;0.8,T22="True",U22="一卖"),"是","否"))</f>
        <v/>
      </c>
      <c r="Y22" s="19" t="str">
        <f aca="false">IF($A22="","",IF(D22="是","否",IF(N22&gt;LOOKUP(2,1/(账户总表!$A:$A&lt;&gt;""),账户总表!$O:$O),"是","否")))</f>
        <v/>
      </c>
      <c r="Z22" s="19" t="str">
        <f aca="false">IF($A22="","",IF(M22&gt;=0,"盈利","亏损"))</f>
        <v/>
      </c>
      <c r="AA22" s="19" t="str">
        <f aca="false">IF($A22="","",IF(OR(Q22="是",M22&lt;=-8%,V22="是",X22="是"),"卖出",IF(Y22="是","减仓",IF(W22="是","观察","持有"))))</f>
        <v/>
      </c>
      <c r="AB22" s="19" t="str">
        <f aca="false">IF($A22="","",IF(D22="是",IF(I22&lt;=E22*0.92,"立即卖出(WAIVED止损)","继续持有(WAIVED)"),IF(OR(M22&lt;=-10%,Q22="是"),"立即卖出",IF(OR(AA22="卖出",V22="是",X22="是"),"次日卖出",IF(AND(Y22="是",NOT(OR(Q22="是",M22&lt;=-8%,V22="是",X22="是"))),"减仓至上限",IF(W22="是","观察","继续持有"))))))</f>
        <v/>
      </c>
      <c r="AC22" s="19" t="str">
        <f aca="false">IF($A22="","",IF(Q22="是","触发止损",IF(M22&lt;=-8%,"固定止损",IF(V22="是","信号失效",IF(X22="是","确认一卖",IF(Y22="是","单股超限",IF(W22="是","DL_P弱化","规则内持有")))))))</f>
        <v/>
      </c>
      <c r="AD22" s="5"/>
    </row>
    <row r="23" customFormat="false" ht="15" hidden="false" customHeight="true" outlineLevel="0" collapsed="false">
      <c r="A23" s="7"/>
      <c r="B23" s="7"/>
      <c r="C23" s="7"/>
      <c r="D23" s="12"/>
      <c r="E23" s="24"/>
      <c r="F23" s="7"/>
      <c r="G23" s="25"/>
      <c r="H23" s="24"/>
      <c r="I23" s="24"/>
      <c r="J23" s="15" t="n">
        <f aca="false">IFERROR(G23*I23,0)</f>
        <v>0</v>
      </c>
      <c r="K23" s="15" t="n">
        <f aca="false">IFERROR(G23*H23,0)</f>
        <v>0</v>
      </c>
      <c r="L23" s="15" t="n">
        <f aca="false">IFERROR(J23-K23,0)</f>
        <v>0</v>
      </c>
      <c r="M23" s="16" t="n">
        <f aca="false">IFERROR((I23-H23)/H23,0)</f>
        <v>0</v>
      </c>
      <c r="N23" s="16" t="n">
        <f aca="false">IFERROR(J23/INDEX(账户总表!$B:$B,MATCH($A23,账户总表!$A:$A,0)),0)</f>
        <v>0</v>
      </c>
      <c r="O23" s="24"/>
      <c r="P23" s="15" t="str">
        <f aca="false">IF($A23="","",IF($D23="是",IF(E23&gt;0,E23*0.92,MAX(O23*0.98,H23*0.92)),MAX(O23*0.98,H23*0.92)))</f>
        <v/>
      </c>
      <c r="Q23" s="4" t="str">
        <f aca="false">IF($A23="","",IF(AND(I23&gt;0,P23&gt;0,I23&lt;=P23),"是","否"))</f>
        <v/>
      </c>
      <c r="R23" s="26"/>
      <c r="S23" s="7"/>
      <c r="T23" s="7"/>
      <c r="U23" s="7"/>
      <c r="V23" s="19" t="str">
        <f aca="false">IF($A23="","",IF(OR(AND(O23&gt;0,I23&lt;O23),AND(T23="False",S23&lt;0.8)),"是","否"))</f>
        <v/>
      </c>
      <c r="W23" s="19" t="str">
        <f aca="false">IF($A23="","",IF(AND(I23&lt;H23,S23&lt;0.8),"是","否"))</f>
        <v/>
      </c>
      <c r="X23" s="19" t="str">
        <f aca="false">IF($A23="","",IF(AND(R23&lt;60%,S23&gt;0.8,T23="True",U23="一卖"),"是","否"))</f>
        <v/>
      </c>
      <c r="Y23" s="19" t="str">
        <f aca="false">IF($A23="","",IF(D23="是","否",IF(N23&gt;LOOKUP(2,1/(账户总表!$A:$A&lt;&gt;""),账户总表!$O:$O),"是","否")))</f>
        <v/>
      </c>
      <c r="Z23" s="19" t="str">
        <f aca="false">IF($A23="","",IF(M23&gt;=0,"盈利","亏损"))</f>
        <v/>
      </c>
      <c r="AA23" s="19" t="str">
        <f aca="false">IF($A23="","",IF(OR(Q23="是",M23&lt;=-8%,V23="是",X23="是"),"卖出",IF(Y23="是","减仓",IF(W23="是","观察","持有"))))</f>
        <v/>
      </c>
      <c r="AB23" s="19" t="str">
        <f aca="false">IF($A23="","",IF(D23="是",IF(I23&lt;=E23*0.92,"立即卖出(WAIVED止损)","继续持有(WAIVED)"),IF(OR(M23&lt;=-10%,Q23="是"),"立即卖出",IF(OR(AA23="卖出",V23="是",X23="是"),"次日卖出",IF(AND(Y23="是",NOT(OR(Q23="是",M23&lt;=-8%,V23="是",X23="是"))),"减仓至上限",IF(W23="是","观察","继续持有"))))))</f>
        <v/>
      </c>
      <c r="AC23" s="19" t="str">
        <f aca="false">IF($A23="","",IF(Q23="是","触发止损",IF(M23&lt;=-8%,"固定止损",IF(V23="是","信号失效",IF(X23="是","确认一卖",IF(Y23="是","单股超限",IF(W23="是","DL_P弱化","规则内持有")))))))</f>
        <v/>
      </c>
      <c r="AD23" s="7"/>
    </row>
    <row r="24" customFormat="false" ht="15" hidden="false" customHeight="true" outlineLevel="0" collapsed="false">
      <c r="A24" s="5"/>
      <c r="B24" s="5"/>
      <c r="C24" s="5"/>
      <c r="D24" s="11"/>
      <c r="E24" s="14"/>
      <c r="F24" s="5"/>
      <c r="G24" s="17"/>
      <c r="H24" s="14"/>
      <c r="I24" s="14"/>
      <c r="J24" s="15" t="n">
        <f aca="false">IFERROR(G24*I24,0)</f>
        <v>0</v>
      </c>
      <c r="K24" s="15" t="n">
        <f aca="false">IFERROR(G24*H24,0)</f>
        <v>0</v>
      </c>
      <c r="L24" s="15" t="n">
        <f aca="false">IFERROR(J24-K24,0)</f>
        <v>0</v>
      </c>
      <c r="M24" s="16" t="n">
        <f aca="false">IFERROR((I24-H24)/H24,0)</f>
        <v>0</v>
      </c>
      <c r="N24" s="16" t="n">
        <f aca="false">IFERROR(J24/INDEX(账户总表!$B:$B,MATCH($A24,账户总表!$A:$A,0)),0)</f>
        <v>0</v>
      </c>
      <c r="O24" s="14"/>
      <c r="P24" s="15" t="str">
        <f aca="false">IF($A24="","",IF($D24="是",IF(E24&gt;0,E24*0.92,MAX(O24*0.98,H24*0.92)),MAX(O24*0.98,H24*0.92)))</f>
        <v/>
      </c>
      <c r="Q24" s="4" t="str">
        <f aca="false">IF($A24="","",IF(AND(I24&gt;0,P24&gt;0,I24&lt;=P24),"是","否"))</f>
        <v/>
      </c>
      <c r="R24" s="20"/>
      <c r="S24" s="5"/>
      <c r="T24" s="5"/>
      <c r="U24" s="5"/>
      <c r="V24" s="19" t="str">
        <f aca="false">IF($A24="","",IF(OR(AND(O24&gt;0,I24&lt;O24),AND(T24="False",S24&lt;0.8)),"是","否"))</f>
        <v/>
      </c>
      <c r="W24" s="19" t="str">
        <f aca="false">IF($A24="","",IF(AND(I24&lt;H24,S24&lt;0.8),"是","否"))</f>
        <v/>
      </c>
      <c r="X24" s="19" t="str">
        <f aca="false">IF($A24="","",IF(AND(R24&lt;60%,S24&gt;0.8,T24="True",U24="一卖"),"是","否"))</f>
        <v/>
      </c>
      <c r="Y24" s="19" t="str">
        <f aca="false">IF($A24="","",IF(D24="是","否",IF(N24&gt;LOOKUP(2,1/(账户总表!$A:$A&lt;&gt;""),账户总表!$O:$O),"是","否")))</f>
        <v/>
      </c>
      <c r="Z24" s="19" t="str">
        <f aca="false">IF($A24="","",IF(M24&gt;=0,"盈利","亏损"))</f>
        <v/>
      </c>
      <c r="AA24" s="19" t="str">
        <f aca="false">IF($A24="","",IF(OR(Q24="是",M24&lt;=-8%,V24="是",X24="是"),"卖出",IF(Y24="是","减仓",IF(W24="是","观察","持有"))))</f>
        <v/>
      </c>
      <c r="AB24" s="19" t="str">
        <f aca="false">IF($A24="","",IF(D24="是",IF(I24&lt;=E24*0.92,"立即卖出(WAIVED止损)","继续持有(WAIVED)"),IF(OR(M24&lt;=-10%,Q24="是"),"立即卖出",IF(OR(AA24="卖出",V24="是",X24="是"),"次日卖出",IF(AND(Y24="是",NOT(OR(Q24="是",M24&lt;=-8%,V24="是",X24="是"))),"减仓至上限",IF(W24="是","观察","继续持有"))))))</f>
        <v/>
      </c>
      <c r="AC24" s="19" t="str">
        <f aca="false">IF($A24="","",IF(Q24="是","触发止损",IF(M24&lt;=-8%,"固定止损",IF(V24="是","信号失效",IF(X24="是","确认一卖",IF(Y24="是","单股超限",IF(W24="是","DL_P弱化","规则内持有")))))))</f>
        <v/>
      </c>
      <c r="AD24" s="5"/>
    </row>
    <row r="25" customFormat="false" ht="15" hidden="false" customHeight="true" outlineLevel="0" collapsed="false">
      <c r="A25" s="7"/>
      <c r="B25" s="7"/>
      <c r="C25" s="7"/>
      <c r="D25" s="12"/>
      <c r="E25" s="24"/>
      <c r="F25" s="7"/>
      <c r="G25" s="25"/>
      <c r="H25" s="24"/>
      <c r="I25" s="24"/>
      <c r="J25" s="15" t="n">
        <f aca="false">IFERROR(G25*I25,0)</f>
        <v>0</v>
      </c>
      <c r="K25" s="15" t="n">
        <f aca="false">IFERROR(G25*H25,0)</f>
        <v>0</v>
      </c>
      <c r="L25" s="15" t="n">
        <f aca="false">IFERROR(J25-K25,0)</f>
        <v>0</v>
      </c>
      <c r="M25" s="16" t="n">
        <f aca="false">IFERROR((I25-H25)/H25,0)</f>
        <v>0</v>
      </c>
      <c r="N25" s="16" t="n">
        <f aca="false">IFERROR(J25/INDEX(账户总表!$B:$B,MATCH($A25,账户总表!$A:$A,0)),0)</f>
        <v>0</v>
      </c>
      <c r="O25" s="24"/>
      <c r="P25" s="15" t="str">
        <f aca="false">IF($A25="","",IF($D25="是",IF(E25&gt;0,E25*0.92,MAX(O25*0.98,H25*0.92)),MAX(O25*0.98,H25*0.92)))</f>
        <v/>
      </c>
      <c r="Q25" s="4" t="str">
        <f aca="false">IF($A25="","",IF(AND(I25&gt;0,P25&gt;0,I25&lt;=P25),"是","否"))</f>
        <v/>
      </c>
      <c r="R25" s="26"/>
      <c r="S25" s="7"/>
      <c r="T25" s="7"/>
      <c r="U25" s="7"/>
      <c r="V25" s="19" t="str">
        <f aca="false">IF($A25="","",IF(OR(AND(O25&gt;0,I25&lt;O25),AND(T25="False",S25&lt;0.8)),"是","否"))</f>
        <v/>
      </c>
      <c r="W25" s="19" t="str">
        <f aca="false">IF($A25="","",IF(AND(I25&lt;H25,S25&lt;0.8),"是","否"))</f>
        <v/>
      </c>
      <c r="X25" s="19" t="str">
        <f aca="false">IF($A25="","",IF(AND(R25&lt;60%,S25&gt;0.8,T25="True",U25="一卖"),"是","否"))</f>
        <v/>
      </c>
      <c r="Y25" s="19" t="str">
        <f aca="false">IF($A25="","",IF(D25="是","否",IF(N25&gt;LOOKUP(2,1/(账户总表!$A:$A&lt;&gt;""),账户总表!$O:$O),"是","否")))</f>
        <v/>
      </c>
      <c r="Z25" s="19" t="str">
        <f aca="false">IF($A25="","",IF(M25&gt;=0,"盈利","亏损"))</f>
        <v/>
      </c>
      <c r="AA25" s="19" t="str">
        <f aca="false">IF($A25="","",IF(OR(Q25="是",M25&lt;=-8%,V25="是",X25="是"),"卖出",IF(Y25="是","减仓",IF(W25="是","观察","持有"))))</f>
        <v/>
      </c>
      <c r="AB25" s="19" t="str">
        <f aca="false">IF($A25="","",IF(D25="是",IF(I25&lt;=E25*0.92,"立即卖出(WAIVED止损)","继续持有(WAIVED)"),IF(OR(M25&lt;=-10%,Q25="是"),"立即卖出",IF(OR(AA25="卖出",V25="是",X25="是"),"次日卖出",IF(AND(Y25="是",NOT(OR(Q25="是",M25&lt;=-8%,V25="是",X25="是"))),"减仓至上限",IF(W25="是","观察","继续持有"))))))</f>
        <v/>
      </c>
      <c r="AC25" s="19" t="str">
        <f aca="false">IF($A25="","",IF(Q25="是","触发止损",IF(M25&lt;=-8%,"固定止损",IF(V25="是","信号失效",IF(X25="是","确认一卖",IF(Y25="是","单股超限",IF(W25="是","DL_P弱化","规则内持有")))))))</f>
        <v/>
      </c>
      <c r="AD25" s="7"/>
    </row>
    <row r="26" customFormat="false" ht="15" hidden="false" customHeight="true" outlineLevel="0" collapsed="false">
      <c r="A26" s="5"/>
      <c r="B26" s="5"/>
      <c r="C26" s="5"/>
      <c r="D26" s="11"/>
      <c r="E26" s="14"/>
      <c r="F26" s="5"/>
      <c r="G26" s="17"/>
      <c r="H26" s="14"/>
      <c r="I26" s="14"/>
      <c r="J26" s="15" t="n">
        <f aca="false">IFERROR(G26*I26,0)</f>
        <v>0</v>
      </c>
      <c r="K26" s="15" t="n">
        <f aca="false">IFERROR(G26*H26,0)</f>
        <v>0</v>
      </c>
      <c r="L26" s="15" t="n">
        <f aca="false">IFERROR(J26-K26,0)</f>
        <v>0</v>
      </c>
      <c r="M26" s="16" t="n">
        <f aca="false">IFERROR((I26-H26)/H26,0)</f>
        <v>0</v>
      </c>
      <c r="N26" s="16" t="n">
        <f aca="false">IFERROR(J26/INDEX(账户总表!$B:$B,MATCH($A26,账户总表!$A:$A,0)),0)</f>
        <v>0</v>
      </c>
      <c r="O26" s="14"/>
      <c r="P26" s="15" t="str">
        <f aca="false">IF($A26="","",IF($D26="是",IF(E26&gt;0,E26*0.92,MAX(O26*0.98,H26*0.92)),MAX(O26*0.98,H26*0.92)))</f>
        <v/>
      </c>
      <c r="Q26" s="4" t="str">
        <f aca="false">IF($A26="","",IF(AND(I26&gt;0,P26&gt;0,I26&lt;=P26),"是","否"))</f>
        <v/>
      </c>
      <c r="R26" s="20"/>
      <c r="S26" s="5"/>
      <c r="T26" s="5"/>
      <c r="U26" s="5"/>
      <c r="V26" s="19" t="str">
        <f aca="false">IF($A26="","",IF(OR(AND(O26&gt;0,I26&lt;O26),AND(T26="False",S26&lt;0.8)),"是","否"))</f>
        <v/>
      </c>
      <c r="W26" s="19" t="str">
        <f aca="false">IF($A26="","",IF(AND(I26&lt;H26,S26&lt;0.8),"是","否"))</f>
        <v/>
      </c>
      <c r="X26" s="19" t="str">
        <f aca="false">IF($A26="","",IF(AND(R26&lt;60%,S26&gt;0.8,T26="True",U26="一卖"),"是","否"))</f>
        <v/>
      </c>
      <c r="Y26" s="19" t="str">
        <f aca="false">IF($A26="","",IF(D26="是","否",IF(N26&gt;LOOKUP(2,1/(账户总表!$A:$A&lt;&gt;""),账户总表!$O:$O),"是","否")))</f>
        <v/>
      </c>
      <c r="Z26" s="19" t="str">
        <f aca="false">IF($A26="","",IF(M26&gt;=0,"盈利","亏损"))</f>
        <v/>
      </c>
      <c r="AA26" s="19" t="str">
        <f aca="false">IF($A26="","",IF(OR(Q26="是",M26&lt;=-8%,V26="是",X26="是"),"卖出",IF(Y26="是","减仓",IF(W26="是","观察","持有"))))</f>
        <v/>
      </c>
      <c r="AB26" s="19" t="str">
        <f aca="false">IF($A26="","",IF(D26="是",IF(I26&lt;=E26*0.92,"立即卖出(WAIVED止损)","继续持有(WAIVED)"),IF(OR(M26&lt;=-10%,Q26="是"),"立即卖出",IF(OR(AA26="卖出",V26="是",X26="是"),"次日卖出",IF(AND(Y26="是",NOT(OR(Q26="是",M26&lt;=-8%,V26="是",X26="是"))),"减仓至上限",IF(W26="是","观察","继续持有"))))))</f>
        <v/>
      </c>
      <c r="AC26" s="19" t="str">
        <f aca="false">IF($A26="","",IF(Q26="是","触发止损",IF(M26&lt;=-8%,"固定止损",IF(V26="是","信号失效",IF(X26="是","确认一卖",IF(Y26="是","单股超限",IF(W26="是","DL_P弱化","规则内持有")))))))</f>
        <v/>
      </c>
      <c r="AD26" s="5"/>
    </row>
    <row r="27" customFormat="false" ht="15" hidden="false" customHeight="true" outlineLevel="0" collapsed="false">
      <c r="A27" s="7"/>
      <c r="B27" s="7"/>
      <c r="C27" s="7"/>
      <c r="D27" s="12"/>
      <c r="E27" s="24"/>
      <c r="F27" s="7"/>
      <c r="G27" s="25"/>
      <c r="H27" s="24"/>
      <c r="I27" s="24"/>
      <c r="J27" s="15" t="n">
        <f aca="false">IFERROR(G27*I27,0)</f>
        <v>0</v>
      </c>
      <c r="K27" s="15" t="n">
        <f aca="false">IFERROR(G27*H27,0)</f>
        <v>0</v>
      </c>
      <c r="L27" s="15" t="n">
        <f aca="false">IFERROR(J27-K27,0)</f>
        <v>0</v>
      </c>
      <c r="M27" s="16" t="n">
        <f aca="false">IFERROR((I27-H27)/H27,0)</f>
        <v>0</v>
      </c>
      <c r="N27" s="16" t="n">
        <f aca="false">IFERROR(J27/INDEX(账户总表!$B:$B,MATCH($A27,账户总表!$A:$A,0)),0)</f>
        <v>0</v>
      </c>
      <c r="O27" s="24"/>
      <c r="P27" s="15" t="str">
        <f aca="false">IF($A27="","",IF($D27="是",IF(E27&gt;0,E27*0.92,MAX(O27*0.98,H27*0.92)),MAX(O27*0.98,H27*0.92)))</f>
        <v/>
      </c>
      <c r="Q27" s="4" t="str">
        <f aca="false">IF($A27="","",IF(AND(I27&gt;0,P27&gt;0,I27&lt;=P27),"是","否"))</f>
        <v/>
      </c>
      <c r="R27" s="26"/>
      <c r="S27" s="7"/>
      <c r="T27" s="7"/>
      <c r="U27" s="7"/>
      <c r="V27" s="19" t="str">
        <f aca="false">IF($A27="","",IF(OR(AND(O27&gt;0,I27&lt;O27),AND(T27="False",S27&lt;0.8)),"是","否"))</f>
        <v/>
      </c>
      <c r="W27" s="19" t="str">
        <f aca="false">IF($A27="","",IF(AND(I27&lt;H27,S27&lt;0.8),"是","否"))</f>
        <v/>
      </c>
      <c r="X27" s="19" t="str">
        <f aca="false">IF($A27="","",IF(AND(R27&lt;60%,S27&gt;0.8,T27="True",U27="一卖"),"是","否"))</f>
        <v/>
      </c>
      <c r="Y27" s="19" t="str">
        <f aca="false">IF($A27="","",IF(D27="是","否",IF(N27&gt;LOOKUP(2,1/(账户总表!$A:$A&lt;&gt;""),账户总表!$O:$O),"是","否")))</f>
        <v/>
      </c>
      <c r="Z27" s="19" t="str">
        <f aca="false">IF($A27="","",IF(M27&gt;=0,"盈利","亏损"))</f>
        <v/>
      </c>
      <c r="AA27" s="19" t="str">
        <f aca="false">IF($A27="","",IF(OR(Q27="是",M27&lt;=-8%,V27="是",X27="是"),"卖出",IF(Y27="是","减仓",IF(W27="是","观察","持有"))))</f>
        <v/>
      </c>
      <c r="AB27" s="19" t="str">
        <f aca="false">IF($A27="","",IF(D27="是",IF(I27&lt;=E27*0.92,"立即卖出(WAIVED止损)","继续持有(WAIVED)"),IF(OR(M27&lt;=-10%,Q27="是"),"立即卖出",IF(OR(AA27="卖出",V27="是",X27="是"),"次日卖出",IF(AND(Y27="是",NOT(OR(Q27="是",M27&lt;=-8%,V27="是",X27="是"))),"减仓至上限",IF(W27="是","观察","继续持有"))))))</f>
        <v/>
      </c>
      <c r="AC27" s="19" t="str">
        <f aca="false">IF($A27="","",IF(Q27="是","触发止损",IF(M27&lt;=-8%,"固定止损",IF(V27="是","信号失效",IF(X27="是","确认一卖",IF(Y27="是","单股超限",IF(W27="是","DL_P弱化","规则内持有")))))))</f>
        <v/>
      </c>
      <c r="AD27" s="7"/>
    </row>
    <row r="28" customFormat="false" ht="15" hidden="false" customHeight="true" outlineLevel="0" collapsed="false">
      <c r="A28" s="5"/>
      <c r="B28" s="5"/>
      <c r="C28" s="5"/>
      <c r="D28" s="11"/>
      <c r="E28" s="14"/>
      <c r="F28" s="5"/>
      <c r="G28" s="17"/>
      <c r="H28" s="14"/>
      <c r="I28" s="14"/>
      <c r="J28" s="15" t="n">
        <f aca="false">IFERROR(G28*I28,0)</f>
        <v>0</v>
      </c>
      <c r="K28" s="15" t="n">
        <f aca="false">IFERROR(G28*H28,0)</f>
        <v>0</v>
      </c>
      <c r="L28" s="15" t="n">
        <f aca="false">IFERROR(J28-K28,0)</f>
        <v>0</v>
      </c>
      <c r="M28" s="16" t="n">
        <f aca="false">IFERROR((I28-H28)/H28,0)</f>
        <v>0</v>
      </c>
      <c r="N28" s="16" t="n">
        <f aca="false">IFERROR(J28/INDEX(账户总表!$B:$B,MATCH($A28,账户总表!$A:$A,0)),0)</f>
        <v>0</v>
      </c>
      <c r="O28" s="14"/>
      <c r="P28" s="15" t="str">
        <f aca="false">IF($A28="","",IF($D28="是",IF(E28&gt;0,E28*0.92,MAX(O28*0.98,H28*0.92)),MAX(O28*0.98,H28*0.92)))</f>
        <v/>
      </c>
      <c r="Q28" s="4" t="str">
        <f aca="false">IF($A28="","",IF(AND(I28&gt;0,P28&gt;0,I28&lt;=P28),"是","否"))</f>
        <v/>
      </c>
      <c r="R28" s="20"/>
      <c r="S28" s="5"/>
      <c r="T28" s="5"/>
      <c r="U28" s="5"/>
      <c r="V28" s="19" t="str">
        <f aca="false">IF($A28="","",IF(OR(AND(O28&gt;0,I28&lt;O28),AND(T28="False",S28&lt;0.8)),"是","否"))</f>
        <v/>
      </c>
      <c r="W28" s="19" t="str">
        <f aca="false">IF($A28="","",IF(AND(I28&lt;H28,S28&lt;0.8),"是","否"))</f>
        <v/>
      </c>
      <c r="X28" s="19" t="str">
        <f aca="false">IF($A28="","",IF(AND(R28&lt;60%,S28&gt;0.8,T28="True",U28="一卖"),"是","否"))</f>
        <v/>
      </c>
      <c r="Y28" s="19" t="str">
        <f aca="false">IF($A28="","",IF(D28="是","否",IF(N28&gt;LOOKUP(2,1/(账户总表!$A:$A&lt;&gt;""),账户总表!$O:$O),"是","否")))</f>
        <v/>
      </c>
      <c r="Z28" s="19" t="str">
        <f aca="false">IF($A28="","",IF(M28&gt;=0,"盈利","亏损"))</f>
        <v/>
      </c>
      <c r="AA28" s="19" t="str">
        <f aca="false">IF($A28="","",IF(OR(Q28="是",M28&lt;=-8%,V28="是",X28="是"),"卖出",IF(Y28="是","减仓",IF(W28="是","观察","持有"))))</f>
        <v/>
      </c>
      <c r="AB28" s="19" t="str">
        <f aca="false">IF($A28="","",IF(D28="是",IF(I28&lt;=E28*0.92,"立即卖出(WAIVED止损)","继续持有(WAIVED)"),IF(OR(M28&lt;=-10%,Q28="是"),"立即卖出",IF(OR(AA28="卖出",V28="是",X28="是"),"次日卖出",IF(AND(Y28="是",NOT(OR(Q28="是",M28&lt;=-8%,V28="是",X28="是"))),"减仓至上限",IF(W28="是","观察","继续持有"))))))</f>
        <v/>
      </c>
      <c r="AC28" s="19" t="str">
        <f aca="false">IF($A28="","",IF(Q28="是","触发止损",IF(M28&lt;=-8%,"固定止损",IF(V28="是","信号失效",IF(X28="是","确认一卖",IF(Y28="是","单股超限",IF(W28="是","DL_P弱化","规则内持有")))))))</f>
        <v/>
      </c>
      <c r="AD28" s="5"/>
    </row>
    <row r="29" customFormat="false" ht="15" hidden="false" customHeight="true" outlineLevel="0" collapsed="false">
      <c r="A29" s="7"/>
      <c r="B29" s="7"/>
      <c r="C29" s="7"/>
      <c r="D29" s="12"/>
      <c r="E29" s="24"/>
      <c r="F29" s="7"/>
      <c r="G29" s="25"/>
      <c r="H29" s="24"/>
      <c r="I29" s="24"/>
      <c r="J29" s="15" t="n">
        <f aca="false">IFERROR(G29*I29,0)</f>
        <v>0</v>
      </c>
      <c r="K29" s="15" t="n">
        <f aca="false">IFERROR(G29*H29,0)</f>
        <v>0</v>
      </c>
      <c r="L29" s="15" t="n">
        <f aca="false">IFERROR(J29-K29,0)</f>
        <v>0</v>
      </c>
      <c r="M29" s="16" t="n">
        <f aca="false">IFERROR((I29-H29)/H29,0)</f>
        <v>0</v>
      </c>
      <c r="N29" s="16" t="n">
        <f aca="false">IFERROR(J29/INDEX(账户总表!$B:$B,MATCH($A29,账户总表!$A:$A,0)),0)</f>
        <v>0</v>
      </c>
      <c r="O29" s="24"/>
      <c r="P29" s="15" t="str">
        <f aca="false">IF($A29="","",IF($D29="是",IF(E29&gt;0,E29*0.92,MAX(O29*0.98,H29*0.92)),MAX(O29*0.98,H29*0.92)))</f>
        <v/>
      </c>
      <c r="Q29" s="4" t="str">
        <f aca="false">IF($A29="","",IF(AND(I29&gt;0,P29&gt;0,I29&lt;=P29),"是","否"))</f>
        <v/>
      </c>
      <c r="R29" s="26"/>
      <c r="S29" s="7"/>
      <c r="T29" s="7"/>
      <c r="U29" s="7"/>
      <c r="V29" s="19" t="str">
        <f aca="false">IF($A29="","",IF(OR(AND(O29&gt;0,I29&lt;O29),AND(T29="False",S29&lt;0.8)),"是","否"))</f>
        <v/>
      </c>
      <c r="W29" s="19" t="str">
        <f aca="false">IF($A29="","",IF(AND(I29&lt;H29,S29&lt;0.8),"是","否"))</f>
        <v/>
      </c>
      <c r="X29" s="19" t="str">
        <f aca="false">IF($A29="","",IF(AND(R29&lt;60%,S29&gt;0.8,T29="True",U29="一卖"),"是","否"))</f>
        <v/>
      </c>
      <c r="Y29" s="19" t="str">
        <f aca="false">IF($A29="","",IF(D29="是","否",IF(N29&gt;LOOKUP(2,1/(账户总表!$A:$A&lt;&gt;""),账户总表!$O:$O),"是","否")))</f>
        <v/>
      </c>
      <c r="Z29" s="19" t="str">
        <f aca="false">IF($A29="","",IF(M29&gt;=0,"盈利","亏损"))</f>
        <v/>
      </c>
      <c r="AA29" s="19" t="str">
        <f aca="false">IF($A29="","",IF(OR(Q29="是",M29&lt;=-8%,V29="是",X29="是"),"卖出",IF(Y29="是","减仓",IF(W29="是","观察","持有"))))</f>
        <v/>
      </c>
      <c r="AB29" s="19" t="str">
        <f aca="false">IF($A29="","",IF(D29="是",IF(I29&lt;=E29*0.92,"立即卖出(WAIVED止损)","继续持有(WAIVED)"),IF(OR(M29&lt;=-10%,Q29="是"),"立即卖出",IF(OR(AA29="卖出",V29="是",X29="是"),"次日卖出",IF(AND(Y29="是",NOT(OR(Q29="是",M29&lt;=-8%,V29="是",X29="是"))),"减仓至上限",IF(W29="是","观察","继续持有"))))))</f>
        <v/>
      </c>
      <c r="AC29" s="19" t="str">
        <f aca="false">IF($A29="","",IF(Q29="是","触发止损",IF(M29&lt;=-8%,"固定止损",IF(V29="是","信号失效",IF(X29="是","确认一卖",IF(Y29="是","单股超限",IF(W29="是","DL_P弱化","规则内持有")))))))</f>
        <v/>
      </c>
      <c r="AD29" s="7"/>
    </row>
    <row r="30" customFormat="false" ht="15" hidden="false" customHeight="true" outlineLevel="0" collapsed="false">
      <c r="A30" s="5"/>
      <c r="B30" s="5"/>
      <c r="C30" s="5"/>
      <c r="D30" s="11"/>
      <c r="E30" s="14"/>
      <c r="F30" s="5"/>
      <c r="G30" s="17"/>
      <c r="H30" s="14"/>
      <c r="I30" s="14"/>
      <c r="J30" s="15" t="n">
        <f aca="false">IFERROR(G30*I30,0)</f>
        <v>0</v>
      </c>
      <c r="K30" s="15" t="n">
        <f aca="false">IFERROR(G30*H30,0)</f>
        <v>0</v>
      </c>
      <c r="L30" s="15" t="n">
        <f aca="false">IFERROR(J30-K30,0)</f>
        <v>0</v>
      </c>
      <c r="M30" s="16" t="n">
        <f aca="false">IFERROR((I30-H30)/H30,0)</f>
        <v>0</v>
      </c>
      <c r="N30" s="16" t="n">
        <f aca="false">IFERROR(J30/INDEX(账户总表!$B:$B,MATCH($A30,账户总表!$A:$A,0)),0)</f>
        <v>0</v>
      </c>
      <c r="O30" s="14"/>
      <c r="P30" s="15" t="str">
        <f aca="false">IF($A30="","",IF($D30="是",IF(E30&gt;0,E30*0.92,MAX(O30*0.98,H30*0.92)),MAX(O30*0.98,H30*0.92)))</f>
        <v/>
      </c>
      <c r="Q30" s="4" t="str">
        <f aca="false">IF($A30="","",IF(AND(I30&gt;0,P30&gt;0,I30&lt;=P30),"是","否"))</f>
        <v/>
      </c>
      <c r="R30" s="20"/>
      <c r="S30" s="5"/>
      <c r="T30" s="5"/>
      <c r="U30" s="5"/>
      <c r="V30" s="19" t="str">
        <f aca="false">IF($A30="","",IF(OR(AND(O30&gt;0,I30&lt;O30),AND(T30="False",S30&lt;0.8)),"是","否"))</f>
        <v/>
      </c>
      <c r="W30" s="19" t="str">
        <f aca="false">IF($A30="","",IF(AND(I30&lt;H30,S30&lt;0.8),"是","否"))</f>
        <v/>
      </c>
      <c r="X30" s="19" t="str">
        <f aca="false">IF($A30="","",IF(AND(R30&lt;60%,S30&gt;0.8,T30="True",U30="一卖"),"是","否"))</f>
        <v/>
      </c>
      <c r="Y30" s="19" t="str">
        <f aca="false">IF($A30="","",IF(D30="是","否",IF(N30&gt;LOOKUP(2,1/(账户总表!$A:$A&lt;&gt;""),账户总表!$O:$O),"是","否")))</f>
        <v/>
      </c>
      <c r="Z30" s="19" t="str">
        <f aca="false">IF($A30="","",IF(M30&gt;=0,"盈利","亏损"))</f>
        <v/>
      </c>
      <c r="AA30" s="19" t="str">
        <f aca="false">IF($A30="","",IF(OR(Q30="是",M30&lt;=-8%,V30="是",X30="是"),"卖出",IF(Y30="是","减仓",IF(W30="是","观察","持有"))))</f>
        <v/>
      </c>
      <c r="AB30" s="19" t="str">
        <f aca="false">IF($A30="","",IF(D30="是",IF(I30&lt;=E30*0.92,"立即卖出(WAIVED止损)","继续持有(WAIVED)"),IF(OR(M30&lt;=-10%,Q30="是"),"立即卖出",IF(OR(AA30="卖出",V30="是",X30="是"),"次日卖出",IF(AND(Y30="是",NOT(OR(Q30="是",M30&lt;=-8%,V30="是",X30="是"))),"减仓至上限",IF(W30="是","观察","继续持有"))))))</f>
        <v/>
      </c>
      <c r="AC30" s="19" t="str">
        <f aca="false">IF($A30="","",IF(Q30="是","触发止损",IF(M30&lt;=-8%,"固定止损",IF(V30="是","信号失效",IF(X30="是","确认一卖",IF(Y30="是","单股超限",IF(W30="是","DL_P弱化","规则内持有")))))))</f>
        <v/>
      </c>
      <c r="AD30" s="5"/>
    </row>
    <row r="31" customFormat="false" ht="15" hidden="false" customHeight="true" outlineLevel="0" collapsed="false">
      <c r="A31" s="7"/>
      <c r="B31" s="7"/>
      <c r="C31" s="7"/>
      <c r="D31" s="12"/>
      <c r="E31" s="24"/>
      <c r="F31" s="7"/>
      <c r="G31" s="25"/>
      <c r="H31" s="24"/>
      <c r="I31" s="24"/>
      <c r="J31" s="15" t="n">
        <f aca="false">IFERROR(G31*I31,0)</f>
        <v>0</v>
      </c>
      <c r="K31" s="15" t="n">
        <f aca="false">IFERROR(G31*H31,0)</f>
        <v>0</v>
      </c>
      <c r="L31" s="15" t="n">
        <f aca="false">IFERROR(J31-K31,0)</f>
        <v>0</v>
      </c>
      <c r="M31" s="16" t="n">
        <f aca="false">IFERROR((I31-H31)/H31,0)</f>
        <v>0</v>
      </c>
      <c r="N31" s="16" t="n">
        <f aca="false">IFERROR(J31/INDEX(账户总表!$B:$B,MATCH($A31,账户总表!$A:$A,0)),0)</f>
        <v>0</v>
      </c>
      <c r="O31" s="24"/>
      <c r="P31" s="15" t="str">
        <f aca="false">IF($A31="","",IF($D31="是",IF(E31&gt;0,E31*0.92,MAX(O31*0.98,H31*0.92)),MAX(O31*0.98,H31*0.92)))</f>
        <v/>
      </c>
      <c r="Q31" s="4" t="str">
        <f aca="false">IF($A31="","",IF(AND(I31&gt;0,P31&gt;0,I31&lt;=P31),"是","否"))</f>
        <v/>
      </c>
      <c r="R31" s="26"/>
      <c r="S31" s="7"/>
      <c r="T31" s="7"/>
      <c r="U31" s="7"/>
      <c r="V31" s="19" t="str">
        <f aca="false">IF($A31="","",IF(OR(AND(O31&gt;0,I31&lt;O31),AND(T31="False",S31&lt;0.8)),"是","否"))</f>
        <v/>
      </c>
      <c r="W31" s="19" t="str">
        <f aca="false">IF($A31="","",IF(AND(I31&lt;H31,S31&lt;0.8),"是","否"))</f>
        <v/>
      </c>
      <c r="X31" s="19" t="str">
        <f aca="false">IF($A31="","",IF(AND(R31&lt;60%,S31&gt;0.8,T31="True",U31="一卖"),"是","否"))</f>
        <v/>
      </c>
      <c r="Y31" s="19" t="str">
        <f aca="false">IF($A31="","",IF(D31="是","否",IF(N31&gt;LOOKUP(2,1/(账户总表!$A:$A&lt;&gt;""),账户总表!$O:$O),"是","否")))</f>
        <v/>
      </c>
      <c r="Z31" s="19" t="str">
        <f aca="false">IF($A31="","",IF(M31&gt;=0,"盈利","亏损"))</f>
        <v/>
      </c>
      <c r="AA31" s="19" t="str">
        <f aca="false">IF($A31="","",IF(OR(Q31="是",M31&lt;=-8%,V31="是",X31="是"),"卖出",IF(Y31="是","减仓",IF(W31="是","观察","持有"))))</f>
        <v/>
      </c>
      <c r="AB31" s="19" t="str">
        <f aca="false">IF($A31="","",IF(D31="是",IF(I31&lt;=E31*0.92,"立即卖出(WAIVED止损)","继续持有(WAIVED)"),IF(OR(M31&lt;=-10%,Q31="是"),"立即卖出",IF(OR(AA31="卖出",V31="是",X31="是"),"次日卖出",IF(AND(Y31="是",NOT(OR(Q31="是",M31&lt;=-8%,V31="是",X31="是"))),"减仓至上限",IF(W31="是","观察","继续持有"))))))</f>
        <v/>
      </c>
      <c r="AC31" s="19" t="str">
        <f aca="false">IF($A31="","",IF(Q31="是","触发止损",IF(M31&lt;=-8%,"固定止损",IF(V31="是","信号失效",IF(X31="是","确认一卖",IF(Y31="是","单股超限",IF(W31="是","DL_P弱化","规则内持有")))))))</f>
        <v/>
      </c>
      <c r="AD31" s="7"/>
    </row>
    <row r="32" customFormat="false" ht="15" hidden="false" customHeight="true" outlineLevel="0" collapsed="false">
      <c r="A32" s="5"/>
      <c r="B32" s="5"/>
      <c r="C32" s="5"/>
      <c r="D32" s="11"/>
      <c r="E32" s="14"/>
      <c r="F32" s="5"/>
      <c r="G32" s="17"/>
      <c r="H32" s="14"/>
      <c r="I32" s="14"/>
      <c r="J32" s="15" t="n">
        <f aca="false">IFERROR(G32*I32,0)</f>
        <v>0</v>
      </c>
      <c r="K32" s="15" t="n">
        <f aca="false">IFERROR(G32*H32,0)</f>
        <v>0</v>
      </c>
      <c r="L32" s="15" t="n">
        <f aca="false">IFERROR(J32-K32,0)</f>
        <v>0</v>
      </c>
      <c r="M32" s="16" t="n">
        <f aca="false">IFERROR((I32-H32)/H32,0)</f>
        <v>0</v>
      </c>
      <c r="N32" s="16" t="n">
        <f aca="false">IFERROR(J32/INDEX(账户总表!$B:$B,MATCH($A32,账户总表!$A:$A,0)),0)</f>
        <v>0</v>
      </c>
      <c r="O32" s="14"/>
      <c r="P32" s="15" t="str">
        <f aca="false">IF($A32="","",IF($D32="是",IF(E32&gt;0,E32*0.92,MAX(O32*0.98,H32*0.92)),MAX(O32*0.98,H32*0.92)))</f>
        <v/>
      </c>
      <c r="Q32" s="4" t="str">
        <f aca="false">IF($A32="","",IF(AND(I32&gt;0,P32&gt;0,I32&lt;=P32),"是","否"))</f>
        <v/>
      </c>
      <c r="R32" s="20"/>
      <c r="S32" s="5"/>
      <c r="T32" s="5"/>
      <c r="U32" s="5"/>
      <c r="V32" s="19" t="str">
        <f aca="false">IF($A32="","",IF(OR(AND(O32&gt;0,I32&lt;O32),AND(T32="False",S32&lt;0.8)),"是","否"))</f>
        <v/>
      </c>
      <c r="W32" s="19" t="str">
        <f aca="false">IF($A32="","",IF(AND(I32&lt;H32,S32&lt;0.8),"是","否"))</f>
        <v/>
      </c>
      <c r="X32" s="19" t="str">
        <f aca="false">IF($A32="","",IF(AND(R32&lt;60%,S32&gt;0.8,T32="True",U32="一卖"),"是","否"))</f>
        <v/>
      </c>
      <c r="Y32" s="19" t="str">
        <f aca="false">IF($A32="","",IF(D32="是","否",IF(N32&gt;LOOKUP(2,1/(账户总表!$A:$A&lt;&gt;""),账户总表!$O:$O),"是","否")))</f>
        <v/>
      </c>
      <c r="Z32" s="19" t="str">
        <f aca="false">IF($A32="","",IF(M32&gt;=0,"盈利","亏损"))</f>
        <v/>
      </c>
      <c r="AA32" s="19" t="str">
        <f aca="false">IF($A32="","",IF(OR(Q32="是",M32&lt;=-8%,V32="是",X32="是"),"卖出",IF(Y32="是","减仓",IF(W32="是","观察","持有"))))</f>
        <v/>
      </c>
      <c r="AB32" s="19" t="str">
        <f aca="false">IF($A32="","",IF(D32="是",IF(I32&lt;=E32*0.92,"立即卖出(WAIVED止损)","继续持有(WAIVED)"),IF(OR(M32&lt;=-10%,Q32="是"),"立即卖出",IF(OR(AA32="卖出",V32="是",X32="是"),"次日卖出",IF(AND(Y32="是",NOT(OR(Q32="是",M32&lt;=-8%,V32="是",X32="是"))),"减仓至上限",IF(W32="是","观察","继续持有"))))))</f>
        <v/>
      </c>
      <c r="AC32" s="19" t="str">
        <f aca="false">IF($A32="","",IF(Q32="是","触发止损",IF(M32&lt;=-8%,"固定止损",IF(V32="是","信号失效",IF(X32="是","确认一卖",IF(Y32="是","单股超限",IF(W32="是","DL_P弱化","规则内持有")))))))</f>
        <v/>
      </c>
      <c r="AD32" s="5"/>
    </row>
    <row r="33" customFormat="false" ht="15" hidden="false" customHeight="true" outlineLevel="0" collapsed="false">
      <c r="A33" s="7"/>
      <c r="B33" s="7"/>
      <c r="C33" s="7"/>
      <c r="D33" s="12"/>
      <c r="E33" s="24"/>
      <c r="F33" s="7"/>
      <c r="G33" s="25"/>
      <c r="H33" s="24"/>
      <c r="I33" s="24"/>
      <c r="J33" s="15" t="n">
        <f aca="false">IFERROR(G33*I33,0)</f>
        <v>0</v>
      </c>
      <c r="K33" s="15" t="n">
        <f aca="false">IFERROR(G33*H33,0)</f>
        <v>0</v>
      </c>
      <c r="L33" s="15" t="n">
        <f aca="false">IFERROR(J33-K33,0)</f>
        <v>0</v>
      </c>
      <c r="M33" s="16" t="n">
        <f aca="false">IFERROR((I33-H33)/H33,0)</f>
        <v>0</v>
      </c>
      <c r="N33" s="16" t="n">
        <f aca="false">IFERROR(J33/INDEX(账户总表!$B:$B,MATCH($A33,账户总表!$A:$A,0)),0)</f>
        <v>0</v>
      </c>
      <c r="O33" s="24"/>
      <c r="P33" s="15" t="str">
        <f aca="false">IF($A33="","",IF($D33="是",IF(E33&gt;0,E33*0.92,MAX(O33*0.98,H33*0.92)),MAX(O33*0.98,H33*0.92)))</f>
        <v/>
      </c>
      <c r="Q33" s="4" t="str">
        <f aca="false">IF($A33="","",IF(AND(I33&gt;0,P33&gt;0,I33&lt;=P33),"是","否"))</f>
        <v/>
      </c>
      <c r="R33" s="26"/>
      <c r="S33" s="7"/>
      <c r="T33" s="7"/>
      <c r="U33" s="7"/>
      <c r="V33" s="19" t="str">
        <f aca="false">IF($A33="","",IF(OR(AND(O33&gt;0,I33&lt;O33),AND(T33="False",S33&lt;0.8)),"是","否"))</f>
        <v/>
      </c>
      <c r="W33" s="19" t="str">
        <f aca="false">IF($A33="","",IF(AND(I33&lt;H33,S33&lt;0.8),"是","否"))</f>
        <v/>
      </c>
      <c r="X33" s="19" t="str">
        <f aca="false">IF($A33="","",IF(AND(R33&lt;60%,S33&gt;0.8,T33="True",U33="一卖"),"是","否"))</f>
        <v/>
      </c>
      <c r="Y33" s="19" t="str">
        <f aca="false">IF($A33="","",IF(D33="是","否",IF(N33&gt;LOOKUP(2,1/(账户总表!$A:$A&lt;&gt;""),账户总表!$O:$O),"是","否")))</f>
        <v/>
      </c>
      <c r="Z33" s="19" t="str">
        <f aca="false">IF($A33="","",IF(M33&gt;=0,"盈利","亏损"))</f>
        <v/>
      </c>
      <c r="AA33" s="19" t="str">
        <f aca="false">IF($A33="","",IF(OR(Q33="是",M33&lt;=-8%,V33="是",X33="是"),"卖出",IF(Y33="是","减仓",IF(W33="是","观察","持有"))))</f>
        <v/>
      </c>
      <c r="AB33" s="19" t="str">
        <f aca="false">IF($A33="","",IF(D33="是",IF(I33&lt;=E33*0.92,"立即卖出(WAIVED止损)","继续持有(WAIVED)"),IF(OR(M33&lt;=-10%,Q33="是"),"立即卖出",IF(OR(AA33="卖出",V33="是",X33="是"),"次日卖出",IF(AND(Y33="是",NOT(OR(Q33="是",M33&lt;=-8%,V33="是",X33="是"))),"减仓至上限",IF(W33="是","观察","继续持有"))))))</f>
        <v/>
      </c>
      <c r="AC33" s="19" t="str">
        <f aca="false">IF($A33="","",IF(Q33="是","触发止损",IF(M33&lt;=-8%,"固定止损",IF(V33="是","信号失效",IF(X33="是","确认一卖",IF(Y33="是","单股超限",IF(W33="是","DL_P弱化","规则内持有")))))))</f>
        <v/>
      </c>
      <c r="AD33" s="7"/>
    </row>
    <row r="34" customFormat="false" ht="15" hidden="false" customHeight="true" outlineLevel="0" collapsed="false">
      <c r="A34" s="5"/>
      <c r="B34" s="5"/>
      <c r="C34" s="5"/>
      <c r="D34" s="11"/>
      <c r="E34" s="14"/>
      <c r="F34" s="5"/>
      <c r="G34" s="17"/>
      <c r="H34" s="14"/>
      <c r="I34" s="14"/>
      <c r="J34" s="15" t="n">
        <f aca="false">IFERROR(G34*I34,0)</f>
        <v>0</v>
      </c>
      <c r="K34" s="15" t="n">
        <f aca="false">IFERROR(G34*H34,0)</f>
        <v>0</v>
      </c>
      <c r="L34" s="15" t="n">
        <f aca="false">IFERROR(J34-K34,0)</f>
        <v>0</v>
      </c>
      <c r="M34" s="16" t="n">
        <f aca="false">IFERROR((I34-H34)/H34,0)</f>
        <v>0</v>
      </c>
      <c r="N34" s="16" t="n">
        <f aca="false">IFERROR(J34/INDEX(账户总表!$B:$B,MATCH($A34,账户总表!$A:$A,0)),0)</f>
        <v>0</v>
      </c>
      <c r="O34" s="14"/>
      <c r="P34" s="15" t="str">
        <f aca="false">IF($A34="","",IF($D34="是",IF(E34&gt;0,E34*0.92,MAX(O34*0.98,H34*0.92)),MAX(O34*0.98,H34*0.92)))</f>
        <v/>
      </c>
      <c r="Q34" s="4" t="str">
        <f aca="false">IF($A34="","",IF(AND(I34&gt;0,P34&gt;0,I34&lt;=P34),"是","否"))</f>
        <v/>
      </c>
      <c r="R34" s="20"/>
      <c r="S34" s="5"/>
      <c r="T34" s="5"/>
      <c r="U34" s="5"/>
      <c r="V34" s="19" t="str">
        <f aca="false">IF($A34="","",IF(OR(AND(O34&gt;0,I34&lt;O34),AND(T34="False",S34&lt;0.8)),"是","否"))</f>
        <v/>
      </c>
      <c r="W34" s="19" t="str">
        <f aca="false">IF($A34="","",IF(AND(I34&lt;H34,S34&lt;0.8),"是","否"))</f>
        <v/>
      </c>
      <c r="X34" s="19" t="str">
        <f aca="false">IF($A34="","",IF(AND(R34&lt;60%,S34&gt;0.8,T34="True",U34="一卖"),"是","否"))</f>
        <v/>
      </c>
      <c r="Y34" s="19" t="str">
        <f aca="false">IF($A34="","",IF(D34="是","否",IF(N34&gt;LOOKUP(2,1/(账户总表!$A:$A&lt;&gt;""),账户总表!$O:$O),"是","否")))</f>
        <v/>
      </c>
      <c r="Z34" s="19" t="str">
        <f aca="false">IF($A34="","",IF(M34&gt;=0,"盈利","亏损"))</f>
        <v/>
      </c>
      <c r="AA34" s="19" t="str">
        <f aca="false">IF($A34="","",IF(OR(Q34="是",M34&lt;=-8%,V34="是",X34="是"),"卖出",IF(Y34="是","减仓",IF(W34="是","观察","持有"))))</f>
        <v/>
      </c>
      <c r="AB34" s="19" t="str">
        <f aca="false">IF($A34="","",IF(D34="是",IF(I34&lt;=E34*0.92,"立即卖出(WAIVED止损)","继续持有(WAIVED)"),IF(OR(M34&lt;=-10%,Q34="是"),"立即卖出",IF(OR(AA34="卖出",V34="是",X34="是"),"次日卖出",IF(AND(Y34="是",NOT(OR(Q34="是",M34&lt;=-8%,V34="是",X34="是"))),"减仓至上限",IF(W34="是","观察","继续持有"))))))</f>
        <v/>
      </c>
      <c r="AC34" s="19" t="str">
        <f aca="false">IF($A34="","",IF(Q34="是","触发止损",IF(M34&lt;=-8%,"固定止损",IF(V34="是","信号失效",IF(X34="是","确认一卖",IF(Y34="是","单股超限",IF(W34="是","DL_P弱化","规则内持有")))))))</f>
        <v/>
      </c>
      <c r="AD34" s="5"/>
    </row>
    <row r="35" customFormat="false" ht="15" hidden="false" customHeight="true" outlineLevel="0" collapsed="false">
      <c r="A35" s="7"/>
      <c r="B35" s="7"/>
      <c r="C35" s="7"/>
      <c r="D35" s="12"/>
      <c r="E35" s="24"/>
      <c r="F35" s="7"/>
      <c r="G35" s="25"/>
      <c r="H35" s="24"/>
      <c r="I35" s="24"/>
      <c r="J35" s="15" t="n">
        <f aca="false">IFERROR(G35*I35,0)</f>
        <v>0</v>
      </c>
      <c r="K35" s="15" t="n">
        <f aca="false">IFERROR(G35*H35,0)</f>
        <v>0</v>
      </c>
      <c r="L35" s="15" t="n">
        <f aca="false">IFERROR(J35-K35,0)</f>
        <v>0</v>
      </c>
      <c r="M35" s="16" t="n">
        <f aca="false">IFERROR((I35-H35)/H35,0)</f>
        <v>0</v>
      </c>
      <c r="N35" s="16" t="n">
        <f aca="false">IFERROR(J35/INDEX(账户总表!$B:$B,MATCH($A35,账户总表!$A:$A,0)),0)</f>
        <v>0</v>
      </c>
      <c r="O35" s="24"/>
      <c r="P35" s="15" t="str">
        <f aca="false">IF($A35="","",IF($D35="是",IF(E35&gt;0,E35*0.92,MAX(O35*0.98,H35*0.92)),MAX(O35*0.98,H35*0.92)))</f>
        <v/>
      </c>
      <c r="Q35" s="4" t="str">
        <f aca="false">IF($A35="","",IF(AND(I35&gt;0,P35&gt;0,I35&lt;=P35),"是","否"))</f>
        <v/>
      </c>
      <c r="R35" s="26"/>
      <c r="S35" s="7"/>
      <c r="T35" s="7"/>
      <c r="U35" s="7"/>
      <c r="V35" s="19" t="str">
        <f aca="false">IF($A35="","",IF(OR(AND(O35&gt;0,I35&lt;O35),AND(T35="False",S35&lt;0.8)),"是","否"))</f>
        <v/>
      </c>
      <c r="W35" s="19" t="str">
        <f aca="false">IF($A35="","",IF(AND(I35&lt;H35,S35&lt;0.8),"是","否"))</f>
        <v/>
      </c>
      <c r="X35" s="19" t="str">
        <f aca="false">IF($A35="","",IF(AND(R35&lt;60%,S35&gt;0.8,T35="True",U35="一卖"),"是","否"))</f>
        <v/>
      </c>
      <c r="Y35" s="19" t="str">
        <f aca="false">IF($A35="","",IF(D35="是","否",IF(N35&gt;LOOKUP(2,1/(账户总表!$A:$A&lt;&gt;""),账户总表!$O:$O),"是","否")))</f>
        <v/>
      </c>
      <c r="Z35" s="19" t="str">
        <f aca="false">IF($A35="","",IF(M35&gt;=0,"盈利","亏损"))</f>
        <v/>
      </c>
      <c r="AA35" s="19" t="str">
        <f aca="false">IF($A35="","",IF(OR(Q35="是",M35&lt;=-8%,V35="是",X35="是"),"卖出",IF(Y35="是","减仓",IF(W35="是","观察","持有"))))</f>
        <v/>
      </c>
      <c r="AB35" s="19" t="str">
        <f aca="false">IF($A35="","",IF(D35="是",IF(I35&lt;=E35*0.92,"立即卖出(WAIVED止损)","继续持有(WAIVED)"),IF(OR(M35&lt;=-10%,Q35="是"),"立即卖出",IF(OR(AA35="卖出",V35="是",X35="是"),"次日卖出",IF(AND(Y35="是",NOT(OR(Q35="是",M35&lt;=-8%,V35="是",X35="是"))),"减仓至上限",IF(W35="是","观察","继续持有"))))))</f>
        <v/>
      </c>
      <c r="AC35" s="19" t="str">
        <f aca="false">IF($A35="","",IF(Q35="是","触发止损",IF(M35&lt;=-8%,"固定止损",IF(V35="是","信号失效",IF(X35="是","确认一卖",IF(Y35="是","单股超限",IF(W35="是","DL_P弱化","规则内持有")))))))</f>
        <v/>
      </c>
      <c r="AD35" s="7"/>
    </row>
    <row r="36" customFormat="false" ht="15" hidden="false" customHeight="true" outlineLevel="0" collapsed="false">
      <c r="A36" s="5"/>
      <c r="B36" s="5"/>
      <c r="C36" s="5"/>
      <c r="D36" s="11"/>
      <c r="E36" s="14"/>
      <c r="F36" s="5"/>
      <c r="G36" s="17"/>
      <c r="H36" s="14"/>
      <c r="I36" s="14"/>
      <c r="J36" s="15" t="n">
        <f aca="false">IFERROR(G36*I36,0)</f>
        <v>0</v>
      </c>
      <c r="K36" s="15" t="n">
        <f aca="false">IFERROR(G36*H36,0)</f>
        <v>0</v>
      </c>
      <c r="L36" s="15" t="n">
        <f aca="false">IFERROR(J36-K36,0)</f>
        <v>0</v>
      </c>
      <c r="M36" s="16" t="n">
        <f aca="false">IFERROR((I36-H36)/H36,0)</f>
        <v>0</v>
      </c>
      <c r="N36" s="16" t="n">
        <f aca="false">IFERROR(J36/INDEX(账户总表!$B:$B,MATCH($A36,账户总表!$A:$A,0)),0)</f>
        <v>0</v>
      </c>
      <c r="O36" s="14"/>
      <c r="P36" s="15" t="str">
        <f aca="false">IF($A36="","",IF($D36="是",IF(E36&gt;0,E36*0.92,MAX(O36*0.98,H36*0.92)),MAX(O36*0.98,H36*0.92)))</f>
        <v/>
      </c>
      <c r="Q36" s="4" t="str">
        <f aca="false">IF($A36="","",IF(AND(I36&gt;0,P36&gt;0,I36&lt;=P36),"是","否"))</f>
        <v/>
      </c>
      <c r="R36" s="20"/>
      <c r="S36" s="5"/>
      <c r="T36" s="5"/>
      <c r="U36" s="5"/>
      <c r="V36" s="19" t="str">
        <f aca="false">IF($A36="","",IF(OR(AND(O36&gt;0,I36&lt;O36),AND(T36="False",S36&lt;0.8)),"是","否"))</f>
        <v/>
      </c>
      <c r="W36" s="19" t="str">
        <f aca="false">IF($A36="","",IF(AND(I36&lt;H36,S36&lt;0.8),"是","否"))</f>
        <v/>
      </c>
      <c r="X36" s="19" t="str">
        <f aca="false">IF($A36="","",IF(AND(R36&lt;60%,S36&gt;0.8,T36="True",U36="一卖"),"是","否"))</f>
        <v/>
      </c>
      <c r="Y36" s="19" t="str">
        <f aca="false">IF($A36="","",IF(D36="是","否",IF(N36&gt;LOOKUP(2,1/(账户总表!$A:$A&lt;&gt;""),账户总表!$O:$O),"是","否")))</f>
        <v/>
      </c>
      <c r="Z36" s="19" t="str">
        <f aca="false">IF($A36="","",IF(M36&gt;=0,"盈利","亏损"))</f>
        <v/>
      </c>
      <c r="AA36" s="19" t="str">
        <f aca="false">IF($A36="","",IF(OR(Q36="是",M36&lt;=-8%,V36="是",X36="是"),"卖出",IF(Y36="是","减仓",IF(W36="是","观察","持有"))))</f>
        <v/>
      </c>
      <c r="AB36" s="19" t="str">
        <f aca="false">IF($A36="","",IF(D36="是",IF(I36&lt;=E36*0.92,"立即卖出(WAIVED止损)","继续持有(WAIVED)"),IF(OR(M36&lt;=-10%,Q36="是"),"立即卖出",IF(OR(AA36="卖出",V36="是",X36="是"),"次日卖出",IF(AND(Y36="是",NOT(OR(Q36="是",M36&lt;=-8%,V36="是",X36="是"))),"减仓至上限",IF(W36="是","观察","继续持有"))))))</f>
        <v/>
      </c>
      <c r="AC36" s="19" t="str">
        <f aca="false">IF($A36="","",IF(Q36="是","触发止损",IF(M36&lt;=-8%,"固定止损",IF(V36="是","信号失效",IF(X36="是","确认一卖",IF(Y36="是","单股超限",IF(W36="是","DL_P弱化","规则内持有")))))))</f>
        <v/>
      </c>
      <c r="AD36" s="5"/>
    </row>
    <row r="37" customFormat="false" ht="15" hidden="false" customHeight="true" outlineLevel="0" collapsed="false">
      <c r="A37" s="7"/>
      <c r="B37" s="7"/>
      <c r="C37" s="7"/>
      <c r="D37" s="12"/>
      <c r="E37" s="24"/>
      <c r="F37" s="7"/>
      <c r="G37" s="25"/>
      <c r="H37" s="24"/>
      <c r="I37" s="24"/>
      <c r="J37" s="15" t="n">
        <f aca="false">IFERROR(G37*I37,0)</f>
        <v>0</v>
      </c>
      <c r="K37" s="15" t="n">
        <f aca="false">IFERROR(G37*H37,0)</f>
        <v>0</v>
      </c>
      <c r="L37" s="15" t="n">
        <f aca="false">IFERROR(J37-K37,0)</f>
        <v>0</v>
      </c>
      <c r="M37" s="16" t="n">
        <f aca="false">IFERROR((I37-H37)/H37,0)</f>
        <v>0</v>
      </c>
      <c r="N37" s="16" t="n">
        <f aca="false">IFERROR(J37/INDEX(账户总表!$B:$B,MATCH($A37,账户总表!$A:$A,0)),0)</f>
        <v>0</v>
      </c>
      <c r="O37" s="24"/>
      <c r="P37" s="15" t="str">
        <f aca="false">IF($A37="","",IF($D37="是",IF(E37&gt;0,E37*0.92,MAX(O37*0.98,H37*0.92)),MAX(O37*0.98,H37*0.92)))</f>
        <v/>
      </c>
      <c r="Q37" s="4" t="str">
        <f aca="false">IF($A37="","",IF(AND(I37&gt;0,P37&gt;0,I37&lt;=P37),"是","否"))</f>
        <v/>
      </c>
      <c r="R37" s="26"/>
      <c r="S37" s="7"/>
      <c r="T37" s="7"/>
      <c r="U37" s="7"/>
      <c r="V37" s="19" t="str">
        <f aca="false">IF($A37="","",IF(OR(AND(O37&gt;0,I37&lt;O37),AND(T37="False",S37&lt;0.8)),"是","否"))</f>
        <v/>
      </c>
      <c r="W37" s="19" t="str">
        <f aca="false">IF($A37="","",IF(AND(I37&lt;H37,S37&lt;0.8),"是","否"))</f>
        <v/>
      </c>
      <c r="X37" s="19" t="str">
        <f aca="false">IF($A37="","",IF(AND(R37&lt;60%,S37&gt;0.8,T37="True",U37="一卖"),"是","否"))</f>
        <v/>
      </c>
      <c r="Y37" s="19" t="str">
        <f aca="false">IF($A37="","",IF(D37="是","否",IF(N37&gt;LOOKUP(2,1/(账户总表!$A:$A&lt;&gt;""),账户总表!$O:$O),"是","否")))</f>
        <v/>
      </c>
      <c r="Z37" s="19" t="str">
        <f aca="false">IF($A37="","",IF(M37&gt;=0,"盈利","亏损"))</f>
        <v/>
      </c>
      <c r="AA37" s="19" t="str">
        <f aca="false">IF($A37="","",IF(OR(Q37="是",M37&lt;=-8%,V37="是",X37="是"),"卖出",IF(Y37="是","减仓",IF(W37="是","观察","持有"))))</f>
        <v/>
      </c>
      <c r="AB37" s="19" t="str">
        <f aca="false">IF($A37="","",IF(D37="是",IF(I37&lt;=E37*0.92,"立即卖出(WAIVED止损)","继续持有(WAIVED)"),IF(OR(M37&lt;=-10%,Q37="是"),"立即卖出",IF(OR(AA37="卖出",V37="是",X37="是"),"次日卖出",IF(AND(Y37="是",NOT(OR(Q37="是",M37&lt;=-8%,V37="是",X37="是"))),"减仓至上限",IF(W37="是","观察","继续持有"))))))</f>
        <v/>
      </c>
      <c r="AC37" s="19" t="str">
        <f aca="false">IF($A37="","",IF(Q37="是","触发止损",IF(M37&lt;=-8%,"固定止损",IF(V37="是","信号失效",IF(X37="是","确认一卖",IF(Y37="是","单股超限",IF(W37="是","DL_P弱化","规则内持有")))))))</f>
        <v/>
      </c>
      <c r="AD37" s="7"/>
    </row>
    <row r="38" customFormat="false" ht="15" hidden="false" customHeight="true" outlineLevel="0" collapsed="false">
      <c r="A38" s="5"/>
      <c r="B38" s="5"/>
      <c r="C38" s="5"/>
      <c r="D38" s="11"/>
      <c r="E38" s="14"/>
      <c r="F38" s="5"/>
      <c r="G38" s="17"/>
      <c r="H38" s="14"/>
      <c r="I38" s="14"/>
      <c r="J38" s="15" t="n">
        <f aca="false">IFERROR(G38*I38,0)</f>
        <v>0</v>
      </c>
      <c r="K38" s="15" t="n">
        <f aca="false">IFERROR(G38*H38,0)</f>
        <v>0</v>
      </c>
      <c r="L38" s="15" t="n">
        <f aca="false">IFERROR(J38-K38,0)</f>
        <v>0</v>
      </c>
      <c r="M38" s="16" t="n">
        <f aca="false">IFERROR((I38-H38)/H38,0)</f>
        <v>0</v>
      </c>
      <c r="N38" s="16" t="n">
        <f aca="false">IFERROR(J38/INDEX(账户总表!$B:$B,MATCH($A38,账户总表!$A:$A,0)),0)</f>
        <v>0</v>
      </c>
      <c r="O38" s="14"/>
      <c r="P38" s="15" t="str">
        <f aca="false">IF($A38="","",IF($D38="是",IF(E38&gt;0,E38*0.92,MAX(O38*0.98,H38*0.92)),MAX(O38*0.98,H38*0.92)))</f>
        <v/>
      </c>
      <c r="Q38" s="4" t="str">
        <f aca="false">IF($A38="","",IF(AND(I38&gt;0,P38&gt;0,I38&lt;=P38),"是","否"))</f>
        <v/>
      </c>
      <c r="R38" s="20"/>
      <c r="S38" s="5"/>
      <c r="T38" s="5"/>
      <c r="U38" s="5"/>
      <c r="V38" s="19" t="str">
        <f aca="false">IF($A38="","",IF(OR(AND(O38&gt;0,I38&lt;O38),AND(T38="False",S38&lt;0.8)),"是","否"))</f>
        <v/>
      </c>
      <c r="W38" s="19" t="str">
        <f aca="false">IF($A38="","",IF(AND(I38&lt;H38,S38&lt;0.8),"是","否"))</f>
        <v/>
      </c>
      <c r="X38" s="19" t="str">
        <f aca="false">IF($A38="","",IF(AND(R38&lt;60%,S38&gt;0.8,T38="True",U38="一卖"),"是","否"))</f>
        <v/>
      </c>
      <c r="Y38" s="19" t="str">
        <f aca="false">IF($A38="","",IF(D38="是","否",IF(N38&gt;LOOKUP(2,1/(账户总表!$A:$A&lt;&gt;""),账户总表!$O:$O),"是","否")))</f>
        <v/>
      </c>
      <c r="Z38" s="19" t="str">
        <f aca="false">IF($A38="","",IF(M38&gt;=0,"盈利","亏损"))</f>
        <v/>
      </c>
      <c r="AA38" s="19" t="str">
        <f aca="false">IF($A38="","",IF(OR(Q38="是",M38&lt;=-8%,V38="是",X38="是"),"卖出",IF(Y38="是","减仓",IF(W38="是","观察","持有"))))</f>
        <v/>
      </c>
      <c r="AB38" s="19" t="str">
        <f aca="false">IF($A38="","",IF(D38="是",IF(I38&lt;=E38*0.92,"立即卖出(WAIVED止损)","继续持有(WAIVED)"),IF(OR(M38&lt;=-10%,Q38="是"),"立即卖出",IF(OR(AA38="卖出",V38="是",X38="是"),"次日卖出",IF(AND(Y38="是",NOT(OR(Q38="是",M38&lt;=-8%,V38="是",X38="是"))),"减仓至上限",IF(W38="是","观察","继续持有"))))))</f>
        <v/>
      </c>
      <c r="AC38" s="19" t="str">
        <f aca="false">IF($A38="","",IF(Q38="是","触发止损",IF(M38&lt;=-8%,"固定止损",IF(V38="是","信号失效",IF(X38="是","确认一卖",IF(Y38="是","单股超限",IF(W38="是","DL_P弱化","规则内持有")))))))</f>
        <v/>
      </c>
      <c r="AD38" s="5"/>
    </row>
    <row r="39" customFormat="false" ht="15" hidden="false" customHeight="true" outlineLevel="0" collapsed="false">
      <c r="A39" s="7"/>
      <c r="B39" s="7"/>
      <c r="C39" s="7"/>
      <c r="D39" s="12"/>
      <c r="E39" s="24"/>
      <c r="F39" s="7"/>
      <c r="G39" s="25"/>
      <c r="H39" s="24"/>
      <c r="I39" s="24"/>
      <c r="J39" s="15" t="n">
        <f aca="false">IFERROR(G39*I39,0)</f>
        <v>0</v>
      </c>
      <c r="K39" s="15" t="n">
        <f aca="false">IFERROR(G39*H39,0)</f>
        <v>0</v>
      </c>
      <c r="L39" s="15" t="n">
        <f aca="false">IFERROR(J39-K39,0)</f>
        <v>0</v>
      </c>
      <c r="M39" s="16" t="n">
        <f aca="false">IFERROR((I39-H39)/H39,0)</f>
        <v>0</v>
      </c>
      <c r="N39" s="16" t="n">
        <f aca="false">IFERROR(J39/INDEX(账户总表!$B:$B,MATCH($A39,账户总表!$A:$A,0)),0)</f>
        <v>0</v>
      </c>
      <c r="O39" s="24"/>
      <c r="P39" s="15" t="str">
        <f aca="false">IF($A39="","",IF($D39="是",IF(E39&gt;0,E39*0.92,MAX(O39*0.98,H39*0.92)),MAX(O39*0.98,H39*0.92)))</f>
        <v/>
      </c>
      <c r="Q39" s="4" t="str">
        <f aca="false">IF($A39="","",IF(AND(I39&gt;0,P39&gt;0,I39&lt;=P39),"是","否"))</f>
        <v/>
      </c>
      <c r="R39" s="26"/>
      <c r="S39" s="7"/>
      <c r="T39" s="7"/>
      <c r="U39" s="7"/>
      <c r="V39" s="19" t="str">
        <f aca="false">IF($A39="","",IF(OR(AND(O39&gt;0,I39&lt;O39),AND(T39="False",S39&lt;0.8)),"是","否"))</f>
        <v/>
      </c>
      <c r="W39" s="19" t="str">
        <f aca="false">IF($A39="","",IF(AND(I39&lt;H39,S39&lt;0.8),"是","否"))</f>
        <v/>
      </c>
      <c r="X39" s="19" t="str">
        <f aca="false">IF($A39="","",IF(AND(R39&lt;60%,S39&gt;0.8,T39="True",U39="一卖"),"是","否"))</f>
        <v/>
      </c>
      <c r="Y39" s="19" t="str">
        <f aca="false">IF($A39="","",IF(D39="是","否",IF(N39&gt;LOOKUP(2,1/(账户总表!$A:$A&lt;&gt;""),账户总表!$O:$O),"是","否")))</f>
        <v/>
      </c>
      <c r="Z39" s="19" t="str">
        <f aca="false">IF($A39="","",IF(M39&gt;=0,"盈利","亏损"))</f>
        <v/>
      </c>
      <c r="AA39" s="19" t="str">
        <f aca="false">IF($A39="","",IF(OR(Q39="是",M39&lt;=-8%,V39="是",X39="是"),"卖出",IF(Y39="是","减仓",IF(W39="是","观察","持有"))))</f>
        <v/>
      </c>
      <c r="AB39" s="19" t="str">
        <f aca="false">IF($A39="","",IF(D39="是",IF(I39&lt;=E39*0.92,"立即卖出(WAIVED止损)","继续持有(WAIVED)"),IF(OR(M39&lt;=-10%,Q39="是"),"立即卖出",IF(OR(AA39="卖出",V39="是",X39="是"),"次日卖出",IF(AND(Y39="是",NOT(OR(Q39="是",M39&lt;=-8%,V39="是",X39="是"))),"减仓至上限",IF(W39="是","观察","继续持有"))))))</f>
        <v/>
      </c>
      <c r="AC39" s="19" t="str">
        <f aca="false">IF($A39="","",IF(Q39="是","触发止损",IF(M39&lt;=-8%,"固定止损",IF(V39="是","信号失效",IF(X39="是","确认一卖",IF(Y39="是","单股超限",IF(W39="是","DL_P弱化","规则内持有")))))))</f>
        <v/>
      </c>
      <c r="AD39" s="7"/>
    </row>
    <row r="40" customFormat="false" ht="15" hidden="false" customHeight="true" outlineLevel="0" collapsed="false">
      <c r="A40" s="5"/>
      <c r="B40" s="5"/>
      <c r="C40" s="5"/>
      <c r="D40" s="11"/>
      <c r="E40" s="14"/>
      <c r="F40" s="5"/>
      <c r="G40" s="17"/>
      <c r="H40" s="14"/>
      <c r="I40" s="14"/>
      <c r="J40" s="15" t="n">
        <f aca="false">IFERROR(G40*I40,0)</f>
        <v>0</v>
      </c>
      <c r="K40" s="15" t="n">
        <f aca="false">IFERROR(G40*H40,0)</f>
        <v>0</v>
      </c>
      <c r="L40" s="15" t="n">
        <f aca="false">IFERROR(J40-K40,0)</f>
        <v>0</v>
      </c>
      <c r="M40" s="16" t="n">
        <f aca="false">IFERROR((I40-H40)/H40,0)</f>
        <v>0</v>
      </c>
      <c r="N40" s="16" t="n">
        <f aca="false">IFERROR(J40/INDEX(账户总表!$B:$B,MATCH($A40,账户总表!$A:$A,0)),0)</f>
        <v>0</v>
      </c>
      <c r="O40" s="14"/>
      <c r="P40" s="15" t="str">
        <f aca="false">IF($A40="","",IF($D40="是",IF(E40&gt;0,E40*0.92,MAX(O40*0.98,H40*0.92)),MAX(O40*0.98,H40*0.92)))</f>
        <v/>
      </c>
      <c r="Q40" s="4" t="str">
        <f aca="false">IF($A40="","",IF(AND(I40&gt;0,P40&gt;0,I40&lt;=P40),"是","否"))</f>
        <v/>
      </c>
      <c r="R40" s="20"/>
      <c r="S40" s="5"/>
      <c r="T40" s="5"/>
      <c r="U40" s="5"/>
      <c r="V40" s="19" t="str">
        <f aca="false">IF($A40="","",IF(OR(AND(O40&gt;0,I40&lt;O40),AND(T40="False",S40&lt;0.8)),"是","否"))</f>
        <v/>
      </c>
      <c r="W40" s="19" t="str">
        <f aca="false">IF($A40="","",IF(AND(I40&lt;H40,S40&lt;0.8),"是","否"))</f>
        <v/>
      </c>
      <c r="X40" s="19" t="str">
        <f aca="false">IF($A40="","",IF(AND(R40&lt;60%,S40&gt;0.8,T40="True",U40="一卖"),"是","否"))</f>
        <v/>
      </c>
      <c r="Y40" s="19" t="str">
        <f aca="false">IF($A40="","",IF(D40="是","否",IF(N40&gt;LOOKUP(2,1/(账户总表!$A:$A&lt;&gt;""),账户总表!$O:$O),"是","否")))</f>
        <v/>
      </c>
      <c r="Z40" s="19" t="str">
        <f aca="false">IF($A40="","",IF(M40&gt;=0,"盈利","亏损"))</f>
        <v/>
      </c>
      <c r="AA40" s="19" t="str">
        <f aca="false">IF($A40="","",IF(OR(Q40="是",M40&lt;=-8%,V40="是",X40="是"),"卖出",IF(Y40="是","减仓",IF(W40="是","观察","持有"))))</f>
        <v/>
      </c>
      <c r="AB40" s="19" t="str">
        <f aca="false">IF($A40="","",IF(D40="是",IF(I40&lt;=E40*0.92,"立即卖出(WAIVED止损)","继续持有(WAIVED)"),IF(OR(M40&lt;=-10%,Q40="是"),"立即卖出",IF(OR(AA40="卖出",V40="是",X40="是"),"次日卖出",IF(AND(Y40="是",NOT(OR(Q40="是",M40&lt;=-8%,V40="是",X40="是"))),"减仓至上限",IF(W40="是","观察","继续持有"))))))</f>
        <v/>
      </c>
      <c r="AC40" s="19" t="str">
        <f aca="false">IF($A40="","",IF(Q40="是","触发止损",IF(M40&lt;=-8%,"固定止损",IF(V40="是","信号失效",IF(X40="是","确认一卖",IF(Y40="是","单股超限",IF(W40="是","DL_P弱化","规则内持有")))))))</f>
        <v/>
      </c>
      <c r="AD40" s="5"/>
    </row>
    <row r="41" customFormat="false" ht="15" hidden="false" customHeight="true" outlineLevel="0" collapsed="false">
      <c r="A41" s="7"/>
      <c r="B41" s="7"/>
      <c r="C41" s="7"/>
      <c r="D41" s="12"/>
      <c r="E41" s="24"/>
      <c r="F41" s="7"/>
      <c r="G41" s="25"/>
      <c r="H41" s="24"/>
      <c r="I41" s="24"/>
      <c r="J41" s="15" t="n">
        <f aca="false">IFERROR(G41*I41,0)</f>
        <v>0</v>
      </c>
      <c r="K41" s="15" t="n">
        <f aca="false">IFERROR(G41*H41,0)</f>
        <v>0</v>
      </c>
      <c r="L41" s="15" t="n">
        <f aca="false">IFERROR(J41-K41,0)</f>
        <v>0</v>
      </c>
      <c r="M41" s="16" t="n">
        <f aca="false">IFERROR((I41-H41)/H41,0)</f>
        <v>0</v>
      </c>
      <c r="N41" s="16" t="n">
        <f aca="false">IFERROR(J41/INDEX(账户总表!$B:$B,MATCH($A41,账户总表!$A:$A,0)),0)</f>
        <v>0</v>
      </c>
      <c r="O41" s="24"/>
      <c r="P41" s="15" t="str">
        <f aca="false">IF($A41="","",IF($D41="是",IF(E41&gt;0,E41*0.92,MAX(O41*0.98,H41*0.92)),MAX(O41*0.98,H41*0.92)))</f>
        <v/>
      </c>
      <c r="Q41" s="4" t="str">
        <f aca="false">IF($A41="","",IF(AND(I41&gt;0,P41&gt;0,I41&lt;=P41),"是","否"))</f>
        <v/>
      </c>
      <c r="R41" s="26"/>
      <c r="S41" s="7"/>
      <c r="T41" s="7"/>
      <c r="U41" s="7"/>
      <c r="V41" s="19" t="str">
        <f aca="false">IF($A41="","",IF(OR(AND(O41&gt;0,I41&lt;O41),AND(T41="False",S41&lt;0.8)),"是","否"))</f>
        <v/>
      </c>
      <c r="W41" s="19" t="str">
        <f aca="false">IF($A41="","",IF(AND(I41&lt;H41,S41&lt;0.8),"是","否"))</f>
        <v/>
      </c>
      <c r="X41" s="19" t="str">
        <f aca="false">IF($A41="","",IF(AND(R41&lt;60%,S41&gt;0.8,T41="True",U41="一卖"),"是","否"))</f>
        <v/>
      </c>
      <c r="Y41" s="19" t="str">
        <f aca="false">IF($A41="","",IF(D41="是","否",IF(N41&gt;LOOKUP(2,1/(账户总表!$A:$A&lt;&gt;""),账户总表!$O:$O),"是","否")))</f>
        <v/>
      </c>
      <c r="Z41" s="19" t="str">
        <f aca="false">IF($A41="","",IF(M41&gt;=0,"盈利","亏损"))</f>
        <v/>
      </c>
      <c r="AA41" s="19" t="str">
        <f aca="false">IF($A41="","",IF(OR(Q41="是",M41&lt;=-8%,V41="是",X41="是"),"卖出",IF(Y41="是","减仓",IF(W41="是","观察","持有"))))</f>
        <v/>
      </c>
      <c r="AB41" s="19" t="str">
        <f aca="false">IF($A41="","",IF(D41="是",IF(I41&lt;=E41*0.92,"立即卖出(WAIVED止损)","继续持有(WAIVED)"),IF(OR(M41&lt;=-10%,Q41="是"),"立即卖出",IF(OR(AA41="卖出",V41="是",X41="是"),"次日卖出",IF(AND(Y41="是",NOT(OR(Q41="是",M41&lt;=-8%,V41="是",X41="是"))),"减仓至上限",IF(W41="是","观察","继续持有"))))))</f>
        <v/>
      </c>
      <c r="AC41" s="19" t="str">
        <f aca="false">IF($A41="","",IF(Q41="是","触发止损",IF(M41&lt;=-8%,"固定止损",IF(V41="是","信号失效",IF(X41="是","确认一卖",IF(Y41="是","单股超限",IF(W41="是","DL_P弱化","规则内持有")))))))</f>
        <v/>
      </c>
      <c r="AD41" s="7"/>
    </row>
    <row r="42" customFormat="false" ht="15" hidden="false" customHeight="true" outlineLevel="0" collapsed="false">
      <c r="A42" s="5"/>
      <c r="B42" s="5"/>
      <c r="C42" s="5"/>
      <c r="D42" s="11"/>
      <c r="E42" s="14"/>
      <c r="F42" s="5"/>
      <c r="G42" s="17"/>
      <c r="H42" s="14"/>
      <c r="I42" s="14"/>
      <c r="J42" s="15" t="n">
        <f aca="false">IFERROR(G42*I42,0)</f>
        <v>0</v>
      </c>
      <c r="K42" s="15" t="n">
        <f aca="false">IFERROR(G42*H42,0)</f>
        <v>0</v>
      </c>
      <c r="L42" s="15" t="n">
        <f aca="false">IFERROR(J42-K42,0)</f>
        <v>0</v>
      </c>
      <c r="M42" s="16" t="n">
        <f aca="false">IFERROR((I42-H42)/H42,0)</f>
        <v>0</v>
      </c>
      <c r="N42" s="16" t="n">
        <f aca="false">IFERROR(J42/INDEX(账户总表!$B:$B,MATCH($A42,账户总表!$A:$A,0)),0)</f>
        <v>0</v>
      </c>
      <c r="O42" s="14"/>
      <c r="P42" s="15" t="str">
        <f aca="false">IF($A42="","",IF($D42="是",IF(E42&gt;0,E42*0.92,MAX(O42*0.98,H42*0.92)),MAX(O42*0.98,H42*0.92)))</f>
        <v/>
      </c>
      <c r="Q42" s="4" t="str">
        <f aca="false">IF($A42="","",IF(AND(I42&gt;0,P42&gt;0,I42&lt;=P42),"是","否"))</f>
        <v/>
      </c>
      <c r="R42" s="20"/>
      <c r="S42" s="5"/>
      <c r="T42" s="5"/>
      <c r="U42" s="5"/>
      <c r="V42" s="19" t="str">
        <f aca="false">IF($A42="","",IF(OR(AND(O42&gt;0,I42&lt;O42),AND(T42="False",S42&lt;0.8)),"是","否"))</f>
        <v/>
      </c>
      <c r="W42" s="19" t="str">
        <f aca="false">IF($A42="","",IF(AND(I42&lt;H42,S42&lt;0.8),"是","否"))</f>
        <v/>
      </c>
      <c r="X42" s="19" t="str">
        <f aca="false">IF($A42="","",IF(AND(R42&lt;60%,S42&gt;0.8,T42="True",U42="一卖"),"是","否"))</f>
        <v/>
      </c>
      <c r="Y42" s="19" t="str">
        <f aca="false">IF($A42="","",IF(D42="是","否",IF(N42&gt;LOOKUP(2,1/(账户总表!$A:$A&lt;&gt;""),账户总表!$O:$O),"是","否")))</f>
        <v/>
      </c>
      <c r="Z42" s="19" t="str">
        <f aca="false">IF($A42="","",IF(M42&gt;=0,"盈利","亏损"))</f>
        <v/>
      </c>
      <c r="AA42" s="19" t="str">
        <f aca="false">IF($A42="","",IF(OR(Q42="是",M42&lt;=-8%,V42="是",X42="是"),"卖出",IF(Y42="是","减仓",IF(W42="是","观察","持有"))))</f>
        <v/>
      </c>
      <c r="AB42" s="19" t="str">
        <f aca="false">IF($A42="","",IF(D42="是",IF(I42&lt;=E42*0.92,"立即卖出(WAIVED止损)","继续持有(WAIVED)"),IF(OR(M42&lt;=-10%,Q42="是"),"立即卖出",IF(OR(AA42="卖出",V42="是",X42="是"),"次日卖出",IF(AND(Y42="是",NOT(OR(Q42="是",M42&lt;=-8%,V42="是",X42="是"))),"减仓至上限",IF(W42="是","观察","继续持有"))))))</f>
        <v/>
      </c>
      <c r="AC42" s="19" t="str">
        <f aca="false">IF($A42="","",IF(Q42="是","触发止损",IF(M42&lt;=-8%,"固定止损",IF(V42="是","信号失效",IF(X42="是","确认一卖",IF(Y42="是","单股超限",IF(W42="是","DL_P弱化","规则内持有")))))))</f>
        <v/>
      </c>
      <c r="AD42" s="5"/>
    </row>
    <row r="43" customFormat="false" ht="15" hidden="false" customHeight="true" outlineLevel="0" collapsed="false">
      <c r="A43" s="7"/>
      <c r="B43" s="7"/>
      <c r="C43" s="7"/>
      <c r="D43" s="12"/>
      <c r="E43" s="24"/>
      <c r="F43" s="7"/>
      <c r="G43" s="25"/>
      <c r="H43" s="24"/>
      <c r="I43" s="24"/>
      <c r="J43" s="15" t="n">
        <f aca="false">IFERROR(G43*I43,0)</f>
        <v>0</v>
      </c>
      <c r="K43" s="15" t="n">
        <f aca="false">IFERROR(G43*H43,0)</f>
        <v>0</v>
      </c>
      <c r="L43" s="15" t="n">
        <f aca="false">IFERROR(J43-K43,0)</f>
        <v>0</v>
      </c>
      <c r="M43" s="16" t="n">
        <f aca="false">IFERROR((I43-H43)/H43,0)</f>
        <v>0</v>
      </c>
      <c r="N43" s="16" t="n">
        <f aca="false">IFERROR(J43/INDEX(账户总表!$B:$B,MATCH($A43,账户总表!$A:$A,0)),0)</f>
        <v>0</v>
      </c>
      <c r="O43" s="24"/>
      <c r="P43" s="15" t="str">
        <f aca="false">IF($A43="","",IF($D43="是",IF(E43&gt;0,E43*0.92,MAX(O43*0.98,H43*0.92)),MAX(O43*0.98,H43*0.92)))</f>
        <v/>
      </c>
      <c r="Q43" s="4" t="str">
        <f aca="false">IF($A43="","",IF(AND(I43&gt;0,P43&gt;0,I43&lt;=P43),"是","否"))</f>
        <v/>
      </c>
      <c r="R43" s="26"/>
      <c r="S43" s="7"/>
      <c r="T43" s="7"/>
      <c r="U43" s="7"/>
      <c r="V43" s="19" t="str">
        <f aca="false">IF($A43="","",IF(OR(AND(O43&gt;0,I43&lt;O43),AND(T43="False",S43&lt;0.8)),"是","否"))</f>
        <v/>
      </c>
      <c r="W43" s="19" t="str">
        <f aca="false">IF($A43="","",IF(AND(I43&lt;H43,S43&lt;0.8),"是","否"))</f>
        <v/>
      </c>
      <c r="X43" s="19" t="str">
        <f aca="false">IF($A43="","",IF(AND(R43&lt;60%,S43&gt;0.8,T43="True",U43="一卖"),"是","否"))</f>
        <v/>
      </c>
      <c r="Y43" s="19" t="str">
        <f aca="false">IF($A43="","",IF(D43="是","否",IF(N43&gt;LOOKUP(2,1/(账户总表!$A:$A&lt;&gt;""),账户总表!$O:$O),"是","否")))</f>
        <v/>
      </c>
      <c r="Z43" s="19" t="str">
        <f aca="false">IF($A43="","",IF(M43&gt;=0,"盈利","亏损"))</f>
        <v/>
      </c>
      <c r="AA43" s="19" t="str">
        <f aca="false">IF($A43="","",IF(OR(Q43="是",M43&lt;=-8%,V43="是",X43="是"),"卖出",IF(Y43="是","减仓",IF(W43="是","观察","持有"))))</f>
        <v/>
      </c>
      <c r="AB43" s="19" t="str">
        <f aca="false">IF($A43="","",IF(D43="是",IF(I43&lt;=E43*0.92,"立即卖出(WAIVED止损)","继续持有(WAIVED)"),IF(OR(M43&lt;=-10%,Q43="是"),"立即卖出",IF(OR(AA43="卖出",V43="是",X43="是"),"次日卖出",IF(AND(Y43="是",NOT(OR(Q43="是",M43&lt;=-8%,V43="是",X43="是"))),"减仓至上限",IF(W43="是","观察","继续持有"))))))</f>
        <v/>
      </c>
      <c r="AC43" s="19" t="str">
        <f aca="false">IF($A43="","",IF(Q43="是","触发止损",IF(M43&lt;=-8%,"固定止损",IF(V43="是","信号失效",IF(X43="是","确认一卖",IF(Y43="是","单股超限",IF(W43="是","DL_P弱化","规则内持有")))))))</f>
        <v/>
      </c>
      <c r="AD43" s="7"/>
    </row>
    <row r="44" customFormat="false" ht="15" hidden="false" customHeight="true" outlineLevel="0" collapsed="false">
      <c r="A44" s="5"/>
      <c r="B44" s="5"/>
      <c r="C44" s="5"/>
      <c r="D44" s="11"/>
      <c r="E44" s="14"/>
      <c r="F44" s="5"/>
      <c r="G44" s="17"/>
      <c r="H44" s="14"/>
      <c r="I44" s="14"/>
      <c r="J44" s="15" t="n">
        <f aca="false">IFERROR(G44*I44,0)</f>
        <v>0</v>
      </c>
      <c r="K44" s="15" t="n">
        <f aca="false">IFERROR(G44*H44,0)</f>
        <v>0</v>
      </c>
      <c r="L44" s="15" t="n">
        <f aca="false">IFERROR(J44-K44,0)</f>
        <v>0</v>
      </c>
      <c r="M44" s="16" t="n">
        <f aca="false">IFERROR((I44-H44)/H44,0)</f>
        <v>0</v>
      </c>
      <c r="N44" s="16" t="n">
        <f aca="false">IFERROR(J44/INDEX(账户总表!$B:$B,MATCH($A44,账户总表!$A:$A,0)),0)</f>
        <v>0</v>
      </c>
      <c r="O44" s="14"/>
      <c r="P44" s="15" t="str">
        <f aca="false">IF($A44="","",IF($D44="是",IF(E44&gt;0,E44*0.92,MAX(O44*0.98,H44*0.92)),MAX(O44*0.98,H44*0.92)))</f>
        <v/>
      </c>
      <c r="Q44" s="4" t="str">
        <f aca="false">IF($A44="","",IF(AND(I44&gt;0,P44&gt;0,I44&lt;=P44),"是","否"))</f>
        <v/>
      </c>
      <c r="R44" s="20"/>
      <c r="S44" s="5"/>
      <c r="T44" s="5"/>
      <c r="U44" s="5"/>
      <c r="V44" s="19" t="str">
        <f aca="false">IF($A44="","",IF(OR(AND(O44&gt;0,I44&lt;O44),AND(T44="False",S44&lt;0.8)),"是","否"))</f>
        <v/>
      </c>
      <c r="W44" s="19" t="str">
        <f aca="false">IF($A44="","",IF(AND(I44&lt;H44,S44&lt;0.8),"是","否"))</f>
        <v/>
      </c>
      <c r="X44" s="19" t="str">
        <f aca="false">IF($A44="","",IF(AND(R44&lt;60%,S44&gt;0.8,T44="True",U44="一卖"),"是","否"))</f>
        <v/>
      </c>
      <c r="Y44" s="19" t="str">
        <f aca="false">IF($A44="","",IF(D44="是","否",IF(N44&gt;LOOKUP(2,1/(账户总表!$A:$A&lt;&gt;""),账户总表!$O:$O),"是","否")))</f>
        <v/>
      </c>
      <c r="Z44" s="19" t="str">
        <f aca="false">IF($A44="","",IF(M44&gt;=0,"盈利","亏损"))</f>
        <v/>
      </c>
      <c r="AA44" s="19" t="str">
        <f aca="false">IF($A44="","",IF(OR(Q44="是",M44&lt;=-8%,V44="是",X44="是"),"卖出",IF(Y44="是","减仓",IF(W44="是","观察","持有"))))</f>
        <v/>
      </c>
      <c r="AB44" s="19" t="str">
        <f aca="false">IF($A44="","",IF(D44="是",IF(I44&lt;=E44*0.92,"立即卖出(WAIVED止损)","继续持有(WAIVED)"),IF(OR(M44&lt;=-10%,Q44="是"),"立即卖出",IF(OR(AA44="卖出",V44="是",X44="是"),"次日卖出",IF(AND(Y44="是",NOT(OR(Q44="是",M44&lt;=-8%,V44="是",X44="是"))),"减仓至上限",IF(W44="是","观察","继续持有"))))))</f>
        <v/>
      </c>
      <c r="AC44" s="19" t="str">
        <f aca="false">IF($A44="","",IF(Q44="是","触发止损",IF(M44&lt;=-8%,"固定止损",IF(V44="是","信号失效",IF(X44="是","确认一卖",IF(Y44="是","单股超限",IF(W44="是","DL_P弱化","规则内持有")))))))</f>
        <v/>
      </c>
      <c r="AD44" s="5"/>
    </row>
    <row r="45" customFormat="false" ht="15" hidden="false" customHeight="true" outlineLevel="0" collapsed="false">
      <c r="A45" s="7"/>
      <c r="B45" s="7"/>
      <c r="C45" s="7"/>
      <c r="D45" s="12"/>
      <c r="E45" s="24"/>
      <c r="F45" s="7"/>
      <c r="G45" s="25"/>
      <c r="H45" s="24"/>
      <c r="I45" s="24"/>
      <c r="J45" s="15" t="n">
        <f aca="false">IFERROR(G45*I45,0)</f>
        <v>0</v>
      </c>
      <c r="K45" s="15" t="n">
        <f aca="false">IFERROR(G45*H45,0)</f>
        <v>0</v>
      </c>
      <c r="L45" s="15" t="n">
        <f aca="false">IFERROR(J45-K45,0)</f>
        <v>0</v>
      </c>
      <c r="M45" s="16" t="n">
        <f aca="false">IFERROR((I45-H45)/H45,0)</f>
        <v>0</v>
      </c>
      <c r="N45" s="16" t="n">
        <f aca="false">IFERROR(J45/INDEX(账户总表!$B:$B,MATCH($A45,账户总表!$A:$A,0)),0)</f>
        <v>0</v>
      </c>
      <c r="O45" s="24"/>
      <c r="P45" s="15" t="str">
        <f aca="false">IF($A45="","",IF($D45="是",IF(E45&gt;0,E45*0.92,MAX(O45*0.98,H45*0.92)),MAX(O45*0.98,H45*0.92)))</f>
        <v/>
      </c>
      <c r="Q45" s="4" t="str">
        <f aca="false">IF($A45="","",IF(AND(I45&gt;0,P45&gt;0,I45&lt;=P45),"是","否"))</f>
        <v/>
      </c>
      <c r="R45" s="26"/>
      <c r="S45" s="7"/>
      <c r="T45" s="7"/>
      <c r="U45" s="7"/>
      <c r="V45" s="19" t="str">
        <f aca="false">IF($A45="","",IF(OR(AND(O45&gt;0,I45&lt;O45),AND(T45="False",S45&lt;0.8)),"是","否"))</f>
        <v/>
      </c>
      <c r="W45" s="19" t="str">
        <f aca="false">IF($A45="","",IF(AND(I45&lt;H45,S45&lt;0.8),"是","否"))</f>
        <v/>
      </c>
      <c r="X45" s="19" t="str">
        <f aca="false">IF($A45="","",IF(AND(R45&lt;60%,S45&gt;0.8,T45="True",U45="一卖"),"是","否"))</f>
        <v/>
      </c>
      <c r="Y45" s="19" t="str">
        <f aca="false">IF($A45="","",IF(D45="是","否",IF(N45&gt;LOOKUP(2,1/(账户总表!$A:$A&lt;&gt;""),账户总表!$O:$O),"是","否")))</f>
        <v/>
      </c>
      <c r="Z45" s="19" t="str">
        <f aca="false">IF($A45="","",IF(M45&gt;=0,"盈利","亏损"))</f>
        <v/>
      </c>
      <c r="AA45" s="19" t="str">
        <f aca="false">IF($A45="","",IF(OR(Q45="是",M45&lt;=-8%,V45="是",X45="是"),"卖出",IF(Y45="是","减仓",IF(W45="是","观察","持有"))))</f>
        <v/>
      </c>
      <c r="AB45" s="19" t="str">
        <f aca="false">IF($A45="","",IF(D45="是",IF(I45&lt;=E45*0.92,"立即卖出(WAIVED止损)","继续持有(WAIVED)"),IF(OR(M45&lt;=-10%,Q45="是"),"立即卖出",IF(OR(AA45="卖出",V45="是",X45="是"),"次日卖出",IF(AND(Y45="是",NOT(OR(Q45="是",M45&lt;=-8%,V45="是",X45="是"))),"减仓至上限",IF(W45="是","观察","继续持有"))))))</f>
        <v/>
      </c>
      <c r="AC45" s="19" t="str">
        <f aca="false">IF($A45="","",IF(Q45="是","触发止损",IF(M45&lt;=-8%,"固定止损",IF(V45="是","信号失效",IF(X45="是","确认一卖",IF(Y45="是","单股超限",IF(W45="是","DL_P弱化","规则内持有")))))))</f>
        <v/>
      </c>
      <c r="AD45" s="7"/>
    </row>
    <row r="46" customFormat="false" ht="15" hidden="false" customHeight="true" outlineLevel="0" collapsed="false">
      <c r="A46" s="5"/>
      <c r="B46" s="5"/>
      <c r="C46" s="5"/>
      <c r="D46" s="11"/>
      <c r="E46" s="14"/>
      <c r="F46" s="5"/>
      <c r="G46" s="17"/>
      <c r="H46" s="14"/>
      <c r="I46" s="14"/>
      <c r="J46" s="15" t="n">
        <f aca="false">IFERROR(G46*I46,0)</f>
        <v>0</v>
      </c>
      <c r="K46" s="15" t="n">
        <f aca="false">IFERROR(G46*H46,0)</f>
        <v>0</v>
      </c>
      <c r="L46" s="15" t="n">
        <f aca="false">IFERROR(J46-K46,0)</f>
        <v>0</v>
      </c>
      <c r="M46" s="16" t="n">
        <f aca="false">IFERROR((I46-H46)/H46,0)</f>
        <v>0</v>
      </c>
      <c r="N46" s="16" t="n">
        <f aca="false">IFERROR(J46/INDEX(账户总表!$B:$B,MATCH($A46,账户总表!$A:$A,0)),0)</f>
        <v>0</v>
      </c>
      <c r="O46" s="14"/>
      <c r="P46" s="15" t="str">
        <f aca="false">IF($A46="","",IF($D46="是",IF(E46&gt;0,E46*0.92,MAX(O46*0.98,H46*0.92)),MAX(O46*0.98,H46*0.92)))</f>
        <v/>
      </c>
      <c r="Q46" s="4" t="str">
        <f aca="false">IF($A46="","",IF(AND(I46&gt;0,P46&gt;0,I46&lt;=P46),"是","否"))</f>
        <v/>
      </c>
      <c r="R46" s="20"/>
      <c r="S46" s="5"/>
      <c r="T46" s="5"/>
      <c r="U46" s="5"/>
      <c r="V46" s="19" t="str">
        <f aca="false">IF($A46="","",IF(OR(AND(O46&gt;0,I46&lt;O46),AND(T46="False",S46&lt;0.8)),"是","否"))</f>
        <v/>
      </c>
      <c r="W46" s="19" t="str">
        <f aca="false">IF($A46="","",IF(AND(I46&lt;H46,S46&lt;0.8),"是","否"))</f>
        <v/>
      </c>
      <c r="X46" s="19" t="str">
        <f aca="false">IF($A46="","",IF(AND(R46&lt;60%,S46&gt;0.8,T46="True",U46="一卖"),"是","否"))</f>
        <v/>
      </c>
      <c r="Y46" s="19" t="str">
        <f aca="false">IF($A46="","",IF(D46="是","否",IF(N46&gt;LOOKUP(2,1/(账户总表!$A:$A&lt;&gt;""),账户总表!$O:$O),"是","否")))</f>
        <v/>
      </c>
      <c r="Z46" s="19" t="str">
        <f aca="false">IF($A46="","",IF(M46&gt;=0,"盈利","亏损"))</f>
        <v/>
      </c>
      <c r="AA46" s="19" t="str">
        <f aca="false">IF($A46="","",IF(OR(Q46="是",M46&lt;=-8%,V46="是",X46="是"),"卖出",IF(Y46="是","减仓",IF(W46="是","观察","持有"))))</f>
        <v/>
      </c>
      <c r="AB46" s="19" t="str">
        <f aca="false">IF($A46="","",IF(D46="是",IF(I46&lt;=E46*0.92,"立即卖出(WAIVED止损)","继续持有(WAIVED)"),IF(OR(M46&lt;=-10%,Q46="是"),"立即卖出",IF(OR(AA46="卖出",V46="是",X46="是"),"次日卖出",IF(AND(Y46="是",NOT(OR(Q46="是",M46&lt;=-8%,V46="是",X46="是"))),"减仓至上限",IF(W46="是","观察","继续持有"))))))</f>
        <v/>
      </c>
      <c r="AC46" s="19" t="str">
        <f aca="false">IF($A46="","",IF(Q46="是","触发止损",IF(M46&lt;=-8%,"固定止损",IF(V46="是","信号失效",IF(X46="是","确认一卖",IF(Y46="是","单股超限",IF(W46="是","DL_P弱化","规则内持有")))))))</f>
        <v/>
      </c>
      <c r="AD46" s="5"/>
    </row>
    <row r="47" customFormat="false" ht="15" hidden="false" customHeight="true" outlineLevel="0" collapsed="false">
      <c r="A47" s="7"/>
      <c r="B47" s="7"/>
      <c r="C47" s="7"/>
      <c r="D47" s="12"/>
      <c r="E47" s="24"/>
      <c r="F47" s="7"/>
      <c r="G47" s="25"/>
      <c r="H47" s="24"/>
      <c r="I47" s="24"/>
      <c r="J47" s="15" t="n">
        <f aca="false">IFERROR(G47*I47,0)</f>
        <v>0</v>
      </c>
      <c r="K47" s="15" t="n">
        <f aca="false">IFERROR(G47*H47,0)</f>
        <v>0</v>
      </c>
      <c r="L47" s="15" t="n">
        <f aca="false">IFERROR(J47-K47,0)</f>
        <v>0</v>
      </c>
      <c r="M47" s="16" t="n">
        <f aca="false">IFERROR((I47-H47)/H47,0)</f>
        <v>0</v>
      </c>
      <c r="N47" s="16" t="n">
        <f aca="false">IFERROR(J47/INDEX(账户总表!$B:$B,MATCH($A47,账户总表!$A:$A,0)),0)</f>
        <v>0</v>
      </c>
      <c r="O47" s="24"/>
      <c r="P47" s="15" t="str">
        <f aca="false">IF($A47="","",IF($D47="是",IF(E47&gt;0,E47*0.92,MAX(O47*0.98,H47*0.92)),MAX(O47*0.98,H47*0.92)))</f>
        <v/>
      </c>
      <c r="Q47" s="4" t="str">
        <f aca="false">IF($A47="","",IF(AND(I47&gt;0,P47&gt;0,I47&lt;=P47),"是","否"))</f>
        <v/>
      </c>
      <c r="R47" s="26"/>
      <c r="S47" s="7"/>
      <c r="T47" s="7"/>
      <c r="U47" s="7"/>
      <c r="V47" s="19" t="str">
        <f aca="false">IF($A47="","",IF(OR(AND(O47&gt;0,I47&lt;O47),AND(T47="False",S47&lt;0.8)),"是","否"))</f>
        <v/>
      </c>
      <c r="W47" s="19" t="str">
        <f aca="false">IF($A47="","",IF(AND(I47&lt;H47,S47&lt;0.8),"是","否"))</f>
        <v/>
      </c>
      <c r="X47" s="19" t="str">
        <f aca="false">IF($A47="","",IF(AND(R47&lt;60%,S47&gt;0.8,T47="True",U47="一卖"),"是","否"))</f>
        <v/>
      </c>
      <c r="Y47" s="19" t="str">
        <f aca="false">IF($A47="","",IF(D47="是","否",IF(N47&gt;LOOKUP(2,1/(账户总表!$A:$A&lt;&gt;""),账户总表!$O:$O),"是","否")))</f>
        <v/>
      </c>
      <c r="Z47" s="19" t="str">
        <f aca="false">IF($A47="","",IF(M47&gt;=0,"盈利","亏损"))</f>
        <v/>
      </c>
      <c r="AA47" s="19" t="str">
        <f aca="false">IF($A47="","",IF(OR(Q47="是",M47&lt;=-8%,V47="是",X47="是"),"卖出",IF(Y47="是","减仓",IF(W47="是","观察","持有"))))</f>
        <v/>
      </c>
      <c r="AB47" s="19" t="str">
        <f aca="false">IF($A47="","",IF(D47="是",IF(I47&lt;=E47*0.92,"立即卖出(WAIVED止损)","继续持有(WAIVED)"),IF(OR(M47&lt;=-10%,Q47="是"),"立即卖出",IF(OR(AA47="卖出",V47="是",X47="是"),"次日卖出",IF(AND(Y47="是",NOT(OR(Q47="是",M47&lt;=-8%,V47="是",X47="是"))),"减仓至上限",IF(W47="是","观察","继续持有"))))))</f>
        <v/>
      </c>
      <c r="AC47" s="19" t="str">
        <f aca="false">IF($A47="","",IF(Q47="是","触发止损",IF(M47&lt;=-8%,"固定止损",IF(V47="是","信号失效",IF(X47="是","确认一卖",IF(Y47="是","单股超限",IF(W47="是","DL_P弱化","规则内持有")))))))</f>
        <v/>
      </c>
      <c r="AD47" s="7"/>
    </row>
    <row r="48" customFormat="false" ht="15" hidden="false" customHeight="true" outlineLevel="0" collapsed="false">
      <c r="A48" s="5"/>
      <c r="B48" s="5"/>
      <c r="C48" s="5"/>
      <c r="D48" s="11"/>
      <c r="E48" s="14"/>
      <c r="F48" s="5"/>
      <c r="G48" s="17"/>
      <c r="H48" s="14"/>
      <c r="I48" s="14"/>
      <c r="J48" s="15" t="n">
        <f aca="false">IFERROR(G48*I48,0)</f>
        <v>0</v>
      </c>
      <c r="K48" s="15" t="n">
        <f aca="false">IFERROR(G48*H48,0)</f>
        <v>0</v>
      </c>
      <c r="L48" s="15" t="n">
        <f aca="false">IFERROR(J48-K48,0)</f>
        <v>0</v>
      </c>
      <c r="M48" s="16" t="n">
        <f aca="false">IFERROR((I48-H48)/H48,0)</f>
        <v>0</v>
      </c>
      <c r="N48" s="16" t="n">
        <f aca="false">IFERROR(J48/INDEX(账户总表!$B:$B,MATCH($A48,账户总表!$A:$A,0)),0)</f>
        <v>0</v>
      </c>
      <c r="O48" s="14"/>
      <c r="P48" s="15" t="str">
        <f aca="false">IF($A48="","",IF($D48="是",IF(E48&gt;0,E48*0.92,MAX(O48*0.98,H48*0.92)),MAX(O48*0.98,H48*0.92)))</f>
        <v/>
      </c>
      <c r="Q48" s="4" t="str">
        <f aca="false">IF($A48="","",IF(AND(I48&gt;0,P48&gt;0,I48&lt;=P48),"是","否"))</f>
        <v/>
      </c>
      <c r="R48" s="20"/>
      <c r="S48" s="5"/>
      <c r="T48" s="5"/>
      <c r="U48" s="5"/>
      <c r="V48" s="19" t="str">
        <f aca="false">IF($A48="","",IF(OR(AND(O48&gt;0,I48&lt;O48),AND(T48="False",S48&lt;0.8)),"是","否"))</f>
        <v/>
      </c>
      <c r="W48" s="19" t="str">
        <f aca="false">IF($A48="","",IF(AND(I48&lt;H48,S48&lt;0.8),"是","否"))</f>
        <v/>
      </c>
      <c r="X48" s="19" t="str">
        <f aca="false">IF($A48="","",IF(AND(R48&lt;60%,S48&gt;0.8,T48="True",U48="一卖"),"是","否"))</f>
        <v/>
      </c>
      <c r="Y48" s="19" t="str">
        <f aca="false">IF($A48="","",IF(D48="是","否",IF(N48&gt;LOOKUP(2,1/(账户总表!$A:$A&lt;&gt;""),账户总表!$O:$O),"是","否")))</f>
        <v/>
      </c>
      <c r="Z48" s="19" t="str">
        <f aca="false">IF($A48="","",IF(M48&gt;=0,"盈利","亏损"))</f>
        <v/>
      </c>
      <c r="AA48" s="19" t="str">
        <f aca="false">IF($A48="","",IF(OR(Q48="是",M48&lt;=-8%,V48="是",X48="是"),"卖出",IF(Y48="是","减仓",IF(W48="是","观察","持有"))))</f>
        <v/>
      </c>
      <c r="AB48" s="19" t="str">
        <f aca="false">IF($A48="","",IF(D48="是",IF(I48&lt;=E48*0.92,"立即卖出(WAIVED止损)","继续持有(WAIVED)"),IF(OR(M48&lt;=-10%,Q48="是"),"立即卖出",IF(OR(AA48="卖出",V48="是",X48="是"),"次日卖出",IF(AND(Y48="是",NOT(OR(Q48="是",M48&lt;=-8%,V48="是",X48="是"))),"减仓至上限",IF(W48="是","观察","继续持有"))))))</f>
        <v/>
      </c>
      <c r="AC48" s="19" t="str">
        <f aca="false">IF($A48="","",IF(Q48="是","触发止损",IF(M48&lt;=-8%,"固定止损",IF(V48="是","信号失效",IF(X48="是","确认一卖",IF(Y48="是","单股超限",IF(W48="是","DL_P弱化","规则内持有")))))))</f>
        <v/>
      </c>
      <c r="AD48" s="5"/>
    </row>
    <row r="49" customFormat="false" ht="15" hidden="false" customHeight="true" outlineLevel="0" collapsed="false">
      <c r="A49" s="7"/>
      <c r="B49" s="7"/>
      <c r="C49" s="7"/>
      <c r="D49" s="12"/>
      <c r="E49" s="24"/>
      <c r="F49" s="7"/>
      <c r="G49" s="25"/>
      <c r="H49" s="24"/>
      <c r="I49" s="24"/>
      <c r="J49" s="15" t="n">
        <f aca="false">IFERROR(G49*I49,0)</f>
        <v>0</v>
      </c>
      <c r="K49" s="15" t="n">
        <f aca="false">IFERROR(G49*H49,0)</f>
        <v>0</v>
      </c>
      <c r="L49" s="15" t="n">
        <f aca="false">IFERROR(J49-K49,0)</f>
        <v>0</v>
      </c>
      <c r="M49" s="16" t="n">
        <f aca="false">IFERROR((I49-H49)/H49,0)</f>
        <v>0</v>
      </c>
      <c r="N49" s="16" t="n">
        <f aca="false">IFERROR(J49/INDEX(账户总表!$B:$B,MATCH($A49,账户总表!$A:$A,0)),0)</f>
        <v>0</v>
      </c>
      <c r="O49" s="24"/>
      <c r="P49" s="15" t="str">
        <f aca="false">IF($A49="","",IF($D49="是",IF(E49&gt;0,E49*0.92,MAX(O49*0.98,H49*0.92)),MAX(O49*0.98,H49*0.92)))</f>
        <v/>
      </c>
      <c r="Q49" s="4" t="str">
        <f aca="false">IF($A49="","",IF(AND(I49&gt;0,P49&gt;0,I49&lt;=P49),"是","否"))</f>
        <v/>
      </c>
      <c r="R49" s="26"/>
      <c r="S49" s="7"/>
      <c r="T49" s="7"/>
      <c r="U49" s="7"/>
      <c r="V49" s="19" t="str">
        <f aca="false">IF($A49="","",IF(OR(AND(O49&gt;0,I49&lt;O49),AND(T49="False",S49&lt;0.8)),"是","否"))</f>
        <v/>
      </c>
      <c r="W49" s="19" t="str">
        <f aca="false">IF($A49="","",IF(AND(I49&lt;H49,S49&lt;0.8),"是","否"))</f>
        <v/>
      </c>
      <c r="X49" s="19" t="str">
        <f aca="false">IF($A49="","",IF(AND(R49&lt;60%,S49&gt;0.8,T49="True",U49="一卖"),"是","否"))</f>
        <v/>
      </c>
      <c r="Y49" s="19" t="str">
        <f aca="false">IF($A49="","",IF(D49="是","否",IF(N49&gt;LOOKUP(2,1/(账户总表!$A:$A&lt;&gt;""),账户总表!$O:$O),"是","否")))</f>
        <v/>
      </c>
      <c r="Z49" s="19" t="str">
        <f aca="false">IF($A49="","",IF(M49&gt;=0,"盈利","亏损"))</f>
        <v/>
      </c>
      <c r="AA49" s="19" t="str">
        <f aca="false">IF($A49="","",IF(OR(Q49="是",M49&lt;=-8%,V49="是",X49="是"),"卖出",IF(Y49="是","减仓",IF(W49="是","观察","持有"))))</f>
        <v/>
      </c>
      <c r="AB49" s="19" t="str">
        <f aca="false">IF($A49="","",IF(D49="是",IF(I49&lt;=E49*0.92,"立即卖出(WAIVED止损)","继续持有(WAIVED)"),IF(OR(M49&lt;=-10%,Q49="是"),"立即卖出",IF(OR(AA49="卖出",V49="是",X49="是"),"次日卖出",IF(AND(Y49="是",NOT(OR(Q49="是",M49&lt;=-8%,V49="是",X49="是"))),"减仓至上限",IF(W49="是","观察","继续持有"))))))</f>
        <v/>
      </c>
      <c r="AC49" s="19" t="str">
        <f aca="false">IF($A49="","",IF(Q49="是","触发止损",IF(M49&lt;=-8%,"固定止损",IF(V49="是","信号失效",IF(X49="是","确认一卖",IF(Y49="是","单股超限",IF(W49="是","DL_P弱化","规则内持有")))))))</f>
        <v/>
      </c>
      <c r="AD49" s="7"/>
    </row>
    <row r="50" customFormat="false" ht="15" hidden="false" customHeight="true" outlineLevel="0" collapsed="false">
      <c r="A50" s="5"/>
      <c r="B50" s="5"/>
      <c r="C50" s="5"/>
      <c r="D50" s="11"/>
      <c r="E50" s="14"/>
      <c r="F50" s="5"/>
      <c r="G50" s="17"/>
      <c r="H50" s="14"/>
      <c r="I50" s="14"/>
      <c r="J50" s="15" t="n">
        <f aca="false">IFERROR(G50*I50,0)</f>
        <v>0</v>
      </c>
      <c r="K50" s="15" t="n">
        <f aca="false">IFERROR(G50*H50,0)</f>
        <v>0</v>
      </c>
      <c r="L50" s="15" t="n">
        <f aca="false">IFERROR(J50-K50,0)</f>
        <v>0</v>
      </c>
      <c r="M50" s="16" t="n">
        <f aca="false">IFERROR((I50-H50)/H50,0)</f>
        <v>0</v>
      </c>
      <c r="N50" s="16" t="n">
        <f aca="false">IFERROR(J50/INDEX(账户总表!$B:$B,MATCH($A50,账户总表!$A:$A,0)),0)</f>
        <v>0</v>
      </c>
      <c r="O50" s="14"/>
      <c r="P50" s="15" t="str">
        <f aca="false">IF($A50="","",IF($D50="是",IF(E50&gt;0,E50*0.92,MAX(O50*0.98,H50*0.92)),MAX(O50*0.98,H50*0.92)))</f>
        <v/>
      </c>
      <c r="Q50" s="4" t="str">
        <f aca="false">IF($A50="","",IF(AND(I50&gt;0,P50&gt;0,I50&lt;=P50),"是","否"))</f>
        <v/>
      </c>
      <c r="R50" s="20"/>
      <c r="S50" s="5"/>
      <c r="T50" s="5"/>
      <c r="U50" s="5"/>
      <c r="V50" s="19" t="str">
        <f aca="false">IF($A50="","",IF(OR(AND(O50&gt;0,I50&lt;O50),AND(T50="False",S50&lt;0.8)),"是","否"))</f>
        <v/>
      </c>
      <c r="W50" s="19" t="str">
        <f aca="false">IF($A50="","",IF(AND(I50&lt;H50,S50&lt;0.8),"是","否"))</f>
        <v/>
      </c>
      <c r="X50" s="19" t="str">
        <f aca="false">IF($A50="","",IF(AND(R50&lt;60%,S50&gt;0.8,T50="True",U50="一卖"),"是","否"))</f>
        <v/>
      </c>
      <c r="Y50" s="19" t="str">
        <f aca="false">IF($A50="","",IF(D50="是","否",IF(N50&gt;LOOKUP(2,1/(账户总表!$A:$A&lt;&gt;""),账户总表!$O:$O),"是","否")))</f>
        <v/>
      </c>
      <c r="Z50" s="19" t="str">
        <f aca="false">IF($A50="","",IF(M50&gt;=0,"盈利","亏损"))</f>
        <v/>
      </c>
      <c r="AA50" s="19" t="str">
        <f aca="false">IF($A50="","",IF(OR(Q50="是",M50&lt;=-8%,V50="是",X50="是"),"卖出",IF(Y50="是","减仓",IF(W50="是","观察","持有"))))</f>
        <v/>
      </c>
      <c r="AB50" s="19" t="str">
        <f aca="false">IF($A50="","",IF(D50="是",IF(I50&lt;=E50*0.92,"立即卖出(WAIVED止损)","继续持有(WAIVED)"),IF(OR(M50&lt;=-10%,Q50="是"),"立即卖出",IF(OR(AA50="卖出",V50="是",X50="是"),"次日卖出",IF(AND(Y50="是",NOT(OR(Q50="是",M50&lt;=-8%,V50="是",X50="是"))),"减仓至上限",IF(W50="是","观察","继续持有"))))))</f>
        <v/>
      </c>
      <c r="AC50" s="19" t="str">
        <f aca="false">IF($A50="","",IF(Q50="是","触发止损",IF(M50&lt;=-8%,"固定止损",IF(V50="是","信号失效",IF(X50="是","确认一卖",IF(Y50="是","单股超限",IF(W50="是","DL_P弱化","规则内持有")))))))</f>
        <v/>
      </c>
      <c r="AD50" s="5"/>
    </row>
    <row r="51" customFormat="false" ht="15" hidden="false" customHeight="true" outlineLevel="0" collapsed="false">
      <c r="A51" s="7"/>
      <c r="B51" s="7"/>
      <c r="C51" s="7"/>
      <c r="D51" s="12"/>
      <c r="E51" s="24"/>
      <c r="F51" s="7"/>
      <c r="G51" s="25"/>
      <c r="H51" s="24"/>
      <c r="I51" s="24"/>
      <c r="J51" s="15" t="n">
        <f aca="false">IFERROR(G51*I51,0)</f>
        <v>0</v>
      </c>
      <c r="K51" s="15" t="n">
        <f aca="false">IFERROR(G51*H51,0)</f>
        <v>0</v>
      </c>
      <c r="L51" s="15" t="n">
        <f aca="false">IFERROR(J51-K51,0)</f>
        <v>0</v>
      </c>
      <c r="M51" s="16" t="n">
        <f aca="false">IFERROR((I51-H51)/H51,0)</f>
        <v>0</v>
      </c>
      <c r="N51" s="16" t="n">
        <f aca="false">IFERROR(J51/INDEX(账户总表!$B:$B,MATCH($A51,账户总表!$A:$A,0)),0)</f>
        <v>0</v>
      </c>
      <c r="O51" s="24"/>
      <c r="P51" s="15" t="str">
        <f aca="false">IF($A51="","",IF($D51="是",IF(E51&gt;0,E51*0.92,MAX(O51*0.98,H51*0.92)),MAX(O51*0.98,H51*0.92)))</f>
        <v/>
      </c>
      <c r="Q51" s="4" t="str">
        <f aca="false">IF($A51="","",IF(AND(I51&gt;0,P51&gt;0,I51&lt;=P51),"是","否"))</f>
        <v/>
      </c>
      <c r="R51" s="26"/>
      <c r="S51" s="7"/>
      <c r="T51" s="7"/>
      <c r="U51" s="7"/>
      <c r="V51" s="19" t="str">
        <f aca="false">IF($A51="","",IF(OR(AND(O51&gt;0,I51&lt;O51),AND(T51="False",S51&lt;0.8)),"是","否"))</f>
        <v/>
      </c>
      <c r="W51" s="19" t="str">
        <f aca="false">IF($A51="","",IF(AND(I51&lt;H51,S51&lt;0.8),"是","否"))</f>
        <v/>
      </c>
      <c r="X51" s="19" t="str">
        <f aca="false">IF($A51="","",IF(AND(R51&lt;60%,S51&gt;0.8,T51="True",U51="一卖"),"是","否"))</f>
        <v/>
      </c>
      <c r="Y51" s="19" t="str">
        <f aca="false">IF($A51="","",IF(D51="是","否",IF(N51&gt;LOOKUP(2,1/(账户总表!$A:$A&lt;&gt;""),账户总表!$O:$O),"是","否")))</f>
        <v/>
      </c>
      <c r="Z51" s="19" t="str">
        <f aca="false">IF($A51="","",IF(M51&gt;=0,"盈利","亏损"))</f>
        <v/>
      </c>
      <c r="AA51" s="19" t="str">
        <f aca="false">IF($A51="","",IF(OR(Q51="是",M51&lt;=-8%,V51="是",X51="是"),"卖出",IF(Y51="是","减仓",IF(W51="是","观察","持有"))))</f>
        <v/>
      </c>
      <c r="AB51" s="19" t="str">
        <f aca="false">IF($A51="","",IF(D51="是",IF(I51&lt;=E51*0.92,"立即卖出(WAIVED止损)","继续持有(WAIVED)"),IF(OR(M51&lt;=-10%,Q51="是"),"立即卖出",IF(OR(AA51="卖出",V51="是",X51="是"),"次日卖出",IF(AND(Y51="是",NOT(OR(Q51="是",M51&lt;=-8%,V51="是",X51="是"))),"减仓至上限",IF(W51="是","观察","继续持有"))))))</f>
        <v/>
      </c>
      <c r="AC51" s="19" t="str">
        <f aca="false">IF($A51="","",IF(Q51="是","触发止损",IF(M51&lt;=-8%,"固定止损",IF(V51="是","信号失效",IF(X51="是","确认一卖",IF(Y51="是","单股超限",IF(W51="是","DL_P弱化","规则内持有")))))))</f>
        <v/>
      </c>
      <c r="AD51" s="7"/>
    </row>
    <row r="52" customFormat="false" ht="15" hidden="false" customHeight="true" outlineLevel="0" collapsed="false">
      <c r="A52" s="5"/>
      <c r="B52" s="5"/>
      <c r="C52" s="5"/>
      <c r="D52" s="11"/>
      <c r="E52" s="14"/>
      <c r="F52" s="5"/>
      <c r="G52" s="17"/>
      <c r="H52" s="14"/>
      <c r="I52" s="14"/>
      <c r="J52" s="15" t="n">
        <f aca="false">IFERROR(G52*I52,0)</f>
        <v>0</v>
      </c>
      <c r="K52" s="15" t="n">
        <f aca="false">IFERROR(G52*H52,0)</f>
        <v>0</v>
      </c>
      <c r="L52" s="15" t="n">
        <f aca="false">IFERROR(J52-K52,0)</f>
        <v>0</v>
      </c>
      <c r="M52" s="16" t="n">
        <f aca="false">IFERROR((I52-H52)/H52,0)</f>
        <v>0</v>
      </c>
      <c r="N52" s="16" t="n">
        <f aca="false">IFERROR(J52/INDEX(账户总表!$B:$B,MATCH($A52,账户总表!$A:$A,0)),0)</f>
        <v>0</v>
      </c>
      <c r="O52" s="14"/>
      <c r="P52" s="15" t="str">
        <f aca="false">IF($A52="","",IF($D52="是",IF(E52&gt;0,E52*0.92,MAX(O52*0.98,H52*0.92)),MAX(O52*0.98,H52*0.92)))</f>
        <v/>
      </c>
      <c r="Q52" s="4" t="str">
        <f aca="false">IF($A52="","",IF(AND(I52&gt;0,P52&gt;0,I52&lt;=P52),"是","否"))</f>
        <v/>
      </c>
      <c r="R52" s="20"/>
      <c r="S52" s="5"/>
      <c r="T52" s="5"/>
      <c r="U52" s="5"/>
      <c r="V52" s="19" t="str">
        <f aca="false">IF($A52="","",IF(OR(AND(O52&gt;0,I52&lt;O52),AND(T52="False",S52&lt;0.8)),"是","否"))</f>
        <v/>
      </c>
      <c r="W52" s="19" t="str">
        <f aca="false">IF($A52="","",IF(AND(I52&lt;H52,S52&lt;0.8),"是","否"))</f>
        <v/>
      </c>
      <c r="X52" s="19" t="str">
        <f aca="false">IF($A52="","",IF(AND(R52&lt;60%,S52&gt;0.8,T52="True",U52="一卖"),"是","否"))</f>
        <v/>
      </c>
      <c r="Y52" s="19" t="str">
        <f aca="false">IF($A52="","",IF(D52="是","否",IF(N52&gt;LOOKUP(2,1/(账户总表!$A:$A&lt;&gt;""),账户总表!$O:$O),"是","否")))</f>
        <v/>
      </c>
      <c r="Z52" s="19" t="str">
        <f aca="false">IF($A52="","",IF(M52&gt;=0,"盈利","亏损"))</f>
        <v/>
      </c>
      <c r="AA52" s="19" t="str">
        <f aca="false">IF($A52="","",IF(OR(Q52="是",M52&lt;=-8%,V52="是",X52="是"),"卖出",IF(Y52="是","减仓",IF(W52="是","观察","持有"))))</f>
        <v/>
      </c>
      <c r="AB52" s="19" t="str">
        <f aca="false">IF($A52="","",IF(D52="是",IF(I52&lt;=E52*0.92,"立即卖出(WAIVED止损)","继续持有(WAIVED)"),IF(OR(M52&lt;=-10%,Q52="是"),"立即卖出",IF(OR(AA52="卖出",V52="是",X52="是"),"次日卖出",IF(AND(Y52="是",NOT(OR(Q52="是",M52&lt;=-8%,V52="是",X52="是"))),"减仓至上限",IF(W52="是","观察","继续持有"))))))</f>
        <v/>
      </c>
      <c r="AC52" s="19" t="str">
        <f aca="false">IF($A52="","",IF(Q52="是","触发止损",IF(M52&lt;=-8%,"固定止损",IF(V52="是","信号失效",IF(X52="是","确认一卖",IF(Y52="是","单股超限",IF(W52="是","DL_P弱化","规则内持有")))))))</f>
        <v/>
      </c>
      <c r="AD52" s="5"/>
    </row>
    <row r="53" customFormat="false" ht="15" hidden="false" customHeight="true" outlineLevel="0" collapsed="false">
      <c r="A53" s="7"/>
      <c r="B53" s="7"/>
      <c r="C53" s="7"/>
      <c r="D53" s="12"/>
      <c r="E53" s="24"/>
      <c r="F53" s="7"/>
      <c r="G53" s="25"/>
      <c r="H53" s="24"/>
      <c r="I53" s="24"/>
      <c r="J53" s="15" t="n">
        <f aca="false">IFERROR(G53*I53,0)</f>
        <v>0</v>
      </c>
      <c r="K53" s="15" t="n">
        <f aca="false">IFERROR(G53*H53,0)</f>
        <v>0</v>
      </c>
      <c r="L53" s="15" t="n">
        <f aca="false">IFERROR(J53-K53,0)</f>
        <v>0</v>
      </c>
      <c r="M53" s="16" t="n">
        <f aca="false">IFERROR((I53-H53)/H53,0)</f>
        <v>0</v>
      </c>
      <c r="N53" s="16" t="n">
        <f aca="false">IFERROR(J53/INDEX(账户总表!$B:$B,MATCH($A53,账户总表!$A:$A,0)),0)</f>
        <v>0</v>
      </c>
      <c r="O53" s="24"/>
      <c r="P53" s="15" t="str">
        <f aca="false">IF($A53="","",IF($D53="是",IF(E53&gt;0,E53*0.92,MAX(O53*0.98,H53*0.92)),MAX(O53*0.98,H53*0.92)))</f>
        <v/>
      </c>
      <c r="Q53" s="4" t="str">
        <f aca="false">IF($A53="","",IF(AND(I53&gt;0,P53&gt;0,I53&lt;=P53),"是","否"))</f>
        <v/>
      </c>
      <c r="R53" s="26"/>
      <c r="S53" s="7"/>
      <c r="T53" s="7"/>
      <c r="U53" s="7"/>
      <c r="V53" s="19" t="str">
        <f aca="false">IF($A53="","",IF(OR(AND(O53&gt;0,I53&lt;O53),AND(T53="False",S53&lt;0.8)),"是","否"))</f>
        <v/>
      </c>
      <c r="W53" s="19" t="str">
        <f aca="false">IF($A53="","",IF(AND(I53&lt;H53,S53&lt;0.8),"是","否"))</f>
        <v/>
      </c>
      <c r="X53" s="19" t="str">
        <f aca="false">IF($A53="","",IF(AND(R53&lt;60%,S53&gt;0.8,T53="True",U53="一卖"),"是","否"))</f>
        <v/>
      </c>
      <c r="Y53" s="19" t="str">
        <f aca="false">IF($A53="","",IF(D53="是","否",IF(N53&gt;LOOKUP(2,1/(账户总表!$A:$A&lt;&gt;""),账户总表!$O:$O),"是","否")))</f>
        <v/>
      </c>
      <c r="Z53" s="19" t="str">
        <f aca="false">IF($A53="","",IF(M53&gt;=0,"盈利","亏损"))</f>
        <v/>
      </c>
      <c r="AA53" s="19" t="str">
        <f aca="false">IF($A53="","",IF(OR(Q53="是",M53&lt;=-8%,V53="是",X53="是"),"卖出",IF(Y53="是","减仓",IF(W53="是","观察","持有"))))</f>
        <v/>
      </c>
      <c r="AB53" s="19" t="str">
        <f aca="false">IF($A53="","",IF(D53="是",IF(I53&lt;=E53*0.92,"立即卖出(WAIVED止损)","继续持有(WAIVED)"),IF(OR(M53&lt;=-10%,Q53="是"),"立即卖出",IF(OR(AA53="卖出",V53="是",X53="是"),"次日卖出",IF(AND(Y53="是",NOT(OR(Q53="是",M53&lt;=-8%,V53="是",X53="是"))),"减仓至上限",IF(W53="是","观察","继续持有"))))))</f>
        <v/>
      </c>
      <c r="AC53" s="19" t="str">
        <f aca="false">IF($A53="","",IF(Q53="是","触发止损",IF(M53&lt;=-8%,"固定止损",IF(V53="是","信号失效",IF(X53="是","确认一卖",IF(Y53="是","单股超限",IF(W53="是","DL_P弱化","规则内持有")))))))</f>
        <v/>
      </c>
      <c r="AD53" s="7"/>
    </row>
    <row r="54" customFormat="false" ht="15" hidden="false" customHeight="true" outlineLevel="0" collapsed="false">
      <c r="A54" s="5"/>
      <c r="B54" s="5"/>
      <c r="C54" s="5"/>
      <c r="D54" s="11"/>
      <c r="E54" s="14"/>
      <c r="F54" s="5"/>
      <c r="G54" s="17"/>
      <c r="H54" s="14"/>
      <c r="I54" s="14"/>
      <c r="J54" s="15" t="n">
        <f aca="false">IFERROR(G54*I54,0)</f>
        <v>0</v>
      </c>
      <c r="K54" s="15" t="n">
        <f aca="false">IFERROR(G54*H54,0)</f>
        <v>0</v>
      </c>
      <c r="L54" s="15" t="n">
        <f aca="false">IFERROR(J54-K54,0)</f>
        <v>0</v>
      </c>
      <c r="M54" s="16" t="n">
        <f aca="false">IFERROR((I54-H54)/H54,0)</f>
        <v>0</v>
      </c>
      <c r="N54" s="16" t="n">
        <f aca="false">IFERROR(J54/INDEX(账户总表!$B:$B,MATCH($A54,账户总表!$A:$A,0)),0)</f>
        <v>0</v>
      </c>
      <c r="O54" s="14"/>
      <c r="P54" s="15" t="str">
        <f aca="false">IF($A54="","",IF($D54="是",IF(E54&gt;0,E54*0.92,MAX(O54*0.98,H54*0.92)),MAX(O54*0.98,H54*0.92)))</f>
        <v/>
      </c>
      <c r="Q54" s="4" t="str">
        <f aca="false">IF($A54="","",IF(AND(I54&gt;0,P54&gt;0,I54&lt;=P54),"是","否"))</f>
        <v/>
      </c>
      <c r="R54" s="20"/>
      <c r="S54" s="5"/>
      <c r="T54" s="5"/>
      <c r="U54" s="5"/>
      <c r="V54" s="19" t="str">
        <f aca="false">IF($A54="","",IF(OR(AND(O54&gt;0,I54&lt;O54),AND(T54="False",S54&lt;0.8)),"是","否"))</f>
        <v/>
      </c>
      <c r="W54" s="19" t="str">
        <f aca="false">IF($A54="","",IF(AND(I54&lt;H54,S54&lt;0.8),"是","否"))</f>
        <v/>
      </c>
      <c r="X54" s="19" t="str">
        <f aca="false">IF($A54="","",IF(AND(R54&lt;60%,S54&gt;0.8,T54="True",U54="一卖"),"是","否"))</f>
        <v/>
      </c>
      <c r="Y54" s="19" t="str">
        <f aca="false">IF($A54="","",IF(D54="是","否",IF(N54&gt;LOOKUP(2,1/(账户总表!$A:$A&lt;&gt;""),账户总表!$O:$O),"是","否")))</f>
        <v/>
      </c>
      <c r="Z54" s="19" t="str">
        <f aca="false">IF($A54="","",IF(M54&gt;=0,"盈利","亏损"))</f>
        <v/>
      </c>
      <c r="AA54" s="19" t="str">
        <f aca="false">IF($A54="","",IF(OR(Q54="是",M54&lt;=-8%,V54="是",X54="是"),"卖出",IF(Y54="是","减仓",IF(W54="是","观察","持有"))))</f>
        <v/>
      </c>
      <c r="AB54" s="19" t="str">
        <f aca="false">IF($A54="","",IF(D54="是",IF(I54&lt;=E54*0.92,"立即卖出(WAIVED止损)","继续持有(WAIVED)"),IF(OR(M54&lt;=-10%,Q54="是"),"立即卖出",IF(OR(AA54="卖出",V54="是",X54="是"),"次日卖出",IF(AND(Y54="是",NOT(OR(Q54="是",M54&lt;=-8%,V54="是",X54="是"))),"减仓至上限",IF(W54="是","观察","继续持有"))))))</f>
        <v/>
      </c>
      <c r="AC54" s="19" t="str">
        <f aca="false">IF($A54="","",IF(Q54="是","触发止损",IF(M54&lt;=-8%,"固定止损",IF(V54="是","信号失效",IF(X54="是","确认一卖",IF(Y54="是","单股超限",IF(W54="是","DL_P弱化","规则内持有")))))))</f>
        <v/>
      </c>
      <c r="AD54" s="5"/>
    </row>
    <row r="55" customFormat="false" ht="15" hidden="false" customHeight="true" outlineLevel="0" collapsed="false">
      <c r="A55" s="7"/>
      <c r="B55" s="7"/>
      <c r="C55" s="7"/>
      <c r="D55" s="12"/>
      <c r="E55" s="24"/>
      <c r="F55" s="7"/>
      <c r="G55" s="25"/>
      <c r="H55" s="24"/>
      <c r="I55" s="24"/>
      <c r="J55" s="15" t="n">
        <f aca="false">IFERROR(G55*I55,0)</f>
        <v>0</v>
      </c>
      <c r="K55" s="15" t="n">
        <f aca="false">IFERROR(G55*H55,0)</f>
        <v>0</v>
      </c>
      <c r="L55" s="15" t="n">
        <f aca="false">IFERROR(J55-K55,0)</f>
        <v>0</v>
      </c>
      <c r="M55" s="16" t="n">
        <f aca="false">IFERROR((I55-H55)/H55,0)</f>
        <v>0</v>
      </c>
      <c r="N55" s="16" t="n">
        <f aca="false">IFERROR(J55/INDEX(账户总表!$B:$B,MATCH($A55,账户总表!$A:$A,0)),0)</f>
        <v>0</v>
      </c>
      <c r="O55" s="24"/>
      <c r="P55" s="15" t="str">
        <f aca="false">IF($A55="","",IF($D55="是",IF(E55&gt;0,E55*0.92,MAX(O55*0.98,H55*0.92)),MAX(O55*0.98,H55*0.92)))</f>
        <v/>
      </c>
      <c r="Q55" s="4" t="str">
        <f aca="false">IF($A55="","",IF(AND(I55&gt;0,P55&gt;0,I55&lt;=P55),"是","否"))</f>
        <v/>
      </c>
      <c r="R55" s="26"/>
      <c r="S55" s="7"/>
      <c r="T55" s="7"/>
      <c r="U55" s="7"/>
      <c r="V55" s="19" t="str">
        <f aca="false">IF($A55="","",IF(OR(AND(O55&gt;0,I55&lt;O55),AND(T55="False",S55&lt;0.8)),"是","否"))</f>
        <v/>
      </c>
      <c r="W55" s="19" t="str">
        <f aca="false">IF($A55="","",IF(AND(I55&lt;H55,S55&lt;0.8),"是","否"))</f>
        <v/>
      </c>
      <c r="X55" s="19" t="str">
        <f aca="false">IF($A55="","",IF(AND(R55&lt;60%,S55&gt;0.8,T55="True",U55="一卖"),"是","否"))</f>
        <v/>
      </c>
      <c r="Y55" s="19" t="str">
        <f aca="false">IF($A55="","",IF(D55="是","否",IF(N55&gt;LOOKUP(2,1/(账户总表!$A:$A&lt;&gt;""),账户总表!$O:$O),"是","否")))</f>
        <v/>
      </c>
      <c r="Z55" s="19" t="str">
        <f aca="false">IF($A55="","",IF(M55&gt;=0,"盈利","亏损"))</f>
        <v/>
      </c>
      <c r="AA55" s="19" t="str">
        <f aca="false">IF($A55="","",IF(OR(Q55="是",M55&lt;=-8%,V55="是",X55="是"),"卖出",IF(Y55="是","减仓",IF(W55="是","观察","持有"))))</f>
        <v/>
      </c>
      <c r="AB55" s="19" t="str">
        <f aca="false">IF($A55="","",IF(D55="是",IF(I55&lt;=E55*0.92,"立即卖出(WAIVED止损)","继续持有(WAIVED)"),IF(OR(M55&lt;=-10%,Q55="是"),"立即卖出",IF(OR(AA55="卖出",V55="是",X55="是"),"次日卖出",IF(AND(Y55="是",NOT(OR(Q55="是",M55&lt;=-8%,V55="是",X55="是"))),"减仓至上限",IF(W55="是","观察","继续持有"))))))</f>
        <v/>
      </c>
      <c r="AC55" s="19" t="str">
        <f aca="false">IF($A55="","",IF(Q55="是","触发止损",IF(M55&lt;=-8%,"固定止损",IF(V55="是","信号失效",IF(X55="是","确认一卖",IF(Y55="是","单股超限",IF(W55="是","DL_P弱化","规则内持有")))))))</f>
        <v/>
      </c>
      <c r="AD55" s="7"/>
    </row>
    <row r="56" customFormat="false" ht="15" hidden="false" customHeight="true" outlineLevel="0" collapsed="false">
      <c r="A56" s="5"/>
      <c r="B56" s="5"/>
      <c r="C56" s="5"/>
      <c r="D56" s="11"/>
      <c r="E56" s="14"/>
      <c r="F56" s="5"/>
      <c r="G56" s="17"/>
      <c r="H56" s="14"/>
      <c r="I56" s="14"/>
      <c r="J56" s="15" t="n">
        <f aca="false">IFERROR(G56*I56,0)</f>
        <v>0</v>
      </c>
      <c r="K56" s="15" t="n">
        <f aca="false">IFERROR(G56*H56,0)</f>
        <v>0</v>
      </c>
      <c r="L56" s="15" t="n">
        <f aca="false">IFERROR(J56-K56,0)</f>
        <v>0</v>
      </c>
      <c r="M56" s="16" t="n">
        <f aca="false">IFERROR((I56-H56)/H56,0)</f>
        <v>0</v>
      </c>
      <c r="N56" s="16" t="n">
        <f aca="false">IFERROR(J56/INDEX(账户总表!$B:$B,MATCH($A56,账户总表!$A:$A,0)),0)</f>
        <v>0</v>
      </c>
      <c r="O56" s="14"/>
      <c r="P56" s="15" t="str">
        <f aca="false">IF($A56="","",IF($D56="是",IF(E56&gt;0,E56*0.92,MAX(O56*0.98,H56*0.92)),MAX(O56*0.98,H56*0.92)))</f>
        <v/>
      </c>
      <c r="Q56" s="4" t="str">
        <f aca="false">IF($A56="","",IF(AND(I56&gt;0,P56&gt;0,I56&lt;=P56),"是","否"))</f>
        <v/>
      </c>
      <c r="R56" s="20"/>
      <c r="S56" s="5"/>
      <c r="T56" s="5"/>
      <c r="U56" s="5"/>
      <c r="V56" s="19" t="str">
        <f aca="false">IF($A56="","",IF(OR(AND(O56&gt;0,I56&lt;O56),AND(T56="False",S56&lt;0.8)),"是","否"))</f>
        <v/>
      </c>
      <c r="W56" s="19" t="str">
        <f aca="false">IF($A56="","",IF(AND(I56&lt;H56,S56&lt;0.8),"是","否"))</f>
        <v/>
      </c>
      <c r="X56" s="19" t="str">
        <f aca="false">IF($A56="","",IF(AND(R56&lt;60%,S56&gt;0.8,T56="True",U56="一卖"),"是","否"))</f>
        <v/>
      </c>
      <c r="Y56" s="19" t="str">
        <f aca="false">IF($A56="","",IF(D56="是","否",IF(N56&gt;LOOKUP(2,1/(账户总表!$A:$A&lt;&gt;""),账户总表!$O:$O),"是","否")))</f>
        <v/>
      </c>
      <c r="Z56" s="19" t="str">
        <f aca="false">IF($A56="","",IF(M56&gt;=0,"盈利","亏损"))</f>
        <v/>
      </c>
      <c r="AA56" s="19" t="str">
        <f aca="false">IF($A56="","",IF(OR(Q56="是",M56&lt;=-8%,V56="是",X56="是"),"卖出",IF(Y56="是","减仓",IF(W56="是","观察","持有"))))</f>
        <v/>
      </c>
      <c r="AB56" s="19" t="str">
        <f aca="false">IF($A56="","",IF(D56="是",IF(I56&lt;=E56*0.92,"立即卖出(WAIVED止损)","继续持有(WAIVED)"),IF(OR(M56&lt;=-10%,Q56="是"),"立即卖出",IF(OR(AA56="卖出",V56="是",X56="是"),"次日卖出",IF(AND(Y56="是",NOT(OR(Q56="是",M56&lt;=-8%,V56="是",X56="是"))),"减仓至上限",IF(W56="是","观察","继续持有"))))))</f>
        <v/>
      </c>
      <c r="AC56" s="19" t="str">
        <f aca="false">IF($A56="","",IF(Q56="是","触发止损",IF(M56&lt;=-8%,"固定止损",IF(V56="是","信号失效",IF(X56="是","确认一卖",IF(Y56="是","单股超限",IF(W56="是","DL_P弱化","规则内持有")))))))</f>
        <v/>
      </c>
      <c r="AD56" s="5"/>
    </row>
    <row r="57" customFormat="false" ht="15" hidden="false" customHeight="true" outlineLevel="0" collapsed="false">
      <c r="A57" s="7"/>
      <c r="B57" s="7"/>
      <c r="C57" s="7"/>
      <c r="D57" s="12"/>
      <c r="E57" s="24"/>
      <c r="F57" s="7"/>
      <c r="G57" s="25"/>
      <c r="H57" s="24"/>
      <c r="I57" s="24"/>
      <c r="J57" s="15" t="n">
        <f aca="false">IFERROR(G57*I57,0)</f>
        <v>0</v>
      </c>
      <c r="K57" s="15" t="n">
        <f aca="false">IFERROR(G57*H57,0)</f>
        <v>0</v>
      </c>
      <c r="L57" s="15" t="n">
        <f aca="false">IFERROR(J57-K57,0)</f>
        <v>0</v>
      </c>
      <c r="M57" s="16" t="n">
        <f aca="false">IFERROR((I57-H57)/H57,0)</f>
        <v>0</v>
      </c>
      <c r="N57" s="16" t="n">
        <f aca="false">IFERROR(J57/INDEX(账户总表!$B:$B,MATCH($A57,账户总表!$A:$A,0)),0)</f>
        <v>0</v>
      </c>
      <c r="O57" s="24"/>
      <c r="P57" s="15" t="str">
        <f aca="false">IF($A57="","",IF($D57="是",IF(E57&gt;0,E57*0.92,MAX(O57*0.98,H57*0.92)),MAX(O57*0.98,H57*0.92)))</f>
        <v/>
      </c>
      <c r="Q57" s="4" t="str">
        <f aca="false">IF($A57="","",IF(AND(I57&gt;0,P57&gt;0,I57&lt;=P57),"是","否"))</f>
        <v/>
      </c>
      <c r="R57" s="26"/>
      <c r="S57" s="7"/>
      <c r="T57" s="7"/>
      <c r="U57" s="7"/>
      <c r="V57" s="19" t="str">
        <f aca="false">IF($A57="","",IF(OR(AND(O57&gt;0,I57&lt;O57),AND(T57="False",S57&lt;0.8)),"是","否"))</f>
        <v/>
      </c>
      <c r="W57" s="19" t="str">
        <f aca="false">IF($A57="","",IF(AND(I57&lt;H57,S57&lt;0.8),"是","否"))</f>
        <v/>
      </c>
      <c r="X57" s="19" t="str">
        <f aca="false">IF($A57="","",IF(AND(R57&lt;60%,S57&gt;0.8,T57="True",U57="一卖"),"是","否"))</f>
        <v/>
      </c>
      <c r="Y57" s="19" t="str">
        <f aca="false">IF($A57="","",IF(D57="是","否",IF(N57&gt;LOOKUP(2,1/(账户总表!$A:$A&lt;&gt;""),账户总表!$O:$O),"是","否")))</f>
        <v/>
      </c>
      <c r="Z57" s="19" t="str">
        <f aca="false">IF($A57="","",IF(M57&gt;=0,"盈利","亏损"))</f>
        <v/>
      </c>
      <c r="AA57" s="19" t="str">
        <f aca="false">IF($A57="","",IF(OR(Q57="是",M57&lt;=-8%,V57="是",X57="是"),"卖出",IF(Y57="是","减仓",IF(W57="是","观察","持有"))))</f>
        <v/>
      </c>
      <c r="AB57" s="19" t="str">
        <f aca="false">IF($A57="","",IF(D57="是",IF(I57&lt;=E57*0.92,"立即卖出(WAIVED止损)","继续持有(WAIVED)"),IF(OR(M57&lt;=-10%,Q57="是"),"立即卖出",IF(OR(AA57="卖出",V57="是",X57="是"),"次日卖出",IF(AND(Y57="是",NOT(OR(Q57="是",M57&lt;=-8%,V57="是",X57="是"))),"减仓至上限",IF(W57="是","观察","继续持有"))))))</f>
        <v/>
      </c>
      <c r="AC57" s="19" t="str">
        <f aca="false">IF($A57="","",IF(Q57="是","触发止损",IF(M57&lt;=-8%,"固定止损",IF(V57="是","信号失效",IF(X57="是","确认一卖",IF(Y57="是","单股超限",IF(W57="是","DL_P弱化","规则内持有")))))))</f>
        <v/>
      </c>
      <c r="AD57" s="7"/>
    </row>
    <row r="58" customFormat="false" ht="15" hidden="false" customHeight="true" outlineLevel="0" collapsed="false">
      <c r="A58" s="5"/>
      <c r="B58" s="5"/>
      <c r="C58" s="5"/>
      <c r="D58" s="11"/>
      <c r="E58" s="14"/>
      <c r="F58" s="5"/>
      <c r="G58" s="17"/>
      <c r="H58" s="14"/>
      <c r="I58" s="14"/>
      <c r="J58" s="15" t="n">
        <f aca="false">IFERROR(G58*I58,0)</f>
        <v>0</v>
      </c>
      <c r="K58" s="15" t="n">
        <f aca="false">IFERROR(G58*H58,0)</f>
        <v>0</v>
      </c>
      <c r="L58" s="15" t="n">
        <f aca="false">IFERROR(J58-K58,0)</f>
        <v>0</v>
      </c>
      <c r="M58" s="16" t="n">
        <f aca="false">IFERROR((I58-H58)/H58,0)</f>
        <v>0</v>
      </c>
      <c r="N58" s="16" t="n">
        <f aca="false">IFERROR(J58/INDEX(账户总表!$B:$B,MATCH($A58,账户总表!$A:$A,0)),0)</f>
        <v>0</v>
      </c>
      <c r="O58" s="14"/>
      <c r="P58" s="15" t="str">
        <f aca="false">IF($A58="","",IF($D58="是",IF(E58&gt;0,E58*0.92,MAX(O58*0.98,H58*0.92)),MAX(O58*0.98,H58*0.92)))</f>
        <v/>
      </c>
      <c r="Q58" s="4" t="str">
        <f aca="false">IF($A58="","",IF(AND(I58&gt;0,P58&gt;0,I58&lt;=P58),"是","否"))</f>
        <v/>
      </c>
      <c r="R58" s="20"/>
      <c r="S58" s="5"/>
      <c r="T58" s="5"/>
      <c r="U58" s="5"/>
      <c r="V58" s="19" t="str">
        <f aca="false">IF($A58="","",IF(OR(AND(O58&gt;0,I58&lt;O58),AND(T58="False",S58&lt;0.8)),"是","否"))</f>
        <v/>
      </c>
      <c r="W58" s="19" t="str">
        <f aca="false">IF($A58="","",IF(AND(I58&lt;H58,S58&lt;0.8),"是","否"))</f>
        <v/>
      </c>
      <c r="X58" s="19" t="str">
        <f aca="false">IF($A58="","",IF(AND(R58&lt;60%,S58&gt;0.8,T58="True",U58="一卖"),"是","否"))</f>
        <v/>
      </c>
      <c r="Y58" s="19" t="str">
        <f aca="false">IF($A58="","",IF(D58="是","否",IF(N58&gt;LOOKUP(2,1/(账户总表!$A:$A&lt;&gt;""),账户总表!$O:$O),"是","否")))</f>
        <v/>
      </c>
      <c r="Z58" s="19" t="str">
        <f aca="false">IF($A58="","",IF(M58&gt;=0,"盈利","亏损"))</f>
        <v/>
      </c>
      <c r="AA58" s="19" t="str">
        <f aca="false">IF($A58="","",IF(OR(Q58="是",M58&lt;=-8%,V58="是",X58="是"),"卖出",IF(Y58="是","减仓",IF(W58="是","观察","持有"))))</f>
        <v/>
      </c>
      <c r="AB58" s="19" t="str">
        <f aca="false">IF($A58="","",IF(D58="是",IF(I58&lt;=E58*0.92,"立即卖出(WAIVED止损)","继续持有(WAIVED)"),IF(OR(M58&lt;=-10%,Q58="是"),"立即卖出",IF(OR(AA58="卖出",V58="是",X58="是"),"次日卖出",IF(AND(Y58="是",NOT(OR(Q58="是",M58&lt;=-8%,V58="是",X58="是"))),"减仓至上限",IF(W58="是","观察","继续持有"))))))</f>
        <v/>
      </c>
      <c r="AC58" s="19" t="str">
        <f aca="false">IF($A58="","",IF(Q58="是","触发止损",IF(M58&lt;=-8%,"固定止损",IF(V58="是","信号失效",IF(X58="是","确认一卖",IF(Y58="是","单股超限",IF(W58="是","DL_P弱化","规则内持有")))))))</f>
        <v/>
      </c>
      <c r="AD58" s="5"/>
    </row>
    <row r="59" customFormat="false" ht="15" hidden="false" customHeight="true" outlineLevel="0" collapsed="false">
      <c r="A59" s="7"/>
      <c r="B59" s="7"/>
      <c r="C59" s="7"/>
      <c r="D59" s="12"/>
      <c r="E59" s="24"/>
      <c r="F59" s="7"/>
      <c r="G59" s="25"/>
      <c r="H59" s="24"/>
      <c r="I59" s="24"/>
      <c r="J59" s="15" t="n">
        <f aca="false">IFERROR(G59*I59,0)</f>
        <v>0</v>
      </c>
      <c r="K59" s="15" t="n">
        <f aca="false">IFERROR(G59*H59,0)</f>
        <v>0</v>
      </c>
      <c r="L59" s="15" t="n">
        <f aca="false">IFERROR(J59-K59,0)</f>
        <v>0</v>
      </c>
      <c r="M59" s="16" t="n">
        <f aca="false">IFERROR((I59-H59)/H59,0)</f>
        <v>0</v>
      </c>
      <c r="N59" s="16" t="n">
        <f aca="false">IFERROR(J59/INDEX(账户总表!$B:$B,MATCH($A59,账户总表!$A:$A,0)),0)</f>
        <v>0</v>
      </c>
      <c r="O59" s="24"/>
      <c r="P59" s="15" t="str">
        <f aca="false">IF($A59="","",IF($D59="是",IF(E59&gt;0,E59*0.92,MAX(O59*0.98,H59*0.92)),MAX(O59*0.98,H59*0.92)))</f>
        <v/>
      </c>
      <c r="Q59" s="4" t="str">
        <f aca="false">IF($A59="","",IF(AND(I59&gt;0,P59&gt;0,I59&lt;=P59),"是","否"))</f>
        <v/>
      </c>
      <c r="R59" s="26"/>
      <c r="S59" s="7"/>
      <c r="T59" s="7"/>
      <c r="U59" s="7"/>
      <c r="V59" s="19" t="str">
        <f aca="false">IF($A59="","",IF(OR(AND(O59&gt;0,I59&lt;O59),AND(T59="False",S59&lt;0.8)),"是","否"))</f>
        <v/>
      </c>
      <c r="W59" s="19" t="str">
        <f aca="false">IF($A59="","",IF(AND(I59&lt;H59,S59&lt;0.8),"是","否"))</f>
        <v/>
      </c>
      <c r="X59" s="19" t="str">
        <f aca="false">IF($A59="","",IF(AND(R59&lt;60%,S59&gt;0.8,T59="True",U59="一卖"),"是","否"))</f>
        <v/>
      </c>
      <c r="Y59" s="19" t="str">
        <f aca="false">IF($A59="","",IF(D59="是","否",IF(N59&gt;LOOKUP(2,1/(账户总表!$A:$A&lt;&gt;""),账户总表!$O:$O),"是","否")))</f>
        <v/>
      </c>
      <c r="Z59" s="19" t="str">
        <f aca="false">IF($A59="","",IF(M59&gt;=0,"盈利","亏损"))</f>
        <v/>
      </c>
      <c r="AA59" s="19" t="str">
        <f aca="false">IF($A59="","",IF(OR(Q59="是",M59&lt;=-8%,V59="是",X59="是"),"卖出",IF(Y59="是","减仓",IF(W59="是","观察","持有"))))</f>
        <v/>
      </c>
      <c r="AB59" s="19" t="str">
        <f aca="false">IF($A59="","",IF(D59="是",IF(I59&lt;=E59*0.92,"立即卖出(WAIVED止损)","继续持有(WAIVED)"),IF(OR(M59&lt;=-10%,Q59="是"),"立即卖出",IF(OR(AA59="卖出",V59="是",X59="是"),"次日卖出",IF(AND(Y59="是",NOT(OR(Q59="是",M59&lt;=-8%,V59="是",X59="是"))),"减仓至上限",IF(W59="是","观察","继续持有"))))))</f>
        <v/>
      </c>
      <c r="AC59" s="19" t="str">
        <f aca="false">IF($A59="","",IF(Q59="是","触发止损",IF(M59&lt;=-8%,"固定止损",IF(V59="是","信号失效",IF(X59="是","确认一卖",IF(Y59="是","单股超限",IF(W59="是","DL_P弱化","规则内持有")))))))</f>
        <v/>
      </c>
      <c r="AD59" s="7"/>
    </row>
    <row r="60" customFormat="false" ht="15" hidden="false" customHeight="true" outlineLevel="0" collapsed="false">
      <c r="A60" s="5"/>
      <c r="B60" s="5"/>
      <c r="C60" s="5"/>
      <c r="D60" s="11"/>
      <c r="E60" s="14"/>
      <c r="F60" s="5"/>
      <c r="G60" s="17"/>
      <c r="H60" s="14"/>
      <c r="I60" s="14"/>
      <c r="J60" s="15" t="n">
        <f aca="false">IFERROR(G60*I60,0)</f>
        <v>0</v>
      </c>
      <c r="K60" s="15" t="n">
        <f aca="false">IFERROR(G60*H60,0)</f>
        <v>0</v>
      </c>
      <c r="L60" s="15" t="n">
        <f aca="false">IFERROR(J60-K60,0)</f>
        <v>0</v>
      </c>
      <c r="M60" s="16" t="n">
        <f aca="false">IFERROR((I60-H60)/H60,0)</f>
        <v>0</v>
      </c>
      <c r="N60" s="16" t="n">
        <f aca="false">IFERROR(J60/INDEX(账户总表!$B:$B,MATCH($A60,账户总表!$A:$A,0)),0)</f>
        <v>0</v>
      </c>
      <c r="O60" s="14"/>
      <c r="P60" s="15" t="str">
        <f aca="false">IF($A60="","",IF($D60="是",IF(E60&gt;0,E60*0.92,MAX(O60*0.98,H60*0.92)),MAX(O60*0.98,H60*0.92)))</f>
        <v/>
      </c>
      <c r="Q60" s="4" t="str">
        <f aca="false">IF($A60="","",IF(AND(I60&gt;0,P60&gt;0,I60&lt;=P60),"是","否"))</f>
        <v/>
      </c>
      <c r="R60" s="20"/>
      <c r="S60" s="5"/>
      <c r="T60" s="5"/>
      <c r="U60" s="5"/>
      <c r="V60" s="19" t="str">
        <f aca="false">IF($A60="","",IF(OR(AND(O60&gt;0,I60&lt;O60),AND(T60="False",S60&lt;0.8)),"是","否"))</f>
        <v/>
      </c>
      <c r="W60" s="19" t="str">
        <f aca="false">IF($A60="","",IF(AND(I60&lt;H60,S60&lt;0.8),"是","否"))</f>
        <v/>
      </c>
      <c r="X60" s="19" t="str">
        <f aca="false">IF($A60="","",IF(AND(R60&lt;60%,S60&gt;0.8,T60="True",U60="一卖"),"是","否"))</f>
        <v/>
      </c>
      <c r="Y60" s="19" t="str">
        <f aca="false">IF($A60="","",IF(D60="是","否",IF(N60&gt;LOOKUP(2,1/(账户总表!$A:$A&lt;&gt;""),账户总表!$O:$O),"是","否")))</f>
        <v/>
      </c>
      <c r="Z60" s="19" t="str">
        <f aca="false">IF($A60="","",IF(M60&gt;=0,"盈利","亏损"))</f>
        <v/>
      </c>
      <c r="AA60" s="19" t="str">
        <f aca="false">IF($A60="","",IF(OR(Q60="是",M60&lt;=-8%,V60="是",X60="是"),"卖出",IF(Y60="是","减仓",IF(W60="是","观察","持有"))))</f>
        <v/>
      </c>
      <c r="AB60" s="19" t="str">
        <f aca="false">IF($A60="","",IF(D60="是",IF(I60&lt;=E60*0.92,"立即卖出(WAIVED止损)","继续持有(WAIVED)"),IF(OR(M60&lt;=-10%,Q60="是"),"立即卖出",IF(OR(AA60="卖出",V60="是",X60="是"),"次日卖出",IF(AND(Y60="是",NOT(OR(Q60="是",M60&lt;=-8%,V60="是",X60="是"))),"减仓至上限",IF(W60="是","观察","继续持有"))))))</f>
        <v/>
      </c>
      <c r="AC60" s="19" t="str">
        <f aca="false">IF($A60="","",IF(Q60="是","触发止损",IF(M60&lt;=-8%,"固定止损",IF(V60="是","信号失效",IF(X60="是","确认一卖",IF(Y60="是","单股超限",IF(W60="是","DL_P弱化","规则内持有")))))))</f>
        <v/>
      </c>
      <c r="AD60" s="5"/>
    </row>
    <row r="61" customFormat="false" ht="15" hidden="false" customHeight="true" outlineLevel="0" collapsed="false">
      <c r="A61" s="7"/>
      <c r="B61" s="7"/>
      <c r="C61" s="7"/>
      <c r="D61" s="12"/>
      <c r="E61" s="24"/>
      <c r="F61" s="7"/>
      <c r="G61" s="25"/>
      <c r="H61" s="24"/>
      <c r="I61" s="24"/>
      <c r="J61" s="15" t="n">
        <f aca="false">IFERROR(G61*I61,0)</f>
        <v>0</v>
      </c>
      <c r="K61" s="15" t="n">
        <f aca="false">IFERROR(G61*H61,0)</f>
        <v>0</v>
      </c>
      <c r="L61" s="15" t="n">
        <f aca="false">IFERROR(J61-K61,0)</f>
        <v>0</v>
      </c>
      <c r="M61" s="16" t="n">
        <f aca="false">IFERROR((I61-H61)/H61,0)</f>
        <v>0</v>
      </c>
      <c r="N61" s="16" t="n">
        <f aca="false">IFERROR(J61/INDEX(账户总表!$B:$B,MATCH($A61,账户总表!$A:$A,0)),0)</f>
        <v>0</v>
      </c>
      <c r="O61" s="24"/>
      <c r="P61" s="15" t="str">
        <f aca="false">IF($A61="","",IF($D61="是",IF(E61&gt;0,E61*0.92,MAX(O61*0.98,H61*0.92)),MAX(O61*0.98,H61*0.92)))</f>
        <v/>
      </c>
      <c r="Q61" s="4" t="str">
        <f aca="false">IF($A61="","",IF(AND(I61&gt;0,P61&gt;0,I61&lt;=P61),"是","否"))</f>
        <v/>
      </c>
      <c r="R61" s="26"/>
      <c r="S61" s="7"/>
      <c r="T61" s="7"/>
      <c r="U61" s="7"/>
      <c r="V61" s="19" t="str">
        <f aca="false">IF($A61="","",IF(OR(AND(O61&gt;0,I61&lt;O61),AND(T61="False",S61&lt;0.8)),"是","否"))</f>
        <v/>
      </c>
      <c r="W61" s="19" t="str">
        <f aca="false">IF($A61="","",IF(AND(I61&lt;H61,S61&lt;0.8),"是","否"))</f>
        <v/>
      </c>
      <c r="X61" s="19" t="str">
        <f aca="false">IF($A61="","",IF(AND(R61&lt;60%,S61&gt;0.8,T61="True",U61="一卖"),"是","否"))</f>
        <v/>
      </c>
      <c r="Y61" s="19" t="str">
        <f aca="false">IF($A61="","",IF(D61="是","否",IF(N61&gt;LOOKUP(2,1/(账户总表!$A:$A&lt;&gt;""),账户总表!$O:$O),"是","否")))</f>
        <v/>
      </c>
      <c r="Z61" s="19" t="str">
        <f aca="false">IF($A61="","",IF(M61&gt;=0,"盈利","亏损"))</f>
        <v/>
      </c>
      <c r="AA61" s="19" t="str">
        <f aca="false">IF($A61="","",IF(OR(Q61="是",M61&lt;=-8%,V61="是",X61="是"),"卖出",IF(Y61="是","减仓",IF(W61="是","观察","持有"))))</f>
        <v/>
      </c>
      <c r="AB61" s="19" t="str">
        <f aca="false">IF($A61="","",IF(D61="是",IF(I61&lt;=E61*0.92,"立即卖出(WAIVED止损)","继续持有(WAIVED)"),IF(OR(M61&lt;=-10%,Q61="是"),"立即卖出",IF(OR(AA61="卖出",V61="是",X61="是"),"次日卖出",IF(AND(Y61="是",NOT(OR(Q61="是",M61&lt;=-8%,V61="是",X61="是"))),"减仓至上限",IF(W61="是","观察","继续持有"))))))</f>
        <v/>
      </c>
      <c r="AC61" s="19" t="str">
        <f aca="false">IF($A61="","",IF(Q61="是","触发止损",IF(M61&lt;=-8%,"固定止损",IF(V61="是","信号失效",IF(X61="是","确认一卖",IF(Y61="是","单股超限",IF(W61="是","DL_P弱化","规则内持有")))))))</f>
        <v/>
      </c>
      <c r="AD61" s="7"/>
    </row>
    <row r="62" customFormat="false" ht="15" hidden="false" customHeight="true" outlineLevel="0" collapsed="false">
      <c r="A62" s="5"/>
      <c r="B62" s="5"/>
      <c r="C62" s="5"/>
      <c r="D62" s="11"/>
      <c r="E62" s="14"/>
      <c r="F62" s="5"/>
      <c r="G62" s="17"/>
      <c r="H62" s="14"/>
      <c r="I62" s="14"/>
      <c r="J62" s="15" t="n">
        <f aca="false">IFERROR(G62*I62,0)</f>
        <v>0</v>
      </c>
      <c r="K62" s="15" t="n">
        <f aca="false">IFERROR(G62*H62,0)</f>
        <v>0</v>
      </c>
      <c r="L62" s="15" t="n">
        <f aca="false">IFERROR(J62-K62,0)</f>
        <v>0</v>
      </c>
      <c r="M62" s="16" t="n">
        <f aca="false">IFERROR((I62-H62)/H62,0)</f>
        <v>0</v>
      </c>
      <c r="N62" s="16" t="n">
        <f aca="false">IFERROR(J62/INDEX(账户总表!$B:$B,MATCH($A62,账户总表!$A:$A,0)),0)</f>
        <v>0</v>
      </c>
      <c r="O62" s="14"/>
      <c r="P62" s="15" t="str">
        <f aca="false">IF($A62="","",IF($D62="是",IF(E62&gt;0,E62*0.92,MAX(O62*0.98,H62*0.92)),MAX(O62*0.98,H62*0.92)))</f>
        <v/>
      </c>
      <c r="Q62" s="4" t="str">
        <f aca="false">IF($A62="","",IF(AND(I62&gt;0,P62&gt;0,I62&lt;=P62),"是","否"))</f>
        <v/>
      </c>
      <c r="R62" s="20"/>
      <c r="S62" s="5"/>
      <c r="T62" s="5"/>
      <c r="U62" s="5"/>
      <c r="V62" s="19" t="str">
        <f aca="false">IF($A62="","",IF(OR(AND(O62&gt;0,I62&lt;O62),AND(T62="False",S62&lt;0.8)),"是","否"))</f>
        <v/>
      </c>
      <c r="W62" s="19" t="str">
        <f aca="false">IF($A62="","",IF(AND(I62&lt;H62,S62&lt;0.8),"是","否"))</f>
        <v/>
      </c>
      <c r="X62" s="19" t="str">
        <f aca="false">IF($A62="","",IF(AND(R62&lt;60%,S62&gt;0.8,T62="True",U62="一卖"),"是","否"))</f>
        <v/>
      </c>
      <c r="Y62" s="19" t="str">
        <f aca="false">IF($A62="","",IF(D62="是","否",IF(N62&gt;LOOKUP(2,1/(账户总表!$A:$A&lt;&gt;""),账户总表!$O:$O),"是","否")))</f>
        <v/>
      </c>
      <c r="Z62" s="19" t="str">
        <f aca="false">IF($A62="","",IF(M62&gt;=0,"盈利","亏损"))</f>
        <v/>
      </c>
      <c r="AA62" s="19" t="str">
        <f aca="false">IF($A62="","",IF(OR(Q62="是",M62&lt;=-8%,V62="是",X62="是"),"卖出",IF(Y62="是","减仓",IF(W62="是","观察","持有"))))</f>
        <v/>
      </c>
      <c r="AB62" s="19" t="str">
        <f aca="false">IF($A62="","",IF(D62="是",IF(I62&lt;=E62*0.92,"立即卖出(WAIVED止损)","继续持有(WAIVED)"),IF(OR(M62&lt;=-10%,Q62="是"),"立即卖出",IF(OR(AA62="卖出",V62="是",X62="是"),"次日卖出",IF(AND(Y62="是",NOT(OR(Q62="是",M62&lt;=-8%,V62="是",X62="是"))),"减仓至上限",IF(W62="是","观察","继续持有"))))))</f>
        <v/>
      </c>
      <c r="AC62" s="19" t="str">
        <f aca="false">IF($A62="","",IF(Q62="是","触发止损",IF(M62&lt;=-8%,"固定止损",IF(V62="是","信号失效",IF(X62="是","确认一卖",IF(Y62="是","单股超限",IF(W62="是","DL_P弱化","规则内持有")))))))</f>
        <v/>
      </c>
      <c r="AD62" s="5"/>
    </row>
    <row r="63" customFormat="false" ht="15" hidden="false" customHeight="true" outlineLevel="0" collapsed="false">
      <c r="A63" s="7"/>
      <c r="B63" s="7"/>
      <c r="C63" s="7"/>
      <c r="D63" s="12"/>
      <c r="E63" s="24"/>
      <c r="F63" s="7"/>
      <c r="G63" s="25"/>
      <c r="H63" s="24"/>
      <c r="I63" s="24"/>
      <c r="J63" s="15" t="n">
        <f aca="false">IFERROR(G63*I63,0)</f>
        <v>0</v>
      </c>
      <c r="K63" s="15" t="n">
        <f aca="false">IFERROR(G63*H63,0)</f>
        <v>0</v>
      </c>
      <c r="L63" s="15" t="n">
        <f aca="false">IFERROR(J63-K63,0)</f>
        <v>0</v>
      </c>
      <c r="M63" s="16" t="n">
        <f aca="false">IFERROR((I63-H63)/H63,0)</f>
        <v>0</v>
      </c>
      <c r="N63" s="16" t="n">
        <f aca="false">IFERROR(J63/INDEX(账户总表!$B:$B,MATCH($A63,账户总表!$A:$A,0)),0)</f>
        <v>0</v>
      </c>
      <c r="O63" s="24"/>
      <c r="P63" s="15" t="str">
        <f aca="false">IF($A63="","",IF($D63="是",IF(E63&gt;0,E63*0.92,MAX(O63*0.98,H63*0.92)),MAX(O63*0.98,H63*0.92)))</f>
        <v/>
      </c>
      <c r="Q63" s="4" t="str">
        <f aca="false">IF($A63="","",IF(AND(I63&gt;0,P63&gt;0,I63&lt;=P63),"是","否"))</f>
        <v/>
      </c>
      <c r="R63" s="26"/>
      <c r="S63" s="7"/>
      <c r="T63" s="7"/>
      <c r="U63" s="7"/>
      <c r="V63" s="19" t="str">
        <f aca="false">IF($A63="","",IF(OR(AND(O63&gt;0,I63&lt;O63),AND(T63="False",S63&lt;0.8)),"是","否"))</f>
        <v/>
      </c>
      <c r="W63" s="19" t="str">
        <f aca="false">IF($A63="","",IF(AND(I63&lt;H63,S63&lt;0.8),"是","否"))</f>
        <v/>
      </c>
      <c r="X63" s="19" t="str">
        <f aca="false">IF($A63="","",IF(AND(R63&lt;60%,S63&gt;0.8,T63="True",U63="一卖"),"是","否"))</f>
        <v/>
      </c>
      <c r="Y63" s="19" t="str">
        <f aca="false">IF($A63="","",IF(D63="是","否",IF(N63&gt;LOOKUP(2,1/(账户总表!$A:$A&lt;&gt;""),账户总表!$O:$O),"是","否")))</f>
        <v/>
      </c>
      <c r="Z63" s="19" t="str">
        <f aca="false">IF($A63="","",IF(M63&gt;=0,"盈利","亏损"))</f>
        <v/>
      </c>
      <c r="AA63" s="19" t="str">
        <f aca="false">IF($A63="","",IF(OR(Q63="是",M63&lt;=-8%,V63="是",X63="是"),"卖出",IF(Y63="是","减仓",IF(W63="是","观察","持有"))))</f>
        <v/>
      </c>
      <c r="AB63" s="19" t="str">
        <f aca="false">IF($A63="","",IF(D63="是",IF(I63&lt;=E63*0.92,"立即卖出(WAIVED止损)","继续持有(WAIVED)"),IF(OR(M63&lt;=-10%,Q63="是"),"立即卖出",IF(OR(AA63="卖出",V63="是",X63="是"),"次日卖出",IF(AND(Y63="是",NOT(OR(Q63="是",M63&lt;=-8%,V63="是",X63="是"))),"减仓至上限",IF(W63="是","观察","继续持有"))))))</f>
        <v/>
      </c>
      <c r="AC63" s="19" t="str">
        <f aca="false">IF($A63="","",IF(Q63="是","触发止损",IF(M63&lt;=-8%,"固定止损",IF(V63="是","信号失效",IF(X63="是","确认一卖",IF(Y63="是","单股超限",IF(W63="是","DL_P弱化","规则内持有")))))))</f>
        <v/>
      </c>
      <c r="AD63" s="7"/>
    </row>
    <row r="64" customFormat="false" ht="15" hidden="false" customHeight="true" outlineLevel="0" collapsed="false">
      <c r="A64" s="5"/>
      <c r="B64" s="5"/>
      <c r="C64" s="5"/>
      <c r="D64" s="11"/>
      <c r="E64" s="14"/>
      <c r="F64" s="5"/>
      <c r="G64" s="17"/>
      <c r="H64" s="14"/>
      <c r="I64" s="14"/>
      <c r="J64" s="15" t="n">
        <f aca="false">IFERROR(G64*I64,0)</f>
        <v>0</v>
      </c>
      <c r="K64" s="15" t="n">
        <f aca="false">IFERROR(G64*H64,0)</f>
        <v>0</v>
      </c>
      <c r="L64" s="15" t="n">
        <f aca="false">IFERROR(J64-K64,0)</f>
        <v>0</v>
      </c>
      <c r="M64" s="16" t="n">
        <f aca="false">IFERROR((I64-H64)/H64,0)</f>
        <v>0</v>
      </c>
      <c r="N64" s="16" t="n">
        <f aca="false">IFERROR(J64/INDEX(账户总表!$B:$B,MATCH($A64,账户总表!$A:$A,0)),0)</f>
        <v>0</v>
      </c>
      <c r="O64" s="14"/>
      <c r="P64" s="15" t="str">
        <f aca="false">IF($A64="","",IF($D64="是",IF(E64&gt;0,E64*0.92,MAX(O64*0.98,H64*0.92)),MAX(O64*0.98,H64*0.92)))</f>
        <v/>
      </c>
      <c r="Q64" s="4" t="str">
        <f aca="false">IF($A64="","",IF(AND(I64&gt;0,P64&gt;0,I64&lt;=P64),"是","否"))</f>
        <v/>
      </c>
      <c r="R64" s="20"/>
      <c r="S64" s="5"/>
      <c r="T64" s="5"/>
      <c r="U64" s="5"/>
      <c r="V64" s="19" t="str">
        <f aca="false">IF($A64="","",IF(OR(AND(O64&gt;0,I64&lt;O64),AND(T64="False",S64&lt;0.8)),"是","否"))</f>
        <v/>
      </c>
      <c r="W64" s="19" t="str">
        <f aca="false">IF($A64="","",IF(AND(I64&lt;H64,S64&lt;0.8),"是","否"))</f>
        <v/>
      </c>
      <c r="X64" s="19" t="str">
        <f aca="false">IF($A64="","",IF(AND(R64&lt;60%,S64&gt;0.8,T64="True",U64="一卖"),"是","否"))</f>
        <v/>
      </c>
      <c r="Y64" s="19" t="str">
        <f aca="false">IF($A64="","",IF(D64="是","否",IF(N64&gt;LOOKUP(2,1/(账户总表!$A:$A&lt;&gt;""),账户总表!$O:$O),"是","否")))</f>
        <v/>
      </c>
      <c r="Z64" s="19" t="str">
        <f aca="false">IF($A64="","",IF(M64&gt;=0,"盈利","亏损"))</f>
        <v/>
      </c>
      <c r="AA64" s="19" t="str">
        <f aca="false">IF($A64="","",IF(OR(Q64="是",M64&lt;=-8%,V64="是",X64="是"),"卖出",IF(Y64="是","减仓",IF(W64="是","观察","持有"))))</f>
        <v/>
      </c>
      <c r="AB64" s="19" t="str">
        <f aca="false">IF($A64="","",IF(D64="是",IF(I64&lt;=E64*0.92,"立即卖出(WAIVED止损)","继续持有(WAIVED)"),IF(OR(M64&lt;=-10%,Q64="是"),"立即卖出",IF(OR(AA64="卖出",V64="是",X64="是"),"次日卖出",IF(AND(Y64="是",NOT(OR(Q64="是",M64&lt;=-8%,V64="是",X64="是"))),"减仓至上限",IF(W64="是","观察","继续持有"))))))</f>
        <v/>
      </c>
      <c r="AC64" s="19" t="str">
        <f aca="false">IF($A64="","",IF(Q64="是","触发止损",IF(M64&lt;=-8%,"固定止损",IF(V64="是","信号失效",IF(X64="是","确认一卖",IF(Y64="是","单股超限",IF(W64="是","DL_P弱化","规则内持有")))))))</f>
        <v/>
      </c>
      <c r="AD64" s="5"/>
    </row>
    <row r="65" customFormat="false" ht="15" hidden="false" customHeight="true" outlineLevel="0" collapsed="false">
      <c r="A65" s="7"/>
      <c r="B65" s="7"/>
      <c r="C65" s="7"/>
      <c r="D65" s="12"/>
      <c r="E65" s="24"/>
      <c r="F65" s="7"/>
      <c r="G65" s="25"/>
      <c r="H65" s="24"/>
      <c r="I65" s="24"/>
      <c r="J65" s="15" t="n">
        <f aca="false">IFERROR(G65*I65,0)</f>
        <v>0</v>
      </c>
      <c r="K65" s="15" t="n">
        <f aca="false">IFERROR(G65*H65,0)</f>
        <v>0</v>
      </c>
      <c r="L65" s="15" t="n">
        <f aca="false">IFERROR(J65-K65,0)</f>
        <v>0</v>
      </c>
      <c r="M65" s="16" t="n">
        <f aca="false">IFERROR((I65-H65)/H65,0)</f>
        <v>0</v>
      </c>
      <c r="N65" s="16" t="n">
        <f aca="false">IFERROR(J65/INDEX(账户总表!$B:$B,MATCH($A65,账户总表!$A:$A,0)),0)</f>
        <v>0</v>
      </c>
      <c r="O65" s="24"/>
      <c r="P65" s="15" t="str">
        <f aca="false">IF($A65="","",IF($D65="是",IF(E65&gt;0,E65*0.92,MAX(O65*0.98,H65*0.92)),MAX(O65*0.98,H65*0.92)))</f>
        <v/>
      </c>
      <c r="Q65" s="4" t="str">
        <f aca="false">IF($A65="","",IF(AND(I65&gt;0,P65&gt;0,I65&lt;=P65),"是","否"))</f>
        <v/>
      </c>
      <c r="R65" s="26"/>
      <c r="S65" s="7"/>
      <c r="T65" s="7"/>
      <c r="U65" s="7"/>
      <c r="V65" s="19" t="str">
        <f aca="false">IF($A65="","",IF(OR(AND(O65&gt;0,I65&lt;O65),AND(T65="False",S65&lt;0.8)),"是","否"))</f>
        <v/>
      </c>
      <c r="W65" s="19" t="str">
        <f aca="false">IF($A65="","",IF(AND(I65&lt;H65,S65&lt;0.8),"是","否"))</f>
        <v/>
      </c>
      <c r="X65" s="19" t="str">
        <f aca="false">IF($A65="","",IF(AND(R65&lt;60%,S65&gt;0.8,T65="True",U65="一卖"),"是","否"))</f>
        <v/>
      </c>
      <c r="Y65" s="19" t="str">
        <f aca="false">IF($A65="","",IF(D65="是","否",IF(N65&gt;LOOKUP(2,1/(账户总表!$A:$A&lt;&gt;""),账户总表!$O:$O),"是","否")))</f>
        <v/>
      </c>
      <c r="Z65" s="19" t="str">
        <f aca="false">IF($A65="","",IF(M65&gt;=0,"盈利","亏损"))</f>
        <v/>
      </c>
      <c r="AA65" s="19" t="str">
        <f aca="false">IF($A65="","",IF(OR(Q65="是",M65&lt;=-8%,V65="是",X65="是"),"卖出",IF(Y65="是","减仓",IF(W65="是","观察","持有"))))</f>
        <v/>
      </c>
      <c r="AB65" s="19" t="str">
        <f aca="false">IF($A65="","",IF(D65="是",IF(I65&lt;=E65*0.92,"立即卖出(WAIVED止损)","继续持有(WAIVED)"),IF(OR(M65&lt;=-10%,Q65="是"),"立即卖出",IF(OR(AA65="卖出",V65="是",X65="是"),"次日卖出",IF(AND(Y65="是",NOT(OR(Q65="是",M65&lt;=-8%,V65="是",X65="是"))),"减仓至上限",IF(W65="是","观察","继续持有"))))))</f>
        <v/>
      </c>
      <c r="AC65" s="19" t="str">
        <f aca="false">IF($A65="","",IF(Q65="是","触发止损",IF(M65&lt;=-8%,"固定止损",IF(V65="是","信号失效",IF(X65="是","确认一卖",IF(Y65="是","单股超限",IF(W65="是","DL_P弱化","规则内持有")))))))</f>
        <v/>
      </c>
      <c r="AD65" s="7"/>
    </row>
    <row r="66" customFormat="false" ht="15" hidden="false" customHeight="true" outlineLevel="0" collapsed="false">
      <c r="A66" s="5"/>
      <c r="B66" s="5"/>
      <c r="C66" s="5"/>
      <c r="D66" s="11"/>
      <c r="E66" s="14"/>
      <c r="F66" s="5"/>
      <c r="G66" s="17"/>
      <c r="H66" s="14"/>
      <c r="I66" s="14"/>
      <c r="J66" s="15" t="n">
        <f aca="false">IFERROR(G66*I66,0)</f>
        <v>0</v>
      </c>
      <c r="K66" s="15" t="n">
        <f aca="false">IFERROR(G66*H66,0)</f>
        <v>0</v>
      </c>
      <c r="L66" s="15" t="n">
        <f aca="false">IFERROR(J66-K66,0)</f>
        <v>0</v>
      </c>
      <c r="M66" s="16" t="n">
        <f aca="false">IFERROR((I66-H66)/H66,0)</f>
        <v>0</v>
      </c>
      <c r="N66" s="16" t="n">
        <f aca="false">IFERROR(J66/INDEX(账户总表!$B:$B,MATCH($A66,账户总表!$A:$A,0)),0)</f>
        <v>0</v>
      </c>
      <c r="O66" s="14"/>
      <c r="P66" s="15" t="str">
        <f aca="false">IF($A66="","",IF($D66="是",IF(E66&gt;0,E66*0.92,MAX(O66*0.98,H66*0.92)),MAX(O66*0.98,H66*0.92)))</f>
        <v/>
      </c>
      <c r="Q66" s="4" t="str">
        <f aca="false">IF($A66="","",IF(AND(I66&gt;0,P66&gt;0,I66&lt;=P66),"是","否"))</f>
        <v/>
      </c>
      <c r="R66" s="20"/>
      <c r="S66" s="5"/>
      <c r="T66" s="5"/>
      <c r="U66" s="5"/>
      <c r="V66" s="19" t="str">
        <f aca="false">IF($A66="","",IF(OR(AND(O66&gt;0,I66&lt;O66),AND(T66="False",S66&lt;0.8)),"是","否"))</f>
        <v/>
      </c>
      <c r="W66" s="19" t="str">
        <f aca="false">IF($A66="","",IF(AND(I66&lt;H66,S66&lt;0.8),"是","否"))</f>
        <v/>
      </c>
      <c r="X66" s="19" t="str">
        <f aca="false">IF($A66="","",IF(AND(R66&lt;60%,S66&gt;0.8,T66="True",U66="一卖"),"是","否"))</f>
        <v/>
      </c>
      <c r="Y66" s="19" t="str">
        <f aca="false">IF($A66="","",IF(D66="是","否",IF(N66&gt;LOOKUP(2,1/(账户总表!$A:$A&lt;&gt;""),账户总表!$O:$O),"是","否")))</f>
        <v/>
      </c>
      <c r="Z66" s="19" t="str">
        <f aca="false">IF($A66="","",IF(M66&gt;=0,"盈利","亏损"))</f>
        <v/>
      </c>
      <c r="AA66" s="19" t="str">
        <f aca="false">IF($A66="","",IF(OR(Q66="是",M66&lt;=-8%,V66="是",X66="是"),"卖出",IF(Y66="是","减仓",IF(W66="是","观察","持有"))))</f>
        <v/>
      </c>
      <c r="AB66" s="19" t="str">
        <f aca="false">IF($A66="","",IF(D66="是",IF(I66&lt;=E66*0.92,"立即卖出(WAIVED止损)","继续持有(WAIVED)"),IF(OR(M66&lt;=-10%,Q66="是"),"立即卖出",IF(OR(AA66="卖出",V66="是",X66="是"),"次日卖出",IF(AND(Y66="是",NOT(OR(Q66="是",M66&lt;=-8%,V66="是",X66="是"))),"减仓至上限",IF(W66="是","观察","继续持有"))))))</f>
        <v/>
      </c>
      <c r="AC66" s="19" t="str">
        <f aca="false">IF($A66="","",IF(Q66="是","触发止损",IF(M66&lt;=-8%,"固定止损",IF(V66="是","信号失效",IF(X66="是","确认一卖",IF(Y66="是","单股超限",IF(W66="是","DL_P弱化","规则内持有")))))))</f>
        <v/>
      </c>
      <c r="AD66" s="5"/>
    </row>
    <row r="67" customFormat="false" ht="15" hidden="false" customHeight="true" outlineLevel="0" collapsed="false">
      <c r="A67" s="7"/>
      <c r="B67" s="7"/>
      <c r="C67" s="7"/>
      <c r="D67" s="12"/>
      <c r="E67" s="24"/>
      <c r="F67" s="7"/>
      <c r="G67" s="25"/>
      <c r="H67" s="24"/>
      <c r="I67" s="24"/>
      <c r="J67" s="15" t="n">
        <f aca="false">IFERROR(G67*I67,0)</f>
        <v>0</v>
      </c>
      <c r="K67" s="15" t="n">
        <f aca="false">IFERROR(G67*H67,0)</f>
        <v>0</v>
      </c>
      <c r="L67" s="15" t="n">
        <f aca="false">IFERROR(J67-K67,0)</f>
        <v>0</v>
      </c>
      <c r="M67" s="16" t="n">
        <f aca="false">IFERROR((I67-H67)/H67,0)</f>
        <v>0</v>
      </c>
      <c r="N67" s="16" t="n">
        <f aca="false">IFERROR(J67/INDEX(账户总表!$B:$B,MATCH($A67,账户总表!$A:$A,0)),0)</f>
        <v>0</v>
      </c>
      <c r="O67" s="24"/>
      <c r="P67" s="15" t="str">
        <f aca="false">IF($A67="","",IF($D67="是",IF(E67&gt;0,E67*0.92,MAX(O67*0.98,H67*0.92)),MAX(O67*0.98,H67*0.92)))</f>
        <v/>
      </c>
      <c r="Q67" s="4" t="str">
        <f aca="false">IF($A67="","",IF(AND(I67&gt;0,P67&gt;0,I67&lt;=P67),"是","否"))</f>
        <v/>
      </c>
      <c r="R67" s="26"/>
      <c r="S67" s="7"/>
      <c r="T67" s="7"/>
      <c r="U67" s="7"/>
      <c r="V67" s="19" t="str">
        <f aca="false">IF($A67="","",IF(OR(AND(O67&gt;0,I67&lt;O67),AND(T67="False",S67&lt;0.8)),"是","否"))</f>
        <v/>
      </c>
      <c r="W67" s="19" t="str">
        <f aca="false">IF($A67="","",IF(AND(I67&lt;H67,S67&lt;0.8),"是","否"))</f>
        <v/>
      </c>
      <c r="X67" s="19" t="str">
        <f aca="false">IF($A67="","",IF(AND(R67&lt;60%,S67&gt;0.8,T67="True",U67="一卖"),"是","否"))</f>
        <v/>
      </c>
      <c r="Y67" s="19" t="str">
        <f aca="false">IF($A67="","",IF(D67="是","否",IF(N67&gt;LOOKUP(2,1/(账户总表!$A:$A&lt;&gt;""),账户总表!$O:$O),"是","否")))</f>
        <v/>
      </c>
      <c r="Z67" s="19" t="str">
        <f aca="false">IF($A67="","",IF(M67&gt;=0,"盈利","亏损"))</f>
        <v/>
      </c>
      <c r="AA67" s="19" t="str">
        <f aca="false">IF($A67="","",IF(OR(Q67="是",M67&lt;=-8%,V67="是",X67="是"),"卖出",IF(Y67="是","减仓",IF(W67="是","观察","持有"))))</f>
        <v/>
      </c>
      <c r="AB67" s="19" t="str">
        <f aca="false">IF($A67="","",IF(D67="是",IF(I67&lt;=E67*0.92,"立即卖出(WAIVED止损)","继续持有(WAIVED)"),IF(OR(M67&lt;=-10%,Q67="是"),"立即卖出",IF(OR(AA67="卖出",V67="是",X67="是"),"次日卖出",IF(AND(Y67="是",NOT(OR(Q67="是",M67&lt;=-8%,V67="是",X67="是"))),"减仓至上限",IF(W67="是","观察","继续持有"))))))</f>
        <v/>
      </c>
      <c r="AC67" s="19" t="str">
        <f aca="false">IF($A67="","",IF(Q67="是","触发止损",IF(M67&lt;=-8%,"固定止损",IF(V67="是","信号失效",IF(X67="是","确认一卖",IF(Y67="是","单股超限",IF(W67="是","DL_P弱化","规则内持有")))))))</f>
        <v/>
      </c>
      <c r="AD67" s="7"/>
    </row>
    <row r="68" customFormat="false" ht="15" hidden="false" customHeight="true" outlineLevel="0" collapsed="false">
      <c r="A68" s="5"/>
      <c r="B68" s="5"/>
      <c r="C68" s="5"/>
      <c r="D68" s="11"/>
      <c r="E68" s="14"/>
      <c r="F68" s="5"/>
      <c r="G68" s="17"/>
      <c r="H68" s="14"/>
      <c r="I68" s="14"/>
      <c r="J68" s="15" t="n">
        <f aca="false">IFERROR(G68*I68,0)</f>
        <v>0</v>
      </c>
      <c r="K68" s="15" t="n">
        <f aca="false">IFERROR(G68*H68,0)</f>
        <v>0</v>
      </c>
      <c r="L68" s="15" t="n">
        <f aca="false">IFERROR(J68-K68,0)</f>
        <v>0</v>
      </c>
      <c r="M68" s="16" t="n">
        <f aca="false">IFERROR((I68-H68)/H68,0)</f>
        <v>0</v>
      </c>
      <c r="N68" s="16" t="n">
        <f aca="false">IFERROR(J68/INDEX(账户总表!$B:$B,MATCH($A68,账户总表!$A:$A,0)),0)</f>
        <v>0</v>
      </c>
      <c r="O68" s="14"/>
      <c r="P68" s="15" t="str">
        <f aca="false">IF($A68="","",IF($D68="是",IF(E68&gt;0,E68*0.92,MAX(O68*0.98,H68*0.92)),MAX(O68*0.98,H68*0.92)))</f>
        <v/>
      </c>
      <c r="Q68" s="4" t="str">
        <f aca="false">IF($A68="","",IF(AND(I68&gt;0,P68&gt;0,I68&lt;=P68),"是","否"))</f>
        <v/>
      </c>
      <c r="R68" s="20"/>
      <c r="S68" s="5"/>
      <c r="T68" s="5"/>
      <c r="U68" s="5"/>
      <c r="V68" s="19" t="str">
        <f aca="false">IF($A68="","",IF(OR(AND(O68&gt;0,I68&lt;O68),AND(T68="False",S68&lt;0.8)),"是","否"))</f>
        <v/>
      </c>
      <c r="W68" s="19" t="str">
        <f aca="false">IF($A68="","",IF(AND(I68&lt;H68,S68&lt;0.8),"是","否"))</f>
        <v/>
      </c>
      <c r="X68" s="19" t="str">
        <f aca="false">IF($A68="","",IF(AND(R68&lt;60%,S68&gt;0.8,T68="True",U68="一卖"),"是","否"))</f>
        <v/>
      </c>
      <c r="Y68" s="19" t="str">
        <f aca="false">IF($A68="","",IF(D68="是","否",IF(N68&gt;LOOKUP(2,1/(账户总表!$A:$A&lt;&gt;""),账户总表!$O:$O),"是","否")))</f>
        <v/>
      </c>
      <c r="Z68" s="19" t="str">
        <f aca="false">IF($A68="","",IF(M68&gt;=0,"盈利","亏损"))</f>
        <v/>
      </c>
      <c r="AA68" s="19" t="str">
        <f aca="false">IF($A68="","",IF(OR(Q68="是",M68&lt;=-8%,V68="是",X68="是"),"卖出",IF(Y68="是","减仓",IF(W68="是","观察","持有"))))</f>
        <v/>
      </c>
      <c r="AB68" s="19" t="str">
        <f aca="false">IF($A68="","",IF(D68="是",IF(I68&lt;=E68*0.92,"立即卖出(WAIVED止损)","继续持有(WAIVED)"),IF(OR(M68&lt;=-10%,Q68="是"),"立即卖出",IF(OR(AA68="卖出",V68="是",X68="是"),"次日卖出",IF(AND(Y68="是",NOT(OR(Q68="是",M68&lt;=-8%,V68="是",X68="是"))),"减仓至上限",IF(W68="是","观察","继续持有"))))))</f>
        <v/>
      </c>
      <c r="AC68" s="19" t="str">
        <f aca="false">IF($A68="","",IF(Q68="是","触发止损",IF(M68&lt;=-8%,"固定止损",IF(V68="是","信号失效",IF(X68="是","确认一卖",IF(Y68="是","单股超限",IF(W68="是","DL_P弱化","规则内持有")))))))</f>
        <v/>
      </c>
      <c r="AD68" s="5"/>
    </row>
    <row r="69" customFormat="false" ht="15" hidden="false" customHeight="true" outlineLevel="0" collapsed="false">
      <c r="A69" s="7"/>
      <c r="B69" s="7"/>
      <c r="C69" s="7"/>
      <c r="D69" s="12"/>
      <c r="E69" s="24"/>
      <c r="F69" s="7"/>
      <c r="G69" s="25"/>
      <c r="H69" s="24"/>
      <c r="I69" s="24"/>
      <c r="J69" s="15" t="n">
        <f aca="false">IFERROR(G69*I69,0)</f>
        <v>0</v>
      </c>
      <c r="K69" s="15" t="n">
        <f aca="false">IFERROR(G69*H69,0)</f>
        <v>0</v>
      </c>
      <c r="L69" s="15" t="n">
        <f aca="false">IFERROR(J69-K69,0)</f>
        <v>0</v>
      </c>
      <c r="M69" s="16" t="n">
        <f aca="false">IFERROR((I69-H69)/H69,0)</f>
        <v>0</v>
      </c>
      <c r="N69" s="16" t="n">
        <f aca="false">IFERROR(J69/INDEX(账户总表!$B:$B,MATCH($A69,账户总表!$A:$A,0)),0)</f>
        <v>0</v>
      </c>
      <c r="O69" s="24"/>
      <c r="P69" s="15" t="str">
        <f aca="false">IF($A69="","",IF($D69="是",IF(E69&gt;0,E69*0.92,MAX(O69*0.98,H69*0.92)),MAX(O69*0.98,H69*0.92)))</f>
        <v/>
      </c>
      <c r="Q69" s="4" t="str">
        <f aca="false">IF($A69="","",IF(AND(I69&gt;0,P69&gt;0,I69&lt;=P69),"是","否"))</f>
        <v/>
      </c>
      <c r="R69" s="26"/>
      <c r="S69" s="7"/>
      <c r="T69" s="7"/>
      <c r="U69" s="7"/>
      <c r="V69" s="19" t="str">
        <f aca="false">IF($A69="","",IF(OR(AND(O69&gt;0,I69&lt;O69),AND(T69="False",S69&lt;0.8)),"是","否"))</f>
        <v/>
      </c>
      <c r="W69" s="19" t="str">
        <f aca="false">IF($A69="","",IF(AND(I69&lt;H69,S69&lt;0.8),"是","否"))</f>
        <v/>
      </c>
      <c r="X69" s="19" t="str">
        <f aca="false">IF($A69="","",IF(AND(R69&lt;60%,S69&gt;0.8,T69="True",U69="一卖"),"是","否"))</f>
        <v/>
      </c>
      <c r="Y69" s="19" t="str">
        <f aca="false">IF($A69="","",IF(D69="是","否",IF(N69&gt;LOOKUP(2,1/(账户总表!$A:$A&lt;&gt;""),账户总表!$O:$O),"是","否")))</f>
        <v/>
      </c>
      <c r="Z69" s="19" t="str">
        <f aca="false">IF($A69="","",IF(M69&gt;=0,"盈利","亏损"))</f>
        <v/>
      </c>
      <c r="AA69" s="19" t="str">
        <f aca="false">IF($A69="","",IF(OR(Q69="是",M69&lt;=-8%,V69="是",X69="是"),"卖出",IF(Y69="是","减仓",IF(W69="是","观察","持有"))))</f>
        <v/>
      </c>
      <c r="AB69" s="19" t="str">
        <f aca="false">IF($A69="","",IF(D69="是",IF(I69&lt;=E69*0.92,"立即卖出(WAIVED止损)","继续持有(WAIVED)"),IF(OR(M69&lt;=-10%,Q69="是"),"立即卖出",IF(OR(AA69="卖出",V69="是",X69="是"),"次日卖出",IF(AND(Y69="是",NOT(OR(Q69="是",M69&lt;=-8%,V69="是",X69="是"))),"减仓至上限",IF(W69="是","观察","继续持有"))))))</f>
        <v/>
      </c>
      <c r="AC69" s="19" t="str">
        <f aca="false">IF($A69="","",IF(Q69="是","触发止损",IF(M69&lt;=-8%,"固定止损",IF(V69="是","信号失效",IF(X69="是","确认一卖",IF(Y69="是","单股超限",IF(W69="是","DL_P弱化","规则内持有")))))))</f>
        <v/>
      </c>
      <c r="AD69" s="7"/>
    </row>
    <row r="70" customFormat="false" ht="15" hidden="false" customHeight="true" outlineLevel="0" collapsed="false">
      <c r="A70" s="5"/>
      <c r="B70" s="5"/>
      <c r="C70" s="5"/>
      <c r="D70" s="11"/>
      <c r="E70" s="14"/>
      <c r="F70" s="5"/>
      <c r="G70" s="17"/>
      <c r="H70" s="14"/>
      <c r="I70" s="14"/>
      <c r="J70" s="15" t="n">
        <f aca="false">IFERROR(G70*I70,0)</f>
        <v>0</v>
      </c>
      <c r="K70" s="15" t="n">
        <f aca="false">IFERROR(G70*H70,0)</f>
        <v>0</v>
      </c>
      <c r="L70" s="15" t="n">
        <f aca="false">IFERROR(J70-K70,0)</f>
        <v>0</v>
      </c>
      <c r="M70" s="16" t="n">
        <f aca="false">IFERROR((I70-H70)/H70,0)</f>
        <v>0</v>
      </c>
      <c r="N70" s="16" t="n">
        <f aca="false">IFERROR(J70/INDEX(账户总表!$B:$B,MATCH($A70,账户总表!$A:$A,0)),0)</f>
        <v>0</v>
      </c>
      <c r="O70" s="14"/>
      <c r="P70" s="15" t="str">
        <f aca="false">IF($A70="","",IF($D70="是",IF(E70&gt;0,E70*0.92,MAX(O70*0.98,H70*0.92)),MAX(O70*0.98,H70*0.92)))</f>
        <v/>
      </c>
      <c r="Q70" s="4" t="str">
        <f aca="false">IF($A70="","",IF(AND(I70&gt;0,P70&gt;0,I70&lt;=P70),"是","否"))</f>
        <v/>
      </c>
      <c r="R70" s="20"/>
      <c r="S70" s="5"/>
      <c r="T70" s="5"/>
      <c r="U70" s="5"/>
      <c r="V70" s="19" t="str">
        <f aca="false">IF($A70="","",IF(OR(AND(O70&gt;0,I70&lt;O70),AND(T70="False",S70&lt;0.8)),"是","否"))</f>
        <v/>
      </c>
      <c r="W70" s="19" t="str">
        <f aca="false">IF($A70="","",IF(AND(I70&lt;H70,S70&lt;0.8),"是","否"))</f>
        <v/>
      </c>
      <c r="X70" s="19" t="str">
        <f aca="false">IF($A70="","",IF(AND(R70&lt;60%,S70&gt;0.8,T70="True",U70="一卖"),"是","否"))</f>
        <v/>
      </c>
      <c r="Y70" s="19" t="str">
        <f aca="false">IF($A70="","",IF(D70="是","否",IF(N70&gt;LOOKUP(2,1/(账户总表!$A:$A&lt;&gt;""),账户总表!$O:$O),"是","否")))</f>
        <v/>
      </c>
      <c r="Z70" s="19" t="str">
        <f aca="false">IF($A70="","",IF(M70&gt;=0,"盈利","亏损"))</f>
        <v/>
      </c>
      <c r="AA70" s="19" t="str">
        <f aca="false">IF($A70="","",IF(OR(Q70="是",M70&lt;=-8%,V70="是",X70="是"),"卖出",IF(Y70="是","减仓",IF(W70="是","观察","持有"))))</f>
        <v/>
      </c>
      <c r="AB70" s="19" t="str">
        <f aca="false">IF($A70="","",IF(D70="是",IF(I70&lt;=E70*0.92,"立即卖出(WAIVED止损)","继续持有(WAIVED)"),IF(OR(M70&lt;=-10%,Q70="是"),"立即卖出",IF(OR(AA70="卖出",V70="是",X70="是"),"次日卖出",IF(AND(Y70="是",NOT(OR(Q70="是",M70&lt;=-8%,V70="是",X70="是"))),"减仓至上限",IF(W70="是","观察","继续持有"))))))</f>
        <v/>
      </c>
      <c r="AC70" s="19" t="str">
        <f aca="false">IF($A70="","",IF(Q70="是","触发止损",IF(M70&lt;=-8%,"固定止损",IF(V70="是","信号失效",IF(X70="是","确认一卖",IF(Y70="是","单股超限",IF(W70="是","DL_P弱化","规则内持有")))))))</f>
        <v/>
      </c>
      <c r="AD70" s="5"/>
    </row>
    <row r="71" customFormat="false" ht="15" hidden="false" customHeight="true" outlineLevel="0" collapsed="false">
      <c r="A71" s="7"/>
      <c r="B71" s="7"/>
      <c r="C71" s="7"/>
      <c r="D71" s="12"/>
      <c r="E71" s="24"/>
      <c r="F71" s="7"/>
      <c r="G71" s="25"/>
      <c r="H71" s="24"/>
      <c r="I71" s="24"/>
      <c r="J71" s="15" t="n">
        <f aca="false">IFERROR(G71*I71,0)</f>
        <v>0</v>
      </c>
      <c r="K71" s="15" t="n">
        <f aca="false">IFERROR(G71*H71,0)</f>
        <v>0</v>
      </c>
      <c r="L71" s="15" t="n">
        <f aca="false">IFERROR(J71-K71,0)</f>
        <v>0</v>
      </c>
      <c r="M71" s="16" t="n">
        <f aca="false">IFERROR((I71-H71)/H71,0)</f>
        <v>0</v>
      </c>
      <c r="N71" s="16" t="n">
        <f aca="false">IFERROR(J71/INDEX(账户总表!$B:$B,MATCH($A71,账户总表!$A:$A,0)),0)</f>
        <v>0</v>
      </c>
      <c r="O71" s="24"/>
      <c r="P71" s="15" t="str">
        <f aca="false">IF($A71="","",IF($D71="是",IF(E71&gt;0,E71*0.92,MAX(O71*0.98,H71*0.92)),MAX(O71*0.98,H71*0.92)))</f>
        <v/>
      </c>
      <c r="Q71" s="4" t="str">
        <f aca="false">IF($A71="","",IF(AND(I71&gt;0,P71&gt;0,I71&lt;=P71),"是","否"))</f>
        <v/>
      </c>
      <c r="R71" s="26"/>
      <c r="S71" s="7"/>
      <c r="T71" s="7"/>
      <c r="U71" s="7"/>
      <c r="V71" s="19" t="str">
        <f aca="false">IF($A71="","",IF(OR(AND(O71&gt;0,I71&lt;O71),AND(T71="False",S71&lt;0.8)),"是","否"))</f>
        <v/>
      </c>
      <c r="W71" s="19" t="str">
        <f aca="false">IF($A71="","",IF(AND(I71&lt;H71,S71&lt;0.8),"是","否"))</f>
        <v/>
      </c>
      <c r="X71" s="19" t="str">
        <f aca="false">IF($A71="","",IF(AND(R71&lt;60%,S71&gt;0.8,T71="True",U71="一卖"),"是","否"))</f>
        <v/>
      </c>
      <c r="Y71" s="19" t="str">
        <f aca="false">IF($A71="","",IF(D71="是","否",IF(N71&gt;LOOKUP(2,1/(账户总表!$A:$A&lt;&gt;""),账户总表!$O:$O),"是","否")))</f>
        <v/>
      </c>
      <c r="Z71" s="19" t="str">
        <f aca="false">IF($A71="","",IF(M71&gt;=0,"盈利","亏损"))</f>
        <v/>
      </c>
      <c r="AA71" s="19" t="str">
        <f aca="false">IF($A71="","",IF(OR(Q71="是",M71&lt;=-8%,V71="是",X71="是"),"卖出",IF(Y71="是","减仓",IF(W71="是","观察","持有"))))</f>
        <v/>
      </c>
      <c r="AB71" s="19" t="str">
        <f aca="false">IF($A71="","",IF(D71="是",IF(I71&lt;=E71*0.92,"立即卖出(WAIVED止损)","继续持有(WAIVED)"),IF(OR(M71&lt;=-10%,Q71="是"),"立即卖出",IF(OR(AA71="卖出",V71="是",X71="是"),"次日卖出",IF(AND(Y71="是",NOT(OR(Q71="是",M71&lt;=-8%,V71="是",X71="是"))),"减仓至上限",IF(W71="是","观察","继续持有"))))))</f>
        <v/>
      </c>
      <c r="AC71" s="19" t="str">
        <f aca="false">IF($A71="","",IF(Q71="是","触发止损",IF(M71&lt;=-8%,"固定止损",IF(V71="是","信号失效",IF(X71="是","确认一卖",IF(Y71="是","单股超限",IF(W71="是","DL_P弱化","规则内持有")))))))</f>
        <v/>
      </c>
      <c r="AD71" s="7"/>
    </row>
    <row r="72" customFormat="false" ht="15" hidden="false" customHeight="true" outlineLevel="0" collapsed="false">
      <c r="A72" s="5"/>
      <c r="B72" s="5"/>
      <c r="C72" s="5"/>
      <c r="D72" s="11"/>
      <c r="E72" s="14"/>
      <c r="F72" s="5"/>
      <c r="G72" s="17"/>
      <c r="H72" s="14"/>
      <c r="I72" s="14"/>
      <c r="J72" s="15" t="n">
        <f aca="false">IFERROR(G72*I72,0)</f>
        <v>0</v>
      </c>
      <c r="K72" s="15" t="n">
        <f aca="false">IFERROR(G72*H72,0)</f>
        <v>0</v>
      </c>
      <c r="L72" s="15" t="n">
        <f aca="false">IFERROR(J72-K72,0)</f>
        <v>0</v>
      </c>
      <c r="M72" s="16" t="n">
        <f aca="false">IFERROR((I72-H72)/H72,0)</f>
        <v>0</v>
      </c>
      <c r="N72" s="16" t="n">
        <f aca="false">IFERROR(J72/INDEX(账户总表!$B:$B,MATCH($A72,账户总表!$A:$A,0)),0)</f>
        <v>0</v>
      </c>
      <c r="O72" s="14"/>
      <c r="P72" s="15" t="str">
        <f aca="false">IF($A72="","",IF($D72="是",IF(E72&gt;0,E72*0.92,MAX(O72*0.98,H72*0.92)),MAX(O72*0.98,H72*0.92)))</f>
        <v/>
      </c>
      <c r="Q72" s="4" t="str">
        <f aca="false">IF($A72="","",IF(AND(I72&gt;0,P72&gt;0,I72&lt;=P72),"是","否"))</f>
        <v/>
      </c>
      <c r="R72" s="20"/>
      <c r="S72" s="5"/>
      <c r="T72" s="5"/>
      <c r="U72" s="5"/>
      <c r="V72" s="19" t="str">
        <f aca="false">IF($A72="","",IF(OR(AND(O72&gt;0,I72&lt;O72),AND(T72="False",S72&lt;0.8)),"是","否"))</f>
        <v/>
      </c>
      <c r="W72" s="19" t="str">
        <f aca="false">IF($A72="","",IF(AND(I72&lt;H72,S72&lt;0.8),"是","否"))</f>
        <v/>
      </c>
      <c r="X72" s="19" t="str">
        <f aca="false">IF($A72="","",IF(AND(R72&lt;60%,S72&gt;0.8,T72="True",U72="一卖"),"是","否"))</f>
        <v/>
      </c>
      <c r="Y72" s="19" t="str">
        <f aca="false">IF($A72="","",IF(D72="是","否",IF(N72&gt;LOOKUP(2,1/(账户总表!$A:$A&lt;&gt;""),账户总表!$O:$O),"是","否")))</f>
        <v/>
      </c>
      <c r="Z72" s="19" t="str">
        <f aca="false">IF($A72="","",IF(M72&gt;=0,"盈利","亏损"))</f>
        <v/>
      </c>
      <c r="AA72" s="19" t="str">
        <f aca="false">IF($A72="","",IF(OR(Q72="是",M72&lt;=-8%,V72="是",X72="是"),"卖出",IF(Y72="是","减仓",IF(W72="是","观察","持有"))))</f>
        <v/>
      </c>
      <c r="AB72" s="19" t="str">
        <f aca="false">IF($A72="","",IF(D72="是",IF(I72&lt;=E72*0.92,"立即卖出(WAIVED止损)","继续持有(WAIVED)"),IF(OR(M72&lt;=-10%,Q72="是"),"立即卖出",IF(OR(AA72="卖出",V72="是",X72="是"),"次日卖出",IF(AND(Y72="是",NOT(OR(Q72="是",M72&lt;=-8%,V72="是",X72="是"))),"减仓至上限",IF(W72="是","观察","继续持有"))))))</f>
        <v/>
      </c>
      <c r="AC72" s="19" t="str">
        <f aca="false">IF($A72="","",IF(Q72="是","触发止损",IF(M72&lt;=-8%,"固定止损",IF(V72="是","信号失效",IF(X72="是","确认一卖",IF(Y72="是","单股超限",IF(W72="是","DL_P弱化","规则内持有")))))))</f>
        <v/>
      </c>
      <c r="AD72" s="5"/>
    </row>
    <row r="73" customFormat="false" ht="15" hidden="false" customHeight="true" outlineLevel="0" collapsed="false">
      <c r="A73" s="7"/>
      <c r="B73" s="7"/>
      <c r="C73" s="7"/>
      <c r="D73" s="12"/>
      <c r="E73" s="24"/>
      <c r="F73" s="7"/>
      <c r="G73" s="25"/>
      <c r="H73" s="24"/>
      <c r="I73" s="24"/>
      <c r="J73" s="15" t="n">
        <f aca="false">IFERROR(G73*I73,0)</f>
        <v>0</v>
      </c>
      <c r="K73" s="15" t="n">
        <f aca="false">IFERROR(G73*H73,0)</f>
        <v>0</v>
      </c>
      <c r="L73" s="15" t="n">
        <f aca="false">IFERROR(J73-K73,0)</f>
        <v>0</v>
      </c>
      <c r="M73" s="16" t="n">
        <f aca="false">IFERROR((I73-H73)/H73,0)</f>
        <v>0</v>
      </c>
      <c r="N73" s="16" t="n">
        <f aca="false">IFERROR(J73/INDEX(账户总表!$B:$B,MATCH($A73,账户总表!$A:$A,0)),0)</f>
        <v>0</v>
      </c>
      <c r="O73" s="24"/>
      <c r="P73" s="15" t="str">
        <f aca="false">IF($A73="","",IF($D73="是",IF(E73&gt;0,E73*0.92,MAX(O73*0.98,H73*0.92)),MAX(O73*0.98,H73*0.92)))</f>
        <v/>
      </c>
      <c r="Q73" s="4" t="str">
        <f aca="false">IF($A73="","",IF(AND(I73&gt;0,P73&gt;0,I73&lt;=P73),"是","否"))</f>
        <v/>
      </c>
      <c r="R73" s="26"/>
      <c r="S73" s="7"/>
      <c r="T73" s="7"/>
      <c r="U73" s="7"/>
      <c r="V73" s="19" t="str">
        <f aca="false">IF($A73="","",IF(OR(AND(O73&gt;0,I73&lt;O73),AND(T73="False",S73&lt;0.8)),"是","否"))</f>
        <v/>
      </c>
      <c r="W73" s="19" t="str">
        <f aca="false">IF($A73="","",IF(AND(I73&lt;H73,S73&lt;0.8),"是","否"))</f>
        <v/>
      </c>
      <c r="X73" s="19" t="str">
        <f aca="false">IF($A73="","",IF(AND(R73&lt;60%,S73&gt;0.8,T73="True",U73="一卖"),"是","否"))</f>
        <v/>
      </c>
      <c r="Y73" s="19" t="str">
        <f aca="false">IF($A73="","",IF(D73="是","否",IF(N73&gt;LOOKUP(2,1/(账户总表!$A:$A&lt;&gt;""),账户总表!$O:$O),"是","否")))</f>
        <v/>
      </c>
      <c r="Z73" s="19" t="str">
        <f aca="false">IF($A73="","",IF(M73&gt;=0,"盈利","亏损"))</f>
        <v/>
      </c>
      <c r="AA73" s="19" t="str">
        <f aca="false">IF($A73="","",IF(OR(Q73="是",M73&lt;=-8%,V73="是",X73="是"),"卖出",IF(Y73="是","减仓",IF(W73="是","观察","持有"))))</f>
        <v/>
      </c>
      <c r="AB73" s="19" t="str">
        <f aca="false">IF($A73="","",IF(D73="是",IF(I73&lt;=E73*0.92,"立即卖出(WAIVED止损)","继续持有(WAIVED)"),IF(OR(M73&lt;=-10%,Q73="是"),"立即卖出",IF(OR(AA73="卖出",V73="是",X73="是"),"次日卖出",IF(AND(Y73="是",NOT(OR(Q73="是",M73&lt;=-8%,V73="是",X73="是"))),"减仓至上限",IF(W73="是","观察","继续持有"))))))</f>
        <v/>
      </c>
      <c r="AC73" s="19" t="str">
        <f aca="false">IF($A73="","",IF(Q73="是","触发止损",IF(M73&lt;=-8%,"固定止损",IF(V73="是","信号失效",IF(X73="是","确认一卖",IF(Y73="是","单股超限",IF(W73="是","DL_P弱化","规则内持有")))))))</f>
        <v/>
      </c>
      <c r="AD73" s="7"/>
    </row>
    <row r="74" customFormat="false" ht="15" hidden="false" customHeight="true" outlineLevel="0" collapsed="false">
      <c r="A74" s="5"/>
      <c r="B74" s="5"/>
      <c r="C74" s="5"/>
      <c r="D74" s="11"/>
      <c r="E74" s="14"/>
      <c r="F74" s="5"/>
      <c r="G74" s="17"/>
      <c r="H74" s="14"/>
      <c r="I74" s="14"/>
      <c r="J74" s="15" t="n">
        <f aca="false">IFERROR(G74*I74,0)</f>
        <v>0</v>
      </c>
      <c r="K74" s="15" t="n">
        <f aca="false">IFERROR(G74*H74,0)</f>
        <v>0</v>
      </c>
      <c r="L74" s="15" t="n">
        <f aca="false">IFERROR(J74-K74,0)</f>
        <v>0</v>
      </c>
      <c r="M74" s="16" t="n">
        <f aca="false">IFERROR((I74-H74)/H74,0)</f>
        <v>0</v>
      </c>
      <c r="N74" s="16" t="n">
        <f aca="false">IFERROR(J74/INDEX(账户总表!$B:$B,MATCH($A74,账户总表!$A:$A,0)),0)</f>
        <v>0</v>
      </c>
      <c r="O74" s="14"/>
      <c r="P74" s="15" t="str">
        <f aca="false">IF($A74="","",IF($D74="是",IF(E74&gt;0,E74*0.92,MAX(O74*0.98,H74*0.92)),MAX(O74*0.98,H74*0.92)))</f>
        <v/>
      </c>
      <c r="Q74" s="4" t="str">
        <f aca="false">IF($A74="","",IF(AND(I74&gt;0,P74&gt;0,I74&lt;=P74),"是","否"))</f>
        <v/>
      </c>
      <c r="R74" s="20"/>
      <c r="S74" s="5"/>
      <c r="T74" s="5"/>
      <c r="U74" s="5"/>
      <c r="V74" s="19" t="str">
        <f aca="false">IF($A74="","",IF(OR(AND(O74&gt;0,I74&lt;O74),AND(T74="False",S74&lt;0.8)),"是","否"))</f>
        <v/>
      </c>
      <c r="W74" s="19" t="str">
        <f aca="false">IF($A74="","",IF(AND(I74&lt;H74,S74&lt;0.8),"是","否"))</f>
        <v/>
      </c>
      <c r="X74" s="19" t="str">
        <f aca="false">IF($A74="","",IF(AND(R74&lt;60%,S74&gt;0.8,T74="True",U74="一卖"),"是","否"))</f>
        <v/>
      </c>
      <c r="Y74" s="19" t="str">
        <f aca="false">IF($A74="","",IF(D74="是","否",IF(N74&gt;LOOKUP(2,1/(账户总表!$A:$A&lt;&gt;""),账户总表!$O:$O),"是","否")))</f>
        <v/>
      </c>
      <c r="Z74" s="19" t="str">
        <f aca="false">IF($A74="","",IF(M74&gt;=0,"盈利","亏损"))</f>
        <v/>
      </c>
      <c r="AA74" s="19" t="str">
        <f aca="false">IF($A74="","",IF(OR(Q74="是",M74&lt;=-8%,V74="是",X74="是"),"卖出",IF(Y74="是","减仓",IF(W74="是","观察","持有"))))</f>
        <v/>
      </c>
      <c r="AB74" s="19" t="str">
        <f aca="false">IF($A74="","",IF(D74="是",IF(I74&lt;=E74*0.92,"立即卖出(WAIVED止损)","继续持有(WAIVED)"),IF(OR(M74&lt;=-10%,Q74="是"),"立即卖出",IF(OR(AA74="卖出",V74="是",X74="是"),"次日卖出",IF(AND(Y74="是",NOT(OR(Q74="是",M74&lt;=-8%,V74="是",X74="是"))),"减仓至上限",IF(W74="是","观察","继续持有"))))))</f>
        <v/>
      </c>
      <c r="AC74" s="19" t="str">
        <f aca="false">IF($A74="","",IF(Q74="是","触发止损",IF(M74&lt;=-8%,"固定止损",IF(V74="是","信号失效",IF(X74="是","确认一卖",IF(Y74="是","单股超限",IF(W74="是","DL_P弱化","规则内持有")))))))</f>
        <v/>
      </c>
      <c r="AD74" s="5"/>
    </row>
    <row r="75" customFormat="false" ht="15" hidden="false" customHeight="true" outlineLevel="0" collapsed="false">
      <c r="A75" s="7"/>
      <c r="B75" s="7"/>
      <c r="C75" s="7"/>
      <c r="D75" s="12"/>
      <c r="E75" s="24"/>
      <c r="F75" s="7"/>
      <c r="G75" s="25"/>
      <c r="H75" s="24"/>
      <c r="I75" s="24"/>
      <c r="J75" s="15" t="n">
        <f aca="false">IFERROR(G75*I75,0)</f>
        <v>0</v>
      </c>
      <c r="K75" s="15" t="n">
        <f aca="false">IFERROR(G75*H75,0)</f>
        <v>0</v>
      </c>
      <c r="L75" s="15" t="n">
        <f aca="false">IFERROR(J75-K75,0)</f>
        <v>0</v>
      </c>
      <c r="M75" s="16" t="n">
        <f aca="false">IFERROR((I75-H75)/H75,0)</f>
        <v>0</v>
      </c>
      <c r="N75" s="16" t="n">
        <f aca="false">IFERROR(J75/INDEX(账户总表!$B:$B,MATCH($A75,账户总表!$A:$A,0)),0)</f>
        <v>0</v>
      </c>
      <c r="O75" s="24"/>
      <c r="P75" s="15" t="str">
        <f aca="false">IF($A75="","",IF($D75="是",IF(E75&gt;0,E75*0.92,MAX(O75*0.98,H75*0.92)),MAX(O75*0.98,H75*0.92)))</f>
        <v/>
      </c>
      <c r="Q75" s="4" t="str">
        <f aca="false">IF($A75="","",IF(AND(I75&gt;0,P75&gt;0,I75&lt;=P75),"是","否"))</f>
        <v/>
      </c>
      <c r="R75" s="26"/>
      <c r="S75" s="7"/>
      <c r="T75" s="7"/>
      <c r="U75" s="7"/>
      <c r="V75" s="19" t="str">
        <f aca="false">IF($A75="","",IF(OR(AND(O75&gt;0,I75&lt;O75),AND(T75="False",S75&lt;0.8)),"是","否"))</f>
        <v/>
      </c>
      <c r="W75" s="19" t="str">
        <f aca="false">IF($A75="","",IF(AND(I75&lt;H75,S75&lt;0.8),"是","否"))</f>
        <v/>
      </c>
      <c r="X75" s="19" t="str">
        <f aca="false">IF($A75="","",IF(AND(R75&lt;60%,S75&gt;0.8,T75="True",U75="一卖"),"是","否"))</f>
        <v/>
      </c>
      <c r="Y75" s="19" t="str">
        <f aca="false">IF($A75="","",IF(D75="是","否",IF(N75&gt;LOOKUP(2,1/(账户总表!$A:$A&lt;&gt;""),账户总表!$O:$O),"是","否")))</f>
        <v/>
      </c>
      <c r="Z75" s="19" t="str">
        <f aca="false">IF($A75="","",IF(M75&gt;=0,"盈利","亏损"))</f>
        <v/>
      </c>
      <c r="AA75" s="19" t="str">
        <f aca="false">IF($A75="","",IF(OR(Q75="是",M75&lt;=-8%,V75="是",X75="是"),"卖出",IF(Y75="是","减仓",IF(W75="是","观察","持有"))))</f>
        <v/>
      </c>
      <c r="AB75" s="19" t="str">
        <f aca="false">IF($A75="","",IF(D75="是",IF(I75&lt;=E75*0.92,"立即卖出(WAIVED止损)","继续持有(WAIVED)"),IF(OR(M75&lt;=-10%,Q75="是"),"立即卖出",IF(OR(AA75="卖出",V75="是",X75="是"),"次日卖出",IF(AND(Y75="是",NOT(OR(Q75="是",M75&lt;=-8%,V75="是",X75="是"))),"减仓至上限",IF(W75="是","观察","继续持有"))))))</f>
        <v/>
      </c>
      <c r="AC75" s="19" t="str">
        <f aca="false">IF($A75="","",IF(Q75="是","触发止损",IF(M75&lt;=-8%,"固定止损",IF(V75="是","信号失效",IF(X75="是","确认一卖",IF(Y75="是","单股超限",IF(W75="是","DL_P弱化","规则内持有")))))))</f>
        <v/>
      </c>
      <c r="AD75" s="7"/>
    </row>
    <row r="76" customFormat="false" ht="15" hidden="false" customHeight="true" outlineLevel="0" collapsed="false">
      <c r="A76" s="5"/>
      <c r="B76" s="5"/>
      <c r="C76" s="5"/>
      <c r="D76" s="11"/>
      <c r="E76" s="14"/>
      <c r="F76" s="5"/>
      <c r="G76" s="17"/>
      <c r="H76" s="14"/>
      <c r="I76" s="14"/>
      <c r="J76" s="15" t="n">
        <f aca="false">IFERROR(G76*I76,0)</f>
        <v>0</v>
      </c>
      <c r="K76" s="15" t="n">
        <f aca="false">IFERROR(G76*H76,0)</f>
        <v>0</v>
      </c>
      <c r="L76" s="15" t="n">
        <f aca="false">IFERROR(J76-K76,0)</f>
        <v>0</v>
      </c>
      <c r="M76" s="16" t="n">
        <f aca="false">IFERROR((I76-H76)/H76,0)</f>
        <v>0</v>
      </c>
      <c r="N76" s="16" t="n">
        <f aca="false">IFERROR(J76/INDEX(账户总表!$B:$B,MATCH($A76,账户总表!$A:$A,0)),0)</f>
        <v>0</v>
      </c>
      <c r="O76" s="14"/>
      <c r="P76" s="15" t="str">
        <f aca="false">IF($A76="","",IF($D76="是",IF(E76&gt;0,E76*0.92,MAX(O76*0.98,H76*0.92)),MAX(O76*0.98,H76*0.92)))</f>
        <v/>
      </c>
      <c r="Q76" s="4" t="str">
        <f aca="false">IF($A76="","",IF(AND(I76&gt;0,P76&gt;0,I76&lt;=P76),"是","否"))</f>
        <v/>
      </c>
      <c r="R76" s="20"/>
      <c r="S76" s="5"/>
      <c r="T76" s="5"/>
      <c r="U76" s="5"/>
      <c r="V76" s="19" t="str">
        <f aca="false">IF($A76="","",IF(OR(AND(O76&gt;0,I76&lt;O76),AND(T76="False",S76&lt;0.8)),"是","否"))</f>
        <v/>
      </c>
      <c r="W76" s="19" t="str">
        <f aca="false">IF($A76="","",IF(AND(I76&lt;H76,S76&lt;0.8),"是","否"))</f>
        <v/>
      </c>
      <c r="X76" s="19" t="str">
        <f aca="false">IF($A76="","",IF(AND(R76&lt;60%,S76&gt;0.8,T76="True",U76="一卖"),"是","否"))</f>
        <v/>
      </c>
      <c r="Y76" s="19" t="str">
        <f aca="false">IF($A76="","",IF(D76="是","否",IF(N76&gt;LOOKUP(2,1/(账户总表!$A:$A&lt;&gt;""),账户总表!$O:$O),"是","否")))</f>
        <v/>
      </c>
      <c r="Z76" s="19" t="str">
        <f aca="false">IF($A76="","",IF(M76&gt;=0,"盈利","亏损"))</f>
        <v/>
      </c>
      <c r="AA76" s="19" t="str">
        <f aca="false">IF($A76="","",IF(OR(Q76="是",M76&lt;=-8%,V76="是",X76="是"),"卖出",IF(Y76="是","减仓",IF(W76="是","观察","持有"))))</f>
        <v/>
      </c>
      <c r="AB76" s="19" t="str">
        <f aca="false">IF($A76="","",IF(D76="是",IF(I76&lt;=E76*0.92,"立即卖出(WAIVED止损)","继续持有(WAIVED)"),IF(OR(M76&lt;=-10%,Q76="是"),"立即卖出",IF(OR(AA76="卖出",V76="是",X76="是"),"次日卖出",IF(AND(Y76="是",NOT(OR(Q76="是",M76&lt;=-8%,V76="是",X76="是"))),"减仓至上限",IF(W76="是","观察","继续持有"))))))</f>
        <v/>
      </c>
      <c r="AC76" s="19" t="str">
        <f aca="false">IF($A76="","",IF(Q76="是","触发止损",IF(M76&lt;=-8%,"固定止损",IF(V76="是","信号失效",IF(X76="是","确认一卖",IF(Y76="是","单股超限",IF(W76="是","DL_P弱化","规则内持有")))))))</f>
        <v/>
      </c>
      <c r="AD76" s="5"/>
    </row>
    <row r="77" customFormat="false" ht="15" hidden="false" customHeight="true" outlineLevel="0" collapsed="false">
      <c r="A77" s="7"/>
      <c r="B77" s="7"/>
      <c r="C77" s="7"/>
      <c r="D77" s="12"/>
      <c r="E77" s="24"/>
      <c r="F77" s="7"/>
      <c r="G77" s="25"/>
      <c r="H77" s="24"/>
      <c r="I77" s="24"/>
      <c r="J77" s="15" t="n">
        <f aca="false">IFERROR(G77*I77,0)</f>
        <v>0</v>
      </c>
      <c r="K77" s="15" t="n">
        <f aca="false">IFERROR(G77*H77,0)</f>
        <v>0</v>
      </c>
      <c r="L77" s="15" t="n">
        <f aca="false">IFERROR(J77-K77,0)</f>
        <v>0</v>
      </c>
      <c r="M77" s="16" t="n">
        <f aca="false">IFERROR((I77-H77)/H77,0)</f>
        <v>0</v>
      </c>
      <c r="N77" s="16" t="n">
        <f aca="false">IFERROR(J77/INDEX(账户总表!$B:$B,MATCH($A77,账户总表!$A:$A,0)),0)</f>
        <v>0</v>
      </c>
      <c r="O77" s="24"/>
      <c r="P77" s="15" t="str">
        <f aca="false">IF($A77="","",IF($D77="是",IF(E77&gt;0,E77*0.92,MAX(O77*0.98,H77*0.92)),MAX(O77*0.98,H77*0.92)))</f>
        <v/>
      </c>
      <c r="Q77" s="4" t="str">
        <f aca="false">IF($A77="","",IF(AND(I77&gt;0,P77&gt;0,I77&lt;=P77),"是","否"))</f>
        <v/>
      </c>
      <c r="R77" s="26"/>
      <c r="S77" s="7"/>
      <c r="T77" s="7"/>
      <c r="U77" s="7"/>
      <c r="V77" s="19" t="str">
        <f aca="false">IF($A77="","",IF(OR(AND(O77&gt;0,I77&lt;O77),AND(T77="False",S77&lt;0.8)),"是","否"))</f>
        <v/>
      </c>
      <c r="W77" s="19" t="str">
        <f aca="false">IF($A77="","",IF(AND(I77&lt;H77,S77&lt;0.8),"是","否"))</f>
        <v/>
      </c>
      <c r="X77" s="19" t="str">
        <f aca="false">IF($A77="","",IF(AND(R77&lt;60%,S77&gt;0.8,T77="True",U77="一卖"),"是","否"))</f>
        <v/>
      </c>
      <c r="Y77" s="19" t="str">
        <f aca="false">IF($A77="","",IF(D77="是","否",IF(N77&gt;LOOKUP(2,1/(账户总表!$A:$A&lt;&gt;""),账户总表!$O:$O),"是","否")))</f>
        <v/>
      </c>
      <c r="Z77" s="19" t="str">
        <f aca="false">IF($A77="","",IF(M77&gt;=0,"盈利","亏损"))</f>
        <v/>
      </c>
      <c r="AA77" s="19" t="str">
        <f aca="false">IF($A77="","",IF(OR(Q77="是",M77&lt;=-8%,V77="是",X77="是"),"卖出",IF(Y77="是","减仓",IF(W77="是","观察","持有"))))</f>
        <v/>
      </c>
      <c r="AB77" s="19" t="str">
        <f aca="false">IF($A77="","",IF(D77="是",IF(I77&lt;=E77*0.92,"立即卖出(WAIVED止损)","继续持有(WAIVED)"),IF(OR(M77&lt;=-10%,Q77="是"),"立即卖出",IF(OR(AA77="卖出",V77="是",X77="是"),"次日卖出",IF(AND(Y77="是",NOT(OR(Q77="是",M77&lt;=-8%,V77="是",X77="是"))),"减仓至上限",IF(W77="是","观察","继续持有"))))))</f>
        <v/>
      </c>
      <c r="AC77" s="19" t="str">
        <f aca="false">IF($A77="","",IF(Q77="是","触发止损",IF(M77&lt;=-8%,"固定止损",IF(V77="是","信号失效",IF(X77="是","确认一卖",IF(Y77="是","单股超限",IF(W77="是","DL_P弱化","规则内持有")))))))</f>
        <v/>
      </c>
      <c r="AD77" s="7"/>
    </row>
    <row r="78" customFormat="false" ht="15" hidden="false" customHeight="true" outlineLevel="0" collapsed="false">
      <c r="A78" s="5"/>
      <c r="B78" s="5"/>
      <c r="C78" s="5"/>
      <c r="D78" s="11"/>
      <c r="E78" s="14"/>
      <c r="F78" s="5"/>
      <c r="G78" s="17"/>
      <c r="H78" s="14"/>
      <c r="I78" s="14"/>
      <c r="J78" s="15" t="n">
        <f aca="false">IFERROR(G78*I78,0)</f>
        <v>0</v>
      </c>
      <c r="K78" s="15" t="n">
        <f aca="false">IFERROR(G78*H78,0)</f>
        <v>0</v>
      </c>
      <c r="L78" s="15" t="n">
        <f aca="false">IFERROR(J78-K78,0)</f>
        <v>0</v>
      </c>
      <c r="M78" s="16" t="n">
        <f aca="false">IFERROR((I78-H78)/H78,0)</f>
        <v>0</v>
      </c>
      <c r="N78" s="16" t="n">
        <f aca="false">IFERROR(J78/INDEX(账户总表!$B:$B,MATCH($A78,账户总表!$A:$A,0)),0)</f>
        <v>0</v>
      </c>
      <c r="O78" s="14"/>
      <c r="P78" s="15" t="str">
        <f aca="false">IF($A78="","",IF($D78="是",IF(E78&gt;0,E78*0.92,MAX(O78*0.98,H78*0.92)),MAX(O78*0.98,H78*0.92)))</f>
        <v/>
      </c>
      <c r="Q78" s="4" t="str">
        <f aca="false">IF($A78="","",IF(AND(I78&gt;0,P78&gt;0,I78&lt;=P78),"是","否"))</f>
        <v/>
      </c>
      <c r="R78" s="20"/>
      <c r="S78" s="5"/>
      <c r="T78" s="5"/>
      <c r="U78" s="5"/>
      <c r="V78" s="19" t="str">
        <f aca="false">IF($A78="","",IF(OR(AND(O78&gt;0,I78&lt;O78),AND(T78="False",S78&lt;0.8)),"是","否"))</f>
        <v/>
      </c>
      <c r="W78" s="19" t="str">
        <f aca="false">IF($A78="","",IF(AND(I78&lt;H78,S78&lt;0.8),"是","否"))</f>
        <v/>
      </c>
      <c r="X78" s="19" t="str">
        <f aca="false">IF($A78="","",IF(AND(R78&lt;60%,S78&gt;0.8,T78="True",U78="一卖"),"是","否"))</f>
        <v/>
      </c>
      <c r="Y78" s="19" t="str">
        <f aca="false">IF($A78="","",IF(D78="是","否",IF(N78&gt;LOOKUP(2,1/(账户总表!$A:$A&lt;&gt;""),账户总表!$O:$O),"是","否")))</f>
        <v/>
      </c>
      <c r="Z78" s="19" t="str">
        <f aca="false">IF($A78="","",IF(M78&gt;=0,"盈利","亏损"))</f>
        <v/>
      </c>
      <c r="AA78" s="19" t="str">
        <f aca="false">IF($A78="","",IF(OR(Q78="是",M78&lt;=-8%,V78="是",X78="是"),"卖出",IF(Y78="是","减仓",IF(W78="是","观察","持有"))))</f>
        <v/>
      </c>
      <c r="AB78" s="19" t="str">
        <f aca="false">IF($A78="","",IF(D78="是",IF(I78&lt;=E78*0.92,"立即卖出(WAIVED止损)","继续持有(WAIVED)"),IF(OR(M78&lt;=-10%,Q78="是"),"立即卖出",IF(OR(AA78="卖出",V78="是",X78="是"),"次日卖出",IF(AND(Y78="是",NOT(OR(Q78="是",M78&lt;=-8%,V78="是",X78="是"))),"减仓至上限",IF(W78="是","观察","继续持有"))))))</f>
        <v/>
      </c>
      <c r="AC78" s="19" t="str">
        <f aca="false">IF($A78="","",IF(Q78="是","触发止损",IF(M78&lt;=-8%,"固定止损",IF(V78="是","信号失效",IF(X78="是","确认一卖",IF(Y78="是","单股超限",IF(W78="是","DL_P弱化","规则内持有")))))))</f>
        <v/>
      </c>
      <c r="AD78" s="5"/>
    </row>
    <row r="79" customFormat="false" ht="15" hidden="false" customHeight="true" outlineLevel="0" collapsed="false">
      <c r="A79" s="7"/>
      <c r="B79" s="7"/>
      <c r="C79" s="7"/>
      <c r="D79" s="12"/>
      <c r="E79" s="24"/>
      <c r="F79" s="7"/>
      <c r="G79" s="25"/>
      <c r="H79" s="24"/>
      <c r="I79" s="24"/>
      <c r="J79" s="15" t="n">
        <f aca="false">IFERROR(G79*I79,0)</f>
        <v>0</v>
      </c>
      <c r="K79" s="15" t="n">
        <f aca="false">IFERROR(G79*H79,0)</f>
        <v>0</v>
      </c>
      <c r="L79" s="15" t="n">
        <f aca="false">IFERROR(J79-K79,0)</f>
        <v>0</v>
      </c>
      <c r="M79" s="16" t="n">
        <f aca="false">IFERROR((I79-H79)/H79,0)</f>
        <v>0</v>
      </c>
      <c r="N79" s="16" t="n">
        <f aca="false">IFERROR(J79/INDEX(账户总表!$B:$B,MATCH($A79,账户总表!$A:$A,0)),0)</f>
        <v>0</v>
      </c>
      <c r="O79" s="24"/>
      <c r="P79" s="15" t="str">
        <f aca="false">IF($A79="","",IF($D79="是",IF(E79&gt;0,E79*0.92,MAX(O79*0.98,H79*0.92)),MAX(O79*0.98,H79*0.92)))</f>
        <v/>
      </c>
      <c r="Q79" s="4" t="str">
        <f aca="false">IF($A79="","",IF(AND(I79&gt;0,P79&gt;0,I79&lt;=P79),"是","否"))</f>
        <v/>
      </c>
      <c r="R79" s="26"/>
      <c r="S79" s="7"/>
      <c r="T79" s="7"/>
      <c r="U79" s="7"/>
      <c r="V79" s="19" t="str">
        <f aca="false">IF($A79="","",IF(OR(AND(O79&gt;0,I79&lt;O79),AND(T79="False",S79&lt;0.8)),"是","否"))</f>
        <v/>
      </c>
      <c r="W79" s="19" t="str">
        <f aca="false">IF($A79="","",IF(AND(I79&lt;H79,S79&lt;0.8),"是","否"))</f>
        <v/>
      </c>
      <c r="X79" s="19" t="str">
        <f aca="false">IF($A79="","",IF(AND(R79&lt;60%,S79&gt;0.8,T79="True",U79="一卖"),"是","否"))</f>
        <v/>
      </c>
      <c r="Y79" s="19" t="str">
        <f aca="false">IF($A79="","",IF(D79="是","否",IF(N79&gt;LOOKUP(2,1/(账户总表!$A:$A&lt;&gt;""),账户总表!$O:$O),"是","否")))</f>
        <v/>
      </c>
      <c r="Z79" s="19" t="str">
        <f aca="false">IF($A79="","",IF(M79&gt;=0,"盈利","亏损"))</f>
        <v/>
      </c>
      <c r="AA79" s="19" t="str">
        <f aca="false">IF($A79="","",IF(OR(Q79="是",M79&lt;=-8%,V79="是",X79="是"),"卖出",IF(Y79="是","减仓",IF(W79="是","观察","持有"))))</f>
        <v/>
      </c>
      <c r="AB79" s="19" t="str">
        <f aca="false">IF($A79="","",IF(D79="是",IF(I79&lt;=E79*0.92,"立即卖出(WAIVED止损)","继续持有(WAIVED)"),IF(OR(M79&lt;=-10%,Q79="是"),"立即卖出",IF(OR(AA79="卖出",V79="是",X79="是"),"次日卖出",IF(AND(Y79="是",NOT(OR(Q79="是",M79&lt;=-8%,V79="是",X79="是"))),"减仓至上限",IF(W79="是","观察","继续持有"))))))</f>
        <v/>
      </c>
      <c r="AC79" s="19" t="str">
        <f aca="false">IF($A79="","",IF(Q79="是","触发止损",IF(M79&lt;=-8%,"固定止损",IF(V79="是","信号失效",IF(X79="是","确认一卖",IF(Y79="是","单股超限",IF(W79="是","DL_P弱化","规则内持有")))))))</f>
        <v/>
      </c>
      <c r="AD79" s="7"/>
    </row>
    <row r="80" customFormat="false" ht="15" hidden="false" customHeight="true" outlineLevel="0" collapsed="false">
      <c r="A80" s="5"/>
      <c r="B80" s="5"/>
      <c r="C80" s="5"/>
      <c r="D80" s="11"/>
      <c r="E80" s="14"/>
      <c r="F80" s="5"/>
      <c r="G80" s="17"/>
      <c r="H80" s="14"/>
      <c r="I80" s="14"/>
      <c r="J80" s="15" t="n">
        <f aca="false">IFERROR(G80*I80,0)</f>
        <v>0</v>
      </c>
      <c r="K80" s="15" t="n">
        <f aca="false">IFERROR(G80*H80,0)</f>
        <v>0</v>
      </c>
      <c r="L80" s="15" t="n">
        <f aca="false">IFERROR(J80-K80,0)</f>
        <v>0</v>
      </c>
      <c r="M80" s="16" t="n">
        <f aca="false">IFERROR((I80-H80)/H80,0)</f>
        <v>0</v>
      </c>
      <c r="N80" s="16" t="n">
        <f aca="false">IFERROR(J80/INDEX(账户总表!$B:$B,MATCH($A80,账户总表!$A:$A,0)),0)</f>
        <v>0</v>
      </c>
      <c r="O80" s="14"/>
      <c r="P80" s="15" t="str">
        <f aca="false">IF($A80="","",IF($D80="是",IF(E80&gt;0,E80*0.92,MAX(O80*0.98,H80*0.92)),MAX(O80*0.98,H80*0.92)))</f>
        <v/>
      </c>
      <c r="Q80" s="4" t="str">
        <f aca="false">IF($A80="","",IF(AND(I80&gt;0,P80&gt;0,I80&lt;=P80),"是","否"))</f>
        <v/>
      </c>
      <c r="R80" s="20"/>
      <c r="S80" s="5"/>
      <c r="T80" s="5"/>
      <c r="U80" s="5"/>
      <c r="V80" s="19" t="str">
        <f aca="false">IF($A80="","",IF(OR(AND(O80&gt;0,I80&lt;O80),AND(T80="False",S80&lt;0.8)),"是","否"))</f>
        <v/>
      </c>
      <c r="W80" s="19" t="str">
        <f aca="false">IF($A80="","",IF(AND(I80&lt;H80,S80&lt;0.8),"是","否"))</f>
        <v/>
      </c>
      <c r="X80" s="19" t="str">
        <f aca="false">IF($A80="","",IF(AND(R80&lt;60%,S80&gt;0.8,T80="True",U80="一卖"),"是","否"))</f>
        <v/>
      </c>
      <c r="Y80" s="19" t="str">
        <f aca="false">IF($A80="","",IF(D80="是","否",IF(N80&gt;LOOKUP(2,1/(账户总表!$A:$A&lt;&gt;""),账户总表!$O:$O),"是","否")))</f>
        <v/>
      </c>
      <c r="Z80" s="19" t="str">
        <f aca="false">IF($A80="","",IF(M80&gt;=0,"盈利","亏损"))</f>
        <v/>
      </c>
      <c r="AA80" s="19" t="str">
        <f aca="false">IF($A80="","",IF(OR(Q80="是",M80&lt;=-8%,V80="是",X80="是"),"卖出",IF(Y80="是","减仓",IF(W80="是","观察","持有"))))</f>
        <v/>
      </c>
      <c r="AB80" s="19" t="str">
        <f aca="false">IF($A80="","",IF(D80="是",IF(I80&lt;=E80*0.92,"立即卖出(WAIVED止损)","继续持有(WAIVED)"),IF(OR(M80&lt;=-10%,Q80="是"),"立即卖出",IF(OR(AA80="卖出",V80="是",X80="是"),"次日卖出",IF(AND(Y80="是",NOT(OR(Q80="是",M80&lt;=-8%,V80="是",X80="是"))),"减仓至上限",IF(W80="是","观察","继续持有"))))))</f>
        <v/>
      </c>
      <c r="AC80" s="19" t="str">
        <f aca="false">IF($A80="","",IF(Q80="是","触发止损",IF(M80&lt;=-8%,"固定止损",IF(V80="是","信号失效",IF(X80="是","确认一卖",IF(Y80="是","单股超限",IF(W80="是","DL_P弱化","规则内持有")))))))</f>
        <v/>
      </c>
      <c r="AD80" s="5"/>
    </row>
    <row r="81" customFormat="false" ht="15" hidden="false" customHeight="true" outlineLevel="0" collapsed="false">
      <c r="A81" s="7"/>
      <c r="B81" s="7"/>
      <c r="C81" s="7"/>
      <c r="D81" s="12"/>
      <c r="E81" s="24"/>
      <c r="F81" s="7"/>
      <c r="G81" s="25"/>
      <c r="H81" s="24"/>
      <c r="I81" s="24"/>
      <c r="J81" s="15" t="n">
        <f aca="false">IFERROR(G81*I81,0)</f>
        <v>0</v>
      </c>
      <c r="K81" s="15" t="n">
        <f aca="false">IFERROR(G81*H81,0)</f>
        <v>0</v>
      </c>
      <c r="L81" s="15" t="n">
        <f aca="false">IFERROR(J81-K81,0)</f>
        <v>0</v>
      </c>
      <c r="M81" s="16" t="n">
        <f aca="false">IFERROR((I81-H81)/H81,0)</f>
        <v>0</v>
      </c>
      <c r="N81" s="16" t="n">
        <f aca="false">IFERROR(J81/INDEX(账户总表!$B:$B,MATCH($A81,账户总表!$A:$A,0)),0)</f>
        <v>0</v>
      </c>
      <c r="O81" s="24"/>
      <c r="P81" s="15" t="str">
        <f aca="false">IF($A81="","",IF($D81="是",IF(E81&gt;0,E81*0.92,MAX(O81*0.98,H81*0.92)),MAX(O81*0.98,H81*0.92)))</f>
        <v/>
      </c>
      <c r="Q81" s="4" t="str">
        <f aca="false">IF($A81="","",IF(AND(I81&gt;0,P81&gt;0,I81&lt;=P81),"是","否"))</f>
        <v/>
      </c>
      <c r="R81" s="26"/>
      <c r="S81" s="7"/>
      <c r="T81" s="7"/>
      <c r="U81" s="7"/>
      <c r="V81" s="19" t="str">
        <f aca="false">IF($A81="","",IF(OR(AND(O81&gt;0,I81&lt;O81),AND(T81="False",S81&lt;0.8)),"是","否"))</f>
        <v/>
      </c>
      <c r="W81" s="19" t="str">
        <f aca="false">IF($A81="","",IF(AND(I81&lt;H81,S81&lt;0.8),"是","否"))</f>
        <v/>
      </c>
      <c r="X81" s="19" t="str">
        <f aca="false">IF($A81="","",IF(AND(R81&lt;60%,S81&gt;0.8,T81="True",U81="一卖"),"是","否"))</f>
        <v/>
      </c>
      <c r="Y81" s="19" t="str">
        <f aca="false">IF($A81="","",IF(D81="是","否",IF(N81&gt;LOOKUP(2,1/(账户总表!$A:$A&lt;&gt;""),账户总表!$O:$O),"是","否")))</f>
        <v/>
      </c>
      <c r="Z81" s="19" t="str">
        <f aca="false">IF($A81="","",IF(M81&gt;=0,"盈利","亏损"))</f>
        <v/>
      </c>
      <c r="AA81" s="19" t="str">
        <f aca="false">IF($A81="","",IF(OR(Q81="是",M81&lt;=-8%,V81="是",X81="是"),"卖出",IF(Y81="是","减仓",IF(W81="是","观察","持有"))))</f>
        <v/>
      </c>
      <c r="AB81" s="19" t="str">
        <f aca="false">IF($A81="","",IF(D81="是",IF(I81&lt;=E81*0.92,"立即卖出(WAIVED止损)","继续持有(WAIVED)"),IF(OR(M81&lt;=-10%,Q81="是"),"立即卖出",IF(OR(AA81="卖出",V81="是",X81="是"),"次日卖出",IF(AND(Y81="是",NOT(OR(Q81="是",M81&lt;=-8%,V81="是",X81="是"))),"减仓至上限",IF(W81="是","观察","继续持有"))))))</f>
        <v/>
      </c>
      <c r="AC81" s="19" t="str">
        <f aca="false">IF($A81="","",IF(Q81="是","触发止损",IF(M81&lt;=-8%,"固定止损",IF(V81="是","信号失效",IF(X81="是","确认一卖",IF(Y81="是","单股超限",IF(W81="是","DL_P弱化","规则内持有")))))))</f>
        <v/>
      </c>
      <c r="AD81" s="7"/>
    </row>
    <row r="82" customFormat="false" ht="15" hidden="false" customHeight="true" outlineLevel="0" collapsed="false">
      <c r="A82" s="5"/>
      <c r="B82" s="5"/>
      <c r="C82" s="5"/>
      <c r="D82" s="11"/>
      <c r="E82" s="14"/>
      <c r="F82" s="5"/>
      <c r="G82" s="17"/>
      <c r="H82" s="14"/>
      <c r="I82" s="14"/>
      <c r="J82" s="15" t="n">
        <f aca="false">IFERROR(G82*I82,0)</f>
        <v>0</v>
      </c>
      <c r="K82" s="15" t="n">
        <f aca="false">IFERROR(G82*H82,0)</f>
        <v>0</v>
      </c>
      <c r="L82" s="15" t="n">
        <f aca="false">IFERROR(J82-K82,0)</f>
        <v>0</v>
      </c>
      <c r="M82" s="16" t="n">
        <f aca="false">IFERROR((I82-H82)/H82,0)</f>
        <v>0</v>
      </c>
      <c r="N82" s="16" t="n">
        <f aca="false">IFERROR(J82/INDEX(账户总表!$B:$B,MATCH($A82,账户总表!$A:$A,0)),0)</f>
        <v>0</v>
      </c>
      <c r="O82" s="14"/>
      <c r="P82" s="15" t="str">
        <f aca="false">IF($A82="","",IF($D82="是",IF(E82&gt;0,E82*0.92,MAX(O82*0.98,H82*0.92)),MAX(O82*0.98,H82*0.92)))</f>
        <v/>
      </c>
      <c r="Q82" s="4" t="str">
        <f aca="false">IF($A82="","",IF(AND(I82&gt;0,P82&gt;0,I82&lt;=P82),"是","否"))</f>
        <v/>
      </c>
      <c r="R82" s="20"/>
      <c r="S82" s="5"/>
      <c r="T82" s="5"/>
      <c r="U82" s="5"/>
      <c r="V82" s="19" t="str">
        <f aca="false">IF($A82="","",IF(OR(AND(O82&gt;0,I82&lt;O82),AND(T82="False",S82&lt;0.8)),"是","否"))</f>
        <v/>
      </c>
      <c r="W82" s="19" t="str">
        <f aca="false">IF($A82="","",IF(AND(I82&lt;H82,S82&lt;0.8),"是","否"))</f>
        <v/>
      </c>
      <c r="X82" s="19" t="str">
        <f aca="false">IF($A82="","",IF(AND(R82&lt;60%,S82&gt;0.8,T82="True",U82="一卖"),"是","否"))</f>
        <v/>
      </c>
      <c r="Y82" s="19" t="str">
        <f aca="false">IF($A82="","",IF(D82="是","否",IF(N82&gt;LOOKUP(2,1/(账户总表!$A:$A&lt;&gt;""),账户总表!$O:$O),"是","否")))</f>
        <v/>
      </c>
      <c r="Z82" s="19" t="str">
        <f aca="false">IF($A82="","",IF(M82&gt;=0,"盈利","亏损"))</f>
        <v/>
      </c>
      <c r="AA82" s="19" t="str">
        <f aca="false">IF($A82="","",IF(OR(Q82="是",M82&lt;=-8%,V82="是",X82="是"),"卖出",IF(Y82="是","减仓",IF(W82="是","观察","持有"))))</f>
        <v/>
      </c>
      <c r="AB82" s="19" t="str">
        <f aca="false">IF($A82="","",IF(D82="是",IF(I82&lt;=E82*0.92,"立即卖出(WAIVED止损)","继续持有(WAIVED)"),IF(OR(M82&lt;=-10%,Q82="是"),"立即卖出",IF(OR(AA82="卖出",V82="是",X82="是"),"次日卖出",IF(AND(Y82="是",NOT(OR(Q82="是",M82&lt;=-8%,V82="是",X82="是"))),"减仓至上限",IF(W82="是","观察","继续持有"))))))</f>
        <v/>
      </c>
      <c r="AC82" s="19" t="str">
        <f aca="false">IF($A82="","",IF(Q82="是","触发止损",IF(M82&lt;=-8%,"固定止损",IF(V82="是","信号失效",IF(X82="是","确认一卖",IF(Y82="是","单股超限",IF(W82="是","DL_P弱化","规则内持有")))))))</f>
        <v/>
      </c>
      <c r="AD82" s="5"/>
    </row>
    <row r="83" customFormat="false" ht="15" hidden="false" customHeight="true" outlineLevel="0" collapsed="false">
      <c r="A83" s="7"/>
      <c r="B83" s="7"/>
      <c r="C83" s="7"/>
      <c r="D83" s="12"/>
      <c r="E83" s="24"/>
      <c r="F83" s="7"/>
      <c r="G83" s="25"/>
      <c r="H83" s="24"/>
      <c r="I83" s="24"/>
      <c r="J83" s="15" t="n">
        <f aca="false">IFERROR(G83*I83,0)</f>
        <v>0</v>
      </c>
      <c r="K83" s="15" t="n">
        <f aca="false">IFERROR(G83*H83,0)</f>
        <v>0</v>
      </c>
      <c r="L83" s="15" t="n">
        <f aca="false">IFERROR(J83-K83,0)</f>
        <v>0</v>
      </c>
      <c r="M83" s="16" t="n">
        <f aca="false">IFERROR((I83-H83)/H83,0)</f>
        <v>0</v>
      </c>
      <c r="N83" s="16" t="n">
        <f aca="false">IFERROR(J83/INDEX(账户总表!$B:$B,MATCH($A83,账户总表!$A:$A,0)),0)</f>
        <v>0</v>
      </c>
      <c r="O83" s="24"/>
      <c r="P83" s="15" t="str">
        <f aca="false">IF($A83="","",IF($D83="是",IF(E83&gt;0,E83*0.92,MAX(O83*0.98,H83*0.92)),MAX(O83*0.98,H83*0.92)))</f>
        <v/>
      </c>
      <c r="Q83" s="4" t="str">
        <f aca="false">IF($A83="","",IF(AND(I83&gt;0,P83&gt;0,I83&lt;=P83),"是","否"))</f>
        <v/>
      </c>
      <c r="R83" s="26"/>
      <c r="S83" s="7"/>
      <c r="T83" s="7"/>
      <c r="U83" s="7"/>
      <c r="V83" s="19" t="str">
        <f aca="false">IF($A83="","",IF(OR(AND(O83&gt;0,I83&lt;O83),AND(T83="False",S83&lt;0.8)),"是","否"))</f>
        <v/>
      </c>
      <c r="W83" s="19" t="str">
        <f aca="false">IF($A83="","",IF(AND(I83&lt;H83,S83&lt;0.8),"是","否"))</f>
        <v/>
      </c>
      <c r="X83" s="19" t="str">
        <f aca="false">IF($A83="","",IF(AND(R83&lt;60%,S83&gt;0.8,T83="True",U83="一卖"),"是","否"))</f>
        <v/>
      </c>
      <c r="Y83" s="19" t="str">
        <f aca="false">IF($A83="","",IF(D83="是","否",IF(N83&gt;LOOKUP(2,1/(账户总表!$A:$A&lt;&gt;""),账户总表!$O:$O),"是","否")))</f>
        <v/>
      </c>
      <c r="Z83" s="19" t="str">
        <f aca="false">IF($A83="","",IF(M83&gt;=0,"盈利","亏损"))</f>
        <v/>
      </c>
      <c r="AA83" s="19" t="str">
        <f aca="false">IF($A83="","",IF(OR(Q83="是",M83&lt;=-8%,V83="是",X83="是"),"卖出",IF(Y83="是","减仓",IF(W83="是","观察","持有"))))</f>
        <v/>
      </c>
      <c r="AB83" s="19" t="str">
        <f aca="false">IF($A83="","",IF(D83="是",IF(I83&lt;=E83*0.92,"立即卖出(WAIVED止损)","继续持有(WAIVED)"),IF(OR(M83&lt;=-10%,Q83="是"),"立即卖出",IF(OR(AA83="卖出",V83="是",X83="是"),"次日卖出",IF(AND(Y83="是",NOT(OR(Q83="是",M83&lt;=-8%,V83="是",X83="是"))),"减仓至上限",IF(W83="是","观察","继续持有"))))))</f>
        <v/>
      </c>
      <c r="AC83" s="19" t="str">
        <f aca="false">IF($A83="","",IF(Q83="是","触发止损",IF(M83&lt;=-8%,"固定止损",IF(V83="是","信号失效",IF(X83="是","确认一卖",IF(Y83="是","单股超限",IF(W83="是","DL_P弱化","规则内持有")))))))</f>
        <v/>
      </c>
      <c r="AD83" s="7"/>
    </row>
    <row r="84" customFormat="false" ht="15" hidden="false" customHeight="true" outlineLevel="0" collapsed="false">
      <c r="A84" s="5"/>
      <c r="B84" s="5"/>
      <c r="C84" s="5"/>
      <c r="D84" s="11"/>
      <c r="E84" s="14"/>
      <c r="F84" s="5"/>
      <c r="G84" s="17"/>
      <c r="H84" s="14"/>
      <c r="I84" s="14"/>
      <c r="J84" s="15" t="n">
        <f aca="false">IFERROR(G84*I84,0)</f>
        <v>0</v>
      </c>
      <c r="K84" s="15" t="n">
        <f aca="false">IFERROR(G84*H84,0)</f>
        <v>0</v>
      </c>
      <c r="L84" s="15" t="n">
        <f aca="false">IFERROR(J84-K84,0)</f>
        <v>0</v>
      </c>
      <c r="M84" s="16" t="n">
        <f aca="false">IFERROR((I84-H84)/H84,0)</f>
        <v>0</v>
      </c>
      <c r="N84" s="16" t="n">
        <f aca="false">IFERROR(J84/INDEX(账户总表!$B:$B,MATCH($A84,账户总表!$A:$A,0)),0)</f>
        <v>0</v>
      </c>
      <c r="O84" s="14"/>
      <c r="P84" s="15" t="str">
        <f aca="false">IF($A84="","",IF($D84="是",IF(E84&gt;0,E84*0.92,MAX(O84*0.98,H84*0.92)),MAX(O84*0.98,H84*0.92)))</f>
        <v/>
      </c>
      <c r="Q84" s="4" t="str">
        <f aca="false">IF($A84="","",IF(AND(I84&gt;0,P84&gt;0,I84&lt;=P84),"是","否"))</f>
        <v/>
      </c>
      <c r="R84" s="20"/>
      <c r="S84" s="5"/>
      <c r="T84" s="5"/>
      <c r="U84" s="5"/>
      <c r="V84" s="19" t="str">
        <f aca="false">IF($A84="","",IF(OR(AND(O84&gt;0,I84&lt;O84),AND(T84="False",S84&lt;0.8)),"是","否"))</f>
        <v/>
      </c>
      <c r="W84" s="19" t="str">
        <f aca="false">IF($A84="","",IF(AND(I84&lt;H84,S84&lt;0.8),"是","否"))</f>
        <v/>
      </c>
      <c r="X84" s="19" t="str">
        <f aca="false">IF($A84="","",IF(AND(R84&lt;60%,S84&gt;0.8,T84="True",U84="一卖"),"是","否"))</f>
        <v/>
      </c>
      <c r="Y84" s="19" t="str">
        <f aca="false">IF($A84="","",IF(D84="是","否",IF(N84&gt;LOOKUP(2,1/(账户总表!$A:$A&lt;&gt;""),账户总表!$O:$O),"是","否")))</f>
        <v/>
      </c>
      <c r="Z84" s="19" t="str">
        <f aca="false">IF($A84="","",IF(M84&gt;=0,"盈利","亏损"))</f>
        <v/>
      </c>
      <c r="AA84" s="19" t="str">
        <f aca="false">IF($A84="","",IF(OR(Q84="是",M84&lt;=-8%,V84="是",X84="是"),"卖出",IF(Y84="是","减仓",IF(W84="是","观察","持有"))))</f>
        <v/>
      </c>
      <c r="AB84" s="19" t="str">
        <f aca="false">IF($A84="","",IF(D84="是",IF(I84&lt;=E84*0.92,"立即卖出(WAIVED止损)","继续持有(WAIVED)"),IF(OR(M84&lt;=-10%,Q84="是"),"立即卖出",IF(OR(AA84="卖出",V84="是",X84="是"),"次日卖出",IF(AND(Y84="是",NOT(OR(Q84="是",M84&lt;=-8%,V84="是",X84="是"))),"减仓至上限",IF(W84="是","观察","继续持有"))))))</f>
        <v/>
      </c>
      <c r="AC84" s="19" t="str">
        <f aca="false">IF($A84="","",IF(Q84="是","触发止损",IF(M84&lt;=-8%,"固定止损",IF(V84="是","信号失效",IF(X84="是","确认一卖",IF(Y84="是","单股超限",IF(W84="是","DL_P弱化","规则内持有")))))))</f>
        <v/>
      </c>
      <c r="AD84" s="5"/>
    </row>
    <row r="85" customFormat="false" ht="15" hidden="false" customHeight="true" outlineLevel="0" collapsed="false">
      <c r="A85" s="7"/>
      <c r="B85" s="7"/>
      <c r="C85" s="7"/>
      <c r="D85" s="12"/>
      <c r="E85" s="24"/>
      <c r="F85" s="7"/>
      <c r="G85" s="25"/>
      <c r="H85" s="24"/>
      <c r="I85" s="24"/>
      <c r="J85" s="15" t="n">
        <f aca="false">IFERROR(G85*I85,0)</f>
        <v>0</v>
      </c>
      <c r="K85" s="15" t="n">
        <f aca="false">IFERROR(G85*H85,0)</f>
        <v>0</v>
      </c>
      <c r="L85" s="15" t="n">
        <f aca="false">IFERROR(J85-K85,0)</f>
        <v>0</v>
      </c>
      <c r="M85" s="16" t="n">
        <f aca="false">IFERROR((I85-H85)/H85,0)</f>
        <v>0</v>
      </c>
      <c r="N85" s="16" t="n">
        <f aca="false">IFERROR(J85/INDEX(账户总表!$B:$B,MATCH($A85,账户总表!$A:$A,0)),0)</f>
        <v>0</v>
      </c>
      <c r="O85" s="24"/>
      <c r="P85" s="15" t="str">
        <f aca="false">IF($A85="","",IF($D85="是",IF(E85&gt;0,E85*0.92,MAX(O85*0.98,H85*0.92)),MAX(O85*0.98,H85*0.92)))</f>
        <v/>
      </c>
      <c r="Q85" s="4" t="str">
        <f aca="false">IF($A85="","",IF(AND(I85&gt;0,P85&gt;0,I85&lt;=P85),"是","否"))</f>
        <v/>
      </c>
      <c r="R85" s="26"/>
      <c r="S85" s="7"/>
      <c r="T85" s="7"/>
      <c r="U85" s="7"/>
      <c r="V85" s="19" t="str">
        <f aca="false">IF($A85="","",IF(OR(AND(O85&gt;0,I85&lt;O85),AND(T85="False",S85&lt;0.8)),"是","否"))</f>
        <v/>
      </c>
      <c r="W85" s="19" t="str">
        <f aca="false">IF($A85="","",IF(AND(I85&lt;H85,S85&lt;0.8),"是","否"))</f>
        <v/>
      </c>
      <c r="X85" s="19" t="str">
        <f aca="false">IF($A85="","",IF(AND(R85&lt;60%,S85&gt;0.8,T85="True",U85="一卖"),"是","否"))</f>
        <v/>
      </c>
      <c r="Y85" s="19" t="str">
        <f aca="false">IF($A85="","",IF(D85="是","否",IF(N85&gt;LOOKUP(2,1/(账户总表!$A:$A&lt;&gt;""),账户总表!$O:$O),"是","否")))</f>
        <v/>
      </c>
      <c r="Z85" s="19" t="str">
        <f aca="false">IF($A85="","",IF(M85&gt;=0,"盈利","亏损"))</f>
        <v/>
      </c>
      <c r="AA85" s="19" t="str">
        <f aca="false">IF($A85="","",IF(OR(Q85="是",M85&lt;=-8%,V85="是",X85="是"),"卖出",IF(Y85="是","减仓",IF(W85="是","观察","持有"))))</f>
        <v/>
      </c>
      <c r="AB85" s="19" t="str">
        <f aca="false">IF($A85="","",IF(D85="是",IF(I85&lt;=E85*0.92,"立即卖出(WAIVED止损)","继续持有(WAIVED)"),IF(OR(M85&lt;=-10%,Q85="是"),"立即卖出",IF(OR(AA85="卖出",V85="是",X85="是"),"次日卖出",IF(AND(Y85="是",NOT(OR(Q85="是",M85&lt;=-8%,V85="是",X85="是"))),"减仓至上限",IF(W85="是","观察","继续持有"))))))</f>
        <v/>
      </c>
      <c r="AC85" s="19" t="str">
        <f aca="false">IF($A85="","",IF(Q85="是","触发止损",IF(M85&lt;=-8%,"固定止损",IF(V85="是","信号失效",IF(X85="是","确认一卖",IF(Y85="是","单股超限",IF(W85="是","DL_P弱化","规则内持有")))))))</f>
        <v/>
      </c>
      <c r="AD85" s="7"/>
    </row>
    <row r="86" customFormat="false" ht="15" hidden="false" customHeight="true" outlineLevel="0" collapsed="false">
      <c r="A86" s="5"/>
      <c r="B86" s="5"/>
      <c r="C86" s="5"/>
      <c r="D86" s="11"/>
      <c r="E86" s="14"/>
      <c r="F86" s="5"/>
      <c r="G86" s="17"/>
      <c r="H86" s="14"/>
      <c r="I86" s="14"/>
      <c r="J86" s="15" t="n">
        <f aca="false">IFERROR(G86*I86,0)</f>
        <v>0</v>
      </c>
      <c r="K86" s="15" t="n">
        <f aca="false">IFERROR(G86*H86,0)</f>
        <v>0</v>
      </c>
      <c r="L86" s="15" t="n">
        <f aca="false">IFERROR(J86-K86,0)</f>
        <v>0</v>
      </c>
      <c r="M86" s="16" t="n">
        <f aca="false">IFERROR((I86-H86)/H86,0)</f>
        <v>0</v>
      </c>
      <c r="N86" s="16" t="n">
        <f aca="false">IFERROR(J86/INDEX(账户总表!$B:$B,MATCH($A86,账户总表!$A:$A,0)),0)</f>
        <v>0</v>
      </c>
      <c r="O86" s="14"/>
      <c r="P86" s="15" t="str">
        <f aca="false">IF($A86="","",IF($D86="是",IF(E86&gt;0,E86*0.92,MAX(O86*0.98,H86*0.92)),MAX(O86*0.98,H86*0.92)))</f>
        <v/>
      </c>
      <c r="Q86" s="4" t="str">
        <f aca="false">IF($A86="","",IF(AND(I86&gt;0,P86&gt;0,I86&lt;=P86),"是","否"))</f>
        <v/>
      </c>
      <c r="R86" s="20"/>
      <c r="S86" s="5"/>
      <c r="T86" s="5"/>
      <c r="U86" s="5"/>
      <c r="V86" s="19" t="str">
        <f aca="false">IF($A86="","",IF(OR(AND(O86&gt;0,I86&lt;O86),AND(T86="False",S86&lt;0.8)),"是","否"))</f>
        <v/>
      </c>
      <c r="W86" s="19" t="str">
        <f aca="false">IF($A86="","",IF(AND(I86&lt;H86,S86&lt;0.8),"是","否"))</f>
        <v/>
      </c>
      <c r="X86" s="19" t="str">
        <f aca="false">IF($A86="","",IF(AND(R86&lt;60%,S86&gt;0.8,T86="True",U86="一卖"),"是","否"))</f>
        <v/>
      </c>
      <c r="Y86" s="19" t="str">
        <f aca="false">IF($A86="","",IF(D86="是","否",IF(N86&gt;LOOKUP(2,1/(账户总表!$A:$A&lt;&gt;""),账户总表!$O:$O),"是","否")))</f>
        <v/>
      </c>
      <c r="Z86" s="19" t="str">
        <f aca="false">IF($A86="","",IF(M86&gt;=0,"盈利","亏损"))</f>
        <v/>
      </c>
      <c r="AA86" s="19" t="str">
        <f aca="false">IF($A86="","",IF(OR(Q86="是",M86&lt;=-8%,V86="是",X86="是"),"卖出",IF(Y86="是","减仓",IF(W86="是","观察","持有"))))</f>
        <v/>
      </c>
      <c r="AB86" s="19" t="str">
        <f aca="false">IF($A86="","",IF(D86="是",IF(I86&lt;=E86*0.92,"立即卖出(WAIVED止损)","继续持有(WAIVED)"),IF(OR(M86&lt;=-10%,Q86="是"),"立即卖出",IF(OR(AA86="卖出",V86="是",X86="是"),"次日卖出",IF(AND(Y86="是",NOT(OR(Q86="是",M86&lt;=-8%,V86="是",X86="是"))),"减仓至上限",IF(W86="是","观察","继续持有"))))))</f>
        <v/>
      </c>
      <c r="AC86" s="19" t="str">
        <f aca="false">IF($A86="","",IF(Q86="是","触发止损",IF(M86&lt;=-8%,"固定止损",IF(V86="是","信号失效",IF(X86="是","确认一卖",IF(Y86="是","单股超限",IF(W86="是","DL_P弱化","规则内持有")))))))</f>
        <v/>
      </c>
      <c r="AD86" s="5"/>
    </row>
    <row r="87" customFormat="false" ht="15" hidden="false" customHeight="true" outlineLevel="0" collapsed="false">
      <c r="A87" s="7"/>
      <c r="B87" s="7"/>
      <c r="C87" s="7"/>
      <c r="D87" s="12"/>
      <c r="E87" s="24"/>
      <c r="F87" s="7"/>
      <c r="G87" s="25"/>
      <c r="H87" s="24"/>
      <c r="I87" s="24"/>
      <c r="J87" s="15" t="n">
        <f aca="false">IFERROR(G87*I87,0)</f>
        <v>0</v>
      </c>
      <c r="K87" s="15" t="n">
        <f aca="false">IFERROR(G87*H87,0)</f>
        <v>0</v>
      </c>
      <c r="L87" s="15" t="n">
        <f aca="false">IFERROR(J87-K87,0)</f>
        <v>0</v>
      </c>
      <c r="M87" s="16" t="n">
        <f aca="false">IFERROR((I87-H87)/H87,0)</f>
        <v>0</v>
      </c>
      <c r="N87" s="16" t="n">
        <f aca="false">IFERROR(J87/INDEX(账户总表!$B:$B,MATCH($A87,账户总表!$A:$A,0)),0)</f>
        <v>0</v>
      </c>
      <c r="O87" s="24"/>
      <c r="P87" s="15" t="str">
        <f aca="false">IF($A87="","",IF($D87="是",IF(E87&gt;0,E87*0.92,MAX(O87*0.98,H87*0.92)),MAX(O87*0.98,H87*0.92)))</f>
        <v/>
      </c>
      <c r="Q87" s="4" t="str">
        <f aca="false">IF($A87="","",IF(AND(I87&gt;0,P87&gt;0,I87&lt;=P87),"是","否"))</f>
        <v/>
      </c>
      <c r="R87" s="26"/>
      <c r="S87" s="7"/>
      <c r="T87" s="7"/>
      <c r="U87" s="7"/>
      <c r="V87" s="19" t="str">
        <f aca="false">IF($A87="","",IF(OR(AND(O87&gt;0,I87&lt;O87),AND(T87="False",S87&lt;0.8)),"是","否"))</f>
        <v/>
      </c>
      <c r="W87" s="19" t="str">
        <f aca="false">IF($A87="","",IF(AND(I87&lt;H87,S87&lt;0.8),"是","否"))</f>
        <v/>
      </c>
      <c r="X87" s="19" t="str">
        <f aca="false">IF($A87="","",IF(AND(R87&lt;60%,S87&gt;0.8,T87="True",U87="一卖"),"是","否"))</f>
        <v/>
      </c>
      <c r="Y87" s="19" t="str">
        <f aca="false">IF($A87="","",IF(D87="是","否",IF(N87&gt;LOOKUP(2,1/(账户总表!$A:$A&lt;&gt;""),账户总表!$O:$O),"是","否")))</f>
        <v/>
      </c>
      <c r="Z87" s="19" t="str">
        <f aca="false">IF($A87="","",IF(M87&gt;=0,"盈利","亏损"))</f>
        <v/>
      </c>
      <c r="AA87" s="19" t="str">
        <f aca="false">IF($A87="","",IF(OR(Q87="是",M87&lt;=-8%,V87="是",X87="是"),"卖出",IF(Y87="是","减仓",IF(W87="是","观察","持有"))))</f>
        <v/>
      </c>
      <c r="AB87" s="19" t="str">
        <f aca="false">IF($A87="","",IF(D87="是",IF(I87&lt;=E87*0.92,"立即卖出(WAIVED止损)","继续持有(WAIVED)"),IF(OR(M87&lt;=-10%,Q87="是"),"立即卖出",IF(OR(AA87="卖出",V87="是",X87="是"),"次日卖出",IF(AND(Y87="是",NOT(OR(Q87="是",M87&lt;=-8%,V87="是",X87="是"))),"减仓至上限",IF(W87="是","观察","继续持有"))))))</f>
        <v/>
      </c>
      <c r="AC87" s="19" t="str">
        <f aca="false">IF($A87="","",IF(Q87="是","触发止损",IF(M87&lt;=-8%,"固定止损",IF(V87="是","信号失效",IF(X87="是","确认一卖",IF(Y87="是","单股超限",IF(W87="是","DL_P弱化","规则内持有")))))))</f>
        <v/>
      </c>
      <c r="AD87" s="7"/>
    </row>
    <row r="88" customFormat="false" ht="15" hidden="false" customHeight="true" outlineLevel="0" collapsed="false">
      <c r="A88" s="5"/>
      <c r="B88" s="5"/>
      <c r="C88" s="5"/>
      <c r="D88" s="11"/>
      <c r="E88" s="14"/>
      <c r="F88" s="5"/>
      <c r="G88" s="17"/>
      <c r="H88" s="14"/>
      <c r="I88" s="14"/>
      <c r="J88" s="15" t="n">
        <f aca="false">IFERROR(G88*I88,0)</f>
        <v>0</v>
      </c>
      <c r="K88" s="15" t="n">
        <f aca="false">IFERROR(G88*H88,0)</f>
        <v>0</v>
      </c>
      <c r="L88" s="15" t="n">
        <f aca="false">IFERROR(J88-K88,0)</f>
        <v>0</v>
      </c>
      <c r="M88" s="16" t="n">
        <f aca="false">IFERROR((I88-H88)/H88,0)</f>
        <v>0</v>
      </c>
      <c r="N88" s="16" t="n">
        <f aca="false">IFERROR(J88/INDEX(账户总表!$B:$B,MATCH($A88,账户总表!$A:$A,0)),0)</f>
        <v>0</v>
      </c>
      <c r="O88" s="14"/>
      <c r="P88" s="15" t="str">
        <f aca="false">IF($A88="","",IF($D88="是",IF(E88&gt;0,E88*0.92,MAX(O88*0.98,H88*0.92)),MAX(O88*0.98,H88*0.92)))</f>
        <v/>
      </c>
      <c r="Q88" s="4" t="str">
        <f aca="false">IF($A88="","",IF(AND(I88&gt;0,P88&gt;0,I88&lt;=P88),"是","否"))</f>
        <v/>
      </c>
      <c r="R88" s="20"/>
      <c r="S88" s="5"/>
      <c r="T88" s="5"/>
      <c r="U88" s="5"/>
      <c r="V88" s="19" t="str">
        <f aca="false">IF($A88="","",IF(OR(AND(O88&gt;0,I88&lt;O88),AND(T88="False",S88&lt;0.8)),"是","否"))</f>
        <v/>
      </c>
      <c r="W88" s="19" t="str">
        <f aca="false">IF($A88="","",IF(AND(I88&lt;H88,S88&lt;0.8),"是","否"))</f>
        <v/>
      </c>
      <c r="X88" s="19" t="str">
        <f aca="false">IF($A88="","",IF(AND(R88&lt;60%,S88&gt;0.8,T88="True",U88="一卖"),"是","否"))</f>
        <v/>
      </c>
      <c r="Y88" s="19" t="str">
        <f aca="false">IF($A88="","",IF(D88="是","否",IF(N88&gt;LOOKUP(2,1/(账户总表!$A:$A&lt;&gt;""),账户总表!$O:$O),"是","否")))</f>
        <v/>
      </c>
      <c r="Z88" s="19" t="str">
        <f aca="false">IF($A88="","",IF(M88&gt;=0,"盈利","亏损"))</f>
        <v/>
      </c>
      <c r="AA88" s="19" t="str">
        <f aca="false">IF($A88="","",IF(OR(Q88="是",M88&lt;=-8%,V88="是",X88="是"),"卖出",IF(Y88="是","减仓",IF(W88="是","观察","持有"))))</f>
        <v/>
      </c>
      <c r="AB88" s="19" t="str">
        <f aca="false">IF($A88="","",IF(D88="是",IF(I88&lt;=E88*0.92,"立即卖出(WAIVED止损)","继续持有(WAIVED)"),IF(OR(M88&lt;=-10%,Q88="是"),"立即卖出",IF(OR(AA88="卖出",V88="是",X88="是"),"次日卖出",IF(AND(Y88="是",NOT(OR(Q88="是",M88&lt;=-8%,V88="是",X88="是"))),"减仓至上限",IF(W88="是","观察","继续持有"))))))</f>
        <v/>
      </c>
      <c r="AC88" s="19" t="str">
        <f aca="false">IF($A88="","",IF(Q88="是","触发止损",IF(M88&lt;=-8%,"固定止损",IF(V88="是","信号失效",IF(X88="是","确认一卖",IF(Y88="是","单股超限",IF(W88="是","DL_P弱化","规则内持有")))))))</f>
        <v/>
      </c>
      <c r="AD88" s="5"/>
    </row>
    <row r="89" customFormat="false" ht="15" hidden="false" customHeight="true" outlineLevel="0" collapsed="false">
      <c r="A89" s="7"/>
      <c r="B89" s="7"/>
      <c r="C89" s="7"/>
      <c r="D89" s="12"/>
      <c r="E89" s="24"/>
      <c r="F89" s="7"/>
      <c r="G89" s="25"/>
      <c r="H89" s="24"/>
      <c r="I89" s="24"/>
      <c r="J89" s="15" t="n">
        <f aca="false">IFERROR(G89*I89,0)</f>
        <v>0</v>
      </c>
      <c r="K89" s="15" t="n">
        <f aca="false">IFERROR(G89*H89,0)</f>
        <v>0</v>
      </c>
      <c r="L89" s="15" t="n">
        <f aca="false">IFERROR(J89-K89,0)</f>
        <v>0</v>
      </c>
      <c r="M89" s="16" t="n">
        <f aca="false">IFERROR((I89-H89)/H89,0)</f>
        <v>0</v>
      </c>
      <c r="N89" s="16" t="n">
        <f aca="false">IFERROR(J89/INDEX(账户总表!$B:$B,MATCH($A89,账户总表!$A:$A,0)),0)</f>
        <v>0</v>
      </c>
      <c r="O89" s="24"/>
      <c r="P89" s="15" t="str">
        <f aca="false">IF($A89="","",IF($D89="是",IF(E89&gt;0,E89*0.92,MAX(O89*0.98,H89*0.92)),MAX(O89*0.98,H89*0.92)))</f>
        <v/>
      </c>
      <c r="Q89" s="4" t="str">
        <f aca="false">IF($A89="","",IF(AND(I89&gt;0,P89&gt;0,I89&lt;=P89),"是","否"))</f>
        <v/>
      </c>
      <c r="R89" s="26"/>
      <c r="S89" s="7"/>
      <c r="T89" s="7"/>
      <c r="U89" s="7"/>
      <c r="V89" s="19" t="str">
        <f aca="false">IF($A89="","",IF(OR(AND(O89&gt;0,I89&lt;O89),AND(T89="False",S89&lt;0.8)),"是","否"))</f>
        <v/>
      </c>
      <c r="W89" s="19" t="str">
        <f aca="false">IF($A89="","",IF(AND(I89&lt;H89,S89&lt;0.8),"是","否"))</f>
        <v/>
      </c>
      <c r="X89" s="19" t="str">
        <f aca="false">IF($A89="","",IF(AND(R89&lt;60%,S89&gt;0.8,T89="True",U89="一卖"),"是","否"))</f>
        <v/>
      </c>
      <c r="Y89" s="19" t="str">
        <f aca="false">IF($A89="","",IF(D89="是","否",IF(N89&gt;LOOKUP(2,1/(账户总表!$A:$A&lt;&gt;""),账户总表!$O:$O),"是","否")))</f>
        <v/>
      </c>
      <c r="Z89" s="19" t="str">
        <f aca="false">IF($A89="","",IF(M89&gt;=0,"盈利","亏损"))</f>
        <v/>
      </c>
      <c r="AA89" s="19" t="str">
        <f aca="false">IF($A89="","",IF(OR(Q89="是",M89&lt;=-8%,V89="是",X89="是"),"卖出",IF(Y89="是","减仓",IF(W89="是","观察","持有"))))</f>
        <v/>
      </c>
      <c r="AB89" s="19" t="str">
        <f aca="false">IF($A89="","",IF(D89="是",IF(I89&lt;=E89*0.92,"立即卖出(WAIVED止损)","继续持有(WAIVED)"),IF(OR(M89&lt;=-10%,Q89="是"),"立即卖出",IF(OR(AA89="卖出",V89="是",X89="是"),"次日卖出",IF(AND(Y89="是",NOT(OR(Q89="是",M89&lt;=-8%,V89="是",X89="是"))),"减仓至上限",IF(W89="是","观察","继续持有"))))))</f>
        <v/>
      </c>
      <c r="AC89" s="19" t="str">
        <f aca="false">IF($A89="","",IF(Q89="是","触发止损",IF(M89&lt;=-8%,"固定止损",IF(V89="是","信号失效",IF(X89="是","确认一卖",IF(Y89="是","单股超限",IF(W89="是","DL_P弱化","规则内持有")))))))</f>
        <v/>
      </c>
      <c r="AD89" s="7"/>
    </row>
    <row r="90" customFormat="false" ht="15" hidden="false" customHeight="true" outlineLevel="0" collapsed="false">
      <c r="A90" s="5"/>
      <c r="B90" s="5"/>
      <c r="C90" s="5"/>
      <c r="D90" s="11"/>
      <c r="E90" s="14"/>
      <c r="F90" s="5"/>
      <c r="G90" s="17"/>
      <c r="H90" s="14"/>
      <c r="I90" s="14"/>
      <c r="J90" s="15" t="n">
        <f aca="false">IFERROR(G90*I90,0)</f>
        <v>0</v>
      </c>
      <c r="K90" s="15" t="n">
        <f aca="false">IFERROR(G90*H90,0)</f>
        <v>0</v>
      </c>
      <c r="L90" s="15" t="n">
        <f aca="false">IFERROR(J90-K90,0)</f>
        <v>0</v>
      </c>
      <c r="M90" s="16" t="n">
        <f aca="false">IFERROR((I90-H90)/H90,0)</f>
        <v>0</v>
      </c>
      <c r="N90" s="16" t="n">
        <f aca="false">IFERROR(J90/INDEX(账户总表!$B:$B,MATCH($A90,账户总表!$A:$A,0)),0)</f>
        <v>0</v>
      </c>
      <c r="O90" s="14"/>
      <c r="P90" s="15" t="str">
        <f aca="false">IF($A90="","",IF($D90="是",IF(E90&gt;0,E90*0.92,MAX(O90*0.98,H90*0.92)),MAX(O90*0.98,H90*0.92)))</f>
        <v/>
      </c>
      <c r="Q90" s="4" t="str">
        <f aca="false">IF($A90="","",IF(AND(I90&gt;0,P90&gt;0,I90&lt;=P90),"是","否"))</f>
        <v/>
      </c>
      <c r="R90" s="20"/>
      <c r="S90" s="5"/>
      <c r="T90" s="5"/>
      <c r="U90" s="5"/>
      <c r="V90" s="19" t="str">
        <f aca="false">IF($A90="","",IF(OR(AND(O90&gt;0,I90&lt;O90),AND(T90="False",S90&lt;0.8)),"是","否"))</f>
        <v/>
      </c>
      <c r="W90" s="19" t="str">
        <f aca="false">IF($A90="","",IF(AND(I90&lt;H90,S90&lt;0.8),"是","否"))</f>
        <v/>
      </c>
      <c r="X90" s="19" t="str">
        <f aca="false">IF($A90="","",IF(AND(R90&lt;60%,S90&gt;0.8,T90="True",U90="一卖"),"是","否"))</f>
        <v/>
      </c>
      <c r="Y90" s="19" t="str">
        <f aca="false">IF($A90="","",IF(D90="是","否",IF(N90&gt;LOOKUP(2,1/(账户总表!$A:$A&lt;&gt;""),账户总表!$O:$O),"是","否")))</f>
        <v/>
      </c>
      <c r="Z90" s="19" t="str">
        <f aca="false">IF($A90="","",IF(M90&gt;=0,"盈利","亏损"))</f>
        <v/>
      </c>
      <c r="AA90" s="19" t="str">
        <f aca="false">IF($A90="","",IF(OR(Q90="是",M90&lt;=-8%,V90="是",X90="是"),"卖出",IF(Y90="是","减仓",IF(W90="是","观察","持有"))))</f>
        <v/>
      </c>
      <c r="AB90" s="19" t="str">
        <f aca="false">IF($A90="","",IF(D90="是",IF(I90&lt;=E90*0.92,"立即卖出(WAIVED止损)","继续持有(WAIVED)"),IF(OR(M90&lt;=-10%,Q90="是"),"立即卖出",IF(OR(AA90="卖出",V90="是",X90="是"),"次日卖出",IF(AND(Y90="是",NOT(OR(Q90="是",M90&lt;=-8%,V90="是",X90="是"))),"减仓至上限",IF(W90="是","观察","继续持有"))))))</f>
        <v/>
      </c>
      <c r="AC90" s="19" t="str">
        <f aca="false">IF($A90="","",IF(Q90="是","触发止损",IF(M90&lt;=-8%,"固定止损",IF(V90="是","信号失效",IF(X90="是","确认一卖",IF(Y90="是","单股超限",IF(W90="是","DL_P弱化","规则内持有")))))))</f>
        <v/>
      </c>
      <c r="AD90" s="5"/>
    </row>
    <row r="91" customFormat="false" ht="15" hidden="false" customHeight="true" outlineLevel="0" collapsed="false">
      <c r="A91" s="7"/>
      <c r="B91" s="7"/>
      <c r="C91" s="7"/>
      <c r="D91" s="12"/>
      <c r="E91" s="24"/>
      <c r="F91" s="7"/>
      <c r="G91" s="25"/>
      <c r="H91" s="24"/>
      <c r="I91" s="24"/>
      <c r="J91" s="15" t="n">
        <f aca="false">IFERROR(G91*I91,0)</f>
        <v>0</v>
      </c>
      <c r="K91" s="15" t="n">
        <f aca="false">IFERROR(G91*H91,0)</f>
        <v>0</v>
      </c>
      <c r="L91" s="15" t="n">
        <f aca="false">IFERROR(J91-K91,0)</f>
        <v>0</v>
      </c>
      <c r="M91" s="16" t="n">
        <f aca="false">IFERROR((I91-H91)/H91,0)</f>
        <v>0</v>
      </c>
      <c r="N91" s="16" t="n">
        <f aca="false">IFERROR(J91/INDEX(账户总表!$B:$B,MATCH($A91,账户总表!$A:$A,0)),0)</f>
        <v>0</v>
      </c>
      <c r="O91" s="24"/>
      <c r="P91" s="15" t="str">
        <f aca="false">IF($A91="","",IF($D91="是",IF(E91&gt;0,E91*0.92,MAX(O91*0.98,H91*0.92)),MAX(O91*0.98,H91*0.92)))</f>
        <v/>
      </c>
      <c r="Q91" s="4" t="str">
        <f aca="false">IF($A91="","",IF(AND(I91&gt;0,P91&gt;0,I91&lt;=P91),"是","否"))</f>
        <v/>
      </c>
      <c r="R91" s="26"/>
      <c r="S91" s="7"/>
      <c r="T91" s="7"/>
      <c r="U91" s="7"/>
      <c r="V91" s="19" t="str">
        <f aca="false">IF($A91="","",IF(OR(AND(O91&gt;0,I91&lt;O91),AND(T91="False",S91&lt;0.8)),"是","否"))</f>
        <v/>
      </c>
      <c r="W91" s="19" t="str">
        <f aca="false">IF($A91="","",IF(AND(I91&lt;H91,S91&lt;0.8),"是","否"))</f>
        <v/>
      </c>
      <c r="X91" s="19" t="str">
        <f aca="false">IF($A91="","",IF(AND(R91&lt;60%,S91&gt;0.8,T91="True",U91="一卖"),"是","否"))</f>
        <v/>
      </c>
      <c r="Y91" s="19" t="str">
        <f aca="false">IF($A91="","",IF(D91="是","否",IF(N91&gt;LOOKUP(2,1/(账户总表!$A:$A&lt;&gt;""),账户总表!$O:$O),"是","否")))</f>
        <v/>
      </c>
      <c r="Z91" s="19" t="str">
        <f aca="false">IF($A91="","",IF(M91&gt;=0,"盈利","亏损"))</f>
        <v/>
      </c>
      <c r="AA91" s="19" t="str">
        <f aca="false">IF($A91="","",IF(OR(Q91="是",M91&lt;=-8%,V91="是",X91="是"),"卖出",IF(Y91="是","减仓",IF(W91="是","观察","持有"))))</f>
        <v/>
      </c>
      <c r="AB91" s="19" t="str">
        <f aca="false">IF($A91="","",IF(D91="是",IF(I91&lt;=E91*0.92,"立即卖出(WAIVED止损)","继续持有(WAIVED)"),IF(OR(M91&lt;=-10%,Q91="是"),"立即卖出",IF(OR(AA91="卖出",V91="是",X91="是"),"次日卖出",IF(AND(Y91="是",NOT(OR(Q91="是",M91&lt;=-8%,V91="是",X91="是"))),"减仓至上限",IF(W91="是","观察","继续持有"))))))</f>
        <v/>
      </c>
      <c r="AC91" s="19" t="str">
        <f aca="false">IF($A91="","",IF(Q91="是","触发止损",IF(M91&lt;=-8%,"固定止损",IF(V91="是","信号失效",IF(X91="是","确认一卖",IF(Y91="是","单股超限",IF(W91="是","DL_P弱化","规则内持有")))))))</f>
        <v/>
      </c>
      <c r="AD91" s="7"/>
    </row>
    <row r="92" customFormat="false" ht="15" hidden="false" customHeight="true" outlineLevel="0" collapsed="false">
      <c r="A92" s="5"/>
      <c r="B92" s="5"/>
      <c r="C92" s="5"/>
      <c r="D92" s="11"/>
      <c r="E92" s="14"/>
      <c r="F92" s="5"/>
      <c r="G92" s="17"/>
      <c r="H92" s="14"/>
      <c r="I92" s="14"/>
      <c r="J92" s="15" t="n">
        <f aca="false">IFERROR(G92*I92,0)</f>
        <v>0</v>
      </c>
      <c r="K92" s="15" t="n">
        <f aca="false">IFERROR(G92*H92,0)</f>
        <v>0</v>
      </c>
      <c r="L92" s="15" t="n">
        <f aca="false">IFERROR(J92-K92,0)</f>
        <v>0</v>
      </c>
      <c r="M92" s="16" t="n">
        <f aca="false">IFERROR((I92-H92)/H92,0)</f>
        <v>0</v>
      </c>
      <c r="N92" s="16" t="n">
        <f aca="false">IFERROR(J92/INDEX(账户总表!$B:$B,MATCH($A92,账户总表!$A:$A,0)),0)</f>
        <v>0</v>
      </c>
      <c r="O92" s="14"/>
      <c r="P92" s="15" t="str">
        <f aca="false">IF($A92="","",IF($D92="是",IF(E92&gt;0,E92*0.92,MAX(O92*0.98,H92*0.92)),MAX(O92*0.98,H92*0.92)))</f>
        <v/>
      </c>
      <c r="Q92" s="4" t="str">
        <f aca="false">IF($A92="","",IF(AND(I92&gt;0,P92&gt;0,I92&lt;=P92),"是","否"))</f>
        <v/>
      </c>
      <c r="R92" s="20"/>
      <c r="S92" s="5"/>
      <c r="T92" s="5"/>
      <c r="U92" s="5"/>
      <c r="V92" s="19" t="str">
        <f aca="false">IF($A92="","",IF(OR(AND(O92&gt;0,I92&lt;O92),AND(T92="False",S92&lt;0.8)),"是","否"))</f>
        <v/>
      </c>
      <c r="W92" s="19" t="str">
        <f aca="false">IF($A92="","",IF(AND(I92&lt;H92,S92&lt;0.8),"是","否"))</f>
        <v/>
      </c>
      <c r="X92" s="19" t="str">
        <f aca="false">IF($A92="","",IF(AND(R92&lt;60%,S92&gt;0.8,T92="True",U92="一卖"),"是","否"))</f>
        <v/>
      </c>
      <c r="Y92" s="19" t="str">
        <f aca="false">IF($A92="","",IF(D92="是","否",IF(N92&gt;LOOKUP(2,1/(账户总表!$A:$A&lt;&gt;""),账户总表!$O:$O),"是","否")))</f>
        <v/>
      </c>
      <c r="Z92" s="19" t="str">
        <f aca="false">IF($A92="","",IF(M92&gt;=0,"盈利","亏损"))</f>
        <v/>
      </c>
      <c r="AA92" s="19" t="str">
        <f aca="false">IF($A92="","",IF(OR(Q92="是",M92&lt;=-8%,V92="是",X92="是"),"卖出",IF(Y92="是","减仓",IF(W92="是","观察","持有"))))</f>
        <v/>
      </c>
      <c r="AB92" s="19" t="str">
        <f aca="false">IF($A92="","",IF(D92="是",IF(I92&lt;=E92*0.92,"立即卖出(WAIVED止损)","继续持有(WAIVED)"),IF(OR(M92&lt;=-10%,Q92="是"),"立即卖出",IF(OR(AA92="卖出",V92="是",X92="是"),"次日卖出",IF(AND(Y92="是",NOT(OR(Q92="是",M92&lt;=-8%,V92="是",X92="是"))),"减仓至上限",IF(W92="是","观察","继续持有"))))))</f>
        <v/>
      </c>
      <c r="AC92" s="19" t="str">
        <f aca="false">IF($A92="","",IF(Q92="是","触发止损",IF(M92&lt;=-8%,"固定止损",IF(V92="是","信号失效",IF(X92="是","确认一卖",IF(Y92="是","单股超限",IF(W92="是","DL_P弱化","规则内持有")))))))</f>
        <v/>
      </c>
      <c r="AD92" s="5"/>
    </row>
    <row r="93" customFormat="false" ht="15" hidden="false" customHeight="true" outlineLevel="0" collapsed="false">
      <c r="A93" s="7"/>
      <c r="B93" s="7"/>
      <c r="C93" s="7"/>
      <c r="D93" s="12"/>
      <c r="E93" s="24"/>
      <c r="F93" s="7"/>
      <c r="G93" s="25"/>
      <c r="H93" s="24"/>
      <c r="I93" s="24"/>
      <c r="J93" s="15" t="n">
        <f aca="false">IFERROR(G93*I93,0)</f>
        <v>0</v>
      </c>
      <c r="K93" s="15" t="n">
        <f aca="false">IFERROR(G93*H93,0)</f>
        <v>0</v>
      </c>
      <c r="L93" s="15" t="n">
        <f aca="false">IFERROR(J93-K93,0)</f>
        <v>0</v>
      </c>
      <c r="M93" s="16" t="n">
        <f aca="false">IFERROR((I93-H93)/H93,0)</f>
        <v>0</v>
      </c>
      <c r="N93" s="16" t="n">
        <f aca="false">IFERROR(J93/INDEX(账户总表!$B:$B,MATCH($A93,账户总表!$A:$A,0)),0)</f>
        <v>0</v>
      </c>
      <c r="O93" s="24"/>
      <c r="P93" s="15" t="str">
        <f aca="false">IF($A93="","",IF($D93="是",IF(E93&gt;0,E93*0.92,MAX(O93*0.98,H93*0.92)),MAX(O93*0.98,H93*0.92)))</f>
        <v/>
      </c>
      <c r="Q93" s="4" t="str">
        <f aca="false">IF($A93="","",IF(AND(I93&gt;0,P93&gt;0,I93&lt;=P93),"是","否"))</f>
        <v/>
      </c>
      <c r="R93" s="26"/>
      <c r="S93" s="7"/>
      <c r="T93" s="7"/>
      <c r="U93" s="7"/>
      <c r="V93" s="19" t="str">
        <f aca="false">IF($A93="","",IF(OR(AND(O93&gt;0,I93&lt;O93),AND(T93="False",S93&lt;0.8)),"是","否"))</f>
        <v/>
      </c>
      <c r="W93" s="19" t="str">
        <f aca="false">IF($A93="","",IF(AND(I93&lt;H93,S93&lt;0.8),"是","否"))</f>
        <v/>
      </c>
      <c r="X93" s="19" t="str">
        <f aca="false">IF($A93="","",IF(AND(R93&lt;60%,S93&gt;0.8,T93="True",U93="一卖"),"是","否"))</f>
        <v/>
      </c>
      <c r="Y93" s="19" t="str">
        <f aca="false">IF($A93="","",IF(D93="是","否",IF(N93&gt;LOOKUP(2,1/(账户总表!$A:$A&lt;&gt;""),账户总表!$O:$O),"是","否")))</f>
        <v/>
      </c>
      <c r="Z93" s="19" t="str">
        <f aca="false">IF($A93="","",IF(M93&gt;=0,"盈利","亏损"))</f>
        <v/>
      </c>
      <c r="AA93" s="19" t="str">
        <f aca="false">IF($A93="","",IF(OR(Q93="是",M93&lt;=-8%,V93="是",X93="是"),"卖出",IF(Y93="是","减仓",IF(W93="是","观察","持有"))))</f>
        <v/>
      </c>
      <c r="AB93" s="19" t="str">
        <f aca="false">IF($A93="","",IF(D93="是",IF(I93&lt;=E93*0.92,"立即卖出(WAIVED止损)","继续持有(WAIVED)"),IF(OR(M93&lt;=-10%,Q93="是"),"立即卖出",IF(OR(AA93="卖出",V93="是",X93="是"),"次日卖出",IF(AND(Y93="是",NOT(OR(Q93="是",M93&lt;=-8%,V93="是",X93="是"))),"减仓至上限",IF(W93="是","观察","继续持有"))))))</f>
        <v/>
      </c>
      <c r="AC93" s="19" t="str">
        <f aca="false">IF($A93="","",IF(Q93="是","触发止损",IF(M93&lt;=-8%,"固定止损",IF(V93="是","信号失效",IF(X93="是","确认一卖",IF(Y93="是","单股超限",IF(W93="是","DL_P弱化","规则内持有")))))))</f>
        <v/>
      </c>
      <c r="AD93" s="7"/>
    </row>
    <row r="94" customFormat="false" ht="15" hidden="false" customHeight="true" outlineLevel="0" collapsed="false">
      <c r="A94" s="5"/>
      <c r="B94" s="5"/>
      <c r="C94" s="5"/>
      <c r="D94" s="11"/>
      <c r="E94" s="14"/>
      <c r="F94" s="5"/>
      <c r="G94" s="17"/>
      <c r="H94" s="14"/>
      <c r="I94" s="14"/>
      <c r="J94" s="15" t="n">
        <f aca="false">IFERROR(G94*I94,0)</f>
        <v>0</v>
      </c>
      <c r="K94" s="15" t="n">
        <f aca="false">IFERROR(G94*H94,0)</f>
        <v>0</v>
      </c>
      <c r="L94" s="15" t="n">
        <f aca="false">IFERROR(J94-K94,0)</f>
        <v>0</v>
      </c>
      <c r="M94" s="16" t="n">
        <f aca="false">IFERROR((I94-H94)/H94,0)</f>
        <v>0</v>
      </c>
      <c r="N94" s="16" t="n">
        <f aca="false">IFERROR(J94/INDEX(账户总表!$B:$B,MATCH($A94,账户总表!$A:$A,0)),0)</f>
        <v>0</v>
      </c>
      <c r="O94" s="14"/>
      <c r="P94" s="15" t="str">
        <f aca="false">IF($A94="","",IF($D94="是",IF(E94&gt;0,E94*0.92,MAX(O94*0.98,H94*0.92)),MAX(O94*0.98,H94*0.92)))</f>
        <v/>
      </c>
      <c r="Q94" s="4" t="str">
        <f aca="false">IF($A94="","",IF(AND(I94&gt;0,P94&gt;0,I94&lt;=P94),"是","否"))</f>
        <v/>
      </c>
      <c r="R94" s="20"/>
      <c r="S94" s="5"/>
      <c r="T94" s="5"/>
      <c r="U94" s="5"/>
      <c r="V94" s="19" t="str">
        <f aca="false">IF($A94="","",IF(OR(AND(O94&gt;0,I94&lt;O94),AND(T94="False",S94&lt;0.8)),"是","否"))</f>
        <v/>
      </c>
      <c r="W94" s="19" t="str">
        <f aca="false">IF($A94="","",IF(AND(I94&lt;H94,S94&lt;0.8),"是","否"))</f>
        <v/>
      </c>
      <c r="X94" s="19" t="str">
        <f aca="false">IF($A94="","",IF(AND(R94&lt;60%,S94&gt;0.8,T94="True",U94="一卖"),"是","否"))</f>
        <v/>
      </c>
      <c r="Y94" s="19" t="str">
        <f aca="false">IF($A94="","",IF(D94="是","否",IF(N94&gt;LOOKUP(2,1/(账户总表!$A:$A&lt;&gt;""),账户总表!$O:$O),"是","否")))</f>
        <v/>
      </c>
      <c r="Z94" s="19" t="str">
        <f aca="false">IF($A94="","",IF(M94&gt;=0,"盈利","亏损"))</f>
        <v/>
      </c>
      <c r="AA94" s="19" t="str">
        <f aca="false">IF($A94="","",IF(OR(Q94="是",M94&lt;=-8%,V94="是",X94="是"),"卖出",IF(Y94="是","减仓",IF(W94="是","观察","持有"))))</f>
        <v/>
      </c>
      <c r="AB94" s="19" t="str">
        <f aca="false">IF($A94="","",IF(D94="是",IF(I94&lt;=E94*0.92,"立即卖出(WAIVED止损)","继续持有(WAIVED)"),IF(OR(M94&lt;=-10%,Q94="是"),"立即卖出",IF(OR(AA94="卖出",V94="是",X94="是"),"次日卖出",IF(AND(Y94="是",NOT(OR(Q94="是",M94&lt;=-8%,V94="是",X94="是"))),"减仓至上限",IF(W94="是","观察","继续持有"))))))</f>
        <v/>
      </c>
      <c r="AC94" s="19" t="str">
        <f aca="false">IF($A94="","",IF(Q94="是","触发止损",IF(M94&lt;=-8%,"固定止损",IF(V94="是","信号失效",IF(X94="是","确认一卖",IF(Y94="是","单股超限",IF(W94="是","DL_P弱化","规则内持有")))))))</f>
        <v/>
      </c>
      <c r="AD94" s="5"/>
    </row>
    <row r="95" customFormat="false" ht="15" hidden="false" customHeight="true" outlineLevel="0" collapsed="false">
      <c r="A95" s="7"/>
      <c r="B95" s="7"/>
      <c r="C95" s="7"/>
      <c r="D95" s="12"/>
      <c r="E95" s="24"/>
      <c r="F95" s="7"/>
      <c r="G95" s="25"/>
      <c r="H95" s="24"/>
      <c r="I95" s="24"/>
      <c r="J95" s="15" t="n">
        <f aca="false">IFERROR(G95*I95,0)</f>
        <v>0</v>
      </c>
      <c r="K95" s="15" t="n">
        <f aca="false">IFERROR(G95*H95,0)</f>
        <v>0</v>
      </c>
      <c r="L95" s="15" t="n">
        <f aca="false">IFERROR(J95-K95,0)</f>
        <v>0</v>
      </c>
      <c r="M95" s="16" t="n">
        <f aca="false">IFERROR((I95-H95)/H95,0)</f>
        <v>0</v>
      </c>
      <c r="N95" s="16" t="n">
        <f aca="false">IFERROR(J95/INDEX(账户总表!$B:$B,MATCH($A95,账户总表!$A:$A,0)),0)</f>
        <v>0</v>
      </c>
      <c r="O95" s="24"/>
      <c r="P95" s="15" t="str">
        <f aca="false">IF($A95="","",IF($D95="是",IF(E95&gt;0,E95*0.92,MAX(O95*0.98,H95*0.92)),MAX(O95*0.98,H95*0.92)))</f>
        <v/>
      </c>
      <c r="Q95" s="4" t="str">
        <f aca="false">IF($A95="","",IF(AND(I95&gt;0,P95&gt;0,I95&lt;=P95),"是","否"))</f>
        <v/>
      </c>
      <c r="R95" s="26"/>
      <c r="S95" s="7"/>
      <c r="T95" s="7"/>
      <c r="U95" s="7"/>
      <c r="V95" s="19" t="str">
        <f aca="false">IF($A95="","",IF(OR(AND(O95&gt;0,I95&lt;O95),AND(T95="False",S95&lt;0.8)),"是","否"))</f>
        <v/>
      </c>
      <c r="W95" s="19" t="str">
        <f aca="false">IF($A95="","",IF(AND(I95&lt;H95,S95&lt;0.8),"是","否"))</f>
        <v/>
      </c>
      <c r="X95" s="19" t="str">
        <f aca="false">IF($A95="","",IF(AND(R95&lt;60%,S95&gt;0.8,T95="True",U95="一卖"),"是","否"))</f>
        <v/>
      </c>
      <c r="Y95" s="19" t="str">
        <f aca="false">IF($A95="","",IF(D95="是","否",IF(N95&gt;LOOKUP(2,1/(账户总表!$A:$A&lt;&gt;""),账户总表!$O:$O),"是","否")))</f>
        <v/>
      </c>
      <c r="Z95" s="19" t="str">
        <f aca="false">IF($A95="","",IF(M95&gt;=0,"盈利","亏损"))</f>
        <v/>
      </c>
      <c r="AA95" s="19" t="str">
        <f aca="false">IF($A95="","",IF(OR(Q95="是",M95&lt;=-8%,V95="是",X95="是"),"卖出",IF(Y95="是","减仓",IF(W95="是","观察","持有"))))</f>
        <v/>
      </c>
      <c r="AB95" s="19" t="str">
        <f aca="false">IF($A95="","",IF(D95="是",IF(I95&lt;=E95*0.92,"立即卖出(WAIVED止损)","继续持有(WAIVED)"),IF(OR(M95&lt;=-10%,Q95="是"),"立即卖出",IF(OR(AA95="卖出",V95="是",X95="是"),"次日卖出",IF(AND(Y95="是",NOT(OR(Q95="是",M95&lt;=-8%,V95="是",X95="是"))),"减仓至上限",IF(W95="是","观察","继续持有"))))))</f>
        <v/>
      </c>
      <c r="AC95" s="19" t="str">
        <f aca="false">IF($A95="","",IF(Q95="是","触发止损",IF(M95&lt;=-8%,"固定止损",IF(V95="是","信号失效",IF(X95="是","确认一卖",IF(Y95="是","单股超限",IF(W95="是","DL_P弱化","规则内持有")))))))</f>
        <v/>
      </c>
      <c r="AD95" s="7"/>
    </row>
    <row r="96" customFormat="false" ht="15" hidden="false" customHeight="true" outlineLevel="0" collapsed="false">
      <c r="A96" s="5"/>
      <c r="B96" s="5"/>
      <c r="C96" s="5"/>
      <c r="D96" s="11"/>
      <c r="E96" s="14"/>
      <c r="F96" s="5"/>
      <c r="G96" s="17"/>
      <c r="H96" s="14"/>
      <c r="I96" s="14"/>
      <c r="J96" s="15" t="n">
        <f aca="false">IFERROR(G96*I96,0)</f>
        <v>0</v>
      </c>
      <c r="K96" s="15" t="n">
        <f aca="false">IFERROR(G96*H96,0)</f>
        <v>0</v>
      </c>
      <c r="L96" s="15" t="n">
        <f aca="false">IFERROR(J96-K96,0)</f>
        <v>0</v>
      </c>
      <c r="M96" s="16" t="n">
        <f aca="false">IFERROR((I96-H96)/H96,0)</f>
        <v>0</v>
      </c>
      <c r="N96" s="16" t="n">
        <f aca="false">IFERROR(J96/INDEX(账户总表!$B:$B,MATCH($A96,账户总表!$A:$A,0)),0)</f>
        <v>0</v>
      </c>
      <c r="O96" s="14"/>
      <c r="P96" s="15" t="str">
        <f aca="false">IF($A96="","",IF($D96="是",IF(E96&gt;0,E96*0.92,MAX(O96*0.98,H96*0.92)),MAX(O96*0.98,H96*0.92)))</f>
        <v/>
      </c>
      <c r="Q96" s="4" t="str">
        <f aca="false">IF($A96="","",IF(AND(I96&gt;0,P96&gt;0,I96&lt;=P96),"是","否"))</f>
        <v/>
      </c>
      <c r="R96" s="20"/>
      <c r="S96" s="5"/>
      <c r="T96" s="5"/>
      <c r="U96" s="5"/>
      <c r="V96" s="19" t="str">
        <f aca="false">IF($A96="","",IF(OR(AND(O96&gt;0,I96&lt;O96),AND(T96="False",S96&lt;0.8)),"是","否"))</f>
        <v/>
      </c>
      <c r="W96" s="19" t="str">
        <f aca="false">IF($A96="","",IF(AND(I96&lt;H96,S96&lt;0.8),"是","否"))</f>
        <v/>
      </c>
      <c r="X96" s="19" t="str">
        <f aca="false">IF($A96="","",IF(AND(R96&lt;60%,S96&gt;0.8,T96="True",U96="一卖"),"是","否"))</f>
        <v/>
      </c>
      <c r="Y96" s="19" t="str">
        <f aca="false">IF($A96="","",IF(D96="是","否",IF(N96&gt;LOOKUP(2,1/(账户总表!$A:$A&lt;&gt;""),账户总表!$O:$O),"是","否")))</f>
        <v/>
      </c>
      <c r="Z96" s="19" t="str">
        <f aca="false">IF($A96="","",IF(M96&gt;=0,"盈利","亏损"))</f>
        <v/>
      </c>
      <c r="AA96" s="19" t="str">
        <f aca="false">IF($A96="","",IF(OR(Q96="是",M96&lt;=-8%,V96="是",X96="是"),"卖出",IF(Y96="是","减仓",IF(W96="是","观察","持有"))))</f>
        <v/>
      </c>
      <c r="AB96" s="19" t="str">
        <f aca="false">IF($A96="","",IF(D96="是",IF(I96&lt;=E96*0.92,"立即卖出(WAIVED止损)","继续持有(WAIVED)"),IF(OR(M96&lt;=-10%,Q96="是"),"立即卖出",IF(OR(AA96="卖出",V96="是",X96="是"),"次日卖出",IF(AND(Y96="是",NOT(OR(Q96="是",M96&lt;=-8%,V96="是",X96="是"))),"减仓至上限",IF(W96="是","观察","继续持有"))))))</f>
        <v/>
      </c>
      <c r="AC96" s="19" t="str">
        <f aca="false">IF($A96="","",IF(Q96="是","触发止损",IF(M96&lt;=-8%,"固定止损",IF(V96="是","信号失效",IF(X96="是","确认一卖",IF(Y96="是","单股超限",IF(W96="是","DL_P弱化","规则内持有")))))))</f>
        <v/>
      </c>
      <c r="AD96" s="5"/>
    </row>
    <row r="97" customFormat="false" ht="15" hidden="false" customHeight="true" outlineLevel="0" collapsed="false">
      <c r="A97" s="7"/>
      <c r="B97" s="7"/>
      <c r="C97" s="7"/>
      <c r="D97" s="12"/>
      <c r="E97" s="24"/>
      <c r="F97" s="7"/>
      <c r="G97" s="25"/>
      <c r="H97" s="24"/>
      <c r="I97" s="24"/>
      <c r="J97" s="15" t="n">
        <f aca="false">IFERROR(G97*I97,0)</f>
        <v>0</v>
      </c>
      <c r="K97" s="15" t="n">
        <f aca="false">IFERROR(G97*H97,0)</f>
        <v>0</v>
      </c>
      <c r="L97" s="15" t="n">
        <f aca="false">IFERROR(J97-K97,0)</f>
        <v>0</v>
      </c>
      <c r="M97" s="16" t="n">
        <f aca="false">IFERROR((I97-H97)/H97,0)</f>
        <v>0</v>
      </c>
      <c r="N97" s="16" t="n">
        <f aca="false">IFERROR(J97/INDEX(账户总表!$B:$B,MATCH($A97,账户总表!$A:$A,0)),0)</f>
        <v>0</v>
      </c>
      <c r="O97" s="24"/>
      <c r="P97" s="15" t="str">
        <f aca="false">IF($A97="","",IF($D97="是",IF(E97&gt;0,E97*0.92,MAX(O97*0.98,H97*0.92)),MAX(O97*0.98,H97*0.92)))</f>
        <v/>
      </c>
      <c r="Q97" s="4" t="str">
        <f aca="false">IF($A97="","",IF(AND(I97&gt;0,P97&gt;0,I97&lt;=P97),"是","否"))</f>
        <v/>
      </c>
      <c r="R97" s="26"/>
      <c r="S97" s="7"/>
      <c r="T97" s="7"/>
      <c r="U97" s="7"/>
      <c r="V97" s="19" t="str">
        <f aca="false">IF($A97="","",IF(OR(AND(O97&gt;0,I97&lt;O97),AND(T97="False",S97&lt;0.8)),"是","否"))</f>
        <v/>
      </c>
      <c r="W97" s="19" t="str">
        <f aca="false">IF($A97="","",IF(AND(I97&lt;H97,S97&lt;0.8),"是","否"))</f>
        <v/>
      </c>
      <c r="X97" s="19" t="str">
        <f aca="false">IF($A97="","",IF(AND(R97&lt;60%,S97&gt;0.8,T97="True",U97="一卖"),"是","否"))</f>
        <v/>
      </c>
      <c r="Y97" s="19" t="str">
        <f aca="false">IF($A97="","",IF(D97="是","否",IF(N97&gt;LOOKUP(2,1/(账户总表!$A:$A&lt;&gt;""),账户总表!$O:$O),"是","否")))</f>
        <v/>
      </c>
      <c r="Z97" s="19" t="str">
        <f aca="false">IF($A97="","",IF(M97&gt;=0,"盈利","亏损"))</f>
        <v/>
      </c>
      <c r="AA97" s="19" t="str">
        <f aca="false">IF($A97="","",IF(OR(Q97="是",M97&lt;=-8%,V97="是",X97="是"),"卖出",IF(Y97="是","减仓",IF(W97="是","观察","持有"))))</f>
        <v/>
      </c>
      <c r="AB97" s="19" t="str">
        <f aca="false">IF($A97="","",IF(D97="是",IF(I97&lt;=E97*0.92,"立即卖出(WAIVED止损)","继续持有(WAIVED)"),IF(OR(M97&lt;=-10%,Q97="是"),"立即卖出",IF(OR(AA97="卖出",V97="是",X97="是"),"次日卖出",IF(AND(Y97="是",NOT(OR(Q97="是",M97&lt;=-8%,V97="是",X97="是"))),"减仓至上限",IF(W97="是","观察","继续持有"))))))</f>
        <v/>
      </c>
      <c r="AC97" s="19" t="str">
        <f aca="false">IF($A97="","",IF(Q97="是","触发止损",IF(M97&lt;=-8%,"固定止损",IF(V97="是","信号失效",IF(X97="是","确认一卖",IF(Y97="是","单股超限",IF(W97="是","DL_P弱化","规则内持有")))))))</f>
        <v/>
      </c>
      <c r="AD97" s="7"/>
    </row>
    <row r="98" customFormat="false" ht="15" hidden="false" customHeight="true" outlineLevel="0" collapsed="false">
      <c r="A98" s="5"/>
      <c r="B98" s="5"/>
      <c r="C98" s="5"/>
      <c r="D98" s="11"/>
      <c r="E98" s="14"/>
      <c r="F98" s="5"/>
      <c r="G98" s="17"/>
      <c r="H98" s="14"/>
      <c r="I98" s="14"/>
      <c r="J98" s="15" t="n">
        <f aca="false">IFERROR(G98*I98,0)</f>
        <v>0</v>
      </c>
      <c r="K98" s="15" t="n">
        <f aca="false">IFERROR(G98*H98,0)</f>
        <v>0</v>
      </c>
      <c r="L98" s="15" t="n">
        <f aca="false">IFERROR(J98-K98,0)</f>
        <v>0</v>
      </c>
      <c r="M98" s="16" t="n">
        <f aca="false">IFERROR((I98-H98)/H98,0)</f>
        <v>0</v>
      </c>
      <c r="N98" s="16" t="n">
        <f aca="false">IFERROR(J98/INDEX(账户总表!$B:$B,MATCH($A98,账户总表!$A:$A,0)),0)</f>
        <v>0</v>
      </c>
      <c r="O98" s="14"/>
      <c r="P98" s="15" t="str">
        <f aca="false">IF($A98="","",IF($D98="是",IF(E98&gt;0,E98*0.92,MAX(O98*0.98,H98*0.92)),MAX(O98*0.98,H98*0.92)))</f>
        <v/>
      </c>
      <c r="Q98" s="4" t="str">
        <f aca="false">IF($A98="","",IF(AND(I98&gt;0,P98&gt;0,I98&lt;=P98),"是","否"))</f>
        <v/>
      </c>
      <c r="R98" s="20"/>
      <c r="S98" s="5"/>
      <c r="T98" s="5"/>
      <c r="U98" s="5"/>
      <c r="V98" s="19" t="str">
        <f aca="false">IF($A98="","",IF(OR(AND(O98&gt;0,I98&lt;O98),AND(T98="False",S98&lt;0.8)),"是","否"))</f>
        <v/>
      </c>
      <c r="W98" s="19" t="str">
        <f aca="false">IF($A98="","",IF(AND(I98&lt;H98,S98&lt;0.8),"是","否"))</f>
        <v/>
      </c>
      <c r="X98" s="19" t="str">
        <f aca="false">IF($A98="","",IF(AND(R98&lt;60%,S98&gt;0.8,T98="True",U98="一卖"),"是","否"))</f>
        <v/>
      </c>
      <c r="Y98" s="19" t="str">
        <f aca="false">IF($A98="","",IF(D98="是","否",IF(N98&gt;LOOKUP(2,1/(账户总表!$A:$A&lt;&gt;""),账户总表!$O:$O),"是","否")))</f>
        <v/>
      </c>
      <c r="Z98" s="19" t="str">
        <f aca="false">IF($A98="","",IF(M98&gt;=0,"盈利","亏损"))</f>
        <v/>
      </c>
      <c r="AA98" s="19" t="str">
        <f aca="false">IF($A98="","",IF(OR(Q98="是",M98&lt;=-8%,V98="是",X98="是"),"卖出",IF(Y98="是","减仓",IF(W98="是","观察","持有"))))</f>
        <v/>
      </c>
      <c r="AB98" s="19" t="str">
        <f aca="false">IF($A98="","",IF(D98="是",IF(I98&lt;=E98*0.92,"立即卖出(WAIVED止损)","继续持有(WAIVED)"),IF(OR(M98&lt;=-10%,Q98="是"),"立即卖出",IF(OR(AA98="卖出",V98="是",X98="是"),"次日卖出",IF(AND(Y98="是",NOT(OR(Q98="是",M98&lt;=-8%,V98="是",X98="是"))),"减仓至上限",IF(W98="是","观察","继续持有"))))))</f>
        <v/>
      </c>
      <c r="AC98" s="19" t="str">
        <f aca="false">IF($A98="","",IF(Q98="是","触发止损",IF(M98&lt;=-8%,"固定止损",IF(V98="是","信号失效",IF(X98="是","确认一卖",IF(Y98="是","单股超限",IF(W98="是","DL_P弱化","规则内持有")))))))</f>
        <v/>
      </c>
      <c r="AD98" s="5"/>
    </row>
    <row r="99" customFormat="false" ht="15" hidden="false" customHeight="true" outlineLevel="0" collapsed="false">
      <c r="A99" s="7"/>
      <c r="B99" s="7"/>
      <c r="C99" s="7"/>
      <c r="D99" s="12"/>
      <c r="E99" s="24"/>
      <c r="F99" s="7"/>
      <c r="G99" s="25"/>
      <c r="H99" s="24"/>
      <c r="I99" s="24"/>
      <c r="J99" s="15" t="n">
        <f aca="false">IFERROR(G99*I99,0)</f>
        <v>0</v>
      </c>
      <c r="K99" s="15" t="n">
        <f aca="false">IFERROR(G99*H99,0)</f>
        <v>0</v>
      </c>
      <c r="L99" s="15" t="n">
        <f aca="false">IFERROR(J99-K99,0)</f>
        <v>0</v>
      </c>
      <c r="M99" s="16" t="n">
        <f aca="false">IFERROR((I99-H99)/H99,0)</f>
        <v>0</v>
      </c>
      <c r="N99" s="16" t="n">
        <f aca="false">IFERROR(J99/INDEX(账户总表!$B:$B,MATCH($A99,账户总表!$A:$A,0)),0)</f>
        <v>0</v>
      </c>
      <c r="O99" s="24"/>
      <c r="P99" s="15" t="str">
        <f aca="false">IF($A99="","",IF($D99="是",IF(E99&gt;0,E99*0.92,MAX(O99*0.98,H99*0.92)),MAX(O99*0.98,H99*0.92)))</f>
        <v/>
      </c>
      <c r="Q99" s="4" t="str">
        <f aca="false">IF($A99="","",IF(AND(I99&gt;0,P99&gt;0,I99&lt;=P99),"是","否"))</f>
        <v/>
      </c>
      <c r="R99" s="26"/>
      <c r="S99" s="7"/>
      <c r="T99" s="7"/>
      <c r="U99" s="7"/>
      <c r="V99" s="19" t="str">
        <f aca="false">IF($A99="","",IF(OR(AND(O99&gt;0,I99&lt;O99),AND(T99="False",S99&lt;0.8)),"是","否"))</f>
        <v/>
      </c>
      <c r="W99" s="19" t="str">
        <f aca="false">IF($A99="","",IF(AND(I99&lt;H99,S99&lt;0.8),"是","否"))</f>
        <v/>
      </c>
      <c r="X99" s="19" t="str">
        <f aca="false">IF($A99="","",IF(AND(R99&lt;60%,S99&gt;0.8,T99="True",U99="一卖"),"是","否"))</f>
        <v/>
      </c>
      <c r="Y99" s="19" t="str">
        <f aca="false">IF($A99="","",IF(D99="是","否",IF(N99&gt;LOOKUP(2,1/(账户总表!$A:$A&lt;&gt;""),账户总表!$O:$O),"是","否")))</f>
        <v/>
      </c>
      <c r="Z99" s="19" t="str">
        <f aca="false">IF($A99="","",IF(M99&gt;=0,"盈利","亏损"))</f>
        <v/>
      </c>
      <c r="AA99" s="19" t="str">
        <f aca="false">IF($A99="","",IF(OR(Q99="是",M99&lt;=-8%,V99="是",X99="是"),"卖出",IF(Y99="是","减仓",IF(W99="是","观察","持有"))))</f>
        <v/>
      </c>
      <c r="AB99" s="19" t="str">
        <f aca="false">IF($A99="","",IF(D99="是",IF(I99&lt;=E99*0.92,"立即卖出(WAIVED止损)","继续持有(WAIVED)"),IF(OR(M99&lt;=-10%,Q99="是"),"立即卖出",IF(OR(AA99="卖出",V99="是",X99="是"),"次日卖出",IF(AND(Y99="是",NOT(OR(Q99="是",M99&lt;=-8%,V99="是",X99="是"))),"减仓至上限",IF(W99="是","观察","继续持有"))))))</f>
        <v/>
      </c>
      <c r="AC99" s="19" t="str">
        <f aca="false">IF($A99="","",IF(Q99="是","触发止损",IF(M99&lt;=-8%,"固定止损",IF(V99="是","信号失效",IF(X99="是","确认一卖",IF(Y99="是","单股超限",IF(W99="是","DL_P弱化","规则内持有")))))))</f>
        <v/>
      </c>
      <c r="AD99" s="7"/>
    </row>
    <row r="100" customFormat="false" ht="15" hidden="false" customHeight="true" outlineLevel="0" collapsed="false">
      <c r="A100" s="5"/>
      <c r="B100" s="5"/>
      <c r="C100" s="5"/>
      <c r="D100" s="11"/>
      <c r="E100" s="14"/>
      <c r="F100" s="5"/>
      <c r="G100" s="17"/>
      <c r="H100" s="14"/>
      <c r="I100" s="14"/>
      <c r="J100" s="15" t="n">
        <f aca="false">IFERROR(G100*I100,0)</f>
        <v>0</v>
      </c>
      <c r="K100" s="15" t="n">
        <f aca="false">IFERROR(G100*H100,0)</f>
        <v>0</v>
      </c>
      <c r="L100" s="15" t="n">
        <f aca="false">IFERROR(J100-K100,0)</f>
        <v>0</v>
      </c>
      <c r="M100" s="16" t="n">
        <f aca="false">IFERROR((I100-H100)/H100,0)</f>
        <v>0</v>
      </c>
      <c r="N100" s="16" t="n">
        <f aca="false">IFERROR(J100/INDEX(账户总表!$B:$B,MATCH($A100,账户总表!$A:$A,0)),0)</f>
        <v>0</v>
      </c>
      <c r="O100" s="14"/>
      <c r="P100" s="15" t="str">
        <f aca="false">IF($A100="","",IF($D100="是",IF(E100&gt;0,E100*0.92,MAX(O100*0.98,H100*0.92)),MAX(O100*0.98,H100*0.92)))</f>
        <v/>
      </c>
      <c r="Q100" s="4" t="str">
        <f aca="false">IF($A100="","",IF(AND(I100&gt;0,P100&gt;0,I100&lt;=P100),"是","否"))</f>
        <v/>
      </c>
      <c r="R100" s="20"/>
      <c r="S100" s="5"/>
      <c r="T100" s="5"/>
      <c r="U100" s="5"/>
      <c r="V100" s="19" t="str">
        <f aca="false">IF($A100="","",IF(OR(AND(O100&gt;0,I100&lt;O100),AND(T100="False",S100&lt;0.8)),"是","否"))</f>
        <v/>
      </c>
      <c r="W100" s="19" t="str">
        <f aca="false">IF($A100="","",IF(AND(I100&lt;H100,S100&lt;0.8),"是","否"))</f>
        <v/>
      </c>
      <c r="X100" s="19" t="str">
        <f aca="false">IF($A100="","",IF(AND(R100&lt;60%,S100&gt;0.8,T100="True",U100="一卖"),"是","否"))</f>
        <v/>
      </c>
      <c r="Y100" s="19" t="str">
        <f aca="false">IF($A100="","",IF(D100="是","否",IF(N100&gt;LOOKUP(2,1/(账户总表!$A:$A&lt;&gt;""),账户总表!$O:$O),"是","否")))</f>
        <v/>
      </c>
      <c r="Z100" s="19" t="str">
        <f aca="false">IF($A100="","",IF(M100&gt;=0,"盈利","亏损"))</f>
        <v/>
      </c>
      <c r="AA100" s="19" t="str">
        <f aca="false">IF($A100="","",IF(OR(Q100="是",M100&lt;=-8%,V100="是",X100="是"),"卖出",IF(Y100="是","减仓",IF(W100="是","观察","持有"))))</f>
        <v/>
      </c>
      <c r="AB100" s="19" t="str">
        <f aca="false">IF($A100="","",IF(D100="是",IF(I100&lt;=E100*0.92,"立即卖出(WAIVED止损)","继续持有(WAIVED)"),IF(OR(M100&lt;=-10%,Q100="是"),"立即卖出",IF(OR(AA100="卖出",V100="是",X100="是"),"次日卖出",IF(AND(Y100="是",NOT(OR(Q100="是",M100&lt;=-8%,V100="是",X100="是"))),"减仓至上限",IF(W100="是","观察","继续持有"))))))</f>
        <v/>
      </c>
      <c r="AC100" s="19" t="str">
        <f aca="false">IF($A100="","",IF(Q100="是","触发止损",IF(M100&lt;=-8%,"固定止损",IF(V100="是","信号失效",IF(X100="是","确认一卖",IF(Y100="是","单股超限",IF(W100="是","DL_P弱化","规则内持有")))))))</f>
        <v/>
      </c>
      <c r="AD100" s="5"/>
    </row>
    <row r="101" customFormat="false" ht="15" hidden="false" customHeight="true" outlineLevel="0" collapsed="false">
      <c r="A101" s="7"/>
      <c r="B101" s="7"/>
      <c r="C101" s="7"/>
      <c r="D101" s="12"/>
      <c r="E101" s="24"/>
      <c r="F101" s="7"/>
      <c r="G101" s="25"/>
      <c r="H101" s="24"/>
      <c r="I101" s="24"/>
      <c r="J101" s="15" t="n">
        <f aca="false">IFERROR(G101*I101,0)</f>
        <v>0</v>
      </c>
      <c r="K101" s="15" t="n">
        <f aca="false">IFERROR(G101*H101,0)</f>
        <v>0</v>
      </c>
      <c r="L101" s="15" t="n">
        <f aca="false">IFERROR(J101-K101,0)</f>
        <v>0</v>
      </c>
      <c r="M101" s="16" t="n">
        <f aca="false">IFERROR((I101-H101)/H101,0)</f>
        <v>0</v>
      </c>
      <c r="N101" s="16" t="n">
        <f aca="false">IFERROR(J101/INDEX(账户总表!$B:$B,MATCH($A101,账户总表!$A:$A,0)),0)</f>
        <v>0</v>
      </c>
      <c r="O101" s="24"/>
      <c r="P101" s="15" t="str">
        <f aca="false">IF($A101="","",IF($D101="是",IF(E101&gt;0,E101*0.92,MAX(O101*0.98,H101*0.92)),MAX(O101*0.98,H101*0.92)))</f>
        <v/>
      </c>
      <c r="Q101" s="4" t="str">
        <f aca="false">IF($A101="","",IF(AND(I101&gt;0,P101&gt;0,I101&lt;=P101),"是","否"))</f>
        <v/>
      </c>
      <c r="R101" s="26"/>
      <c r="S101" s="7"/>
      <c r="T101" s="7"/>
      <c r="U101" s="7"/>
      <c r="V101" s="19" t="str">
        <f aca="false">IF($A101="","",IF(OR(AND(O101&gt;0,I101&lt;O101),AND(T101="False",S101&lt;0.8)),"是","否"))</f>
        <v/>
      </c>
      <c r="W101" s="19" t="str">
        <f aca="false">IF($A101="","",IF(AND(I101&lt;H101,S101&lt;0.8),"是","否"))</f>
        <v/>
      </c>
      <c r="X101" s="19" t="str">
        <f aca="false">IF($A101="","",IF(AND(R101&lt;60%,S101&gt;0.8,T101="True",U101="一卖"),"是","否"))</f>
        <v/>
      </c>
      <c r="Y101" s="19" t="str">
        <f aca="false">IF($A101="","",IF(D101="是","否",IF(N101&gt;LOOKUP(2,1/(账户总表!$A:$A&lt;&gt;""),账户总表!$O:$O),"是","否")))</f>
        <v/>
      </c>
      <c r="Z101" s="19" t="str">
        <f aca="false">IF($A101="","",IF(M101&gt;=0,"盈利","亏损"))</f>
        <v/>
      </c>
      <c r="AA101" s="19" t="str">
        <f aca="false">IF($A101="","",IF(OR(Q101="是",M101&lt;=-8%,V101="是",X101="是"),"卖出",IF(Y101="是","减仓",IF(W101="是","观察","持有"))))</f>
        <v/>
      </c>
      <c r="AB101" s="19" t="str">
        <f aca="false">IF($A101="","",IF(D101="是",IF(I101&lt;=E101*0.92,"立即卖出(WAIVED止损)","继续持有(WAIVED)"),IF(OR(M101&lt;=-10%,Q101="是"),"立即卖出",IF(OR(AA101="卖出",V101="是",X101="是"),"次日卖出",IF(AND(Y101="是",NOT(OR(Q101="是",M101&lt;=-8%,V101="是",X101="是"))),"减仓至上限",IF(W101="是","观察","继续持有"))))))</f>
        <v/>
      </c>
      <c r="AC101" s="19" t="str">
        <f aca="false">IF($A101="","",IF(Q101="是","触发止损",IF(M101&lt;=-8%,"固定止损",IF(V101="是","信号失效",IF(X101="是","确认一卖",IF(Y101="是","单股超限",IF(W101="是","DL_P弱化","规则内持有")))))))</f>
        <v/>
      </c>
      <c r="AD101" s="7"/>
    </row>
    <row r="102" customFormat="false" ht="15" hidden="false" customHeight="true" outlineLevel="0" collapsed="false">
      <c r="A102" s="5"/>
      <c r="B102" s="5"/>
      <c r="C102" s="5"/>
      <c r="D102" s="11"/>
      <c r="E102" s="14"/>
      <c r="F102" s="5"/>
      <c r="G102" s="17"/>
      <c r="H102" s="14"/>
      <c r="I102" s="14"/>
      <c r="J102" s="15" t="n">
        <f aca="false">IFERROR(G102*I102,0)</f>
        <v>0</v>
      </c>
      <c r="K102" s="15" t="n">
        <f aca="false">IFERROR(G102*H102,0)</f>
        <v>0</v>
      </c>
      <c r="L102" s="15" t="n">
        <f aca="false">IFERROR(J102-K102,0)</f>
        <v>0</v>
      </c>
      <c r="M102" s="16" t="n">
        <f aca="false">IFERROR((I102-H102)/H102,0)</f>
        <v>0</v>
      </c>
      <c r="N102" s="16" t="n">
        <f aca="false">IFERROR(J102/INDEX(账户总表!$B:$B,MATCH($A102,账户总表!$A:$A,0)),0)</f>
        <v>0</v>
      </c>
      <c r="O102" s="14"/>
      <c r="P102" s="15" t="str">
        <f aca="false">IF($A102="","",IF($D102="是",IF(E102&gt;0,E102*0.92,MAX(O102*0.98,H102*0.92)),MAX(O102*0.98,H102*0.92)))</f>
        <v/>
      </c>
      <c r="Q102" s="4" t="str">
        <f aca="false">IF($A102="","",IF(AND(I102&gt;0,P102&gt;0,I102&lt;=P102),"是","否"))</f>
        <v/>
      </c>
      <c r="R102" s="20"/>
      <c r="S102" s="5"/>
      <c r="T102" s="5"/>
      <c r="U102" s="5"/>
      <c r="V102" s="19" t="str">
        <f aca="false">IF($A102="","",IF(OR(AND(O102&gt;0,I102&lt;O102),AND(T102="False",S102&lt;0.8)),"是","否"))</f>
        <v/>
      </c>
      <c r="W102" s="19" t="str">
        <f aca="false">IF($A102="","",IF(AND(I102&lt;H102,S102&lt;0.8),"是","否"))</f>
        <v/>
      </c>
      <c r="X102" s="19" t="str">
        <f aca="false">IF($A102="","",IF(AND(R102&lt;60%,S102&gt;0.8,T102="True",U102="一卖"),"是","否"))</f>
        <v/>
      </c>
      <c r="Y102" s="19" t="str">
        <f aca="false">IF($A102="","",IF(D102="是","否",IF(N102&gt;LOOKUP(2,1/(账户总表!$A:$A&lt;&gt;""),账户总表!$O:$O),"是","否")))</f>
        <v/>
      </c>
      <c r="Z102" s="19" t="str">
        <f aca="false">IF($A102="","",IF(M102&gt;=0,"盈利","亏损"))</f>
        <v/>
      </c>
      <c r="AA102" s="19" t="str">
        <f aca="false">IF($A102="","",IF(OR(Q102="是",M102&lt;=-8%,V102="是",X102="是"),"卖出",IF(Y102="是","减仓",IF(W102="是","观察","持有"))))</f>
        <v/>
      </c>
      <c r="AB102" s="19" t="str">
        <f aca="false">IF($A102="","",IF(D102="是",IF(I102&lt;=E102*0.92,"立即卖出(WAIVED止损)","继续持有(WAIVED)"),IF(OR(M102&lt;=-10%,Q102="是"),"立即卖出",IF(OR(AA102="卖出",V102="是",X102="是"),"次日卖出",IF(AND(Y102="是",NOT(OR(Q102="是",M102&lt;=-8%,V102="是",X102="是"))),"减仓至上限",IF(W102="是","观察","继续持有"))))))</f>
        <v/>
      </c>
      <c r="AC102" s="19" t="str">
        <f aca="false">IF($A102="","",IF(Q102="是","触发止损",IF(M102&lt;=-8%,"固定止损",IF(V102="是","信号失效",IF(X102="是","确认一卖",IF(Y102="是","单股超限",IF(W102="是","DL_P弱化","规则内持有")))))))</f>
        <v/>
      </c>
      <c r="AD102" s="5"/>
    </row>
    <row r="103" customFormat="false" ht="15" hidden="false" customHeight="true" outlineLevel="0" collapsed="false">
      <c r="A103" s="7"/>
      <c r="B103" s="7"/>
      <c r="C103" s="7"/>
      <c r="D103" s="12"/>
      <c r="E103" s="24"/>
      <c r="F103" s="7"/>
      <c r="G103" s="25"/>
      <c r="H103" s="24"/>
      <c r="I103" s="24"/>
      <c r="J103" s="15" t="n">
        <f aca="false">IFERROR(G103*I103,0)</f>
        <v>0</v>
      </c>
      <c r="K103" s="15" t="n">
        <f aca="false">IFERROR(G103*H103,0)</f>
        <v>0</v>
      </c>
      <c r="L103" s="15" t="n">
        <f aca="false">IFERROR(J103-K103,0)</f>
        <v>0</v>
      </c>
      <c r="M103" s="16" t="n">
        <f aca="false">IFERROR((I103-H103)/H103,0)</f>
        <v>0</v>
      </c>
      <c r="N103" s="16" t="n">
        <f aca="false">IFERROR(J103/INDEX(账户总表!$B:$B,MATCH($A103,账户总表!$A:$A,0)),0)</f>
        <v>0</v>
      </c>
      <c r="O103" s="24"/>
      <c r="P103" s="15" t="str">
        <f aca="false">IF($A103="","",IF($D103="是",IF(E103&gt;0,E103*0.92,MAX(O103*0.98,H103*0.92)),MAX(O103*0.98,H103*0.92)))</f>
        <v/>
      </c>
      <c r="Q103" s="4" t="str">
        <f aca="false">IF($A103="","",IF(AND(I103&gt;0,P103&gt;0,I103&lt;=P103),"是","否"))</f>
        <v/>
      </c>
      <c r="R103" s="26"/>
      <c r="S103" s="7"/>
      <c r="T103" s="7"/>
      <c r="U103" s="7"/>
      <c r="V103" s="19" t="str">
        <f aca="false">IF($A103="","",IF(OR(AND(O103&gt;0,I103&lt;O103),AND(T103="False",S103&lt;0.8)),"是","否"))</f>
        <v/>
      </c>
      <c r="W103" s="19" t="str">
        <f aca="false">IF($A103="","",IF(AND(I103&lt;H103,S103&lt;0.8),"是","否"))</f>
        <v/>
      </c>
      <c r="X103" s="19" t="str">
        <f aca="false">IF($A103="","",IF(AND(R103&lt;60%,S103&gt;0.8,T103="True",U103="一卖"),"是","否"))</f>
        <v/>
      </c>
      <c r="Y103" s="19" t="str">
        <f aca="false">IF($A103="","",IF(D103="是","否",IF(N103&gt;LOOKUP(2,1/(账户总表!$A:$A&lt;&gt;""),账户总表!$O:$O),"是","否")))</f>
        <v/>
      </c>
      <c r="Z103" s="19" t="str">
        <f aca="false">IF($A103="","",IF(M103&gt;=0,"盈利","亏损"))</f>
        <v/>
      </c>
      <c r="AA103" s="19" t="str">
        <f aca="false">IF($A103="","",IF(OR(Q103="是",M103&lt;=-8%,V103="是",X103="是"),"卖出",IF(Y103="是","减仓",IF(W103="是","观察","持有"))))</f>
        <v/>
      </c>
      <c r="AB103" s="19" t="str">
        <f aca="false">IF($A103="","",IF(D103="是",IF(I103&lt;=E103*0.92,"立即卖出(WAIVED止损)","继续持有(WAIVED)"),IF(OR(M103&lt;=-10%,Q103="是"),"立即卖出",IF(OR(AA103="卖出",V103="是",X103="是"),"次日卖出",IF(AND(Y103="是",NOT(OR(Q103="是",M103&lt;=-8%,V103="是",X103="是"))),"减仓至上限",IF(W103="是","观察","继续持有"))))))</f>
        <v/>
      </c>
      <c r="AC103" s="19" t="str">
        <f aca="false">IF($A103="","",IF(Q103="是","触发止损",IF(M103&lt;=-8%,"固定止损",IF(V103="是","信号失效",IF(X103="是","确认一卖",IF(Y103="是","单股超限",IF(W103="是","DL_P弱化","规则内持有")))))))</f>
        <v/>
      </c>
      <c r="AD103" s="7"/>
    </row>
    <row r="104" customFormat="false" ht="15" hidden="false" customHeight="true" outlineLevel="0" collapsed="false">
      <c r="A104" s="5"/>
      <c r="B104" s="5"/>
      <c r="C104" s="5"/>
      <c r="D104" s="11"/>
      <c r="E104" s="14"/>
      <c r="F104" s="5"/>
      <c r="G104" s="17"/>
      <c r="H104" s="14"/>
      <c r="I104" s="14"/>
      <c r="J104" s="15" t="n">
        <f aca="false">IFERROR(G104*I104,0)</f>
        <v>0</v>
      </c>
      <c r="K104" s="15" t="n">
        <f aca="false">IFERROR(G104*H104,0)</f>
        <v>0</v>
      </c>
      <c r="L104" s="15" t="n">
        <f aca="false">IFERROR(J104-K104,0)</f>
        <v>0</v>
      </c>
      <c r="M104" s="16" t="n">
        <f aca="false">IFERROR((I104-H104)/H104,0)</f>
        <v>0</v>
      </c>
      <c r="N104" s="16" t="n">
        <f aca="false">IFERROR(J104/INDEX(账户总表!$B:$B,MATCH($A104,账户总表!$A:$A,0)),0)</f>
        <v>0</v>
      </c>
      <c r="O104" s="14"/>
      <c r="P104" s="15" t="str">
        <f aca="false">IF($A104="","",IF($D104="是",IF(E104&gt;0,E104*0.92,MAX(O104*0.98,H104*0.92)),MAX(O104*0.98,H104*0.92)))</f>
        <v/>
      </c>
      <c r="Q104" s="4" t="str">
        <f aca="false">IF($A104="","",IF(AND(I104&gt;0,P104&gt;0,I104&lt;=P104),"是","否"))</f>
        <v/>
      </c>
      <c r="R104" s="20"/>
      <c r="S104" s="5"/>
      <c r="T104" s="5"/>
      <c r="U104" s="5"/>
      <c r="V104" s="19" t="str">
        <f aca="false">IF($A104="","",IF(OR(AND(O104&gt;0,I104&lt;O104),AND(T104="False",S104&lt;0.8)),"是","否"))</f>
        <v/>
      </c>
      <c r="W104" s="19" t="str">
        <f aca="false">IF($A104="","",IF(AND(I104&lt;H104,S104&lt;0.8),"是","否"))</f>
        <v/>
      </c>
      <c r="X104" s="19" t="str">
        <f aca="false">IF($A104="","",IF(AND(R104&lt;60%,S104&gt;0.8,T104="True",U104="一卖"),"是","否"))</f>
        <v/>
      </c>
      <c r="Y104" s="19" t="str">
        <f aca="false">IF($A104="","",IF(D104="是","否",IF(N104&gt;LOOKUP(2,1/(账户总表!$A:$A&lt;&gt;""),账户总表!$O:$O),"是","否")))</f>
        <v/>
      </c>
      <c r="Z104" s="19" t="str">
        <f aca="false">IF($A104="","",IF(M104&gt;=0,"盈利","亏损"))</f>
        <v/>
      </c>
      <c r="AA104" s="19" t="str">
        <f aca="false">IF($A104="","",IF(OR(Q104="是",M104&lt;=-8%,V104="是",X104="是"),"卖出",IF(Y104="是","减仓",IF(W104="是","观察","持有"))))</f>
        <v/>
      </c>
      <c r="AB104" s="19" t="str">
        <f aca="false">IF($A104="","",IF(D104="是",IF(I104&lt;=E104*0.92,"立即卖出(WAIVED止损)","继续持有(WAIVED)"),IF(OR(M104&lt;=-10%,Q104="是"),"立即卖出",IF(OR(AA104="卖出",V104="是",X104="是"),"次日卖出",IF(AND(Y104="是",NOT(OR(Q104="是",M104&lt;=-8%,V104="是",X104="是"))),"减仓至上限",IF(W104="是","观察","继续持有"))))))</f>
        <v/>
      </c>
      <c r="AC104" s="19" t="str">
        <f aca="false">IF($A104="","",IF(Q104="是","触发止损",IF(M104&lt;=-8%,"固定止损",IF(V104="是","信号失效",IF(X104="是","确认一卖",IF(Y104="是","单股超限",IF(W104="是","DL_P弱化","规则内持有")))))))</f>
        <v/>
      </c>
      <c r="AD104" s="5"/>
    </row>
    <row r="105" customFormat="false" ht="15" hidden="false" customHeight="true" outlineLevel="0" collapsed="false">
      <c r="A105" s="7"/>
      <c r="B105" s="7"/>
      <c r="C105" s="7"/>
      <c r="D105" s="12"/>
      <c r="E105" s="24"/>
      <c r="F105" s="7"/>
      <c r="G105" s="25"/>
      <c r="H105" s="24"/>
      <c r="I105" s="24"/>
      <c r="J105" s="15" t="n">
        <f aca="false">IFERROR(G105*I105,0)</f>
        <v>0</v>
      </c>
      <c r="K105" s="15" t="n">
        <f aca="false">IFERROR(G105*H105,0)</f>
        <v>0</v>
      </c>
      <c r="L105" s="15" t="n">
        <f aca="false">IFERROR(J105-K105,0)</f>
        <v>0</v>
      </c>
      <c r="M105" s="16" t="n">
        <f aca="false">IFERROR((I105-H105)/H105,0)</f>
        <v>0</v>
      </c>
      <c r="N105" s="16" t="n">
        <f aca="false">IFERROR(J105/INDEX(账户总表!$B:$B,MATCH($A105,账户总表!$A:$A,0)),0)</f>
        <v>0</v>
      </c>
      <c r="O105" s="24"/>
      <c r="P105" s="15" t="str">
        <f aca="false">IF($A105="","",IF($D105="是",IF(E105&gt;0,E105*0.92,MAX(O105*0.98,H105*0.92)),MAX(O105*0.98,H105*0.92)))</f>
        <v/>
      </c>
      <c r="Q105" s="4" t="str">
        <f aca="false">IF($A105="","",IF(AND(I105&gt;0,P105&gt;0,I105&lt;=P105),"是","否"))</f>
        <v/>
      </c>
      <c r="R105" s="26"/>
      <c r="S105" s="7"/>
      <c r="T105" s="7"/>
      <c r="U105" s="7"/>
      <c r="V105" s="19" t="str">
        <f aca="false">IF($A105="","",IF(OR(AND(O105&gt;0,I105&lt;O105),AND(T105="False",S105&lt;0.8)),"是","否"))</f>
        <v/>
      </c>
      <c r="W105" s="19" t="str">
        <f aca="false">IF($A105="","",IF(AND(I105&lt;H105,S105&lt;0.8),"是","否"))</f>
        <v/>
      </c>
      <c r="X105" s="19" t="str">
        <f aca="false">IF($A105="","",IF(AND(R105&lt;60%,S105&gt;0.8,T105="True",U105="一卖"),"是","否"))</f>
        <v/>
      </c>
      <c r="Y105" s="19" t="str">
        <f aca="false">IF($A105="","",IF(D105="是","否",IF(N105&gt;LOOKUP(2,1/(账户总表!$A:$A&lt;&gt;""),账户总表!$O:$O),"是","否")))</f>
        <v/>
      </c>
      <c r="Z105" s="19" t="str">
        <f aca="false">IF($A105="","",IF(M105&gt;=0,"盈利","亏损"))</f>
        <v/>
      </c>
      <c r="AA105" s="19" t="str">
        <f aca="false">IF($A105="","",IF(OR(Q105="是",M105&lt;=-8%,V105="是",X105="是"),"卖出",IF(Y105="是","减仓",IF(W105="是","观察","持有"))))</f>
        <v/>
      </c>
      <c r="AB105" s="19" t="str">
        <f aca="false">IF($A105="","",IF(D105="是",IF(I105&lt;=E105*0.92,"立即卖出(WAIVED止损)","继续持有(WAIVED)"),IF(OR(M105&lt;=-10%,Q105="是"),"立即卖出",IF(OR(AA105="卖出",V105="是",X105="是"),"次日卖出",IF(AND(Y105="是",NOT(OR(Q105="是",M105&lt;=-8%,V105="是",X105="是"))),"减仓至上限",IF(W105="是","观察","继续持有"))))))</f>
        <v/>
      </c>
      <c r="AC105" s="19" t="str">
        <f aca="false">IF($A105="","",IF(Q105="是","触发止损",IF(M105&lt;=-8%,"固定止损",IF(V105="是","信号失效",IF(X105="是","确认一卖",IF(Y105="是","单股超限",IF(W105="是","DL_P弱化","规则内持有")))))))</f>
        <v/>
      </c>
      <c r="AD105" s="7"/>
    </row>
    <row r="106" customFormat="false" ht="15" hidden="false" customHeight="true" outlineLevel="0" collapsed="false">
      <c r="A106" s="5"/>
      <c r="B106" s="5"/>
      <c r="C106" s="5"/>
      <c r="D106" s="11"/>
      <c r="E106" s="14"/>
      <c r="F106" s="5"/>
      <c r="G106" s="17"/>
      <c r="H106" s="14"/>
      <c r="I106" s="14"/>
      <c r="J106" s="15" t="n">
        <f aca="false">IFERROR(G106*I106,0)</f>
        <v>0</v>
      </c>
      <c r="K106" s="15" t="n">
        <f aca="false">IFERROR(G106*H106,0)</f>
        <v>0</v>
      </c>
      <c r="L106" s="15" t="n">
        <f aca="false">IFERROR(J106-K106,0)</f>
        <v>0</v>
      </c>
      <c r="M106" s="16" t="n">
        <f aca="false">IFERROR((I106-H106)/H106,0)</f>
        <v>0</v>
      </c>
      <c r="N106" s="16" t="n">
        <f aca="false">IFERROR(J106/INDEX(账户总表!$B:$B,MATCH($A106,账户总表!$A:$A,0)),0)</f>
        <v>0</v>
      </c>
      <c r="O106" s="14"/>
      <c r="P106" s="15" t="str">
        <f aca="false">IF($A106="","",IF($D106="是",IF(E106&gt;0,E106*0.92,MAX(O106*0.98,H106*0.92)),MAX(O106*0.98,H106*0.92)))</f>
        <v/>
      </c>
      <c r="Q106" s="4" t="str">
        <f aca="false">IF($A106="","",IF(AND(I106&gt;0,P106&gt;0,I106&lt;=P106),"是","否"))</f>
        <v/>
      </c>
      <c r="R106" s="20"/>
      <c r="S106" s="5"/>
      <c r="T106" s="5"/>
      <c r="U106" s="5"/>
      <c r="V106" s="19" t="str">
        <f aca="false">IF($A106="","",IF(OR(AND(O106&gt;0,I106&lt;O106),AND(T106="False",S106&lt;0.8)),"是","否"))</f>
        <v/>
      </c>
      <c r="W106" s="19" t="str">
        <f aca="false">IF($A106="","",IF(AND(I106&lt;H106,S106&lt;0.8),"是","否"))</f>
        <v/>
      </c>
      <c r="X106" s="19" t="str">
        <f aca="false">IF($A106="","",IF(AND(R106&lt;60%,S106&gt;0.8,T106="True",U106="一卖"),"是","否"))</f>
        <v/>
      </c>
      <c r="Y106" s="19" t="str">
        <f aca="false">IF($A106="","",IF(D106="是","否",IF(N106&gt;LOOKUP(2,1/(账户总表!$A:$A&lt;&gt;""),账户总表!$O:$O),"是","否")))</f>
        <v/>
      </c>
      <c r="Z106" s="19" t="str">
        <f aca="false">IF($A106="","",IF(M106&gt;=0,"盈利","亏损"))</f>
        <v/>
      </c>
      <c r="AA106" s="19" t="str">
        <f aca="false">IF($A106="","",IF(OR(Q106="是",M106&lt;=-8%,V106="是",X106="是"),"卖出",IF(Y106="是","减仓",IF(W106="是","观察","持有"))))</f>
        <v/>
      </c>
      <c r="AB106" s="19" t="str">
        <f aca="false">IF($A106="","",IF(D106="是",IF(I106&lt;=E106*0.92,"立即卖出(WAIVED止损)","继续持有(WAIVED)"),IF(OR(M106&lt;=-10%,Q106="是"),"立即卖出",IF(OR(AA106="卖出",V106="是",X106="是"),"次日卖出",IF(AND(Y106="是",NOT(OR(Q106="是",M106&lt;=-8%,V106="是",X106="是"))),"减仓至上限",IF(W106="是","观察","继续持有"))))))</f>
        <v/>
      </c>
      <c r="AC106" s="19" t="str">
        <f aca="false">IF($A106="","",IF(Q106="是","触发止损",IF(M106&lt;=-8%,"固定止损",IF(V106="是","信号失效",IF(X106="是","确认一卖",IF(Y106="是","单股超限",IF(W106="是","DL_P弱化","规则内持有")))))))</f>
        <v/>
      </c>
      <c r="AD106" s="5"/>
    </row>
    <row r="107" customFormat="false" ht="15" hidden="false" customHeight="true" outlineLevel="0" collapsed="false">
      <c r="A107" s="7"/>
      <c r="B107" s="7"/>
      <c r="C107" s="7"/>
      <c r="D107" s="12"/>
      <c r="E107" s="24"/>
      <c r="F107" s="7"/>
      <c r="G107" s="25"/>
      <c r="H107" s="24"/>
      <c r="I107" s="24"/>
      <c r="J107" s="15" t="n">
        <f aca="false">IFERROR(G107*I107,0)</f>
        <v>0</v>
      </c>
      <c r="K107" s="15" t="n">
        <f aca="false">IFERROR(G107*H107,0)</f>
        <v>0</v>
      </c>
      <c r="L107" s="15" t="n">
        <f aca="false">IFERROR(J107-K107,0)</f>
        <v>0</v>
      </c>
      <c r="M107" s="16" t="n">
        <f aca="false">IFERROR((I107-H107)/H107,0)</f>
        <v>0</v>
      </c>
      <c r="N107" s="16" t="n">
        <f aca="false">IFERROR(J107/INDEX(账户总表!$B:$B,MATCH($A107,账户总表!$A:$A,0)),0)</f>
        <v>0</v>
      </c>
      <c r="O107" s="24"/>
      <c r="P107" s="15" t="str">
        <f aca="false">IF($A107="","",IF($D107="是",IF(E107&gt;0,E107*0.92,MAX(O107*0.98,H107*0.92)),MAX(O107*0.98,H107*0.92)))</f>
        <v/>
      </c>
      <c r="Q107" s="4" t="str">
        <f aca="false">IF($A107="","",IF(AND(I107&gt;0,P107&gt;0,I107&lt;=P107),"是","否"))</f>
        <v/>
      </c>
      <c r="R107" s="26"/>
      <c r="S107" s="7"/>
      <c r="T107" s="7"/>
      <c r="U107" s="7"/>
      <c r="V107" s="19" t="str">
        <f aca="false">IF($A107="","",IF(OR(AND(O107&gt;0,I107&lt;O107),AND(T107="False",S107&lt;0.8)),"是","否"))</f>
        <v/>
      </c>
      <c r="W107" s="19" t="str">
        <f aca="false">IF($A107="","",IF(AND(I107&lt;H107,S107&lt;0.8),"是","否"))</f>
        <v/>
      </c>
      <c r="X107" s="19" t="str">
        <f aca="false">IF($A107="","",IF(AND(R107&lt;60%,S107&gt;0.8,T107="True",U107="一卖"),"是","否"))</f>
        <v/>
      </c>
      <c r="Y107" s="19" t="str">
        <f aca="false">IF($A107="","",IF(D107="是","否",IF(N107&gt;LOOKUP(2,1/(账户总表!$A:$A&lt;&gt;""),账户总表!$O:$O),"是","否")))</f>
        <v/>
      </c>
      <c r="Z107" s="19" t="str">
        <f aca="false">IF($A107="","",IF(M107&gt;=0,"盈利","亏损"))</f>
        <v/>
      </c>
      <c r="AA107" s="19" t="str">
        <f aca="false">IF($A107="","",IF(OR(Q107="是",M107&lt;=-8%,V107="是",X107="是"),"卖出",IF(Y107="是","减仓",IF(W107="是","观察","持有"))))</f>
        <v/>
      </c>
      <c r="AB107" s="19" t="str">
        <f aca="false">IF($A107="","",IF(D107="是",IF(I107&lt;=E107*0.92,"立即卖出(WAIVED止损)","继续持有(WAIVED)"),IF(OR(M107&lt;=-10%,Q107="是"),"立即卖出",IF(OR(AA107="卖出",V107="是",X107="是"),"次日卖出",IF(AND(Y107="是",NOT(OR(Q107="是",M107&lt;=-8%,V107="是",X107="是"))),"减仓至上限",IF(W107="是","观察","继续持有"))))))</f>
        <v/>
      </c>
      <c r="AC107" s="19" t="str">
        <f aca="false">IF($A107="","",IF(Q107="是","触发止损",IF(M107&lt;=-8%,"固定止损",IF(V107="是","信号失效",IF(X107="是","确认一卖",IF(Y107="是","单股超限",IF(W107="是","DL_P弱化","规则内持有")))))))</f>
        <v/>
      </c>
      <c r="AD107" s="7"/>
    </row>
    <row r="108" customFormat="false" ht="15" hidden="false" customHeight="true" outlineLevel="0" collapsed="false">
      <c r="A108" s="5"/>
      <c r="B108" s="5"/>
      <c r="C108" s="5"/>
      <c r="D108" s="11"/>
      <c r="E108" s="14"/>
      <c r="F108" s="5"/>
      <c r="G108" s="17"/>
      <c r="H108" s="14"/>
      <c r="I108" s="14"/>
      <c r="J108" s="15" t="n">
        <f aca="false">IFERROR(G108*I108,0)</f>
        <v>0</v>
      </c>
      <c r="K108" s="15" t="n">
        <f aca="false">IFERROR(G108*H108,0)</f>
        <v>0</v>
      </c>
      <c r="L108" s="15" t="n">
        <f aca="false">IFERROR(J108-K108,0)</f>
        <v>0</v>
      </c>
      <c r="M108" s="16" t="n">
        <f aca="false">IFERROR((I108-H108)/H108,0)</f>
        <v>0</v>
      </c>
      <c r="N108" s="16" t="n">
        <f aca="false">IFERROR(J108/INDEX(账户总表!$B:$B,MATCH($A108,账户总表!$A:$A,0)),0)</f>
        <v>0</v>
      </c>
      <c r="O108" s="14"/>
      <c r="P108" s="15" t="str">
        <f aca="false">IF($A108="","",IF($D108="是",IF(E108&gt;0,E108*0.92,MAX(O108*0.98,H108*0.92)),MAX(O108*0.98,H108*0.92)))</f>
        <v/>
      </c>
      <c r="Q108" s="4" t="str">
        <f aca="false">IF($A108="","",IF(AND(I108&gt;0,P108&gt;0,I108&lt;=P108),"是","否"))</f>
        <v/>
      </c>
      <c r="R108" s="20"/>
      <c r="S108" s="5"/>
      <c r="T108" s="5"/>
      <c r="U108" s="5"/>
      <c r="V108" s="19" t="str">
        <f aca="false">IF($A108="","",IF(OR(AND(O108&gt;0,I108&lt;O108),AND(T108="False",S108&lt;0.8)),"是","否"))</f>
        <v/>
      </c>
      <c r="W108" s="19" t="str">
        <f aca="false">IF($A108="","",IF(AND(I108&lt;H108,S108&lt;0.8),"是","否"))</f>
        <v/>
      </c>
      <c r="X108" s="19" t="str">
        <f aca="false">IF($A108="","",IF(AND(R108&lt;60%,S108&gt;0.8,T108="True",U108="一卖"),"是","否"))</f>
        <v/>
      </c>
      <c r="Y108" s="19" t="str">
        <f aca="false">IF($A108="","",IF(D108="是","否",IF(N108&gt;LOOKUP(2,1/(账户总表!$A:$A&lt;&gt;""),账户总表!$O:$O),"是","否")))</f>
        <v/>
      </c>
      <c r="Z108" s="19" t="str">
        <f aca="false">IF($A108="","",IF(M108&gt;=0,"盈利","亏损"))</f>
        <v/>
      </c>
      <c r="AA108" s="19" t="str">
        <f aca="false">IF($A108="","",IF(OR(Q108="是",M108&lt;=-8%,V108="是",X108="是"),"卖出",IF(Y108="是","减仓",IF(W108="是","观察","持有"))))</f>
        <v/>
      </c>
      <c r="AB108" s="19" t="str">
        <f aca="false">IF($A108="","",IF(D108="是",IF(I108&lt;=E108*0.92,"立即卖出(WAIVED止损)","继续持有(WAIVED)"),IF(OR(M108&lt;=-10%,Q108="是"),"立即卖出",IF(OR(AA108="卖出",V108="是",X108="是"),"次日卖出",IF(AND(Y108="是",NOT(OR(Q108="是",M108&lt;=-8%,V108="是",X108="是"))),"减仓至上限",IF(W108="是","观察","继续持有"))))))</f>
        <v/>
      </c>
      <c r="AC108" s="19" t="str">
        <f aca="false">IF($A108="","",IF(Q108="是","触发止损",IF(M108&lt;=-8%,"固定止损",IF(V108="是","信号失效",IF(X108="是","确认一卖",IF(Y108="是","单股超限",IF(W108="是","DL_P弱化","规则内持有")))))))</f>
        <v/>
      </c>
      <c r="AD108" s="5"/>
    </row>
    <row r="109" customFormat="false" ht="15" hidden="false" customHeight="true" outlineLevel="0" collapsed="false">
      <c r="A109" s="7"/>
      <c r="B109" s="7"/>
      <c r="C109" s="7"/>
      <c r="D109" s="12"/>
      <c r="E109" s="24"/>
      <c r="F109" s="7"/>
      <c r="G109" s="25"/>
      <c r="H109" s="24"/>
      <c r="I109" s="24"/>
      <c r="J109" s="15" t="n">
        <f aca="false">IFERROR(G109*I109,0)</f>
        <v>0</v>
      </c>
      <c r="K109" s="15" t="n">
        <f aca="false">IFERROR(G109*H109,0)</f>
        <v>0</v>
      </c>
      <c r="L109" s="15" t="n">
        <f aca="false">IFERROR(J109-K109,0)</f>
        <v>0</v>
      </c>
      <c r="M109" s="16" t="n">
        <f aca="false">IFERROR((I109-H109)/H109,0)</f>
        <v>0</v>
      </c>
      <c r="N109" s="16" t="n">
        <f aca="false">IFERROR(J109/INDEX(账户总表!$B:$B,MATCH($A109,账户总表!$A:$A,0)),0)</f>
        <v>0</v>
      </c>
      <c r="O109" s="24"/>
      <c r="P109" s="15" t="str">
        <f aca="false">IF($A109="","",IF($D109="是",IF(E109&gt;0,E109*0.92,MAX(O109*0.98,H109*0.92)),MAX(O109*0.98,H109*0.92)))</f>
        <v/>
      </c>
      <c r="Q109" s="4" t="str">
        <f aca="false">IF($A109="","",IF(AND(I109&gt;0,P109&gt;0,I109&lt;=P109),"是","否"))</f>
        <v/>
      </c>
      <c r="R109" s="26"/>
      <c r="S109" s="7"/>
      <c r="T109" s="7"/>
      <c r="U109" s="7"/>
      <c r="V109" s="19" t="str">
        <f aca="false">IF($A109="","",IF(OR(AND(O109&gt;0,I109&lt;O109),AND(T109="False",S109&lt;0.8)),"是","否"))</f>
        <v/>
      </c>
      <c r="W109" s="19" t="str">
        <f aca="false">IF($A109="","",IF(AND(I109&lt;H109,S109&lt;0.8),"是","否"))</f>
        <v/>
      </c>
      <c r="X109" s="19" t="str">
        <f aca="false">IF($A109="","",IF(AND(R109&lt;60%,S109&gt;0.8,T109="True",U109="一卖"),"是","否"))</f>
        <v/>
      </c>
      <c r="Y109" s="19" t="str">
        <f aca="false">IF($A109="","",IF(D109="是","否",IF(N109&gt;LOOKUP(2,1/(账户总表!$A:$A&lt;&gt;""),账户总表!$O:$O),"是","否")))</f>
        <v/>
      </c>
      <c r="Z109" s="19" t="str">
        <f aca="false">IF($A109="","",IF(M109&gt;=0,"盈利","亏损"))</f>
        <v/>
      </c>
      <c r="AA109" s="19" t="str">
        <f aca="false">IF($A109="","",IF(OR(Q109="是",M109&lt;=-8%,V109="是",X109="是"),"卖出",IF(Y109="是","减仓",IF(W109="是","观察","持有"))))</f>
        <v/>
      </c>
      <c r="AB109" s="19" t="str">
        <f aca="false">IF($A109="","",IF(D109="是",IF(I109&lt;=E109*0.92,"立即卖出(WAIVED止损)","继续持有(WAIVED)"),IF(OR(M109&lt;=-10%,Q109="是"),"立即卖出",IF(OR(AA109="卖出",V109="是",X109="是"),"次日卖出",IF(AND(Y109="是",NOT(OR(Q109="是",M109&lt;=-8%,V109="是",X109="是"))),"减仓至上限",IF(W109="是","观察","继续持有"))))))</f>
        <v/>
      </c>
      <c r="AC109" s="19" t="str">
        <f aca="false">IF($A109="","",IF(Q109="是","触发止损",IF(M109&lt;=-8%,"固定止损",IF(V109="是","信号失效",IF(X109="是","确认一卖",IF(Y109="是","单股超限",IF(W109="是","DL_P弱化","规则内持有")))))))</f>
        <v/>
      </c>
      <c r="AD109" s="7"/>
    </row>
    <row r="110" customFormat="false" ht="15" hidden="false" customHeight="true" outlineLevel="0" collapsed="false">
      <c r="A110" s="5"/>
      <c r="B110" s="5"/>
      <c r="C110" s="5"/>
      <c r="D110" s="11"/>
      <c r="E110" s="14"/>
      <c r="F110" s="5"/>
      <c r="G110" s="17"/>
      <c r="H110" s="14"/>
      <c r="I110" s="14"/>
      <c r="J110" s="15" t="n">
        <f aca="false">IFERROR(G110*I110,0)</f>
        <v>0</v>
      </c>
      <c r="K110" s="15" t="n">
        <f aca="false">IFERROR(G110*H110,0)</f>
        <v>0</v>
      </c>
      <c r="L110" s="15" t="n">
        <f aca="false">IFERROR(J110-K110,0)</f>
        <v>0</v>
      </c>
      <c r="M110" s="16" t="n">
        <f aca="false">IFERROR((I110-H110)/H110,0)</f>
        <v>0</v>
      </c>
      <c r="N110" s="16" t="n">
        <f aca="false">IFERROR(J110/INDEX(账户总表!$B:$B,MATCH($A110,账户总表!$A:$A,0)),0)</f>
        <v>0</v>
      </c>
      <c r="O110" s="14"/>
      <c r="P110" s="15" t="str">
        <f aca="false">IF($A110="","",IF($D110="是",IF(E110&gt;0,E110*0.92,MAX(O110*0.98,H110*0.92)),MAX(O110*0.98,H110*0.92)))</f>
        <v/>
      </c>
      <c r="Q110" s="4" t="str">
        <f aca="false">IF($A110="","",IF(AND(I110&gt;0,P110&gt;0,I110&lt;=P110),"是","否"))</f>
        <v/>
      </c>
      <c r="R110" s="20"/>
      <c r="S110" s="5"/>
      <c r="T110" s="5"/>
      <c r="U110" s="5"/>
      <c r="V110" s="19" t="str">
        <f aca="false">IF($A110="","",IF(OR(AND(O110&gt;0,I110&lt;O110),AND(T110="False",S110&lt;0.8)),"是","否"))</f>
        <v/>
      </c>
      <c r="W110" s="19" t="str">
        <f aca="false">IF($A110="","",IF(AND(I110&lt;H110,S110&lt;0.8),"是","否"))</f>
        <v/>
      </c>
      <c r="X110" s="19" t="str">
        <f aca="false">IF($A110="","",IF(AND(R110&lt;60%,S110&gt;0.8,T110="True",U110="一卖"),"是","否"))</f>
        <v/>
      </c>
      <c r="Y110" s="19" t="str">
        <f aca="false">IF($A110="","",IF(D110="是","否",IF(N110&gt;LOOKUP(2,1/(账户总表!$A:$A&lt;&gt;""),账户总表!$O:$O),"是","否")))</f>
        <v/>
      </c>
      <c r="Z110" s="19" t="str">
        <f aca="false">IF($A110="","",IF(M110&gt;=0,"盈利","亏损"))</f>
        <v/>
      </c>
      <c r="AA110" s="19" t="str">
        <f aca="false">IF($A110="","",IF(OR(Q110="是",M110&lt;=-8%,V110="是",X110="是"),"卖出",IF(Y110="是","减仓",IF(W110="是","观察","持有"))))</f>
        <v/>
      </c>
      <c r="AB110" s="19" t="str">
        <f aca="false">IF($A110="","",IF(D110="是",IF(I110&lt;=E110*0.92,"立即卖出(WAIVED止损)","继续持有(WAIVED)"),IF(OR(M110&lt;=-10%,Q110="是"),"立即卖出",IF(OR(AA110="卖出",V110="是",X110="是"),"次日卖出",IF(AND(Y110="是",NOT(OR(Q110="是",M110&lt;=-8%,V110="是",X110="是"))),"减仓至上限",IF(W110="是","观察","继续持有"))))))</f>
        <v/>
      </c>
      <c r="AC110" s="19" t="str">
        <f aca="false">IF($A110="","",IF(Q110="是","触发止损",IF(M110&lt;=-8%,"固定止损",IF(V110="是","信号失效",IF(X110="是","确认一卖",IF(Y110="是","单股超限",IF(W110="是","DL_P弱化","规则内持有")))))))</f>
        <v/>
      </c>
      <c r="AD110" s="5"/>
    </row>
    <row r="111" customFormat="false" ht="15" hidden="false" customHeight="true" outlineLevel="0" collapsed="false">
      <c r="A111" s="7"/>
      <c r="B111" s="7"/>
      <c r="C111" s="7"/>
      <c r="D111" s="12"/>
      <c r="E111" s="24"/>
      <c r="F111" s="7"/>
      <c r="G111" s="25"/>
      <c r="H111" s="24"/>
      <c r="I111" s="24"/>
      <c r="J111" s="15" t="n">
        <f aca="false">IFERROR(G111*I111,0)</f>
        <v>0</v>
      </c>
      <c r="K111" s="15" t="n">
        <f aca="false">IFERROR(G111*H111,0)</f>
        <v>0</v>
      </c>
      <c r="L111" s="15" t="n">
        <f aca="false">IFERROR(J111-K111,0)</f>
        <v>0</v>
      </c>
      <c r="M111" s="16" t="n">
        <f aca="false">IFERROR((I111-H111)/H111,0)</f>
        <v>0</v>
      </c>
      <c r="N111" s="16" t="n">
        <f aca="false">IFERROR(J111/INDEX(账户总表!$B:$B,MATCH($A111,账户总表!$A:$A,0)),0)</f>
        <v>0</v>
      </c>
      <c r="O111" s="24"/>
      <c r="P111" s="15" t="str">
        <f aca="false">IF($A111="","",IF($D111="是",IF(E111&gt;0,E111*0.92,MAX(O111*0.98,H111*0.92)),MAX(O111*0.98,H111*0.92)))</f>
        <v/>
      </c>
      <c r="Q111" s="4" t="str">
        <f aca="false">IF($A111="","",IF(AND(I111&gt;0,P111&gt;0,I111&lt;=P111),"是","否"))</f>
        <v/>
      </c>
      <c r="R111" s="26"/>
      <c r="S111" s="7"/>
      <c r="T111" s="7"/>
      <c r="U111" s="7"/>
      <c r="V111" s="19" t="str">
        <f aca="false">IF($A111="","",IF(OR(AND(O111&gt;0,I111&lt;O111),AND(T111="False",S111&lt;0.8)),"是","否"))</f>
        <v/>
      </c>
      <c r="W111" s="19" t="str">
        <f aca="false">IF($A111="","",IF(AND(I111&lt;H111,S111&lt;0.8),"是","否"))</f>
        <v/>
      </c>
      <c r="X111" s="19" t="str">
        <f aca="false">IF($A111="","",IF(AND(R111&lt;60%,S111&gt;0.8,T111="True",U111="一卖"),"是","否"))</f>
        <v/>
      </c>
      <c r="Y111" s="19" t="str">
        <f aca="false">IF($A111="","",IF(D111="是","否",IF(N111&gt;LOOKUP(2,1/(账户总表!$A:$A&lt;&gt;""),账户总表!$O:$O),"是","否")))</f>
        <v/>
      </c>
      <c r="Z111" s="19" t="str">
        <f aca="false">IF($A111="","",IF(M111&gt;=0,"盈利","亏损"))</f>
        <v/>
      </c>
      <c r="AA111" s="19" t="str">
        <f aca="false">IF($A111="","",IF(OR(Q111="是",M111&lt;=-8%,V111="是",X111="是"),"卖出",IF(Y111="是","减仓",IF(W111="是","观察","持有"))))</f>
        <v/>
      </c>
      <c r="AB111" s="19" t="str">
        <f aca="false">IF($A111="","",IF(D111="是",IF(I111&lt;=E111*0.92,"立即卖出(WAIVED止损)","继续持有(WAIVED)"),IF(OR(M111&lt;=-10%,Q111="是"),"立即卖出",IF(OR(AA111="卖出",V111="是",X111="是"),"次日卖出",IF(AND(Y111="是",NOT(OR(Q111="是",M111&lt;=-8%,V111="是",X111="是"))),"减仓至上限",IF(W111="是","观察","继续持有"))))))</f>
        <v/>
      </c>
      <c r="AC111" s="19" t="str">
        <f aca="false">IF($A111="","",IF(Q111="是","触发止损",IF(M111&lt;=-8%,"固定止损",IF(V111="是","信号失效",IF(X111="是","确认一卖",IF(Y111="是","单股超限",IF(W111="是","DL_P弱化","规则内持有")))))))</f>
        <v/>
      </c>
      <c r="AD111" s="7"/>
    </row>
    <row r="112" customFormat="false" ht="15" hidden="false" customHeight="true" outlineLevel="0" collapsed="false">
      <c r="A112" s="5"/>
      <c r="B112" s="5"/>
      <c r="C112" s="5"/>
      <c r="D112" s="11"/>
      <c r="E112" s="14"/>
      <c r="F112" s="5"/>
      <c r="G112" s="17"/>
      <c r="H112" s="14"/>
      <c r="I112" s="14"/>
      <c r="J112" s="15" t="n">
        <f aca="false">IFERROR(G112*I112,0)</f>
        <v>0</v>
      </c>
      <c r="K112" s="15" t="n">
        <f aca="false">IFERROR(G112*H112,0)</f>
        <v>0</v>
      </c>
      <c r="L112" s="15" t="n">
        <f aca="false">IFERROR(J112-K112,0)</f>
        <v>0</v>
      </c>
      <c r="M112" s="16" t="n">
        <f aca="false">IFERROR((I112-H112)/H112,0)</f>
        <v>0</v>
      </c>
      <c r="N112" s="16" t="n">
        <f aca="false">IFERROR(J112/INDEX(账户总表!$B:$B,MATCH($A112,账户总表!$A:$A,0)),0)</f>
        <v>0</v>
      </c>
      <c r="O112" s="14"/>
      <c r="P112" s="15" t="str">
        <f aca="false">IF($A112="","",IF($D112="是",IF(E112&gt;0,E112*0.92,MAX(O112*0.98,H112*0.92)),MAX(O112*0.98,H112*0.92)))</f>
        <v/>
      </c>
      <c r="Q112" s="4" t="str">
        <f aca="false">IF($A112="","",IF(AND(I112&gt;0,P112&gt;0,I112&lt;=P112),"是","否"))</f>
        <v/>
      </c>
      <c r="R112" s="20"/>
      <c r="S112" s="5"/>
      <c r="T112" s="5"/>
      <c r="U112" s="5"/>
      <c r="V112" s="19" t="str">
        <f aca="false">IF($A112="","",IF(OR(AND(O112&gt;0,I112&lt;O112),AND(T112="False",S112&lt;0.8)),"是","否"))</f>
        <v/>
      </c>
      <c r="W112" s="19" t="str">
        <f aca="false">IF($A112="","",IF(AND(I112&lt;H112,S112&lt;0.8),"是","否"))</f>
        <v/>
      </c>
      <c r="X112" s="19" t="str">
        <f aca="false">IF($A112="","",IF(AND(R112&lt;60%,S112&gt;0.8,T112="True",U112="一卖"),"是","否"))</f>
        <v/>
      </c>
      <c r="Y112" s="19" t="str">
        <f aca="false">IF($A112="","",IF(D112="是","否",IF(N112&gt;LOOKUP(2,1/(账户总表!$A:$A&lt;&gt;""),账户总表!$O:$O),"是","否")))</f>
        <v/>
      </c>
      <c r="Z112" s="19" t="str">
        <f aca="false">IF($A112="","",IF(M112&gt;=0,"盈利","亏损"))</f>
        <v/>
      </c>
      <c r="AA112" s="19" t="str">
        <f aca="false">IF($A112="","",IF(OR(Q112="是",M112&lt;=-8%,V112="是",X112="是"),"卖出",IF(Y112="是","减仓",IF(W112="是","观察","持有"))))</f>
        <v/>
      </c>
      <c r="AB112" s="19" t="str">
        <f aca="false">IF($A112="","",IF(D112="是",IF(I112&lt;=E112*0.92,"立即卖出(WAIVED止损)","继续持有(WAIVED)"),IF(OR(M112&lt;=-10%,Q112="是"),"立即卖出",IF(OR(AA112="卖出",V112="是",X112="是"),"次日卖出",IF(AND(Y112="是",NOT(OR(Q112="是",M112&lt;=-8%,V112="是",X112="是"))),"减仓至上限",IF(W112="是","观察","继续持有"))))))</f>
        <v/>
      </c>
      <c r="AC112" s="19" t="str">
        <f aca="false">IF($A112="","",IF(Q112="是","触发止损",IF(M112&lt;=-8%,"固定止损",IF(V112="是","信号失效",IF(X112="是","确认一卖",IF(Y112="是","单股超限",IF(W112="是","DL_P弱化","规则内持有")))))))</f>
        <v/>
      </c>
      <c r="AD112" s="5"/>
    </row>
    <row r="113" customFormat="false" ht="15" hidden="false" customHeight="true" outlineLevel="0" collapsed="false">
      <c r="A113" s="7"/>
      <c r="B113" s="7"/>
      <c r="C113" s="7"/>
      <c r="D113" s="12"/>
      <c r="E113" s="24"/>
      <c r="F113" s="7"/>
      <c r="G113" s="25"/>
      <c r="H113" s="24"/>
      <c r="I113" s="24"/>
      <c r="J113" s="15" t="n">
        <f aca="false">IFERROR(G113*I113,0)</f>
        <v>0</v>
      </c>
      <c r="K113" s="15" t="n">
        <f aca="false">IFERROR(G113*H113,0)</f>
        <v>0</v>
      </c>
      <c r="L113" s="15" t="n">
        <f aca="false">IFERROR(J113-K113,0)</f>
        <v>0</v>
      </c>
      <c r="M113" s="16" t="n">
        <f aca="false">IFERROR((I113-H113)/H113,0)</f>
        <v>0</v>
      </c>
      <c r="N113" s="16" t="n">
        <f aca="false">IFERROR(J113/INDEX(账户总表!$B:$B,MATCH($A113,账户总表!$A:$A,0)),0)</f>
        <v>0</v>
      </c>
      <c r="O113" s="24"/>
      <c r="P113" s="15" t="str">
        <f aca="false">IF($A113="","",IF($D113="是",IF(E113&gt;0,E113*0.92,MAX(O113*0.98,H113*0.92)),MAX(O113*0.98,H113*0.92)))</f>
        <v/>
      </c>
      <c r="Q113" s="4" t="str">
        <f aca="false">IF($A113="","",IF(AND(I113&gt;0,P113&gt;0,I113&lt;=P113),"是","否"))</f>
        <v/>
      </c>
      <c r="R113" s="26"/>
      <c r="S113" s="7"/>
      <c r="T113" s="7"/>
      <c r="U113" s="7"/>
      <c r="V113" s="19" t="str">
        <f aca="false">IF($A113="","",IF(OR(AND(O113&gt;0,I113&lt;O113),AND(T113="False",S113&lt;0.8)),"是","否"))</f>
        <v/>
      </c>
      <c r="W113" s="19" t="str">
        <f aca="false">IF($A113="","",IF(AND(I113&lt;H113,S113&lt;0.8),"是","否"))</f>
        <v/>
      </c>
      <c r="X113" s="19" t="str">
        <f aca="false">IF($A113="","",IF(AND(R113&lt;60%,S113&gt;0.8,T113="True",U113="一卖"),"是","否"))</f>
        <v/>
      </c>
      <c r="Y113" s="19" t="str">
        <f aca="false">IF($A113="","",IF(D113="是","否",IF(N113&gt;LOOKUP(2,1/(账户总表!$A:$A&lt;&gt;""),账户总表!$O:$O),"是","否")))</f>
        <v/>
      </c>
      <c r="Z113" s="19" t="str">
        <f aca="false">IF($A113="","",IF(M113&gt;=0,"盈利","亏损"))</f>
        <v/>
      </c>
      <c r="AA113" s="19" t="str">
        <f aca="false">IF($A113="","",IF(OR(Q113="是",M113&lt;=-8%,V113="是",X113="是"),"卖出",IF(Y113="是","减仓",IF(W113="是","观察","持有"))))</f>
        <v/>
      </c>
      <c r="AB113" s="19" t="str">
        <f aca="false">IF($A113="","",IF(D113="是",IF(I113&lt;=E113*0.92,"立即卖出(WAIVED止损)","继续持有(WAIVED)"),IF(OR(M113&lt;=-10%,Q113="是"),"立即卖出",IF(OR(AA113="卖出",V113="是",X113="是"),"次日卖出",IF(AND(Y113="是",NOT(OR(Q113="是",M113&lt;=-8%,V113="是",X113="是"))),"减仓至上限",IF(W113="是","观察","继续持有"))))))</f>
        <v/>
      </c>
      <c r="AC113" s="19" t="str">
        <f aca="false">IF($A113="","",IF(Q113="是","触发止损",IF(M113&lt;=-8%,"固定止损",IF(V113="是","信号失效",IF(X113="是","确认一卖",IF(Y113="是","单股超限",IF(W113="是","DL_P弱化","规则内持有")))))))</f>
        <v/>
      </c>
      <c r="AD113" s="7"/>
    </row>
    <row r="114" customFormat="false" ht="15" hidden="false" customHeight="true" outlineLevel="0" collapsed="false">
      <c r="A114" s="5"/>
      <c r="B114" s="5"/>
      <c r="C114" s="5"/>
      <c r="D114" s="11"/>
      <c r="E114" s="14"/>
      <c r="F114" s="5"/>
      <c r="G114" s="17"/>
      <c r="H114" s="14"/>
      <c r="I114" s="14"/>
      <c r="J114" s="15" t="n">
        <f aca="false">IFERROR(G114*I114,0)</f>
        <v>0</v>
      </c>
      <c r="K114" s="15" t="n">
        <f aca="false">IFERROR(G114*H114,0)</f>
        <v>0</v>
      </c>
      <c r="L114" s="15" t="n">
        <f aca="false">IFERROR(J114-K114,0)</f>
        <v>0</v>
      </c>
      <c r="M114" s="16" t="n">
        <f aca="false">IFERROR((I114-H114)/H114,0)</f>
        <v>0</v>
      </c>
      <c r="N114" s="16" t="n">
        <f aca="false">IFERROR(J114/INDEX(账户总表!$B:$B,MATCH($A114,账户总表!$A:$A,0)),0)</f>
        <v>0</v>
      </c>
      <c r="O114" s="14"/>
      <c r="P114" s="15" t="str">
        <f aca="false">IF($A114="","",IF($D114="是",IF(E114&gt;0,E114*0.92,MAX(O114*0.98,H114*0.92)),MAX(O114*0.98,H114*0.92)))</f>
        <v/>
      </c>
      <c r="Q114" s="4" t="str">
        <f aca="false">IF($A114="","",IF(AND(I114&gt;0,P114&gt;0,I114&lt;=P114),"是","否"))</f>
        <v/>
      </c>
      <c r="R114" s="20"/>
      <c r="S114" s="5"/>
      <c r="T114" s="5"/>
      <c r="U114" s="5"/>
      <c r="V114" s="19" t="str">
        <f aca="false">IF($A114="","",IF(OR(AND(O114&gt;0,I114&lt;O114),AND(T114="False",S114&lt;0.8)),"是","否"))</f>
        <v/>
      </c>
      <c r="W114" s="19" t="str">
        <f aca="false">IF($A114="","",IF(AND(I114&lt;H114,S114&lt;0.8),"是","否"))</f>
        <v/>
      </c>
      <c r="X114" s="19" t="str">
        <f aca="false">IF($A114="","",IF(AND(R114&lt;60%,S114&gt;0.8,T114="True",U114="一卖"),"是","否"))</f>
        <v/>
      </c>
      <c r="Y114" s="19" t="str">
        <f aca="false">IF($A114="","",IF(D114="是","否",IF(N114&gt;LOOKUP(2,1/(账户总表!$A:$A&lt;&gt;""),账户总表!$O:$O),"是","否")))</f>
        <v/>
      </c>
      <c r="Z114" s="19" t="str">
        <f aca="false">IF($A114="","",IF(M114&gt;=0,"盈利","亏损"))</f>
        <v/>
      </c>
      <c r="AA114" s="19" t="str">
        <f aca="false">IF($A114="","",IF(OR(Q114="是",M114&lt;=-8%,V114="是",X114="是"),"卖出",IF(Y114="是","减仓",IF(W114="是","观察","持有"))))</f>
        <v/>
      </c>
      <c r="AB114" s="19" t="str">
        <f aca="false">IF($A114="","",IF(D114="是",IF(I114&lt;=E114*0.92,"立即卖出(WAIVED止损)","继续持有(WAIVED)"),IF(OR(M114&lt;=-10%,Q114="是"),"立即卖出",IF(OR(AA114="卖出",V114="是",X114="是"),"次日卖出",IF(AND(Y114="是",NOT(OR(Q114="是",M114&lt;=-8%,V114="是",X114="是"))),"减仓至上限",IF(W114="是","观察","继续持有"))))))</f>
        <v/>
      </c>
      <c r="AC114" s="19" t="str">
        <f aca="false">IF($A114="","",IF(Q114="是","触发止损",IF(M114&lt;=-8%,"固定止损",IF(V114="是","信号失效",IF(X114="是","确认一卖",IF(Y114="是","单股超限",IF(W114="是","DL_P弱化","规则内持有")))))))</f>
        <v/>
      </c>
      <c r="AD114" s="5"/>
    </row>
    <row r="115" customFormat="false" ht="15" hidden="false" customHeight="true" outlineLevel="0" collapsed="false">
      <c r="A115" s="7"/>
      <c r="B115" s="7"/>
      <c r="C115" s="7"/>
      <c r="D115" s="12"/>
      <c r="E115" s="24"/>
      <c r="F115" s="7"/>
      <c r="G115" s="25"/>
      <c r="H115" s="24"/>
      <c r="I115" s="24"/>
      <c r="J115" s="15" t="n">
        <f aca="false">IFERROR(G115*I115,0)</f>
        <v>0</v>
      </c>
      <c r="K115" s="15" t="n">
        <f aca="false">IFERROR(G115*H115,0)</f>
        <v>0</v>
      </c>
      <c r="L115" s="15" t="n">
        <f aca="false">IFERROR(J115-K115,0)</f>
        <v>0</v>
      </c>
      <c r="M115" s="16" t="n">
        <f aca="false">IFERROR((I115-H115)/H115,0)</f>
        <v>0</v>
      </c>
      <c r="N115" s="16" t="n">
        <f aca="false">IFERROR(J115/INDEX(账户总表!$B:$B,MATCH($A115,账户总表!$A:$A,0)),0)</f>
        <v>0</v>
      </c>
      <c r="O115" s="24"/>
      <c r="P115" s="15" t="str">
        <f aca="false">IF($A115="","",IF($D115="是",IF(E115&gt;0,E115*0.92,MAX(O115*0.98,H115*0.92)),MAX(O115*0.98,H115*0.92)))</f>
        <v/>
      </c>
      <c r="Q115" s="4" t="str">
        <f aca="false">IF($A115="","",IF(AND(I115&gt;0,P115&gt;0,I115&lt;=P115),"是","否"))</f>
        <v/>
      </c>
      <c r="R115" s="26"/>
      <c r="S115" s="7"/>
      <c r="T115" s="7"/>
      <c r="U115" s="7"/>
      <c r="V115" s="19" t="str">
        <f aca="false">IF($A115="","",IF(OR(AND(O115&gt;0,I115&lt;O115),AND(T115="False",S115&lt;0.8)),"是","否"))</f>
        <v/>
      </c>
      <c r="W115" s="19" t="str">
        <f aca="false">IF($A115="","",IF(AND(I115&lt;H115,S115&lt;0.8),"是","否"))</f>
        <v/>
      </c>
      <c r="X115" s="19" t="str">
        <f aca="false">IF($A115="","",IF(AND(R115&lt;60%,S115&gt;0.8,T115="True",U115="一卖"),"是","否"))</f>
        <v/>
      </c>
      <c r="Y115" s="19" t="str">
        <f aca="false">IF($A115="","",IF(D115="是","否",IF(N115&gt;LOOKUP(2,1/(账户总表!$A:$A&lt;&gt;""),账户总表!$O:$O),"是","否")))</f>
        <v/>
      </c>
      <c r="Z115" s="19" t="str">
        <f aca="false">IF($A115="","",IF(M115&gt;=0,"盈利","亏损"))</f>
        <v/>
      </c>
      <c r="AA115" s="19" t="str">
        <f aca="false">IF($A115="","",IF(OR(Q115="是",M115&lt;=-8%,V115="是",X115="是"),"卖出",IF(Y115="是","减仓",IF(W115="是","观察","持有"))))</f>
        <v/>
      </c>
      <c r="AB115" s="19" t="str">
        <f aca="false">IF($A115="","",IF(D115="是",IF(I115&lt;=E115*0.92,"立即卖出(WAIVED止损)","继续持有(WAIVED)"),IF(OR(M115&lt;=-10%,Q115="是"),"立即卖出",IF(OR(AA115="卖出",V115="是",X115="是"),"次日卖出",IF(AND(Y115="是",NOT(OR(Q115="是",M115&lt;=-8%,V115="是",X115="是"))),"减仓至上限",IF(W115="是","观察","继续持有"))))))</f>
        <v/>
      </c>
      <c r="AC115" s="19" t="str">
        <f aca="false">IF($A115="","",IF(Q115="是","触发止损",IF(M115&lt;=-8%,"固定止损",IF(V115="是","信号失效",IF(X115="是","确认一卖",IF(Y115="是","单股超限",IF(W115="是","DL_P弱化","规则内持有")))))))</f>
        <v/>
      </c>
      <c r="AD115" s="7"/>
    </row>
    <row r="116" customFormat="false" ht="15" hidden="false" customHeight="true" outlineLevel="0" collapsed="false">
      <c r="A116" s="5"/>
      <c r="B116" s="5"/>
      <c r="C116" s="5"/>
      <c r="D116" s="11"/>
      <c r="E116" s="14"/>
      <c r="F116" s="5"/>
      <c r="G116" s="17"/>
      <c r="H116" s="14"/>
      <c r="I116" s="14"/>
      <c r="J116" s="15" t="n">
        <f aca="false">IFERROR(G116*I116,0)</f>
        <v>0</v>
      </c>
      <c r="K116" s="15" t="n">
        <f aca="false">IFERROR(G116*H116,0)</f>
        <v>0</v>
      </c>
      <c r="L116" s="15" t="n">
        <f aca="false">IFERROR(J116-K116,0)</f>
        <v>0</v>
      </c>
      <c r="M116" s="16" t="n">
        <f aca="false">IFERROR((I116-H116)/H116,0)</f>
        <v>0</v>
      </c>
      <c r="N116" s="16" t="n">
        <f aca="false">IFERROR(J116/INDEX(账户总表!$B:$B,MATCH($A116,账户总表!$A:$A,0)),0)</f>
        <v>0</v>
      </c>
      <c r="O116" s="14"/>
      <c r="P116" s="15" t="str">
        <f aca="false">IF($A116="","",IF($D116="是",IF(E116&gt;0,E116*0.92,MAX(O116*0.98,H116*0.92)),MAX(O116*0.98,H116*0.92)))</f>
        <v/>
      </c>
      <c r="Q116" s="4" t="str">
        <f aca="false">IF($A116="","",IF(AND(I116&gt;0,P116&gt;0,I116&lt;=P116),"是","否"))</f>
        <v/>
      </c>
      <c r="R116" s="20"/>
      <c r="S116" s="5"/>
      <c r="T116" s="5"/>
      <c r="U116" s="5"/>
      <c r="V116" s="19" t="str">
        <f aca="false">IF($A116="","",IF(OR(AND(O116&gt;0,I116&lt;O116),AND(T116="False",S116&lt;0.8)),"是","否"))</f>
        <v/>
      </c>
      <c r="W116" s="19" t="str">
        <f aca="false">IF($A116="","",IF(AND(I116&lt;H116,S116&lt;0.8),"是","否"))</f>
        <v/>
      </c>
      <c r="X116" s="19" t="str">
        <f aca="false">IF($A116="","",IF(AND(R116&lt;60%,S116&gt;0.8,T116="True",U116="一卖"),"是","否"))</f>
        <v/>
      </c>
      <c r="Y116" s="19" t="str">
        <f aca="false">IF($A116="","",IF(D116="是","否",IF(N116&gt;LOOKUP(2,1/(账户总表!$A:$A&lt;&gt;""),账户总表!$O:$O),"是","否")))</f>
        <v/>
      </c>
      <c r="Z116" s="19" t="str">
        <f aca="false">IF($A116="","",IF(M116&gt;=0,"盈利","亏损"))</f>
        <v/>
      </c>
      <c r="AA116" s="19" t="str">
        <f aca="false">IF($A116="","",IF(OR(Q116="是",M116&lt;=-8%,V116="是",X116="是"),"卖出",IF(Y116="是","减仓",IF(W116="是","观察","持有"))))</f>
        <v/>
      </c>
      <c r="AB116" s="19" t="str">
        <f aca="false">IF($A116="","",IF(D116="是",IF(I116&lt;=E116*0.92,"立即卖出(WAIVED止损)","继续持有(WAIVED)"),IF(OR(M116&lt;=-10%,Q116="是"),"立即卖出",IF(OR(AA116="卖出",V116="是",X116="是"),"次日卖出",IF(AND(Y116="是",NOT(OR(Q116="是",M116&lt;=-8%,V116="是",X116="是"))),"减仓至上限",IF(W116="是","观察","继续持有"))))))</f>
        <v/>
      </c>
      <c r="AC116" s="19" t="str">
        <f aca="false">IF($A116="","",IF(Q116="是","触发止损",IF(M116&lt;=-8%,"固定止损",IF(V116="是","信号失效",IF(X116="是","确认一卖",IF(Y116="是","单股超限",IF(W116="是","DL_P弱化","规则内持有")))))))</f>
        <v/>
      </c>
      <c r="AD116" s="5"/>
    </row>
    <row r="117" customFormat="false" ht="15" hidden="false" customHeight="true" outlineLevel="0" collapsed="false">
      <c r="A117" s="7"/>
      <c r="B117" s="7"/>
      <c r="C117" s="7"/>
      <c r="D117" s="12"/>
      <c r="E117" s="24"/>
      <c r="F117" s="7"/>
      <c r="G117" s="25"/>
      <c r="H117" s="24"/>
      <c r="I117" s="24"/>
      <c r="J117" s="15" t="n">
        <f aca="false">IFERROR(G117*I117,0)</f>
        <v>0</v>
      </c>
      <c r="K117" s="15" t="n">
        <f aca="false">IFERROR(G117*H117,0)</f>
        <v>0</v>
      </c>
      <c r="L117" s="15" t="n">
        <f aca="false">IFERROR(J117-K117,0)</f>
        <v>0</v>
      </c>
      <c r="M117" s="16" t="n">
        <f aca="false">IFERROR((I117-H117)/H117,0)</f>
        <v>0</v>
      </c>
      <c r="N117" s="16" t="n">
        <f aca="false">IFERROR(J117/INDEX(账户总表!$B:$B,MATCH($A117,账户总表!$A:$A,0)),0)</f>
        <v>0</v>
      </c>
      <c r="O117" s="24"/>
      <c r="P117" s="15" t="str">
        <f aca="false">IF($A117="","",IF($D117="是",IF(E117&gt;0,E117*0.92,MAX(O117*0.98,H117*0.92)),MAX(O117*0.98,H117*0.92)))</f>
        <v/>
      </c>
      <c r="Q117" s="4" t="str">
        <f aca="false">IF($A117="","",IF(AND(I117&gt;0,P117&gt;0,I117&lt;=P117),"是","否"))</f>
        <v/>
      </c>
      <c r="R117" s="26"/>
      <c r="S117" s="7"/>
      <c r="T117" s="7"/>
      <c r="U117" s="7"/>
      <c r="V117" s="19" t="str">
        <f aca="false">IF($A117="","",IF(OR(AND(O117&gt;0,I117&lt;O117),AND(T117="False",S117&lt;0.8)),"是","否"))</f>
        <v/>
      </c>
      <c r="W117" s="19" t="str">
        <f aca="false">IF($A117="","",IF(AND(I117&lt;H117,S117&lt;0.8),"是","否"))</f>
        <v/>
      </c>
      <c r="X117" s="19" t="str">
        <f aca="false">IF($A117="","",IF(AND(R117&lt;60%,S117&gt;0.8,T117="True",U117="一卖"),"是","否"))</f>
        <v/>
      </c>
      <c r="Y117" s="19" t="str">
        <f aca="false">IF($A117="","",IF(D117="是","否",IF(N117&gt;LOOKUP(2,1/(账户总表!$A:$A&lt;&gt;""),账户总表!$O:$O),"是","否")))</f>
        <v/>
      </c>
      <c r="Z117" s="19" t="str">
        <f aca="false">IF($A117="","",IF(M117&gt;=0,"盈利","亏损"))</f>
        <v/>
      </c>
      <c r="AA117" s="19" t="str">
        <f aca="false">IF($A117="","",IF(OR(Q117="是",M117&lt;=-8%,V117="是",X117="是"),"卖出",IF(Y117="是","减仓",IF(W117="是","观察","持有"))))</f>
        <v/>
      </c>
      <c r="AB117" s="19" t="str">
        <f aca="false">IF($A117="","",IF(D117="是",IF(I117&lt;=E117*0.92,"立即卖出(WAIVED止损)","继续持有(WAIVED)"),IF(OR(M117&lt;=-10%,Q117="是"),"立即卖出",IF(OR(AA117="卖出",V117="是",X117="是"),"次日卖出",IF(AND(Y117="是",NOT(OR(Q117="是",M117&lt;=-8%,V117="是",X117="是"))),"减仓至上限",IF(W117="是","观察","继续持有"))))))</f>
        <v/>
      </c>
      <c r="AC117" s="19" t="str">
        <f aca="false">IF($A117="","",IF(Q117="是","触发止损",IF(M117&lt;=-8%,"固定止损",IF(V117="是","信号失效",IF(X117="是","确认一卖",IF(Y117="是","单股超限",IF(W117="是","DL_P弱化","规则内持有")))))))</f>
        <v/>
      </c>
      <c r="AD117" s="7"/>
    </row>
    <row r="118" customFormat="false" ht="15" hidden="false" customHeight="true" outlineLevel="0" collapsed="false">
      <c r="A118" s="5"/>
      <c r="B118" s="5"/>
      <c r="C118" s="5"/>
      <c r="D118" s="11"/>
      <c r="E118" s="14"/>
      <c r="F118" s="5"/>
      <c r="G118" s="17"/>
      <c r="H118" s="14"/>
      <c r="I118" s="14"/>
      <c r="J118" s="15" t="n">
        <f aca="false">IFERROR(G118*I118,0)</f>
        <v>0</v>
      </c>
      <c r="K118" s="15" t="n">
        <f aca="false">IFERROR(G118*H118,0)</f>
        <v>0</v>
      </c>
      <c r="L118" s="15" t="n">
        <f aca="false">IFERROR(J118-K118,0)</f>
        <v>0</v>
      </c>
      <c r="M118" s="16" t="n">
        <f aca="false">IFERROR((I118-H118)/H118,0)</f>
        <v>0</v>
      </c>
      <c r="N118" s="16" t="n">
        <f aca="false">IFERROR(J118/INDEX(账户总表!$B:$B,MATCH($A118,账户总表!$A:$A,0)),0)</f>
        <v>0</v>
      </c>
      <c r="O118" s="14"/>
      <c r="P118" s="15" t="str">
        <f aca="false">IF($A118="","",IF($D118="是",IF(E118&gt;0,E118*0.92,MAX(O118*0.98,H118*0.92)),MAX(O118*0.98,H118*0.92)))</f>
        <v/>
      </c>
      <c r="Q118" s="4" t="str">
        <f aca="false">IF($A118="","",IF(AND(I118&gt;0,P118&gt;0,I118&lt;=P118),"是","否"))</f>
        <v/>
      </c>
      <c r="R118" s="20"/>
      <c r="S118" s="5"/>
      <c r="T118" s="5"/>
      <c r="U118" s="5"/>
      <c r="V118" s="19" t="str">
        <f aca="false">IF($A118="","",IF(OR(AND(O118&gt;0,I118&lt;O118),AND(T118="False",S118&lt;0.8)),"是","否"))</f>
        <v/>
      </c>
      <c r="W118" s="19" t="str">
        <f aca="false">IF($A118="","",IF(AND(I118&lt;H118,S118&lt;0.8),"是","否"))</f>
        <v/>
      </c>
      <c r="X118" s="19" t="str">
        <f aca="false">IF($A118="","",IF(AND(R118&lt;60%,S118&gt;0.8,T118="True",U118="一卖"),"是","否"))</f>
        <v/>
      </c>
      <c r="Y118" s="19" t="str">
        <f aca="false">IF($A118="","",IF(D118="是","否",IF(N118&gt;LOOKUP(2,1/(账户总表!$A:$A&lt;&gt;""),账户总表!$O:$O),"是","否")))</f>
        <v/>
      </c>
      <c r="Z118" s="19" t="str">
        <f aca="false">IF($A118="","",IF(M118&gt;=0,"盈利","亏损"))</f>
        <v/>
      </c>
      <c r="AA118" s="19" t="str">
        <f aca="false">IF($A118="","",IF(OR(Q118="是",M118&lt;=-8%,V118="是",X118="是"),"卖出",IF(Y118="是","减仓",IF(W118="是","观察","持有"))))</f>
        <v/>
      </c>
      <c r="AB118" s="19" t="str">
        <f aca="false">IF($A118="","",IF(D118="是",IF(I118&lt;=E118*0.92,"立即卖出(WAIVED止损)","继续持有(WAIVED)"),IF(OR(M118&lt;=-10%,Q118="是"),"立即卖出",IF(OR(AA118="卖出",V118="是",X118="是"),"次日卖出",IF(AND(Y118="是",NOT(OR(Q118="是",M118&lt;=-8%,V118="是",X118="是"))),"减仓至上限",IF(W118="是","观察","继续持有"))))))</f>
        <v/>
      </c>
      <c r="AC118" s="19" t="str">
        <f aca="false">IF($A118="","",IF(Q118="是","触发止损",IF(M118&lt;=-8%,"固定止损",IF(V118="是","信号失效",IF(X118="是","确认一卖",IF(Y118="是","单股超限",IF(W118="是","DL_P弱化","规则内持有")))))))</f>
        <v/>
      </c>
      <c r="AD118" s="5"/>
    </row>
    <row r="119" customFormat="false" ht="15" hidden="false" customHeight="true" outlineLevel="0" collapsed="false">
      <c r="A119" s="7"/>
      <c r="B119" s="7"/>
      <c r="C119" s="7"/>
      <c r="D119" s="12"/>
      <c r="E119" s="24"/>
      <c r="F119" s="7"/>
      <c r="G119" s="25"/>
      <c r="H119" s="24"/>
      <c r="I119" s="24"/>
      <c r="J119" s="15" t="n">
        <f aca="false">IFERROR(G119*I119,0)</f>
        <v>0</v>
      </c>
      <c r="K119" s="15" t="n">
        <f aca="false">IFERROR(G119*H119,0)</f>
        <v>0</v>
      </c>
      <c r="L119" s="15" t="n">
        <f aca="false">IFERROR(J119-K119,0)</f>
        <v>0</v>
      </c>
      <c r="M119" s="16" t="n">
        <f aca="false">IFERROR((I119-H119)/H119,0)</f>
        <v>0</v>
      </c>
      <c r="N119" s="16" t="n">
        <f aca="false">IFERROR(J119/INDEX(账户总表!$B:$B,MATCH($A119,账户总表!$A:$A,0)),0)</f>
        <v>0</v>
      </c>
      <c r="O119" s="24"/>
      <c r="P119" s="15" t="str">
        <f aca="false">IF($A119="","",IF($D119="是",IF(E119&gt;0,E119*0.92,MAX(O119*0.98,H119*0.92)),MAX(O119*0.98,H119*0.92)))</f>
        <v/>
      </c>
      <c r="Q119" s="4" t="str">
        <f aca="false">IF($A119="","",IF(AND(I119&gt;0,P119&gt;0,I119&lt;=P119),"是","否"))</f>
        <v/>
      </c>
      <c r="R119" s="26"/>
      <c r="S119" s="7"/>
      <c r="T119" s="7"/>
      <c r="U119" s="7"/>
      <c r="V119" s="19" t="str">
        <f aca="false">IF($A119="","",IF(OR(AND(O119&gt;0,I119&lt;O119),AND(T119="False",S119&lt;0.8)),"是","否"))</f>
        <v/>
      </c>
      <c r="W119" s="19" t="str">
        <f aca="false">IF($A119="","",IF(AND(I119&lt;H119,S119&lt;0.8),"是","否"))</f>
        <v/>
      </c>
      <c r="X119" s="19" t="str">
        <f aca="false">IF($A119="","",IF(AND(R119&lt;60%,S119&gt;0.8,T119="True",U119="一卖"),"是","否"))</f>
        <v/>
      </c>
      <c r="Y119" s="19" t="str">
        <f aca="false">IF($A119="","",IF(D119="是","否",IF(N119&gt;LOOKUP(2,1/(账户总表!$A:$A&lt;&gt;""),账户总表!$O:$O),"是","否")))</f>
        <v/>
      </c>
      <c r="Z119" s="19" t="str">
        <f aca="false">IF($A119="","",IF(M119&gt;=0,"盈利","亏损"))</f>
        <v/>
      </c>
      <c r="AA119" s="19" t="str">
        <f aca="false">IF($A119="","",IF(OR(Q119="是",M119&lt;=-8%,V119="是",X119="是"),"卖出",IF(Y119="是","减仓",IF(W119="是","观察","持有"))))</f>
        <v/>
      </c>
      <c r="AB119" s="19" t="str">
        <f aca="false">IF($A119="","",IF(D119="是",IF(I119&lt;=E119*0.92,"立即卖出(WAIVED止损)","继续持有(WAIVED)"),IF(OR(M119&lt;=-10%,Q119="是"),"立即卖出",IF(OR(AA119="卖出",V119="是",X119="是"),"次日卖出",IF(AND(Y119="是",NOT(OR(Q119="是",M119&lt;=-8%,V119="是",X119="是"))),"减仓至上限",IF(W119="是","观察","继续持有"))))))</f>
        <v/>
      </c>
      <c r="AC119" s="19" t="str">
        <f aca="false">IF($A119="","",IF(Q119="是","触发止损",IF(M119&lt;=-8%,"固定止损",IF(V119="是","信号失效",IF(X119="是","确认一卖",IF(Y119="是","单股超限",IF(W119="是","DL_P弱化","规则内持有")))))))</f>
        <v/>
      </c>
      <c r="AD119" s="7"/>
    </row>
    <row r="120" customFormat="false" ht="15" hidden="false" customHeight="true" outlineLevel="0" collapsed="false">
      <c r="A120" s="5"/>
      <c r="B120" s="5"/>
      <c r="C120" s="5"/>
      <c r="D120" s="11"/>
      <c r="E120" s="14"/>
      <c r="F120" s="5"/>
      <c r="G120" s="17"/>
      <c r="H120" s="14"/>
      <c r="I120" s="14"/>
      <c r="J120" s="15" t="n">
        <f aca="false">IFERROR(G120*I120,0)</f>
        <v>0</v>
      </c>
      <c r="K120" s="15" t="n">
        <f aca="false">IFERROR(G120*H120,0)</f>
        <v>0</v>
      </c>
      <c r="L120" s="15" t="n">
        <f aca="false">IFERROR(J120-K120,0)</f>
        <v>0</v>
      </c>
      <c r="M120" s="16" t="n">
        <f aca="false">IFERROR((I120-H120)/H120,0)</f>
        <v>0</v>
      </c>
      <c r="N120" s="16" t="n">
        <f aca="false">IFERROR(J120/INDEX(账户总表!$B:$B,MATCH($A120,账户总表!$A:$A,0)),0)</f>
        <v>0</v>
      </c>
      <c r="O120" s="14"/>
      <c r="P120" s="15" t="str">
        <f aca="false">IF($A120="","",IF($D120="是",IF(E120&gt;0,E120*0.92,MAX(O120*0.98,H120*0.92)),MAX(O120*0.98,H120*0.92)))</f>
        <v/>
      </c>
      <c r="Q120" s="4" t="str">
        <f aca="false">IF($A120="","",IF(AND(I120&gt;0,P120&gt;0,I120&lt;=P120),"是","否"))</f>
        <v/>
      </c>
      <c r="R120" s="20"/>
      <c r="S120" s="5"/>
      <c r="T120" s="5"/>
      <c r="U120" s="5"/>
      <c r="V120" s="19" t="str">
        <f aca="false">IF($A120="","",IF(OR(AND(O120&gt;0,I120&lt;O120),AND(T120="False",S120&lt;0.8)),"是","否"))</f>
        <v/>
      </c>
      <c r="W120" s="19" t="str">
        <f aca="false">IF($A120="","",IF(AND(I120&lt;H120,S120&lt;0.8),"是","否"))</f>
        <v/>
      </c>
      <c r="X120" s="19" t="str">
        <f aca="false">IF($A120="","",IF(AND(R120&lt;60%,S120&gt;0.8,T120="True",U120="一卖"),"是","否"))</f>
        <v/>
      </c>
      <c r="Y120" s="19" t="str">
        <f aca="false">IF($A120="","",IF(D120="是","否",IF(N120&gt;LOOKUP(2,1/(账户总表!$A:$A&lt;&gt;""),账户总表!$O:$O),"是","否")))</f>
        <v/>
      </c>
      <c r="Z120" s="19" t="str">
        <f aca="false">IF($A120="","",IF(M120&gt;=0,"盈利","亏损"))</f>
        <v/>
      </c>
      <c r="AA120" s="19" t="str">
        <f aca="false">IF($A120="","",IF(OR(Q120="是",M120&lt;=-8%,V120="是",X120="是"),"卖出",IF(Y120="是","减仓",IF(W120="是","观察","持有"))))</f>
        <v/>
      </c>
      <c r="AB120" s="19" t="str">
        <f aca="false">IF($A120="","",IF(D120="是",IF(I120&lt;=E120*0.92,"立即卖出(WAIVED止损)","继续持有(WAIVED)"),IF(OR(M120&lt;=-10%,Q120="是"),"立即卖出",IF(OR(AA120="卖出",V120="是",X120="是"),"次日卖出",IF(AND(Y120="是",NOT(OR(Q120="是",M120&lt;=-8%,V120="是",X120="是"))),"减仓至上限",IF(W120="是","观察","继续持有"))))))</f>
        <v/>
      </c>
      <c r="AC120" s="19" t="str">
        <f aca="false">IF($A120="","",IF(Q120="是","触发止损",IF(M120&lt;=-8%,"固定止损",IF(V120="是","信号失效",IF(X120="是","确认一卖",IF(Y120="是","单股超限",IF(W120="是","DL_P弱化","规则内持有")))))))</f>
        <v/>
      </c>
      <c r="AD120" s="5"/>
    </row>
    <row r="121" customFormat="false" ht="15" hidden="false" customHeight="true" outlineLevel="0" collapsed="false">
      <c r="A121" s="7"/>
      <c r="B121" s="7"/>
      <c r="C121" s="7"/>
      <c r="D121" s="12"/>
      <c r="E121" s="24"/>
      <c r="F121" s="7"/>
      <c r="G121" s="25"/>
      <c r="H121" s="24"/>
      <c r="I121" s="24"/>
      <c r="J121" s="15" t="n">
        <f aca="false">IFERROR(G121*I121,0)</f>
        <v>0</v>
      </c>
      <c r="K121" s="15" t="n">
        <f aca="false">IFERROR(G121*H121,0)</f>
        <v>0</v>
      </c>
      <c r="L121" s="15" t="n">
        <f aca="false">IFERROR(J121-K121,0)</f>
        <v>0</v>
      </c>
      <c r="M121" s="16" t="n">
        <f aca="false">IFERROR((I121-H121)/H121,0)</f>
        <v>0</v>
      </c>
      <c r="N121" s="16" t="n">
        <f aca="false">IFERROR(J121/INDEX(账户总表!$B:$B,MATCH($A121,账户总表!$A:$A,0)),0)</f>
        <v>0</v>
      </c>
      <c r="O121" s="24"/>
      <c r="P121" s="15" t="str">
        <f aca="false">IF($A121="","",IF($D121="是",IF(E121&gt;0,E121*0.92,MAX(O121*0.98,H121*0.92)),MAX(O121*0.98,H121*0.92)))</f>
        <v/>
      </c>
      <c r="Q121" s="4" t="str">
        <f aca="false">IF($A121="","",IF(AND(I121&gt;0,P121&gt;0,I121&lt;=P121),"是","否"))</f>
        <v/>
      </c>
      <c r="R121" s="26"/>
      <c r="S121" s="7"/>
      <c r="T121" s="7"/>
      <c r="U121" s="7"/>
      <c r="V121" s="19" t="str">
        <f aca="false">IF($A121="","",IF(OR(AND(O121&gt;0,I121&lt;O121),AND(T121="False",S121&lt;0.8)),"是","否"))</f>
        <v/>
      </c>
      <c r="W121" s="19" t="str">
        <f aca="false">IF($A121="","",IF(AND(I121&lt;H121,S121&lt;0.8),"是","否"))</f>
        <v/>
      </c>
      <c r="X121" s="19" t="str">
        <f aca="false">IF($A121="","",IF(AND(R121&lt;60%,S121&gt;0.8,T121="True",U121="一卖"),"是","否"))</f>
        <v/>
      </c>
      <c r="Y121" s="19" t="str">
        <f aca="false">IF($A121="","",IF(D121="是","否",IF(N121&gt;LOOKUP(2,1/(账户总表!$A:$A&lt;&gt;""),账户总表!$O:$O),"是","否")))</f>
        <v/>
      </c>
      <c r="Z121" s="19" t="str">
        <f aca="false">IF($A121="","",IF(M121&gt;=0,"盈利","亏损"))</f>
        <v/>
      </c>
      <c r="AA121" s="19" t="str">
        <f aca="false">IF($A121="","",IF(OR(Q121="是",M121&lt;=-8%,V121="是",X121="是"),"卖出",IF(Y121="是","减仓",IF(W121="是","观察","持有"))))</f>
        <v/>
      </c>
      <c r="AB121" s="19" t="str">
        <f aca="false">IF($A121="","",IF(D121="是",IF(I121&lt;=E121*0.92,"立即卖出(WAIVED止损)","继续持有(WAIVED)"),IF(OR(M121&lt;=-10%,Q121="是"),"立即卖出",IF(OR(AA121="卖出",V121="是",X121="是"),"次日卖出",IF(AND(Y121="是",NOT(OR(Q121="是",M121&lt;=-8%,V121="是",X121="是"))),"减仓至上限",IF(W121="是","观察","继续持有"))))))</f>
        <v/>
      </c>
      <c r="AC121" s="19" t="str">
        <f aca="false">IF($A121="","",IF(Q121="是","触发止损",IF(M121&lt;=-8%,"固定止损",IF(V121="是","信号失效",IF(X121="是","确认一卖",IF(Y121="是","单股超限",IF(W121="是","DL_P弱化","规则内持有")))))))</f>
        <v/>
      </c>
      <c r="AD121" s="7"/>
    </row>
    <row r="122" customFormat="false" ht="15" hidden="false" customHeight="true" outlineLevel="0" collapsed="false">
      <c r="A122" s="5"/>
      <c r="B122" s="5"/>
      <c r="C122" s="5"/>
      <c r="D122" s="11"/>
      <c r="E122" s="14"/>
      <c r="F122" s="5"/>
      <c r="G122" s="17"/>
      <c r="H122" s="14"/>
      <c r="I122" s="14"/>
      <c r="J122" s="15" t="n">
        <f aca="false">IFERROR(G122*I122,0)</f>
        <v>0</v>
      </c>
      <c r="K122" s="15" t="n">
        <f aca="false">IFERROR(G122*H122,0)</f>
        <v>0</v>
      </c>
      <c r="L122" s="15" t="n">
        <f aca="false">IFERROR(J122-K122,0)</f>
        <v>0</v>
      </c>
      <c r="M122" s="16" t="n">
        <f aca="false">IFERROR((I122-H122)/H122,0)</f>
        <v>0</v>
      </c>
      <c r="N122" s="16" t="n">
        <f aca="false">IFERROR(J122/INDEX(账户总表!$B:$B,MATCH($A122,账户总表!$A:$A,0)),0)</f>
        <v>0</v>
      </c>
      <c r="O122" s="14"/>
      <c r="P122" s="15" t="str">
        <f aca="false">IF($A122="","",IF($D122="是",IF(E122&gt;0,E122*0.92,MAX(O122*0.98,H122*0.92)),MAX(O122*0.98,H122*0.92)))</f>
        <v/>
      </c>
      <c r="Q122" s="4" t="str">
        <f aca="false">IF($A122="","",IF(AND(I122&gt;0,P122&gt;0,I122&lt;=P122),"是","否"))</f>
        <v/>
      </c>
      <c r="R122" s="20"/>
      <c r="S122" s="5"/>
      <c r="T122" s="5"/>
      <c r="U122" s="5"/>
      <c r="V122" s="19" t="str">
        <f aca="false">IF($A122="","",IF(OR(AND(O122&gt;0,I122&lt;O122),AND(T122="False",S122&lt;0.8)),"是","否"))</f>
        <v/>
      </c>
      <c r="W122" s="19" t="str">
        <f aca="false">IF($A122="","",IF(AND(I122&lt;H122,S122&lt;0.8),"是","否"))</f>
        <v/>
      </c>
      <c r="X122" s="19" t="str">
        <f aca="false">IF($A122="","",IF(AND(R122&lt;60%,S122&gt;0.8,T122="True",U122="一卖"),"是","否"))</f>
        <v/>
      </c>
      <c r="Y122" s="19" t="str">
        <f aca="false">IF($A122="","",IF(D122="是","否",IF(N122&gt;LOOKUP(2,1/(账户总表!$A:$A&lt;&gt;""),账户总表!$O:$O),"是","否")))</f>
        <v/>
      </c>
      <c r="Z122" s="19" t="str">
        <f aca="false">IF($A122="","",IF(M122&gt;=0,"盈利","亏损"))</f>
        <v/>
      </c>
      <c r="AA122" s="19" t="str">
        <f aca="false">IF($A122="","",IF(OR(Q122="是",M122&lt;=-8%,V122="是",X122="是"),"卖出",IF(Y122="是","减仓",IF(W122="是","观察","持有"))))</f>
        <v/>
      </c>
      <c r="AB122" s="19" t="str">
        <f aca="false">IF($A122="","",IF(D122="是",IF(I122&lt;=E122*0.92,"立即卖出(WAIVED止损)","继续持有(WAIVED)"),IF(OR(M122&lt;=-10%,Q122="是"),"立即卖出",IF(OR(AA122="卖出",V122="是",X122="是"),"次日卖出",IF(AND(Y122="是",NOT(OR(Q122="是",M122&lt;=-8%,V122="是",X122="是"))),"减仓至上限",IF(W122="是","观察","继续持有"))))))</f>
        <v/>
      </c>
      <c r="AC122" s="19" t="str">
        <f aca="false">IF($A122="","",IF(Q122="是","触发止损",IF(M122&lt;=-8%,"固定止损",IF(V122="是","信号失效",IF(X122="是","确认一卖",IF(Y122="是","单股超限",IF(W122="是","DL_P弱化","规则内持有")))))))</f>
        <v/>
      </c>
      <c r="AD122" s="5"/>
    </row>
    <row r="123" customFormat="false" ht="15" hidden="false" customHeight="true" outlineLevel="0" collapsed="false">
      <c r="A123" s="7"/>
      <c r="B123" s="7"/>
      <c r="C123" s="7"/>
      <c r="D123" s="12"/>
      <c r="E123" s="24"/>
      <c r="F123" s="7"/>
      <c r="G123" s="25"/>
      <c r="H123" s="24"/>
      <c r="I123" s="24"/>
      <c r="J123" s="15" t="n">
        <f aca="false">IFERROR(G123*I123,0)</f>
        <v>0</v>
      </c>
      <c r="K123" s="15" t="n">
        <f aca="false">IFERROR(G123*H123,0)</f>
        <v>0</v>
      </c>
      <c r="L123" s="15" t="n">
        <f aca="false">IFERROR(J123-K123,0)</f>
        <v>0</v>
      </c>
      <c r="M123" s="16" t="n">
        <f aca="false">IFERROR((I123-H123)/H123,0)</f>
        <v>0</v>
      </c>
      <c r="N123" s="16" t="n">
        <f aca="false">IFERROR(J123/INDEX(账户总表!$B:$B,MATCH($A123,账户总表!$A:$A,0)),0)</f>
        <v>0</v>
      </c>
      <c r="O123" s="24"/>
      <c r="P123" s="15" t="str">
        <f aca="false">IF($A123="","",IF($D123="是",IF(E123&gt;0,E123*0.92,MAX(O123*0.98,H123*0.92)),MAX(O123*0.98,H123*0.92)))</f>
        <v/>
      </c>
      <c r="Q123" s="4" t="str">
        <f aca="false">IF($A123="","",IF(AND(I123&gt;0,P123&gt;0,I123&lt;=P123),"是","否"))</f>
        <v/>
      </c>
      <c r="R123" s="26"/>
      <c r="S123" s="7"/>
      <c r="T123" s="7"/>
      <c r="U123" s="7"/>
      <c r="V123" s="19" t="str">
        <f aca="false">IF($A123="","",IF(OR(AND(O123&gt;0,I123&lt;O123),AND(T123="False",S123&lt;0.8)),"是","否"))</f>
        <v/>
      </c>
      <c r="W123" s="19" t="str">
        <f aca="false">IF($A123="","",IF(AND(I123&lt;H123,S123&lt;0.8),"是","否"))</f>
        <v/>
      </c>
      <c r="X123" s="19" t="str">
        <f aca="false">IF($A123="","",IF(AND(R123&lt;60%,S123&gt;0.8,T123="True",U123="一卖"),"是","否"))</f>
        <v/>
      </c>
      <c r="Y123" s="19" t="str">
        <f aca="false">IF($A123="","",IF(D123="是","否",IF(N123&gt;LOOKUP(2,1/(账户总表!$A:$A&lt;&gt;""),账户总表!$O:$O),"是","否")))</f>
        <v/>
      </c>
      <c r="Z123" s="19" t="str">
        <f aca="false">IF($A123="","",IF(M123&gt;=0,"盈利","亏损"))</f>
        <v/>
      </c>
      <c r="AA123" s="19" t="str">
        <f aca="false">IF($A123="","",IF(OR(Q123="是",M123&lt;=-8%,V123="是",X123="是"),"卖出",IF(Y123="是","减仓",IF(W123="是","观察","持有"))))</f>
        <v/>
      </c>
      <c r="AB123" s="19" t="str">
        <f aca="false">IF($A123="","",IF(D123="是",IF(I123&lt;=E123*0.92,"立即卖出(WAIVED止损)","继续持有(WAIVED)"),IF(OR(M123&lt;=-10%,Q123="是"),"立即卖出",IF(OR(AA123="卖出",V123="是",X123="是"),"次日卖出",IF(AND(Y123="是",NOT(OR(Q123="是",M123&lt;=-8%,V123="是",X123="是"))),"减仓至上限",IF(W123="是","观察","继续持有"))))))</f>
        <v/>
      </c>
      <c r="AC123" s="19" t="str">
        <f aca="false">IF($A123="","",IF(Q123="是","触发止损",IF(M123&lt;=-8%,"固定止损",IF(V123="是","信号失效",IF(X123="是","确认一卖",IF(Y123="是","单股超限",IF(W123="是","DL_P弱化","规则内持有")))))))</f>
        <v/>
      </c>
      <c r="AD123" s="7"/>
    </row>
    <row r="124" customFormat="false" ht="15" hidden="false" customHeight="true" outlineLevel="0" collapsed="false">
      <c r="A124" s="5"/>
      <c r="B124" s="5"/>
      <c r="C124" s="5"/>
      <c r="D124" s="11"/>
      <c r="E124" s="14"/>
      <c r="F124" s="5"/>
      <c r="G124" s="17"/>
      <c r="H124" s="14"/>
      <c r="I124" s="14"/>
      <c r="J124" s="15" t="n">
        <f aca="false">IFERROR(G124*I124,0)</f>
        <v>0</v>
      </c>
      <c r="K124" s="15" t="n">
        <f aca="false">IFERROR(G124*H124,0)</f>
        <v>0</v>
      </c>
      <c r="L124" s="15" t="n">
        <f aca="false">IFERROR(J124-K124,0)</f>
        <v>0</v>
      </c>
      <c r="M124" s="16" t="n">
        <f aca="false">IFERROR((I124-H124)/H124,0)</f>
        <v>0</v>
      </c>
      <c r="N124" s="16" t="n">
        <f aca="false">IFERROR(J124/INDEX(账户总表!$B:$B,MATCH($A124,账户总表!$A:$A,0)),0)</f>
        <v>0</v>
      </c>
      <c r="O124" s="14"/>
      <c r="P124" s="15" t="str">
        <f aca="false">IF($A124="","",IF($D124="是",IF(E124&gt;0,E124*0.92,MAX(O124*0.98,H124*0.92)),MAX(O124*0.98,H124*0.92)))</f>
        <v/>
      </c>
      <c r="Q124" s="4" t="str">
        <f aca="false">IF($A124="","",IF(AND(I124&gt;0,P124&gt;0,I124&lt;=P124),"是","否"))</f>
        <v/>
      </c>
      <c r="R124" s="20"/>
      <c r="S124" s="5"/>
      <c r="T124" s="5"/>
      <c r="U124" s="5"/>
      <c r="V124" s="19" t="str">
        <f aca="false">IF($A124="","",IF(OR(AND(O124&gt;0,I124&lt;O124),AND(T124="False",S124&lt;0.8)),"是","否"))</f>
        <v/>
      </c>
      <c r="W124" s="19" t="str">
        <f aca="false">IF($A124="","",IF(AND(I124&lt;H124,S124&lt;0.8),"是","否"))</f>
        <v/>
      </c>
      <c r="X124" s="19" t="str">
        <f aca="false">IF($A124="","",IF(AND(R124&lt;60%,S124&gt;0.8,T124="True",U124="一卖"),"是","否"))</f>
        <v/>
      </c>
      <c r="Y124" s="19" t="str">
        <f aca="false">IF($A124="","",IF(D124="是","否",IF(N124&gt;LOOKUP(2,1/(账户总表!$A:$A&lt;&gt;""),账户总表!$O:$O),"是","否")))</f>
        <v/>
      </c>
      <c r="Z124" s="19" t="str">
        <f aca="false">IF($A124="","",IF(M124&gt;=0,"盈利","亏损"))</f>
        <v/>
      </c>
      <c r="AA124" s="19" t="str">
        <f aca="false">IF($A124="","",IF(OR(Q124="是",M124&lt;=-8%,V124="是",X124="是"),"卖出",IF(Y124="是","减仓",IF(W124="是","观察","持有"))))</f>
        <v/>
      </c>
      <c r="AB124" s="19" t="str">
        <f aca="false">IF($A124="","",IF(D124="是",IF(I124&lt;=E124*0.92,"立即卖出(WAIVED止损)","继续持有(WAIVED)"),IF(OR(M124&lt;=-10%,Q124="是"),"立即卖出",IF(OR(AA124="卖出",V124="是",X124="是"),"次日卖出",IF(AND(Y124="是",NOT(OR(Q124="是",M124&lt;=-8%,V124="是",X124="是"))),"减仓至上限",IF(W124="是","观察","继续持有"))))))</f>
        <v/>
      </c>
      <c r="AC124" s="19" t="str">
        <f aca="false">IF($A124="","",IF(Q124="是","触发止损",IF(M124&lt;=-8%,"固定止损",IF(V124="是","信号失效",IF(X124="是","确认一卖",IF(Y124="是","单股超限",IF(W124="是","DL_P弱化","规则内持有")))))))</f>
        <v/>
      </c>
      <c r="AD124" s="5"/>
    </row>
    <row r="125" customFormat="false" ht="15" hidden="false" customHeight="true" outlineLevel="0" collapsed="false">
      <c r="A125" s="7"/>
      <c r="B125" s="7"/>
      <c r="C125" s="7"/>
      <c r="D125" s="12"/>
      <c r="E125" s="24"/>
      <c r="F125" s="7"/>
      <c r="G125" s="25"/>
      <c r="H125" s="24"/>
      <c r="I125" s="24"/>
      <c r="J125" s="15" t="n">
        <f aca="false">IFERROR(G125*I125,0)</f>
        <v>0</v>
      </c>
      <c r="K125" s="15" t="n">
        <f aca="false">IFERROR(G125*H125,0)</f>
        <v>0</v>
      </c>
      <c r="L125" s="15" t="n">
        <f aca="false">IFERROR(J125-K125,0)</f>
        <v>0</v>
      </c>
      <c r="M125" s="16" t="n">
        <f aca="false">IFERROR((I125-H125)/H125,0)</f>
        <v>0</v>
      </c>
      <c r="N125" s="16" t="n">
        <f aca="false">IFERROR(J125/INDEX(账户总表!$B:$B,MATCH($A125,账户总表!$A:$A,0)),0)</f>
        <v>0</v>
      </c>
      <c r="O125" s="24"/>
      <c r="P125" s="15" t="str">
        <f aca="false">IF($A125="","",IF($D125="是",IF(E125&gt;0,E125*0.92,MAX(O125*0.98,H125*0.92)),MAX(O125*0.98,H125*0.92)))</f>
        <v/>
      </c>
      <c r="Q125" s="4" t="str">
        <f aca="false">IF($A125="","",IF(AND(I125&gt;0,P125&gt;0,I125&lt;=P125),"是","否"))</f>
        <v/>
      </c>
      <c r="R125" s="26"/>
      <c r="S125" s="7"/>
      <c r="T125" s="7"/>
      <c r="U125" s="7"/>
      <c r="V125" s="19" t="str">
        <f aca="false">IF($A125="","",IF(OR(AND(O125&gt;0,I125&lt;O125),AND(T125="False",S125&lt;0.8)),"是","否"))</f>
        <v/>
      </c>
      <c r="W125" s="19" t="str">
        <f aca="false">IF($A125="","",IF(AND(I125&lt;H125,S125&lt;0.8),"是","否"))</f>
        <v/>
      </c>
      <c r="X125" s="19" t="str">
        <f aca="false">IF($A125="","",IF(AND(R125&lt;60%,S125&gt;0.8,T125="True",U125="一卖"),"是","否"))</f>
        <v/>
      </c>
      <c r="Y125" s="19" t="str">
        <f aca="false">IF($A125="","",IF(D125="是","否",IF(N125&gt;LOOKUP(2,1/(账户总表!$A:$A&lt;&gt;""),账户总表!$O:$O),"是","否")))</f>
        <v/>
      </c>
      <c r="Z125" s="19" t="str">
        <f aca="false">IF($A125="","",IF(M125&gt;=0,"盈利","亏损"))</f>
        <v/>
      </c>
      <c r="AA125" s="19" t="str">
        <f aca="false">IF($A125="","",IF(OR(Q125="是",M125&lt;=-8%,V125="是",X125="是"),"卖出",IF(Y125="是","减仓",IF(W125="是","观察","持有"))))</f>
        <v/>
      </c>
      <c r="AB125" s="19" t="str">
        <f aca="false">IF($A125="","",IF(D125="是",IF(I125&lt;=E125*0.92,"立即卖出(WAIVED止损)","继续持有(WAIVED)"),IF(OR(M125&lt;=-10%,Q125="是"),"立即卖出",IF(OR(AA125="卖出",V125="是",X125="是"),"次日卖出",IF(AND(Y125="是",NOT(OR(Q125="是",M125&lt;=-8%,V125="是",X125="是"))),"减仓至上限",IF(W125="是","观察","继续持有"))))))</f>
        <v/>
      </c>
      <c r="AC125" s="19" t="str">
        <f aca="false">IF($A125="","",IF(Q125="是","触发止损",IF(M125&lt;=-8%,"固定止损",IF(V125="是","信号失效",IF(X125="是","确认一卖",IF(Y125="是","单股超限",IF(W125="是","DL_P弱化","规则内持有")))))))</f>
        <v/>
      </c>
      <c r="AD125" s="7"/>
    </row>
    <row r="126" customFormat="false" ht="15" hidden="false" customHeight="true" outlineLevel="0" collapsed="false">
      <c r="A126" s="5"/>
      <c r="B126" s="5"/>
      <c r="C126" s="5"/>
      <c r="D126" s="11"/>
      <c r="E126" s="14"/>
      <c r="F126" s="5"/>
      <c r="G126" s="17"/>
      <c r="H126" s="14"/>
      <c r="I126" s="14"/>
      <c r="J126" s="15" t="n">
        <f aca="false">IFERROR(G126*I126,0)</f>
        <v>0</v>
      </c>
      <c r="K126" s="15" t="n">
        <f aca="false">IFERROR(G126*H126,0)</f>
        <v>0</v>
      </c>
      <c r="L126" s="15" t="n">
        <f aca="false">IFERROR(J126-K126,0)</f>
        <v>0</v>
      </c>
      <c r="M126" s="16" t="n">
        <f aca="false">IFERROR((I126-H126)/H126,0)</f>
        <v>0</v>
      </c>
      <c r="N126" s="16" t="n">
        <f aca="false">IFERROR(J126/INDEX(账户总表!$B:$B,MATCH($A126,账户总表!$A:$A,0)),0)</f>
        <v>0</v>
      </c>
      <c r="O126" s="14"/>
      <c r="P126" s="15" t="str">
        <f aca="false">IF($A126="","",IF($D126="是",IF(E126&gt;0,E126*0.92,MAX(O126*0.98,H126*0.92)),MAX(O126*0.98,H126*0.92)))</f>
        <v/>
      </c>
      <c r="Q126" s="4" t="str">
        <f aca="false">IF($A126="","",IF(AND(I126&gt;0,P126&gt;0,I126&lt;=P126),"是","否"))</f>
        <v/>
      </c>
      <c r="R126" s="20"/>
      <c r="S126" s="5"/>
      <c r="T126" s="5"/>
      <c r="U126" s="5"/>
      <c r="V126" s="19" t="str">
        <f aca="false">IF($A126="","",IF(OR(AND(O126&gt;0,I126&lt;O126),AND(T126="False",S126&lt;0.8)),"是","否"))</f>
        <v/>
      </c>
      <c r="W126" s="19" t="str">
        <f aca="false">IF($A126="","",IF(AND(I126&lt;H126,S126&lt;0.8),"是","否"))</f>
        <v/>
      </c>
      <c r="X126" s="19" t="str">
        <f aca="false">IF($A126="","",IF(AND(R126&lt;60%,S126&gt;0.8,T126="True",U126="一卖"),"是","否"))</f>
        <v/>
      </c>
      <c r="Y126" s="19" t="str">
        <f aca="false">IF($A126="","",IF(D126="是","否",IF(N126&gt;LOOKUP(2,1/(账户总表!$A:$A&lt;&gt;""),账户总表!$O:$O),"是","否")))</f>
        <v/>
      </c>
      <c r="Z126" s="19" t="str">
        <f aca="false">IF($A126="","",IF(M126&gt;=0,"盈利","亏损"))</f>
        <v/>
      </c>
      <c r="AA126" s="19" t="str">
        <f aca="false">IF($A126="","",IF(OR(Q126="是",M126&lt;=-8%,V126="是",X126="是"),"卖出",IF(Y126="是","减仓",IF(W126="是","观察","持有"))))</f>
        <v/>
      </c>
      <c r="AB126" s="19" t="str">
        <f aca="false">IF($A126="","",IF(D126="是",IF(I126&lt;=E126*0.92,"立即卖出(WAIVED止损)","继续持有(WAIVED)"),IF(OR(M126&lt;=-10%,Q126="是"),"立即卖出",IF(OR(AA126="卖出",V126="是",X126="是"),"次日卖出",IF(AND(Y126="是",NOT(OR(Q126="是",M126&lt;=-8%,V126="是",X126="是"))),"减仓至上限",IF(W126="是","观察","继续持有"))))))</f>
        <v/>
      </c>
      <c r="AC126" s="19" t="str">
        <f aca="false">IF($A126="","",IF(Q126="是","触发止损",IF(M126&lt;=-8%,"固定止损",IF(V126="是","信号失效",IF(X126="是","确认一卖",IF(Y126="是","单股超限",IF(W126="是","DL_P弱化","规则内持有")))))))</f>
        <v/>
      </c>
      <c r="AD126" s="5"/>
    </row>
    <row r="127" customFormat="false" ht="15" hidden="false" customHeight="true" outlineLevel="0" collapsed="false">
      <c r="A127" s="7"/>
      <c r="B127" s="7"/>
      <c r="C127" s="7"/>
      <c r="D127" s="12"/>
      <c r="E127" s="24"/>
      <c r="F127" s="7"/>
      <c r="G127" s="25"/>
      <c r="H127" s="24"/>
      <c r="I127" s="24"/>
      <c r="J127" s="15" t="n">
        <f aca="false">IFERROR(G127*I127,0)</f>
        <v>0</v>
      </c>
      <c r="K127" s="15" t="n">
        <f aca="false">IFERROR(G127*H127,0)</f>
        <v>0</v>
      </c>
      <c r="L127" s="15" t="n">
        <f aca="false">IFERROR(J127-K127,0)</f>
        <v>0</v>
      </c>
      <c r="M127" s="16" t="n">
        <f aca="false">IFERROR((I127-H127)/H127,0)</f>
        <v>0</v>
      </c>
      <c r="N127" s="16" t="n">
        <f aca="false">IFERROR(J127/INDEX(账户总表!$B:$B,MATCH($A127,账户总表!$A:$A,0)),0)</f>
        <v>0</v>
      </c>
      <c r="O127" s="24"/>
      <c r="P127" s="15" t="str">
        <f aca="false">IF($A127="","",IF($D127="是",IF(E127&gt;0,E127*0.92,MAX(O127*0.98,H127*0.92)),MAX(O127*0.98,H127*0.92)))</f>
        <v/>
      </c>
      <c r="Q127" s="4" t="str">
        <f aca="false">IF($A127="","",IF(AND(I127&gt;0,P127&gt;0,I127&lt;=P127),"是","否"))</f>
        <v/>
      </c>
      <c r="R127" s="26"/>
      <c r="S127" s="7"/>
      <c r="T127" s="7"/>
      <c r="U127" s="7"/>
      <c r="V127" s="19" t="str">
        <f aca="false">IF($A127="","",IF(OR(AND(O127&gt;0,I127&lt;O127),AND(T127="False",S127&lt;0.8)),"是","否"))</f>
        <v/>
      </c>
      <c r="W127" s="19" t="str">
        <f aca="false">IF($A127="","",IF(AND(I127&lt;H127,S127&lt;0.8),"是","否"))</f>
        <v/>
      </c>
      <c r="X127" s="19" t="str">
        <f aca="false">IF($A127="","",IF(AND(R127&lt;60%,S127&gt;0.8,T127="True",U127="一卖"),"是","否"))</f>
        <v/>
      </c>
      <c r="Y127" s="19" t="str">
        <f aca="false">IF($A127="","",IF(D127="是","否",IF(N127&gt;LOOKUP(2,1/(账户总表!$A:$A&lt;&gt;""),账户总表!$O:$O),"是","否")))</f>
        <v/>
      </c>
      <c r="Z127" s="19" t="str">
        <f aca="false">IF($A127="","",IF(M127&gt;=0,"盈利","亏损"))</f>
        <v/>
      </c>
      <c r="AA127" s="19" t="str">
        <f aca="false">IF($A127="","",IF(OR(Q127="是",M127&lt;=-8%,V127="是",X127="是"),"卖出",IF(Y127="是","减仓",IF(W127="是","观察","持有"))))</f>
        <v/>
      </c>
      <c r="AB127" s="19" t="str">
        <f aca="false">IF($A127="","",IF(D127="是",IF(I127&lt;=E127*0.92,"立即卖出(WAIVED止损)","继续持有(WAIVED)"),IF(OR(M127&lt;=-10%,Q127="是"),"立即卖出",IF(OR(AA127="卖出",V127="是",X127="是"),"次日卖出",IF(AND(Y127="是",NOT(OR(Q127="是",M127&lt;=-8%,V127="是",X127="是"))),"减仓至上限",IF(W127="是","观察","继续持有"))))))</f>
        <v/>
      </c>
      <c r="AC127" s="19" t="str">
        <f aca="false">IF($A127="","",IF(Q127="是","触发止损",IF(M127&lt;=-8%,"固定止损",IF(V127="是","信号失效",IF(X127="是","确认一卖",IF(Y127="是","单股超限",IF(W127="是","DL_P弱化","规则内持有")))))))</f>
        <v/>
      </c>
      <c r="AD127" s="7"/>
    </row>
    <row r="128" customFormat="false" ht="15" hidden="false" customHeight="true" outlineLevel="0" collapsed="false">
      <c r="A128" s="5"/>
      <c r="B128" s="5"/>
      <c r="C128" s="5"/>
      <c r="D128" s="11"/>
      <c r="E128" s="14"/>
      <c r="F128" s="5"/>
      <c r="G128" s="17"/>
      <c r="H128" s="14"/>
      <c r="I128" s="14"/>
      <c r="J128" s="15" t="n">
        <f aca="false">IFERROR(G128*I128,0)</f>
        <v>0</v>
      </c>
      <c r="K128" s="15" t="n">
        <f aca="false">IFERROR(G128*H128,0)</f>
        <v>0</v>
      </c>
      <c r="L128" s="15" t="n">
        <f aca="false">IFERROR(J128-K128,0)</f>
        <v>0</v>
      </c>
      <c r="M128" s="16" t="n">
        <f aca="false">IFERROR((I128-H128)/H128,0)</f>
        <v>0</v>
      </c>
      <c r="N128" s="16" t="n">
        <f aca="false">IFERROR(J128/INDEX(账户总表!$B:$B,MATCH($A128,账户总表!$A:$A,0)),0)</f>
        <v>0</v>
      </c>
      <c r="O128" s="14"/>
      <c r="P128" s="15" t="str">
        <f aca="false">IF($A128="","",IF($D128="是",IF(E128&gt;0,E128*0.92,MAX(O128*0.98,H128*0.92)),MAX(O128*0.98,H128*0.92)))</f>
        <v/>
      </c>
      <c r="Q128" s="4" t="str">
        <f aca="false">IF($A128="","",IF(AND(I128&gt;0,P128&gt;0,I128&lt;=P128),"是","否"))</f>
        <v/>
      </c>
      <c r="R128" s="20"/>
      <c r="S128" s="5"/>
      <c r="T128" s="5"/>
      <c r="U128" s="5"/>
      <c r="V128" s="19" t="str">
        <f aca="false">IF($A128="","",IF(OR(AND(O128&gt;0,I128&lt;O128),AND(T128="False",S128&lt;0.8)),"是","否"))</f>
        <v/>
      </c>
      <c r="W128" s="19" t="str">
        <f aca="false">IF($A128="","",IF(AND(I128&lt;H128,S128&lt;0.8),"是","否"))</f>
        <v/>
      </c>
      <c r="X128" s="19" t="str">
        <f aca="false">IF($A128="","",IF(AND(R128&lt;60%,S128&gt;0.8,T128="True",U128="一卖"),"是","否"))</f>
        <v/>
      </c>
      <c r="Y128" s="19" t="str">
        <f aca="false">IF($A128="","",IF(D128="是","否",IF(N128&gt;LOOKUP(2,1/(账户总表!$A:$A&lt;&gt;""),账户总表!$O:$O),"是","否")))</f>
        <v/>
      </c>
      <c r="Z128" s="19" t="str">
        <f aca="false">IF($A128="","",IF(M128&gt;=0,"盈利","亏损"))</f>
        <v/>
      </c>
      <c r="AA128" s="19" t="str">
        <f aca="false">IF($A128="","",IF(OR(Q128="是",M128&lt;=-8%,V128="是",X128="是"),"卖出",IF(Y128="是","减仓",IF(W128="是","观察","持有"))))</f>
        <v/>
      </c>
      <c r="AB128" s="19" t="str">
        <f aca="false">IF($A128="","",IF(D128="是",IF(I128&lt;=E128*0.92,"立即卖出(WAIVED止损)","继续持有(WAIVED)"),IF(OR(M128&lt;=-10%,Q128="是"),"立即卖出",IF(OR(AA128="卖出",V128="是",X128="是"),"次日卖出",IF(AND(Y128="是",NOT(OR(Q128="是",M128&lt;=-8%,V128="是",X128="是"))),"减仓至上限",IF(W128="是","观察","继续持有"))))))</f>
        <v/>
      </c>
      <c r="AC128" s="19" t="str">
        <f aca="false">IF($A128="","",IF(Q128="是","触发止损",IF(M128&lt;=-8%,"固定止损",IF(V128="是","信号失效",IF(X128="是","确认一卖",IF(Y128="是","单股超限",IF(W128="是","DL_P弱化","规则内持有")))))))</f>
        <v/>
      </c>
      <c r="AD128" s="5"/>
    </row>
    <row r="129" customFormat="false" ht="15" hidden="false" customHeight="true" outlineLevel="0" collapsed="false">
      <c r="A129" s="7"/>
      <c r="B129" s="7"/>
      <c r="C129" s="7"/>
      <c r="D129" s="12"/>
      <c r="E129" s="24"/>
      <c r="F129" s="7"/>
      <c r="G129" s="25"/>
      <c r="H129" s="24"/>
      <c r="I129" s="24"/>
      <c r="J129" s="15" t="n">
        <f aca="false">IFERROR(G129*I129,0)</f>
        <v>0</v>
      </c>
      <c r="K129" s="15" t="n">
        <f aca="false">IFERROR(G129*H129,0)</f>
        <v>0</v>
      </c>
      <c r="L129" s="15" t="n">
        <f aca="false">IFERROR(J129-K129,0)</f>
        <v>0</v>
      </c>
      <c r="M129" s="16" t="n">
        <f aca="false">IFERROR((I129-H129)/H129,0)</f>
        <v>0</v>
      </c>
      <c r="N129" s="16" t="n">
        <f aca="false">IFERROR(J129/INDEX(账户总表!$B:$B,MATCH($A129,账户总表!$A:$A,0)),0)</f>
        <v>0</v>
      </c>
      <c r="O129" s="24"/>
      <c r="P129" s="15" t="str">
        <f aca="false">IF($A129="","",IF($D129="是",IF(E129&gt;0,E129*0.92,MAX(O129*0.98,H129*0.92)),MAX(O129*0.98,H129*0.92)))</f>
        <v/>
      </c>
      <c r="Q129" s="4" t="str">
        <f aca="false">IF($A129="","",IF(AND(I129&gt;0,P129&gt;0,I129&lt;=P129),"是","否"))</f>
        <v/>
      </c>
      <c r="R129" s="26"/>
      <c r="S129" s="7"/>
      <c r="T129" s="7"/>
      <c r="U129" s="7"/>
      <c r="V129" s="19" t="str">
        <f aca="false">IF($A129="","",IF(OR(AND(O129&gt;0,I129&lt;O129),AND(T129="False",S129&lt;0.8)),"是","否"))</f>
        <v/>
      </c>
      <c r="W129" s="19" t="str">
        <f aca="false">IF($A129="","",IF(AND(I129&lt;H129,S129&lt;0.8),"是","否"))</f>
        <v/>
      </c>
      <c r="X129" s="19" t="str">
        <f aca="false">IF($A129="","",IF(AND(R129&lt;60%,S129&gt;0.8,T129="True",U129="一卖"),"是","否"))</f>
        <v/>
      </c>
      <c r="Y129" s="19" t="str">
        <f aca="false">IF($A129="","",IF(D129="是","否",IF(N129&gt;LOOKUP(2,1/(账户总表!$A:$A&lt;&gt;""),账户总表!$O:$O),"是","否")))</f>
        <v/>
      </c>
      <c r="Z129" s="19" t="str">
        <f aca="false">IF($A129="","",IF(M129&gt;=0,"盈利","亏损"))</f>
        <v/>
      </c>
      <c r="AA129" s="19" t="str">
        <f aca="false">IF($A129="","",IF(OR(Q129="是",M129&lt;=-8%,V129="是",X129="是"),"卖出",IF(Y129="是","减仓",IF(W129="是","观察","持有"))))</f>
        <v/>
      </c>
      <c r="AB129" s="19" t="str">
        <f aca="false">IF($A129="","",IF(D129="是",IF(I129&lt;=E129*0.92,"立即卖出(WAIVED止损)","继续持有(WAIVED)"),IF(OR(M129&lt;=-10%,Q129="是"),"立即卖出",IF(OR(AA129="卖出",V129="是",X129="是"),"次日卖出",IF(AND(Y129="是",NOT(OR(Q129="是",M129&lt;=-8%,V129="是",X129="是"))),"减仓至上限",IF(W129="是","观察","继续持有"))))))</f>
        <v/>
      </c>
      <c r="AC129" s="19" t="str">
        <f aca="false">IF($A129="","",IF(Q129="是","触发止损",IF(M129&lt;=-8%,"固定止损",IF(V129="是","信号失效",IF(X129="是","确认一卖",IF(Y129="是","单股超限",IF(W129="是","DL_P弱化","规则内持有")))))))</f>
        <v/>
      </c>
      <c r="AD129" s="7"/>
    </row>
    <row r="130" customFormat="false" ht="15" hidden="false" customHeight="true" outlineLevel="0" collapsed="false">
      <c r="A130" s="5"/>
      <c r="B130" s="5"/>
      <c r="C130" s="5"/>
      <c r="D130" s="11"/>
      <c r="E130" s="14"/>
      <c r="F130" s="5"/>
      <c r="G130" s="17"/>
      <c r="H130" s="14"/>
      <c r="I130" s="14"/>
      <c r="J130" s="15" t="n">
        <f aca="false">IFERROR(G130*I130,0)</f>
        <v>0</v>
      </c>
      <c r="K130" s="15" t="n">
        <f aca="false">IFERROR(G130*H130,0)</f>
        <v>0</v>
      </c>
      <c r="L130" s="15" t="n">
        <f aca="false">IFERROR(J130-K130,0)</f>
        <v>0</v>
      </c>
      <c r="M130" s="16" t="n">
        <f aca="false">IFERROR((I130-H130)/H130,0)</f>
        <v>0</v>
      </c>
      <c r="N130" s="16" t="n">
        <f aca="false">IFERROR(J130/INDEX(账户总表!$B:$B,MATCH($A130,账户总表!$A:$A,0)),0)</f>
        <v>0</v>
      </c>
      <c r="O130" s="14"/>
      <c r="P130" s="15" t="str">
        <f aca="false">IF($A130="","",IF($D130="是",IF(E130&gt;0,E130*0.92,MAX(O130*0.98,H130*0.92)),MAX(O130*0.98,H130*0.92)))</f>
        <v/>
      </c>
      <c r="Q130" s="4" t="str">
        <f aca="false">IF($A130="","",IF(AND(I130&gt;0,P130&gt;0,I130&lt;=P130),"是","否"))</f>
        <v/>
      </c>
      <c r="R130" s="20"/>
      <c r="S130" s="5"/>
      <c r="T130" s="5"/>
      <c r="U130" s="5"/>
      <c r="V130" s="19" t="str">
        <f aca="false">IF($A130="","",IF(OR(AND(O130&gt;0,I130&lt;O130),AND(T130="False",S130&lt;0.8)),"是","否"))</f>
        <v/>
      </c>
      <c r="W130" s="19" t="str">
        <f aca="false">IF($A130="","",IF(AND(I130&lt;H130,S130&lt;0.8),"是","否"))</f>
        <v/>
      </c>
      <c r="X130" s="19" t="str">
        <f aca="false">IF($A130="","",IF(AND(R130&lt;60%,S130&gt;0.8,T130="True",U130="一卖"),"是","否"))</f>
        <v/>
      </c>
      <c r="Y130" s="19" t="str">
        <f aca="false">IF($A130="","",IF(D130="是","否",IF(N130&gt;LOOKUP(2,1/(账户总表!$A:$A&lt;&gt;""),账户总表!$O:$O),"是","否")))</f>
        <v/>
      </c>
      <c r="Z130" s="19" t="str">
        <f aca="false">IF($A130="","",IF(M130&gt;=0,"盈利","亏损"))</f>
        <v/>
      </c>
      <c r="AA130" s="19" t="str">
        <f aca="false">IF($A130="","",IF(OR(Q130="是",M130&lt;=-8%,V130="是",X130="是"),"卖出",IF(Y130="是","减仓",IF(W130="是","观察","持有"))))</f>
        <v/>
      </c>
      <c r="AB130" s="19" t="str">
        <f aca="false">IF($A130="","",IF(D130="是",IF(I130&lt;=E130*0.92,"立即卖出(WAIVED止损)","继续持有(WAIVED)"),IF(OR(M130&lt;=-10%,Q130="是"),"立即卖出",IF(OR(AA130="卖出",V130="是",X130="是"),"次日卖出",IF(AND(Y130="是",NOT(OR(Q130="是",M130&lt;=-8%,V130="是",X130="是"))),"减仓至上限",IF(W130="是","观察","继续持有"))))))</f>
        <v/>
      </c>
      <c r="AC130" s="19" t="str">
        <f aca="false">IF($A130="","",IF(Q130="是","触发止损",IF(M130&lt;=-8%,"固定止损",IF(V130="是","信号失效",IF(X130="是","确认一卖",IF(Y130="是","单股超限",IF(W130="是","DL_P弱化","规则内持有")))))))</f>
        <v/>
      </c>
      <c r="AD130" s="5"/>
    </row>
    <row r="131" customFormat="false" ht="15" hidden="false" customHeight="true" outlineLevel="0" collapsed="false">
      <c r="A131" s="7"/>
      <c r="B131" s="7"/>
      <c r="C131" s="7"/>
      <c r="D131" s="12"/>
      <c r="E131" s="24"/>
      <c r="F131" s="7"/>
      <c r="G131" s="25"/>
      <c r="H131" s="24"/>
      <c r="I131" s="24"/>
      <c r="J131" s="15" t="n">
        <f aca="false">IFERROR(G131*I131,0)</f>
        <v>0</v>
      </c>
      <c r="K131" s="15" t="n">
        <f aca="false">IFERROR(G131*H131,0)</f>
        <v>0</v>
      </c>
      <c r="L131" s="15" t="n">
        <f aca="false">IFERROR(J131-K131,0)</f>
        <v>0</v>
      </c>
      <c r="M131" s="16" t="n">
        <f aca="false">IFERROR((I131-H131)/H131,0)</f>
        <v>0</v>
      </c>
      <c r="N131" s="16" t="n">
        <f aca="false">IFERROR(J131/INDEX(账户总表!$B:$B,MATCH($A131,账户总表!$A:$A,0)),0)</f>
        <v>0</v>
      </c>
      <c r="O131" s="24"/>
      <c r="P131" s="15" t="str">
        <f aca="false">IF($A131="","",IF($D131="是",IF(E131&gt;0,E131*0.92,MAX(O131*0.98,H131*0.92)),MAX(O131*0.98,H131*0.92)))</f>
        <v/>
      </c>
      <c r="Q131" s="4" t="str">
        <f aca="false">IF($A131="","",IF(AND(I131&gt;0,P131&gt;0,I131&lt;=P131),"是","否"))</f>
        <v/>
      </c>
      <c r="R131" s="26"/>
      <c r="S131" s="7"/>
      <c r="T131" s="7"/>
      <c r="U131" s="7"/>
      <c r="V131" s="19" t="str">
        <f aca="false">IF($A131="","",IF(OR(AND(O131&gt;0,I131&lt;O131),AND(T131="False",S131&lt;0.8)),"是","否"))</f>
        <v/>
      </c>
      <c r="W131" s="19" t="str">
        <f aca="false">IF($A131="","",IF(AND(I131&lt;H131,S131&lt;0.8),"是","否"))</f>
        <v/>
      </c>
      <c r="X131" s="19" t="str">
        <f aca="false">IF($A131="","",IF(AND(R131&lt;60%,S131&gt;0.8,T131="True",U131="一卖"),"是","否"))</f>
        <v/>
      </c>
      <c r="Y131" s="19" t="str">
        <f aca="false">IF($A131="","",IF(D131="是","否",IF(N131&gt;LOOKUP(2,1/(账户总表!$A:$A&lt;&gt;""),账户总表!$O:$O),"是","否")))</f>
        <v/>
      </c>
      <c r="Z131" s="19" t="str">
        <f aca="false">IF($A131="","",IF(M131&gt;=0,"盈利","亏损"))</f>
        <v/>
      </c>
      <c r="AA131" s="19" t="str">
        <f aca="false">IF($A131="","",IF(OR(Q131="是",M131&lt;=-8%,V131="是",X131="是"),"卖出",IF(Y131="是","减仓",IF(W131="是","观察","持有"))))</f>
        <v/>
      </c>
      <c r="AB131" s="19" t="str">
        <f aca="false">IF($A131="","",IF(D131="是",IF(I131&lt;=E131*0.92,"立即卖出(WAIVED止损)","继续持有(WAIVED)"),IF(OR(M131&lt;=-10%,Q131="是"),"立即卖出",IF(OR(AA131="卖出",V131="是",X131="是"),"次日卖出",IF(AND(Y131="是",NOT(OR(Q131="是",M131&lt;=-8%,V131="是",X131="是"))),"减仓至上限",IF(W131="是","观察","继续持有"))))))</f>
        <v/>
      </c>
      <c r="AC131" s="19" t="str">
        <f aca="false">IF($A131="","",IF(Q131="是","触发止损",IF(M131&lt;=-8%,"固定止损",IF(V131="是","信号失效",IF(X131="是","确认一卖",IF(Y131="是","单股超限",IF(W131="是","DL_P弱化","规则内持有")))))))</f>
        <v/>
      </c>
      <c r="AD131" s="7"/>
    </row>
    <row r="132" customFormat="false" ht="15" hidden="false" customHeight="true" outlineLevel="0" collapsed="false">
      <c r="A132" s="5"/>
      <c r="B132" s="5"/>
      <c r="C132" s="5"/>
      <c r="D132" s="11"/>
      <c r="E132" s="14"/>
      <c r="F132" s="5"/>
      <c r="G132" s="17"/>
      <c r="H132" s="14"/>
      <c r="I132" s="14"/>
      <c r="J132" s="15" t="n">
        <f aca="false">IFERROR(G132*I132,0)</f>
        <v>0</v>
      </c>
      <c r="K132" s="15" t="n">
        <f aca="false">IFERROR(G132*H132,0)</f>
        <v>0</v>
      </c>
      <c r="L132" s="15" t="n">
        <f aca="false">IFERROR(J132-K132,0)</f>
        <v>0</v>
      </c>
      <c r="M132" s="16" t="n">
        <f aca="false">IFERROR((I132-H132)/H132,0)</f>
        <v>0</v>
      </c>
      <c r="N132" s="16" t="n">
        <f aca="false">IFERROR(J132/INDEX(账户总表!$B:$B,MATCH($A132,账户总表!$A:$A,0)),0)</f>
        <v>0</v>
      </c>
      <c r="O132" s="14"/>
      <c r="P132" s="15" t="str">
        <f aca="false">IF($A132="","",IF($D132="是",IF(E132&gt;0,E132*0.92,MAX(O132*0.98,H132*0.92)),MAX(O132*0.98,H132*0.92)))</f>
        <v/>
      </c>
      <c r="Q132" s="4" t="str">
        <f aca="false">IF($A132="","",IF(AND(I132&gt;0,P132&gt;0,I132&lt;=P132),"是","否"))</f>
        <v/>
      </c>
      <c r="R132" s="20"/>
      <c r="S132" s="5"/>
      <c r="T132" s="5"/>
      <c r="U132" s="5"/>
      <c r="V132" s="19" t="str">
        <f aca="false">IF($A132="","",IF(OR(AND(O132&gt;0,I132&lt;O132),AND(T132="False",S132&lt;0.8)),"是","否"))</f>
        <v/>
      </c>
      <c r="W132" s="19" t="str">
        <f aca="false">IF($A132="","",IF(AND(I132&lt;H132,S132&lt;0.8),"是","否"))</f>
        <v/>
      </c>
      <c r="X132" s="19" t="str">
        <f aca="false">IF($A132="","",IF(AND(R132&lt;60%,S132&gt;0.8,T132="True",U132="一卖"),"是","否"))</f>
        <v/>
      </c>
      <c r="Y132" s="19" t="str">
        <f aca="false">IF($A132="","",IF(D132="是","否",IF(N132&gt;LOOKUP(2,1/(账户总表!$A:$A&lt;&gt;""),账户总表!$O:$O),"是","否")))</f>
        <v/>
      </c>
      <c r="Z132" s="19" t="str">
        <f aca="false">IF($A132="","",IF(M132&gt;=0,"盈利","亏损"))</f>
        <v/>
      </c>
      <c r="AA132" s="19" t="str">
        <f aca="false">IF($A132="","",IF(OR(Q132="是",M132&lt;=-8%,V132="是",X132="是"),"卖出",IF(Y132="是","减仓",IF(W132="是","观察","持有"))))</f>
        <v/>
      </c>
      <c r="AB132" s="19" t="str">
        <f aca="false">IF($A132="","",IF(D132="是",IF(I132&lt;=E132*0.92,"立即卖出(WAIVED止损)","继续持有(WAIVED)"),IF(OR(M132&lt;=-10%,Q132="是"),"立即卖出",IF(OR(AA132="卖出",V132="是",X132="是"),"次日卖出",IF(AND(Y132="是",NOT(OR(Q132="是",M132&lt;=-8%,V132="是",X132="是"))),"减仓至上限",IF(W132="是","观察","继续持有"))))))</f>
        <v/>
      </c>
      <c r="AC132" s="19" t="str">
        <f aca="false">IF($A132="","",IF(Q132="是","触发止损",IF(M132&lt;=-8%,"固定止损",IF(V132="是","信号失效",IF(X132="是","确认一卖",IF(Y132="是","单股超限",IF(W132="是","DL_P弱化","规则内持有")))))))</f>
        <v/>
      </c>
      <c r="AD132" s="5"/>
    </row>
    <row r="133" customFormat="false" ht="15" hidden="false" customHeight="true" outlineLevel="0" collapsed="false">
      <c r="A133" s="7"/>
      <c r="B133" s="7"/>
      <c r="C133" s="7"/>
      <c r="D133" s="12"/>
      <c r="E133" s="24"/>
      <c r="F133" s="7"/>
      <c r="G133" s="25"/>
      <c r="H133" s="24"/>
      <c r="I133" s="24"/>
      <c r="J133" s="15" t="n">
        <f aca="false">IFERROR(G133*I133,0)</f>
        <v>0</v>
      </c>
      <c r="K133" s="15" t="n">
        <f aca="false">IFERROR(G133*H133,0)</f>
        <v>0</v>
      </c>
      <c r="L133" s="15" t="n">
        <f aca="false">IFERROR(J133-K133,0)</f>
        <v>0</v>
      </c>
      <c r="M133" s="16" t="n">
        <f aca="false">IFERROR((I133-H133)/H133,0)</f>
        <v>0</v>
      </c>
      <c r="N133" s="16" t="n">
        <f aca="false">IFERROR(J133/INDEX(账户总表!$B:$B,MATCH($A133,账户总表!$A:$A,0)),0)</f>
        <v>0</v>
      </c>
      <c r="O133" s="24"/>
      <c r="P133" s="15" t="str">
        <f aca="false">IF($A133="","",IF($D133="是",IF(E133&gt;0,E133*0.92,MAX(O133*0.98,H133*0.92)),MAX(O133*0.98,H133*0.92)))</f>
        <v/>
      </c>
      <c r="Q133" s="4" t="str">
        <f aca="false">IF($A133="","",IF(AND(I133&gt;0,P133&gt;0,I133&lt;=P133),"是","否"))</f>
        <v/>
      </c>
      <c r="R133" s="26"/>
      <c r="S133" s="7"/>
      <c r="T133" s="7"/>
      <c r="U133" s="7"/>
      <c r="V133" s="19" t="str">
        <f aca="false">IF($A133="","",IF(OR(AND(O133&gt;0,I133&lt;O133),AND(T133="False",S133&lt;0.8)),"是","否"))</f>
        <v/>
      </c>
      <c r="W133" s="19" t="str">
        <f aca="false">IF($A133="","",IF(AND(I133&lt;H133,S133&lt;0.8),"是","否"))</f>
        <v/>
      </c>
      <c r="X133" s="19" t="str">
        <f aca="false">IF($A133="","",IF(AND(R133&lt;60%,S133&gt;0.8,T133="True",U133="一卖"),"是","否"))</f>
        <v/>
      </c>
      <c r="Y133" s="19" t="str">
        <f aca="false">IF($A133="","",IF(D133="是","否",IF(N133&gt;LOOKUP(2,1/(账户总表!$A:$A&lt;&gt;""),账户总表!$O:$O),"是","否")))</f>
        <v/>
      </c>
      <c r="Z133" s="19" t="str">
        <f aca="false">IF($A133="","",IF(M133&gt;=0,"盈利","亏损"))</f>
        <v/>
      </c>
      <c r="AA133" s="19" t="str">
        <f aca="false">IF($A133="","",IF(OR(Q133="是",M133&lt;=-8%,V133="是",X133="是"),"卖出",IF(Y133="是","减仓",IF(W133="是","观察","持有"))))</f>
        <v/>
      </c>
      <c r="AB133" s="19" t="str">
        <f aca="false">IF($A133="","",IF(D133="是",IF(I133&lt;=E133*0.92,"立即卖出(WAIVED止损)","继续持有(WAIVED)"),IF(OR(M133&lt;=-10%,Q133="是"),"立即卖出",IF(OR(AA133="卖出",V133="是",X133="是"),"次日卖出",IF(AND(Y133="是",NOT(OR(Q133="是",M133&lt;=-8%,V133="是",X133="是"))),"减仓至上限",IF(W133="是","观察","继续持有"))))))</f>
        <v/>
      </c>
      <c r="AC133" s="19" t="str">
        <f aca="false">IF($A133="","",IF(Q133="是","触发止损",IF(M133&lt;=-8%,"固定止损",IF(V133="是","信号失效",IF(X133="是","确认一卖",IF(Y133="是","单股超限",IF(W133="是","DL_P弱化","规则内持有")))))))</f>
        <v/>
      </c>
      <c r="AD133" s="7"/>
    </row>
    <row r="134" customFormat="false" ht="15" hidden="false" customHeight="true" outlineLevel="0" collapsed="false">
      <c r="A134" s="5"/>
      <c r="B134" s="5"/>
      <c r="C134" s="5"/>
      <c r="D134" s="11"/>
      <c r="E134" s="14"/>
      <c r="F134" s="5"/>
      <c r="G134" s="17"/>
      <c r="H134" s="14"/>
      <c r="I134" s="14"/>
      <c r="J134" s="15" t="n">
        <f aca="false">IFERROR(G134*I134,0)</f>
        <v>0</v>
      </c>
      <c r="K134" s="15" t="n">
        <f aca="false">IFERROR(G134*H134,0)</f>
        <v>0</v>
      </c>
      <c r="L134" s="15" t="n">
        <f aca="false">IFERROR(J134-K134,0)</f>
        <v>0</v>
      </c>
      <c r="M134" s="16" t="n">
        <f aca="false">IFERROR((I134-H134)/H134,0)</f>
        <v>0</v>
      </c>
      <c r="N134" s="16" t="n">
        <f aca="false">IFERROR(J134/INDEX(账户总表!$B:$B,MATCH($A134,账户总表!$A:$A,0)),0)</f>
        <v>0</v>
      </c>
      <c r="O134" s="14"/>
      <c r="P134" s="15" t="str">
        <f aca="false">IF($A134="","",IF($D134="是",IF(E134&gt;0,E134*0.92,MAX(O134*0.98,H134*0.92)),MAX(O134*0.98,H134*0.92)))</f>
        <v/>
      </c>
      <c r="Q134" s="4" t="str">
        <f aca="false">IF($A134="","",IF(AND(I134&gt;0,P134&gt;0,I134&lt;=P134),"是","否"))</f>
        <v/>
      </c>
      <c r="R134" s="20"/>
      <c r="S134" s="5"/>
      <c r="T134" s="5"/>
      <c r="U134" s="5"/>
      <c r="V134" s="19" t="str">
        <f aca="false">IF($A134="","",IF(OR(AND(O134&gt;0,I134&lt;O134),AND(T134="False",S134&lt;0.8)),"是","否"))</f>
        <v/>
      </c>
      <c r="W134" s="19" t="str">
        <f aca="false">IF($A134="","",IF(AND(I134&lt;H134,S134&lt;0.8),"是","否"))</f>
        <v/>
      </c>
      <c r="X134" s="19" t="str">
        <f aca="false">IF($A134="","",IF(AND(R134&lt;60%,S134&gt;0.8,T134="True",U134="一卖"),"是","否"))</f>
        <v/>
      </c>
      <c r="Y134" s="19" t="str">
        <f aca="false">IF($A134="","",IF(D134="是","否",IF(N134&gt;LOOKUP(2,1/(账户总表!$A:$A&lt;&gt;""),账户总表!$O:$O),"是","否")))</f>
        <v/>
      </c>
      <c r="Z134" s="19" t="str">
        <f aca="false">IF($A134="","",IF(M134&gt;=0,"盈利","亏损"))</f>
        <v/>
      </c>
      <c r="AA134" s="19" t="str">
        <f aca="false">IF($A134="","",IF(OR(Q134="是",M134&lt;=-8%,V134="是",X134="是"),"卖出",IF(Y134="是","减仓",IF(W134="是","观察","持有"))))</f>
        <v/>
      </c>
      <c r="AB134" s="19" t="str">
        <f aca="false">IF($A134="","",IF(D134="是",IF(I134&lt;=E134*0.92,"立即卖出(WAIVED止损)","继续持有(WAIVED)"),IF(OR(M134&lt;=-10%,Q134="是"),"立即卖出",IF(OR(AA134="卖出",V134="是",X134="是"),"次日卖出",IF(AND(Y134="是",NOT(OR(Q134="是",M134&lt;=-8%,V134="是",X134="是"))),"减仓至上限",IF(W134="是","观察","继续持有"))))))</f>
        <v/>
      </c>
      <c r="AC134" s="19" t="str">
        <f aca="false">IF($A134="","",IF(Q134="是","触发止损",IF(M134&lt;=-8%,"固定止损",IF(V134="是","信号失效",IF(X134="是","确认一卖",IF(Y134="是","单股超限",IF(W134="是","DL_P弱化","规则内持有")))))))</f>
        <v/>
      </c>
      <c r="AD134" s="5"/>
    </row>
    <row r="135" customFormat="false" ht="15" hidden="false" customHeight="true" outlineLevel="0" collapsed="false">
      <c r="A135" s="7"/>
      <c r="B135" s="7"/>
      <c r="C135" s="7"/>
      <c r="D135" s="12"/>
      <c r="E135" s="24"/>
      <c r="F135" s="7"/>
      <c r="G135" s="25"/>
      <c r="H135" s="24"/>
      <c r="I135" s="24"/>
      <c r="J135" s="15" t="n">
        <f aca="false">IFERROR(G135*I135,0)</f>
        <v>0</v>
      </c>
      <c r="K135" s="15" t="n">
        <f aca="false">IFERROR(G135*H135,0)</f>
        <v>0</v>
      </c>
      <c r="L135" s="15" t="n">
        <f aca="false">IFERROR(J135-K135,0)</f>
        <v>0</v>
      </c>
      <c r="M135" s="16" t="n">
        <f aca="false">IFERROR((I135-H135)/H135,0)</f>
        <v>0</v>
      </c>
      <c r="N135" s="16" t="n">
        <f aca="false">IFERROR(J135/INDEX(账户总表!$B:$B,MATCH($A135,账户总表!$A:$A,0)),0)</f>
        <v>0</v>
      </c>
      <c r="O135" s="24"/>
      <c r="P135" s="15" t="str">
        <f aca="false">IF($A135="","",IF($D135="是",IF(E135&gt;0,E135*0.92,MAX(O135*0.98,H135*0.92)),MAX(O135*0.98,H135*0.92)))</f>
        <v/>
      </c>
      <c r="Q135" s="4" t="str">
        <f aca="false">IF($A135="","",IF(AND(I135&gt;0,P135&gt;0,I135&lt;=P135),"是","否"))</f>
        <v/>
      </c>
      <c r="R135" s="26"/>
      <c r="S135" s="7"/>
      <c r="T135" s="7"/>
      <c r="U135" s="7"/>
      <c r="V135" s="19" t="str">
        <f aca="false">IF($A135="","",IF(OR(AND(O135&gt;0,I135&lt;O135),AND(T135="False",S135&lt;0.8)),"是","否"))</f>
        <v/>
      </c>
      <c r="W135" s="19" t="str">
        <f aca="false">IF($A135="","",IF(AND(I135&lt;H135,S135&lt;0.8),"是","否"))</f>
        <v/>
      </c>
      <c r="X135" s="19" t="str">
        <f aca="false">IF($A135="","",IF(AND(R135&lt;60%,S135&gt;0.8,T135="True",U135="一卖"),"是","否"))</f>
        <v/>
      </c>
      <c r="Y135" s="19" t="str">
        <f aca="false">IF($A135="","",IF(D135="是","否",IF(N135&gt;LOOKUP(2,1/(账户总表!$A:$A&lt;&gt;""),账户总表!$O:$O),"是","否")))</f>
        <v/>
      </c>
      <c r="Z135" s="19" t="str">
        <f aca="false">IF($A135="","",IF(M135&gt;=0,"盈利","亏损"))</f>
        <v/>
      </c>
      <c r="AA135" s="19" t="str">
        <f aca="false">IF($A135="","",IF(OR(Q135="是",M135&lt;=-8%,V135="是",X135="是"),"卖出",IF(Y135="是","减仓",IF(W135="是","观察","持有"))))</f>
        <v/>
      </c>
      <c r="AB135" s="19" t="str">
        <f aca="false">IF($A135="","",IF(D135="是",IF(I135&lt;=E135*0.92,"立即卖出(WAIVED止损)","继续持有(WAIVED)"),IF(OR(M135&lt;=-10%,Q135="是"),"立即卖出",IF(OR(AA135="卖出",V135="是",X135="是"),"次日卖出",IF(AND(Y135="是",NOT(OR(Q135="是",M135&lt;=-8%,V135="是",X135="是"))),"减仓至上限",IF(W135="是","观察","继续持有"))))))</f>
        <v/>
      </c>
      <c r="AC135" s="19" t="str">
        <f aca="false">IF($A135="","",IF(Q135="是","触发止损",IF(M135&lt;=-8%,"固定止损",IF(V135="是","信号失效",IF(X135="是","确认一卖",IF(Y135="是","单股超限",IF(W135="是","DL_P弱化","规则内持有")))))))</f>
        <v/>
      </c>
      <c r="AD135" s="7"/>
    </row>
    <row r="136" customFormat="false" ht="15" hidden="false" customHeight="true" outlineLevel="0" collapsed="false">
      <c r="A136" s="5"/>
      <c r="B136" s="5"/>
      <c r="C136" s="5"/>
      <c r="D136" s="11"/>
      <c r="E136" s="14"/>
      <c r="F136" s="5"/>
      <c r="G136" s="17"/>
      <c r="H136" s="14"/>
      <c r="I136" s="14"/>
      <c r="J136" s="15" t="n">
        <f aca="false">IFERROR(G136*I136,0)</f>
        <v>0</v>
      </c>
      <c r="K136" s="15" t="n">
        <f aca="false">IFERROR(G136*H136,0)</f>
        <v>0</v>
      </c>
      <c r="L136" s="15" t="n">
        <f aca="false">IFERROR(J136-K136,0)</f>
        <v>0</v>
      </c>
      <c r="M136" s="16" t="n">
        <f aca="false">IFERROR((I136-H136)/H136,0)</f>
        <v>0</v>
      </c>
      <c r="N136" s="16" t="n">
        <f aca="false">IFERROR(J136/INDEX(账户总表!$B:$B,MATCH($A136,账户总表!$A:$A,0)),0)</f>
        <v>0</v>
      </c>
      <c r="O136" s="14"/>
      <c r="P136" s="15" t="str">
        <f aca="false">IF($A136="","",IF($D136="是",IF(E136&gt;0,E136*0.92,MAX(O136*0.98,H136*0.92)),MAX(O136*0.98,H136*0.92)))</f>
        <v/>
      </c>
      <c r="Q136" s="4" t="str">
        <f aca="false">IF($A136="","",IF(AND(I136&gt;0,P136&gt;0,I136&lt;=P136),"是","否"))</f>
        <v/>
      </c>
      <c r="R136" s="20"/>
      <c r="S136" s="5"/>
      <c r="T136" s="5"/>
      <c r="U136" s="5"/>
      <c r="V136" s="19" t="str">
        <f aca="false">IF($A136="","",IF(OR(AND(O136&gt;0,I136&lt;O136),AND(T136="False",S136&lt;0.8)),"是","否"))</f>
        <v/>
      </c>
      <c r="W136" s="19" t="str">
        <f aca="false">IF($A136="","",IF(AND(I136&lt;H136,S136&lt;0.8),"是","否"))</f>
        <v/>
      </c>
      <c r="X136" s="19" t="str">
        <f aca="false">IF($A136="","",IF(AND(R136&lt;60%,S136&gt;0.8,T136="True",U136="一卖"),"是","否"))</f>
        <v/>
      </c>
      <c r="Y136" s="19" t="str">
        <f aca="false">IF($A136="","",IF(D136="是","否",IF(N136&gt;LOOKUP(2,1/(账户总表!$A:$A&lt;&gt;""),账户总表!$O:$O),"是","否")))</f>
        <v/>
      </c>
      <c r="Z136" s="19" t="str">
        <f aca="false">IF($A136="","",IF(M136&gt;=0,"盈利","亏损"))</f>
        <v/>
      </c>
      <c r="AA136" s="19" t="str">
        <f aca="false">IF($A136="","",IF(OR(Q136="是",M136&lt;=-8%,V136="是",X136="是"),"卖出",IF(Y136="是","减仓",IF(W136="是","观察","持有"))))</f>
        <v/>
      </c>
      <c r="AB136" s="19" t="str">
        <f aca="false">IF($A136="","",IF(D136="是",IF(I136&lt;=E136*0.92,"立即卖出(WAIVED止损)","继续持有(WAIVED)"),IF(OR(M136&lt;=-10%,Q136="是"),"立即卖出",IF(OR(AA136="卖出",V136="是",X136="是"),"次日卖出",IF(AND(Y136="是",NOT(OR(Q136="是",M136&lt;=-8%,V136="是",X136="是"))),"减仓至上限",IF(W136="是","观察","继续持有"))))))</f>
        <v/>
      </c>
      <c r="AC136" s="19" t="str">
        <f aca="false">IF($A136="","",IF(Q136="是","触发止损",IF(M136&lt;=-8%,"固定止损",IF(V136="是","信号失效",IF(X136="是","确认一卖",IF(Y136="是","单股超限",IF(W136="是","DL_P弱化","规则内持有")))))))</f>
        <v/>
      </c>
      <c r="AD136" s="5"/>
    </row>
    <row r="137" customFormat="false" ht="15" hidden="false" customHeight="true" outlineLevel="0" collapsed="false">
      <c r="A137" s="7"/>
      <c r="B137" s="7"/>
      <c r="C137" s="7"/>
      <c r="D137" s="12"/>
      <c r="E137" s="24"/>
      <c r="F137" s="7"/>
      <c r="G137" s="25"/>
      <c r="H137" s="24"/>
      <c r="I137" s="24"/>
      <c r="J137" s="15" t="n">
        <f aca="false">IFERROR(G137*I137,0)</f>
        <v>0</v>
      </c>
      <c r="K137" s="15" t="n">
        <f aca="false">IFERROR(G137*H137,0)</f>
        <v>0</v>
      </c>
      <c r="L137" s="15" t="n">
        <f aca="false">IFERROR(J137-K137,0)</f>
        <v>0</v>
      </c>
      <c r="M137" s="16" t="n">
        <f aca="false">IFERROR((I137-H137)/H137,0)</f>
        <v>0</v>
      </c>
      <c r="N137" s="16" t="n">
        <f aca="false">IFERROR(J137/INDEX(账户总表!$B:$B,MATCH($A137,账户总表!$A:$A,0)),0)</f>
        <v>0</v>
      </c>
      <c r="O137" s="24"/>
      <c r="P137" s="15" t="str">
        <f aca="false">IF($A137="","",IF($D137="是",IF(E137&gt;0,E137*0.92,MAX(O137*0.98,H137*0.92)),MAX(O137*0.98,H137*0.92)))</f>
        <v/>
      </c>
      <c r="Q137" s="4" t="str">
        <f aca="false">IF($A137="","",IF(AND(I137&gt;0,P137&gt;0,I137&lt;=P137),"是","否"))</f>
        <v/>
      </c>
      <c r="R137" s="26"/>
      <c r="S137" s="7"/>
      <c r="T137" s="7"/>
      <c r="U137" s="7"/>
      <c r="V137" s="19" t="str">
        <f aca="false">IF($A137="","",IF(OR(AND(O137&gt;0,I137&lt;O137),AND(T137="False",S137&lt;0.8)),"是","否"))</f>
        <v/>
      </c>
      <c r="W137" s="19" t="str">
        <f aca="false">IF($A137="","",IF(AND(I137&lt;H137,S137&lt;0.8),"是","否"))</f>
        <v/>
      </c>
      <c r="X137" s="19" t="str">
        <f aca="false">IF($A137="","",IF(AND(R137&lt;60%,S137&gt;0.8,T137="True",U137="一卖"),"是","否"))</f>
        <v/>
      </c>
      <c r="Y137" s="19" t="str">
        <f aca="false">IF($A137="","",IF(D137="是","否",IF(N137&gt;LOOKUP(2,1/(账户总表!$A:$A&lt;&gt;""),账户总表!$O:$O),"是","否")))</f>
        <v/>
      </c>
      <c r="Z137" s="19" t="str">
        <f aca="false">IF($A137="","",IF(M137&gt;=0,"盈利","亏损"))</f>
        <v/>
      </c>
      <c r="AA137" s="19" t="str">
        <f aca="false">IF($A137="","",IF(OR(Q137="是",M137&lt;=-8%,V137="是",X137="是"),"卖出",IF(Y137="是","减仓",IF(W137="是","观察","持有"))))</f>
        <v/>
      </c>
      <c r="AB137" s="19" t="str">
        <f aca="false">IF($A137="","",IF(D137="是",IF(I137&lt;=E137*0.92,"立即卖出(WAIVED止损)","继续持有(WAIVED)"),IF(OR(M137&lt;=-10%,Q137="是"),"立即卖出",IF(OR(AA137="卖出",V137="是",X137="是"),"次日卖出",IF(AND(Y137="是",NOT(OR(Q137="是",M137&lt;=-8%,V137="是",X137="是"))),"减仓至上限",IF(W137="是","观察","继续持有"))))))</f>
        <v/>
      </c>
      <c r="AC137" s="19" t="str">
        <f aca="false">IF($A137="","",IF(Q137="是","触发止损",IF(M137&lt;=-8%,"固定止损",IF(V137="是","信号失效",IF(X137="是","确认一卖",IF(Y137="是","单股超限",IF(W137="是","DL_P弱化","规则内持有")))))))</f>
        <v/>
      </c>
      <c r="AD137" s="7"/>
    </row>
    <row r="138" customFormat="false" ht="15" hidden="false" customHeight="true" outlineLevel="0" collapsed="false">
      <c r="A138" s="5"/>
      <c r="B138" s="5"/>
      <c r="C138" s="5"/>
      <c r="D138" s="11"/>
      <c r="E138" s="14"/>
      <c r="F138" s="5"/>
      <c r="G138" s="17"/>
      <c r="H138" s="14"/>
      <c r="I138" s="14"/>
      <c r="J138" s="15" t="n">
        <f aca="false">IFERROR(G138*I138,0)</f>
        <v>0</v>
      </c>
      <c r="K138" s="15" t="n">
        <f aca="false">IFERROR(G138*H138,0)</f>
        <v>0</v>
      </c>
      <c r="L138" s="15" t="n">
        <f aca="false">IFERROR(J138-K138,0)</f>
        <v>0</v>
      </c>
      <c r="M138" s="16" t="n">
        <f aca="false">IFERROR((I138-H138)/H138,0)</f>
        <v>0</v>
      </c>
      <c r="N138" s="16" t="n">
        <f aca="false">IFERROR(J138/INDEX(账户总表!$B:$B,MATCH($A138,账户总表!$A:$A,0)),0)</f>
        <v>0</v>
      </c>
      <c r="O138" s="14"/>
      <c r="P138" s="15" t="str">
        <f aca="false">IF($A138="","",IF($D138="是",IF(E138&gt;0,E138*0.92,MAX(O138*0.98,H138*0.92)),MAX(O138*0.98,H138*0.92)))</f>
        <v/>
      </c>
      <c r="Q138" s="4" t="str">
        <f aca="false">IF($A138="","",IF(AND(I138&gt;0,P138&gt;0,I138&lt;=P138),"是","否"))</f>
        <v/>
      </c>
      <c r="R138" s="20"/>
      <c r="S138" s="5"/>
      <c r="T138" s="5"/>
      <c r="U138" s="5"/>
      <c r="V138" s="19" t="str">
        <f aca="false">IF($A138="","",IF(OR(AND(O138&gt;0,I138&lt;O138),AND(T138="False",S138&lt;0.8)),"是","否"))</f>
        <v/>
      </c>
      <c r="W138" s="19" t="str">
        <f aca="false">IF($A138="","",IF(AND(I138&lt;H138,S138&lt;0.8),"是","否"))</f>
        <v/>
      </c>
      <c r="X138" s="19" t="str">
        <f aca="false">IF($A138="","",IF(AND(R138&lt;60%,S138&gt;0.8,T138="True",U138="一卖"),"是","否"))</f>
        <v/>
      </c>
      <c r="Y138" s="19" t="str">
        <f aca="false">IF($A138="","",IF(D138="是","否",IF(N138&gt;LOOKUP(2,1/(账户总表!$A:$A&lt;&gt;""),账户总表!$O:$O),"是","否")))</f>
        <v/>
      </c>
      <c r="Z138" s="19" t="str">
        <f aca="false">IF($A138="","",IF(M138&gt;=0,"盈利","亏损"))</f>
        <v/>
      </c>
      <c r="AA138" s="19" t="str">
        <f aca="false">IF($A138="","",IF(OR(Q138="是",M138&lt;=-8%,V138="是",X138="是"),"卖出",IF(Y138="是","减仓",IF(W138="是","观察","持有"))))</f>
        <v/>
      </c>
      <c r="AB138" s="19" t="str">
        <f aca="false">IF($A138="","",IF(D138="是",IF(I138&lt;=E138*0.92,"立即卖出(WAIVED止损)","继续持有(WAIVED)"),IF(OR(M138&lt;=-10%,Q138="是"),"立即卖出",IF(OR(AA138="卖出",V138="是",X138="是"),"次日卖出",IF(AND(Y138="是",NOT(OR(Q138="是",M138&lt;=-8%,V138="是",X138="是"))),"减仓至上限",IF(W138="是","观察","继续持有"))))))</f>
        <v/>
      </c>
      <c r="AC138" s="19" t="str">
        <f aca="false">IF($A138="","",IF(Q138="是","触发止损",IF(M138&lt;=-8%,"固定止损",IF(V138="是","信号失效",IF(X138="是","确认一卖",IF(Y138="是","单股超限",IF(W138="是","DL_P弱化","规则内持有")))))))</f>
        <v/>
      </c>
      <c r="AD138" s="5"/>
    </row>
    <row r="139" customFormat="false" ht="15" hidden="false" customHeight="true" outlineLevel="0" collapsed="false">
      <c r="A139" s="7"/>
      <c r="B139" s="7"/>
      <c r="C139" s="7"/>
      <c r="D139" s="12"/>
      <c r="E139" s="24"/>
      <c r="F139" s="7"/>
      <c r="G139" s="25"/>
      <c r="H139" s="24"/>
      <c r="I139" s="24"/>
      <c r="J139" s="15" t="n">
        <f aca="false">IFERROR(G139*I139,0)</f>
        <v>0</v>
      </c>
      <c r="K139" s="15" t="n">
        <f aca="false">IFERROR(G139*H139,0)</f>
        <v>0</v>
      </c>
      <c r="L139" s="15" t="n">
        <f aca="false">IFERROR(J139-K139,0)</f>
        <v>0</v>
      </c>
      <c r="M139" s="16" t="n">
        <f aca="false">IFERROR((I139-H139)/H139,0)</f>
        <v>0</v>
      </c>
      <c r="N139" s="16" t="n">
        <f aca="false">IFERROR(J139/INDEX(账户总表!$B:$B,MATCH($A139,账户总表!$A:$A,0)),0)</f>
        <v>0</v>
      </c>
      <c r="O139" s="24"/>
      <c r="P139" s="15" t="str">
        <f aca="false">IF($A139="","",IF($D139="是",IF(E139&gt;0,E139*0.92,MAX(O139*0.98,H139*0.92)),MAX(O139*0.98,H139*0.92)))</f>
        <v/>
      </c>
      <c r="Q139" s="4" t="str">
        <f aca="false">IF($A139="","",IF(AND(I139&gt;0,P139&gt;0,I139&lt;=P139),"是","否"))</f>
        <v/>
      </c>
      <c r="R139" s="26"/>
      <c r="S139" s="7"/>
      <c r="T139" s="7"/>
      <c r="U139" s="7"/>
      <c r="V139" s="19" t="str">
        <f aca="false">IF($A139="","",IF(OR(AND(O139&gt;0,I139&lt;O139),AND(T139="False",S139&lt;0.8)),"是","否"))</f>
        <v/>
      </c>
      <c r="W139" s="19" t="str">
        <f aca="false">IF($A139="","",IF(AND(I139&lt;H139,S139&lt;0.8),"是","否"))</f>
        <v/>
      </c>
      <c r="X139" s="19" t="str">
        <f aca="false">IF($A139="","",IF(AND(R139&lt;60%,S139&gt;0.8,T139="True",U139="一卖"),"是","否"))</f>
        <v/>
      </c>
      <c r="Y139" s="19" t="str">
        <f aca="false">IF($A139="","",IF(D139="是","否",IF(N139&gt;LOOKUP(2,1/(账户总表!$A:$A&lt;&gt;""),账户总表!$O:$O),"是","否")))</f>
        <v/>
      </c>
      <c r="Z139" s="19" t="str">
        <f aca="false">IF($A139="","",IF(M139&gt;=0,"盈利","亏损"))</f>
        <v/>
      </c>
      <c r="AA139" s="19" t="str">
        <f aca="false">IF($A139="","",IF(OR(Q139="是",M139&lt;=-8%,V139="是",X139="是"),"卖出",IF(Y139="是","减仓",IF(W139="是","观察","持有"))))</f>
        <v/>
      </c>
      <c r="AB139" s="19" t="str">
        <f aca="false">IF($A139="","",IF(D139="是",IF(I139&lt;=E139*0.92,"立即卖出(WAIVED止损)","继续持有(WAIVED)"),IF(OR(M139&lt;=-10%,Q139="是"),"立即卖出",IF(OR(AA139="卖出",V139="是",X139="是"),"次日卖出",IF(AND(Y139="是",NOT(OR(Q139="是",M139&lt;=-8%,V139="是",X139="是"))),"减仓至上限",IF(W139="是","观察","继续持有"))))))</f>
        <v/>
      </c>
      <c r="AC139" s="19" t="str">
        <f aca="false">IF($A139="","",IF(Q139="是","触发止损",IF(M139&lt;=-8%,"固定止损",IF(V139="是","信号失效",IF(X139="是","确认一卖",IF(Y139="是","单股超限",IF(W139="是","DL_P弱化","规则内持有")))))))</f>
        <v/>
      </c>
      <c r="AD139" s="7"/>
    </row>
    <row r="140" customFormat="false" ht="15" hidden="false" customHeight="true" outlineLevel="0" collapsed="false">
      <c r="A140" s="5"/>
      <c r="B140" s="5"/>
      <c r="C140" s="5"/>
      <c r="D140" s="11"/>
      <c r="E140" s="14"/>
      <c r="F140" s="5"/>
      <c r="G140" s="17"/>
      <c r="H140" s="14"/>
      <c r="I140" s="14"/>
      <c r="J140" s="15" t="n">
        <f aca="false">IFERROR(G140*I140,0)</f>
        <v>0</v>
      </c>
      <c r="K140" s="15" t="n">
        <f aca="false">IFERROR(G140*H140,0)</f>
        <v>0</v>
      </c>
      <c r="L140" s="15" t="n">
        <f aca="false">IFERROR(J140-K140,0)</f>
        <v>0</v>
      </c>
      <c r="M140" s="16" t="n">
        <f aca="false">IFERROR((I140-H140)/H140,0)</f>
        <v>0</v>
      </c>
      <c r="N140" s="16" t="n">
        <f aca="false">IFERROR(J140/INDEX(账户总表!$B:$B,MATCH($A140,账户总表!$A:$A,0)),0)</f>
        <v>0</v>
      </c>
      <c r="O140" s="14"/>
      <c r="P140" s="15" t="str">
        <f aca="false">IF($A140="","",IF($D140="是",IF(E140&gt;0,E140*0.92,MAX(O140*0.98,H140*0.92)),MAX(O140*0.98,H140*0.92)))</f>
        <v/>
      </c>
      <c r="Q140" s="4" t="str">
        <f aca="false">IF($A140="","",IF(AND(I140&gt;0,P140&gt;0,I140&lt;=P140),"是","否"))</f>
        <v/>
      </c>
      <c r="R140" s="20"/>
      <c r="S140" s="5"/>
      <c r="T140" s="5"/>
      <c r="U140" s="5"/>
      <c r="V140" s="19" t="str">
        <f aca="false">IF($A140="","",IF(OR(AND(O140&gt;0,I140&lt;O140),AND(T140="False",S140&lt;0.8)),"是","否"))</f>
        <v/>
      </c>
      <c r="W140" s="19" t="str">
        <f aca="false">IF($A140="","",IF(AND(I140&lt;H140,S140&lt;0.8),"是","否"))</f>
        <v/>
      </c>
      <c r="X140" s="19" t="str">
        <f aca="false">IF($A140="","",IF(AND(R140&lt;60%,S140&gt;0.8,T140="True",U140="一卖"),"是","否"))</f>
        <v/>
      </c>
      <c r="Y140" s="19" t="str">
        <f aca="false">IF($A140="","",IF(D140="是","否",IF(N140&gt;LOOKUP(2,1/(账户总表!$A:$A&lt;&gt;""),账户总表!$O:$O),"是","否")))</f>
        <v/>
      </c>
      <c r="Z140" s="19" t="str">
        <f aca="false">IF($A140="","",IF(M140&gt;=0,"盈利","亏损"))</f>
        <v/>
      </c>
      <c r="AA140" s="19" t="str">
        <f aca="false">IF($A140="","",IF(OR(Q140="是",M140&lt;=-8%,V140="是",X140="是"),"卖出",IF(Y140="是","减仓",IF(W140="是","观察","持有"))))</f>
        <v/>
      </c>
      <c r="AB140" s="19" t="str">
        <f aca="false">IF($A140="","",IF(D140="是",IF(I140&lt;=E140*0.92,"立即卖出(WAIVED止损)","继续持有(WAIVED)"),IF(OR(M140&lt;=-10%,Q140="是"),"立即卖出",IF(OR(AA140="卖出",V140="是",X140="是"),"次日卖出",IF(AND(Y140="是",NOT(OR(Q140="是",M140&lt;=-8%,V140="是",X140="是"))),"减仓至上限",IF(W140="是","观察","继续持有"))))))</f>
        <v/>
      </c>
      <c r="AC140" s="19" t="str">
        <f aca="false">IF($A140="","",IF(Q140="是","触发止损",IF(M140&lt;=-8%,"固定止损",IF(V140="是","信号失效",IF(X140="是","确认一卖",IF(Y140="是","单股超限",IF(W140="是","DL_P弱化","规则内持有")))))))</f>
        <v/>
      </c>
      <c r="AD140" s="5"/>
    </row>
    <row r="141" customFormat="false" ht="15" hidden="false" customHeight="true" outlineLevel="0" collapsed="false">
      <c r="A141" s="7"/>
      <c r="B141" s="7"/>
      <c r="C141" s="7"/>
      <c r="D141" s="12"/>
      <c r="E141" s="24"/>
      <c r="F141" s="7"/>
      <c r="G141" s="25"/>
      <c r="H141" s="24"/>
      <c r="I141" s="24"/>
      <c r="J141" s="15" t="n">
        <f aca="false">IFERROR(G141*I141,0)</f>
        <v>0</v>
      </c>
      <c r="K141" s="15" t="n">
        <f aca="false">IFERROR(G141*H141,0)</f>
        <v>0</v>
      </c>
      <c r="L141" s="15" t="n">
        <f aca="false">IFERROR(J141-K141,0)</f>
        <v>0</v>
      </c>
      <c r="M141" s="16" t="n">
        <f aca="false">IFERROR((I141-H141)/H141,0)</f>
        <v>0</v>
      </c>
      <c r="N141" s="16" t="n">
        <f aca="false">IFERROR(J141/INDEX(账户总表!$B:$B,MATCH($A141,账户总表!$A:$A,0)),0)</f>
        <v>0</v>
      </c>
      <c r="O141" s="24"/>
      <c r="P141" s="15" t="str">
        <f aca="false">IF($A141="","",IF($D141="是",IF(E141&gt;0,E141*0.92,MAX(O141*0.98,H141*0.92)),MAX(O141*0.98,H141*0.92)))</f>
        <v/>
      </c>
      <c r="Q141" s="4" t="str">
        <f aca="false">IF($A141="","",IF(AND(I141&gt;0,P141&gt;0,I141&lt;=P141),"是","否"))</f>
        <v/>
      </c>
      <c r="R141" s="26"/>
      <c r="S141" s="7"/>
      <c r="T141" s="7"/>
      <c r="U141" s="7"/>
      <c r="V141" s="19" t="str">
        <f aca="false">IF($A141="","",IF(OR(AND(O141&gt;0,I141&lt;O141),AND(T141="False",S141&lt;0.8)),"是","否"))</f>
        <v/>
      </c>
      <c r="W141" s="19" t="str">
        <f aca="false">IF($A141="","",IF(AND(I141&lt;H141,S141&lt;0.8),"是","否"))</f>
        <v/>
      </c>
      <c r="X141" s="19" t="str">
        <f aca="false">IF($A141="","",IF(AND(R141&lt;60%,S141&gt;0.8,T141="True",U141="一卖"),"是","否"))</f>
        <v/>
      </c>
      <c r="Y141" s="19" t="str">
        <f aca="false">IF($A141="","",IF(D141="是","否",IF(N141&gt;LOOKUP(2,1/(账户总表!$A:$A&lt;&gt;""),账户总表!$O:$O),"是","否")))</f>
        <v/>
      </c>
      <c r="Z141" s="19" t="str">
        <f aca="false">IF($A141="","",IF(M141&gt;=0,"盈利","亏损"))</f>
        <v/>
      </c>
      <c r="AA141" s="19" t="str">
        <f aca="false">IF($A141="","",IF(OR(Q141="是",M141&lt;=-8%,V141="是",X141="是"),"卖出",IF(Y141="是","减仓",IF(W141="是","观察","持有"))))</f>
        <v/>
      </c>
      <c r="AB141" s="19" t="str">
        <f aca="false">IF($A141="","",IF(D141="是",IF(I141&lt;=E141*0.92,"立即卖出(WAIVED止损)","继续持有(WAIVED)"),IF(OR(M141&lt;=-10%,Q141="是"),"立即卖出",IF(OR(AA141="卖出",V141="是",X141="是"),"次日卖出",IF(AND(Y141="是",NOT(OR(Q141="是",M141&lt;=-8%,V141="是",X141="是"))),"减仓至上限",IF(W141="是","观察","继续持有"))))))</f>
        <v/>
      </c>
      <c r="AC141" s="19" t="str">
        <f aca="false">IF($A141="","",IF(Q141="是","触发止损",IF(M141&lt;=-8%,"固定止损",IF(V141="是","信号失效",IF(X141="是","确认一卖",IF(Y141="是","单股超限",IF(W141="是","DL_P弱化","规则内持有")))))))</f>
        <v/>
      </c>
      <c r="AD141" s="7"/>
    </row>
    <row r="142" customFormat="false" ht="15" hidden="false" customHeight="true" outlineLevel="0" collapsed="false">
      <c r="A142" s="5"/>
      <c r="B142" s="5"/>
      <c r="C142" s="5"/>
      <c r="D142" s="11"/>
      <c r="E142" s="14"/>
      <c r="F142" s="5"/>
      <c r="G142" s="17"/>
      <c r="H142" s="14"/>
      <c r="I142" s="14"/>
      <c r="J142" s="15" t="n">
        <f aca="false">IFERROR(G142*I142,0)</f>
        <v>0</v>
      </c>
      <c r="K142" s="15" t="n">
        <f aca="false">IFERROR(G142*H142,0)</f>
        <v>0</v>
      </c>
      <c r="L142" s="15" t="n">
        <f aca="false">IFERROR(J142-K142,0)</f>
        <v>0</v>
      </c>
      <c r="M142" s="16" t="n">
        <f aca="false">IFERROR((I142-H142)/H142,0)</f>
        <v>0</v>
      </c>
      <c r="N142" s="16" t="n">
        <f aca="false">IFERROR(J142/INDEX(账户总表!$B:$B,MATCH($A142,账户总表!$A:$A,0)),0)</f>
        <v>0</v>
      </c>
      <c r="O142" s="14"/>
      <c r="P142" s="15" t="str">
        <f aca="false">IF($A142="","",IF($D142="是",IF(E142&gt;0,E142*0.92,MAX(O142*0.98,H142*0.92)),MAX(O142*0.98,H142*0.92)))</f>
        <v/>
      </c>
      <c r="Q142" s="4" t="str">
        <f aca="false">IF($A142="","",IF(AND(I142&gt;0,P142&gt;0,I142&lt;=P142),"是","否"))</f>
        <v/>
      </c>
      <c r="R142" s="20"/>
      <c r="S142" s="5"/>
      <c r="T142" s="5"/>
      <c r="U142" s="5"/>
      <c r="V142" s="19" t="str">
        <f aca="false">IF($A142="","",IF(OR(AND(O142&gt;0,I142&lt;O142),AND(T142="False",S142&lt;0.8)),"是","否"))</f>
        <v/>
      </c>
      <c r="W142" s="19" t="str">
        <f aca="false">IF($A142="","",IF(AND(I142&lt;H142,S142&lt;0.8),"是","否"))</f>
        <v/>
      </c>
      <c r="X142" s="19" t="str">
        <f aca="false">IF($A142="","",IF(AND(R142&lt;60%,S142&gt;0.8,T142="True",U142="一卖"),"是","否"))</f>
        <v/>
      </c>
      <c r="Y142" s="19" t="str">
        <f aca="false">IF($A142="","",IF(D142="是","否",IF(N142&gt;LOOKUP(2,1/(账户总表!$A:$A&lt;&gt;""),账户总表!$O:$O),"是","否")))</f>
        <v/>
      </c>
      <c r="Z142" s="19" t="str">
        <f aca="false">IF($A142="","",IF(M142&gt;=0,"盈利","亏损"))</f>
        <v/>
      </c>
      <c r="AA142" s="19" t="str">
        <f aca="false">IF($A142="","",IF(OR(Q142="是",M142&lt;=-8%,V142="是",X142="是"),"卖出",IF(Y142="是","减仓",IF(W142="是","观察","持有"))))</f>
        <v/>
      </c>
      <c r="AB142" s="19" t="str">
        <f aca="false">IF($A142="","",IF(D142="是",IF(I142&lt;=E142*0.92,"立即卖出(WAIVED止损)","继续持有(WAIVED)"),IF(OR(M142&lt;=-10%,Q142="是"),"立即卖出",IF(OR(AA142="卖出",V142="是",X142="是"),"次日卖出",IF(AND(Y142="是",NOT(OR(Q142="是",M142&lt;=-8%,V142="是",X142="是"))),"减仓至上限",IF(W142="是","观察","继续持有"))))))</f>
        <v/>
      </c>
      <c r="AC142" s="19" t="str">
        <f aca="false">IF($A142="","",IF(Q142="是","触发止损",IF(M142&lt;=-8%,"固定止损",IF(V142="是","信号失效",IF(X142="是","确认一卖",IF(Y142="是","单股超限",IF(W142="是","DL_P弱化","规则内持有")))))))</f>
        <v/>
      </c>
      <c r="AD142" s="5"/>
    </row>
    <row r="143" customFormat="false" ht="15" hidden="false" customHeight="true" outlineLevel="0" collapsed="false">
      <c r="A143" s="7"/>
      <c r="B143" s="7"/>
      <c r="C143" s="7"/>
      <c r="D143" s="12"/>
      <c r="E143" s="24"/>
      <c r="F143" s="7"/>
      <c r="G143" s="25"/>
      <c r="H143" s="24"/>
      <c r="I143" s="24"/>
      <c r="J143" s="15" t="n">
        <f aca="false">IFERROR(G143*I143,0)</f>
        <v>0</v>
      </c>
      <c r="K143" s="15" t="n">
        <f aca="false">IFERROR(G143*H143,0)</f>
        <v>0</v>
      </c>
      <c r="L143" s="15" t="n">
        <f aca="false">IFERROR(J143-K143,0)</f>
        <v>0</v>
      </c>
      <c r="M143" s="16" t="n">
        <f aca="false">IFERROR((I143-H143)/H143,0)</f>
        <v>0</v>
      </c>
      <c r="N143" s="16" t="n">
        <f aca="false">IFERROR(J143/INDEX(账户总表!$B:$B,MATCH($A143,账户总表!$A:$A,0)),0)</f>
        <v>0</v>
      </c>
      <c r="O143" s="24"/>
      <c r="P143" s="15" t="str">
        <f aca="false">IF($A143="","",IF($D143="是",IF(E143&gt;0,E143*0.92,MAX(O143*0.98,H143*0.92)),MAX(O143*0.98,H143*0.92)))</f>
        <v/>
      </c>
      <c r="Q143" s="4" t="str">
        <f aca="false">IF($A143="","",IF(AND(I143&gt;0,P143&gt;0,I143&lt;=P143),"是","否"))</f>
        <v/>
      </c>
      <c r="R143" s="26"/>
      <c r="S143" s="7"/>
      <c r="T143" s="7"/>
      <c r="U143" s="7"/>
      <c r="V143" s="19" t="str">
        <f aca="false">IF($A143="","",IF(OR(AND(O143&gt;0,I143&lt;O143),AND(T143="False",S143&lt;0.8)),"是","否"))</f>
        <v/>
      </c>
      <c r="W143" s="19" t="str">
        <f aca="false">IF($A143="","",IF(AND(I143&lt;H143,S143&lt;0.8),"是","否"))</f>
        <v/>
      </c>
      <c r="X143" s="19" t="str">
        <f aca="false">IF($A143="","",IF(AND(R143&lt;60%,S143&gt;0.8,T143="True",U143="一卖"),"是","否"))</f>
        <v/>
      </c>
      <c r="Y143" s="19" t="str">
        <f aca="false">IF($A143="","",IF(D143="是","否",IF(N143&gt;LOOKUP(2,1/(账户总表!$A:$A&lt;&gt;""),账户总表!$O:$O),"是","否")))</f>
        <v/>
      </c>
      <c r="Z143" s="19" t="str">
        <f aca="false">IF($A143="","",IF(M143&gt;=0,"盈利","亏损"))</f>
        <v/>
      </c>
      <c r="AA143" s="19" t="str">
        <f aca="false">IF($A143="","",IF(OR(Q143="是",M143&lt;=-8%,V143="是",X143="是"),"卖出",IF(Y143="是","减仓",IF(W143="是","观察","持有"))))</f>
        <v/>
      </c>
      <c r="AB143" s="19" t="str">
        <f aca="false">IF($A143="","",IF(D143="是",IF(I143&lt;=E143*0.92,"立即卖出(WAIVED止损)","继续持有(WAIVED)"),IF(OR(M143&lt;=-10%,Q143="是"),"立即卖出",IF(OR(AA143="卖出",V143="是",X143="是"),"次日卖出",IF(AND(Y143="是",NOT(OR(Q143="是",M143&lt;=-8%,V143="是",X143="是"))),"减仓至上限",IF(W143="是","观察","继续持有"))))))</f>
        <v/>
      </c>
      <c r="AC143" s="19" t="str">
        <f aca="false">IF($A143="","",IF(Q143="是","触发止损",IF(M143&lt;=-8%,"固定止损",IF(V143="是","信号失效",IF(X143="是","确认一卖",IF(Y143="是","单股超限",IF(W143="是","DL_P弱化","规则内持有")))))))</f>
        <v/>
      </c>
      <c r="AD143" s="7"/>
    </row>
    <row r="144" customFormat="false" ht="15" hidden="false" customHeight="true" outlineLevel="0" collapsed="false">
      <c r="A144" s="5"/>
      <c r="B144" s="5"/>
      <c r="C144" s="5"/>
      <c r="D144" s="11"/>
      <c r="E144" s="14"/>
      <c r="F144" s="5"/>
      <c r="G144" s="17"/>
      <c r="H144" s="14"/>
      <c r="I144" s="14"/>
      <c r="J144" s="15" t="n">
        <f aca="false">IFERROR(G144*I144,0)</f>
        <v>0</v>
      </c>
      <c r="K144" s="15" t="n">
        <f aca="false">IFERROR(G144*H144,0)</f>
        <v>0</v>
      </c>
      <c r="L144" s="15" t="n">
        <f aca="false">IFERROR(J144-K144,0)</f>
        <v>0</v>
      </c>
      <c r="M144" s="16" t="n">
        <f aca="false">IFERROR((I144-H144)/H144,0)</f>
        <v>0</v>
      </c>
      <c r="N144" s="16" t="n">
        <f aca="false">IFERROR(J144/INDEX(账户总表!$B:$B,MATCH($A144,账户总表!$A:$A,0)),0)</f>
        <v>0</v>
      </c>
      <c r="O144" s="14"/>
      <c r="P144" s="15" t="str">
        <f aca="false">IF($A144="","",IF($D144="是",IF(E144&gt;0,E144*0.92,MAX(O144*0.98,H144*0.92)),MAX(O144*0.98,H144*0.92)))</f>
        <v/>
      </c>
      <c r="Q144" s="4" t="str">
        <f aca="false">IF($A144="","",IF(AND(I144&gt;0,P144&gt;0,I144&lt;=P144),"是","否"))</f>
        <v/>
      </c>
      <c r="R144" s="20"/>
      <c r="S144" s="5"/>
      <c r="T144" s="5"/>
      <c r="U144" s="5"/>
      <c r="V144" s="19" t="str">
        <f aca="false">IF($A144="","",IF(OR(AND(O144&gt;0,I144&lt;O144),AND(T144="False",S144&lt;0.8)),"是","否"))</f>
        <v/>
      </c>
      <c r="W144" s="19" t="str">
        <f aca="false">IF($A144="","",IF(AND(I144&lt;H144,S144&lt;0.8),"是","否"))</f>
        <v/>
      </c>
      <c r="X144" s="19" t="str">
        <f aca="false">IF($A144="","",IF(AND(R144&lt;60%,S144&gt;0.8,T144="True",U144="一卖"),"是","否"))</f>
        <v/>
      </c>
      <c r="Y144" s="19" t="str">
        <f aca="false">IF($A144="","",IF(D144="是","否",IF(N144&gt;LOOKUP(2,1/(账户总表!$A:$A&lt;&gt;""),账户总表!$O:$O),"是","否")))</f>
        <v/>
      </c>
      <c r="Z144" s="19" t="str">
        <f aca="false">IF($A144="","",IF(M144&gt;=0,"盈利","亏损"))</f>
        <v/>
      </c>
      <c r="AA144" s="19" t="str">
        <f aca="false">IF($A144="","",IF(OR(Q144="是",M144&lt;=-8%,V144="是",X144="是"),"卖出",IF(Y144="是","减仓",IF(W144="是","观察","持有"))))</f>
        <v/>
      </c>
      <c r="AB144" s="19" t="str">
        <f aca="false">IF($A144="","",IF(D144="是",IF(I144&lt;=E144*0.92,"立即卖出(WAIVED止损)","继续持有(WAIVED)"),IF(OR(M144&lt;=-10%,Q144="是"),"立即卖出",IF(OR(AA144="卖出",V144="是",X144="是"),"次日卖出",IF(AND(Y144="是",NOT(OR(Q144="是",M144&lt;=-8%,V144="是",X144="是"))),"减仓至上限",IF(W144="是","观察","继续持有"))))))</f>
        <v/>
      </c>
      <c r="AC144" s="19" t="str">
        <f aca="false">IF($A144="","",IF(Q144="是","触发止损",IF(M144&lt;=-8%,"固定止损",IF(V144="是","信号失效",IF(X144="是","确认一卖",IF(Y144="是","单股超限",IF(W144="是","DL_P弱化","规则内持有")))))))</f>
        <v/>
      </c>
      <c r="AD144" s="5"/>
    </row>
    <row r="145" customFormat="false" ht="15" hidden="false" customHeight="true" outlineLevel="0" collapsed="false">
      <c r="A145" s="7"/>
      <c r="B145" s="7"/>
      <c r="C145" s="7"/>
      <c r="D145" s="12"/>
      <c r="E145" s="24"/>
      <c r="F145" s="7"/>
      <c r="G145" s="25"/>
      <c r="H145" s="24"/>
      <c r="I145" s="24"/>
      <c r="J145" s="15" t="n">
        <f aca="false">IFERROR(G145*I145,0)</f>
        <v>0</v>
      </c>
      <c r="K145" s="15" t="n">
        <f aca="false">IFERROR(G145*H145,0)</f>
        <v>0</v>
      </c>
      <c r="L145" s="15" t="n">
        <f aca="false">IFERROR(J145-K145,0)</f>
        <v>0</v>
      </c>
      <c r="M145" s="16" t="n">
        <f aca="false">IFERROR((I145-H145)/H145,0)</f>
        <v>0</v>
      </c>
      <c r="N145" s="16" t="n">
        <f aca="false">IFERROR(J145/INDEX(账户总表!$B:$B,MATCH($A145,账户总表!$A:$A,0)),0)</f>
        <v>0</v>
      </c>
      <c r="O145" s="24"/>
      <c r="P145" s="15" t="str">
        <f aca="false">IF($A145="","",IF($D145="是",IF(E145&gt;0,E145*0.92,MAX(O145*0.98,H145*0.92)),MAX(O145*0.98,H145*0.92)))</f>
        <v/>
      </c>
      <c r="Q145" s="4" t="str">
        <f aca="false">IF($A145="","",IF(AND(I145&gt;0,P145&gt;0,I145&lt;=P145),"是","否"))</f>
        <v/>
      </c>
      <c r="R145" s="26"/>
      <c r="S145" s="7"/>
      <c r="T145" s="7"/>
      <c r="U145" s="7"/>
      <c r="V145" s="19" t="str">
        <f aca="false">IF($A145="","",IF(OR(AND(O145&gt;0,I145&lt;O145),AND(T145="False",S145&lt;0.8)),"是","否"))</f>
        <v/>
      </c>
      <c r="W145" s="19" t="str">
        <f aca="false">IF($A145="","",IF(AND(I145&lt;H145,S145&lt;0.8),"是","否"))</f>
        <v/>
      </c>
      <c r="X145" s="19" t="str">
        <f aca="false">IF($A145="","",IF(AND(R145&lt;60%,S145&gt;0.8,T145="True",U145="一卖"),"是","否"))</f>
        <v/>
      </c>
      <c r="Y145" s="19" t="str">
        <f aca="false">IF($A145="","",IF(D145="是","否",IF(N145&gt;LOOKUP(2,1/(账户总表!$A:$A&lt;&gt;""),账户总表!$O:$O),"是","否")))</f>
        <v/>
      </c>
      <c r="Z145" s="19" t="str">
        <f aca="false">IF($A145="","",IF(M145&gt;=0,"盈利","亏损"))</f>
        <v/>
      </c>
      <c r="AA145" s="19" t="str">
        <f aca="false">IF($A145="","",IF(OR(Q145="是",M145&lt;=-8%,V145="是",X145="是"),"卖出",IF(Y145="是","减仓",IF(W145="是","观察","持有"))))</f>
        <v/>
      </c>
      <c r="AB145" s="19" t="str">
        <f aca="false">IF($A145="","",IF(D145="是",IF(I145&lt;=E145*0.92,"立即卖出(WAIVED止损)","继续持有(WAIVED)"),IF(OR(M145&lt;=-10%,Q145="是"),"立即卖出",IF(OR(AA145="卖出",V145="是",X145="是"),"次日卖出",IF(AND(Y145="是",NOT(OR(Q145="是",M145&lt;=-8%,V145="是",X145="是"))),"减仓至上限",IF(W145="是","观察","继续持有"))))))</f>
        <v/>
      </c>
      <c r="AC145" s="19" t="str">
        <f aca="false">IF($A145="","",IF(Q145="是","触发止损",IF(M145&lt;=-8%,"固定止损",IF(V145="是","信号失效",IF(X145="是","确认一卖",IF(Y145="是","单股超限",IF(W145="是","DL_P弱化","规则内持有")))))))</f>
        <v/>
      </c>
      <c r="AD145" s="7"/>
    </row>
    <row r="146" customFormat="false" ht="15" hidden="false" customHeight="true" outlineLevel="0" collapsed="false">
      <c r="A146" s="5"/>
      <c r="B146" s="5"/>
      <c r="C146" s="5"/>
      <c r="D146" s="11"/>
      <c r="E146" s="14"/>
      <c r="F146" s="5"/>
      <c r="G146" s="17"/>
      <c r="H146" s="14"/>
      <c r="I146" s="14"/>
      <c r="J146" s="15" t="n">
        <f aca="false">IFERROR(G146*I146,0)</f>
        <v>0</v>
      </c>
      <c r="K146" s="15" t="n">
        <f aca="false">IFERROR(G146*H146,0)</f>
        <v>0</v>
      </c>
      <c r="L146" s="15" t="n">
        <f aca="false">IFERROR(J146-K146,0)</f>
        <v>0</v>
      </c>
      <c r="M146" s="16" t="n">
        <f aca="false">IFERROR((I146-H146)/H146,0)</f>
        <v>0</v>
      </c>
      <c r="N146" s="16" t="n">
        <f aca="false">IFERROR(J146/INDEX(账户总表!$B:$B,MATCH($A146,账户总表!$A:$A,0)),0)</f>
        <v>0</v>
      </c>
      <c r="O146" s="14"/>
      <c r="P146" s="15" t="str">
        <f aca="false">IF($A146="","",IF($D146="是",IF(E146&gt;0,E146*0.92,MAX(O146*0.98,H146*0.92)),MAX(O146*0.98,H146*0.92)))</f>
        <v/>
      </c>
      <c r="Q146" s="4" t="str">
        <f aca="false">IF($A146="","",IF(AND(I146&gt;0,P146&gt;0,I146&lt;=P146),"是","否"))</f>
        <v/>
      </c>
      <c r="R146" s="20"/>
      <c r="S146" s="5"/>
      <c r="T146" s="5"/>
      <c r="U146" s="5"/>
      <c r="V146" s="19" t="str">
        <f aca="false">IF($A146="","",IF(OR(AND(O146&gt;0,I146&lt;O146),AND(T146="False",S146&lt;0.8)),"是","否"))</f>
        <v/>
      </c>
      <c r="W146" s="19" t="str">
        <f aca="false">IF($A146="","",IF(AND(I146&lt;H146,S146&lt;0.8),"是","否"))</f>
        <v/>
      </c>
      <c r="X146" s="19" t="str">
        <f aca="false">IF($A146="","",IF(AND(R146&lt;60%,S146&gt;0.8,T146="True",U146="一卖"),"是","否"))</f>
        <v/>
      </c>
      <c r="Y146" s="19" t="str">
        <f aca="false">IF($A146="","",IF(D146="是","否",IF(N146&gt;LOOKUP(2,1/(账户总表!$A:$A&lt;&gt;""),账户总表!$O:$O),"是","否")))</f>
        <v/>
      </c>
      <c r="Z146" s="19" t="str">
        <f aca="false">IF($A146="","",IF(M146&gt;=0,"盈利","亏损"))</f>
        <v/>
      </c>
      <c r="AA146" s="19" t="str">
        <f aca="false">IF($A146="","",IF(OR(Q146="是",M146&lt;=-8%,V146="是",X146="是"),"卖出",IF(Y146="是","减仓",IF(W146="是","观察","持有"))))</f>
        <v/>
      </c>
      <c r="AB146" s="19" t="str">
        <f aca="false">IF($A146="","",IF(D146="是",IF(I146&lt;=E146*0.92,"立即卖出(WAIVED止损)","继续持有(WAIVED)"),IF(OR(M146&lt;=-10%,Q146="是"),"立即卖出",IF(OR(AA146="卖出",V146="是",X146="是"),"次日卖出",IF(AND(Y146="是",NOT(OR(Q146="是",M146&lt;=-8%,V146="是",X146="是"))),"减仓至上限",IF(W146="是","观察","继续持有"))))))</f>
        <v/>
      </c>
      <c r="AC146" s="19" t="str">
        <f aca="false">IF($A146="","",IF(Q146="是","触发止损",IF(M146&lt;=-8%,"固定止损",IF(V146="是","信号失效",IF(X146="是","确认一卖",IF(Y146="是","单股超限",IF(W146="是","DL_P弱化","规则内持有")))))))</f>
        <v/>
      </c>
      <c r="AD146" s="5"/>
    </row>
    <row r="147" customFormat="false" ht="15" hidden="false" customHeight="true" outlineLevel="0" collapsed="false">
      <c r="A147" s="7"/>
      <c r="B147" s="7"/>
      <c r="C147" s="7"/>
      <c r="D147" s="12"/>
      <c r="E147" s="24"/>
      <c r="F147" s="7"/>
      <c r="G147" s="25"/>
      <c r="H147" s="24"/>
      <c r="I147" s="24"/>
      <c r="J147" s="15" t="n">
        <f aca="false">IFERROR(G147*I147,0)</f>
        <v>0</v>
      </c>
      <c r="K147" s="15" t="n">
        <f aca="false">IFERROR(G147*H147,0)</f>
        <v>0</v>
      </c>
      <c r="L147" s="15" t="n">
        <f aca="false">IFERROR(J147-K147,0)</f>
        <v>0</v>
      </c>
      <c r="M147" s="16" t="n">
        <f aca="false">IFERROR((I147-H147)/H147,0)</f>
        <v>0</v>
      </c>
      <c r="N147" s="16" t="n">
        <f aca="false">IFERROR(J147/INDEX(账户总表!$B:$B,MATCH($A147,账户总表!$A:$A,0)),0)</f>
        <v>0</v>
      </c>
      <c r="O147" s="24"/>
      <c r="P147" s="15" t="str">
        <f aca="false">IF($A147="","",IF($D147="是",IF(E147&gt;0,E147*0.92,MAX(O147*0.98,H147*0.92)),MAX(O147*0.98,H147*0.92)))</f>
        <v/>
      </c>
      <c r="Q147" s="4" t="str">
        <f aca="false">IF($A147="","",IF(AND(I147&gt;0,P147&gt;0,I147&lt;=P147),"是","否"))</f>
        <v/>
      </c>
      <c r="R147" s="26"/>
      <c r="S147" s="7"/>
      <c r="T147" s="7"/>
      <c r="U147" s="7"/>
      <c r="V147" s="19" t="str">
        <f aca="false">IF($A147="","",IF(OR(AND(O147&gt;0,I147&lt;O147),AND(T147="False",S147&lt;0.8)),"是","否"))</f>
        <v/>
      </c>
      <c r="W147" s="19" t="str">
        <f aca="false">IF($A147="","",IF(AND(I147&lt;H147,S147&lt;0.8),"是","否"))</f>
        <v/>
      </c>
      <c r="X147" s="19" t="str">
        <f aca="false">IF($A147="","",IF(AND(R147&lt;60%,S147&gt;0.8,T147="True",U147="一卖"),"是","否"))</f>
        <v/>
      </c>
      <c r="Y147" s="19" t="str">
        <f aca="false">IF($A147="","",IF(D147="是","否",IF(N147&gt;LOOKUP(2,1/(账户总表!$A:$A&lt;&gt;""),账户总表!$O:$O),"是","否")))</f>
        <v/>
      </c>
      <c r="Z147" s="19" t="str">
        <f aca="false">IF($A147="","",IF(M147&gt;=0,"盈利","亏损"))</f>
        <v/>
      </c>
      <c r="AA147" s="19" t="str">
        <f aca="false">IF($A147="","",IF(OR(Q147="是",M147&lt;=-8%,V147="是",X147="是"),"卖出",IF(Y147="是","减仓",IF(W147="是","观察","持有"))))</f>
        <v/>
      </c>
      <c r="AB147" s="19" t="str">
        <f aca="false">IF($A147="","",IF(D147="是",IF(I147&lt;=E147*0.92,"立即卖出(WAIVED止损)","继续持有(WAIVED)"),IF(OR(M147&lt;=-10%,Q147="是"),"立即卖出",IF(OR(AA147="卖出",V147="是",X147="是"),"次日卖出",IF(AND(Y147="是",NOT(OR(Q147="是",M147&lt;=-8%,V147="是",X147="是"))),"减仓至上限",IF(W147="是","观察","继续持有"))))))</f>
        <v/>
      </c>
      <c r="AC147" s="19" t="str">
        <f aca="false">IF($A147="","",IF(Q147="是","触发止损",IF(M147&lt;=-8%,"固定止损",IF(V147="是","信号失效",IF(X147="是","确认一卖",IF(Y147="是","单股超限",IF(W147="是","DL_P弱化","规则内持有")))))))</f>
        <v/>
      </c>
      <c r="AD147" s="7"/>
    </row>
    <row r="148" customFormat="false" ht="15" hidden="false" customHeight="true" outlineLevel="0" collapsed="false">
      <c r="A148" s="5"/>
      <c r="B148" s="5"/>
      <c r="C148" s="5"/>
      <c r="D148" s="11"/>
      <c r="E148" s="14"/>
      <c r="F148" s="5"/>
      <c r="G148" s="17"/>
      <c r="H148" s="14"/>
      <c r="I148" s="14"/>
      <c r="J148" s="15" t="n">
        <f aca="false">IFERROR(G148*I148,0)</f>
        <v>0</v>
      </c>
      <c r="K148" s="15" t="n">
        <f aca="false">IFERROR(G148*H148,0)</f>
        <v>0</v>
      </c>
      <c r="L148" s="15" t="n">
        <f aca="false">IFERROR(J148-K148,0)</f>
        <v>0</v>
      </c>
      <c r="M148" s="16" t="n">
        <f aca="false">IFERROR((I148-H148)/H148,0)</f>
        <v>0</v>
      </c>
      <c r="N148" s="16" t="n">
        <f aca="false">IFERROR(J148/INDEX(账户总表!$B:$B,MATCH($A148,账户总表!$A:$A,0)),0)</f>
        <v>0</v>
      </c>
      <c r="O148" s="14"/>
      <c r="P148" s="15" t="str">
        <f aca="false">IF($A148="","",IF($D148="是",IF(E148&gt;0,E148*0.92,MAX(O148*0.98,H148*0.92)),MAX(O148*0.98,H148*0.92)))</f>
        <v/>
      </c>
      <c r="Q148" s="4" t="str">
        <f aca="false">IF($A148="","",IF(AND(I148&gt;0,P148&gt;0,I148&lt;=P148),"是","否"))</f>
        <v/>
      </c>
      <c r="R148" s="20"/>
      <c r="S148" s="5"/>
      <c r="T148" s="5"/>
      <c r="U148" s="5"/>
      <c r="V148" s="19" t="str">
        <f aca="false">IF($A148="","",IF(OR(AND(O148&gt;0,I148&lt;O148),AND(T148="False",S148&lt;0.8)),"是","否"))</f>
        <v/>
      </c>
      <c r="W148" s="19" t="str">
        <f aca="false">IF($A148="","",IF(AND(I148&lt;H148,S148&lt;0.8),"是","否"))</f>
        <v/>
      </c>
      <c r="X148" s="19" t="str">
        <f aca="false">IF($A148="","",IF(AND(R148&lt;60%,S148&gt;0.8,T148="True",U148="一卖"),"是","否"))</f>
        <v/>
      </c>
      <c r="Y148" s="19" t="str">
        <f aca="false">IF($A148="","",IF(D148="是","否",IF(N148&gt;LOOKUP(2,1/(账户总表!$A:$A&lt;&gt;""),账户总表!$O:$O),"是","否")))</f>
        <v/>
      </c>
      <c r="Z148" s="19" t="str">
        <f aca="false">IF($A148="","",IF(M148&gt;=0,"盈利","亏损"))</f>
        <v/>
      </c>
      <c r="AA148" s="19" t="str">
        <f aca="false">IF($A148="","",IF(OR(Q148="是",M148&lt;=-8%,V148="是",X148="是"),"卖出",IF(Y148="是","减仓",IF(W148="是","观察","持有"))))</f>
        <v/>
      </c>
      <c r="AB148" s="19" t="str">
        <f aca="false">IF($A148="","",IF(D148="是",IF(I148&lt;=E148*0.92,"立即卖出(WAIVED止损)","继续持有(WAIVED)"),IF(OR(M148&lt;=-10%,Q148="是"),"立即卖出",IF(OR(AA148="卖出",V148="是",X148="是"),"次日卖出",IF(AND(Y148="是",NOT(OR(Q148="是",M148&lt;=-8%,V148="是",X148="是"))),"减仓至上限",IF(W148="是","观察","继续持有"))))))</f>
        <v/>
      </c>
      <c r="AC148" s="19" t="str">
        <f aca="false">IF($A148="","",IF(Q148="是","触发止损",IF(M148&lt;=-8%,"固定止损",IF(V148="是","信号失效",IF(X148="是","确认一卖",IF(Y148="是","单股超限",IF(W148="是","DL_P弱化","规则内持有")))))))</f>
        <v/>
      </c>
      <c r="AD148" s="5"/>
    </row>
    <row r="149" customFormat="false" ht="15" hidden="false" customHeight="true" outlineLevel="0" collapsed="false">
      <c r="A149" s="7"/>
      <c r="B149" s="7"/>
      <c r="C149" s="7"/>
      <c r="D149" s="12"/>
      <c r="E149" s="24"/>
      <c r="F149" s="7"/>
      <c r="G149" s="25"/>
      <c r="H149" s="24"/>
      <c r="I149" s="24"/>
      <c r="J149" s="15" t="n">
        <f aca="false">IFERROR(G149*I149,0)</f>
        <v>0</v>
      </c>
      <c r="K149" s="15" t="n">
        <f aca="false">IFERROR(G149*H149,0)</f>
        <v>0</v>
      </c>
      <c r="L149" s="15" t="n">
        <f aca="false">IFERROR(J149-K149,0)</f>
        <v>0</v>
      </c>
      <c r="M149" s="16" t="n">
        <f aca="false">IFERROR((I149-H149)/H149,0)</f>
        <v>0</v>
      </c>
      <c r="N149" s="16" t="n">
        <f aca="false">IFERROR(J149/INDEX(账户总表!$B:$B,MATCH($A149,账户总表!$A:$A,0)),0)</f>
        <v>0</v>
      </c>
      <c r="O149" s="24"/>
      <c r="P149" s="15" t="str">
        <f aca="false">IF($A149="","",IF($D149="是",IF(E149&gt;0,E149*0.92,MAX(O149*0.98,H149*0.92)),MAX(O149*0.98,H149*0.92)))</f>
        <v/>
      </c>
      <c r="Q149" s="4" t="str">
        <f aca="false">IF($A149="","",IF(AND(I149&gt;0,P149&gt;0,I149&lt;=P149),"是","否"))</f>
        <v/>
      </c>
      <c r="R149" s="26"/>
      <c r="S149" s="7"/>
      <c r="T149" s="7"/>
      <c r="U149" s="7"/>
      <c r="V149" s="19" t="str">
        <f aca="false">IF($A149="","",IF(OR(AND(O149&gt;0,I149&lt;O149),AND(T149="False",S149&lt;0.8)),"是","否"))</f>
        <v/>
      </c>
      <c r="W149" s="19" t="str">
        <f aca="false">IF($A149="","",IF(AND(I149&lt;H149,S149&lt;0.8),"是","否"))</f>
        <v/>
      </c>
      <c r="X149" s="19" t="str">
        <f aca="false">IF($A149="","",IF(AND(R149&lt;60%,S149&gt;0.8,T149="True",U149="一卖"),"是","否"))</f>
        <v/>
      </c>
      <c r="Y149" s="19" t="str">
        <f aca="false">IF($A149="","",IF(D149="是","否",IF(N149&gt;LOOKUP(2,1/(账户总表!$A:$A&lt;&gt;""),账户总表!$O:$O),"是","否")))</f>
        <v/>
      </c>
      <c r="Z149" s="19" t="str">
        <f aca="false">IF($A149="","",IF(M149&gt;=0,"盈利","亏损"))</f>
        <v/>
      </c>
      <c r="AA149" s="19" t="str">
        <f aca="false">IF($A149="","",IF(OR(Q149="是",M149&lt;=-8%,V149="是",X149="是"),"卖出",IF(Y149="是","减仓",IF(W149="是","观察","持有"))))</f>
        <v/>
      </c>
      <c r="AB149" s="19" t="str">
        <f aca="false">IF($A149="","",IF(D149="是",IF(I149&lt;=E149*0.92,"立即卖出(WAIVED止损)","继续持有(WAIVED)"),IF(OR(M149&lt;=-10%,Q149="是"),"立即卖出",IF(OR(AA149="卖出",V149="是",X149="是"),"次日卖出",IF(AND(Y149="是",NOT(OR(Q149="是",M149&lt;=-8%,V149="是",X149="是"))),"减仓至上限",IF(W149="是","观察","继续持有"))))))</f>
        <v/>
      </c>
      <c r="AC149" s="19" t="str">
        <f aca="false">IF($A149="","",IF(Q149="是","触发止损",IF(M149&lt;=-8%,"固定止损",IF(V149="是","信号失效",IF(X149="是","确认一卖",IF(Y149="是","单股超限",IF(W149="是","DL_P弱化","规则内持有")))))))</f>
        <v/>
      </c>
      <c r="AD149" s="7"/>
    </row>
    <row r="150" customFormat="false" ht="15" hidden="false" customHeight="true" outlineLevel="0" collapsed="false">
      <c r="A150" s="5"/>
      <c r="B150" s="5"/>
      <c r="C150" s="5"/>
      <c r="D150" s="11"/>
      <c r="E150" s="14"/>
      <c r="F150" s="5"/>
      <c r="G150" s="17"/>
      <c r="H150" s="14"/>
      <c r="I150" s="14"/>
      <c r="J150" s="15" t="n">
        <f aca="false">IFERROR(G150*I150,0)</f>
        <v>0</v>
      </c>
      <c r="K150" s="15" t="n">
        <f aca="false">IFERROR(G150*H150,0)</f>
        <v>0</v>
      </c>
      <c r="L150" s="15" t="n">
        <f aca="false">IFERROR(J150-K150,0)</f>
        <v>0</v>
      </c>
      <c r="M150" s="16" t="n">
        <f aca="false">IFERROR((I150-H150)/H150,0)</f>
        <v>0</v>
      </c>
      <c r="N150" s="16" t="n">
        <f aca="false">IFERROR(J150/INDEX(账户总表!$B:$B,MATCH($A150,账户总表!$A:$A,0)),0)</f>
        <v>0</v>
      </c>
      <c r="O150" s="14"/>
      <c r="P150" s="15" t="str">
        <f aca="false">IF($A150="","",IF($D150="是",IF(E150&gt;0,E150*0.92,MAX(O150*0.98,H150*0.92)),MAX(O150*0.98,H150*0.92)))</f>
        <v/>
      </c>
      <c r="Q150" s="4" t="str">
        <f aca="false">IF($A150="","",IF(AND(I150&gt;0,P150&gt;0,I150&lt;=P150),"是","否"))</f>
        <v/>
      </c>
      <c r="R150" s="20"/>
      <c r="S150" s="5"/>
      <c r="T150" s="5"/>
      <c r="U150" s="5"/>
      <c r="V150" s="19" t="str">
        <f aca="false">IF($A150="","",IF(OR(AND(O150&gt;0,I150&lt;O150),AND(T150="False",S150&lt;0.8)),"是","否"))</f>
        <v/>
      </c>
      <c r="W150" s="19" t="str">
        <f aca="false">IF($A150="","",IF(AND(I150&lt;H150,S150&lt;0.8),"是","否"))</f>
        <v/>
      </c>
      <c r="X150" s="19" t="str">
        <f aca="false">IF($A150="","",IF(AND(R150&lt;60%,S150&gt;0.8,T150="True",U150="一卖"),"是","否"))</f>
        <v/>
      </c>
      <c r="Y150" s="19" t="str">
        <f aca="false">IF($A150="","",IF(D150="是","否",IF(N150&gt;LOOKUP(2,1/(账户总表!$A:$A&lt;&gt;""),账户总表!$O:$O),"是","否")))</f>
        <v/>
      </c>
      <c r="Z150" s="19" t="str">
        <f aca="false">IF($A150="","",IF(M150&gt;=0,"盈利","亏损"))</f>
        <v/>
      </c>
      <c r="AA150" s="19" t="str">
        <f aca="false">IF($A150="","",IF(OR(Q150="是",M150&lt;=-8%,V150="是",X150="是"),"卖出",IF(Y150="是","减仓",IF(W150="是","观察","持有"))))</f>
        <v/>
      </c>
      <c r="AB150" s="19" t="str">
        <f aca="false">IF($A150="","",IF(D150="是",IF(I150&lt;=E150*0.92,"立即卖出(WAIVED止损)","继续持有(WAIVED)"),IF(OR(M150&lt;=-10%,Q150="是"),"立即卖出",IF(OR(AA150="卖出",V150="是",X150="是"),"次日卖出",IF(AND(Y150="是",NOT(OR(Q150="是",M150&lt;=-8%,V150="是",X150="是"))),"减仓至上限",IF(W150="是","观察","继续持有"))))))</f>
        <v/>
      </c>
      <c r="AC150" s="19" t="str">
        <f aca="false">IF($A150="","",IF(Q150="是","触发止损",IF(M150&lt;=-8%,"固定止损",IF(V150="是","信号失效",IF(X150="是","确认一卖",IF(Y150="是","单股超限",IF(W150="是","DL_P弱化","规则内持有")))))))</f>
        <v/>
      </c>
      <c r="AD150" s="5"/>
    </row>
    <row r="151" customFormat="false" ht="15" hidden="false" customHeight="true" outlineLevel="0" collapsed="false">
      <c r="A151" s="7"/>
      <c r="B151" s="7"/>
      <c r="C151" s="7"/>
      <c r="D151" s="12"/>
      <c r="E151" s="24"/>
      <c r="F151" s="7"/>
      <c r="G151" s="25"/>
      <c r="H151" s="24"/>
      <c r="I151" s="24"/>
      <c r="J151" s="15" t="n">
        <f aca="false">IFERROR(G151*I151,0)</f>
        <v>0</v>
      </c>
      <c r="K151" s="15" t="n">
        <f aca="false">IFERROR(G151*H151,0)</f>
        <v>0</v>
      </c>
      <c r="L151" s="15" t="n">
        <f aca="false">IFERROR(J151-K151,0)</f>
        <v>0</v>
      </c>
      <c r="M151" s="16" t="n">
        <f aca="false">IFERROR((I151-H151)/H151,0)</f>
        <v>0</v>
      </c>
      <c r="N151" s="16" t="n">
        <f aca="false">IFERROR(J151/INDEX(账户总表!$B:$B,MATCH($A151,账户总表!$A:$A,0)),0)</f>
        <v>0</v>
      </c>
      <c r="O151" s="24"/>
      <c r="P151" s="15" t="str">
        <f aca="false">IF($A151="","",IF($D151="是",IF(E151&gt;0,E151*0.92,MAX(O151*0.98,H151*0.92)),MAX(O151*0.98,H151*0.92)))</f>
        <v/>
      </c>
      <c r="Q151" s="4" t="str">
        <f aca="false">IF($A151="","",IF(AND(I151&gt;0,P151&gt;0,I151&lt;=P151),"是","否"))</f>
        <v/>
      </c>
      <c r="R151" s="26"/>
      <c r="S151" s="7"/>
      <c r="T151" s="7"/>
      <c r="U151" s="7"/>
      <c r="V151" s="19" t="str">
        <f aca="false">IF($A151="","",IF(OR(AND(O151&gt;0,I151&lt;O151),AND(T151="False",S151&lt;0.8)),"是","否"))</f>
        <v/>
      </c>
      <c r="W151" s="19" t="str">
        <f aca="false">IF($A151="","",IF(AND(I151&lt;H151,S151&lt;0.8),"是","否"))</f>
        <v/>
      </c>
      <c r="X151" s="19" t="str">
        <f aca="false">IF($A151="","",IF(AND(R151&lt;60%,S151&gt;0.8,T151="True",U151="一卖"),"是","否"))</f>
        <v/>
      </c>
      <c r="Y151" s="19" t="str">
        <f aca="false">IF($A151="","",IF(D151="是","否",IF(N151&gt;LOOKUP(2,1/(账户总表!$A:$A&lt;&gt;""),账户总表!$O:$O),"是","否")))</f>
        <v/>
      </c>
      <c r="Z151" s="19" t="str">
        <f aca="false">IF($A151="","",IF(M151&gt;=0,"盈利","亏损"))</f>
        <v/>
      </c>
      <c r="AA151" s="19" t="str">
        <f aca="false">IF($A151="","",IF(OR(Q151="是",M151&lt;=-8%,V151="是",X151="是"),"卖出",IF(Y151="是","减仓",IF(W151="是","观察","持有"))))</f>
        <v/>
      </c>
      <c r="AB151" s="19" t="str">
        <f aca="false">IF($A151="","",IF(D151="是",IF(I151&lt;=E151*0.92,"立即卖出(WAIVED止损)","继续持有(WAIVED)"),IF(OR(M151&lt;=-10%,Q151="是"),"立即卖出",IF(OR(AA151="卖出",V151="是",X151="是"),"次日卖出",IF(AND(Y151="是",NOT(OR(Q151="是",M151&lt;=-8%,V151="是",X151="是"))),"减仓至上限",IF(W151="是","观察","继续持有"))))))</f>
        <v/>
      </c>
      <c r="AC151" s="19" t="str">
        <f aca="false">IF($A151="","",IF(Q151="是","触发止损",IF(M151&lt;=-8%,"固定止损",IF(V151="是","信号失效",IF(X151="是","确认一卖",IF(Y151="是","单股超限",IF(W151="是","DL_P弱化","规则内持有")))))))</f>
        <v/>
      </c>
      <c r="AD151" s="7"/>
    </row>
    <row r="152" customFormat="false" ht="15" hidden="false" customHeight="true" outlineLevel="0" collapsed="false">
      <c r="A152" s="5"/>
      <c r="B152" s="5"/>
      <c r="C152" s="5"/>
      <c r="D152" s="11"/>
      <c r="E152" s="14"/>
      <c r="F152" s="5"/>
      <c r="G152" s="17"/>
      <c r="H152" s="14"/>
      <c r="I152" s="14"/>
      <c r="J152" s="15" t="n">
        <f aca="false">IFERROR(G152*I152,0)</f>
        <v>0</v>
      </c>
      <c r="K152" s="15" t="n">
        <f aca="false">IFERROR(G152*H152,0)</f>
        <v>0</v>
      </c>
      <c r="L152" s="15" t="n">
        <f aca="false">IFERROR(J152-K152,0)</f>
        <v>0</v>
      </c>
      <c r="M152" s="16" t="n">
        <f aca="false">IFERROR((I152-H152)/H152,0)</f>
        <v>0</v>
      </c>
      <c r="N152" s="16" t="n">
        <f aca="false">IFERROR(J152/INDEX(账户总表!$B:$B,MATCH($A152,账户总表!$A:$A,0)),0)</f>
        <v>0</v>
      </c>
      <c r="O152" s="14"/>
      <c r="P152" s="15" t="str">
        <f aca="false">IF($A152="","",IF($D152="是",IF(E152&gt;0,E152*0.92,MAX(O152*0.98,H152*0.92)),MAX(O152*0.98,H152*0.92)))</f>
        <v/>
      </c>
      <c r="Q152" s="4" t="str">
        <f aca="false">IF($A152="","",IF(AND(I152&gt;0,P152&gt;0,I152&lt;=P152),"是","否"))</f>
        <v/>
      </c>
      <c r="R152" s="20"/>
      <c r="S152" s="5"/>
      <c r="T152" s="5"/>
      <c r="U152" s="5"/>
      <c r="V152" s="19" t="str">
        <f aca="false">IF($A152="","",IF(OR(AND(O152&gt;0,I152&lt;O152),AND(T152="False",S152&lt;0.8)),"是","否"))</f>
        <v/>
      </c>
      <c r="W152" s="19" t="str">
        <f aca="false">IF($A152="","",IF(AND(I152&lt;H152,S152&lt;0.8),"是","否"))</f>
        <v/>
      </c>
      <c r="X152" s="19" t="str">
        <f aca="false">IF($A152="","",IF(AND(R152&lt;60%,S152&gt;0.8,T152="True",U152="一卖"),"是","否"))</f>
        <v/>
      </c>
      <c r="Y152" s="19" t="str">
        <f aca="false">IF($A152="","",IF(D152="是","否",IF(N152&gt;LOOKUP(2,1/(账户总表!$A:$A&lt;&gt;""),账户总表!$O:$O),"是","否")))</f>
        <v/>
      </c>
      <c r="Z152" s="19" t="str">
        <f aca="false">IF($A152="","",IF(M152&gt;=0,"盈利","亏损"))</f>
        <v/>
      </c>
      <c r="AA152" s="19" t="str">
        <f aca="false">IF($A152="","",IF(OR(Q152="是",M152&lt;=-8%,V152="是",X152="是"),"卖出",IF(Y152="是","减仓",IF(W152="是","观察","持有"))))</f>
        <v/>
      </c>
      <c r="AB152" s="19" t="str">
        <f aca="false">IF($A152="","",IF(D152="是",IF(I152&lt;=E152*0.92,"立即卖出(WAIVED止损)","继续持有(WAIVED)"),IF(OR(M152&lt;=-10%,Q152="是"),"立即卖出",IF(OR(AA152="卖出",V152="是",X152="是"),"次日卖出",IF(AND(Y152="是",NOT(OR(Q152="是",M152&lt;=-8%,V152="是",X152="是"))),"减仓至上限",IF(W152="是","观察","继续持有"))))))</f>
        <v/>
      </c>
      <c r="AC152" s="19" t="str">
        <f aca="false">IF($A152="","",IF(Q152="是","触发止损",IF(M152&lt;=-8%,"固定止损",IF(V152="是","信号失效",IF(X152="是","确认一卖",IF(Y152="是","单股超限",IF(W152="是","DL_P弱化","规则内持有")))))))</f>
        <v/>
      </c>
      <c r="AD152" s="5"/>
    </row>
    <row r="153" customFormat="false" ht="15" hidden="false" customHeight="true" outlineLevel="0" collapsed="false">
      <c r="A153" s="7"/>
      <c r="B153" s="7"/>
      <c r="C153" s="7"/>
      <c r="D153" s="12"/>
      <c r="E153" s="24"/>
      <c r="F153" s="7"/>
      <c r="G153" s="25"/>
      <c r="H153" s="24"/>
      <c r="I153" s="24"/>
      <c r="J153" s="15" t="n">
        <f aca="false">IFERROR(G153*I153,0)</f>
        <v>0</v>
      </c>
      <c r="K153" s="15" t="n">
        <f aca="false">IFERROR(G153*H153,0)</f>
        <v>0</v>
      </c>
      <c r="L153" s="15" t="n">
        <f aca="false">IFERROR(J153-K153,0)</f>
        <v>0</v>
      </c>
      <c r="M153" s="16" t="n">
        <f aca="false">IFERROR((I153-H153)/H153,0)</f>
        <v>0</v>
      </c>
      <c r="N153" s="16" t="n">
        <f aca="false">IFERROR(J153/INDEX(账户总表!$B:$B,MATCH($A153,账户总表!$A:$A,0)),0)</f>
        <v>0</v>
      </c>
      <c r="O153" s="24"/>
      <c r="P153" s="15" t="str">
        <f aca="false">IF($A153="","",IF($D153="是",IF(E153&gt;0,E153*0.92,MAX(O153*0.98,H153*0.92)),MAX(O153*0.98,H153*0.92)))</f>
        <v/>
      </c>
      <c r="Q153" s="4" t="str">
        <f aca="false">IF($A153="","",IF(AND(I153&gt;0,P153&gt;0,I153&lt;=P153),"是","否"))</f>
        <v/>
      </c>
      <c r="R153" s="26"/>
      <c r="S153" s="7"/>
      <c r="T153" s="7"/>
      <c r="U153" s="7"/>
      <c r="V153" s="19" t="str">
        <f aca="false">IF($A153="","",IF(OR(AND(O153&gt;0,I153&lt;O153),AND(T153="False",S153&lt;0.8)),"是","否"))</f>
        <v/>
      </c>
      <c r="W153" s="19" t="str">
        <f aca="false">IF($A153="","",IF(AND(I153&lt;H153,S153&lt;0.8),"是","否"))</f>
        <v/>
      </c>
      <c r="X153" s="19" t="str">
        <f aca="false">IF($A153="","",IF(AND(R153&lt;60%,S153&gt;0.8,T153="True",U153="一卖"),"是","否"))</f>
        <v/>
      </c>
      <c r="Y153" s="19" t="str">
        <f aca="false">IF($A153="","",IF(D153="是","否",IF(N153&gt;LOOKUP(2,1/(账户总表!$A:$A&lt;&gt;""),账户总表!$O:$O),"是","否")))</f>
        <v/>
      </c>
      <c r="Z153" s="19" t="str">
        <f aca="false">IF($A153="","",IF(M153&gt;=0,"盈利","亏损"))</f>
        <v/>
      </c>
      <c r="AA153" s="19" t="str">
        <f aca="false">IF($A153="","",IF(OR(Q153="是",M153&lt;=-8%,V153="是",X153="是"),"卖出",IF(Y153="是","减仓",IF(W153="是","观察","持有"))))</f>
        <v/>
      </c>
      <c r="AB153" s="19" t="str">
        <f aca="false">IF($A153="","",IF(D153="是",IF(I153&lt;=E153*0.92,"立即卖出(WAIVED止损)","继续持有(WAIVED)"),IF(OR(M153&lt;=-10%,Q153="是"),"立即卖出",IF(OR(AA153="卖出",V153="是",X153="是"),"次日卖出",IF(AND(Y153="是",NOT(OR(Q153="是",M153&lt;=-8%,V153="是",X153="是"))),"减仓至上限",IF(W153="是","观察","继续持有"))))))</f>
        <v/>
      </c>
      <c r="AC153" s="19" t="str">
        <f aca="false">IF($A153="","",IF(Q153="是","触发止损",IF(M153&lt;=-8%,"固定止损",IF(V153="是","信号失效",IF(X153="是","确认一卖",IF(Y153="是","单股超限",IF(W153="是","DL_P弱化","规则内持有")))))))</f>
        <v/>
      </c>
      <c r="AD153" s="7"/>
    </row>
    <row r="154" customFormat="false" ht="15" hidden="false" customHeight="true" outlineLevel="0" collapsed="false">
      <c r="A154" s="5"/>
      <c r="B154" s="5"/>
      <c r="C154" s="5"/>
      <c r="D154" s="11"/>
      <c r="E154" s="14"/>
      <c r="F154" s="5"/>
      <c r="G154" s="17"/>
      <c r="H154" s="14"/>
      <c r="I154" s="14"/>
      <c r="J154" s="15" t="n">
        <f aca="false">IFERROR(G154*I154,0)</f>
        <v>0</v>
      </c>
      <c r="K154" s="15" t="n">
        <f aca="false">IFERROR(G154*H154,0)</f>
        <v>0</v>
      </c>
      <c r="L154" s="15" t="n">
        <f aca="false">IFERROR(J154-K154,0)</f>
        <v>0</v>
      </c>
      <c r="M154" s="16" t="n">
        <f aca="false">IFERROR((I154-H154)/H154,0)</f>
        <v>0</v>
      </c>
      <c r="N154" s="16" t="n">
        <f aca="false">IFERROR(J154/INDEX(账户总表!$B:$B,MATCH($A154,账户总表!$A:$A,0)),0)</f>
        <v>0</v>
      </c>
      <c r="O154" s="14"/>
      <c r="P154" s="15" t="str">
        <f aca="false">IF($A154="","",IF($D154="是",IF(E154&gt;0,E154*0.92,MAX(O154*0.98,H154*0.92)),MAX(O154*0.98,H154*0.92)))</f>
        <v/>
      </c>
      <c r="Q154" s="4" t="str">
        <f aca="false">IF($A154="","",IF(AND(I154&gt;0,P154&gt;0,I154&lt;=P154),"是","否"))</f>
        <v/>
      </c>
      <c r="R154" s="20"/>
      <c r="S154" s="5"/>
      <c r="T154" s="5"/>
      <c r="U154" s="5"/>
      <c r="V154" s="19" t="str">
        <f aca="false">IF($A154="","",IF(OR(AND(O154&gt;0,I154&lt;O154),AND(T154="False",S154&lt;0.8)),"是","否"))</f>
        <v/>
      </c>
      <c r="W154" s="19" t="str">
        <f aca="false">IF($A154="","",IF(AND(I154&lt;H154,S154&lt;0.8),"是","否"))</f>
        <v/>
      </c>
      <c r="X154" s="19" t="str">
        <f aca="false">IF($A154="","",IF(AND(R154&lt;60%,S154&gt;0.8,T154="True",U154="一卖"),"是","否"))</f>
        <v/>
      </c>
      <c r="Y154" s="19" t="str">
        <f aca="false">IF($A154="","",IF(D154="是","否",IF(N154&gt;LOOKUP(2,1/(账户总表!$A:$A&lt;&gt;""),账户总表!$O:$O),"是","否")))</f>
        <v/>
      </c>
      <c r="Z154" s="19" t="str">
        <f aca="false">IF($A154="","",IF(M154&gt;=0,"盈利","亏损"))</f>
        <v/>
      </c>
      <c r="AA154" s="19" t="str">
        <f aca="false">IF($A154="","",IF(OR(Q154="是",M154&lt;=-8%,V154="是",X154="是"),"卖出",IF(Y154="是","减仓",IF(W154="是","观察","持有"))))</f>
        <v/>
      </c>
      <c r="AB154" s="19" t="str">
        <f aca="false">IF($A154="","",IF(D154="是",IF(I154&lt;=E154*0.92,"立即卖出(WAIVED止损)","继续持有(WAIVED)"),IF(OR(M154&lt;=-10%,Q154="是"),"立即卖出",IF(OR(AA154="卖出",V154="是",X154="是"),"次日卖出",IF(AND(Y154="是",NOT(OR(Q154="是",M154&lt;=-8%,V154="是",X154="是"))),"减仓至上限",IF(W154="是","观察","继续持有"))))))</f>
        <v/>
      </c>
      <c r="AC154" s="19" t="str">
        <f aca="false">IF($A154="","",IF(Q154="是","触发止损",IF(M154&lt;=-8%,"固定止损",IF(V154="是","信号失效",IF(X154="是","确认一卖",IF(Y154="是","单股超限",IF(W154="是","DL_P弱化","规则内持有")))))))</f>
        <v/>
      </c>
      <c r="AD154" s="5"/>
    </row>
    <row r="155" customFormat="false" ht="15" hidden="false" customHeight="true" outlineLevel="0" collapsed="false">
      <c r="A155" s="7"/>
      <c r="B155" s="7"/>
      <c r="C155" s="7"/>
      <c r="D155" s="12"/>
      <c r="E155" s="24"/>
      <c r="F155" s="7"/>
      <c r="G155" s="25"/>
      <c r="H155" s="24"/>
      <c r="I155" s="24"/>
      <c r="J155" s="15" t="n">
        <f aca="false">IFERROR(G155*I155,0)</f>
        <v>0</v>
      </c>
      <c r="K155" s="15" t="n">
        <f aca="false">IFERROR(G155*H155,0)</f>
        <v>0</v>
      </c>
      <c r="L155" s="15" t="n">
        <f aca="false">IFERROR(J155-K155,0)</f>
        <v>0</v>
      </c>
      <c r="M155" s="16" t="n">
        <f aca="false">IFERROR((I155-H155)/H155,0)</f>
        <v>0</v>
      </c>
      <c r="N155" s="16" t="n">
        <f aca="false">IFERROR(J155/INDEX(账户总表!$B:$B,MATCH($A155,账户总表!$A:$A,0)),0)</f>
        <v>0</v>
      </c>
      <c r="O155" s="24"/>
      <c r="P155" s="15" t="str">
        <f aca="false">IF($A155="","",IF($D155="是",IF(E155&gt;0,E155*0.92,MAX(O155*0.98,H155*0.92)),MAX(O155*0.98,H155*0.92)))</f>
        <v/>
      </c>
      <c r="Q155" s="4" t="str">
        <f aca="false">IF($A155="","",IF(AND(I155&gt;0,P155&gt;0,I155&lt;=P155),"是","否"))</f>
        <v/>
      </c>
      <c r="R155" s="26"/>
      <c r="S155" s="7"/>
      <c r="T155" s="7"/>
      <c r="U155" s="7"/>
      <c r="V155" s="19" t="str">
        <f aca="false">IF($A155="","",IF(OR(AND(O155&gt;0,I155&lt;O155),AND(T155="False",S155&lt;0.8)),"是","否"))</f>
        <v/>
      </c>
      <c r="W155" s="19" t="str">
        <f aca="false">IF($A155="","",IF(AND(I155&lt;H155,S155&lt;0.8),"是","否"))</f>
        <v/>
      </c>
      <c r="X155" s="19" t="str">
        <f aca="false">IF($A155="","",IF(AND(R155&lt;60%,S155&gt;0.8,T155="True",U155="一卖"),"是","否"))</f>
        <v/>
      </c>
      <c r="Y155" s="19" t="str">
        <f aca="false">IF($A155="","",IF(D155="是","否",IF(N155&gt;LOOKUP(2,1/(账户总表!$A:$A&lt;&gt;""),账户总表!$O:$O),"是","否")))</f>
        <v/>
      </c>
      <c r="Z155" s="19" t="str">
        <f aca="false">IF($A155="","",IF(M155&gt;=0,"盈利","亏损"))</f>
        <v/>
      </c>
      <c r="AA155" s="19" t="str">
        <f aca="false">IF($A155="","",IF(OR(Q155="是",M155&lt;=-8%,V155="是",X155="是"),"卖出",IF(Y155="是","减仓",IF(W155="是","观察","持有"))))</f>
        <v/>
      </c>
      <c r="AB155" s="19" t="str">
        <f aca="false">IF($A155="","",IF(D155="是",IF(I155&lt;=E155*0.92,"立即卖出(WAIVED止损)","继续持有(WAIVED)"),IF(OR(M155&lt;=-10%,Q155="是"),"立即卖出",IF(OR(AA155="卖出",V155="是",X155="是"),"次日卖出",IF(AND(Y155="是",NOT(OR(Q155="是",M155&lt;=-8%,V155="是",X155="是"))),"减仓至上限",IF(W155="是","观察","继续持有"))))))</f>
        <v/>
      </c>
      <c r="AC155" s="19" t="str">
        <f aca="false">IF($A155="","",IF(Q155="是","触发止损",IF(M155&lt;=-8%,"固定止损",IF(V155="是","信号失效",IF(X155="是","确认一卖",IF(Y155="是","单股超限",IF(W155="是","DL_P弱化","规则内持有")))))))</f>
        <v/>
      </c>
      <c r="AD155" s="7"/>
    </row>
    <row r="156" customFormat="false" ht="15" hidden="false" customHeight="true" outlineLevel="0" collapsed="false">
      <c r="A156" s="5"/>
      <c r="B156" s="5"/>
      <c r="C156" s="5"/>
      <c r="D156" s="11"/>
      <c r="E156" s="14"/>
      <c r="F156" s="5"/>
      <c r="G156" s="17"/>
      <c r="H156" s="14"/>
      <c r="I156" s="14"/>
      <c r="J156" s="15" t="n">
        <f aca="false">IFERROR(G156*I156,0)</f>
        <v>0</v>
      </c>
      <c r="K156" s="15" t="n">
        <f aca="false">IFERROR(G156*H156,0)</f>
        <v>0</v>
      </c>
      <c r="L156" s="15" t="n">
        <f aca="false">IFERROR(J156-K156,0)</f>
        <v>0</v>
      </c>
      <c r="M156" s="16" t="n">
        <f aca="false">IFERROR((I156-H156)/H156,0)</f>
        <v>0</v>
      </c>
      <c r="N156" s="16" t="n">
        <f aca="false">IFERROR(J156/INDEX(账户总表!$B:$B,MATCH($A156,账户总表!$A:$A,0)),0)</f>
        <v>0</v>
      </c>
      <c r="O156" s="14"/>
      <c r="P156" s="15" t="str">
        <f aca="false">IF($A156="","",IF($D156="是",IF(E156&gt;0,E156*0.92,MAX(O156*0.98,H156*0.92)),MAX(O156*0.98,H156*0.92)))</f>
        <v/>
      </c>
      <c r="Q156" s="4" t="str">
        <f aca="false">IF($A156="","",IF(AND(I156&gt;0,P156&gt;0,I156&lt;=P156),"是","否"))</f>
        <v/>
      </c>
      <c r="R156" s="20"/>
      <c r="S156" s="5"/>
      <c r="T156" s="5"/>
      <c r="U156" s="5"/>
      <c r="V156" s="19" t="str">
        <f aca="false">IF($A156="","",IF(OR(AND(O156&gt;0,I156&lt;O156),AND(T156="False",S156&lt;0.8)),"是","否"))</f>
        <v/>
      </c>
      <c r="W156" s="19" t="str">
        <f aca="false">IF($A156="","",IF(AND(I156&lt;H156,S156&lt;0.8),"是","否"))</f>
        <v/>
      </c>
      <c r="X156" s="19" t="str">
        <f aca="false">IF($A156="","",IF(AND(R156&lt;60%,S156&gt;0.8,T156="True",U156="一卖"),"是","否"))</f>
        <v/>
      </c>
      <c r="Y156" s="19" t="str">
        <f aca="false">IF($A156="","",IF(D156="是","否",IF(N156&gt;LOOKUP(2,1/(账户总表!$A:$A&lt;&gt;""),账户总表!$O:$O),"是","否")))</f>
        <v/>
      </c>
      <c r="Z156" s="19" t="str">
        <f aca="false">IF($A156="","",IF(M156&gt;=0,"盈利","亏损"))</f>
        <v/>
      </c>
      <c r="AA156" s="19" t="str">
        <f aca="false">IF($A156="","",IF(OR(Q156="是",M156&lt;=-8%,V156="是",X156="是"),"卖出",IF(Y156="是","减仓",IF(W156="是","观察","持有"))))</f>
        <v/>
      </c>
      <c r="AB156" s="19" t="str">
        <f aca="false">IF($A156="","",IF(D156="是",IF(I156&lt;=E156*0.92,"立即卖出(WAIVED止损)","继续持有(WAIVED)"),IF(OR(M156&lt;=-10%,Q156="是"),"立即卖出",IF(OR(AA156="卖出",V156="是",X156="是"),"次日卖出",IF(AND(Y156="是",NOT(OR(Q156="是",M156&lt;=-8%,V156="是",X156="是"))),"减仓至上限",IF(W156="是","观察","继续持有"))))))</f>
        <v/>
      </c>
      <c r="AC156" s="19" t="str">
        <f aca="false">IF($A156="","",IF(Q156="是","触发止损",IF(M156&lt;=-8%,"固定止损",IF(V156="是","信号失效",IF(X156="是","确认一卖",IF(Y156="是","单股超限",IF(W156="是","DL_P弱化","规则内持有")))))))</f>
        <v/>
      </c>
      <c r="AD156" s="5"/>
    </row>
    <row r="157" customFormat="false" ht="15" hidden="false" customHeight="true" outlineLevel="0" collapsed="false">
      <c r="A157" s="7"/>
      <c r="B157" s="7"/>
      <c r="C157" s="7"/>
      <c r="D157" s="12"/>
      <c r="E157" s="24"/>
      <c r="F157" s="7"/>
      <c r="G157" s="25"/>
      <c r="H157" s="24"/>
      <c r="I157" s="24"/>
      <c r="J157" s="15" t="n">
        <f aca="false">IFERROR(G157*I157,0)</f>
        <v>0</v>
      </c>
      <c r="K157" s="15" t="n">
        <f aca="false">IFERROR(G157*H157,0)</f>
        <v>0</v>
      </c>
      <c r="L157" s="15" t="n">
        <f aca="false">IFERROR(J157-K157,0)</f>
        <v>0</v>
      </c>
      <c r="M157" s="16" t="n">
        <f aca="false">IFERROR((I157-H157)/H157,0)</f>
        <v>0</v>
      </c>
      <c r="N157" s="16" t="n">
        <f aca="false">IFERROR(J157/INDEX(账户总表!$B:$B,MATCH($A157,账户总表!$A:$A,0)),0)</f>
        <v>0</v>
      </c>
      <c r="O157" s="24"/>
      <c r="P157" s="15" t="str">
        <f aca="false">IF($A157="","",IF($D157="是",IF(E157&gt;0,E157*0.92,MAX(O157*0.98,H157*0.92)),MAX(O157*0.98,H157*0.92)))</f>
        <v/>
      </c>
      <c r="Q157" s="4" t="str">
        <f aca="false">IF($A157="","",IF(AND(I157&gt;0,P157&gt;0,I157&lt;=P157),"是","否"))</f>
        <v/>
      </c>
      <c r="R157" s="26"/>
      <c r="S157" s="7"/>
      <c r="T157" s="7"/>
      <c r="U157" s="7"/>
      <c r="V157" s="19" t="str">
        <f aca="false">IF($A157="","",IF(OR(AND(O157&gt;0,I157&lt;O157),AND(T157="False",S157&lt;0.8)),"是","否"))</f>
        <v/>
      </c>
      <c r="W157" s="19" t="str">
        <f aca="false">IF($A157="","",IF(AND(I157&lt;H157,S157&lt;0.8),"是","否"))</f>
        <v/>
      </c>
      <c r="X157" s="19" t="str">
        <f aca="false">IF($A157="","",IF(AND(R157&lt;60%,S157&gt;0.8,T157="True",U157="一卖"),"是","否"))</f>
        <v/>
      </c>
      <c r="Y157" s="19" t="str">
        <f aca="false">IF($A157="","",IF(D157="是","否",IF(N157&gt;LOOKUP(2,1/(账户总表!$A:$A&lt;&gt;""),账户总表!$O:$O),"是","否")))</f>
        <v/>
      </c>
      <c r="Z157" s="19" t="str">
        <f aca="false">IF($A157="","",IF(M157&gt;=0,"盈利","亏损"))</f>
        <v/>
      </c>
      <c r="AA157" s="19" t="str">
        <f aca="false">IF($A157="","",IF(OR(Q157="是",M157&lt;=-8%,V157="是",X157="是"),"卖出",IF(Y157="是","减仓",IF(W157="是","观察","持有"))))</f>
        <v/>
      </c>
      <c r="AB157" s="19" t="str">
        <f aca="false">IF($A157="","",IF(D157="是",IF(I157&lt;=E157*0.92,"立即卖出(WAIVED止损)","继续持有(WAIVED)"),IF(OR(M157&lt;=-10%,Q157="是"),"立即卖出",IF(OR(AA157="卖出",V157="是",X157="是"),"次日卖出",IF(AND(Y157="是",NOT(OR(Q157="是",M157&lt;=-8%,V157="是",X157="是"))),"减仓至上限",IF(W157="是","观察","继续持有"))))))</f>
        <v/>
      </c>
      <c r="AC157" s="19" t="str">
        <f aca="false">IF($A157="","",IF(Q157="是","触发止损",IF(M157&lt;=-8%,"固定止损",IF(V157="是","信号失效",IF(X157="是","确认一卖",IF(Y157="是","单股超限",IF(W157="是","DL_P弱化","规则内持有")))))))</f>
        <v/>
      </c>
      <c r="AD157" s="7"/>
    </row>
    <row r="158" customFormat="false" ht="15" hidden="false" customHeight="true" outlineLevel="0" collapsed="false">
      <c r="A158" s="5"/>
      <c r="B158" s="5"/>
      <c r="C158" s="5"/>
      <c r="D158" s="11"/>
      <c r="E158" s="14"/>
      <c r="F158" s="5"/>
      <c r="G158" s="17"/>
      <c r="H158" s="14"/>
      <c r="I158" s="14"/>
      <c r="J158" s="15" t="n">
        <f aca="false">IFERROR(G158*I158,0)</f>
        <v>0</v>
      </c>
      <c r="K158" s="15" t="n">
        <f aca="false">IFERROR(G158*H158,0)</f>
        <v>0</v>
      </c>
      <c r="L158" s="15" t="n">
        <f aca="false">IFERROR(J158-K158,0)</f>
        <v>0</v>
      </c>
      <c r="M158" s="16" t="n">
        <f aca="false">IFERROR((I158-H158)/H158,0)</f>
        <v>0</v>
      </c>
      <c r="N158" s="16" t="n">
        <f aca="false">IFERROR(J158/INDEX(账户总表!$B:$B,MATCH($A158,账户总表!$A:$A,0)),0)</f>
        <v>0</v>
      </c>
      <c r="O158" s="14"/>
      <c r="P158" s="15" t="str">
        <f aca="false">IF($A158="","",IF($D158="是",IF(E158&gt;0,E158*0.92,MAX(O158*0.98,H158*0.92)),MAX(O158*0.98,H158*0.92)))</f>
        <v/>
      </c>
      <c r="Q158" s="4" t="str">
        <f aca="false">IF($A158="","",IF(AND(I158&gt;0,P158&gt;0,I158&lt;=P158),"是","否"))</f>
        <v/>
      </c>
      <c r="R158" s="20"/>
      <c r="S158" s="5"/>
      <c r="T158" s="5"/>
      <c r="U158" s="5"/>
      <c r="V158" s="19" t="str">
        <f aca="false">IF($A158="","",IF(OR(AND(O158&gt;0,I158&lt;O158),AND(T158="False",S158&lt;0.8)),"是","否"))</f>
        <v/>
      </c>
      <c r="W158" s="19" t="str">
        <f aca="false">IF($A158="","",IF(AND(I158&lt;H158,S158&lt;0.8),"是","否"))</f>
        <v/>
      </c>
      <c r="X158" s="19" t="str">
        <f aca="false">IF($A158="","",IF(AND(R158&lt;60%,S158&gt;0.8,T158="True",U158="一卖"),"是","否"))</f>
        <v/>
      </c>
      <c r="Y158" s="19" t="str">
        <f aca="false">IF($A158="","",IF(D158="是","否",IF(N158&gt;LOOKUP(2,1/(账户总表!$A:$A&lt;&gt;""),账户总表!$O:$O),"是","否")))</f>
        <v/>
      </c>
      <c r="Z158" s="19" t="str">
        <f aca="false">IF($A158="","",IF(M158&gt;=0,"盈利","亏损"))</f>
        <v/>
      </c>
      <c r="AA158" s="19" t="str">
        <f aca="false">IF($A158="","",IF(OR(Q158="是",M158&lt;=-8%,V158="是",X158="是"),"卖出",IF(Y158="是","减仓",IF(W158="是","观察","持有"))))</f>
        <v/>
      </c>
      <c r="AB158" s="19" t="str">
        <f aca="false">IF($A158="","",IF(D158="是",IF(I158&lt;=E158*0.92,"立即卖出(WAIVED止损)","继续持有(WAIVED)"),IF(OR(M158&lt;=-10%,Q158="是"),"立即卖出",IF(OR(AA158="卖出",V158="是",X158="是"),"次日卖出",IF(AND(Y158="是",NOT(OR(Q158="是",M158&lt;=-8%,V158="是",X158="是"))),"减仓至上限",IF(W158="是","观察","继续持有"))))))</f>
        <v/>
      </c>
      <c r="AC158" s="19" t="str">
        <f aca="false">IF($A158="","",IF(Q158="是","触发止损",IF(M158&lt;=-8%,"固定止损",IF(V158="是","信号失效",IF(X158="是","确认一卖",IF(Y158="是","单股超限",IF(W158="是","DL_P弱化","规则内持有")))))))</f>
        <v/>
      </c>
      <c r="AD158" s="5"/>
    </row>
    <row r="159" customFormat="false" ht="15" hidden="false" customHeight="true" outlineLevel="0" collapsed="false">
      <c r="A159" s="7"/>
      <c r="B159" s="7"/>
      <c r="C159" s="7"/>
      <c r="D159" s="12"/>
      <c r="E159" s="24"/>
      <c r="F159" s="7"/>
      <c r="G159" s="25"/>
      <c r="H159" s="24"/>
      <c r="I159" s="24"/>
      <c r="J159" s="15" t="n">
        <f aca="false">IFERROR(G159*I159,0)</f>
        <v>0</v>
      </c>
      <c r="K159" s="15" t="n">
        <f aca="false">IFERROR(G159*H159,0)</f>
        <v>0</v>
      </c>
      <c r="L159" s="15" t="n">
        <f aca="false">IFERROR(J159-K159,0)</f>
        <v>0</v>
      </c>
      <c r="M159" s="16" t="n">
        <f aca="false">IFERROR((I159-H159)/H159,0)</f>
        <v>0</v>
      </c>
      <c r="N159" s="16" t="n">
        <f aca="false">IFERROR(J159/INDEX(账户总表!$B:$B,MATCH($A159,账户总表!$A:$A,0)),0)</f>
        <v>0</v>
      </c>
      <c r="O159" s="24"/>
      <c r="P159" s="15" t="str">
        <f aca="false">IF($A159="","",IF($D159="是",IF(E159&gt;0,E159*0.92,MAX(O159*0.98,H159*0.92)),MAX(O159*0.98,H159*0.92)))</f>
        <v/>
      </c>
      <c r="Q159" s="4" t="str">
        <f aca="false">IF($A159="","",IF(AND(I159&gt;0,P159&gt;0,I159&lt;=P159),"是","否"))</f>
        <v/>
      </c>
      <c r="R159" s="26"/>
      <c r="S159" s="7"/>
      <c r="T159" s="7"/>
      <c r="U159" s="7"/>
      <c r="V159" s="19" t="str">
        <f aca="false">IF($A159="","",IF(OR(AND(O159&gt;0,I159&lt;O159),AND(T159="False",S159&lt;0.8)),"是","否"))</f>
        <v/>
      </c>
      <c r="W159" s="19" t="str">
        <f aca="false">IF($A159="","",IF(AND(I159&lt;H159,S159&lt;0.8),"是","否"))</f>
        <v/>
      </c>
      <c r="X159" s="19" t="str">
        <f aca="false">IF($A159="","",IF(AND(R159&lt;60%,S159&gt;0.8,T159="True",U159="一卖"),"是","否"))</f>
        <v/>
      </c>
      <c r="Y159" s="19" t="str">
        <f aca="false">IF($A159="","",IF(D159="是","否",IF(N159&gt;LOOKUP(2,1/(账户总表!$A:$A&lt;&gt;""),账户总表!$O:$O),"是","否")))</f>
        <v/>
      </c>
      <c r="Z159" s="19" t="str">
        <f aca="false">IF($A159="","",IF(M159&gt;=0,"盈利","亏损"))</f>
        <v/>
      </c>
      <c r="AA159" s="19" t="str">
        <f aca="false">IF($A159="","",IF(OR(Q159="是",M159&lt;=-8%,V159="是",X159="是"),"卖出",IF(Y159="是","减仓",IF(W159="是","观察","持有"))))</f>
        <v/>
      </c>
      <c r="AB159" s="19" t="str">
        <f aca="false">IF($A159="","",IF(D159="是",IF(I159&lt;=E159*0.92,"立即卖出(WAIVED止损)","继续持有(WAIVED)"),IF(OR(M159&lt;=-10%,Q159="是"),"立即卖出",IF(OR(AA159="卖出",V159="是",X159="是"),"次日卖出",IF(AND(Y159="是",NOT(OR(Q159="是",M159&lt;=-8%,V159="是",X159="是"))),"减仓至上限",IF(W159="是","观察","继续持有"))))))</f>
        <v/>
      </c>
      <c r="AC159" s="19" t="str">
        <f aca="false">IF($A159="","",IF(Q159="是","触发止损",IF(M159&lt;=-8%,"固定止损",IF(V159="是","信号失效",IF(X159="是","确认一卖",IF(Y159="是","单股超限",IF(W159="是","DL_P弱化","规则内持有")))))))</f>
        <v/>
      </c>
      <c r="AD159" s="7"/>
    </row>
    <row r="160" customFormat="false" ht="15" hidden="false" customHeight="true" outlineLevel="0" collapsed="false">
      <c r="A160" s="5"/>
      <c r="B160" s="5"/>
      <c r="C160" s="5"/>
      <c r="D160" s="11"/>
      <c r="E160" s="14"/>
      <c r="F160" s="5"/>
      <c r="G160" s="17"/>
      <c r="H160" s="14"/>
      <c r="I160" s="14"/>
      <c r="J160" s="15" t="n">
        <f aca="false">IFERROR(G160*I160,0)</f>
        <v>0</v>
      </c>
      <c r="K160" s="15" t="n">
        <f aca="false">IFERROR(G160*H160,0)</f>
        <v>0</v>
      </c>
      <c r="L160" s="15" t="n">
        <f aca="false">IFERROR(J160-K160,0)</f>
        <v>0</v>
      </c>
      <c r="M160" s="16" t="n">
        <f aca="false">IFERROR((I160-H160)/H160,0)</f>
        <v>0</v>
      </c>
      <c r="N160" s="16" t="n">
        <f aca="false">IFERROR(J160/INDEX(账户总表!$B:$B,MATCH($A160,账户总表!$A:$A,0)),0)</f>
        <v>0</v>
      </c>
      <c r="O160" s="14"/>
      <c r="P160" s="15" t="str">
        <f aca="false">IF($A160="","",IF($D160="是",IF(E160&gt;0,E160*0.92,MAX(O160*0.98,H160*0.92)),MAX(O160*0.98,H160*0.92)))</f>
        <v/>
      </c>
      <c r="Q160" s="4" t="str">
        <f aca="false">IF($A160="","",IF(AND(I160&gt;0,P160&gt;0,I160&lt;=P160),"是","否"))</f>
        <v/>
      </c>
      <c r="R160" s="20"/>
      <c r="S160" s="5"/>
      <c r="T160" s="5"/>
      <c r="U160" s="5"/>
      <c r="V160" s="19" t="str">
        <f aca="false">IF($A160="","",IF(OR(AND(O160&gt;0,I160&lt;O160),AND(T160="False",S160&lt;0.8)),"是","否"))</f>
        <v/>
      </c>
      <c r="W160" s="19" t="str">
        <f aca="false">IF($A160="","",IF(AND(I160&lt;H160,S160&lt;0.8),"是","否"))</f>
        <v/>
      </c>
      <c r="X160" s="19" t="str">
        <f aca="false">IF($A160="","",IF(AND(R160&lt;60%,S160&gt;0.8,T160="True",U160="一卖"),"是","否"))</f>
        <v/>
      </c>
      <c r="Y160" s="19" t="str">
        <f aca="false">IF($A160="","",IF(D160="是","否",IF(N160&gt;LOOKUP(2,1/(账户总表!$A:$A&lt;&gt;""),账户总表!$O:$O),"是","否")))</f>
        <v/>
      </c>
      <c r="Z160" s="19" t="str">
        <f aca="false">IF($A160="","",IF(M160&gt;=0,"盈利","亏损"))</f>
        <v/>
      </c>
      <c r="AA160" s="19" t="str">
        <f aca="false">IF($A160="","",IF(OR(Q160="是",M160&lt;=-8%,V160="是",X160="是"),"卖出",IF(Y160="是","减仓",IF(W160="是","观察","持有"))))</f>
        <v/>
      </c>
      <c r="AB160" s="19" t="str">
        <f aca="false">IF($A160="","",IF(D160="是",IF(I160&lt;=E160*0.92,"立即卖出(WAIVED止损)","继续持有(WAIVED)"),IF(OR(M160&lt;=-10%,Q160="是"),"立即卖出",IF(OR(AA160="卖出",V160="是",X160="是"),"次日卖出",IF(AND(Y160="是",NOT(OR(Q160="是",M160&lt;=-8%,V160="是",X160="是"))),"减仓至上限",IF(W160="是","观察","继续持有"))))))</f>
        <v/>
      </c>
      <c r="AC160" s="19" t="str">
        <f aca="false">IF($A160="","",IF(Q160="是","触发止损",IF(M160&lt;=-8%,"固定止损",IF(V160="是","信号失效",IF(X160="是","确认一卖",IF(Y160="是","单股超限",IF(W160="是","DL_P弱化","规则内持有")))))))</f>
        <v/>
      </c>
      <c r="AD160" s="5"/>
    </row>
    <row r="161" customFormat="false" ht="15" hidden="false" customHeight="true" outlineLevel="0" collapsed="false">
      <c r="A161" s="7"/>
      <c r="B161" s="7"/>
      <c r="C161" s="7"/>
      <c r="D161" s="12"/>
      <c r="E161" s="24"/>
      <c r="F161" s="7"/>
      <c r="G161" s="25"/>
      <c r="H161" s="24"/>
      <c r="I161" s="24"/>
      <c r="J161" s="15" t="n">
        <f aca="false">IFERROR(G161*I161,0)</f>
        <v>0</v>
      </c>
      <c r="K161" s="15" t="n">
        <f aca="false">IFERROR(G161*H161,0)</f>
        <v>0</v>
      </c>
      <c r="L161" s="15" t="n">
        <f aca="false">IFERROR(J161-K161,0)</f>
        <v>0</v>
      </c>
      <c r="M161" s="16" t="n">
        <f aca="false">IFERROR((I161-H161)/H161,0)</f>
        <v>0</v>
      </c>
      <c r="N161" s="16" t="n">
        <f aca="false">IFERROR(J161/INDEX(账户总表!$B:$B,MATCH($A161,账户总表!$A:$A,0)),0)</f>
        <v>0</v>
      </c>
      <c r="O161" s="24"/>
      <c r="P161" s="15" t="str">
        <f aca="false">IF($A161="","",IF($D161="是",IF(E161&gt;0,E161*0.92,MAX(O161*0.98,H161*0.92)),MAX(O161*0.98,H161*0.92)))</f>
        <v/>
      </c>
      <c r="Q161" s="4" t="str">
        <f aca="false">IF($A161="","",IF(AND(I161&gt;0,P161&gt;0,I161&lt;=P161),"是","否"))</f>
        <v/>
      </c>
      <c r="R161" s="26"/>
      <c r="S161" s="7"/>
      <c r="T161" s="7"/>
      <c r="U161" s="7"/>
      <c r="V161" s="19" t="str">
        <f aca="false">IF($A161="","",IF(OR(AND(O161&gt;0,I161&lt;O161),AND(T161="False",S161&lt;0.8)),"是","否"))</f>
        <v/>
      </c>
      <c r="W161" s="19" t="str">
        <f aca="false">IF($A161="","",IF(AND(I161&lt;H161,S161&lt;0.8),"是","否"))</f>
        <v/>
      </c>
      <c r="X161" s="19" t="str">
        <f aca="false">IF($A161="","",IF(AND(R161&lt;60%,S161&gt;0.8,T161="True",U161="一卖"),"是","否"))</f>
        <v/>
      </c>
      <c r="Y161" s="19" t="str">
        <f aca="false">IF($A161="","",IF(D161="是","否",IF(N161&gt;LOOKUP(2,1/(账户总表!$A:$A&lt;&gt;""),账户总表!$O:$O),"是","否")))</f>
        <v/>
      </c>
      <c r="Z161" s="19" t="str">
        <f aca="false">IF($A161="","",IF(M161&gt;=0,"盈利","亏损"))</f>
        <v/>
      </c>
      <c r="AA161" s="19" t="str">
        <f aca="false">IF($A161="","",IF(OR(Q161="是",M161&lt;=-8%,V161="是",X161="是"),"卖出",IF(Y161="是","减仓",IF(W161="是","观察","持有"))))</f>
        <v/>
      </c>
      <c r="AB161" s="19" t="str">
        <f aca="false">IF($A161="","",IF(D161="是",IF(I161&lt;=E161*0.92,"立即卖出(WAIVED止损)","继续持有(WAIVED)"),IF(OR(M161&lt;=-10%,Q161="是"),"立即卖出",IF(OR(AA161="卖出",V161="是",X161="是"),"次日卖出",IF(AND(Y161="是",NOT(OR(Q161="是",M161&lt;=-8%,V161="是",X161="是"))),"减仓至上限",IF(W161="是","观察","继续持有"))))))</f>
        <v/>
      </c>
      <c r="AC161" s="19" t="str">
        <f aca="false">IF($A161="","",IF(Q161="是","触发止损",IF(M161&lt;=-8%,"固定止损",IF(V161="是","信号失效",IF(X161="是","确认一卖",IF(Y161="是","单股超限",IF(W161="是","DL_P弱化","规则内持有")))))))</f>
        <v/>
      </c>
      <c r="AD161" s="7"/>
    </row>
    <row r="162" customFormat="false" ht="15" hidden="false" customHeight="true" outlineLevel="0" collapsed="false">
      <c r="A162" s="5"/>
      <c r="B162" s="5"/>
      <c r="C162" s="5"/>
      <c r="D162" s="11"/>
      <c r="E162" s="14"/>
      <c r="F162" s="5"/>
      <c r="G162" s="17"/>
      <c r="H162" s="14"/>
      <c r="I162" s="14"/>
      <c r="J162" s="15" t="n">
        <f aca="false">IFERROR(G162*I162,0)</f>
        <v>0</v>
      </c>
      <c r="K162" s="15" t="n">
        <f aca="false">IFERROR(G162*H162,0)</f>
        <v>0</v>
      </c>
      <c r="L162" s="15" t="n">
        <f aca="false">IFERROR(J162-K162,0)</f>
        <v>0</v>
      </c>
      <c r="M162" s="16" t="n">
        <f aca="false">IFERROR((I162-H162)/H162,0)</f>
        <v>0</v>
      </c>
      <c r="N162" s="16" t="n">
        <f aca="false">IFERROR(J162/INDEX(账户总表!$B:$B,MATCH($A162,账户总表!$A:$A,0)),0)</f>
        <v>0</v>
      </c>
      <c r="O162" s="14"/>
      <c r="P162" s="15" t="str">
        <f aca="false">IF($A162="","",IF($D162="是",IF(E162&gt;0,E162*0.92,MAX(O162*0.98,H162*0.92)),MAX(O162*0.98,H162*0.92)))</f>
        <v/>
      </c>
      <c r="Q162" s="4" t="str">
        <f aca="false">IF($A162="","",IF(AND(I162&gt;0,P162&gt;0,I162&lt;=P162),"是","否"))</f>
        <v/>
      </c>
      <c r="R162" s="20"/>
      <c r="S162" s="5"/>
      <c r="T162" s="5"/>
      <c r="U162" s="5"/>
      <c r="V162" s="19" t="str">
        <f aca="false">IF($A162="","",IF(OR(AND(O162&gt;0,I162&lt;O162),AND(T162="False",S162&lt;0.8)),"是","否"))</f>
        <v/>
      </c>
      <c r="W162" s="19" t="str">
        <f aca="false">IF($A162="","",IF(AND(I162&lt;H162,S162&lt;0.8),"是","否"))</f>
        <v/>
      </c>
      <c r="X162" s="19" t="str">
        <f aca="false">IF($A162="","",IF(AND(R162&lt;60%,S162&gt;0.8,T162="True",U162="一卖"),"是","否"))</f>
        <v/>
      </c>
      <c r="Y162" s="19" t="str">
        <f aca="false">IF($A162="","",IF(D162="是","否",IF(N162&gt;LOOKUP(2,1/(账户总表!$A:$A&lt;&gt;""),账户总表!$O:$O),"是","否")))</f>
        <v/>
      </c>
      <c r="Z162" s="19" t="str">
        <f aca="false">IF($A162="","",IF(M162&gt;=0,"盈利","亏损"))</f>
        <v/>
      </c>
      <c r="AA162" s="19" t="str">
        <f aca="false">IF($A162="","",IF(OR(Q162="是",M162&lt;=-8%,V162="是",X162="是"),"卖出",IF(Y162="是","减仓",IF(W162="是","观察","持有"))))</f>
        <v/>
      </c>
      <c r="AB162" s="19" t="str">
        <f aca="false">IF($A162="","",IF(D162="是",IF(I162&lt;=E162*0.92,"立即卖出(WAIVED止损)","继续持有(WAIVED)"),IF(OR(M162&lt;=-10%,Q162="是"),"立即卖出",IF(OR(AA162="卖出",V162="是",X162="是"),"次日卖出",IF(AND(Y162="是",NOT(OR(Q162="是",M162&lt;=-8%,V162="是",X162="是"))),"减仓至上限",IF(W162="是","观察","继续持有"))))))</f>
        <v/>
      </c>
      <c r="AC162" s="19" t="str">
        <f aca="false">IF($A162="","",IF(Q162="是","触发止损",IF(M162&lt;=-8%,"固定止损",IF(V162="是","信号失效",IF(X162="是","确认一卖",IF(Y162="是","单股超限",IF(W162="是","DL_P弱化","规则内持有")))))))</f>
        <v/>
      </c>
      <c r="AD162" s="5"/>
    </row>
    <row r="163" customFormat="false" ht="15" hidden="false" customHeight="true" outlineLevel="0" collapsed="false">
      <c r="A163" s="7"/>
      <c r="B163" s="7"/>
      <c r="C163" s="7"/>
      <c r="D163" s="12"/>
      <c r="E163" s="24"/>
      <c r="F163" s="7"/>
      <c r="G163" s="25"/>
      <c r="H163" s="24"/>
      <c r="I163" s="24"/>
      <c r="J163" s="15" t="n">
        <f aca="false">IFERROR(G163*I163,0)</f>
        <v>0</v>
      </c>
      <c r="K163" s="15" t="n">
        <f aca="false">IFERROR(G163*H163,0)</f>
        <v>0</v>
      </c>
      <c r="L163" s="15" t="n">
        <f aca="false">IFERROR(J163-K163,0)</f>
        <v>0</v>
      </c>
      <c r="M163" s="16" t="n">
        <f aca="false">IFERROR((I163-H163)/H163,0)</f>
        <v>0</v>
      </c>
      <c r="N163" s="16" t="n">
        <f aca="false">IFERROR(J163/INDEX(账户总表!$B:$B,MATCH($A163,账户总表!$A:$A,0)),0)</f>
        <v>0</v>
      </c>
      <c r="O163" s="24"/>
      <c r="P163" s="15" t="str">
        <f aca="false">IF($A163="","",IF($D163="是",IF(E163&gt;0,E163*0.92,MAX(O163*0.98,H163*0.92)),MAX(O163*0.98,H163*0.92)))</f>
        <v/>
      </c>
      <c r="Q163" s="4" t="str">
        <f aca="false">IF($A163="","",IF(AND(I163&gt;0,P163&gt;0,I163&lt;=P163),"是","否"))</f>
        <v/>
      </c>
      <c r="R163" s="26"/>
      <c r="S163" s="7"/>
      <c r="T163" s="7"/>
      <c r="U163" s="7"/>
      <c r="V163" s="19" t="str">
        <f aca="false">IF($A163="","",IF(OR(AND(O163&gt;0,I163&lt;O163),AND(T163="False",S163&lt;0.8)),"是","否"))</f>
        <v/>
      </c>
      <c r="W163" s="19" t="str">
        <f aca="false">IF($A163="","",IF(AND(I163&lt;H163,S163&lt;0.8),"是","否"))</f>
        <v/>
      </c>
      <c r="X163" s="19" t="str">
        <f aca="false">IF($A163="","",IF(AND(R163&lt;60%,S163&gt;0.8,T163="True",U163="一卖"),"是","否"))</f>
        <v/>
      </c>
      <c r="Y163" s="19" t="str">
        <f aca="false">IF($A163="","",IF(D163="是","否",IF(N163&gt;LOOKUP(2,1/(账户总表!$A:$A&lt;&gt;""),账户总表!$O:$O),"是","否")))</f>
        <v/>
      </c>
      <c r="Z163" s="19" t="str">
        <f aca="false">IF($A163="","",IF(M163&gt;=0,"盈利","亏损"))</f>
        <v/>
      </c>
      <c r="AA163" s="19" t="str">
        <f aca="false">IF($A163="","",IF(OR(Q163="是",M163&lt;=-8%,V163="是",X163="是"),"卖出",IF(Y163="是","减仓",IF(W163="是","观察","持有"))))</f>
        <v/>
      </c>
      <c r="AB163" s="19" t="str">
        <f aca="false">IF($A163="","",IF(D163="是",IF(I163&lt;=E163*0.92,"立即卖出(WAIVED止损)","继续持有(WAIVED)"),IF(OR(M163&lt;=-10%,Q163="是"),"立即卖出",IF(OR(AA163="卖出",V163="是",X163="是"),"次日卖出",IF(AND(Y163="是",NOT(OR(Q163="是",M163&lt;=-8%,V163="是",X163="是"))),"减仓至上限",IF(W163="是","观察","继续持有"))))))</f>
        <v/>
      </c>
      <c r="AC163" s="19" t="str">
        <f aca="false">IF($A163="","",IF(Q163="是","触发止损",IF(M163&lt;=-8%,"固定止损",IF(V163="是","信号失效",IF(X163="是","确认一卖",IF(Y163="是","单股超限",IF(W163="是","DL_P弱化","规则内持有")))))))</f>
        <v/>
      </c>
      <c r="AD163" s="7"/>
    </row>
    <row r="164" customFormat="false" ht="15" hidden="false" customHeight="true" outlineLevel="0" collapsed="false">
      <c r="A164" s="5"/>
      <c r="B164" s="5"/>
      <c r="C164" s="5"/>
      <c r="D164" s="11"/>
      <c r="E164" s="14"/>
      <c r="F164" s="5"/>
      <c r="G164" s="17"/>
      <c r="H164" s="14"/>
      <c r="I164" s="14"/>
      <c r="J164" s="15" t="n">
        <f aca="false">IFERROR(G164*I164,0)</f>
        <v>0</v>
      </c>
      <c r="K164" s="15" t="n">
        <f aca="false">IFERROR(G164*H164,0)</f>
        <v>0</v>
      </c>
      <c r="L164" s="15" t="n">
        <f aca="false">IFERROR(J164-K164,0)</f>
        <v>0</v>
      </c>
      <c r="M164" s="16" t="n">
        <f aca="false">IFERROR((I164-H164)/H164,0)</f>
        <v>0</v>
      </c>
      <c r="N164" s="16" t="n">
        <f aca="false">IFERROR(J164/INDEX(账户总表!$B:$B,MATCH($A164,账户总表!$A:$A,0)),0)</f>
        <v>0</v>
      </c>
      <c r="O164" s="14"/>
      <c r="P164" s="15" t="str">
        <f aca="false">IF($A164="","",IF($D164="是",IF(E164&gt;0,E164*0.92,MAX(O164*0.98,H164*0.92)),MAX(O164*0.98,H164*0.92)))</f>
        <v/>
      </c>
      <c r="Q164" s="4" t="str">
        <f aca="false">IF($A164="","",IF(AND(I164&gt;0,P164&gt;0,I164&lt;=P164),"是","否"))</f>
        <v/>
      </c>
      <c r="R164" s="20"/>
      <c r="S164" s="5"/>
      <c r="T164" s="5"/>
      <c r="U164" s="5"/>
      <c r="V164" s="19" t="str">
        <f aca="false">IF($A164="","",IF(OR(AND(O164&gt;0,I164&lt;O164),AND(T164="False",S164&lt;0.8)),"是","否"))</f>
        <v/>
      </c>
      <c r="W164" s="19" t="str">
        <f aca="false">IF($A164="","",IF(AND(I164&lt;H164,S164&lt;0.8),"是","否"))</f>
        <v/>
      </c>
      <c r="X164" s="19" t="str">
        <f aca="false">IF($A164="","",IF(AND(R164&lt;60%,S164&gt;0.8,T164="True",U164="一卖"),"是","否"))</f>
        <v/>
      </c>
      <c r="Y164" s="19" t="str">
        <f aca="false">IF($A164="","",IF(D164="是","否",IF(N164&gt;LOOKUP(2,1/(账户总表!$A:$A&lt;&gt;""),账户总表!$O:$O),"是","否")))</f>
        <v/>
      </c>
      <c r="Z164" s="19" t="str">
        <f aca="false">IF($A164="","",IF(M164&gt;=0,"盈利","亏损"))</f>
        <v/>
      </c>
      <c r="AA164" s="19" t="str">
        <f aca="false">IF($A164="","",IF(OR(Q164="是",M164&lt;=-8%,V164="是",X164="是"),"卖出",IF(Y164="是","减仓",IF(W164="是","观察","持有"))))</f>
        <v/>
      </c>
      <c r="AB164" s="19" t="str">
        <f aca="false">IF($A164="","",IF(D164="是",IF(I164&lt;=E164*0.92,"立即卖出(WAIVED止损)","继续持有(WAIVED)"),IF(OR(M164&lt;=-10%,Q164="是"),"立即卖出",IF(OR(AA164="卖出",V164="是",X164="是"),"次日卖出",IF(AND(Y164="是",NOT(OR(Q164="是",M164&lt;=-8%,V164="是",X164="是"))),"减仓至上限",IF(W164="是","观察","继续持有"))))))</f>
        <v/>
      </c>
      <c r="AC164" s="19" t="str">
        <f aca="false">IF($A164="","",IF(Q164="是","触发止损",IF(M164&lt;=-8%,"固定止损",IF(V164="是","信号失效",IF(X164="是","确认一卖",IF(Y164="是","单股超限",IF(W164="是","DL_P弱化","规则内持有")))))))</f>
        <v/>
      </c>
      <c r="AD164" s="5"/>
    </row>
    <row r="165" customFormat="false" ht="15" hidden="false" customHeight="true" outlineLevel="0" collapsed="false">
      <c r="A165" s="7"/>
      <c r="B165" s="7"/>
      <c r="C165" s="7"/>
      <c r="D165" s="12"/>
      <c r="E165" s="24"/>
      <c r="F165" s="7"/>
      <c r="G165" s="25"/>
      <c r="H165" s="24"/>
      <c r="I165" s="24"/>
      <c r="J165" s="15" t="n">
        <f aca="false">IFERROR(G165*I165,0)</f>
        <v>0</v>
      </c>
      <c r="K165" s="15" t="n">
        <f aca="false">IFERROR(G165*H165,0)</f>
        <v>0</v>
      </c>
      <c r="L165" s="15" t="n">
        <f aca="false">IFERROR(J165-K165,0)</f>
        <v>0</v>
      </c>
      <c r="M165" s="16" t="n">
        <f aca="false">IFERROR((I165-H165)/H165,0)</f>
        <v>0</v>
      </c>
      <c r="N165" s="16" t="n">
        <f aca="false">IFERROR(J165/INDEX(账户总表!$B:$B,MATCH($A165,账户总表!$A:$A,0)),0)</f>
        <v>0</v>
      </c>
      <c r="O165" s="24"/>
      <c r="P165" s="15" t="str">
        <f aca="false">IF($A165="","",IF($D165="是",IF(E165&gt;0,E165*0.92,MAX(O165*0.98,H165*0.92)),MAX(O165*0.98,H165*0.92)))</f>
        <v/>
      </c>
      <c r="Q165" s="4" t="str">
        <f aca="false">IF($A165="","",IF(AND(I165&gt;0,P165&gt;0,I165&lt;=P165),"是","否"))</f>
        <v/>
      </c>
      <c r="R165" s="26"/>
      <c r="S165" s="7"/>
      <c r="T165" s="7"/>
      <c r="U165" s="7"/>
      <c r="V165" s="19" t="str">
        <f aca="false">IF($A165="","",IF(OR(AND(O165&gt;0,I165&lt;O165),AND(T165="False",S165&lt;0.8)),"是","否"))</f>
        <v/>
      </c>
      <c r="W165" s="19" t="str">
        <f aca="false">IF($A165="","",IF(AND(I165&lt;H165,S165&lt;0.8),"是","否"))</f>
        <v/>
      </c>
      <c r="X165" s="19" t="str">
        <f aca="false">IF($A165="","",IF(AND(R165&lt;60%,S165&gt;0.8,T165="True",U165="一卖"),"是","否"))</f>
        <v/>
      </c>
      <c r="Y165" s="19" t="str">
        <f aca="false">IF($A165="","",IF(D165="是","否",IF(N165&gt;LOOKUP(2,1/(账户总表!$A:$A&lt;&gt;""),账户总表!$O:$O),"是","否")))</f>
        <v/>
      </c>
      <c r="Z165" s="19" t="str">
        <f aca="false">IF($A165="","",IF(M165&gt;=0,"盈利","亏损"))</f>
        <v/>
      </c>
      <c r="AA165" s="19" t="str">
        <f aca="false">IF($A165="","",IF(OR(Q165="是",M165&lt;=-8%,V165="是",X165="是"),"卖出",IF(Y165="是","减仓",IF(W165="是","观察","持有"))))</f>
        <v/>
      </c>
      <c r="AB165" s="19" t="str">
        <f aca="false">IF($A165="","",IF(D165="是",IF(I165&lt;=E165*0.92,"立即卖出(WAIVED止损)","继续持有(WAIVED)"),IF(OR(M165&lt;=-10%,Q165="是"),"立即卖出",IF(OR(AA165="卖出",V165="是",X165="是"),"次日卖出",IF(AND(Y165="是",NOT(OR(Q165="是",M165&lt;=-8%,V165="是",X165="是"))),"减仓至上限",IF(W165="是","观察","继续持有"))))))</f>
        <v/>
      </c>
      <c r="AC165" s="19" t="str">
        <f aca="false">IF($A165="","",IF(Q165="是","触发止损",IF(M165&lt;=-8%,"固定止损",IF(V165="是","信号失效",IF(X165="是","确认一卖",IF(Y165="是","单股超限",IF(W165="是","DL_P弱化","规则内持有")))))))</f>
        <v/>
      </c>
      <c r="AD165" s="7"/>
    </row>
    <row r="166" customFormat="false" ht="15" hidden="false" customHeight="true" outlineLevel="0" collapsed="false">
      <c r="A166" s="5"/>
      <c r="B166" s="5"/>
      <c r="C166" s="5"/>
      <c r="D166" s="11"/>
      <c r="E166" s="14"/>
      <c r="F166" s="5"/>
      <c r="G166" s="17"/>
      <c r="H166" s="14"/>
      <c r="I166" s="14"/>
      <c r="J166" s="15" t="n">
        <f aca="false">IFERROR(G166*I166,0)</f>
        <v>0</v>
      </c>
      <c r="K166" s="15" t="n">
        <f aca="false">IFERROR(G166*H166,0)</f>
        <v>0</v>
      </c>
      <c r="L166" s="15" t="n">
        <f aca="false">IFERROR(J166-K166,0)</f>
        <v>0</v>
      </c>
      <c r="M166" s="16" t="n">
        <f aca="false">IFERROR((I166-H166)/H166,0)</f>
        <v>0</v>
      </c>
      <c r="N166" s="16" t="n">
        <f aca="false">IFERROR(J166/INDEX(账户总表!$B:$B,MATCH($A166,账户总表!$A:$A,0)),0)</f>
        <v>0</v>
      </c>
      <c r="O166" s="14"/>
      <c r="P166" s="15" t="str">
        <f aca="false">IF($A166="","",IF($D166="是",IF(E166&gt;0,E166*0.92,MAX(O166*0.98,H166*0.92)),MAX(O166*0.98,H166*0.92)))</f>
        <v/>
      </c>
      <c r="Q166" s="4" t="str">
        <f aca="false">IF($A166="","",IF(AND(I166&gt;0,P166&gt;0,I166&lt;=P166),"是","否"))</f>
        <v/>
      </c>
      <c r="R166" s="20"/>
      <c r="S166" s="5"/>
      <c r="T166" s="5"/>
      <c r="U166" s="5"/>
      <c r="V166" s="19" t="str">
        <f aca="false">IF($A166="","",IF(OR(AND(O166&gt;0,I166&lt;O166),AND(T166="False",S166&lt;0.8)),"是","否"))</f>
        <v/>
      </c>
      <c r="W166" s="19" t="str">
        <f aca="false">IF($A166="","",IF(AND(I166&lt;H166,S166&lt;0.8),"是","否"))</f>
        <v/>
      </c>
      <c r="X166" s="19" t="str">
        <f aca="false">IF($A166="","",IF(AND(R166&lt;60%,S166&gt;0.8,T166="True",U166="一卖"),"是","否"))</f>
        <v/>
      </c>
      <c r="Y166" s="19" t="str">
        <f aca="false">IF($A166="","",IF(D166="是","否",IF(N166&gt;LOOKUP(2,1/(账户总表!$A:$A&lt;&gt;""),账户总表!$O:$O),"是","否")))</f>
        <v/>
      </c>
      <c r="Z166" s="19" t="str">
        <f aca="false">IF($A166="","",IF(M166&gt;=0,"盈利","亏损"))</f>
        <v/>
      </c>
      <c r="AA166" s="19" t="str">
        <f aca="false">IF($A166="","",IF(OR(Q166="是",M166&lt;=-8%,V166="是",X166="是"),"卖出",IF(Y166="是","减仓",IF(W166="是","观察","持有"))))</f>
        <v/>
      </c>
      <c r="AB166" s="19" t="str">
        <f aca="false">IF($A166="","",IF(D166="是",IF(I166&lt;=E166*0.92,"立即卖出(WAIVED止损)","继续持有(WAIVED)"),IF(OR(M166&lt;=-10%,Q166="是"),"立即卖出",IF(OR(AA166="卖出",V166="是",X166="是"),"次日卖出",IF(AND(Y166="是",NOT(OR(Q166="是",M166&lt;=-8%,V166="是",X166="是"))),"减仓至上限",IF(W166="是","观察","继续持有"))))))</f>
        <v/>
      </c>
      <c r="AC166" s="19" t="str">
        <f aca="false">IF($A166="","",IF(Q166="是","触发止损",IF(M166&lt;=-8%,"固定止损",IF(V166="是","信号失效",IF(X166="是","确认一卖",IF(Y166="是","单股超限",IF(W166="是","DL_P弱化","规则内持有")))))))</f>
        <v/>
      </c>
      <c r="AD166" s="5"/>
    </row>
    <row r="167" customFormat="false" ht="15" hidden="false" customHeight="true" outlineLevel="0" collapsed="false">
      <c r="A167" s="7"/>
      <c r="B167" s="7"/>
      <c r="C167" s="7"/>
      <c r="D167" s="12"/>
      <c r="E167" s="24"/>
      <c r="F167" s="7"/>
      <c r="G167" s="25"/>
      <c r="H167" s="24"/>
      <c r="I167" s="24"/>
      <c r="J167" s="15" t="n">
        <f aca="false">IFERROR(G167*I167,0)</f>
        <v>0</v>
      </c>
      <c r="K167" s="15" t="n">
        <f aca="false">IFERROR(G167*H167,0)</f>
        <v>0</v>
      </c>
      <c r="L167" s="15" t="n">
        <f aca="false">IFERROR(J167-K167,0)</f>
        <v>0</v>
      </c>
      <c r="M167" s="16" t="n">
        <f aca="false">IFERROR((I167-H167)/H167,0)</f>
        <v>0</v>
      </c>
      <c r="N167" s="16" t="n">
        <f aca="false">IFERROR(J167/INDEX(账户总表!$B:$B,MATCH($A167,账户总表!$A:$A,0)),0)</f>
        <v>0</v>
      </c>
      <c r="O167" s="24"/>
      <c r="P167" s="15" t="str">
        <f aca="false">IF($A167="","",IF($D167="是",IF(E167&gt;0,E167*0.92,MAX(O167*0.98,H167*0.92)),MAX(O167*0.98,H167*0.92)))</f>
        <v/>
      </c>
      <c r="Q167" s="4" t="str">
        <f aca="false">IF($A167="","",IF(AND(I167&gt;0,P167&gt;0,I167&lt;=P167),"是","否"))</f>
        <v/>
      </c>
      <c r="R167" s="26"/>
      <c r="S167" s="7"/>
      <c r="T167" s="7"/>
      <c r="U167" s="7"/>
      <c r="V167" s="19" t="str">
        <f aca="false">IF($A167="","",IF(OR(AND(O167&gt;0,I167&lt;O167),AND(T167="False",S167&lt;0.8)),"是","否"))</f>
        <v/>
      </c>
      <c r="W167" s="19" t="str">
        <f aca="false">IF($A167="","",IF(AND(I167&lt;H167,S167&lt;0.8),"是","否"))</f>
        <v/>
      </c>
      <c r="X167" s="19" t="str">
        <f aca="false">IF($A167="","",IF(AND(R167&lt;60%,S167&gt;0.8,T167="True",U167="一卖"),"是","否"))</f>
        <v/>
      </c>
      <c r="Y167" s="19" t="str">
        <f aca="false">IF($A167="","",IF(D167="是","否",IF(N167&gt;LOOKUP(2,1/(账户总表!$A:$A&lt;&gt;""),账户总表!$O:$O),"是","否")))</f>
        <v/>
      </c>
      <c r="Z167" s="19" t="str">
        <f aca="false">IF($A167="","",IF(M167&gt;=0,"盈利","亏损"))</f>
        <v/>
      </c>
      <c r="AA167" s="19" t="str">
        <f aca="false">IF($A167="","",IF(OR(Q167="是",M167&lt;=-8%,V167="是",X167="是"),"卖出",IF(Y167="是","减仓",IF(W167="是","观察","持有"))))</f>
        <v/>
      </c>
      <c r="AB167" s="19" t="str">
        <f aca="false">IF($A167="","",IF(D167="是",IF(I167&lt;=E167*0.92,"立即卖出(WAIVED止损)","继续持有(WAIVED)"),IF(OR(M167&lt;=-10%,Q167="是"),"立即卖出",IF(OR(AA167="卖出",V167="是",X167="是"),"次日卖出",IF(AND(Y167="是",NOT(OR(Q167="是",M167&lt;=-8%,V167="是",X167="是"))),"减仓至上限",IF(W167="是","观察","继续持有"))))))</f>
        <v/>
      </c>
      <c r="AC167" s="19" t="str">
        <f aca="false">IF($A167="","",IF(Q167="是","触发止损",IF(M167&lt;=-8%,"固定止损",IF(V167="是","信号失效",IF(X167="是","确认一卖",IF(Y167="是","单股超限",IF(W167="是","DL_P弱化","规则内持有")))))))</f>
        <v/>
      </c>
      <c r="AD167" s="7"/>
    </row>
    <row r="168" customFormat="false" ht="15" hidden="false" customHeight="true" outlineLevel="0" collapsed="false">
      <c r="A168" s="5"/>
      <c r="B168" s="5"/>
      <c r="C168" s="5"/>
      <c r="D168" s="11"/>
      <c r="E168" s="14"/>
      <c r="F168" s="5"/>
      <c r="G168" s="17"/>
      <c r="H168" s="14"/>
      <c r="I168" s="14"/>
      <c r="J168" s="15" t="n">
        <f aca="false">IFERROR(G168*I168,0)</f>
        <v>0</v>
      </c>
      <c r="K168" s="15" t="n">
        <f aca="false">IFERROR(G168*H168,0)</f>
        <v>0</v>
      </c>
      <c r="L168" s="15" t="n">
        <f aca="false">IFERROR(J168-K168,0)</f>
        <v>0</v>
      </c>
      <c r="M168" s="16" t="n">
        <f aca="false">IFERROR((I168-H168)/H168,0)</f>
        <v>0</v>
      </c>
      <c r="N168" s="16" t="n">
        <f aca="false">IFERROR(J168/INDEX(账户总表!$B:$B,MATCH($A168,账户总表!$A:$A,0)),0)</f>
        <v>0</v>
      </c>
      <c r="O168" s="14"/>
      <c r="P168" s="15" t="str">
        <f aca="false">IF($A168="","",IF($D168="是",IF(E168&gt;0,E168*0.92,MAX(O168*0.98,H168*0.92)),MAX(O168*0.98,H168*0.92)))</f>
        <v/>
      </c>
      <c r="Q168" s="4" t="str">
        <f aca="false">IF($A168="","",IF(AND(I168&gt;0,P168&gt;0,I168&lt;=P168),"是","否"))</f>
        <v/>
      </c>
      <c r="R168" s="20"/>
      <c r="S168" s="5"/>
      <c r="T168" s="5"/>
      <c r="U168" s="5"/>
      <c r="V168" s="19" t="str">
        <f aca="false">IF($A168="","",IF(OR(AND(O168&gt;0,I168&lt;O168),AND(T168="False",S168&lt;0.8)),"是","否"))</f>
        <v/>
      </c>
      <c r="W168" s="19" t="str">
        <f aca="false">IF($A168="","",IF(AND(I168&lt;H168,S168&lt;0.8),"是","否"))</f>
        <v/>
      </c>
      <c r="X168" s="19" t="str">
        <f aca="false">IF($A168="","",IF(AND(R168&lt;60%,S168&gt;0.8,T168="True",U168="一卖"),"是","否"))</f>
        <v/>
      </c>
      <c r="Y168" s="19" t="str">
        <f aca="false">IF($A168="","",IF(D168="是","否",IF(N168&gt;LOOKUP(2,1/(账户总表!$A:$A&lt;&gt;""),账户总表!$O:$O),"是","否")))</f>
        <v/>
      </c>
      <c r="Z168" s="19" t="str">
        <f aca="false">IF($A168="","",IF(M168&gt;=0,"盈利","亏损"))</f>
        <v/>
      </c>
      <c r="AA168" s="19" t="str">
        <f aca="false">IF($A168="","",IF(OR(Q168="是",M168&lt;=-8%,V168="是",X168="是"),"卖出",IF(Y168="是","减仓",IF(W168="是","观察","持有"))))</f>
        <v/>
      </c>
      <c r="AB168" s="19" t="str">
        <f aca="false">IF($A168="","",IF(D168="是",IF(I168&lt;=E168*0.92,"立即卖出(WAIVED止损)","继续持有(WAIVED)"),IF(OR(M168&lt;=-10%,Q168="是"),"立即卖出",IF(OR(AA168="卖出",V168="是",X168="是"),"次日卖出",IF(AND(Y168="是",NOT(OR(Q168="是",M168&lt;=-8%,V168="是",X168="是"))),"减仓至上限",IF(W168="是","观察","继续持有"))))))</f>
        <v/>
      </c>
      <c r="AC168" s="19" t="str">
        <f aca="false">IF($A168="","",IF(Q168="是","触发止损",IF(M168&lt;=-8%,"固定止损",IF(V168="是","信号失效",IF(X168="是","确认一卖",IF(Y168="是","单股超限",IF(W168="是","DL_P弱化","规则内持有")))))))</f>
        <v/>
      </c>
      <c r="AD168" s="5"/>
    </row>
    <row r="169" customFormat="false" ht="15" hidden="false" customHeight="true" outlineLevel="0" collapsed="false">
      <c r="A169" s="7"/>
      <c r="B169" s="7"/>
      <c r="C169" s="7"/>
      <c r="D169" s="12"/>
      <c r="E169" s="24"/>
      <c r="F169" s="7"/>
      <c r="G169" s="25"/>
      <c r="H169" s="24"/>
      <c r="I169" s="24"/>
      <c r="J169" s="15" t="n">
        <f aca="false">IFERROR(G169*I169,0)</f>
        <v>0</v>
      </c>
      <c r="K169" s="15" t="n">
        <f aca="false">IFERROR(G169*H169,0)</f>
        <v>0</v>
      </c>
      <c r="L169" s="15" t="n">
        <f aca="false">IFERROR(J169-K169,0)</f>
        <v>0</v>
      </c>
      <c r="M169" s="16" t="n">
        <f aca="false">IFERROR((I169-H169)/H169,0)</f>
        <v>0</v>
      </c>
      <c r="N169" s="16" t="n">
        <f aca="false">IFERROR(J169/INDEX(账户总表!$B:$B,MATCH($A169,账户总表!$A:$A,0)),0)</f>
        <v>0</v>
      </c>
      <c r="O169" s="24"/>
      <c r="P169" s="15" t="str">
        <f aca="false">IF($A169="","",IF($D169="是",IF(E169&gt;0,E169*0.92,MAX(O169*0.98,H169*0.92)),MAX(O169*0.98,H169*0.92)))</f>
        <v/>
      </c>
      <c r="Q169" s="4" t="str">
        <f aca="false">IF($A169="","",IF(AND(I169&gt;0,P169&gt;0,I169&lt;=P169),"是","否"))</f>
        <v/>
      </c>
      <c r="R169" s="26"/>
      <c r="S169" s="7"/>
      <c r="T169" s="7"/>
      <c r="U169" s="7"/>
      <c r="V169" s="19" t="str">
        <f aca="false">IF($A169="","",IF(OR(AND(O169&gt;0,I169&lt;O169),AND(T169="False",S169&lt;0.8)),"是","否"))</f>
        <v/>
      </c>
      <c r="W169" s="19" t="str">
        <f aca="false">IF($A169="","",IF(AND(I169&lt;H169,S169&lt;0.8),"是","否"))</f>
        <v/>
      </c>
      <c r="X169" s="19" t="str">
        <f aca="false">IF($A169="","",IF(AND(R169&lt;60%,S169&gt;0.8,T169="True",U169="一卖"),"是","否"))</f>
        <v/>
      </c>
      <c r="Y169" s="19" t="str">
        <f aca="false">IF($A169="","",IF(D169="是","否",IF(N169&gt;LOOKUP(2,1/(账户总表!$A:$A&lt;&gt;""),账户总表!$O:$O),"是","否")))</f>
        <v/>
      </c>
      <c r="Z169" s="19" t="str">
        <f aca="false">IF($A169="","",IF(M169&gt;=0,"盈利","亏损"))</f>
        <v/>
      </c>
      <c r="AA169" s="19" t="str">
        <f aca="false">IF($A169="","",IF(OR(Q169="是",M169&lt;=-8%,V169="是",X169="是"),"卖出",IF(Y169="是","减仓",IF(W169="是","观察","持有"))))</f>
        <v/>
      </c>
      <c r="AB169" s="19" t="str">
        <f aca="false">IF($A169="","",IF(D169="是",IF(I169&lt;=E169*0.92,"立即卖出(WAIVED止损)","继续持有(WAIVED)"),IF(OR(M169&lt;=-10%,Q169="是"),"立即卖出",IF(OR(AA169="卖出",V169="是",X169="是"),"次日卖出",IF(AND(Y169="是",NOT(OR(Q169="是",M169&lt;=-8%,V169="是",X169="是"))),"减仓至上限",IF(W169="是","观察","继续持有"))))))</f>
        <v/>
      </c>
      <c r="AC169" s="19" t="str">
        <f aca="false">IF($A169="","",IF(Q169="是","触发止损",IF(M169&lt;=-8%,"固定止损",IF(V169="是","信号失效",IF(X169="是","确认一卖",IF(Y169="是","单股超限",IF(W169="是","DL_P弱化","规则内持有")))))))</f>
        <v/>
      </c>
      <c r="AD169" s="7"/>
    </row>
    <row r="170" customFormat="false" ht="15" hidden="false" customHeight="true" outlineLevel="0" collapsed="false">
      <c r="A170" s="5"/>
      <c r="B170" s="5"/>
      <c r="C170" s="5"/>
      <c r="D170" s="11"/>
      <c r="E170" s="14"/>
      <c r="F170" s="5"/>
      <c r="G170" s="17"/>
      <c r="H170" s="14"/>
      <c r="I170" s="14"/>
      <c r="J170" s="15" t="n">
        <f aca="false">IFERROR(G170*I170,0)</f>
        <v>0</v>
      </c>
      <c r="K170" s="15" t="n">
        <f aca="false">IFERROR(G170*H170,0)</f>
        <v>0</v>
      </c>
      <c r="L170" s="15" t="n">
        <f aca="false">IFERROR(J170-K170,0)</f>
        <v>0</v>
      </c>
      <c r="M170" s="16" t="n">
        <f aca="false">IFERROR((I170-H170)/H170,0)</f>
        <v>0</v>
      </c>
      <c r="N170" s="16" t="n">
        <f aca="false">IFERROR(J170/INDEX(账户总表!$B:$B,MATCH($A170,账户总表!$A:$A,0)),0)</f>
        <v>0</v>
      </c>
      <c r="O170" s="14"/>
      <c r="P170" s="15" t="str">
        <f aca="false">IF($A170="","",IF($D170="是",IF(E170&gt;0,E170*0.92,MAX(O170*0.98,H170*0.92)),MAX(O170*0.98,H170*0.92)))</f>
        <v/>
      </c>
      <c r="Q170" s="4" t="str">
        <f aca="false">IF($A170="","",IF(AND(I170&gt;0,P170&gt;0,I170&lt;=P170),"是","否"))</f>
        <v/>
      </c>
      <c r="R170" s="20"/>
      <c r="S170" s="5"/>
      <c r="T170" s="5"/>
      <c r="U170" s="5"/>
      <c r="V170" s="19" t="str">
        <f aca="false">IF($A170="","",IF(OR(AND(O170&gt;0,I170&lt;O170),AND(T170="False",S170&lt;0.8)),"是","否"))</f>
        <v/>
      </c>
      <c r="W170" s="19" t="str">
        <f aca="false">IF($A170="","",IF(AND(I170&lt;H170,S170&lt;0.8),"是","否"))</f>
        <v/>
      </c>
      <c r="X170" s="19" t="str">
        <f aca="false">IF($A170="","",IF(AND(R170&lt;60%,S170&gt;0.8,T170="True",U170="一卖"),"是","否"))</f>
        <v/>
      </c>
      <c r="Y170" s="19" t="str">
        <f aca="false">IF($A170="","",IF(D170="是","否",IF(N170&gt;LOOKUP(2,1/(账户总表!$A:$A&lt;&gt;""),账户总表!$O:$O),"是","否")))</f>
        <v/>
      </c>
      <c r="Z170" s="19" t="str">
        <f aca="false">IF($A170="","",IF(M170&gt;=0,"盈利","亏损"))</f>
        <v/>
      </c>
      <c r="AA170" s="19" t="str">
        <f aca="false">IF($A170="","",IF(OR(Q170="是",M170&lt;=-8%,V170="是",X170="是"),"卖出",IF(Y170="是","减仓",IF(W170="是","观察","持有"))))</f>
        <v/>
      </c>
      <c r="AB170" s="19" t="str">
        <f aca="false">IF($A170="","",IF(D170="是",IF(I170&lt;=E170*0.92,"立即卖出(WAIVED止损)","继续持有(WAIVED)"),IF(OR(M170&lt;=-10%,Q170="是"),"立即卖出",IF(OR(AA170="卖出",V170="是",X170="是"),"次日卖出",IF(AND(Y170="是",NOT(OR(Q170="是",M170&lt;=-8%,V170="是",X170="是"))),"减仓至上限",IF(W170="是","观察","继续持有"))))))</f>
        <v/>
      </c>
      <c r="AC170" s="19" t="str">
        <f aca="false">IF($A170="","",IF(Q170="是","触发止损",IF(M170&lt;=-8%,"固定止损",IF(V170="是","信号失效",IF(X170="是","确认一卖",IF(Y170="是","单股超限",IF(W170="是","DL_P弱化","规则内持有")))))))</f>
        <v/>
      </c>
      <c r="AD170" s="5"/>
    </row>
    <row r="171" customFormat="false" ht="15" hidden="false" customHeight="true" outlineLevel="0" collapsed="false">
      <c r="A171" s="7"/>
      <c r="B171" s="7"/>
      <c r="C171" s="7"/>
      <c r="D171" s="12"/>
      <c r="E171" s="24"/>
      <c r="F171" s="7"/>
      <c r="G171" s="25"/>
      <c r="H171" s="24"/>
      <c r="I171" s="24"/>
      <c r="J171" s="15" t="n">
        <f aca="false">IFERROR(G171*I171,0)</f>
        <v>0</v>
      </c>
      <c r="K171" s="15" t="n">
        <f aca="false">IFERROR(G171*H171,0)</f>
        <v>0</v>
      </c>
      <c r="L171" s="15" t="n">
        <f aca="false">IFERROR(J171-K171,0)</f>
        <v>0</v>
      </c>
      <c r="M171" s="16" t="n">
        <f aca="false">IFERROR((I171-H171)/H171,0)</f>
        <v>0</v>
      </c>
      <c r="N171" s="16" t="n">
        <f aca="false">IFERROR(J171/INDEX(账户总表!$B:$B,MATCH($A171,账户总表!$A:$A,0)),0)</f>
        <v>0</v>
      </c>
      <c r="O171" s="24"/>
      <c r="P171" s="15" t="str">
        <f aca="false">IF($A171="","",IF($D171="是",IF(E171&gt;0,E171*0.92,MAX(O171*0.98,H171*0.92)),MAX(O171*0.98,H171*0.92)))</f>
        <v/>
      </c>
      <c r="Q171" s="4" t="str">
        <f aca="false">IF($A171="","",IF(AND(I171&gt;0,P171&gt;0,I171&lt;=P171),"是","否"))</f>
        <v/>
      </c>
      <c r="R171" s="26"/>
      <c r="S171" s="7"/>
      <c r="T171" s="7"/>
      <c r="U171" s="7"/>
      <c r="V171" s="19" t="str">
        <f aca="false">IF($A171="","",IF(OR(AND(O171&gt;0,I171&lt;O171),AND(T171="False",S171&lt;0.8)),"是","否"))</f>
        <v/>
      </c>
      <c r="W171" s="19" t="str">
        <f aca="false">IF($A171="","",IF(AND(I171&lt;H171,S171&lt;0.8),"是","否"))</f>
        <v/>
      </c>
      <c r="X171" s="19" t="str">
        <f aca="false">IF($A171="","",IF(AND(R171&lt;60%,S171&gt;0.8,T171="True",U171="一卖"),"是","否"))</f>
        <v/>
      </c>
      <c r="Y171" s="19" t="str">
        <f aca="false">IF($A171="","",IF(D171="是","否",IF(N171&gt;LOOKUP(2,1/(账户总表!$A:$A&lt;&gt;""),账户总表!$O:$O),"是","否")))</f>
        <v/>
      </c>
      <c r="Z171" s="19" t="str">
        <f aca="false">IF($A171="","",IF(M171&gt;=0,"盈利","亏损"))</f>
        <v/>
      </c>
      <c r="AA171" s="19" t="str">
        <f aca="false">IF($A171="","",IF(OR(Q171="是",M171&lt;=-8%,V171="是",X171="是"),"卖出",IF(Y171="是","减仓",IF(W171="是","观察","持有"))))</f>
        <v/>
      </c>
      <c r="AB171" s="19" t="str">
        <f aca="false">IF($A171="","",IF(D171="是",IF(I171&lt;=E171*0.92,"立即卖出(WAIVED止损)","继续持有(WAIVED)"),IF(OR(M171&lt;=-10%,Q171="是"),"立即卖出",IF(OR(AA171="卖出",V171="是",X171="是"),"次日卖出",IF(AND(Y171="是",NOT(OR(Q171="是",M171&lt;=-8%,V171="是",X171="是"))),"减仓至上限",IF(W171="是","观察","继续持有"))))))</f>
        <v/>
      </c>
      <c r="AC171" s="19" t="str">
        <f aca="false">IF($A171="","",IF(Q171="是","触发止损",IF(M171&lt;=-8%,"固定止损",IF(V171="是","信号失效",IF(X171="是","确认一卖",IF(Y171="是","单股超限",IF(W171="是","DL_P弱化","规则内持有")))))))</f>
        <v/>
      </c>
      <c r="AD171" s="7"/>
    </row>
    <row r="172" customFormat="false" ht="15" hidden="false" customHeight="true" outlineLevel="0" collapsed="false">
      <c r="A172" s="5"/>
      <c r="B172" s="5"/>
      <c r="C172" s="5"/>
      <c r="D172" s="11"/>
      <c r="E172" s="14"/>
      <c r="F172" s="5"/>
      <c r="G172" s="17"/>
      <c r="H172" s="14"/>
      <c r="I172" s="14"/>
      <c r="J172" s="15" t="n">
        <f aca="false">IFERROR(G172*I172,0)</f>
        <v>0</v>
      </c>
      <c r="K172" s="15" t="n">
        <f aca="false">IFERROR(G172*H172,0)</f>
        <v>0</v>
      </c>
      <c r="L172" s="15" t="n">
        <f aca="false">IFERROR(J172-K172,0)</f>
        <v>0</v>
      </c>
      <c r="M172" s="16" t="n">
        <f aca="false">IFERROR((I172-H172)/H172,0)</f>
        <v>0</v>
      </c>
      <c r="N172" s="16" t="n">
        <f aca="false">IFERROR(J172/INDEX(账户总表!$B:$B,MATCH($A172,账户总表!$A:$A,0)),0)</f>
        <v>0</v>
      </c>
      <c r="O172" s="14"/>
      <c r="P172" s="15" t="str">
        <f aca="false">IF($A172="","",IF($D172="是",IF(E172&gt;0,E172*0.92,MAX(O172*0.98,H172*0.92)),MAX(O172*0.98,H172*0.92)))</f>
        <v/>
      </c>
      <c r="Q172" s="4" t="str">
        <f aca="false">IF($A172="","",IF(AND(I172&gt;0,P172&gt;0,I172&lt;=P172),"是","否"))</f>
        <v/>
      </c>
      <c r="R172" s="20"/>
      <c r="S172" s="5"/>
      <c r="T172" s="5"/>
      <c r="U172" s="5"/>
      <c r="V172" s="19" t="str">
        <f aca="false">IF($A172="","",IF(OR(AND(O172&gt;0,I172&lt;O172),AND(T172="False",S172&lt;0.8)),"是","否"))</f>
        <v/>
      </c>
      <c r="W172" s="19" t="str">
        <f aca="false">IF($A172="","",IF(AND(I172&lt;H172,S172&lt;0.8),"是","否"))</f>
        <v/>
      </c>
      <c r="X172" s="19" t="str">
        <f aca="false">IF($A172="","",IF(AND(R172&lt;60%,S172&gt;0.8,T172="True",U172="一卖"),"是","否"))</f>
        <v/>
      </c>
      <c r="Y172" s="19" t="str">
        <f aca="false">IF($A172="","",IF(D172="是","否",IF(N172&gt;LOOKUP(2,1/(账户总表!$A:$A&lt;&gt;""),账户总表!$O:$O),"是","否")))</f>
        <v/>
      </c>
      <c r="Z172" s="19" t="str">
        <f aca="false">IF($A172="","",IF(M172&gt;=0,"盈利","亏损"))</f>
        <v/>
      </c>
      <c r="AA172" s="19" t="str">
        <f aca="false">IF($A172="","",IF(OR(Q172="是",M172&lt;=-8%,V172="是",X172="是"),"卖出",IF(Y172="是","减仓",IF(W172="是","观察","持有"))))</f>
        <v/>
      </c>
      <c r="AB172" s="19" t="str">
        <f aca="false">IF($A172="","",IF(D172="是",IF(I172&lt;=E172*0.92,"立即卖出(WAIVED止损)","继续持有(WAIVED)"),IF(OR(M172&lt;=-10%,Q172="是"),"立即卖出",IF(OR(AA172="卖出",V172="是",X172="是"),"次日卖出",IF(AND(Y172="是",NOT(OR(Q172="是",M172&lt;=-8%,V172="是",X172="是"))),"减仓至上限",IF(W172="是","观察","继续持有"))))))</f>
        <v/>
      </c>
      <c r="AC172" s="19" t="str">
        <f aca="false">IF($A172="","",IF(Q172="是","触发止损",IF(M172&lt;=-8%,"固定止损",IF(V172="是","信号失效",IF(X172="是","确认一卖",IF(Y172="是","单股超限",IF(W172="是","DL_P弱化","规则内持有")))))))</f>
        <v/>
      </c>
      <c r="AD172" s="5"/>
    </row>
    <row r="173" customFormat="false" ht="15" hidden="false" customHeight="true" outlineLevel="0" collapsed="false">
      <c r="A173" s="7"/>
      <c r="B173" s="7"/>
      <c r="C173" s="7"/>
      <c r="D173" s="12"/>
      <c r="E173" s="24"/>
      <c r="F173" s="7"/>
      <c r="G173" s="25"/>
      <c r="H173" s="24"/>
      <c r="I173" s="24"/>
      <c r="J173" s="15" t="n">
        <f aca="false">IFERROR(G173*I173,0)</f>
        <v>0</v>
      </c>
      <c r="K173" s="15" t="n">
        <f aca="false">IFERROR(G173*H173,0)</f>
        <v>0</v>
      </c>
      <c r="L173" s="15" t="n">
        <f aca="false">IFERROR(J173-K173,0)</f>
        <v>0</v>
      </c>
      <c r="M173" s="16" t="n">
        <f aca="false">IFERROR((I173-H173)/H173,0)</f>
        <v>0</v>
      </c>
      <c r="N173" s="16" t="n">
        <f aca="false">IFERROR(J173/INDEX(账户总表!$B:$B,MATCH($A173,账户总表!$A:$A,0)),0)</f>
        <v>0</v>
      </c>
      <c r="O173" s="24"/>
      <c r="P173" s="15" t="str">
        <f aca="false">IF($A173="","",IF($D173="是",IF(E173&gt;0,E173*0.92,MAX(O173*0.98,H173*0.92)),MAX(O173*0.98,H173*0.92)))</f>
        <v/>
      </c>
      <c r="Q173" s="4" t="str">
        <f aca="false">IF($A173="","",IF(AND(I173&gt;0,P173&gt;0,I173&lt;=P173),"是","否"))</f>
        <v/>
      </c>
      <c r="R173" s="26"/>
      <c r="S173" s="7"/>
      <c r="T173" s="7"/>
      <c r="U173" s="7"/>
      <c r="V173" s="19" t="str">
        <f aca="false">IF($A173="","",IF(OR(AND(O173&gt;0,I173&lt;O173),AND(T173="False",S173&lt;0.8)),"是","否"))</f>
        <v/>
      </c>
      <c r="W173" s="19" t="str">
        <f aca="false">IF($A173="","",IF(AND(I173&lt;H173,S173&lt;0.8),"是","否"))</f>
        <v/>
      </c>
      <c r="X173" s="19" t="str">
        <f aca="false">IF($A173="","",IF(AND(R173&lt;60%,S173&gt;0.8,T173="True",U173="一卖"),"是","否"))</f>
        <v/>
      </c>
      <c r="Y173" s="19" t="str">
        <f aca="false">IF($A173="","",IF(D173="是","否",IF(N173&gt;LOOKUP(2,1/(账户总表!$A:$A&lt;&gt;""),账户总表!$O:$O),"是","否")))</f>
        <v/>
      </c>
      <c r="Z173" s="19" t="str">
        <f aca="false">IF($A173="","",IF(M173&gt;=0,"盈利","亏损"))</f>
        <v/>
      </c>
      <c r="AA173" s="19" t="str">
        <f aca="false">IF($A173="","",IF(OR(Q173="是",M173&lt;=-8%,V173="是",X173="是"),"卖出",IF(Y173="是","减仓",IF(W173="是","观察","持有"))))</f>
        <v/>
      </c>
      <c r="AB173" s="19" t="str">
        <f aca="false">IF($A173="","",IF(D173="是",IF(I173&lt;=E173*0.92,"立即卖出(WAIVED止损)","继续持有(WAIVED)"),IF(OR(M173&lt;=-10%,Q173="是"),"立即卖出",IF(OR(AA173="卖出",V173="是",X173="是"),"次日卖出",IF(AND(Y173="是",NOT(OR(Q173="是",M173&lt;=-8%,V173="是",X173="是"))),"减仓至上限",IF(W173="是","观察","继续持有"))))))</f>
        <v/>
      </c>
      <c r="AC173" s="19" t="str">
        <f aca="false">IF($A173="","",IF(Q173="是","触发止损",IF(M173&lt;=-8%,"固定止损",IF(V173="是","信号失效",IF(X173="是","确认一卖",IF(Y173="是","单股超限",IF(W173="是","DL_P弱化","规则内持有")))))))</f>
        <v/>
      </c>
      <c r="AD173" s="7"/>
    </row>
    <row r="174" customFormat="false" ht="15" hidden="false" customHeight="true" outlineLevel="0" collapsed="false">
      <c r="A174" s="5"/>
      <c r="B174" s="5"/>
      <c r="C174" s="5"/>
      <c r="D174" s="11"/>
      <c r="E174" s="14"/>
      <c r="F174" s="5"/>
      <c r="G174" s="17"/>
      <c r="H174" s="14"/>
      <c r="I174" s="14"/>
      <c r="J174" s="15" t="n">
        <f aca="false">IFERROR(G174*I174,0)</f>
        <v>0</v>
      </c>
      <c r="K174" s="15" t="n">
        <f aca="false">IFERROR(G174*H174,0)</f>
        <v>0</v>
      </c>
      <c r="L174" s="15" t="n">
        <f aca="false">IFERROR(J174-K174,0)</f>
        <v>0</v>
      </c>
      <c r="M174" s="16" t="n">
        <f aca="false">IFERROR((I174-H174)/H174,0)</f>
        <v>0</v>
      </c>
      <c r="N174" s="16" t="n">
        <f aca="false">IFERROR(J174/INDEX(账户总表!$B:$B,MATCH($A174,账户总表!$A:$A,0)),0)</f>
        <v>0</v>
      </c>
      <c r="O174" s="14"/>
      <c r="P174" s="15" t="str">
        <f aca="false">IF($A174="","",IF($D174="是",IF(E174&gt;0,E174*0.92,MAX(O174*0.98,H174*0.92)),MAX(O174*0.98,H174*0.92)))</f>
        <v/>
      </c>
      <c r="Q174" s="4" t="str">
        <f aca="false">IF($A174="","",IF(AND(I174&gt;0,P174&gt;0,I174&lt;=P174),"是","否"))</f>
        <v/>
      </c>
      <c r="R174" s="20"/>
      <c r="S174" s="5"/>
      <c r="T174" s="5"/>
      <c r="U174" s="5"/>
      <c r="V174" s="19" t="str">
        <f aca="false">IF($A174="","",IF(OR(AND(O174&gt;0,I174&lt;O174),AND(T174="False",S174&lt;0.8)),"是","否"))</f>
        <v/>
      </c>
      <c r="W174" s="19" t="str">
        <f aca="false">IF($A174="","",IF(AND(I174&lt;H174,S174&lt;0.8),"是","否"))</f>
        <v/>
      </c>
      <c r="X174" s="19" t="str">
        <f aca="false">IF($A174="","",IF(AND(R174&lt;60%,S174&gt;0.8,T174="True",U174="一卖"),"是","否"))</f>
        <v/>
      </c>
      <c r="Y174" s="19" t="str">
        <f aca="false">IF($A174="","",IF(D174="是","否",IF(N174&gt;LOOKUP(2,1/(账户总表!$A:$A&lt;&gt;""),账户总表!$O:$O),"是","否")))</f>
        <v/>
      </c>
      <c r="Z174" s="19" t="str">
        <f aca="false">IF($A174="","",IF(M174&gt;=0,"盈利","亏损"))</f>
        <v/>
      </c>
      <c r="AA174" s="19" t="str">
        <f aca="false">IF($A174="","",IF(OR(Q174="是",M174&lt;=-8%,V174="是",X174="是"),"卖出",IF(Y174="是","减仓",IF(W174="是","观察","持有"))))</f>
        <v/>
      </c>
      <c r="AB174" s="19" t="str">
        <f aca="false">IF($A174="","",IF(D174="是",IF(I174&lt;=E174*0.92,"立即卖出(WAIVED止损)","继续持有(WAIVED)"),IF(OR(M174&lt;=-10%,Q174="是"),"立即卖出",IF(OR(AA174="卖出",V174="是",X174="是"),"次日卖出",IF(AND(Y174="是",NOT(OR(Q174="是",M174&lt;=-8%,V174="是",X174="是"))),"减仓至上限",IF(W174="是","观察","继续持有"))))))</f>
        <v/>
      </c>
      <c r="AC174" s="19" t="str">
        <f aca="false">IF($A174="","",IF(Q174="是","触发止损",IF(M174&lt;=-8%,"固定止损",IF(V174="是","信号失效",IF(X174="是","确认一卖",IF(Y174="是","单股超限",IF(W174="是","DL_P弱化","规则内持有")))))))</f>
        <v/>
      </c>
      <c r="AD174" s="5"/>
    </row>
    <row r="175" customFormat="false" ht="15" hidden="false" customHeight="true" outlineLevel="0" collapsed="false">
      <c r="A175" s="7"/>
      <c r="B175" s="7"/>
      <c r="C175" s="7"/>
      <c r="D175" s="12"/>
      <c r="E175" s="24"/>
      <c r="F175" s="7"/>
      <c r="G175" s="25"/>
      <c r="H175" s="24"/>
      <c r="I175" s="24"/>
      <c r="J175" s="15" t="n">
        <f aca="false">IFERROR(G175*I175,0)</f>
        <v>0</v>
      </c>
      <c r="K175" s="15" t="n">
        <f aca="false">IFERROR(G175*H175,0)</f>
        <v>0</v>
      </c>
      <c r="L175" s="15" t="n">
        <f aca="false">IFERROR(J175-K175,0)</f>
        <v>0</v>
      </c>
      <c r="M175" s="16" t="n">
        <f aca="false">IFERROR((I175-H175)/H175,0)</f>
        <v>0</v>
      </c>
      <c r="N175" s="16" t="n">
        <f aca="false">IFERROR(J175/INDEX(账户总表!$B:$B,MATCH($A175,账户总表!$A:$A,0)),0)</f>
        <v>0</v>
      </c>
      <c r="O175" s="24"/>
      <c r="P175" s="15" t="str">
        <f aca="false">IF($A175="","",IF($D175="是",IF(E175&gt;0,E175*0.92,MAX(O175*0.98,H175*0.92)),MAX(O175*0.98,H175*0.92)))</f>
        <v/>
      </c>
      <c r="Q175" s="4" t="str">
        <f aca="false">IF($A175="","",IF(AND(I175&gt;0,P175&gt;0,I175&lt;=P175),"是","否"))</f>
        <v/>
      </c>
      <c r="R175" s="26"/>
      <c r="S175" s="7"/>
      <c r="T175" s="7"/>
      <c r="U175" s="7"/>
      <c r="V175" s="19" t="str">
        <f aca="false">IF($A175="","",IF(OR(AND(O175&gt;0,I175&lt;O175),AND(T175="False",S175&lt;0.8)),"是","否"))</f>
        <v/>
      </c>
      <c r="W175" s="19" t="str">
        <f aca="false">IF($A175="","",IF(AND(I175&lt;H175,S175&lt;0.8),"是","否"))</f>
        <v/>
      </c>
      <c r="X175" s="19" t="str">
        <f aca="false">IF($A175="","",IF(AND(R175&lt;60%,S175&gt;0.8,T175="True",U175="一卖"),"是","否"))</f>
        <v/>
      </c>
      <c r="Y175" s="19" t="str">
        <f aca="false">IF($A175="","",IF(D175="是","否",IF(N175&gt;LOOKUP(2,1/(账户总表!$A:$A&lt;&gt;""),账户总表!$O:$O),"是","否")))</f>
        <v/>
      </c>
      <c r="Z175" s="19" t="str">
        <f aca="false">IF($A175="","",IF(M175&gt;=0,"盈利","亏损"))</f>
        <v/>
      </c>
      <c r="AA175" s="19" t="str">
        <f aca="false">IF($A175="","",IF(OR(Q175="是",M175&lt;=-8%,V175="是",X175="是"),"卖出",IF(Y175="是","减仓",IF(W175="是","观察","持有"))))</f>
        <v/>
      </c>
      <c r="AB175" s="19" t="str">
        <f aca="false">IF($A175="","",IF(D175="是",IF(I175&lt;=E175*0.92,"立即卖出(WAIVED止损)","继续持有(WAIVED)"),IF(OR(M175&lt;=-10%,Q175="是"),"立即卖出",IF(OR(AA175="卖出",V175="是",X175="是"),"次日卖出",IF(AND(Y175="是",NOT(OR(Q175="是",M175&lt;=-8%,V175="是",X175="是"))),"减仓至上限",IF(W175="是","观察","继续持有"))))))</f>
        <v/>
      </c>
      <c r="AC175" s="19" t="str">
        <f aca="false">IF($A175="","",IF(Q175="是","触发止损",IF(M175&lt;=-8%,"固定止损",IF(V175="是","信号失效",IF(X175="是","确认一卖",IF(Y175="是","单股超限",IF(W175="是","DL_P弱化","规则内持有")))))))</f>
        <v/>
      </c>
      <c r="AD175" s="7"/>
    </row>
    <row r="176" customFormat="false" ht="15" hidden="false" customHeight="true" outlineLevel="0" collapsed="false">
      <c r="A176" s="5"/>
      <c r="B176" s="5"/>
      <c r="C176" s="5"/>
      <c r="D176" s="11"/>
      <c r="E176" s="14"/>
      <c r="F176" s="5"/>
      <c r="G176" s="17"/>
      <c r="H176" s="14"/>
      <c r="I176" s="14"/>
      <c r="J176" s="15" t="n">
        <f aca="false">IFERROR(G176*I176,0)</f>
        <v>0</v>
      </c>
      <c r="K176" s="15" t="n">
        <f aca="false">IFERROR(G176*H176,0)</f>
        <v>0</v>
      </c>
      <c r="L176" s="15" t="n">
        <f aca="false">IFERROR(J176-K176,0)</f>
        <v>0</v>
      </c>
      <c r="M176" s="16" t="n">
        <f aca="false">IFERROR((I176-H176)/H176,0)</f>
        <v>0</v>
      </c>
      <c r="N176" s="16" t="n">
        <f aca="false">IFERROR(J176/INDEX(账户总表!$B:$B,MATCH($A176,账户总表!$A:$A,0)),0)</f>
        <v>0</v>
      </c>
      <c r="O176" s="14"/>
      <c r="P176" s="15" t="str">
        <f aca="false">IF($A176="","",IF($D176="是",IF(E176&gt;0,E176*0.92,MAX(O176*0.98,H176*0.92)),MAX(O176*0.98,H176*0.92)))</f>
        <v/>
      </c>
      <c r="Q176" s="4" t="str">
        <f aca="false">IF($A176="","",IF(AND(I176&gt;0,P176&gt;0,I176&lt;=P176),"是","否"))</f>
        <v/>
      </c>
      <c r="R176" s="20"/>
      <c r="S176" s="5"/>
      <c r="T176" s="5"/>
      <c r="U176" s="5"/>
      <c r="V176" s="19" t="str">
        <f aca="false">IF($A176="","",IF(OR(AND(O176&gt;0,I176&lt;O176),AND(T176="False",S176&lt;0.8)),"是","否"))</f>
        <v/>
      </c>
      <c r="W176" s="19" t="str">
        <f aca="false">IF($A176="","",IF(AND(I176&lt;H176,S176&lt;0.8),"是","否"))</f>
        <v/>
      </c>
      <c r="X176" s="19" t="str">
        <f aca="false">IF($A176="","",IF(AND(R176&lt;60%,S176&gt;0.8,T176="True",U176="一卖"),"是","否"))</f>
        <v/>
      </c>
      <c r="Y176" s="19" t="str">
        <f aca="false">IF($A176="","",IF(D176="是","否",IF(N176&gt;LOOKUP(2,1/(账户总表!$A:$A&lt;&gt;""),账户总表!$O:$O),"是","否")))</f>
        <v/>
      </c>
      <c r="Z176" s="19" t="str">
        <f aca="false">IF($A176="","",IF(M176&gt;=0,"盈利","亏损"))</f>
        <v/>
      </c>
      <c r="AA176" s="19" t="str">
        <f aca="false">IF($A176="","",IF(OR(Q176="是",M176&lt;=-8%,V176="是",X176="是"),"卖出",IF(Y176="是","减仓",IF(W176="是","观察","持有"))))</f>
        <v/>
      </c>
      <c r="AB176" s="19" t="str">
        <f aca="false">IF($A176="","",IF(D176="是",IF(I176&lt;=E176*0.92,"立即卖出(WAIVED止损)","继续持有(WAIVED)"),IF(OR(M176&lt;=-10%,Q176="是"),"立即卖出",IF(OR(AA176="卖出",V176="是",X176="是"),"次日卖出",IF(AND(Y176="是",NOT(OR(Q176="是",M176&lt;=-8%,V176="是",X176="是"))),"减仓至上限",IF(W176="是","观察","继续持有"))))))</f>
        <v/>
      </c>
      <c r="AC176" s="19" t="str">
        <f aca="false">IF($A176="","",IF(Q176="是","触发止损",IF(M176&lt;=-8%,"固定止损",IF(V176="是","信号失效",IF(X176="是","确认一卖",IF(Y176="是","单股超限",IF(W176="是","DL_P弱化","规则内持有")))))))</f>
        <v/>
      </c>
      <c r="AD176" s="5"/>
    </row>
    <row r="177" customFormat="false" ht="15" hidden="false" customHeight="true" outlineLevel="0" collapsed="false">
      <c r="A177" s="7"/>
      <c r="B177" s="7"/>
      <c r="C177" s="7"/>
      <c r="D177" s="12"/>
      <c r="E177" s="24"/>
      <c r="F177" s="7"/>
      <c r="G177" s="25"/>
      <c r="H177" s="24"/>
      <c r="I177" s="24"/>
      <c r="J177" s="15" t="n">
        <f aca="false">IFERROR(G177*I177,0)</f>
        <v>0</v>
      </c>
      <c r="K177" s="15" t="n">
        <f aca="false">IFERROR(G177*H177,0)</f>
        <v>0</v>
      </c>
      <c r="L177" s="15" t="n">
        <f aca="false">IFERROR(J177-K177,0)</f>
        <v>0</v>
      </c>
      <c r="M177" s="16" t="n">
        <f aca="false">IFERROR((I177-H177)/H177,0)</f>
        <v>0</v>
      </c>
      <c r="N177" s="16" t="n">
        <f aca="false">IFERROR(J177/INDEX(账户总表!$B:$B,MATCH($A177,账户总表!$A:$A,0)),0)</f>
        <v>0</v>
      </c>
      <c r="O177" s="24"/>
      <c r="P177" s="15" t="str">
        <f aca="false">IF($A177="","",IF($D177="是",IF(E177&gt;0,E177*0.92,MAX(O177*0.98,H177*0.92)),MAX(O177*0.98,H177*0.92)))</f>
        <v/>
      </c>
      <c r="Q177" s="4" t="str">
        <f aca="false">IF($A177="","",IF(AND(I177&gt;0,P177&gt;0,I177&lt;=P177),"是","否"))</f>
        <v/>
      </c>
      <c r="R177" s="26"/>
      <c r="S177" s="7"/>
      <c r="T177" s="7"/>
      <c r="U177" s="7"/>
      <c r="V177" s="19" t="str">
        <f aca="false">IF($A177="","",IF(OR(AND(O177&gt;0,I177&lt;O177),AND(T177="False",S177&lt;0.8)),"是","否"))</f>
        <v/>
      </c>
      <c r="W177" s="19" t="str">
        <f aca="false">IF($A177="","",IF(AND(I177&lt;H177,S177&lt;0.8),"是","否"))</f>
        <v/>
      </c>
      <c r="X177" s="19" t="str">
        <f aca="false">IF($A177="","",IF(AND(R177&lt;60%,S177&gt;0.8,T177="True",U177="一卖"),"是","否"))</f>
        <v/>
      </c>
      <c r="Y177" s="19" t="str">
        <f aca="false">IF($A177="","",IF(D177="是","否",IF(N177&gt;LOOKUP(2,1/(账户总表!$A:$A&lt;&gt;""),账户总表!$O:$O),"是","否")))</f>
        <v/>
      </c>
      <c r="Z177" s="19" t="str">
        <f aca="false">IF($A177="","",IF(M177&gt;=0,"盈利","亏损"))</f>
        <v/>
      </c>
      <c r="AA177" s="19" t="str">
        <f aca="false">IF($A177="","",IF(OR(Q177="是",M177&lt;=-8%,V177="是",X177="是"),"卖出",IF(Y177="是","减仓",IF(W177="是","观察","持有"))))</f>
        <v/>
      </c>
      <c r="AB177" s="19" t="str">
        <f aca="false">IF($A177="","",IF(D177="是",IF(I177&lt;=E177*0.92,"立即卖出(WAIVED止损)","继续持有(WAIVED)"),IF(OR(M177&lt;=-10%,Q177="是"),"立即卖出",IF(OR(AA177="卖出",V177="是",X177="是"),"次日卖出",IF(AND(Y177="是",NOT(OR(Q177="是",M177&lt;=-8%,V177="是",X177="是"))),"减仓至上限",IF(W177="是","观察","继续持有"))))))</f>
        <v/>
      </c>
      <c r="AC177" s="19" t="str">
        <f aca="false">IF($A177="","",IF(Q177="是","触发止损",IF(M177&lt;=-8%,"固定止损",IF(V177="是","信号失效",IF(X177="是","确认一卖",IF(Y177="是","单股超限",IF(W177="是","DL_P弱化","规则内持有")))))))</f>
        <v/>
      </c>
      <c r="AD177" s="7"/>
    </row>
    <row r="178" customFormat="false" ht="15" hidden="false" customHeight="true" outlineLevel="0" collapsed="false">
      <c r="A178" s="5"/>
      <c r="B178" s="5"/>
      <c r="C178" s="5"/>
      <c r="D178" s="11"/>
      <c r="E178" s="14"/>
      <c r="F178" s="5"/>
      <c r="G178" s="17"/>
      <c r="H178" s="14"/>
      <c r="I178" s="14"/>
      <c r="J178" s="15" t="n">
        <f aca="false">IFERROR(G178*I178,0)</f>
        <v>0</v>
      </c>
      <c r="K178" s="15" t="n">
        <f aca="false">IFERROR(G178*H178,0)</f>
        <v>0</v>
      </c>
      <c r="L178" s="15" t="n">
        <f aca="false">IFERROR(J178-K178,0)</f>
        <v>0</v>
      </c>
      <c r="M178" s="16" t="n">
        <f aca="false">IFERROR((I178-H178)/H178,0)</f>
        <v>0</v>
      </c>
      <c r="N178" s="16" t="n">
        <f aca="false">IFERROR(J178/INDEX(账户总表!$B:$B,MATCH($A178,账户总表!$A:$A,0)),0)</f>
        <v>0</v>
      </c>
      <c r="O178" s="14"/>
      <c r="P178" s="15" t="str">
        <f aca="false">IF($A178="","",IF($D178="是",IF(E178&gt;0,E178*0.92,MAX(O178*0.98,H178*0.92)),MAX(O178*0.98,H178*0.92)))</f>
        <v/>
      </c>
      <c r="Q178" s="4" t="str">
        <f aca="false">IF($A178="","",IF(AND(I178&gt;0,P178&gt;0,I178&lt;=P178),"是","否"))</f>
        <v/>
      </c>
      <c r="R178" s="20"/>
      <c r="S178" s="5"/>
      <c r="T178" s="5"/>
      <c r="U178" s="5"/>
      <c r="V178" s="19" t="str">
        <f aca="false">IF($A178="","",IF(OR(AND(O178&gt;0,I178&lt;O178),AND(T178="False",S178&lt;0.8)),"是","否"))</f>
        <v/>
      </c>
      <c r="W178" s="19" t="str">
        <f aca="false">IF($A178="","",IF(AND(I178&lt;H178,S178&lt;0.8),"是","否"))</f>
        <v/>
      </c>
      <c r="X178" s="19" t="str">
        <f aca="false">IF($A178="","",IF(AND(R178&lt;60%,S178&gt;0.8,T178="True",U178="一卖"),"是","否"))</f>
        <v/>
      </c>
      <c r="Y178" s="19" t="str">
        <f aca="false">IF($A178="","",IF(D178="是","否",IF(N178&gt;LOOKUP(2,1/(账户总表!$A:$A&lt;&gt;""),账户总表!$O:$O),"是","否")))</f>
        <v/>
      </c>
      <c r="Z178" s="19" t="str">
        <f aca="false">IF($A178="","",IF(M178&gt;=0,"盈利","亏损"))</f>
        <v/>
      </c>
      <c r="AA178" s="19" t="str">
        <f aca="false">IF($A178="","",IF(OR(Q178="是",M178&lt;=-8%,V178="是",X178="是"),"卖出",IF(Y178="是","减仓",IF(W178="是","观察","持有"))))</f>
        <v/>
      </c>
      <c r="AB178" s="19" t="str">
        <f aca="false">IF($A178="","",IF(D178="是",IF(I178&lt;=E178*0.92,"立即卖出(WAIVED止损)","继续持有(WAIVED)"),IF(OR(M178&lt;=-10%,Q178="是"),"立即卖出",IF(OR(AA178="卖出",V178="是",X178="是"),"次日卖出",IF(AND(Y178="是",NOT(OR(Q178="是",M178&lt;=-8%,V178="是",X178="是"))),"减仓至上限",IF(W178="是","观察","继续持有"))))))</f>
        <v/>
      </c>
      <c r="AC178" s="19" t="str">
        <f aca="false">IF($A178="","",IF(Q178="是","触发止损",IF(M178&lt;=-8%,"固定止损",IF(V178="是","信号失效",IF(X178="是","确认一卖",IF(Y178="是","单股超限",IF(W178="是","DL_P弱化","规则内持有")))))))</f>
        <v/>
      </c>
      <c r="AD178" s="5"/>
    </row>
    <row r="179" customFormat="false" ht="15" hidden="false" customHeight="true" outlineLevel="0" collapsed="false">
      <c r="A179" s="7"/>
      <c r="B179" s="7"/>
      <c r="C179" s="7"/>
      <c r="D179" s="12"/>
      <c r="E179" s="24"/>
      <c r="F179" s="7"/>
      <c r="G179" s="25"/>
      <c r="H179" s="24"/>
      <c r="I179" s="24"/>
      <c r="J179" s="15" t="n">
        <f aca="false">IFERROR(G179*I179,0)</f>
        <v>0</v>
      </c>
      <c r="K179" s="15" t="n">
        <f aca="false">IFERROR(G179*H179,0)</f>
        <v>0</v>
      </c>
      <c r="L179" s="15" t="n">
        <f aca="false">IFERROR(J179-K179,0)</f>
        <v>0</v>
      </c>
      <c r="M179" s="16" t="n">
        <f aca="false">IFERROR((I179-H179)/H179,0)</f>
        <v>0</v>
      </c>
      <c r="N179" s="16" t="n">
        <f aca="false">IFERROR(J179/INDEX(账户总表!$B:$B,MATCH($A179,账户总表!$A:$A,0)),0)</f>
        <v>0</v>
      </c>
      <c r="O179" s="24"/>
      <c r="P179" s="15" t="str">
        <f aca="false">IF($A179="","",IF($D179="是",IF(E179&gt;0,E179*0.92,MAX(O179*0.98,H179*0.92)),MAX(O179*0.98,H179*0.92)))</f>
        <v/>
      </c>
      <c r="Q179" s="4" t="str">
        <f aca="false">IF($A179="","",IF(AND(I179&gt;0,P179&gt;0,I179&lt;=P179),"是","否"))</f>
        <v/>
      </c>
      <c r="R179" s="26"/>
      <c r="S179" s="7"/>
      <c r="T179" s="7"/>
      <c r="U179" s="7"/>
      <c r="V179" s="19" t="str">
        <f aca="false">IF($A179="","",IF(OR(AND(O179&gt;0,I179&lt;O179),AND(T179="False",S179&lt;0.8)),"是","否"))</f>
        <v/>
      </c>
      <c r="W179" s="19" t="str">
        <f aca="false">IF($A179="","",IF(AND(I179&lt;H179,S179&lt;0.8),"是","否"))</f>
        <v/>
      </c>
      <c r="X179" s="19" t="str">
        <f aca="false">IF($A179="","",IF(AND(R179&lt;60%,S179&gt;0.8,T179="True",U179="一卖"),"是","否"))</f>
        <v/>
      </c>
      <c r="Y179" s="19" t="str">
        <f aca="false">IF($A179="","",IF(D179="是","否",IF(N179&gt;LOOKUP(2,1/(账户总表!$A:$A&lt;&gt;""),账户总表!$O:$O),"是","否")))</f>
        <v/>
      </c>
      <c r="Z179" s="19" t="str">
        <f aca="false">IF($A179="","",IF(M179&gt;=0,"盈利","亏损"))</f>
        <v/>
      </c>
      <c r="AA179" s="19" t="str">
        <f aca="false">IF($A179="","",IF(OR(Q179="是",M179&lt;=-8%,V179="是",X179="是"),"卖出",IF(Y179="是","减仓",IF(W179="是","观察","持有"))))</f>
        <v/>
      </c>
      <c r="AB179" s="19" t="str">
        <f aca="false">IF($A179="","",IF(D179="是",IF(I179&lt;=E179*0.92,"立即卖出(WAIVED止损)","继续持有(WAIVED)"),IF(OR(M179&lt;=-10%,Q179="是"),"立即卖出",IF(OR(AA179="卖出",V179="是",X179="是"),"次日卖出",IF(AND(Y179="是",NOT(OR(Q179="是",M179&lt;=-8%,V179="是",X179="是"))),"减仓至上限",IF(W179="是","观察","继续持有"))))))</f>
        <v/>
      </c>
      <c r="AC179" s="19" t="str">
        <f aca="false">IF($A179="","",IF(Q179="是","触发止损",IF(M179&lt;=-8%,"固定止损",IF(V179="是","信号失效",IF(X179="是","确认一卖",IF(Y179="是","单股超限",IF(W179="是","DL_P弱化","规则内持有")))))))</f>
        <v/>
      </c>
      <c r="AD179" s="7"/>
    </row>
    <row r="180" customFormat="false" ht="15" hidden="false" customHeight="true" outlineLevel="0" collapsed="false">
      <c r="A180" s="5"/>
      <c r="B180" s="5"/>
      <c r="C180" s="5"/>
      <c r="D180" s="11"/>
      <c r="E180" s="14"/>
      <c r="F180" s="5"/>
      <c r="G180" s="17"/>
      <c r="H180" s="14"/>
      <c r="I180" s="14"/>
      <c r="J180" s="15" t="n">
        <f aca="false">IFERROR(G180*I180,0)</f>
        <v>0</v>
      </c>
      <c r="K180" s="15" t="n">
        <f aca="false">IFERROR(G180*H180,0)</f>
        <v>0</v>
      </c>
      <c r="L180" s="15" t="n">
        <f aca="false">IFERROR(J180-K180,0)</f>
        <v>0</v>
      </c>
      <c r="M180" s="16" t="n">
        <f aca="false">IFERROR((I180-H180)/H180,0)</f>
        <v>0</v>
      </c>
      <c r="N180" s="16" t="n">
        <f aca="false">IFERROR(J180/INDEX(账户总表!$B:$B,MATCH($A180,账户总表!$A:$A,0)),0)</f>
        <v>0</v>
      </c>
      <c r="O180" s="14"/>
      <c r="P180" s="15" t="str">
        <f aca="false">IF($A180="","",IF($D180="是",IF(E180&gt;0,E180*0.92,MAX(O180*0.98,H180*0.92)),MAX(O180*0.98,H180*0.92)))</f>
        <v/>
      </c>
      <c r="Q180" s="4" t="str">
        <f aca="false">IF($A180="","",IF(AND(I180&gt;0,P180&gt;0,I180&lt;=P180),"是","否"))</f>
        <v/>
      </c>
      <c r="R180" s="20"/>
      <c r="S180" s="5"/>
      <c r="T180" s="5"/>
      <c r="U180" s="5"/>
      <c r="V180" s="19" t="str">
        <f aca="false">IF($A180="","",IF(OR(AND(O180&gt;0,I180&lt;O180),AND(T180="False",S180&lt;0.8)),"是","否"))</f>
        <v/>
      </c>
      <c r="W180" s="19" t="str">
        <f aca="false">IF($A180="","",IF(AND(I180&lt;H180,S180&lt;0.8),"是","否"))</f>
        <v/>
      </c>
      <c r="X180" s="19" t="str">
        <f aca="false">IF($A180="","",IF(AND(R180&lt;60%,S180&gt;0.8,T180="True",U180="一卖"),"是","否"))</f>
        <v/>
      </c>
      <c r="Y180" s="19" t="str">
        <f aca="false">IF($A180="","",IF(D180="是","否",IF(N180&gt;LOOKUP(2,1/(账户总表!$A:$A&lt;&gt;""),账户总表!$O:$O),"是","否")))</f>
        <v/>
      </c>
      <c r="Z180" s="19" t="str">
        <f aca="false">IF($A180="","",IF(M180&gt;=0,"盈利","亏损"))</f>
        <v/>
      </c>
      <c r="AA180" s="19" t="str">
        <f aca="false">IF($A180="","",IF(OR(Q180="是",M180&lt;=-8%,V180="是",X180="是"),"卖出",IF(Y180="是","减仓",IF(W180="是","观察","持有"))))</f>
        <v/>
      </c>
      <c r="AB180" s="19" t="str">
        <f aca="false">IF($A180="","",IF(D180="是",IF(I180&lt;=E180*0.92,"立即卖出(WAIVED止损)","继续持有(WAIVED)"),IF(OR(M180&lt;=-10%,Q180="是"),"立即卖出",IF(OR(AA180="卖出",V180="是",X180="是"),"次日卖出",IF(AND(Y180="是",NOT(OR(Q180="是",M180&lt;=-8%,V180="是",X180="是"))),"减仓至上限",IF(W180="是","观察","继续持有"))))))</f>
        <v/>
      </c>
      <c r="AC180" s="19" t="str">
        <f aca="false">IF($A180="","",IF(Q180="是","触发止损",IF(M180&lt;=-8%,"固定止损",IF(V180="是","信号失效",IF(X180="是","确认一卖",IF(Y180="是","单股超限",IF(W180="是","DL_P弱化","规则内持有")))))))</f>
        <v/>
      </c>
      <c r="AD180" s="5"/>
    </row>
    <row r="181" customFormat="false" ht="15" hidden="false" customHeight="true" outlineLevel="0" collapsed="false">
      <c r="A181" s="7"/>
      <c r="B181" s="7"/>
      <c r="C181" s="7"/>
      <c r="D181" s="12"/>
      <c r="E181" s="24"/>
      <c r="F181" s="7"/>
      <c r="G181" s="25"/>
      <c r="H181" s="24"/>
      <c r="I181" s="24"/>
      <c r="J181" s="15" t="n">
        <f aca="false">IFERROR(G181*I181,0)</f>
        <v>0</v>
      </c>
      <c r="K181" s="15" t="n">
        <f aca="false">IFERROR(G181*H181,0)</f>
        <v>0</v>
      </c>
      <c r="L181" s="15" t="n">
        <f aca="false">IFERROR(J181-K181,0)</f>
        <v>0</v>
      </c>
      <c r="M181" s="16" t="n">
        <f aca="false">IFERROR((I181-H181)/H181,0)</f>
        <v>0</v>
      </c>
      <c r="N181" s="16" t="n">
        <f aca="false">IFERROR(J181/INDEX(账户总表!$B:$B,MATCH($A181,账户总表!$A:$A,0)),0)</f>
        <v>0</v>
      </c>
      <c r="O181" s="24"/>
      <c r="P181" s="15" t="str">
        <f aca="false">IF($A181="","",IF($D181="是",IF(E181&gt;0,E181*0.92,MAX(O181*0.98,H181*0.92)),MAX(O181*0.98,H181*0.92)))</f>
        <v/>
      </c>
      <c r="Q181" s="4" t="str">
        <f aca="false">IF($A181="","",IF(AND(I181&gt;0,P181&gt;0,I181&lt;=P181),"是","否"))</f>
        <v/>
      </c>
      <c r="R181" s="26"/>
      <c r="S181" s="7"/>
      <c r="T181" s="7"/>
      <c r="U181" s="7"/>
      <c r="V181" s="19" t="str">
        <f aca="false">IF($A181="","",IF(OR(AND(O181&gt;0,I181&lt;O181),AND(T181="False",S181&lt;0.8)),"是","否"))</f>
        <v/>
      </c>
      <c r="W181" s="19" t="str">
        <f aca="false">IF($A181="","",IF(AND(I181&lt;H181,S181&lt;0.8),"是","否"))</f>
        <v/>
      </c>
      <c r="X181" s="19" t="str">
        <f aca="false">IF($A181="","",IF(AND(R181&lt;60%,S181&gt;0.8,T181="True",U181="一卖"),"是","否"))</f>
        <v/>
      </c>
      <c r="Y181" s="19" t="str">
        <f aca="false">IF($A181="","",IF(D181="是","否",IF(N181&gt;LOOKUP(2,1/(账户总表!$A:$A&lt;&gt;""),账户总表!$O:$O),"是","否")))</f>
        <v/>
      </c>
      <c r="Z181" s="19" t="str">
        <f aca="false">IF($A181="","",IF(M181&gt;=0,"盈利","亏损"))</f>
        <v/>
      </c>
      <c r="AA181" s="19" t="str">
        <f aca="false">IF($A181="","",IF(OR(Q181="是",M181&lt;=-8%,V181="是",X181="是"),"卖出",IF(Y181="是","减仓",IF(W181="是","观察","持有"))))</f>
        <v/>
      </c>
      <c r="AB181" s="19" t="str">
        <f aca="false">IF($A181="","",IF(D181="是",IF(I181&lt;=E181*0.92,"立即卖出(WAIVED止损)","继续持有(WAIVED)"),IF(OR(M181&lt;=-10%,Q181="是"),"立即卖出",IF(OR(AA181="卖出",V181="是",X181="是"),"次日卖出",IF(AND(Y181="是",NOT(OR(Q181="是",M181&lt;=-8%,V181="是",X181="是"))),"减仓至上限",IF(W181="是","观察","继续持有"))))))</f>
        <v/>
      </c>
      <c r="AC181" s="19" t="str">
        <f aca="false">IF($A181="","",IF(Q181="是","触发止损",IF(M181&lt;=-8%,"固定止损",IF(V181="是","信号失效",IF(X181="是","确认一卖",IF(Y181="是","单股超限",IF(W181="是","DL_P弱化","规则内持有")))))))</f>
        <v/>
      </c>
      <c r="AD181" s="7"/>
    </row>
    <row r="182" customFormat="false" ht="15" hidden="false" customHeight="true" outlineLevel="0" collapsed="false">
      <c r="A182" s="5"/>
      <c r="B182" s="5"/>
      <c r="C182" s="5"/>
      <c r="D182" s="11"/>
      <c r="E182" s="14"/>
      <c r="F182" s="5"/>
      <c r="G182" s="17"/>
      <c r="H182" s="14"/>
      <c r="I182" s="14"/>
      <c r="J182" s="15" t="n">
        <f aca="false">IFERROR(G182*I182,0)</f>
        <v>0</v>
      </c>
      <c r="K182" s="15" t="n">
        <f aca="false">IFERROR(G182*H182,0)</f>
        <v>0</v>
      </c>
      <c r="L182" s="15" t="n">
        <f aca="false">IFERROR(J182-K182,0)</f>
        <v>0</v>
      </c>
      <c r="M182" s="16" t="n">
        <f aca="false">IFERROR((I182-H182)/H182,0)</f>
        <v>0</v>
      </c>
      <c r="N182" s="16" t="n">
        <f aca="false">IFERROR(J182/INDEX(账户总表!$B:$B,MATCH($A182,账户总表!$A:$A,0)),0)</f>
        <v>0</v>
      </c>
      <c r="O182" s="14"/>
      <c r="P182" s="15" t="str">
        <f aca="false">IF($A182="","",IF($D182="是",IF(E182&gt;0,E182*0.92,MAX(O182*0.98,H182*0.92)),MAX(O182*0.98,H182*0.92)))</f>
        <v/>
      </c>
      <c r="Q182" s="4" t="str">
        <f aca="false">IF($A182="","",IF(AND(I182&gt;0,P182&gt;0,I182&lt;=P182),"是","否"))</f>
        <v/>
      </c>
      <c r="R182" s="20"/>
      <c r="S182" s="5"/>
      <c r="T182" s="5"/>
      <c r="U182" s="5"/>
      <c r="V182" s="19" t="str">
        <f aca="false">IF($A182="","",IF(OR(AND(O182&gt;0,I182&lt;O182),AND(T182="False",S182&lt;0.8)),"是","否"))</f>
        <v/>
      </c>
      <c r="W182" s="19" t="str">
        <f aca="false">IF($A182="","",IF(AND(I182&lt;H182,S182&lt;0.8),"是","否"))</f>
        <v/>
      </c>
      <c r="X182" s="19" t="str">
        <f aca="false">IF($A182="","",IF(AND(R182&lt;60%,S182&gt;0.8,T182="True",U182="一卖"),"是","否"))</f>
        <v/>
      </c>
      <c r="Y182" s="19" t="str">
        <f aca="false">IF($A182="","",IF(D182="是","否",IF(N182&gt;LOOKUP(2,1/(账户总表!$A:$A&lt;&gt;""),账户总表!$O:$O),"是","否")))</f>
        <v/>
      </c>
      <c r="Z182" s="19" t="str">
        <f aca="false">IF($A182="","",IF(M182&gt;=0,"盈利","亏损"))</f>
        <v/>
      </c>
      <c r="AA182" s="19" t="str">
        <f aca="false">IF($A182="","",IF(OR(Q182="是",M182&lt;=-8%,V182="是",X182="是"),"卖出",IF(Y182="是","减仓",IF(W182="是","观察","持有"))))</f>
        <v/>
      </c>
      <c r="AB182" s="19" t="str">
        <f aca="false">IF($A182="","",IF(D182="是",IF(I182&lt;=E182*0.92,"立即卖出(WAIVED止损)","继续持有(WAIVED)"),IF(OR(M182&lt;=-10%,Q182="是"),"立即卖出",IF(OR(AA182="卖出",V182="是",X182="是"),"次日卖出",IF(AND(Y182="是",NOT(OR(Q182="是",M182&lt;=-8%,V182="是",X182="是"))),"减仓至上限",IF(W182="是","观察","继续持有"))))))</f>
        <v/>
      </c>
      <c r="AC182" s="19" t="str">
        <f aca="false">IF($A182="","",IF(Q182="是","触发止损",IF(M182&lt;=-8%,"固定止损",IF(V182="是","信号失效",IF(X182="是","确认一卖",IF(Y182="是","单股超限",IF(W182="是","DL_P弱化","规则内持有")))))))</f>
        <v/>
      </c>
      <c r="AD182" s="5"/>
    </row>
    <row r="183" customFormat="false" ht="15" hidden="false" customHeight="true" outlineLevel="0" collapsed="false">
      <c r="A183" s="7"/>
      <c r="B183" s="7"/>
      <c r="C183" s="7"/>
      <c r="D183" s="12"/>
      <c r="E183" s="24"/>
      <c r="F183" s="7"/>
      <c r="G183" s="25"/>
      <c r="H183" s="24"/>
      <c r="I183" s="24"/>
      <c r="J183" s="15" t="n">
        <f aca="false">IFERROR(G183*I183,0)</f>
        <v>0</v>
      </c>
      <c r="K183" s="15" t="n">
        <f aca="false">IFERROR(G183*H183,0)</f>
        <v>0</v>
      </c>
      <c r="L183" s="15" t="n">
        <f aca="false">IFERROR(J183-K183,0)</f>
        <v>0</v>
      </c>
      <c r="M183" s="16" t="n">
        <f aca="false">IFERROR((I183-H183)/H183,0)</f>
        <v>0</v>
      </c>
      <c r="N183" s="16" t="n">
        <f aca="false">IFERROR(J183/INDEX(账户总表!$B:$B,MATCH($A183,账户总表!$A:$A,0)),0)</f>
        <v>0</v>
      </c>
      <c r="O183" s="24"/>
      <c r="P183" s="15" t="str">
        <f aca="false">IF($A183="","",IF($D183="是",IF(E183&gt;0,E183*0.92,MAX(O183*0.98,H183*0.92)),MAX(O183*0.98,H183*0.92)))</f>
        <v/>
      </c>
      <c r="Q183" s="4" t="str">
        <f aca="false">IF($A183="","",IF(AND(I183&gt;0,P183&gt;0,I183&lt;=P183),"是","否"))</f>
        <v/>
      </c>
      <c r="R183" s="26"/>
      <c r="S183" s="7"/>
      <c r="T183" s="7"/>
      <c r="U183" s="7"/>
      <c r="V183" s="19" t="str">
        <f aca="false">IF($A183="","",IF(OR(AND(O183&gt;0,I183&lt;O183),AND(T183="False",S183&lt;0.8)),"是","否"))</f>
        <v/>
      </c>
      <c r="W183" s="19" t="str">
        <f aca="false">IF($A183="","",IF(AND(I183&lt;H183,S183&lt;0.8),"是","否"))</f>
        <v/>
      </c>
      <c r="X183" s="19" t="str">
        <f aca="false">IF($A183="","",IF(AND(R183&lt;60%,S183&gt;0.8,T183="True",U183="一卖"),"是","否"))</f>
        <v/>
      </c>
      <c r="Y183" s="19" t="str">
        <f aca="false">IF($A183="","",IF(D183="是","否",IF(N183&gt;LOOKUP(2,1/(账户总表!$A:$A&lt;&gt;""),账户总表!$O:$O),"是","否")))</f>
        <v/>
      </c>
      <c r="Z183" s="19" t="str">
        <f aca="false">IF($A183="","",IF(M183&gt;=0,"盈利","亏损"))</f>
        <v/>
      </c>
      <c r="AA183" s="19" t="str">
        <f aca="false">IF($A183="","",IF(OR(Q183="是",M183&lt;=-8%,V183="是",X183="是"),"卖出",IF(Y183="是","减仓",IF(W183="是","观察","持有"))))</f>
        <v/>
      </c>
      <c r="AB183" s="19" t="str">
        <f aca="false">IF($A183="","",IF(D183="是",IF(I183&lt;=E183*0.92,"立即卖出(WAIVED止损)","继续持有(WAIVED)"),IF(OR(M183&lt;=-10%,Q183="是"),"立即卖出",IF(OR(AA183="卖出",V183="是",X183="是"),"次日卖出",IF(AND(Y183="是",NOT(OR(Q183="是",M183&lt;=-8%,V183="是",X183="是"))),"减仓至上限",IF(W183="是","观察","继续持有"))))))</f>
        <v/>
      </c>
      <c r="AC183" s="19" t="str">
        <f aca="false">IF($A183="","",IF(Q183="是","触发止损",IF(M183&lt;=-8%,"固定止损",IF(V183="是","信号失效",IF(X183="是","确认一卖",IF(Y183="是","单股超限",IF(W183="是","DL_P弱化","规则内持有")))))))</f>
        <v/>
      </c>
      <c r="AD183" s="7"/>
    </row>
    <row r="184" customFormat="false" ht="15" hidden="false" customHeight="true" outlineLevel="0" collapsed="false">
      <c r="A184" s="5"/>
      <c r="B184" s="5"/>
      <c r="C184" s="5"/>
      <c r="D184" s="11"/>
      <c r="E184" s="14"/>
      <c r="F184" s="5"/>
      <c r="G184" s="17"/>
      <c r="H184" s="14"/>
      <c r="I184" s="14"/>
      <c r="J184" s="15" t="n">
        <f aca="false">IFERROR(G184*I184,0)</f>
        <v>0</v>
      </c>
      <c r="K184" s="15" t="n">
        <f aca="false">IFERROR(G184*H184,0)</f>
        <v>0</v>
      </c>
      <c r="L184" s="15" t="n">
        <f aca="false">IFERROR(J184-K184,0)</f>
        <v>0</v>
      </c>
      <c r="M184" s="16" t="n">
        <f aca="false">IFERROR((I184-H184)/H184,0)</f>
        <v>0</v>
      </c>
      <c r="N184" s="16" t="n">
        <f aca="false">IFERROR(J184/INDEX(账户总表!$B:$B,MATCH($A184,账户总表!$A:$A,0)),0)</f>
        <v>0</v>
      </c>
      <c r="O184" s="14"/>
      <c r="P184" s="15" t="str">
        <f aca="false">IF($A184="","",IF($D184="是",IF(E184&gt;0,E184*0.92,MAX(O184*0.98,H184*0.92)),MAX(O184*0.98,H184*0.92)))</f>
        <v/>
      </c>
      <c r="Q184" s="4" t="str">
        <f aca="false">IF($A184="","",IF(AND(I184&gt;0,P184&gt;0,I184&lt;=P184),"是","否"))</f>
        <v/>
      </c>
      <c r="R184" s="20"/>
      <c r="S184" s="5"/>
      <c r="T184" s="5"/>
      <c r="U184" s="5"/>
      <c r="V184" s="19" t="str">
        <f aca="false">IF($A184="","",IF(OR(AND(O184&gt;0,I184&lt;O184),AND(T184="False",S184&lt;0.8)),"是","否"))</f>
        <v/>
      </c>
      <c r="W184" s="19" t="str">
        <f aca="false">IF($A184="","",IF(AND(I184&lt;H184,S184&lt;0.8),"是","否"))</f>
        <v/>
      </c>
      <c r="X184" s="19" t="str">
        <f aca="false">IF($A184="","",IF(AND(R184&lt;60%,S184&gt;0.8,T184="True",U184="一卖"),"是","否"))</f>
        <v/>
      </c>
      <c r="Y184" s="19" t="str">
        <f aca="false">IF($A184="","",IF(D184="是","否",IF(N184&gt;LOOKUP(2,1/(账户总表!$A:$A&lt;&gt;""),账户总表!$O:$O),"是","否")))</f>
        <v/>
      </c>
      <c r="Z184" s="19" t="str">
        <f aca="false">IF($A184="","",IF(M184&gt;=0,"盈利","亏损"))</f>
        <v/>
      </c>
      <c r="AA184" s="19" t="str">
        <f aca="false">IF($A184="","",IF(OR(Q184="是",M184&lt;=-8%,V184="是",X184="是"),"卖出",IF(Y184="是","减仓",IF(W184="是","观察","持有"))))</f>
        <v/>
      </c>
      <c r="AB184" s="19" t="str">
        <f aca="false">IF($A184="","",IF(D184="是",IF(I184&lt;=E184*0.92,"立即卖出(WAIVED止损)","继续持有(WAIVED)"),IF(OR(M184&lt;=-10%,Q184="是"),"立即卖出",IF(OR(AA184="卖出",V184="是",X184="是"),"次日卖出",IF(AND(Y184="是",NOT(OR(Q184="是",M184&lt;=-8%,V184="是",X184="是"))),"减仓至上限",IF(W184="是","观察","继续持有"))))))</f>
        <v/>
      </c>
      <c r="AC184" s="19" t="str">
        <f aca="false">IF($A184="","",IF(Q184="是","触发止损",IF(M184&lt;=-8%,"固定止损",IF(V184="是","信号失效",IF(X184="是","确认一卖",IF(Y184="是","单股超限",IF(W184="是","DL_P弱化","规则内持有")))))))</f>
        <v/>
      </c>
      <c r="AD184" s="5"/>
    </row>
    <row r="185" customFormat="false" ht="15" hidden="false" customHeight="true" outlineLevel="0" collapsed="false">
      <c r="A185" s="7"/>
      <c r="B185" s="7"/>
      <c r="C185" s="7"/>
      <c r="D185" s="12"/>
      <c r="E185" s="24"/>
      <c r="F185" s="7"/>
      <c r="G185" s="25"/>
      <c r="H185" s="24"/>
      <c r="I185" s="24"/>
      <c r="J185" s="15" t="n">
        <f aca="false">IFERROR(G185*I185,0)</f>
        <v>0</v>
      </c>
      <c r="K185" s="15" t="n">
        <f aca="false">IFERROR(G185*H185,0)</f>
        <v>0</v>
      </c>
      <c r="L185" s="15" t="n">
        <f aca="false">IFERROR(J185-K185,0)</f>
        <v>0</v>
      </c>
      <c r="M185" s="16" t="n">
        <f aca="false">IFERROR((I185-H185)/H185,0)</f>
        <v>0</v>
      </c>
      <c r="N185" s="16" t="n">
        <f aca="false">IFERROR(J185/INDEX(账户总表!$B:$B,MATCH($A185,账户总表!$A:$A,0)),0)</f>
        <v>0</v>
      </c>
      <c r="O185" s="24"/>
      <c r="P185" s="15" t="str">
        <f aca="false">IF($A185="","",IF($D185="是",IF(E185&gt;0,E185*0.92,MAX(O185*0.98,H185*0.92)),MAX(O185*0.98,H185*0.92)))</f>
        <v/>
      </c>
      <c r="Q185" s="4" t="str">
        <f aca="false">IF($A185="","",IF(AND(I185&gt;0,P185&gt;0,I185&lt;=P185),"是","否"))</f>
        <v/>
      </c>
      <c r="R185" s="26"/>
      <c r="S185" s="7"/>
      <c r="T185" s="7"/>
      <c r="U185" s="7"/>
      <c r="V185" s="19" t="str">
        <f aca="false">IF($A185="","",IF(OR(AND(O185&gt;0,I185&lt;O185),AND(T185="False",S185&lt;0.8)),"是","否"))</f>
        <v/>
      </c>
      <c r="W185" s="19" t="str">
        <f aca="false">IF($A185="","",IF(AND(I185&lt;H185,S185&lt;0.8),"是","否"))</f>
        <v/>
      </c>
      <c r="X185" s="19" t="str">
        <f aca="false">IF($A185="","",IF(AND(R185&lt;60%,S185&gt;0.8,T185="True",U185="一卖"),"是","否"))</f>
        <v/>
      </c>
      <c r="Y185" s="19" t="str">
        <f aca="false">IF($A185="","",IF(D185="是","否",IF(N185&gt;LOOKUP(2,1/(账户总表!$A:$A&lt;&gt;""),账户总表!$O:$O),"是","否")))</f>
        <v/>
      </c>
      <c r="Z185" s="19" t="str">
        <f aca="false">IF($A185="","",IF(M185&gt;=0,"盈利","亏损"))</f>
        <v/>
      </c>
      <c r="AA185" s="19" t="str">
        <f aca="false">IF($A185="","",IF(OR(Q185="是",M185&lt;=-8%,V185="是",X185="是"),"卖出",IF(Y185="是","减仓",IF(W185="是","观察","持有"))))</f>
        <v/>
      </c>
      <c r="AB185" s="19" t="str">
        <f aca="false">IF($A185="","",IF(D185="是",IF(I185&lt;=E185*0.92,"立即卖出(WAIVED止损)","继续持有(WAIVED)"),IF(OR(M185&lt;=-10%,Q185="是"),"立即卖出",IF(OR(AA185="卖出",V185="是",X185="是"),"次日卖出",IF(AND(Y185="是",NOT(OR(Q185="是",M185&lt;=-8%,V185="是",X185="是"))),"减仓至上限",IF(W185="是","观察","继续持有"))))))</f>
        <v/>
      </c>
      <c r="AC185" s="19" t="str">
        <f aca="false">IF($A185="","",IF(Q185="是","触发止损",IF(M185&lt;=-8%,"固定止损",IF(V185="是","信号失效",IF(X185="是","确认一卖",IF(Y185="是","单股超限",IF(W185="是","DL_P弱化","规则内持有")))))))</f>
        <v/>
      </c>
      <c r="AD185" s="7"/>
    </row>
    <row r="186" customFormat="false" ht="15" hidden="false" customHeight="true" outlineLevel="0" collapsed="false">
      <c r="A186" s="5"/>
      <c r="B186" s="5"/>
      <c r="C186" s="5"/>
      <c r="D186" s="11"/>
      <c r="E186" s="14"/>
      <c r="F186" s="5"/>
      <c r="G186" s="17"/>
      <c r="H186" s="14"/>
      <c r="I186" s="14"/>
      <c r="J186" s="15" t="n">
        <f aca="false">IFERROR(G186*I186,0)</f>
        <v>0</v>
      </c>
      <c r="K186" s="15" t="n">
        <f aca="false">IFERROR(G186*H186,0)</f>
        <v>0</v>
      </c>
      <c r="L186" s="15" t="n">
        <f aca="false">IFERROR(J186-K186,0)</f>
        <v>0</v>
      </c>
      <c r="M186" s="16" t="n">
        <f aca="false">IFERROR((I186-H186)/H186,0)</f>
        <v>0</v>
      </c>
      <c r="N186" s="16" t="n">
        <f aca="false">IFERROR(J186/INDEX(账户总表!$B:$B,MATCH($A186,账户总表!$A:$A,0)),0)</f>
        <v>0</v>
      </c>
      <c r="O186" s="14"/>
      <c r="P186" s="15" t="str">
        <f aca="false">IF($A186="","",IF($D186="是",IF(E186&gt;0,E186*0.92,MAX(O186*0.98,H186*0.92)),MAX(O186*0.98,H186*0.92)))</f>
        <v/>
      </c>
      <c r="Q186" s="4" t="str">
        <f aca="false">IF($A186="","",IF(AND(I186&gt;0,P186&gt;0,I186&lt;=P186),"是","否"))</f>
        <v/>
      </c>
      <c r="R186" s="20"/>
      <c r="S186" s="5"/>
      <c r="T186" s="5"/>
      <c r="U186" s="5"/>
      <c r="V186" s="19" t="str">
        <f aca="false">IF($A186="","",IF(OR(AND(O186&gt;0,I186&lt;O186),AND(T186="False",S186&lt;0.8)),"是","否"))</f>
        <v/>
      </c>
      <c r="W186" s="19" t="str">
        <f aca="false">IF($A186="","",IF(AND(I186&lt;H186,S186&lt;0.8),"是","否"))</f>
        <v/>
      </c>
      <c r="X186" s="19" t="str">
        <f aca="false">IF($A186="","",IF(AND(R186&lt;60%,S186&gt;0.8,T186="True",U186="一卖"),"是","否"))</f>
        <v/>
      </c>
      <c r="Y186" s="19" t="str">
        <f aca="false">IF($A186="","",IF(D186="是","否",IF(N186&gt;LOOKUP(2,1/(账户总表!$A:$A&lt;&gt;""),账户总表!$O:$O),"是","否")))</f>
        <v/>
      </c>
      <c r="Z186" s="19" t="str">
        <f aca="false">IF($A186="","",IF(M186&gt;=0,"盈利","亏损"))</f>
        <v/>
      </c>
      <c r="AA186" s="19" t="str">
        <f aca="false">IF($A186="","",IF(OR(Q186="是",M186&lt;=-8%,V186="是",X186="是"),"卖出",IF(Y186="是","减仓",IF(W186="是","观察","持有"))))</f>
        <v/>
      </c>
      <c r="AB186" s="19" t="str">
        <f aca="false">IF($A186="","",IF(D186="是",IF(I186&lt;=E186*0.92,"立即卖出(WAIVED止损)","继续持有(WAIVED)"),IF(OR(M186&lt;=-10%,Q186="是"),"立即卖出",IF(OR(AA186="卖出",V186="是",X186="是"),"次日卖出",IF(AND(Y186="是",NOT(OR(Q186="是",M186&lt;=-8%,V186="是",X186="是"))),"减仓至上限",IF(W186="是","观察","继续持有"))))))</f>
        <v/>
      </c>
      <c r="AC186" s="19" t="str">
        <f aca="false">IF($A186="","",IF(Q186="是","触发止损",IF(M186&lt;=-8%,"固定止损",IF(V186="是","信号失效",IF(X186="是","确认一卖",IF(Y186="是","单股超限",IF(W186="是","DL_P弱化","规则内持有")))))))</f>
        <v/>
      </c>
      <c r="AD186" s="5"/>
    </row>
    <row r="187" customFormat="false" ht="15" hidden="false" customHeight="true" outlineLevel="0" collapsed="false">
      <c r="A187" s="7"/>
      <c r="B187" s="7"/>
      <c r="C187" s="7"/>
      <c r="D187" s="12"/>
      <c r="E187" s="24"/>
      <c r="F187" s="7"/>
      <c r="G187" s="25"/>
      <c r="H187" s="24"/>
      <c r="I187" s="24"/>
      <c r="J187" s="15" t="n">
        <f aca="false">IFERROR(G187*I187,0)</f>
        <v>0</v>
      </c>
      <c r="K187" s="15" t="n">
        <f aca="false">IFERROR(G187*H187,0)</f>
        <v>0</v>
      </c>
      <c r="L187" s="15" t="n">
        <f aca="false">IFERROR(J187-K187,0)</f>
        <v>0</v>
      </c>
      <c r="M187" s="16" t="n">
        <f aca="false">IFERROR((I187-H187)/H187,0)</f>
        <v>0</v>
      </c>
      <c r="N187" s="16" t="n">
        <f aca="false">IFERROR(J187/INDEX(账户总表!$B:$B,MATCH($A187,账户总表!$A:$A,0)),0)</f>
        <v>0</v>
      </c>
      <c r="O187" s="24"/>
      <c r="P187" s="15" t="str">
        <f aca="false">IF($A187="","",IF($D187="是",IF(E187&gt;0,E187*0.92,MAX(O187*0.98,H187*0.92)),MAX(O187*0.98,H187*0.92)))</f>
        <v/>
      </c>
      <c r="Q187" s="4" t="str">
        <f aca="false">IF($A187="","",IF(AND(I187&gt;0,P187&gt;0,I187&lt;=P187),"是","否"))</f>
        <v/>
      </c>
      <c r="R187" s="26"/>
      <c r="S187" s="7"/>
      <c r="T187" s="7"/>
      <c r="U187" s="7"/>
      <c r="V187" s="19" t="str">
        <f aca="false">IF($A187="","",IF(OR(AND(O187&gt;0,I187&lt;O187),AND(T187="False",S187&lt;0.8)),"是","否"))</f>
        <v/>
      </c>
      <c r="W187" s="19" t="str">
        <f aca="false">IF($A187="","",IF(AND(I187&lt;H187,S187&lt;0.8),"是","否"))</f>
        <v/>
      </c>
      <c r="X187" s="19" t="str">
        <f aca="false">IF($A187="","",IF(AND(R187&lt;60%,S187&gt;0.8,T187="True",U187="一卖"),"是","否"))</f>
        <v/>
      </c>
      <c r="Y187" s="19" t="str">
        <f aca="false">IF($A187="","",IF(D187="是","否",IF(N187&gt;LOOKUP(2,1/(账户总表!$A:$A&lt;&gt;""),账户总表!$O:$O),"是","否")))</f>
        <v/>
      </c>
      <c r="Z187" s="19" t="str">
        <f aca="false">IF($A187="","",IF(M187&gt;=0,"盈利","亏损"))</f>
        <v/>
      </c>
      <c r="AA187" s="19" t="str">
        <f aca="false">IF($A187="","",IF(OR(Q187="是",M187&lt;=-8%,V187="是",X187="是"),"卖出",IF(Y187="是","减仓",IF(W187="是","观察","持有"))))</f>
        <v/>
      </c>
      <c r="AB187" s="19" t="str">
        <f aca="false">IF($A187="","",IF(D187="是",IF(I187&lt;=E187*0.92,"立即卖出(WAIVED止损)","继续持有(WAIVED)"),IF(OR(M187&lt;=-10%,Q187="是"),"立即卖出",IF(OR(AA187="卖出",V187="是",X187="是"),"次日卖出",IF(AND(Y187="是",NOT(OR(Q187="是",M187&lt;=-8%,V187="是",X187="是"))),"减仓至上限",IF(W187="是","观察","继续持有"))))))</f>
        <v/>
      </c>
      <c r="AC187" s="19" t="str">
        <f aca="false">IF($A187="","",IF(Q187="是","触发止损",IF(M187&lt;=-8%,"固定止损",IF(V187="是","信号失效",IF(X187="是","确认一卖",IF(Y187="是","单股超限",IF(W187="是","DL_P弱化","规则内持有")))))))</f>
        <v/>
      </c>
      <c r="AD187" s="7"/>
    </row>
    <row r="188" customFormat="false" ht="15" hidden="false" customHeight="true" outlineLevel="0" collapsed="false">
      <c r="A188" s="5"/>
      <c r="B188" s="5"/>
      <c r="C188" s="5"/>
      <c r="D188" s="11"/>
      <c r="E188" s="14"/>
      <c r="F188" s="5"/>
      <c r="G188" s="17"/>
      <c r="H188" s="14"/>
      <c r="I188" s="14"/>
      <c r="J188" s="15" t="n">
        <f aca="false">IFERROR(G188*I188,0)</f>
        <v>0</v>
      </c>
      <c r="K188" s="15" t="n">
        <f aca="false">IFERROR(G188*H188,0)</f>
        <v>0</v>
      </c>
      <c r="L188" s="15" t="n">
        <f aca="false">IFERROR(J188-K188,0)</f>
        <v>0</v>
      </c>
      <c r="M188" s="16" t="n">
        <f aca="false">IFERROR((I188-H188)/H188,0)</f>
        <v>0</v>
      </c>
      <c r="N188" s="16" t="n">
        <f aca="false">IFERROR(J188/INDEX(账户总表!$B:$B,MATCH($A188,账户总表!$A:$A,0)),0)</f>
        <v>0</v>
      </c>
      <c r="O188" s="14"/>
      <c r="P188" s="15" t="str">
        <f aca="false">IF($A188="","",IF($D188="是",IF(E188&gt;0,E188*0.92,MAX(O188*0.98,H188*0.92)),MAX(O188*0.98,H188*0.92)))</f>
        <v/>
      </c>
      <c r="Q188" s="4" t="str">
        <f aca="false">IF($A188="","",IF(AND(I188&gt;0,P188&gt;0,I188&lt;=P188),"是","否"))</f>
        <v/>
      </c>
      <c r="R188" s="20"/>
      <c r="S188" s="5"/>
      <c r="T188" s="5"/>
      <c r="U188" s="5"/>
      <c r="V188" s="19" t="str">
        <f aca="false">IF($A188="","",IF(OR(AND(O188&gt;0,I188&lt;O188),AND(T188="False",S188&lt;0.8)),"是","否"))</f>
        <v/>
      </c>
      <c r="W188" s="19" t="str">
        <f aca="false">IF($A188="","",IF(AND(I188&lt;H188,S188&lt;0.8),"是","否"))</f>
        <v/>
      </c>
      <c r="X188" s="19" t="str">
        <f aca="false">IF($A188="","",IF(AND(R188&lt;60%,S188&gt;0.8,T188="True",U188="一卖"),"是","否"))</f>
        <v/>
      </c>
      <c r="Y188" s="19" t="str">
        <f aca="false">IF($A188="","",IF(D188="是","否",IF(N188&gt;LOOKUP(2,1/(账户总表!$A:$A&lt;&gt;""),账户总表!$O:$O),"是","否")))</f>
        <v/>
      </c>
      <c r="Z188" s="19" t="str">
        <f aca="false">IF($A188="","",IF(M188&gt;=0,"盈利","亏损"))</f>
        <v/>
      </c>
      <c r="AA188" s="19" t="str">
        <f aca="false">IF($A188="","",IF(OR(Q188="是",M188&lt;=-8%,V188="是",X188="是"),"卖出",IF(Y188="是","减仓",IF(W188="是","观察","持有"))))</f>
        <v/>
      </c>
      <c r="AB188" s="19" t="str">
        <f aca="false">IF($A188="","",IF(D188="是",IF(I188&lt;=E188*0.92,"立即卖出(WAIVED止损)","继续持有(WAIVED)"),IF(OR(M188&lt;=-10%,Q188="是"),"立即卖出",IF(OR(AA188="卖出",V188="是",X188="是"),"次日卖出",IF(AND(Y188="是",NOT(OR(Q188="是",M188&lt;=-8%,V188="是",X188="是"))),"减仓至上限",IF(W188="是","观察","继续持有"))))))</f>
        <v/>
      </c>
      <c r="AC188" s="19" t="str">
        <f aca="false">IF($A188="","",IF(Q188="是","触发止损",IF(M188&lt;=-8%,"固定止损",IF(V188="是","信号失效",IF(X188="是","确认一卖",IF(Y188="是","单股超限",IF(W188="是","DL_P弱化","规则内持有")))))))</f>
        <v/>
      </c>
      <c r="AD188" s="5"/>
    </row>
    <row r="189" customFormat="false" ht="15" hidden="false" customHeight="true" outlineLevel="0" collapsed="false">
      <c r="A189" s="7"/>
      <c r="B189" s="7"/>
      <c r="C189" s="7"/>
      <c r="D189" s="12"/>
      <c r="E189" s="24"/>
      <c r="F189" s="7"/>
      <c r="G189" s="25"/>
      <c r="H189" s="24"/>
      <c r="I189" s="24"/>
      <c r="J189" s="15" t="n">
        <f aca="false">IFERROR(G189*I189,0)</f>
        <v>0</v>
      </c>
      <c r="K189" s="15" t="n">
        <f aca="false">IFERROR(G189*H189,0)</f>
        <v>0</v>
      </c>
      <c r="L189" s="15" t="n">
        <f aca="false">IFERROR(J189-K189,0)</f>
        <v>0</v>
      </c>
      <c r="M189" s="16" t="n">
        <f aca="false">IFERROR((I189-H189)/H189,0)</f>
        <v>0</v>
      </c>
      <c r="N189" s="16" t="n">
        <f aca="false">IFERROR(J189/INDEX(账户总表!$B:$B,MATCH($A189,账户总表!$A:$A,0)),0)</f>
        <v>0</v>
      </c>
      <c r="O189" s="24"/>
      <c r="P189" s="15" t="str">
        <f aca="false">IF($A189="","",IF($D189="是",IF(E189&gt;0,E189*0.92,MAX(O189*0.98,H189*0.92)),MAX(O189*0.98,H189*0.92)))</f>
        <v/>
      </c>
      <c r="Q189" s="4" t="str">
        <f aca="false">IF($A189="","",IF(AND(I189&gt;0,P189&gt;0,I189&lt;=P189),"是","否"))</f>
        <v/>
      </c>
      <c r="R189" s="26"/>
      <c r="S189" s="7"/>
      <c r="T189" s="7"/>
      <c r="U189" s="7"/>
      <c r="V189" s="19" t="str">
        <f aca="false">IF($A189="","",IF(OR(AND(O189&gt;0,I189&lt;O189),AND(T189="False",S189&lt;0.8)),"是","否"))</f>
        <v/>
      </c>
      <c r="W189" s="19" t="str">
        <f aca="false">IF($A189="","",IF(AND(I189&lt;H189,S189&lt;0.8),"是","否"))</f>
        <v/>
      </c>
      <c r="X189" s="19" t="str">
        <f aca="false">IF($A189="","",IF(AND(R189&lt;60%,S189&gt;0.8,T189="True",U189="一卖"),"是","否"))</f>
        <v/>
      </c>
      <c r="Y189" s="19" t="str">
        <f aca="false">IF($A189="","",IF(D189="是","否",IF(N189&gt;LOOKUP(2,1/(账户总表!$A:$A&lt;&gt;""),账户总表!$O:$O),"是","否")))</f>
        <v/>
      </c>
      <c r="Z189" s="19" t="str">
        <f aca="false">IF($A189="","",IF(M189&gt;=0,"盈利","亏损"))</f>
        <v/>
      </c>
      <c r="AA189" s="19" t="str">
        <f aca="false">IF($A189="","",IF(OR(Q189="是",M189&lt;=-8%,V189="是",X189="是"),"卖出",IF(Y189="是","减仓",IF(W189="是","观察","持有"))))</f>
        <v/>
      </c>
      <c r="AB189" s="19" t="str">
        <f aca="false">IF($A189="","",IF(D189="是",IF(I189&lt;=E189*0.92,"立即卖出(WAIVED止损)","继续持有(WAIVED)"),IF(OR(M189&lt;=-10%,Q189="是"),"立即卖出",IF(OR(AA189="卖出",V189="是",X189="是"),"次日卖出",IF(AND(Y189="是",NOT(OR(Q189="是",M189&lt;=-8%,V189="是",X189="是"))),"减仓至上限",IF(W189="是","观察","继续持有"))))))</f>
        <v/>
      </c>
      <c r="AC189" s="19" t="str">
        <f aca="false">IF($A189="","",IF(Q189="是","触发止损",IF(M189&lt;=-8%,"固定止损",IF(V189="是","信号失效",IF(X189="是","确认一卖",IF(Y189="是","单股超限",IF(W189="是","DL_P弱化","规则内持有")))))))</f>
        <v/>
      </c>
      <c r="AD189" s="7"/>
    </row>
    <row r="190" customFormat="false" ht="15" hidden="false" customHeight="true" outlineLevel="0" collapsed="false">
      <c r="A190" s="5"/>
      <c r="B190" s="5"/>
      <c r="C190" s="5"/>
      <c r="D190" s="11"/>
      <c r="E190" s="14"/>
      <c r="F190" s="5"/>
      <c r="G190" s="17"/>
      <c r="H190" s="14"/>
      <c r="I190" s="14"/>
      <c r="J190" s="15" t="n">
        <f aca="false">IFERROR(G190*I190,0)</f>
        <v>0</v>
      </c>
      <c r="K190" s="15" t="n">
        <f aca="false">IFERROR(G190*H190,0)</f>
        <v>0</v>
      </c>
      <c r="L190" s="15" t="n">
        <f aca="false">IFERROR(J190-K190,0)</f>
        <v>0</v>
      </c>
      <c r="M190" s="16" t="n">
        <f aca="false">IFERROR((I190-H190)/H190,0)</f>
        <v>0</v>
      </c>
      <c r="N190" s="16" t="n">
        <f aca="false">IFERROR(J190/INDEX(账户总表!$B:$B,MATCH($A190,账户总表!$A:$A,0)),0)</f>
        <v>0</v>
      </c>
      <c r="O190" s="14"/>
      <c r="P190" s="15" t="str">
        <f aca="false">IF($A190="","",IF($D190="是",IF(E190&gt;0,E190*0.92,MAX(O190*0.98,H190*0.92)),MAX(O190*0.98,H190*0.92)))</f>
        <v/>
      </c>
      <c r="Q190" s="4" t="str">
        <f aca="false">IF($A190="","",IF(AND(I190&gt;0,P190&gt;0,I190&lt;=P190),"是","否"))</f>
        <v/>
      </c>
      <c r="R190" s="20"/>
      <c r="S190" s="5"/>
      <c r="T190" s="5"/>
      <c r="U190" s="5"/>
      <c r="V190" s="19" t="str">
        <f aca="false">IF($A190="","",IF(OR(AND(O190&gt;0,I190&lt;O190),AND(T190="False",S190&lt;0.8)),"是","否"))</f>
        <v/>
      </c>
      <c r="W190" s="19" t="str">
        <f aca="false">IF($A190="","",IF(AND(I190&lt;H190,S190&lt;0.8),"是","否"))</f>
        <v/>
      </c>
      <c r="X190" s="19" t="str">
        <f aca="false">IF($A190="","",IF(AND(R190&lt;60%,S190&gt;0.8,T190="True",U190="一卖"),"是","否"))</f>
        <v/>
      </c>
      <c r="Y190" s="19" t="str">
        <f aca="false">IF($A190="","",IF(D190="是","否",IF(N190&gt;LOOKUP(2,1/(账户总表!$A:$A&lt;&gt;""),账户总表!$O:$O),"是","否")))</f>
        <v/>
      </c>
      <c r="Z190" s="19" t="str">
        <f aca="false">IF($A190="","",IF(M190&gt;=0,"盈利","亏损"))</f>
        <v/>
      </c>
      <c r="AA190" s="19" t="str">
        <f aca="false">IF($A190="","",IF(OR(Q190="是",M190&lt;=-8%,V190="是",X190="是"),"卖出",IF(Y190="是","减仓",IF(W190="是","观察","持有"))))</f>
        <v/>
      </c>
      <c r="AB190" s="19" t="str">
        <f aca="false">IF($A190="","",IF(D190="是",IF(I190&lt;=E190*0.92,"立即卖出(WAIVED止损)","继续持有(WAIVED)"),IF(OR(M190&lt;=-10%,Q190="是"),"立即卖出",IF(OR(AA190="卖出",V190="是",X190="是"),"次日卖出",IF(AND(Y190="是",NOT(OR(Q190="是",M190&lt;=-8%,V190="是",X190="是"))),"减仓至上限",IF(W190="是","观察","继续持有"))))))</f>
        <v/>
      </c>
      <c r="AC190" s="19" t="str">
        <f aca="false">IF($A190="","",IF(Q190="是","触发止损",IF(M190&lt;=-8%,"固定止损",IF(V190="是","信号失效",IF(X190="是","确认一卖",IF(Y190="是","单股超限",IF(W190="是","DL_P弱化","规则内持有")))))))</f>
        <v/>
      </c>
      <c r="AD190" s="5"/>
    </row>
    <row r="191" customFormat="false" ht="15" hidden="false" customHeight="true" outlineLevel="0" collapsed="false">
      <c r="A191" s="7"/>
      <c r="B191" s="7"/>
      <c r="C191" s="7"/>
      <c r="D191" s="12"/>
      <c r="E191" s="24"/>
      <c r="F191" s="7"/>
      <c r="G191" s="25"/>
      <c r="H191" s="24"/>
      <c r="I191" s="24"/>
      <c r="J191" s="15" t="n">
        <f aca="false">IFERROR(G191*I191,0)</f>
        <v>0</v>
      </c>
      <c r="K191" s="15" t="n">
        <f aca="false">IFERROR(G191*H191,0)</f>
        <v>0</v>
      </c>
      <c r="L191" s="15" t="n">
        <f aca="false">IFERROR(J191-K191,0)</f>
        <v>0</v>
      </c>
      <c r="M191" s="16" t="n">
        <f aca="false">IFERROR((I191-H191)/H191,0)</f>
        <v>0</v>
      </c>
      <c r="N191" s="16" t="n">
        <f aca="false">IFERROR(J191/INDEX(账户总表!$B:$B,MATCH($A191,账户总表!$A:$A,0)),0)</f>
        <v>0</v>
      </c>
      <c r="O191" s="24"/>
      <c r="P191" s="15" t="str">
        <f aca="false">IF($A191="","",IF($D191="是",IF(E191&gt;0,E191*0.92,MAX(O191*0.98,H191*0.92)),MAX(O191*0.98,H191*0.92)))</f>
        <v/>
      </c>
      <c r="Q191" s="4" t="str">
        <f aca="false">IF($A191="","",IF(AND(I191&gt;0,P191&gt;0,I191&lt;=P191),"是","否"))</f>
        <v/>
      </c>
      <c r="R191" s="26"/>
      <c r="S191" s="7"/>
      <c r="T191" s="7"/>
      <c r="U191" s="7"/>
      <c r="V191" s="19" t="str">
        <f aca="false">IF($A191="","",IF(OR(AND(O191&gt;0,I191&lt;O191),AND(T191="False",S191&lt;0.8)),"是","否"))</f>
        <v/>
      </c>
      <c r="W191" s="19" t="str">
        <f aca="false">IF($A191="","",IF(AND(I191&lt;H191,S191&lt;0.8),"是","否"))</f>
        <v/>
      </c>
      <c r="X191" s="19" t="str">
        <f aca="false">IF($A191="","",IF(AND(R191&lt;60%,S191&gt;0.8,T191="True",U191="一卖"),"是","否"))</f>
        <v/>
      </c>
      <c r="Y191" s="19" t="str">
        <f aca="false">IF($A191="","",IF(D191="是","否",IF(N191&gt;LOOKUP(2,1/(账户总表!$A:$A&lt;&gt;""),账户总表!$O:$O),"是","否")))</f>
        <v/>
      </c>
      <c r="Z191" s="19" t="str">
        <f aca="false">IF($A191="","",IF(M191&gt;=0,"盈利","亏损"))</f>
        <v/>
      </c>
      <c r="AA191" s="19" t="str">
        <f aca="false">IF($A191="","",IF(OR(Q191="是",M191&lt;=-8%,V191="是",X191="是"),"卖出",IF(Y191="是","减仓",IF(W191="是","观察","持有"))))</f>
        <v/>
      </c>
      <c r="AB191" s="19" t="str">
        <f aca="false">IF($A191="","",IF(D191="是",IF(I191&lt;=E191*0.92,"立即卖出(WAIVED止损)","继续持有(WAIVED)"),IF(OR(M191&lt;=-10%,Q191="是"),"立即卖出",IF(OR(AA191="卖出",V191="是",X191="是"),"次日卖出",IF(AND(Y191="是",NOT(OR(Q191="是",M191&lt;=-8%,V191="是",X191="是"))),"减仓至上限",IF(W191="是","观察","继续持有"))))))</f>
        <v/>
      </c>
      <c r="AC191" s="19" t="str">
        <f aca="false">IF($A191="","",IF(Q191="是","触发止损",IF(M191&lt;=-8%,"固定止损",IF(V191="是","信号失效",IF(X191="是","确认一卖",IF(Y191="是","单股超限",IF(W191="是","DL_P弱化","规则内持有")))))))</f>
        <v/>
      </c>
      <c r="AD191" s="7"/>
    </row>
    <row r="192" customFormat="false" ht="15" hidden="false" customHeight="true" outlineLevel="0" collapsed="false">
      <c r="A192" s="5"/>
      <c r="B192" s="5"/>
      <c r="C192" s="5"/>
      <c r="D192" s="11"/>
      <c r="E192" s="14"/>
      <c r="F192" s="5"/>
      <c r="G192" s="17"/>
      <c r="H192" s="14"/>
      <c r="I192" s="14"/>
      <c r="J192" s="15" t="n">
        <f aca="false">IFERROR(G192*I192,0)</f>
        <v>0</v>
      </c>
      <c r="K192" s="15" t="n">
        <f aca="false">IFERROR(G192*H192,0)</f>
        <v>0</v>
      </c>
      <c r="L192" s="15" t="n">
        <f aca="false">IFERROR(J192-K192,0)</f>
        <v>0</v>
      </c>
      <c r="M192" s="16" t="n">
        <f aca="false">IFERROR((I192-H192)/H192,0)</f>
        <v>0</v>
      </c>
      <c r="N192" s="16" t="n">
        <f aca="false">IFERROR(J192/INDEX(账户总表!$B:$B,MATCH($A192,账户总表!$A:$A,0)),0)</f>
        <v>0</v>
      </c>
      <c r="O192" s="14"/>
      <c r="P192" s="15" t="str">
        <f aca="false">IF($A192="","",IF($D192="是",IF(E192&gt;0,E192*0.92,MAX(O192*0.98,H192*0.92)),MAX(O192*0.98,H192*0.92)))</f>
        <v/>
      </c>
      <c r="Q192" s="4" t="str">
        <f aca="false">IF($A192="","",IF(AND(I192&gt;0,P192&gt;0,I192&lt;=P192),"是","否"))</f>
        <v/>
      </c>
      <c r="R192" s="20"/>
      <c r="S192" s="5"/>
      <c r="T192" s="5"/>
      <c r="U192" s="5"/>
      <c r="V192" s="19" t="str">
        <f aca="false">IF($A192="","",IF(OR(AND(O192&gt;0,I192&lt;O192),AND(T192="False",S192&lt;0.8)),"是","否"))</f>
        <v/>
      </c>
      <c r="W192" s="19" t="str">
        <f aca="false">IF($A192="","",IF(AND(I192&lt;H192,S192&lt;0.8),"是","否"))</f>
        <v/>
      </c>
      <c r="X192" s="19" t="str">
        <f aca="false">IF($A192="","",IF(AND(R192&lt;60%,S192&gt;0.8,T192="True",U192="一卖"),"是","否"))</f>
        <v/>
      </c>
      <c r="Y192" s="19" t="str">
        <f aca="false">IF($A192="","",IF(D192="是","否",IF(N192&gt;LOOKUP(2,1/(账户总表!$A:$A&lt;&gt;""),账户总表!$O:$O),"是","否")))</f>
        <v/>
      </c>
      <c r="Z192" s="19" t="str">
        <f aca="false">IF($A192="","",IF(M192&gt;=0,"盈利","亏损"))</f>
        <v/>
      </c>
      <c r="AA192" s="19" t="str">
        <f aca="false">IF($A192="","",IF(OR(Q192="是",M192&lt;=-8%,V192="是",X192="是"),"卖出",IF(Y192="是","减仓",IF(W192="是","观察","持有"))))</f>
        <v/>
      </c>
      <c r="AB192" s="19" t="str">
        <f aca="false">IF($A192="","",IF(D192="是",IF(I192&lt;=E192*0.92,"立即卖出(WAIVED止损)","继续持有(WAIVED)"),IF(OR(M192&lt;=-10%,Q192="是"),"立即卖出",IF(OR(AA192="卖出",V192="是",X192="是"),"次日卖出",IF(AND(Y192="是",NOT(OR(Q192="是",M192&lt;=-8%,V192="是",X192="是"))),"减仓至上限",IF(W192="是","观察","继续持有"))))))</f>
        <v/>
      </c>
      <c r="AC192" s="19" t="str">
        <f aca="false">IF($A192="","",IF(Q192="是","触发止损",IF(M192&lt;=-8%,"固定止损",IF(V192="是","信号失效",IF(X192="是","确认一卖",IF(Y192="是","单股超限",IF(W192="是","DL_P弱化","规则内持有")))))))</f>
        <v/>
      </c>
      <c r="AD192" s="5"/>
    </row>
    <row r="193" customFormat="false" ht="15" hidden="false" customHeight="true" outlineLevel="0" collapsed="false">
      <c r="A193" s="7"/>
      <c r="B193" s="7"/>
      <c r="C193" s="7"/>
      <c r="D193" s="12"/>
      <c r="E193" s="24"/>
      <c r="F193" s="7"/>
      <c r="G193" s="25"/>
      <c r="H193" s="24"/>
      <c r="I193" s="24"/>
      <c r="J193" s="15" t="n">
        <f aca="false">IFERROR(G193*I193,0)</f>
        <v>0</v>
      </c>
      <c r="K193" s="15" t="n">
        <f aca="false">IFERROR(G193*H193,0)</f>
        <v>0</v>
      </c>
      <c r="L193" s="15" t="n">
        <f aca="false">IFERROR(J193-K193,0)</f>
        <v>0</v>
      </c>
      <c r="M193" s="16" t="n">
        <f aca="false">IFERROR((I193-H193)/H193,0)</f>
        <v>0</v>
      </c>
      <c r="N193" s="16" t="n">
        <f aca="false">IFERROR(J193/INDEX(账户总表!$B:$B,MATCH($A193,账户总表!$A:$A,0)),0)</f>
        <v>0</v>
      </c>
      <c r="O193" s="24"/>
      <c r="P193" s="15" t="str">
        <f aca="false">IF($A193="","",IF($D193="是",IF(E193&gt;0,E193*0.92,MAX(O193*0.98,H193*0.92)),MAX(O193*0.98,H193*0.92)))</f>
        <v/>
      </c>
      <c r="Q193" s="4" t="str">
        <f aca="false">IF($A193="","",IF(AND(I193&gt;0,P193&gt;0,I193&lt;=P193),"是","否"))</f>
        <v/>
      </c>
      <c r="R193" s="26"/>
      <c r="S193" s="7"/>
      <c r="T193" s="7"/>
      <c r="U193" s="7"/>
      <c r="V193" s="19" t="str">
        <f aca="false">IF($A193="","",IF(OR(AND(O193&gt;0,I193&lt;O193),AND(T193="False",S193&lt;0.8)),"是","否"))</f>
        <v/>
      </c>
      <c r="W193" s="19" t="str">
        <f aca="false">IF($A193="","",IF(AND(I193&lt;H193,S193&lt;0.8),"是","否"))</f>
        <v/>
      </c>
      <c r="X193" s="19" t="str">
        <f aca="false">IF($A193="","",IF(AND(R193&lt;60%,S193&gt;0.8,T193="True",U193="一卖"),"是","否"))</f>
        <v/>
      </c>
      <c r="Y193" s="19" t="str">
        <f aca="false">IF($A193="","",IF(D193="是","否",IF(N193&gt;LOOKUP(2,1/(账户总表!$A:$A&lt;&gt;""),账户总表!$O:$O),"是","否")))</f>
        <v/>
      </c>
      <c r="Z193" s="19" t="str">
        <f aca="false">IF($A193="","",IF(M193&gt;=0,"盈利","亏损"))</f>
        <v/>
      </c>
      <c r="AA193" s="19" t="str">
        <f aca="false">IF($A193="","",IF(OR(Q193="是",M193&lt;=-8%,V193="是",X193="是"),"卖出",IF(Y193="是","减仓",IF(W193="是","观察","持有"))))</f>
        <v/>
      </c>
      <c r="AB193" s="19" t="str">
        <f aca="false">IF($A193="","",IF(D193="是",IF(I193&lt;=E193*0.92,"立即卖出(WAIVED止损)","继续持有(WAIVED)"),IF(OR(M193&lt;=-10%,Q193="是"),"立即卖出",IF(OR(AA193="卖出",V193="是",X193="是"),"次日卖出",IF(AND(Y193="是",NOT(OR(Q193="是",M193&lt;=-8%,V193="是",X193="是"))),"减仓至上限",IF(W193="是","观察","继续持有"))))))</f>
        <v/>
      </c>
      <c r="AC193" s="19" t="str">
        <f aca="false">IF($A193="","",IF(Q193="是","触发止损",IF(M193&lt;=-8%,"固定止损",IF(V193="是","信号失效",IF(X193="是","确认一卖",IF(Y193="是","单股超限",IF(W193="是","DL_P弱化","规则内持有")))))))</f>
        <v/>
      </c>
      <c r="AD193" s="7"/>
    </row>
    <row r="194" customFormat="false" ht="15" hidden="false" customHeight="true" outlineLevel="0" collapsed="false">
      <c r="A194" s="5"/>
      <c r="B194" s="5"/>
      <c r="C194" s="5"/>
      <c r="D194" s="11"/>
      <c r="E194" s="14"/>
      <c r="F194" s="5"/>
      <c r="G194" s="17"/>
      <c r="H194" s="14"/>
      <c r="I194" s="14"/>
      <c r="J194" s="15" t="n">
        <f aca="false">IFERROR(G194*I194,0)</f>
        <v>0</v>
      </c>
      <c r="K194" s="15" t="n">
        <f aca="false">IFERROR(G194*H194,0)</f>
        <v>0</v>
      </c>
      <c r="L194" s="15" t="n">
        <f aca="false">IFERROR(J194-K194,0)</f>
        <v>0</v>
      </c>
      <c r="M194" s="16" t="n">
        <f aca="false">IFERROR((I194-H194)/H194,0)</f>
        <v>0</v>
      </c>
      <c r="N194" s="16" t="n">
        <f aca="false">IFERROR(J194/INDEX(账户总表!$B:$B,MATCH($A194,账户总表!$A:$A,0)),0)</f>
        <v>0</v>
      </c>
      <c r="O194" s="14"/>
      <c r="P194" s="15" t="str">
        <f aca="false">IF($A194="","",IF($D194="是",IF(E194&gt;0,E194*0.92,MAX(O194*0.98,H194*0.92)),MAX(O194*0.98,H194*0.92)))</f>
        <v/>
      </c>
      <c r="Q194" s="4" t="str">
        <f aca="false">IF($A194="","",IF(AND(I194&gt;0,P194&gt;0,I194&lt;=P194),"是","否"))</f>
        <v/>
      </c>
      <c r="R194" s="20"/>
      <c r="S194" s="5"/>
      <c r="T194" s="5"/>
      <c r="U194" s="5"/>
      <c r="V194" s="19" t="str">
        <f aca="false">IF($A194="","",IF(OR(AND(O194&gt;0,I194&lt;O194),AND(T194="False",S194&lt;0.8)),"是","否"))</f>
        <v/>
      </c>
      <c r="W194" s="19" t="str">
        <f aca="false">IF($A194="","",IF(AND(I194&lt;H194,S194&lt;0.8),"是","否"))</f>
        <v/>
      </c>
      <c r="X194" s="19" t="str">
        <f aca="false">IF($A194="","",IF(AND(R194&lt;60%,S194&gt;0.8,T194="True",U194="一卖"),"是","否"))</f>
        <v/>
      </c>
      <c r="Y194" s="19" t="str">
        <f aca="false">IF($A194="","",IF(D194="是","否",IF(N194&gt;LOOKUP(2,1/(账户总表!$A:$A&lt;&gt;""),账户总表!$O:$O),"是","否")))</f>
        <v/>
      </c>
      <c r="Z194" s="19" t="str">
        <f aca="false">IF($A194="","",IF(M194&gt;=0,"盈利","亏损"))</f>
        <v/>
      </c>
      <c r="AA194" s="19" t="str">
        <f aca="false">IF($A194="","",IF(OR(Q194="是",M194&lt;=-8%,V194="是",X194="是"),"卖出",IF(Y194="是","减仓",IF(W194="是","观察","持有"))))</f>
        <v/>
      </c>
      <c r="AB194" s="19" t="str">
        <f aca="false">IF($A194="","",IF(D194="是",IF(I194&lt;=E194*0.92,"立即卖出(WAIVED止损)","继续持有(WAIVED)"),IF(OR(M194&lt;=-10%,Q194="是"),"立即卖出",IF(OR(AA194="卖出",V194="是",X194="是"),"次日卖出",IF(AND(Y194="是",NOT(OR(Q194="是",M194&lt;=-8%,V194="是",X194="是"))),"减仓至上限",IF(W194="是","观察","继续持有"))))))</f>
        <v/>
      </c>
      <c r="AC194" s="19" t="str">
        <f aca="false">IF($A194="","",IF(Q194="是","触发止损",IF(M194&lt;=-8%,"固定止损",IF(V194="是","信号失效",IF(X194="是","确认一卖",IF(Y194="是","单股超限",IF(W194="是","DL_P弱化","规则内持有")))))))</f>
        <v/>
      </c>
      <c r="AD194" s="5"/>
    </row>
    <row r="195" customFormat="false" ht="15" hidden="false" customHeight="true" outlineLevel="0" collapsed="false">
      <c r="A195" s="7"/>
      <c r="B195" s="7"/>
      <c r="C195" s="7"/>
      <c r="D195" s="12"/>
      <c r="E195" s="24"/>
      <c r="F195" s="7"/>
      <c r="G195" s="25"/>
      <c r="H195" s="24"/>
      <c r="I195" s="24"/>
      <c r="J195" s="15" t="n">
        <f aca="false">IFERROR(G195*I195,0)</f>
        <v>0</v>
      </c>
      <c r="K195" s="15" t="n">
        <f aca="false">IFERROR(G195*H195,0)</f>
        <v>0</v>
      </c>
      <c r="L195" s="15" t="n">
        <f aca="false">IFERROR(J195-K195,0)</f>
        <v>0</v>
      </c>
      <c r="M195" s="16" t="n">
        <f aca="false">IFERROR((I195-H195)/H195,0)</f>
        <v>0</v>
      </c>
      <c r="N195" s="16" t="n">
        <f aca="false">IFERROR(J195/INDEX(账户总表!$B:$B,MATCH($A195,账户总表!$A:$A,0)),0)</f>
        <v>0</v>
      </c>
      <c r="O195" s="24"/>
      <c r="P195" s="15" t="str">
        <f aca="false">IF($A195="","",IF($D195="是",IF(E195&gt;0,E195*0.92,MAX(O195*0.98,H195*0.92)),MAX(O195*0.98,H195*0.92)))</f>
        <v/>
      </c>
      <c r="Q195" s="4" t="str">
        <f aca="false">IF($A195="","",IF(AND(I195&gt;0,P195&gt;0,I195&lt;=P195),"是","否"))</f>
        <v/>
      </c>
      <c r="R195" s="26"/>
      <c r="S195" s="7"/>
      <c r="T195" s="7"/>
      <c r="U195" s="7"/>
      <c r="V195" s="19" t="str">
        <f aca="false">IF($A195="","",IF(OR(AND(O195&gt;0,I195&lt;O195),AND(T195="False",S195&lt;0.8)),"是","否"))</f>
        <v/>
      </c>
      <c r="W195" s="19" t="str">
        <f aca="false">IF($A195="","",IF(AND(I195&lt;H195,S195&lt;0.8),"是","否"))</f>
        <v/>
      </c>
      <c r="X195" s="19" t="str">
        <f aca="false">IF($A195="","",IF(AND(R195&lt;60%,S195&gt;0.8,T195="True",U195="一卖"),"是","否"))</f>
        <v/>
      </c>
      <c r="Y195" s="19" t="str">
        <f aca="false">IF($A195="","",IF(D195="是","否",IF(N195&gt;LOOKUP(2,1/(账户总表!$A:$A&lt;&gt;""),账户总表!$O:$O),"是","否")))</f>
        <v/>
      </c>
      <c r="Z195" s="19" t="str">
        <f aca="false">IF($A195="","",IF(M195&gt;=0,"盈利","亏损"))</f>
        <v/>
      </c>
      <c r="AA195" s="19" t="str">
        <f aca="false">IF($A195="","",IF(OR(Q195="是",M195&lt;=-8%,V195="是",X195="是"),"卖出",IF(Y195="是","减仓",IF(W195="是","观察","持有"))))</f>
        <v/>
      </c>
      <c r="AB195" s="19" t="str">
        <f aca="false">IF($A195="","",IF(D195="是",IF(I195&lt;=E195*0.92,"立即卖出(WAIVED止损)","继续持有(WAIVED)"),IF(OR(M195&lt;=-10%,Q195="是"),"立即卖出",IF(OR(AA195="卖出",V195="是",X195="是"),"次日卖出",IF(AND(Y195="是",NOT(OR(Q195="是",M195&lt;=-8%,V195="是",X195="是"))),"减仓至上限",IF(W195="是","观察","继续持有"))))))</f>
        <v/>
      </c>
      <c r="AC195" s="19" t="str">
        <f aca="false">IF($A195="","",IF(Q195="是","触发止损",IF(M195&lt;=-8%,"固定止损",IF(V195="是","信号失效",IF(X195="是","确认一卖",IF(Y195="是","单股超限",IF(W195="是","DL_P弱化","规则内持有")))))))</f>
        <v/>
      </c>
      <c r="AD195" s="7"/>
    </row>
    <row r="196" customFormat="false" ht="15" hidden="false" customHeight="true" outlineLevel="0" collapsed="false">
      <c r="A196" s="5"/>
      <c r="B196" s="5"/>
      <c r="C196" s="5"/>
      <c r="D196" s="11"/>
      <c r="E196" s="14"/>
      <c r="F196" s="5"/>
      <c r="G196" s="17"/>
      <c r="H196" s="14"/>
      <c r="I196" s="14"/>
      <c r="J196" s="15" t="n">
        <f aca="false">IFERROR(G196*I196,0)</f>
        <v>0</v>
      </c>
      <c r="K196" s="15" t="n">
        <f aca="false">IFERROR(G196*H196,0)</f>
        <v>0</v>
      </c>
      <c r="L196" s="15" t="n">
        <f aca="false">IFERROR(J196-K196,0)</f>
        <v>0</v>
      </c>
      <c r="M196" s="16" t="n">
        <f aca="false">IFERROR((I196-H196)/H196,0)</f>
        <v>0</v>
      </c>
      <c r="N196" s="16" t="n">
        <f aca="false">IFERROR(J196/INDEX(账户总表!$B:$B,MATCH($A196,账户总表!$A:$A,0)),0)</f>
        <v>0</v>
      </c>
      <c r="O196" s="14"/>
      <c r="P196" s="15" t="str">
        <f aca="false">IF($A196="","",IF($D196="是",IF(E196&gt;0,E196*0.92,MAX(O196*0.98,H196*0.92)),MAX(O196*0.98,H196*0.92)))</f>
        <v/>
      </c>
      <c r="Q196" s="4" t="str">
        <f aca="false">IF($A196="","",IF(AND(I196&gt;0,P196&gt;0,I196&lt;=P196),"是","否"))</f>
        <v/>
      </c>
      <c r="R196" s="20"/>
      <c r="S196" s="5"/>
      <c r="T196" s="5"/>
      <c r="U196" s="5"/>
      <c r="V196" s="19" t="str">
        <f aca="false">IF($A196="","",IF(OR(AND(O196&gt;0,I196&lt;O196),AND(T196="False",S196&lt;0.8)),"是","否"))</f>
        <v/>
      </c>
      <c r="W196" s="19" t="str">
        <f aca="false">IF($A196="","",IF(AND(I196&lt;H196,S196&lt;0.8),"是","否"))</f>
        <v/>
      </c>
      <c r="X196" s="19" t="str">
        <f aca="false">IF($A196="","",IF(AND(R196&lt;60%,S196&gt;0.8,T196="True",U196="一卖"),"是","否"))</f>
        <v/>
      </c>
      <c r="Y196" s="19" t="str">
        <f aca="false">IF($A196="","",IF(D196="是","否",IF(N196&gt;LOOKUP(2,1/(账户总表!$A:$A&lt;&gt;""),账户总表!$O:$O),"是","否")))</f>
        <v/>
      </c>
      <c r="Z196" s="19" t="str">
        <f aca="false">IF($A196="","",IF(M196&gt;=0,"盈利","亏损"))</f>
        <v/>
      </c>
      <c r="AA196" s="19" t="str">
        <f aca="false">IF($A196="","",IF(OR(Q196="是",M196&lt;=-8%,V196="是",X196="是"),"卖出",IF(Y196="是","减仓",IF(W196="是","观察","持有"))))</f>
        <v/>
      </c>
      <c r="AB196" s="19" t="str">
        <f aca="false">IF($A196="","",IF(D196="是",IF(I196&lt;=E196*0.92,"立即卖出(WAIVED止损)","继续持有(WAIVED)"),IF(OR(M196&lt;=-10%,Q196="是"),"立即卖出",IF(OR(AA196="卖出",V196="是",X196="是"),"次日卖出",IF(AND(Y196="是",NOT(OR(Q196="是",M196&lt;=-8%,V196="是",X196="是"))),"减仓至上限",IF(W196="是","观察","继续持有"))))))</f>
        <v/>
      </c>
      <c r="AC196" s="19" t="str">
        <f aca="false">IF($A196="","",IF(Q196="是","触发止损",IF(M196&lt;=-8%,"固定止损",IF(V196="是","信号失效",IF(X196="是","确认一卖",IF(Y196="是","单股超限",IF(W196="是","DL_P弱化","规则内持有")))))))</f>
        <v/>
      </c>
      <c r="AD196" s="5"/>
    </row>
    <row r="197" customFormat="false" ht="15" hidden="false" customHeight="true" outlineLevel="0" collapsed="false">
      <c r="A197" s="7"/>
      <c r="B197" s="7"/>
      <c r="C197" s="7"/>
      <c r="D197" s="12"/>
      <c r="E197" s="24"/>
      <c r="F197" s="7"/>
      <c r="G197" s="25"/>
      <c r="H197" s="24"/>
      <c r="I197" s="24"/>
      <c r="J197" s="15" t="n">
        <f aca="false">IFERROR(G197*I197,0)</f>
        <v>0</v>
      </c>
      <c r="K197" s="15" t="n">
        <f aca="false">IFERROR(G197*H197,0)</f>
        <v>0</v>
      </c>
      <c r="L197" s="15" t="n">
        <f aca="false">IFERROR(J197-K197,0)</f>
        <v>0</v>
      </c>
      <c r="M197" s="16" t="n">
        <f aca="false">IFERROR((I197-H197)/H197,0)</f>
        <v>0</v>
      </c>
      <c r="N197" s="16" t="n">
        <f aca="false">IFERROR(J197/INDEX(账户总表!$B:$B,MATCH($A197,账户总表!$A:$A,0)),0)</f>
        <v>0</v>
      </c>
      <c r="O197" s="24"/>
      <c r="P197" s="15" t="str">
        <f aca="false">IF($A197="","",IF($D197="是",IF(E197&gt;0,E197*0.92,MAX(O197*0.98,H197*0.92)),MAX(O197*0.98,H197*0.92)))</f>
        <v/>
      </c>
      <c r="Q197" s="4" t="str">
        <f aca="false">IF($A197="","",IF(AND(I197&gt;0,P197&gt;0,I197&lt;=P197),"是","否"))</f>
        <v/>
      </c>
      <c r="R197" s="26"/>
      <c r="S197" s="7"/>
      <c r="T197" s="7"/>
      <c r="U197" s="7"/>
      <c r="V197" s="19" t="str">
        <f aca="false">IF($A197="","",IF(OR(AND(O197&gt;0,I197&lt;O197),AND(T197="False",S197&lt;0.8)),"是","否"))</f>
        <v/>
      </c>
      <c r="W197" s="19" t="str">
        <f aca="false">IF($A197="","",IF(AND(I197&lt;H197,S197&lt;0.8),"是","否"))</f>
        <v/>
      </c>
      <c r="X197" s="19" t="str">
        <f aca="false">IF($A197="","",IF(AND(R197&lt;60%,S197&gt;0.8,T197="True",U197="一卖"),"是","否"))</f>
        <v/>
      </c>
      <c r="Y197" s="19" t="str">
        <f aca="false">IF($A197="","",IF(D197="是","否",IF(N197&gt;LOOKUP(2,1/(账户总表!$A:$A&lt;&gt;""),账户总表!$O:$O),"是","否")))</f>
        <v/>
      </c>
      <c r="Z197" s="19" t="str">
        <f aca="false">IF($A197="","",IF(M197&gt;=0,"盈利","亏损"))</f>
        <v/>
      </c>
      <c r="AA197" s="19" t="str">
        <f aca="false">IF($A197="","",IF(OR(Q197="是",M197&lt;=-8%,V197="是",X197="是"),"卖出",IF(Y197="是","减仓",IF(W197="是","观察","持有"))))</f>
        <v/>
      </c>
      <c r="AB197" s="19" t="str">
        <f aca="false">IF($A197="","",IF(D197="是",IF(I197&lt;=E197*0.92,"立即卖出(WAIVED止损)","继续持有(WAIVED)"),IF(OR(M197&lt;=-10%,Q197="是"),"立即卖出",IF(OR(AA197="卖出",V197="是",X197="是"),"次日卖出",IF(AND(Y197="是",NOT(OR(Q197="是",M197&lt;=-8%,V197="是",X197="是"))),"减仓至上限",IF(W197="是","观察","继续持有"))))))</f>
        <v/>
      </c>
      <c r="AC197" s="19" t="str">
        <f aca="false">IF($A197="","",IF(Q197="是","触发止损",IF(M197&lt;=-8%,"固定止损",IF(V197="是","信号失效",IF(X197="是","确认一卖",IF(Y197="是","单股超限",IF(W197="是","DL_P弱化","规则内持有")))))))</f>
        <v/>
      </c>
      <c r="AD197" s="7"/>
    </row>
    <row r="198" customFormat="false" ht="15" hidden="false" customHeight="true" outlineLevel="0" collapsed="false">
      <c r="A198" s="5"/>
      <c r="B198" s="5"/>
      <c r="C198" s="5"/>
      <c r="D198" s="11"/>
      <c r="E198" s="14"/>
      <c r="F198" s="5"/>
      <c r="G198" s="17"/>
      <c r="H198" s="14"/>
      <c r="I198" s="14"/>
      <c r="J198" s="15" t="n">
        <f aca="false">IFERROR(G198*I198,0)</f>
        <v>0</v>
      </c>
      <c r="K198" s="15" t="n">
        <f aca="false">IFERROR(G198*H198,0)</f>
        <v>0</v>
      </c>
      <c r="L198" s="15" t="n">
        <f aca="false">IFERROR(J198-K198,0)</f>
        <v>0</v>
      </c>
      <c r="M198" s="16" t="n">
        <f aca="false">IFERROR((I198-H198)/H198,0)</f>
        <v>0</v>
      </c>
      <c r="N198" s="16" t="n">
        <f aca="false">IFERROR(J198/INDEX(账户总表!$B:$B,MATCH($A198,账户总表!$A:$A,0)),0)</f>
        <v>0</v>
      </c>
      <c r="O198" s="14"/>
      <c r="P198" s="15" t="str">
        <f aca="false">IF($A198="","",IF($D198="是",IF(E198&gt;0,E198*0.92,MAX(O198*0.98,H198*0.92)),MAX(O198*0.98,H198*0.92)))</f>
        <v/>
      </c>
      <c r="Q198" s="4" t="str">
        <f aca="false">IF($A198="","",IF(AND(I198&gt;0,P198&gt;0,I198&lt;=P198),"是","否"))</f>
        <v/>
      </c>
      <c r="R198" s="20"/>
      <c r="S198" s="5"/>
      <c r="T198" s="5"/>
      <c r="U198" s="5"/>
      <c r="V198" s="19" t="str">
        <f aca="false">IF($A198="","",IF(OR(AND(O198&gt;0,I198&lt;O198),AND(T198="False",S198&lt;0.8)),"是","否"))</f>
        <v/>
      </c>
      <c r="W198" s="19" t="str">
        <f aca="false">IF($A198="","",IF(AND(I198&lt;H198,S198&lt;0.8),"是","否"))</f>
        <v/>
      </c>
      <c r="X198" s="19" t="str">
        <f aca="false">IF($A198="","",IF(AND(R198&lt;60%,S198&gt;0.8,T198="True",U198="一卖"),"是","否"))</f>
        <v/>
      </c>
      <c r="Y198" s="19" t="str">
        <f aca="false">IF($A198="","",IF(D198="是","否",IF(N198&gt;LOOKUP(2,1/(账户总表!$A:$A&lt;&gt;""),账户总表!$O:$O),"是","否")))</f>
        <v/>
      </c>
      <c r="Z198" s="19" t="str">
        <f aca="false">IF($A198="","",IF(M198&gt;=0,"盈利","亏损"))</f>
        <v/>
      </c>
      <c r="AA198" s="19" t="str">
        <f aca="false">IF($A198="","",IF(OR(Q198="是",M198&lt;=-8%,V198="是",X198="是"),"卖出",IF(Y198="是","减仓",IF(W198="是","观察","持有"))))</f>
        <v/>
      </c>
      <c r="AB198" s="19" t="str">
        <f aca="false">IF($A198="","",IF(D198="是",IF(I198&lt;=E198*0.92,"立即卖出(WAIVED止损)","继续持有(WAIVED)"),IF(OR(M198&lt;=-10%,Q198="是"),"立即卖出",IF(OR(AA198="卖出",V198="是",X198="是"),"次日卖出",IF(AND(Y198="是",NOT(OR(Q198="是",M198&lt;=-8%,V198="是",X198="是"))),"减仓至上限",IF(W198="是","观察","继续持有"))))))</f>
        <v/>
      </c>
      <c r="AC198" s="19" t="str">
        <f aca="false">IF($A198="","",IF(Q198="是","触发止损",IF(M198&lt;=-8%,"固定止损",IF(V198="是","信号失效",IF(X198="是","确认一卖",IF(Y198="是","单股超限",IF(W198="是","DL_P弱化","规则内持有")))))))</f>
        <v/>
      </c>
      <c r="AD198" s="5"/>
    </row>
    <row r="199" customFormat="false" ht="15" hidden="false" customHeight="true" outlineLevel="0" collapsed="false">
      <c r="A199" s="7"/>
      <c r="B199" s="7"/>
      <c r="C199" s="7"/>
      <c r="D199" s="12"/>
      <c r="E199" s="24"/>
      <c r="F199" s="7"/>
      <c r="G199" s="25"/>
      <c r="H199" s="24"/>
      <c r="I199" s="24"/>
      <c r="J199" s="15" t="n">
        <f aca="false">IFERROR(G199*I199,0)</f>
        <v>0</v>
      </c>
      <c r="K199" s="15" t="n">
        <f aca="false">IFERROR(G199*H199,0)</f>
        <v>0</v>
      </c>
      <c r="L199" s="15" t="n">
        <f aca="false">IFERROR(J199-K199,0)</f>
        <v>0</v>
      </c>
      <c r="M199" s="16" t="n">
        <f aca="false">IFERROR((I199-H199)/H199,0)</f>
        <v>0</v>
      </c>
      <c r="N199" s="16" t="n">
        <f aca="false">IFERROR(J199/INDEX(账户总表!$B:$B,MATCH($A199,账户总表!$A:$A,0)),0)</f>
        <v>0</v>
      </c>
      <c r="O199" s="24"/>
      <c r="P199" s="15" t="str">
        <f aca="false">IF($A199="","",IF($D199="是",IF(E199&gt;0,E199*0.92,MAX(O199*0.98,H199*0.92)),MAX(O199*0.98,H199*0.92)))</f>
        <v/>
      </c>
      <c r="Q199" s="4" t="str">
        <f aca="false">IF($A199="","",IF(AND(I199&gt;0,P199&gt;0,I199&lt;=P199),"是","否"))</f>
        <v/>
      </c>
      <c r="R199" s="26"/>
      <c r="S199" s="7"/>
      <c r="T199" s="7"/>
      <c r="U199" s="7"/>
      <c r="V199" s="19" t="str">
        <f aca="false">IF($A199="","",IF(OR(AND(O199&gt;0,I199&lt;O199),AND(T199="False",S199&lt;0.8)),"是","否"))</f>
        <v/>
      </c>
      <c r="W199" s="19" t="str">
        <f aca="false">IF($A199="","",IF(AND(I199&lt;H199,S199&lt;0.8),"是","否"))</f>
        <v/>
      </c>
      <c r="X199" s="19" t="str">
        <f aca="false">IF($A199="","",IF(AND(R199&lt;60%,S199&gt;0.8,T199="True",U199="一卖"),"是","否"))</f>
        <v/>
      </c>
      <c r="Y199" s="19" t="str">
        <f aca="false">IF($A199="","",IF(D199="是","否",IF(N199&gt;LOOKUP(2,1/(账户总表!$A:$A&lt;&gt;""),账户总表!$O:$O),"是","否")))</f>
        <v/>
      </c>
      <c r="Z199" s="19" t="str">
        <f aca="false">IF($A199="","",IF(M199&gt;=0,"盈利","亏损"))</f>
        <v/>
      </c>
      <c r="AA199" s="19" t="str">
        <f aca="false">IF($A199="","",IF(OR(Q199="是",M199&lt;=-8%,V199="是",X199="是"),"卖出",IF(Y199="是","减仓",IF(W199="是","观察","持有"))))</f>
        <v/>
      </c>
      <c r="AB199" s="19" t="str">
        <f aca="false">IF($A199="","",IF(D199="是",IF(I199&lt;=E199*0.92,"立即卖出(WAIVED止损)","继续持有(WAIVED)"),IF(OR(M199&lt;=-10%,Q199="是"),"立即卖出",IF(OR(AA199="卖出",V199="是",X199="是"),"次日卖出",IF(AND(Y199="是",NOT(OR(Q199="是",M199&lt;=-8%,V199="是",X199="是"))),"减仓至上限",IF(W199="是","观察","继续持有"))))))</f>
        <v/>
      </c>
      <c r="AC199" s="19" t="str">
        <f aca="false">IF($A199="","",IF(Q199="是","触发止损",IF(M199&lt;=-8%,"固定止损",IF(V199="是","信号失效",IF(X199="是","确认一卖",IF(Y199="是","单股超限",IF(W199="是","DL_P弱化","规则内持有")))))))</f>
        <v/>
      </c>
      <c r="AD199" s="7"/>
    </row>
    <row r="200" customFormat="false" ht="15" hidden="false" customHeight="true" outlineLevel="0" collapsed="false">
      <c r="A200" s="5"/>
      <c r="B200" s="5"/>
      <c r="C200" s="5"/>
      <c r="D200" s="11"/>
      <c r="E200" s="14"/>
      <c r="F200" s="5"/>
      <c r="G200" s="17"/>
      <c r="H200" s="14"/>
      <c r="I200" s="14"/>
      <c r="J200" s="15" t="n">
        <f aca="false">IFERROR(G200*I200,0)</f>
        <v>0</v>
      </c>
      <c r="K200" s="15" t="n">
        <f aca="false">IFERROR(G200*H200,0)</f>
        <v>0</v>
      </c>
      <c r="L200" s="15" t="n">
        <f aca="false">IFERROR(J200-K200,0)</f>
        <v>0</v>
      </c>
      <c r="M200" s="16" t="n">
        <f aca="false">IFERROR((I200-H200)/H200,0)</f>
        <v>0</v>
      </c>
      <c r="N200" s="16" t="n">
        <f aca="false">IFERROR(J200/INDEX(账户总表!$B:$B,MATCH($A200,账户总表!$A:$A,0)),0)</f>
        <v>0</v>
      </c>
      <c r="O200" s="14"/>
      <c r="P200" s="15" t="str">
        <f aca="false">IF($A200="","",IF($D200="是",IF(E200&gt;0,E200*0.92,MAX(O200*0.98,H200*0.92)),MAX(O200*0.98,H200*0.92)))</f>
        <v/>
      </c>
      <c r="Q200" s="4" t="str">
        <f aca="false">IF($A200="","",IF(AND(I200&gt;0,P200&gt;0,I200&lt;=P200),"是","否"))</f>
        <v/>
      </c>
      <c r="R200" s="20"/>
      <c r="S200" s="5"/>
      <c r="T200" s="5"/>
      <c r="U200" s="5"/>
      <c r="V200" s="19" t="str">
        <f aca="false">IF($A200="","",IF(OR(AND(O200&gt;0,I200&lt;O200),AND(T200="False",S200&lt;0.8)),"是","否"))</f>
        <v/>
      </c>
      <c r="W200" s="19" t="str">
        <f aca="false">IF($A200="","",IF(AND(I200&lt;H200,S200&lt;0.8),"是","否"))</f>
        <v/>
      </c>
      <c r="X200" s="19" t="str">
        <f aca="false">IF($A200="","",IF(AND(R200&lt;60%,S200&gt;0.8,T200="True",U200="一卖"),"是","否"))</f>
        <v/>
      </c>
      <c r="Y200" s="19" t="str">
        <f aca="false">IF($A200="","",IF(D200="是","否",IF(N200&gt;LOOKUP(2,1/(账户总表!$A:$A&lt;&gt;""),账户总表!$O:$O),"是","否")))</f>
        <v/>
      </c>
      <c r="Z200" s="19" t="str">
        <f aca="false">IF($A200="","",IF(M200&gt;=0,"盈利","亏损"))</f>
        <v/>
      </c>
      <c r="AA200" s="19" t="str">
        <f aca="false">IF($A200="","",IF(OR(Q200="是",M200&lt;=-8%,V200="是",X200="是"),"卖出",IF(Y200="是","减仓",IF(W200="是","观察","持有"))))</f>
        <v/>
      </c>
      <c r="AB200" s="19" t="str">
        <f aca="false">IF($A200="","",IF(D200="是",IF(I200&lt;=E200*0.92,"立即卖出(WAIVED止损)","继续持有(WAIVED)"),IF(OR(M200&lt;=-10%,Q200="是"),"立即卖出",IF(OR(AA200="卖出",V200="是",X200="是"),"次日卖出",IF(AND(Y200="是",NOT(OR(Q200="是",M200&lt;=-8%,V200="是",X200="是"))),"减仓至上限",IF(W200="是","观察","继续持有"))))))</f>
        <v/>
      </c>
      <c r="AC200" s="19" t="str">
        <f aca="false">IF($A200="","",IF(Q200="是","触发止损",IF(M200&lt;=-8%,"固定止损",IF(V200="是","信号失效",IF(X200="是","确认一卖",IF(Y200="是","单股超限",IF(W200="是","DL_P弱化","规则内持有")))))))</f>
        <v/>
      </c>
      <c r="AD200" s="5"/>
    </row>
    <row r="201" customFormat="false" ht="15" hidden="false" customHeight="true" outlineLevel="0" collapsed="false">
      <c r="A201" s="7"/>
      <c r="B201" s="7"/>
      <c r="C201" s="7"/>
      <c r="D201" s="12"/>
      <c r="E201" s="24"/>
      <c r="F201" s="7"/>
      <c r="G201" s="25"/>
      <c r="H201" s="24"/>
      <c r="I201" s="24"/>
      <c r="J201" s="15" t="n">
        <f aca="false">IFERROR(G201*I201,0)</f>
        <v>0</v>
      </c>
      <c r="K201" s="15" t="n">
        <f aca="false">IFERROR(G201*H201,0)</f>
        <v>0</v>
      </c>
      <c r="L201" s="15" t="n">
        <f aca="false">IFERROR(J201-K201,0)</f>
        <v>0</v>
      </c>
      <c r="M201" s="16" t="n">
        <f aca="false">IFERROR((I201-H201)/H201,0)</f>
        <v>0</v>
      </c>
      <c r="N201" s="16" t="n">
        <f aca="false">IFERROR(J201/INDEX(账户总表!$B:$B,MATCH($A201,账户总表!$A:$A,0)),0)</f>
        <v>0</v>
      </c>
      <c r="O201" s="24"/>
      <c r="P201" s="15" t="str">
        <f aca="false">IF($A201="","",IF($D201="是",IF(E201&gt;0,E201*0.92,MAX(O201*0.98,H201*0.92)),MAX(O201*0.98,H201*0.92)))</f>
        <v/>
      </c>
      <c r="Q201" s="4" t="str">
        <f aca="false">IF($A201="","",IF(AND(I201&gt;0,P201&gt;0,I201&lt;=P201),"是","否"))</f>
        <v/>
      </c>
      <c r="R201" s="26"/>
      <c r="S201" s="7"/>
      <c r="T201" s="7"/>
      <c r="U201" s="7"/>
      <c r="V201" s="19" t="str">
        <f aca="false">IF($A201="","",IF(OR(AND(O201&gt;0,I201&lt;O201),AND(T201="False",S201&lt;0.8)),"是","否"))</f>
        <v/>
      </c>
      <c r="W201" s="19" t="str">
        <f aca="false">IF($A201="","",IF(AND(I201&lt;H201,S201&lt;0.8),"是","否"))</f>
        <v/>
      </c>
      <c r="X201" s="19" t="str">
        <f aca="false">IF($A201="","",IF(AND(R201&lt;60%,S201&gt;0.8,T201="True",U201="一卖"),"是","否"))</f>
        <v/>
      </c>
      <c r="Y201" s="19" t="str">
        <f aca="false">IF($A201="","",IF(D201="是","否",IF(N201&gt;LOOKUP(2,1/(账户总表!$A:$A&lt;&gt;""),账户总表!$O:$O),"是","否")))</f>
        <v/>
      </c>
      <c r="Z201" s="19" t="str">
        <f aca="false">IF($A201="","",IF(M201&gt;=0,"盈利","亏损"))</f>
        <v/>
      </c>
      <c r="AA201" s="19" t="str">
        <f aca="false">IF($A201="","",IF(OR(Q201="是",M201&lt;=-8%,V201="是",X201="是"),"卖出",IF(Y201="是","减仓",IF(W201="是","观察","持有"))))</f>
        <v/>
      </c>
      <c r="AB201" s="19" t="str">
        <f aca="false">IF($A201="","",IF(D201="是",IF(I201&lt;=E201*0.92,"立即卖出(WAIVED止损)","继续持有(WAIVED)"),IF(OR(M201&lt;=-10%,Q201="是"),"立即卖出",IF(OR(AA201="卖出",V201="是",X201="是"),"次日卖出",IF(AND(Y201="是",NOT(OR(Q201="是",M201&lt;=-8%,V201="是",X201="是"))),"减仓至上限",IF(W201="是","观察","继续持有"))))))</f>
        <v/>
      </c>
      <c r="AC201" s="19" t="str">
        <f aca="false">IF($A201="","",IF(Q201="是","触发止损",IF(M201&lt;=-8%,"固定止损",IF(V201="是","信号失效",IF(X201="是","确认一卖",IF(Y201="是","单股超限",IF(W201="是","DL_P弱化","规则内持有")))))))</f>
        <v/>
      </c>
      <c r="AD201" s="7"/>
    </row>
  </sheetData>
  <sheetProtection sheet="true" password="c42e"/>
  <autoFilter ref="A1:AD201"/>
  <conditionalFormatting sqref="Q2:Q201">
    <cfRule type="expression" priority="2" aboveAverage="0" equalAverage="0" bottom="0" percent="0" rank="0" text="" dxfId="8">
      <formula>Q2="是"</formula>
    </cfRule>
  </conditionalFormatting>
  <conditionalFormatting sqref="V2:V201">
    <cfRule type="expression" priority="3" aboveAverage="0" equalAverage="0" bottom="0" percent="0" rank="0" text="" dxfId="8">
      <formula>V2="是"</formula>
    </cfRule>
  </conditionalFormatting>
  <conditionalFormatting sqref="X2:X201">
    <cfRule type="expression" priority="4" aboveAverage="0" equalAverage="0" bottom="0" percent="0" rank="0" text="" dxfId="8">
      <formula>X2="是"</formula>
    </cfRule>
  </conditionalFormatting>
  <conditionalFormatting sqref="Y2:Y201">
    <cfRule type="expression" priority="5" aboveAverage="0" equalAverage="0" bottom="0" percent="0" rank="0" text="" dxfId="8">
      <formula>Y2="是"</formula>
    </cfRule>
  </conditionalFormatting>
  <conditionalFormatting sqref="W2:W201">
    <cfRule type="expression" priority="6" aboveAverage="0" equalAverage="0" bottom="0" percent="0" rank="0" text="" dxfId="8">
      <formula>W2="是"</formula>
    </cfRule>
  </conditionalFormatting>
  <conditionalFormatting sqref="AB2:AB201">
    <cfRule type="expression" priority="7" aboveAverage="0" equalAverage="0" bottom="0" percent="0" rank="0" text="" dxfId="7">
      <formula>AB2="正常"</formula>
    </cfRule>
    <cfRule type="expression" priority="8" aboveAverage="0" equalAverage="0" bottom="0" percent="0" rank="0" text="" dxfId="13">
      <formula>AB2="警戒"</formula>
    </cfRule>
    <cfRule type="expression" priority="9" aboveAverage="0" equalAverage="0" bottom="0" percent="0" rank="0" text="" dxfId="8">
      <formula>AB2="防守"</formula>
    </cfRule>
    <cfRule type="expression" priority="10" aboveAverage="0" equalAverage="0" bottom="0" percent="0" rank="0" text="" dxfId="8">
      <formula>AB2="立即卖出"</formula>
    </cfRule>
    <cfRule type="expression" priority="11" aboveAverage="0" equalAverage="0" bottom="0" percent="0" rank="0" text="" dxfId="8">
      <formula>AB2="次日卖出"</formula>
    </cfRule>
    <cfRule type="expression" priority="12" aboveAverage="0" equalAverage="0" bottom="0" percent="0" rank="0" text="" dxfId="13">
      <formula>AB2="观察"</formula>
    </cfRule>
  </conditionalFormatting>
  <conditionalFormatting sqref="M2:M201">
    <cfRule type="cellIs" priority="13" operator="lessThan" aboveAverage="0" equalAverage="0" bottom="0" percent="0" rank="0" text="" dxfId="8">
      <formula>0</formula>
    </cfRule>
  </conditionalFormatting>
  <dataValidations count="3">
    <dataValidation allowBlank="true" errorStyle="stop" operator="between" showDropDown="false" showErrorMessage="false" showInputMessage="false" sqref="D2:D201" type="list">
      <formula1>"是,否"</formula1>
      <formula2>0</formula2>
    </dataValidation>
    <dataValidation allowBlank="true" errorStyle="stop" operator="between" showDropDown="false" showErrorMessage="false" showInputMessage="false" sqref="T2:T201" type="list">
      <formula1>"True,False"</formula1>
      <formula2>0</formula2>
    </dataValidation>
    <dataValidation allowBlank="true" errorStyle="stop" operator="between" showDropDown="false" showErrorMessage="false" showInputMessage="false" sqref="U2:U201" type="list">
      <formula1>"一买,一卖,无"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E2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12"/>
    <col collapsed="false" customWidth="true" hidden="false" outlineLevel="0" max="5" min="4" style="1" width="14"/>
    <col collapsed="false" customWidth="true" hidden="false" outlineLevel="0" max="6" min="6" style="1" width="12"/>
    <col collapsed="false" customWidth="true" hidden="false" outlineLevel="0" max="7" min="7" style="1" width="13"/>
    <col collapsed="false" customWidth="true" hidden="false" outlineLevel="0" max="12" min="8" style="1" width="12"/>
    <col collapsed="false" customWidth="true" hidden="false" outlineLevel="0" max="13" min="13" style="1" width="14"/>
    <col collapsed="false" customWidth="true" hidden="false" outlineLevel="0" max="14" min="14" style="1" width="13"/>
    <col collapsed="false" customWidth="true" hidden="false" outlineLevel="0" max="15" min="15" style="1" width="14"/>
    <col collapsed="false" customWidth="true" hidden="false" outlineLevel="0" max="19" min="16" style="1" width="12"/>
    <col collapsed="false" customWidth="true" hidden="false" outlineLevel="0" max="20" min="20" style="1" width="14"/>
    <col collapsed="false" customWidth="true" hidden="false" outlineLevel="0" max="23" min="21" style="1" width="13"/>
    <col collapsed="false" customWidth="true" hidden="false" outlineLevel="0" max="24" min="24" style="1" width="14"/>
    <col collapsed="false" customWidth="true" hidden="false" outlineLevel="0" max="25" min="25" style="1" width="26"/>
    <col collapsed="false" customWidth="true" hidden="false" outlineLevel="0" max="26" min="26" style="1" width="12"/>
    <col collapsed="false" customWidth="true" hidden="false" outlineLevel="0" max="28" min="27" style="1" width="14"/>
    <col collapsed="false" customWidth="true" hidden="false" outlineLevel="0" max="29" min="29" style="1" width="12"/>
    <col collapsed="false" customWidth="true" hidden="false" outlineLevel="0" max="31" min="30" style="1" width="26"/>
  </cols>
  <sheetData>
    <row r="1" customFormat="false" ht="15" hidden="false" customHeight="true" outlineLevel="0" collapsed="false">
      <c r="A1" s="2" t="s">
        <v>230</v>
      </c>
      <c r="B1" s="2" t="s">
        <v>292</v>
      </c>
      <c r="C1" s="2" t="s">
        <v>293</v>
      </c>
      <c r="D1" s="2" t="s">
        <v>335</v>
      </c>
      <c r="E1" s="2" t="s">
        <v>336</v>
      </c>
      <c r="F1" s="2" t="s">
        <v>304</v>
      </c>
      <c r="G1" s="10" t="s">
        <v>307</v>
      </c>
      <c r="H1" s="10" t="s">
        <v>308</v>
      </c>
      <c r="I1" s="10" t="s">
        <v>309</v>
      </c>
      <c r="J1" s="10" t="s">
        <v>310</v>
      </c>
      <c r="K1" s="2" t="s">
        <v>337</v>
      </c>
      <c r="L1" s="2" t="s">
        <v>338</v>
      </c>
      <c r="M1" s="2" t="s">
        <v>339</v>
      </c>
      <c r="N1" s="2" t="s">
        <v>242</v>
      </c>
      <c r="O1" s="2" t="s">
        <v>340</v>
      </c>
      <c r="P1" s="2" t="s">
        <v>341</v>
      </c>
      <c r="Q1" s="2" t="s">
        <v>342</v>
      </c>
      <c r="R1" s="2" t="s">
        <v>343</v>
      </c>
      <c r="S1" s="2" t="s">
        <v>344</v>
      </c>
      <c r="T1" s="2" t="s">
        <v>345</v>
      </c>
      <c r="U1" s="2" t="s">
        <v>346</v>
      </c>
      <c r="V1" s="2" t="s">
        <v>347</v>
      </c>
      <c r="W1" s="2" t="s">
        <v>348</v>
      </c>
      <c r="X1" s="2" t="s">
        <v>305</v>
      </c>
      <c r="Y1" s="2" t="s">
        <v>349</v>
      </c>
      <c r="Z1" s="2" t="s">
        <v>350</v>
      </c>
      <c r="AA1" s="2" t="s">
        <v>351</v>
      </c>
      <c r="AB1" s="2" t="s">
        <v>352</v>
      </c>
      <c r="AC1" s="2" t="s">
        <v>353</v>
      </c>
      <c r="AD1" s="2" t="s">
        <v>354</v>
      </c>
      <c r="AE1" s="2" t="s">
        <v>6</v>
      </c>
    </row>
    <row r="2" customFormat="false" ht="15" hidden="false" customHeight="true" outlineLevel="0" collapsed="false">
      <c r="A2" s="32" t="n">
        <v>46228</v>
      </c>
      <c r="B2" s="33" t="s">
        <v>355</v>
      </c>
      <c r="C2" s="34" t="s">
        <v>356</v>
      </c>
      <c r="D2" s="35" t="n">
        <v>5.21</v>
      </c>
      <c r="E2" s="35" t="n">
        <v>5.21</v>
      </c>
      <c r="F2" s="35" t="n">
        <v>4.95</v>
      </c>
      <c r="G2" s="36" t="n">
        <v>0.0203449497354787</v>
      </c>
      <c r="H2" s="34" t="n">
        <v>0.674021074107145</v>
      </c>
      <c r="I2" s="34" t="s">
        <v>141</v>
      </c>
      <c r="J2" s="33" t="s">
        <v>357</v>
      </c>
      <c r="K2" s="37" t="str">
        <f aca="false">IF($A2="","",IF(AND(G2&lt;45%,H2&gt;=0.9),"A",IF(AND(G2&lt;60%,H2&gt;0.8),"B","C")))</f>
        <v>C</v>
      </c>
      <c r="L2" s="37" t="str">
        <f aca="false">IF($A2="","",IF(AND(G2&lt;60%,H2&gt;0.8,I2="True"),"是","否"))</f>
        <v>否</v>
      </c>
      <c r="M2" s="37" t="str">
        <f aca="false">IF($A2="","",IF(AND(D2&gt;0,E2&gt;0,D2&lt;=E2*1.02),"是","否"))</f>
        <v>是</v>
      </c>
      <c r="N2" s="38" t="n">
        <f aca="false">IFERROR(INDEX(账户总表!$O:$O,MATCH($A2,账户总表!$A:$A,0)),0)</f>
        <v>0</v>
      </c>
      <c r="O2" s="39" t="n">
        <f aca="false">IFERROR(INDEX(账户总表!$B:$B,MATCH($A2,账户总表!$A:$A,0))*N2,0)</f>
        <v>0</v>
      </c>
      <c r="P2" s="40" t="n">
        <f aca="false">IFERROR(O2/D2,0)</f>
        <v>0</v>
      </c>
      <c r="Q2" s="40" t="n">
        <f aca="false">IFERROR(FLOOR(P2,100),0)</f>
        <v>0</v>
      </c>
      <c r="R2" s="40" t="n">
        <f aca="false">IFERROR(CEILING(800/(100*D2),1)*100,0)</f>
        <v>200</v>
      </c>
      <c r="S2" s="41"/>
      <c r="T2" s="39" t="n">
        <f aca="false">IFERROR(S2*D2,0)</f>
        <v>0</v>
      </c>
      <c r="U2" s="38" t="n">
        <f aca="false">IFERROR(T2/INDEX(账户总表!$B:$B,MATCH($A2,账户总表!$A:$A,0)),0)</f>
        <v>0</v>
      </c>
      <c r="V2" s="38" t="n">
        <f aca="false">IFERROR(INDEX(账户总表!$E:$E,MATCH($A2,账户总表!$A:$A,0))+U2,0)</f>
        <v>0</v>
      </c>
      <c r="W2" s="37" t="str">
        <f aca="false">IF($A2="","",IFERROR(IF(V2&lt;=INDEX(账户总表!$N:$N,MATCH($A2,账户总表!$A:$A,0)),"是","否"),"否"))</f>
        <v>否</v>
      </c>
      <c r="X2" s="39" t="n">
        <f aca="false">IF($A2="","",MAX(F2*0.98,D2*0.92))</f>
        <v>4.851</v>
      </c>
      <c r="Y2" s="34"/>
      <c r="Z2" s="37" t="str">
        <f aca="false">IF($A2="","",IFERROR(IF(AND(T2&gt;INDEX(账户总表!$C:$C,MATCH($A2,账户总表!$A:$A,0)),L2="是"),"是","否"),"否"))</f>
        <v>否</v>
      </c>
      <c r="AA2" s="39" t="n">
        <f aca="false">IF($A2="","",IFERROR(IF(Z2="是",MAX(0,T2-INDEX(账户总表!$C:$C,MATCH($A2,账户总表!$A:$A,0)),IF(N2&gt;0,T2/N2-INDEX(账户总表!$B:$B,MATCH($A2,账户总表!$A:$A,0)),0)),0),0))</f>
        <v>0</v>
      </c>
      <c r="AB2" s="39" t="e">
        <f aca="false">IF($A2="","",IF(AND(Z2="是",INDEX(账户总表!$U:$U,MATCH($A2,账户总表!$A:$A,0))="是"),IF(INDEX(账户总表!$L:$L,MATCH($A2,账户总表!$A:$A,0))&gt;=4,AA2*1.5,AA2),0))</f>
        <v>#N/A</v>
      </c>
      <c r="AC2" s="42" t="e">
        <f aca="false">IF($A2="","",IF(AND(L2="是",Q2&gt;=R2,S2&lt;=Q2,S2&gt;=R2,W2="是",X2&gt;0,M2="是",INDEX(账户总表!$M:$M,MATCH($A2,账户总表!$A:$A,0))&lt;=2,INDEX(账户总表!$V:$V,MATCH($A2,账户总表!$A:$A,0))="是",OR(T2&lt;=INDEX(账户总表!$C:$C,MATCH($A2,账户总表!$A:$A,0)),AND(Z2="是",INDEX(账户总表!$U:$U,MATCH($A2,账户总表!$A:$A,0))="是",AB2&gt;0))),"是","否"))</f>
        <v>#N/A</v>
      </c>
      <c r="AD2" s="37" t="str">
        <f aca="false">IF($A2="","",IF(L2&lt;&gt;"是","信号未确认",IF(X2&lt;=0,"止损价未定义",IF(Q2&lt;R2,"100股约束不满足",IF(S2&gt;Q2,"计划股数超单股上限",IF(S2&lt;R2,"计划股数低于最小门槛",IF(W2&lt;&gt;"是","总仓位超限",IF(M2&lt;&gt;"是","追价",IF(INDEX(账户总表!$M:$M,MATCH($A2,账户总表!$A:$A,0))&gt;2,"亏钱效应偏高",IF(INDEX(账户总表!$V:$V,MATCH($A2,账户总表!$A:$A,0))&lt;&gt;"是","账户不允许新开仓",IF(AND(T2&gt;INDEX(账户总表!$C:$C,MATCH($A2,账户总表!$A:$A,0)),INDEX(账户总表!$U:$U,MATCH($A2,账户总表!$A:$A,0))&lt;&gt;"是"),"现金不足且不允许转入",IF(AND(Z2="是",AB2&lt;=0),"转入金额未满足",""))))))))))))</f>
        <v>信号未确认</v>
      </c>
      <c r="AE2" s="33" t="s">
        <v>358</v>
      </c>
    </row>
    <row r="3" customFormat="false" ht="15" hidden="false" customHeight="true" outlineLevel="0" collapsed="false">
      <c r="A3" s="32" t="n">
        <v>46228</v>
      </c>
      <c r="B3" s="33" t="s">
        <v>359</v>
      </c>
      <c r="C3" s="34" t="s">
        <v>360</v>
      </c>
      <c r="D3" s="35" t="n">
        <v>6.86</v>
      </c>
      <c r="E3" s="35" t="n">
        <v>6.86</v>
      </c>
      <c r="F3" s="35" t="n">
        <v>6.52</v>
      </c>
      <c r="G3" s="36" t="n">
        <v>0.0296575373791666</v>
      </c>
      <c r="H3" s="34" t="n">
        <v>0.734862717729593</v>
      </c>
      <c r="I3" s="34" t="s">
        <v>141</v>
      </c>
      <c r="J3" s="33" t="s">
        <v>357</v>
      </c>
      <c r="K3" s="37" t="str">
        <f aca="false">IF($A3="","",IF(AND(G3&lt;45%,H3&gt;=0.9),"A",IF(AND(G3&lt;60%,H3&gt;0.8),"B","C")))</f>
        <v>C</v>
      </c>
      <c r="L3" s="37" t="str">
        <f aca="false">IF($A3="","",IF(AND(G3&lt;60%,H3&gt;0.8,I3="True"),"是","否"))</f>
        <v>否</v>
      </c>
      <c r="M3" s="37" t="str">
        <f aca="false">IF($A3="","",IF(AND(D3&gt;0,E3&gt;0,D3&lt;=E3*1.02),"是","否"))</f>
        <v>是</v>
      </c>
      <c r="N3" s="38" t="n">
        <f aca="false">IFERROR(INDEX(账户总表!$O:$O,MATCH($A3,账户总表!$A:$A,0)),0)</f>
        <v>0</v>
      </c>
      <c r="O3" s="39" t="n">
        <f aca="false">IFERROR(INDEX(账户总表!$B:$B,MATCH($A3,账户总表!$A:$A,0))*N3,0)</f>
        <v>0</v>
      </c>
      <c r="P3" s="40" t="n">
        <f aca="false">IFERROR(O3/D3,0)</f>
        <v>0</v>
      </c>
      <c r="Q3" s="40" t="n">
        <f aca="false">IFERROR(FLOOR(P3,100),0)</f>
        <v>0</v>
      </c>
      <c r="R3" s="40" t="n">
        <f aca="false">IFERROR(CEILING(800/(100*D3),1)*100,0)</f>
        <v>200</v>
      </c>
      <c r="S3" s="41"/>
      <c r="T3" s="39" t="n">
        <f aca="false">IFERROR(S3*D3,0)</f>
        <v>0</v>
      </c>
      <c r="U3" s="38" t="n">
        <f aca="false">IFERROR(T3/INDEX(账户总表!$B:$B,MATCH($A3,账户总表!$A:$A,0)),0)</f>
        <v>0</v>
      </c>
      <c r="V3" s="38" t="n">
        <f aca="false">IFERROR(INDEX(账户总表!$E:$E,MATCH($A3,账户总表!$A:$A,0))+U3,0)</f>
        <v>0</v>
      </c>
      <c r="W3" s="37" t="str">
        <f aca="false">IF($A3="","",IFERROR(IF(V3&lt;=INDEX(账户总表!$N:$N,MATCH($A3,账户总表!$A:$A,0)),"是","否"),"否"))</f>
        <v>否</v>
      </c>
      <c r="X3" s="39" t="n">
        <f aca="false">IF($A3="","",MAX(F3*0.98,D3*0.92))</f>
        <v>6.3896</v>
      </c>
      <c r="Y3" s="34"/>
      <c r="Z3" s="37" t="str">
        <f aca="false">IF($A3="","",IFERROR(IF(AND(T3&gt;INDEX(账户总表!$C:$C,MATCH($A3,账户总表!$A:$A,0)),L3="是"),"是","否"),"否"))</f>
        <v>否</v>
      </c>
      <c r="AA3" s="39" t="n">
        <f aca="false">IF($A3="","",IFERROR(IF(Z3="是",MAX(0,T3-INDEX(账户总表!$C:$C,MATCH($A3,账户总表!$A:$A,0)),IF(N3&gt;0,T3/N3-INDEX(账户总表!$B:$B,MATCH($A3,账户总表!$A:$A,0)),0)),0),0))</f>
        <v>0</v>
      </c>
      <c r="AB3" s="39" t="e">
        <f aca="false">IF($A3="","",IF(AND(Z3="是",INDEX(账户总表!$U:$U,MATCH($A3,账户总表!$A:$A,0))="是"),IF(INDEX(账户总表!$L:$L,MATCH($A3,账户总表!$A:$A,0))&gt;=4,AA3*1.5,AA3),0))</f>
        <v>#N/A</v>
      </c>
      <c r="AC3" s="42" t="e">
        <f aca="false">IF($A3="","",IF(AND(L3="是",Q3&gt;=R3,S3&lt;=Q3,S3&gt;=R3,W3="是",X3&gt;0,M3="是",INDEX(账户总表!$M:$M,MATCH($A3,账户总表!$A:$A,0))&lt;=2,INDEX(账户总表!$V:$V,MATCH($A3,账户总表!$A:$A,0))="是",OR(T3&lt;=INDEX(账户总表!$C:$C,MATCH($A3,账户总表!$A:$A,0)),AND(Z3="是",INDEX(账户总表!$U:$U,MATCH($A3,账户总表!$A:$A,0))="是",AB3&gt;0))),"是","否"))</f>
        <v>#N/A</v>
      </c>
      <c r="AD3" s="37" t="str">
        <f aca="false">IF($A3="","",IF(L3&lt;&gt;"是","信号未确认",IF(X3&lt;=0,"止损价未定义",IF(Q3&lt;R3,"100股约束不满足",IF(S3&gt;Q3,"计划股数超单股上限",IF(S3&lt;R3,"计划股数低于最小门槛",IF(W3&lt;&gt;"是","总仓位超限",IF(M3&lt;&gt;"是","追价",IF(INDEX(账户总表!$M:$M,MATCH($A3,账户总表!$A:$A,0))&gt;2,"亏钱效应偏高",IF(INDEX(账户总表!$V:$V,MATCH($A3,账户总表!$A:$A,0))&lt;&gt;"是","账户不允许新开仓",IF(AND(T3&gt;INDEX(账户总表!$C:$C,MATCH($A3,账户总表!$A:$A,0)),INDEX(账户总表!$U:$U,MATCH($A3,账户总表!$A:$A,0))&lt;&gt;"是"),"现金不足且不允许转入",IF(AND(Z3="是",AB3&lt;=0),"转入金额未满足",""))))))))))))</f>
        <v>信号未确认</v>
      </c>
      <c r="AE3" s="33" t="s">
        <v>361</v>
      </c>
    </row>
    <row r="4" customFormat="false" ht="15" hidden="false" customHeight="true" outlineLevel="0" collapsed="false">
      <c r="A4" s="32" t="n">
        <v>46228</v>
      </c>
      <c r="B4" s="33" t="s">
        <v>362</v>
      </c>
      <c r="C4" s="34" t="s">
        <v>363</v>
      </c>
      <c r="D4" s="35" t="n">
        <v>4.13</v>
      </c>
      <c r="E4" s="35" t="n">
        <v>4.13</v>
      </c>
      <c r="F4" s="35" t="n">
        <v>3.92</v>
      </c>
      <c r="G4" s="36" t="n">
        <v>0.0350913324183908</v>
      </c>
      <c r="H4" s="34" t="n">
        <v>0.710349354731563</v>
      </c>
      <c r="I4" s="34" t="s">
        <v>141</v>
      </c>
      <c r="J4" s="33" t="s">
        <v>357</v>
      </c>
      <c r="K4" s="37" t="str">
        <f aca="false">IF($A4="","",IF(AND(G4&lt;45%,H4&gt;=0.9),"A",IF(AND(G4&lt;60%,H4&gt;0.8),"B","C")))</f>
        <v>C</v>
      </c>
      <c r="L4" s="37" t="str">
        <f aca="false">IF($A4="","",IF(AND(G4&lt;60%,H4&gt;0.8,I4="True"),"是","否"))</f>
        <v>否</v>
      </c>
      <c r="M4" s="37" t="str">
        <f aca="false">IF($A4="","",IF(AND(D4&gt;0,E4&gt;0,D4&lt;=E4*1.02),"是","否"))</f>
        <v>是</v>
      </c>
      <c r="N4" s="38" t="n">
        <f aca="false">IFERROR(INDEX(账户总表!$O:$O,MATCH($A4,账户总表!$A:$A,0)),0)</f>
        <v>0</v>
      </c>
      <c r="O4" s="39" t="n">
        <f aca="false">IFERROR(INDEX(账户总表!$B:$B,MATCH($A4,账户总表!$A:$A,0))*N4,0)</f>
        <v>0</v>
      </c>
      <c r="P4" s="40" t="n">
        <f aca="false">IFERROR(O4/D4,0)</f>
        <v>0</v>
      </c>
      <c r="Q4" s="40" t="n">
        <f aca="false">IFERROR(FLOOR(P4,100),0)</f>
        <v>0</v>
      </c>
      <c r="R4" s="40" t="n">
        <f aca="false">IFERROR(CEILING(800/(100*D4),1)*100,0)</f>
        <v>200</v>
      </c>
      <c r="S4" s="41"/>
      <c r="T4" s="39" t="n">
        <f aca="false">IFERROR(S4*D4,0)</f>
        <v>0</v>
      </c>
      <c r="U4" s="38" t="n">
        <f aca="false">IFERROR(T4/INDEX(账户总表!$B:$B,MATCH($A4,账户总表!$A:$A,0)),0)</f>
        <v>0</v>
      </c>
      <c r="V4" s="38" t="n">
        <f aca="false">IFERROR(INDEX(账户总表!$E:$E,MATCH($A4,账户总表!$A:$A,0))+U4,0)</f>
        <v>0</v>
      </c>
      <c r="W4" s="37" t="str">
        <f aca="false">IF($A4="","",IFERROR(IF(V4&lt;=INDEX(账户总表!$N:$N,MATCH($A4,账户总表!$A:$A,0)),"是","否"),"否"))</f>
        <v>否</v>
      </c>
      <c r="X4" s="39" t="n">
        <f aca="false">IF($A4="","",MAX(F4*0.98,D4*0.92))</f>
        <v>3.8416</v>
      </c>
      <c r="Y4" s="34"/>
      <c r="Z4" s="37" t="str">
        <f aca="false">IF($A4="","",IFERROR(IF(AND(T4&gt;INDEX(账户总表!$C:$C,MATCH($A4,账户总表!$A:$A,0)),L4="是"),"是","否"),"否"))</f>
        <v>否</v>
      </c>
      <c r="AA4" s="39" t="n">
        <f aca="false">IF($A4="","",IFERROR(IF(Z4="是",MAX(0,T4-INDEX(账户总表!$C:$C,MATCH($A4,账户总表!$A:$A,0)),IF(N4&gt;0,T4/N4-INDEX(账户总表!$B:$B,MATCH($A4,账户总表!$A:$A,0)),0)),0),0))</f>
        <v>0</v>
      </c>
      <c r="AB4" s="39" t="e">
        <f aca="false">IF($A4="","",IF(AND(Z4="是",INDEX(账户总表!$U:$U,MATCH($A4,账户总表!$A:$A,0))="是"),IF(INDEX(账户总表!$L:$L,MATCH($A4,账户总表!$A:$A,0))&gt;=4,AA4*1.5,AA4),0))</f>
        <v>#N/A</v>
      </c>
      <c r="AC4" s="42" t="e">
        <f aca="false">IF($A4="","",IF(AND(L4="是",Q4&gt;=R4,S4&lt;=Q4,S4&gt;=R4,W4="是",X4&gt;0,M4="是",INDEX(账户总表!$M:$M,MATCH($A4,账户总表!$A:$A,0))&lt;=2,INDEX(账户总表!$V:$V,MATCH($A4,账户总表!$A:$A,0))="是",OR(T4&lt;=INDEX(账户总表!$C:$C,MATCH($A4,账户总表!$A:$A,0)),AND(Z4="是",INDEX(账户总表!$U:$U,MATCH($A4,账户总表!$A:$A,0))="是",AB4&gt;0))),"是","否"))</f>
        <v>#N/A</v>
      </c>
      <c r="AD4" s="37" t="str">
        <f aca="false">IF($A4="","",IF(L4&lt;&gt;"是","信号未确认",IF(X4&lt;=0,"止损价未定义",IF(Q4&lt;R4,"100股约束不满足",IF(S4&gt;Q4,"计划股数超单股上限",IF(S4&lt;R4,"计划股数低于最小门槛",IF(W4&lt;&gt;"是","总仓位超限",IF(M4&lt;&gt;"是","追价",IF(INDEX(账户总表!$M:$M,MATCH($A4,账户总表!$A:$A,0))&gt;2,"亏钱效应偏高",IF(INDEX(账户总表!$V:$V,MATCH($A4,账户总表!$A:$A,0))&lt;&gt;"是","账户不允许新开仓",IF(AND(T4&gt;INDEX(账户总表!$C:$C,MATCH($A4,账户总表!$A:$A,0)),INDEX(账户总表!$U:$U,MATCH($A4,账户总表!$A:$A,0))&lt;&gt;"是"),"现金不足且不允许转入",IF(AND(Z4="是",AB4&lt;=0),"转入金额未满足",""))))))))))))</f>
        <v>信号未确认</v>
      </c>
      <c r="AE4" s="33" t="s">
        <v>364</v>
      </c>
    </row>
    <row r="5" customFormat="false" ht="15" hidden="false" customHeight="true" outlineLevel="0" collapsed="false">
      <c r="A5" s="32" t="n">
        <v>46228</v>
      </c>
      <c r="B5" s="33" t="s">
        <v>365</v>
      </c>
      <c r="C5" s="34" t="s">
        <v>366</v>
      </c>
      <c r="D5" s="35" t="n">
        <v>8.98</v>
      </c>
      <c r="E5" s="35" t="n">
        <v>8.98</v>
      </c>
      <c r="F5" s="35" t="n">
        <v>8.53</v>
      </c>
      <c r="G5" s="36" t="n">
        <v>0.0393940854686387</v>
      </c>
      <c r="H5" s="34" t="n">
        <v>0.627680132670134</v>
      </c>
      <c r="I5" s="34" t="s">
        <v>141</v>
      </c>
      <c r="J5" s="33" t="s">
        <v>357</v>
      </c>
      <c r="K5" s="37" t="str">
        <f aca="false">IF($A5="","",IF(AND(G5&lt;45%,H5&gt;=0.9),"A",IF(AND(G5&lt;60%,H5&gt;0.8),"B","C")))</f>
        <v>C</v>
      </c>
      <c r="L5" s="37" t="str">
        <f aca="false">IF($A5="","",IF(AND(G5&lt;60%,H5&gt;0.8,I5="True"),"是","否"))</f>
        <v>否</v>
      </c>
      <c r="M5" s="37" t="str">
        <f aca="false">IF($A5="","",IF(AND(D5&gt;0,E5&gt;0,D5&lt;=E5*1.02),"是","否"))</f>
        <v>是</v>
      </c>
      <c r="N5" s="38" t="n">
        <f aca="false">IFERROR(INDEX(账户总表!$O:$O,MATCH($A5,账户总表!$A:$A,0)),0)</f>
        <v>0</v>
      </c>
      <c r="O5" s="39" t="n">
        <f aca="false">IFERROR(INDEX(账户总表!$B:$B,MATCH($A5,账户总表!$A:$A,0))*N5,0)</f>
        <v>0</v>
      </c>
      <c r="P5" s="40" t="n">
        <f aca="false">IFERROR(O5/D5,0)</f>
        <v>0</v>
      </c>
      <c r="Q5" s="40" t="n">
        <f aca="false">IFERROR(FLOOR(P5,100),0)</f>
        <v>0</v>
      </c>
      <c r="R5" s="40" t="n">
        <f aca="false">IFERROR(CEILING(800/(100*D5),1)*100,0)</f>
        <v>100</v>
      </c>
      <c r="S5" s="41"/>
      <c r="T5" s="39" t="n">
        <f aca="false">IFERROR(S5*D5,0)</f>
        <v>0</v>
      </c>
      <c r="U5" s="38" t="n">
        <f aca="false">IFERROR(T5/INDEX(账户总表!$B:$B,MATCH($A5,账户总表!$A:$A,0)),0)</f>
        <v>0</v>
      </c>
      <c r="V5" s="38" t="n">
        <f aca="false">IFERROR(INDEX(账户总表!$E:$E,MATCH($A5,账户总表!$A:$A,0))+U5,0)</f>
        <v>0</v>
      </c>
      <c r="W5" s="37" t="str">
        <f aca="false">IF($A5="","",IFERROR(IF(V5&lt;=INDEX(账户总表!$N:$N,MATCH($A5,账户总表!$A:$A,0)),"是","否"),"否"))</f>
        <v>否</v>
      </c>
      <c r="X5" s="39" t="n">
        <f aca="false">IF($A5="","",MAX(F5*0.98,D5*0.92))</f>
        <v>8.3594</v>
      </c>
      <c r="Y5" s="34"/>
      <c r="Z5" s="37" t="str">
        <f aca="false">IF($A5="","",IFERROR(IF(AND(T5&gt;INDEX(账户总表!$C:$C,MATCH($A5,账户总表!$A:$A,0)),L5="是"),"是","否"),"否"))</f>
        <v>否</v>
      </c>
      <c r="AA5" s="39" t="n">
        <f aca="false">IF($A5="","",IFERROR(IF(Z5="是",MAX(0,T5-INDEX(账户总表!$C:$C,MATCH($A5,账户总表!$A:$A,0)),IF(N5&gt;0,T5/N5-INDEX(账户总表!$B:$B,MATCH($A5,账户总表!$A:$A,0)),0)),0),0))</f>
        <v>0</v>
      </c>
      <c r="AB5" s="39" t="e">
        <f aca="false">IF($A5="","",IF(AND(Z5="是",INDEX(账户总表!$U:$U,MATCH($A5,账户总表!$A:$A,0))="是"),IF(INDEX(账户总表!$L:$L,MATCH($A5,账户总表!$A:$A,0))&gt;=4,AA5*1.5,AA5),0))</f>
        <v>#N/A</v>
      </c>
      <c r="AC5" s="42" t="e">
        <f aca="false">IF($A5="","",IF(AND(L5="是",Q5&gt;=R5,S5&lt;=Q5,S5&gt;=R5,W5="是",X5&gt;0,M5="是",INDEX(账户总表!$M:$M,MATCH($A5,账户总表!$A:$A,0))&lt;=2,INDEX(账户总表!$V:$V,MATCH($A5,账户总表!$A:$A,0))="是",OR(T5&lt;=INDEX(账户总表!$C:$C,MATCH($A5,账户总表!$A:$A,0)),AND(Z5="是",INDEX(账户总表!$U:$U,MATCH($A5,账户总表!$A:$A,0))="是",AB5&gt;0))),"是","否"))</f>
        <v>#N/A</v>
      </c>
      <c r="AD5" s="37" t="str">
        <f aca="false">IF($A5="","",IF(L5&lt;&gt;"是","信号未确认",IF(X5&lt;=0,"止损价未定义",IF(Q5&lt;R5,"100股约束不满足",IF(S5&gt;Q5,"计划股数超单股上限",IF(S5&lt;R5,"计划股数低于最小门槛",IF(W5&lt;&gt;"是","总仓位超限",IF(M5&lt;&gt;"是","追价",IF(INDEX(账户总表!$M:$M,MATCH($A5,账户总表!$A:$A,0))&gt;2,"亏钱效应偏高",IF(INDEX(账户总表!$V:$V,MATCH($A5,账户总表!$A:$A,0))&lt;&gt;"是","账户不允许新开仓",IF(AND(T5&gt;INDEX(账户总表!$C:$C,MATCH($A5,账户总表!$A:$A,0)),INDEX(账户总表!$U:$U,MATCH($A5,账户总表!$A:$A,0))&lt;&gt;"是"),"现金不足且不允许转入",IF(AND(Z5="是",AB5&lt;=0),"转入金额未满足",""))))))))))))</f>
        <v>信号未确认</v>
      </c>
      <c r="AE5" s="33" t="s">
        <v>367</v>
      </c>
    </row>
    <row r="6" customFormat="false" ht="15" hidden="false" customHeight="true" outlineLevel="0" collapsed="false">
      <c r="A6" s="32" t="n">
        <v>46228</v>
      </c>
      <c r="B6" s="33" t="s">
        <v>368</v>
      </c>
      <c r="C6" s="34" t="s">
        <v>369</v>
      </c>
      <c r="D6" s="35" t="n">
        <v>13</v>
      </c>
      <c r="E6" s="35" t="n">
        <v>13</v>
      </c>
      <c r="F6" s="35" t="n">
        <v>12.35</v>
      </c>
      <c r="G6" s="36" t="n">
        <v>0.0452410520731715</v>
      </c>
      <c r="H6" s="34" t="n">
        <v>0.716190433688936</v>
      </c>
      <c r="I6" s="34" t="s">
        <v>141</v>
      </c>
      <c r="J6" s="33" t="s">
        <v>357</v>
      </c>
      <c r="K6" s="37" t="str">
        <f aca="false">IF($A6="","",IF(AND(G6&lt;45%,H6&gt;=0.9),"A",IF(AND(G6&lt;60%,H6&gt;0.8),"B","C")))</f>
        <v>C</v>
      </c>
      <c r="L6" s="37" t="str">
        <f aca="false">IF($A6="","",IF(AND(G6&lt;60%,H6&gt;0.8,I6="True"),"是","否"))</f>
        <v>否</v>
      </c>
      <c r="M6" s="37" t="str">
        <f aca="false">IF($A6="","",IF(AND(D6&gt;0,E6&gt;0,D6&lt;=E6*1.02),"是","否"))</f>
        <v>是</v>
      </c>
      <c r="N6" s="38" t="n">
        <f aca="false">IFERROR(INDEX(账户总表!$O:$O,MATCH($A6,账户总表!$A:$A,0)),0)</f>
        <v>0</v>
      </c>
      <c r="O6" s="39" t="n">
        <f aca="false">IFERROR(INDEX(账户总表!$B:$B,MATCH($A6,账户总表!$A:$A,0))*N6,0)</f>
        <v>0</v>
      </c>
      <c r="P6" s="40" t="n">
        <f aca="false">IFERROR(O6/D6,0)</f>
        <v>0</v>
      </c>
      <c r="Q6" s="40" t="n">
        <f aca="false">IFERROR(FLOOR(P6,100),0)</f>
        <v>0</v>
      </c>
      <c r="R6" s="40" t="n">
        <f aca="false">IFERROR(CEILING(800/(100*D6),1)*100,0)</f>
        <v>100</v>
      </c>
      <c r="S6" s="41"/>
      <c r="T6" s="39" t="n">
        <f aca="false">IFERROR(S6*D6,0)</f>
        <v>0</v>
      </c>
      <c r="U6" s="38" t="n">
        <f aca="false">IFERROR(T6/INDEX(账户总表!$B:$B,MATCH($A6,账户总表!$A:$A,0)),0)</f>
        <v>0</v>
      </c>
      <c r="V6" s="38" t="n">
        <f aca="false">IFERROR(INDEX(账户总表!$E:$E,MATCH($A6,账户总表!$A:$A,0))+U6,0)</f>
        <v>0</v>
      </c>
      <c r="W6" s="37" t="str">
        <f aca="false">IF($A6="","",IFERROR(IF(V6&lt;=INDEX(账户总表!$N:$N,MATCH($A6,账户总表!$A:$A,0)),"是","否"),"否"))</f>
        <v>否</v>
      </c>
      <c r="X6" s="39" t="n">
        <f aca="false">IF($A6="","",MAX(F6*0.98,D6*0.92))</f>
        <v>12.103</v>
      </c>
      <c r="Y6" s="34"/>
      <c r="Z6" s="37" t="str">
        <f aca="false">IF($A6="","",IFERROR(IF(AND(T6&gt;INDEX(账户总表!$C:$C,MATCH($A6,账户总表!$A:$A,0)),L6="是"),"是","否"),"否"))</f>
        <v>否</v>
      </c>
      <c r="AA6" s="39" t="n">
        <f aca="false">IF($A6="","",IFERROR(IF(Z6="是",MAX(0,T6-INDEX(账户总表!$C:$C,MATCH($A6,账户总表!$A:$A,0)),IF(N6&gt;0,T6/N6-INDEX(账户总表!$B:$B,MATCH($A6,账户总表!$A:$A,0)),0)),0),0))</f>
        <v>0</v>
      </c>
      <c r="AB6" s="39" t="e">
        <f aca="false">IF($A6="","",IF(AND(Z6="是",INDEX(账户总表!$U:$U,MATCH($A6,账户总表!$A:$A,0))="是"),IF(INDEX(账户总表!$L:$L,MATCH($A6,账户总表!$A:$A,0))&gt;=4,AA6*1.5,AA6),0))</f>
        <v>#N/A</v>
      </c>
      <c r="AC6" s="42" t="e">
        <f aca="false">IF($A6="","",IF(AND(L6="是",Q6&gt;=R6,S6&lt;=Q6,S6&gt;=R6,W6="是",X6&gt;0,M6="是",INDEX(账户总表!$M:$M,MATCH($A6,账户总表!$A:$A,0))&lt;=2,INDEX(账户总表!$V:$V,MATCH($A6,账户总表!$A:$A,0))="是",OR(T6&lt;=INDEX(账户总表!$C:$C,MATCH($A6,账户总表!$A:$A,0)),AND(Z6="是",INDEX(账户总表!$U:$U,MATCH($A6,账户总表!$A:$A,0))="是",AB6&gt;0))),"是","否"))</f>
        <v>#N/A</v>
      </c>
      <c r="AD6" s="37" t="str">
        <f aca="false">IF($A6="","",IF(L6&lt;&gt;"是","信号未确认",IF(X6&lt;=0,"止损价未定义",IF(Q6&lt;R6,"100股约束不满足",IF(S6&gt;Q6,"计划股数超单股上限",IF(S6&lt;R6,"计划股数低于最小门槛",IF(W6&lt;&gt;"是","总仓位超限",IF(M6&lt;&gt;"是","追价",IF(INDEX(账户总表!$M:$M,MATCH($A6,账户总表!$A:$A,0))&gt;2,"亏钱效应偏高",IF(INDEX(账户总表!$V:$V,MATCH($A6,账户总表!$A:$A,0))&lt;&gt;"是","账户不允许新开仓",IF(AND(T6&gt;INDEX(账户总表!$C:$C,MATCH($A6,账户总表!$A:$A,0)),INDEX(账户总表!$U:$U,MATCH($A6,账户总表!$A:$A,0))&lt;&gt;"是"),"现金不足且不允许转入",IF(AND(Z6="是",AB6&lt;=0),"转入金额未满足",""))))))))))))</f>
        <v>信号未确认</v>
      </c>
      <c r="AE6" s="33" t="s">
        <v>370</v>
      </c>
    </row>
    <row r="7" customFormat="false" ht="15" hidden="false" customHeight="true" outlineLevel="0" collapsed="false">
      <c r="A7" s="32" t="n">
        <v>46228</v>
      </c>
      <c r="B7" s="33" t="s">
        <v>371</v>
      </c>
      <c r="C7" s="34" t="s">
        <v>372</v>
      </c>
      <c r="D7" s="35" t="n">
        <v>11.2</v>
      </c>
      <c r="E7" s="35" t="n">
        <v>11.2</v>
      </c>
      <c r="F7" s="35" t="n">
        <v>10.64</v>
      </c>
      <c r="G7" s="36" t="n">
        <v>0.051630911702966</v>
      </c>
      <c r="H7" s="34" t="n">
        <v>0.617125316648342</v>
      </c>
      <c r="I7" s="34" t="s">
        <v>141</v>
      </c>
      <c r="J7" s="33" t="s">
        <v>357</v>
      </c>
      <c r="K7" s="37" t="str">
        <f aca="false">IF($A7="","",IF(AND(G7&lt;45%,H7&gt;=0.9),"A",IF(AND(G7&lt;60%,H7&gt;0.8),"B","C")))</f>
        <v>C</v>
      </c>
      <c r="L7" s="37" t="str">
        <f aca="false">IF($A7="","",IF(AND(G7&lt;60%,H7&gt;0.8,I7="True"),"是","否"))</f>
        <v>否</v>
      </c>
      <c r="M7" s="37" t="str">
        <f aca="false">IF($A7="","",IF(AND(D7&gt;0,E7&gt;0,D7&lt;=E7*1.02),"是","否"))</f>
        <v>是</v>
      </c>
      <c r="N7" s="38" t="n">
        <f aca="false">IFERROR(INDEX(账户总表!$O:$O,MATCH($A7,账户总表!$A:$A,0)),0)</f>
        <v>0</v>
      </c>
      <c r="O7" s="39" t="n">
        <f aca="false">IFERROR(INDEX(账户总表!$B:$B,MATCH($A7,账户总表!$A:$A,0))*N7,0)</f>
        <v>0</v>
      </c>
      <c r="P7" s="40" t="n">
        <f aca="false">IFERROR(O7/D7,0)</f>
        <v>0</v>
      </c>
      <c r="Q7" s="40" t="n">
        <f aca="false">IFERROR(FLOOR(P7,100),0)</f>
        <v>0</v>
      </c>
      <c r="R7" s="40" t="n">
        <f aca="false">IFERROR(CEILING(800/(100*D7),1)*100,0)</f>
        <v>100</v>
      </c>
      <c r="S7" s="41"/>
      <c r="T7" s="39" t="n">
        <f aca="false">IFERROR(S7*D7,0)</f>
        <v>0</v>
      </c>
      <c r="U7" s="38" t="n">
        <f aca="false">IFERROR(T7/INDEX(账户总表!$B:$B,MATCH($A7,账户总表!$A:$A,0)),0)</f>
        <v>0</v>
      </c>
      <c r="V7" s="38" t="n">
        <f aca="false">IFERROR(INDEX(账户总表!$E:$E,MATCH($A7,账户总表!$A:$A,0))+U7,0)</f>
        <v>0</v>
      </c>
      <c r="W7" s="37" t="str">
        <f aca="false">IF($A7="","",IFERROR(IF(V7&lt;=INDEX(账户总表!$N:$N,MATCH($A7,账户总表!$A:$A,0)),"是","否"),"否"))</f>
        <v>否</v>
      </c>
      <c r="X7" s="39" t="n">
        <f aca="false">IF($A7="","",MAX(F7*0.98,D7*0.92))</f>
        <v>10.4272</v>
      </c>
      <c r="Y7" s="34"/>
      <c r="Z7" s="37" t="str">
        <f aca="false">IF($A7="","",IFERROR(IF(AND(T7&gt;INDEX(账户总表!$C:$C,MATCH($A7,账户总表!$A:$A,0)),L7="是"),"是","否"),"否"))</f>
        <v>否</v>
      </c>
      <c r="AA7" s="39" t="n">
        <f aca="false">IF($A7="","",IFERROR(IF(Z7="是",MAX(0,T7-INDEX(账户总表!$C:$C,MATCH($A7,账户总表!$A:$A,0)),IF(N7&gt;0,T7/N7-INDEX(账户总表!$B:$B,MATCH($A7,账户总表!$A:$A,0)),0)),0),0))</f>
        <v>0</v>
      </c>
      <c r="AB7" s="39" t="e">
        <f aca="false">IF($A7="","",IF(AND(Z7="是",INDEX(账户总表!$U:$U,MATCH($A7,账户总表!$A:$A,0))="是"),IF(INDEX(账户总表!$L:$L,MATCH($A7,账户总表!$A:$A,0))&gt;=4,AA7*1.5,AA7),0))</f>
        <v>#N/A</v>
      </c>
      <c r="AC7" s="42" t="e">
        <f aca="false">IF($A7="","",IF(AND(L7="是",Q7&gt;=R7,S7&lt;=Q7,S7&gt;=R7,W7="是",X7&gt;0,M7="是",INDEX(账户总表!$M:$M,MATCH($A7,账户总表!$A:$A,0))&lt;=2,INDEX(账户总表!$V:$V,MATCH($A7,账户总表!$A:$A,0))="是",OR(T7&lt;=INDEX(账户总表!$C:$C,MATCH($A7,账户总表!$A:$A,0)),AND(Z7="是",INDEX(账户总表!$U:$U,MATCH($A7,账户总表!$A:$A,0))="是",AB7&gt;0))),"是","否"))</f>
        <v>#N/A</v>
      </c>
      <c r="AD7" s="37" t="str">
        <f aca="false">IF($A7="","",IF(L7&lt;&gt;"是","信号未确认",IF(X7&lt;=0,"止损价未定义",IF(Q7&lt;R7,"100股约束不满足",IF(S7&gt;Q7,"计划股数超单股上限",IF(S7&lt;R7,"计划股数低于最小门槛",IF(W7&lt;&gt;"是","总仓位超限",IF(M7&lt;&gt;"是","追价",IF(INDEX(账户总表!$M:$M,MATCH($A7,账户总表!$A:$A,0))&gt;2,"亏钱效应偏高",IF(INDEX(账户总表!$V:$V,MATCH($A7,账户总表!$A:$A,0))&lt;&gt;"是","账户不允许新开仓",IF(AND(T7&gt;INDEX(账户总表!$C:$C,MATCH($A7,账户总表!$A:$A,0)),INDEX(账户总表!$U:$U,MATCH($A7,账户总表!$A:$A,0))&lt;&gt;"是"),"现金不足且不允许转入",IF(AND(Z7="是",AB7&lt;=0),"转入金额未满足",""))))))))))))</f>
        <v>信号未确认</v>
      </c>
      <c r="AE7" s="33" t="s">
        <v>373</v>
      </c>
    </row>
    <row r="8" customFormat="false" ht="15" hidden="false" customHeight="true" outlineLevel="0" collapsed="false">
      <c r="A8" s="32" t="n">
        <v>46228</v>
      </c>
      <c r="B8" s="33" t="s">
        <v>374</v>
      </c>
      <c r="C8" s="34" t="s">
        <v>375</v>
      </c>
      <c r="D8" s="35" t="n">
        <v>125.82</v>
      </c>
      <c r="E8" s="35" t="n">
        <v>125.82</v>
      </c>
      <c r="F8" s="35" t="n">
        <v>119.53</v>
      </c>
      <c r="G8" s="36" t="n">
        <v>0.057991952019768</v>
      </c>
      <c r="H8" s="34" t="n">
        <v>0.755668742758877</v>
      </c>
      <c r="I8" s="34" t="s">
        <v>141</v>
      </c>
      <c r="J8" s="33" t="s">
        <v>357</v>
      </c>
      <c r="K8" s="37" t="str">
        <f aca="false">IF($A8="","",IF(AND(G8&lt;45%,H8&gt;=0.9),"A",IF(AND(G8&lt;60%,H8&gt;0.8),"B","C")))</f>
        <v>C</v>
      </c>
      <c r="L8" s="37" t="str">
        <f aca="false">IF($A8="","",IF(AND(G8&lt;60%,H8&gt;0.8,I8="True"),"是","否"))</f>
        <v>否</v>
      </c>
      <c r="M8" s="37" t="str">
        <f aca="false">IF($A8="","",IF(AND(D8&gt;0,E8&gt;0,D8&lt;=E8*1.02),"是","否"))</f>
        <v>是</v>
      </c>
      <c r="N8" s="38" t="n">
        <f aca="false">IFERROR(INDEX(账户总表!$O:$O,MATCH($A8,账户总表!$A:$A,0)),0)</f>
        <v>0</v>
      </c>
      <c r="O8" s="39" t="n">
        <f aca="false">IFERROR(INDEX(账户总表!$B:$B,MATCH($A8,账户总表!$A:$A,0))*N8,0)</f>
        <v>0</v>
      </c>
      <c r="P8" s="40" t="n">
        <f aca="false">IFERROR(O8/D8,0)</f>
        <v>0</v>
      </c>
      <c r="Q8" s="40" t="n">
        <f aca="false">IFERROR(FLOOR(P8,100),0)</f>
        <v>0</v>
      </c>
      <c r="R8" s="40" t="n">
        <f aca="false">IFERROR(CEILING(800/(100*D8),1)*100,0)</f>
        <v>100</v>
      </c>
      <c r="S8" s="41"/>
      <c r="T8" s="39" t="n">
        <f aca="false">IFERROR(S8*D8,0)</f>
        <v>0</v>
      </c>
      <c r="U8" s="38" t="n">
        <f aca="false">IFERROR(T8/INDEX(账户总表!$B:$B,MATCH($A8,账户总表!$A:$A,0)),0)</f>
        <v>0</v>
      </c>
      <c r="V8" s="38" t="n">
        <f aca="false">IFERROR(INDEX(账户总表!$E:$E,MATCH($A8,账户总表!$A:$A,0))+U8,0)</f>
        <v>0</v>
      </c>
      <c r="W8" s="37" t="str">
        <f aca="false">IF($A8="","",IFERROR(IF(V8&lt;=INDEX(账户总表!$N:$N,MATCH($A8,账户总表!$A:$A,0)),"是","否"),"否"))</f>
        <v>否</v>
      </c>
      <c r="X8" s="39" t="n">
        <f aca="false">IF($A8="","",MAX(F8*0.98,D8*0.92))</f>
        <v>117.1394</v>
      </c>
      <c r="Y8" s="34"/>
      <c r="Z8" s="37" t="str">
        <f aca="false">IF($A8="","",IFERROR(IF(AND(T8&gt;INDEX(账户总表!$C:$C,MATCH($A8,账户总表!$A:$A,0)),L8="是"),"是","否"),"否"))</f>
        <v>否</v>
      </c>
      <c r="AA8" s="39" t="n">
        <f aca="false">IF($A8="","",IFERROR(IF(Z8="是",MAX(0,T8-INDEX(账户总表!$C:$C,MATCH($A8,账户总表!$A:$A,0)),IF(N8&gt;0,T8/N8-INDEX(账户总表!$B:$B,MATCH($A8,账户总表!$A:$A,0)),0)),0),0))</f>
        <v>0</v>
      </c>
      <c r="AB8" s="39" t="e">
        <f aca="false">IF($A8="","",IF(AND(Z8="是",INDEX(账户总表!$U:$U,MATCH($A8,账户总表!$A:$A,0))="是"),IF(INDEX(账户总表!$L:$L,MATCH($A8,账户总表!$A:$A,0))&gt;=4,AA8*1.5,AA8),0))</f>
        <v>#N/A</v>
      </c>
      <c r="AC8" s="42" t="e">
        <f aca="false">IF($A8="","",IF(AND(L8="是",Q8&gt;=R8,S8&lt;=Q8,S8&gt;=R8,W8="是",X8&gt;0,M8="是",INDEX(账户总表!$M:$M,MATCH($A8,账户总表!$A:$A,0))&lt;=2,INDEX(账户总表!$V:$V,MATCH($A8,账户总表!$A:$A,0))="是",OR(T8&lt;=INDEX(账户总表!$C:$C,MATCH($A8,账户总表!$A:$A,0)),AND(Z8="是",INDEX(账户总表!$U:$U,MATCH($A8,账户总表!$A:$A,0))="是",AB8&gt;0))),"是","否"))</f>
        <v>#N/A</v>
      </c>
      <c r="AD8" s="37" t="str">
        <f aca="false">IF($A8="","",IF(L8&lt;&gt;"是","信号未确认",IF(X8&lt;=0,"止损价未定义",IF(Q8&lt;R8,"100股约束不满足",IF(S8&gt;Q8,"计划股数超单股上限",IF(S8&lt;R8,"计划股数低于最小门槛",IF(W8&lt;&gt;"是","总仓位超限",IF(M8&lt;&gt;"是","追价",IF(INDEX(账户总表!$M:$M,MATCH($A8,账户总表!$A:$A,0))&gt;2,"亏钱效应偏高",IF(INDEX(账户总表!$V:$V,MATCH($A8,账户总表!$A:$A,0))&lt;&gt;"是","账户不允许新开仓",IF(AND(T8&gt;INDEX(账户总表!$C:$C,MATCH($A8,账户总表!$A:$A,0)),INDEX(账户总表!$U:$U,MATCH($A8,账户总表!$A:$A,0))&lt;&gt;"是"),"现金不足且不允许转入",IF(AND(Z8="是",AB8&lt;=0),"转入金额未满足",""))))))))))))</f>
        <v>信号未确认</v>
      </c>
      <c r="AE8" s="33" t="s">
        <v>376</v>
      </c>
    </row>
    <row r="9" customFormat="false" ht="15" hidden="false" customHeight="true" outlineLevel="0" collapsed="false">
      <c r="A9" s="32" t="n">
        <v>46228</v>
      </c>
      <c r="B9" s="33" t="s">
        <v>377</v>
      </c>
      <c r="C9" s="34" t="s">
        <v>378</v>
      </c>
      <c r="D9" s="35" t="n">
        <v>7.55</v>
      </c>
      <c r="E9" s="35" t="n">
        <v>7.55</v>
      </c>
      <c r="F9" s="35" t="n">
        <v>7.17</v>
      </c>
      <c r="G9" s="36" t="n">
        <v>0.0589079141749576</v>
      </c>
      <c r="H9" s="34" t="n">
        <v>0.63308093457704</v>
      </c>
      <c r="I9" s="34" t="s">
        <v>141</v>
      </c>
      <c r="J9" s="33" t="s">
        <v>357</v>
      </c>
      <c r="K9" s="37" t="str">
        <f aca="false">IF($A9="","",IF(AND(G9&lt;45%,H9&gt;=0.9),"A",IF(AND(G9&lt;60%,H9&gt;0.8),"B","C")))</f>
        <v>C</v>
      </c>
      <c r="L9" s="37" t="str">
        <f aca="false">IF($A9="","",IF(AND(G9&lt;60%,H9&gt;0.8,I9="True"),"是","否"))</f>
        <v>否</v>
      </c>
      <c r="M9" s="37" t="str">
        <f aca="false">IF($A9="","",IF(AND(D9&gt;0,E9&gt;0,D9&lt;=E9*1.02),"是","否"))</f>
        <v>是</v>
      </c>
      <c r="N9" s="38" t="n">
        <f aca="false">IFERROR(INDEX(账户总表!$O:$O,MATCH($A9,账户总表!$A:$A,0)),0)</f>
        <v>0</v>
      </c>
      <c r="O9" s="39" t="n">
        <f aca="false">IFERROR(INDEX(账户总表!$B:$B,MATCH($A9,账户总表!$A:$A,0))*N9,0)</f>
        <v>0</v>
      </c>
      <c r="P9" s="40" t="n">
        <f aca="false">IFERROR(O9/D9,0)</f>
        <v>0</v>
      </c>
      <c r="Q9" s="40" t="n">
        <f aca="false">IFERROR(FLOOR(P9,100),0)</f>
        <v>0</v>
      </c>
      <c r="R9" s="40" t="n">
        <f aca="false">IFERROR(CEILING(800/(100*D9),1)*100,0)</f>
        <v>200</v>
      </c>
      <c r="S9" s="41"/>
      <c r="T9" s="39" t="n">
        <f aca="false">IFERROR(S9*D9,0)</f>
        <v>0</v>
      </c>
      <c r="U9" s="38" t="n">
        <f aca="false">IFERROR(T9/INDEX(账户总表!$B:$B,MATCH($A9,账户总表!$A:$A,0)),0)</f>
        <v>0</v>
      </c>
      <c r="V9" s="38" t="n">
        <f aca="false">IFERROR(INDEX(账户总表!$E:$E,MATCH($A9,账户总表!$A:$A,0))+U9,0)</f>
        <v>0</v>
      </c>
      <c r="W9" s="37" t="str">
        <f aca="false">IF($A9="","",IFERROR(IF(V9&lt;=INDEX(账户总表!$N:$N,MATCH($A9,账户总表!$A:$A,0)),"是","否"),"否"))</f>
        <v>否</v>
      </c>
      <c r="X9" s="39" t="n">
        <f aca="false">IF($A9="","",MAX(F9*0.98,D9*0.92))</f>
        <v>7.0266</v>
      </c>
      <c r="Y9" s="34"/>
      <c r="Z9" s="37" t="str">
        <f aca="false">IF($A9="","",IFERROR(IF(AND(T9&gt;INDEX(账户总表!$C:$C,MATCH($A9,账户总表!$A:$A,0)),L9="是"),"是","否"),"否"))</f>
        <v>否</v>
      </c>
      <c r="AA9" s="39" t="n">
        <f aca="false">IF($A9="","",IFERROR(IF(Z9="是",MAX(0,T9-INDEX(账户总表!$C:$C,MATCH($A9,账户总表!$A:$A,0)),IF(N9&gt;0,T9/N9-INDEX(账户总表!$B:$B,MATCH($A9,账户总表!$A:$A,0)),0)),0),0))</f>
        <v>0</v>
      </c>
      <c r="AB9" s="39" t="e">
        <f aca="false">IF($A9="","",IF(AND(Z9="是",INDEX(账户总表!$U:$U,MATCH($A9,账户总表!$A:$A,0))="是"),IF(INDEX(账户总表!$L:$L,MATCH($A9,账户总表!$A:$A,0))&gt;=4,AA9*1.5,AA9),0))</f>
        <v>#N/A</v>
      </c>
      <c r="AC9" s="42" t="e">
        <f aca="false">IF($A9="","",IF(AND(L9="是",Q9&gt;=R9,S9&lt;=Q9,S9&gt;=R9,W9="是",X9&gt;0,M9="是",INDEX(账户总表!$M:$M,MATCH($A9,账户总表!$A:$A,0))&lt;=2,INDEX(账户总表!$V:$V,MATCH($A9,账户总表!$A:$A,0))="是",OR(T9&lt;=INDEX(账户总表!$C:$C,MATCH($A9,账户总表!$A:$A,0)),AND(Z9="是",INDEX(账户总表!$U:$U,MATCH($A9,账户总表!$A:$A,0))="是",AB9&gt;0))),"是","否"))</f>
        <v>#N/A</v>
      </c>
      <c r="AD9" s="37" t="str">
        <f aca="false">IF($A9="","",IF(L9&lt;&gt;"是","信号未确认",IF(X9&lt;=0,"止损价未定义",IF(Q9&lt;R9,"100股约束不满足",IF(S9&gt;Q9,"计划股数超单股上限",IF(S9&lt;R9,"计划股数低于最小门槛",IF(W9&lt;&gt;"是","总仓位超限",IF(M9&lt;&gt;"是","追价",IF(INDEX(账户总表!$M:$M,MATCH($A9,账户总表!$A:$A,0))&gt;2,"亏钱效应偏高",IF(INDEX(账户总表!$V:$V,MATCH($A9,账户总表!$A:$A,0))&lt;&gt;"是","账户不允许新开仓",IF(AND(T9&gt;INDEX(账户总表!$C:$C,MATCH($A9,账户总表!$A:$A,0)),INDEX(账户总表!$U:$U,MATCH($A9,账户总表!$A:$A,0))&lt;&gt;"是"),"现金不足且不允许转入",IF(AND(Z9="是",AB9&lt;=0),"转入金额未满足",""))))))))))))</f>
        <v>信号未确认</v>
      </c>
      <c r="AE9" s="33" t="s">
        <v>367</v>
      </c>
    </row>
    <row r="10" customFormat="false" ht="15" hidden="false" customHeight="true" outlineLevel="0" collapsed="false">
      <c r="A10" s="32" t="n">
        <v>46228</v>
      </c>
      <c r="B10" s="33" t="s">
        <v>379</v>
      </c>
      <c r="C10" s="34" t="s">
        <v>380</v>
      </c>
      <c r="D10" s="35" t="n">
        <v>25.52</v>
      </c>
      <c r="E10" s="35" t="n">
        <v>25.52</v>
      </c>
      <c r="F10" s="35" t="n">
        <v>24.24</v>
      </c>
      <c r="G10" s="36" t="n">
        <v>0.063663124384341</v>
      </c>
      <c r="H10" s="34" t="n">
        <v>0.710225951560834</v>
      </c>
      <c r="I10" s="34" t="s">
        <v>141</v>
      </c>
      <c r="J10" s="33" t="s">
        <v>357</v>
      </c>
      <c r="K10" s="37" t="str">
        <f aca="false">IF($A10="","",IF(AND(G10&lt;45%,H10&gt;=0.9),"A",IF(AND(G10&lt;60%,H10&gt;0.8),"B","C")))</f>
        <v>C</v>
      </c>
      <c r="L10" s="37" t="str">
        <f aca="false">IF($A10="","",IF(AND(G10&lt;60%,H10&gt;0.8,I10="True"),"是","否"))</f>
        <v>否</v>
      </c>
      <c r="M10" s="37" t="str">
        <f aca="false">IF($A10="","",IF(AND(D10&gt;0,E10&gt;0,D10&lt;=E10*1.02),"是","否"))</f>
        <v>是</v>
      </c>
      <c r="N10" s="38" t="n">
        <f aca="false">IFERROR(INDEX(账户总表!$O:$O,MATCH($A10,账户总表!$A:$A,0)),0)</f>
        <v>0</v>
      </c>
      <c r="O10" s="39" t="n">
        <f aca="false">IFERROR(INDEX(账户总表!$B:$B,MATCH($A10,账户总表!$A:$A,0))*N10,0)</f>
        <v>0</v>
      </c>
      <c r="P10" s="40" t="n">
        <f aca="false">IFERROR(O10/D10,0)</f>
        <v>0</v>
      </c>
      <c r="Q10" s="40" t="n">
        <f aca="false">IFERROR(FLOOR(P10,100),0)</f>
        <v>0</v>
      </c>
      <c r="R10" s="40" t="n">
        <f aca="false">IFERROR(CEILING(800/(100*D10),1)*100,0)</f>
        <v>100</v>
      </c>
      <c r="S10" s="41"/>
      <c r="T10" s="39" t="n">
        <f aca="false">IFERROR(S10*D10,0)</f>
        <v>0</v>
      </c>
      <c r="U10" s="38" t="n">
        <f aca="false">IFERROR(T10/INDEX(账户总表!$B:$B,MATCH($A10,账户总表!$A:$A,0)),0)</f>
        <v>0</v>
      </c>
      <c r="V10" s="38" t="n">
        <f aca="false">IFERROR(INDEX(账户总表!$E:$E,MATCH($A10,账户总表!$A:$A,0))+U10,0)</f>
        <v>0</v>
      </c>
      <c r="W10" s="37" t="str">
        <f aca="false">IF($A10="","",IFERROR(IF(V10&lt;=INDEX(账户总表!$N:$N,MATCH($A10,账户总表!$A:$A,0)),"是","否"),"否"))</f>
        <v>否</v>
      </c>
      <c r="X10" s="39" t="n">
        <f aca="false">IF($A10="","",MAX(F10*0.98,D10*0.92))</f>
        <v>23.7552</v>
      </c>
      <c r="Y10" s="34"/>
      <c r="Z10" s="37" t="str">
        <f aca="false">IF($A10="","",IFERROR(IF(AND(T10&gt;INDEX(账户总表!$C:$C,MATCH($A10,账户总表!$A:$A,0)),L10="是"),"是","否"),"否"))</f>
        <v>否</v>
      </c>
      <c r="AA10" s="39" t="n">
        <f aca="false">IF($A10="","",IFERROR(IF(Z10="是",MAX(0,T10-INDEX(账户总表!$C:$C,MATCH($A10,账户总表!$A:$A,0)),IF(N10&gt;0,T10/N10-INDEX(账户总表!$B:$B,MATCH($A10,账户总表!$A:$A,0)),0)),0),0))</f>
        <v>0</v>
      </c>
      <c r="AB10" s="39" t="e">
        <f aca="false">IF($A10="","",IF(AND(Z10="是",INDEX(账户总表!$U:$U,MATCH($A10,账户总表!$A:$A,0))="是"),IF(INDEX(账户总表!$L:$L,MATCH($A10,账户总表!$A:$A,0))&gt;=4,AA10*1.5,AA10),0))</f>
        <v>#N/A</v>
      </c>
      <c r="AC10" s="42" t="e">
        <f aca="false">IF($A10="","",IF(AND(L10="是",Q10&gt;=R10,S10&lt;=Q10,S10&gt;=R10,W10="是",X10&gt;0,M10="是",INDEX(账户总表!$M:$M,MATCH($A10,账户总表!$A:$A,0))&lt;=2,INDEX(账户总表!$V:$V,MATCH($A10,账户总表!$A:$A,0))="是",OR(T10&lt;=INDEX(账户总表!$C:$C,MATCH($A10,账户总表!$A:$A,0)),AND(Z10="是",INDEX(账户总表!$U:$U,MATCH($A10,账户总表!$A:$A,0))="是",AB10&gt;0))),"是","否"))</f>
        <v>#N/A</v>
      </c>
      <c r="AD10" s="37" t="str">
        <f aca="false">IF($A10="","",IF(L10&lt;&gt;"是","信号未确认",IF(X10&lt;=0,"止损价未定义",IF(Q10&lt;R10,"100股约束不满足",IF(S10&gt;Q10,"计划股数超单股上限",IF(S10&lt;R10,"计划股数低于最小门槛",IF(W10&lt;&gt;"是","总仓位超限",IF(M10&lt;&gt;"是","追价",IF(INDEX(账户总表!$M:$M,MATCH($A10,账户总表!$A:$A,0))&gt;2,"亏钱效应偏高",IF(INDEX(账户总表!$V:$V,MATCH($A10,账户总表!$A:$A,0))&lt;&gt;"是","账户不允许新开仓",IF(AND(T10&gt;INDEX(账户总表!$C:$C,MATCH($A10,账户总表!$A:$A,0)),INDEX(账户总表!$U:$U,MATCH($A10,账户总表!$A:$A,0))&lt;&gt;"是"),"现金不足且不允许转入",IF(AND(Z10="是",AB10&lt;=0),"转入金额未满足",""))))))))))))</f>
        <v>信号未确认</v>
      </c>
      <c r="AE10" s="33" t="s">
        <v>364</v>
      </c>
    </row>
    <row r="11" customFormat="false" ht="15" hidden="false" customHeight="true" outlineLevel="0" collapsed="false">
      <c r="A11" s="32" t="n">
        <v>46228</v>
      </c>
      <c r="B11" s="33" t="s">
        <v>381</v>
      </c>
      <c r="C11" s="34" t="s">
        <v>382</v>
      </c>
      <c r="D11" s="35" t="n">
        <v>10.98</v>
      </c>
      <c r="E11" s="35" t="n">
        <v>10.98</v>
      </c>
      <c r="F11" s="35" t="n">
        <v>10.43</v>
      </c>
      <c r="G11" s="36" t="n">
        <v>0.0645645911000144</v>
      </c>
      <c r="H11" s="34" t="n">
        <v>0.662888419885632</v>
      </c>
      <c r="I11" s="34" t="s">
        <v>141</v>
      </c>
      <c r="J11" s="33" t="s">
        <v>357</v>
      </c>
      <c r="K11" s="37" t="str">
        <f aca="false">IF($A11="","",IF(AND(G11&lt;45%,H11&gt;=0.9),"A",IF(AND(G11&lt;60%,H11&gt;0.8),"B","C")))</f>
        <v>C</v>
      </c>
      <c r="L11" s="37" t="str">
        <f aca="false">IF($A11="","",IF(AND(G11&lt;60%,H11&gt;0.8,I11="True"),"是","否"))</f>
        <v>否</v>
      </c>
      <c r="M11" s="37" t="str">
        <f aca="false">IF($A11="","",IF(AND(D11&gt;0,E11&gt;0,D11&lt;=E11*1.02),"是","否"))</f>
        <v>是</v>
      </c>
      <c r="N11" s="38" t="n">
        <f aca="false">IFERROR(INDEX(账户总表!$O:$O,MATCH($A11,账户总表!$A:$A,0)),0)</f>
        <v>0</v>
      </c>
      <c r="O11" s="39" t="n">
        <f aca="false">IFERROR(INDEX(账户总表!$B:$B,MATCH($A11,账户总表!$A:$A,0))*N11,0)</f>
        <v>0</v>
      </c>
      <c r="P11" s="40" t="n">
        <f aca="false">IFERROR(O11/D11,0)</f>
        <v>0</v>
      </c>
      <c r="Q11" s="40" t="n">
        <f aca="false">IFERROR(FLOOR(P11,100),0)</f>
        <v>0</v>
      </c>
      <c r="R11" s="40" t="n">
        <f aca="false">IFERROR(CEILING(800/(100*D11),1)*100,0)</f>
        <v>100</v>
      </c>
      <c r="S11" s="41"/>
      <c r="T11" s="39" t="n">
        <f aca="false">IFERROR(S11*D11,0)</f>
        <v>0</v>
      </c>
      <c r="U11" s="38" t="n">
        <f aca="false">IFERROR(T11/INDEX(账户总表!$B:$B,MATCH($A11,账户总表!$A:$A,0)),0)</f>
        <v>0</v>
      </c>
      <c r="V11" s="38" t="n">
        <f aca="false">IFERROR(INDEX(账户总表!$E:$E,MATCH($A11,账户总表!$A:$A,0))+U11,0)</f>
        <v>0</v>
      </c>
      <c r="W11" s="37" t="str">
        <f aca="false">IF($A11="","",IFERROR(IF(V11&lt;=INDEX(账户总表!$N:$N,MATCH($A11,账户总表!$A:$A,0)),"是","否"),"否"))</f>
        <v>否</v>
      </c>
      <c r="X11" s="39" t="n">
        <f aca="false">IF($A11="","",MAX(F11*0.98,D11*0.92))</f>
        <v>10.2214</v>
      </c>
      <c r="Y11" s="34"/>
      <c r="Z11" s="37" t="str">
        <f aca="false">IF($A11="","",IFERROR(IF(AND(T11&gt;INDEX(账户总表!$C:$C,MATCH($A11,账户总表!$A:$A,0)),L11="是"),"是","否"),"否"))</f>
        <v>否</v>
      </c>
      <c r="AA11" s="39" t="n">
        <f aca="false">IF($A11="","",IFERROR(IF(Z11="是",MAX(0,T11-INDEX(账户总表!$C:$C,MATCH($A11,账户总表!$A:$A,0)),IF(N11&gt;0,T11/N11-INDEX(账户总表!$B:$B,MATCH($A11,账户总表!$A:$A,0)),0)),0),0))</f>
        <v>0</v>
      </c>
      <c r="AB11" s="39" t="e">
        <f aca="false">IF($A11="","",IF(AND(Z11="是",INDEX(账户总表!$U:$U,MATCH($A11,账户总表!$A:$A,0))="是"),IF(INDEX(账户总表!$L:$L,MATCH($A11,账户总表!$A:$A,0))&gt;=4,AA11*1.5,AA11),0))</f>
        <v>#N/A</v>
      </c>
      <c r="AC11" s="42" t="e">
        <f aca="false">IF($A11="","",IF(AND(L11="是",Q11&gt;=R11,S11&lt;=Q11,S11&gt;=R11,W11="是",X11&gt;0,M11="是",INDEX(账户总表!$M:$M,MATCH($A11,账户总表!$A:$A,0))&lt;=2,INDEX(账户总表!$V:$V,MATCH($A11,账户总表!$A:$A,0))="是",OR(T11&lt;=INDEX(账户总表!$C:$C,MATCH($A11,账户总表!$A:$A,0)),AND(Z11="是",INDEX(账户总表!$U:$U,MATCH($A11,账户总表!$A:$A,0))="是",AB11&gt;0))),"是","否"))</f>
        <v>#N/A</v>
      </c>
      <c r="AD11" s="37" t="str">
        <f aca="false">IF($A11="","",IF(L11&lt;&gt;"是","信号未确认",IF(X11&lt;=0,"止损价未定义",IF(Q11&lt;R11,"100股约束不满足",IF(S11&gt;Q11,"计划股数超单股上限",IF(S11&lt;R11,"计划股数低于最小门槛",IF(W11&lt;&gt;"是","总仓位超限",IF(M11&lt;&gt;"是","追价",IF(INDEX(账户总表!$M:$M,MATCH($A11,账户总表!$A:$A,0))&gt;2,"亏钱效应偏高",IF(INDEX(账户总表!$V:$V,MATCH($A11,账户总表!$A:$A,0))&lt;&gt;"是","账户不允许新开仓",IF(AND(T11&gt;INDEX(账户总表!$C:$C,MATCH($A11,账户总表!$A:$A,0)),INDEX(账户总表!$U:$U,MATCH($A11,账户总表!$A:$A,0))&lt;&gt;"是"),"现金不足且不允许转入",IF(AND(Z11="是",AB11&lt;=0),"转入金额未满足",""))))))))))))</f>
        <v>信号未确认</v>
      </c>
      <c r="AE11" s="33" t="s">
        <v>383</v>
      </c>
    </row>
    <row r="12" customFormat="false" ht="15" hidden="false" customHeight="true" outlineLevel="0" collapsed="false">
      <c r="A12" s="32" t="n">
        <v>46228</v>
      </c>
      <c r="B12" s="33" t="s">
        <v>384</v>
      </c>
      <c r="C12" s="34" t="s">
        <v>385</v>
      </c>
      <c r="D12" s="35" t="n">
        <v>10.22</v>
      </c>
      <c r="E12" s="35" t="n">
        <v>10.22</v>
      </c>
      <c r="F12" s="35" t="n">
        <v>9.71</v>
      </c>
      <c r="G12" s="36" t="n">
        <v>0.0647211278149669</v>
      </c>
      <c r="H12" s="34" t="n">
        <v>0.647647789639641</v>
      </c>
      <c r="I12" s="34" t="s">
        <v>141</v>
      </c>
      <c r="J12" s="33" t="s">
        <v>357</v>
      </c>
      <c r="K12" s="37" t="str">
        <f aca="false">IF($A12="","",IF(AND(G12&lt;45%,H12&gt;=0.9),"A",IF(AND(G12&lt;60%,H12&gt;0.8),"B","C")))</f>
        <v>C</v>
      </c>
      <c r="L12" s="37" t="str">
        <f aca="false">IF($A12="","",IF(AND(G12&lt;60%,H12&gt;0.8,I12="True"),"是","否"))</f>
        <v>否</v>
      </c>
      <c r="M12" s="37" t="str">
        <f aca="false">IF($A12="","",IF(AND(D12&gt;0,E12&gt;0,D12&lt;=E12*1.02),"是","否"))</f>
        <v>是</v>
      </c>
      <c r="N12" s="38" t="n">
        <f aca="false">IFERROR(INDEX(账户总表!$O:$O,MATCH($A12,账户总表!$A:$A,0)),0)</f>
        <v>0</v>
      </c>
      <c r="O12" s="39" t="n">
        <f aca="false">IFERROR(INDEX(账户总表!$B:$B,MATCH($A12,账户总表!$A:$A,0))*N12,0)</f>
        <v>0</v>
      </c>
      <c r="P12" s="40" t="n">
        <f aca="false">IFERROR(O12/D12,0)</f>
        <v>0</v>
      </c>
      <c r="Q12" s="40" t="n">
        <f aca="false">IFERROR(FLOOR(P12,100),0)</f>
        <v>0</v>
      </c>
      <c r="R12" s="40" t="n">
        <f aca="false">IFERROR(CEILING(800/(100*D12),1)*100,0)</f>
        <v>100</v>
      </c>
      <c r="S12" s="41"/>
      <c r="T12" s="39" t="n">
        <f aca="false">IFERROR(S12*D12,0)</f>
        <v>0</v>
      </c>
      <c r="U12" s="38" t="n">
        <f aca="false">IFERROR(T12/INDEX(账户总表!$B:$B,MATCH($A12,账户总表!$A:$A,0)),0)</f>
        <v>0</v>
      </c>
      <c r="V12" s="38" t="n">
        <f aca="false">IFERROR(INDEX(账户总表!$E:$E,MATCH($A12,账户总表!$A:$A,0))+U12,0)</f>
        <v>0</v>
      </c>
      <c r="W12" s="37" t="str">
        <f aca="false">IF($A12="","",IFERROR(IF(V12&lt;=INDEX(账户总表!$N:$N,MATCH($A12,账户总表!$A:$A,0)),"是","否"),"否"))</f>
        <v>否</v>
      </c>
      <c r="X12" s="39" t="n">
        <f aca="false">IF($A12="","",MAX(F12*0.98,D12*0.92))</f>
        <v>9.5158</v>
      </c>
      <c r="Y12" s="34"/>
      <c r="Z12" s="37" t="str">
        <f aca="false">IF($A12="","",IFERROR(IF(AND(T12&gt;INDEX(账户总表!$C:$C,MATCH($A12,账户总表!$A:$A,0)),L12="是"),"是","否"),"否"))</f>
        <v>否</v>
      </c>
      <c r="AA12" s="39" t="n">
        <f aca="false">IF($A12="","",IFERROR(IF(Z12="是",MAX(0,T12-INDEX(账户总表!$C:$C,MATCH($A12,账户总表!$A:$A,0)),IF(N12&gt;0,T12/N12-INDEX(账户总表!$B:$B,MATCH($A12,账户总表!$A:$A,0)),0)),0),0))</f>
        <v>0</v>
      </c>
      <c r="AB12" s="39" t="e">
        <f aca="false">IF($A12="","",IF(AND(Z12="是",INDEX(账户总表!$U:$U,MATCH($A12,账户总表!$A:$A,0))="是"),IF(INDEX(账户总表!$L:$L,MATCH($A12,账户总表!$A:$A,0))&gt;=4,AA12*1.5,AA12),0))</f>
        <v>#N/A</v>
      </c>
      <c r="AC12" s="42" t="e">
        <f aca="false">IF($A12="","",IF(AND(L12="是",Q12&gt;=R12,S12&lt;=Q12,S12&gt;=R12,W12="是",X12&gt;0,M12="是",INDEX(账户总表!$M:$M,MATCH($A12,账户总表!$A:$A,0))&lt;=2,INDEX(账户总表!$V:$V,MATCH($A12,账户总表!$A:$A,0))="是",OR(T12&lt;=INDEX(账户总表!$C:$C,MATCH($A12,账户总表!$A:$A,0)),AND(Z12="是",INDEX(账户总表!$U:$U,MATCH($A12,账户总表!$A:$A,0))="是",AB12&gt;0))),"是","否"))</f>
        <v>#N/A</v>
      </c>
      <c r="AD12" s="37" t="str">
        <f aca="false">IF($A12="","",IF(L12&lt;&gt;"是","信号未确认",IF(X12&lt;=0,"止损价未定义",IF(Q12&lt;R12,"100股约束不满足",IF(S12&gt;Q12,"计划股数超单股上限",IF(S12&lt;R12,"计划股数低于最小门槛",IF(W12&lt;&gt;"是","总仓位超限",IF(M12&lt;&gt;"是","追价",IF(INDEX(账户总表!$M:$M,MATCH($A12,账户总表!$A:$A,0))&gt;2,"亏钱效应偏高",IF(INDEX(账户总表!$V:$V,MATCH($A12,账户总表!$A:$A,0))&lt;&gt;"是","账户不允许新开仓",IF(AND(T12&gt;INDEX(账户总表!$C:$C,MATCH($A12,账户总表!$A:$A,0)),INDEX(账户总表!$U:$U,MATCH($A12,账户总表!$A:$A,0))&lt;&gt;"是"),"现金不足且不允许转入",IF(AND(Z12="是",AB12&lt;=0),"转入金额未满足",""))))))))))))</f>
        <v>信号未确认</v>
      </c>
      <c r="AE12" s="33" t="s">
        <v>386</v>
      </c>
    </row>
    <row r="13" customFormat="false" ht="15" hidden="false" customHeight="true" outlineLevel="0" collapsed="false">
      <c r="A13" s="32" t="n">
        <v>46228</v>
      </c>
      <c r="B13" s="33" t="s">
        <v>387</v>
      </c>
      <c r="C13" s="34" t="s">
        <v>388</v>
      </c>
      <c r="D13" s="35" t="n">
        <v>30.99</v>
      </c>
      <c r="E13" s="35" t="n">
        <v>30.99</v>
      </c>
      <c r="F13" s="35" t="n">
        <v>29.44</v>
      </c>
      <c r="G13" s="36" t="n">
        <v>0.0732697708700733</v>
      </c>
      <c r="H13" s="34" t="n">
        <v>0.735142963218818</v>
      </c>
      <c r="I13" s="34" t="s">
        <v>141</v>
      </c>
      <c r="J13" s="33" t="s">
        <v>357</v>
      </c>
      <c r="K13" s="37" t="str">
        <f aca="false">IF($A13="","",IF(AND(G13&lt;45%,H13&gt;=0.9),"A",IF(AND(G13&lt;60%,H13&gt;0.8),"B","C")))</f>
        <v>C</v>
      </c>
      <c r="L13" s="37" t="str">
        <f aca="false">IF($A13="","",IF(AND(G13&lt;60%,H13&gt;0.8,I13="True"),"是","否"))</f>
        <v>否</v>
      </c>
      <c r="M13" s="37" t="str">
        <f aca="false">IF($A13="","",IF(AND(D13&gt;0,E13&gt;0,D13&lt;=E13*1.02),"是","否"))</f>
        <v>是</v>
      </c>
      <c r="N13" s="38" t="n">
        <f aca="false">IFERROR(INDEX(账户总表!$O:$O,MATCH($A13,账户总表!$A:$A,0)),0)</f>
        <v>0</v>
      </c>
      <c r="O13" s="39" t="n">
        <f aca="false">IFERROR(INDEX(账户总表!$B:$B,MATCH($A13,账户总表!$A:$A,0))*N13,0)</f>
        <v>0</v>
      </c>
      <c r="P13" s="40" t="n">
        <f aca="false">IFERROR(O13/D13,0)</f>
        <v>0</v>
      </c>
      <c r="Q13" s="40" t="n">
        <f aca="false">IFERROR(FLOOR(P13,100),0)</f>
        <v>0</v>
      </c>
      <c r="R13" s="40" t="n">
        <f aca="false">IFERROR(CEILING(800/(100*D13),1)*100,0)</f>
        <v>100</v>
      </c>
      <c r="S13" s="41"/>
      <c r="T13" s="39" t="n">
        <f aca="false">IFERROR(S13*D13,0)</f>
        <v>0</v>
      </c>
      <c r="U13" s="38" t="n">
        <f aca="false">IFERROR(T13/INDEX(账户总表!$B:$B,MATCH($A13,账户总表!$A:$A,0)),0)</f>
        <v>0</v>
      </c>
      <c r="V13" s="38" t="n">
        <f aca="false">IFERROR(INDEX(账户总表!$E:$E,MATCH($A13,账户总表!$A:$A,0))+U13,0)</f>
        <v>0</v>
      </c>
      <c r="W13" s="37" t="str">
        <f aca="false">IF($A13="","",IFERROR(IF(V13&lt;=INDEX(账户总表!$N:$N,MATCH($A13,账户总表!$A:$A,0)),"是","否"),"否"))</f>
        <v>否</v>
      </c>
      <c r="X13" s="39" t="n">
        <f aca="false">IF($A13="","",MAX(F13*0.98,D13*0.92))</f>
        <v>28.8512</v>
      </c>
      <c r="Y13" s="34"/>
      <c r="Z13" s="37" t="str">
        <f aca="false">IF($A13="","",IFERROR(IF(AND(T13&gt;INDEX(账户总表!$C:$C,MATCH($A13,账户总表!$A:$A,0)),L13="是"),"是","否"),"否"))</f>
        <v>否</v>
      </c>
      <c r="AA13" s="39" t="n">
        <f aca="false">IF($A13="","",IFERROR(IF(Z13="是",MAX(0,T13-INDEX(账户总表!$C:$C,MATCH($A13,账户总表!$A:$A,0)),IF(N13&gt;0,T13/N13-INDEX(账户总表!$B:$B,MATCH($A13,账户总表!$A:$A,0)),0)),0),0))</f>
        <v>0</v>
      </c>
      <c r="AB13" s="39" t="e">
        <f aca="false">IF($A13="","",IF(AND(Z13="是",INDEX(账户总表!$U:$U,MATCH($A13,账户总表!$A:$A,0))="是"),IF(INDEX(账户总表!$L:$L,MATCH($A13,账户总表!$A:$A,0))&gt;=4,AA13*1.5,AA13),0))</f>
        <v>#N/A</v>
      </c>
      <c r="AC13" s="42" t="e">
        <f aca="false">IF($A13="","",IF(AND(L13="是",Q13&gt;=R13,S13&lt;=Q13,S13&gt;=R13,W13="是",X13&gt;0,M13="是",INDEX(账户总表!$M:$M,MATCH($A13,账户总表!$A:$A,0))&lt;=2,INDEX(账户总表!$V:$V,MATCH($A13,账户总表!$A:$A,0))="是",OR(T13&lt;=INDEX(账户总表!$C:$C,MATCH($A13,账户总表!$A:$A,0)),AND(Z13="是",INDEX(账户总表!$U:$U,MATCH($A13,账户总表!$A:$A,0))="是",AB13&gt;0))),"是","否"))</f>
        <v>#N/A</v>
      </c>
      <c r="AD13" s="37" t="str">
        <f aca="false">IF($A13="","",IF(L13&lt;&gt;"是","信号未确认",IF(X13&lt;=0,"止损价未定义",IF(Q13&lt;R13,"100股约束不满足",IF(S13&gt;Q13,"计划股数超单股上限",IF(S13&lt;R13,"计划股数低于最小门槛",IF(W13&lt;&gt;"是","总仓位超限",IF(M13&lt;&gt;"是","追价",IF(INDEX(账户总表!$M:$M,MATCH($A13,账户总表!$A:$A,0))&gt;2,"亏钱效应偏高",IF(INDEX(账户总表!$V:$V,MATCH($A13,账户总表!$A:$A,0))&lt;&gt;"是","账户不允许新开仓",IF(AND(T13&gt;INDEX(账户总表!$C:$C,MATCH($A13,账户总表!$A:$A,0)),INDEX(账户总表!$U:$U,MATCH($A13,账户总表!$A:$A,0))&lt;&gt;"是"),"现金不足且不允许转入",IF(AND(Z13="是",AB13&lt;=0),"转入金额未满足",""))))))))))))</f>
        <v>信号未确认</v>
      </c>
      <c r="AE13" s="33" t="s">
        <v>389</v>
      </c>
    </row>
    <row r="14" customFormat="false" ht="15" hidden="false" customHeight="true" outlineLevel="0" collapsed="false">
      <c r="A14" s="32" t="n">
        <v>46228</v>
      </c>
      <c r="B14" s="33" t="s">
        <v>390</v>
      </c>
      <c r="C14" s="34" t="s">
        <v>391</v>
      </c>
      <c r="D14" s="35" t="n">
        <v>53.3</v>
      </c>
      <c r="E14" s="35" t="n">
        <v>53.3</v>
      </c>
      <c r="F14" s="35" t="n">
        <v>50.63</v>
      </c>
      <c r="G14" s="36" t="n">
        <v>0.0742629317976731</v>
      </c>
      <c r="H14" s="34" t="n">
        <v>0.647686029460329</v>
      </c>
      <c r="I14" s="34" t="s">
        <v>141</v>
      </c>
      <c r="J14" s="33" t="s">
        <v>357</v>
      </c>
      <c r="K14" s="37" t="str">
        <f aca="false">IF($A14="","",IF(AND(G14&lt;45%,H14&gt;=0.9),"A",IF(AND(G14&lt;60%,H14&gt;0.8),"B","C")))</f>
        <v>C</v>
      </c>
      <c r="L14" s="37" t="str">
        <f aca="false">IF($A14="","",IF(AND(G14&lt;60%,H14&gt;0.8,I14="True"),"是","否"))</f>
        <v>否</v>
      </c>
      <c r="M14" s="37" t="str">
        <f aca="false">IF($A14="","",IF(AND(D14&gt;0,E14&gt;0,D14&lt;=E14*1.02),"是","否"))</f>
        <v>是</v>
      </c>
      <c r="N14" s="38" t="n">
        <f aca="false">IFERROR(INDEX(账户总表!$O:$O,MATCH($A14,账户总表!$A:$A,0)),0)</f>
        <v>0</v>
      </c>
      <c r="O14" s="39" t="n">
        <f aca="false">IFERROR(INDEX(账户总表!$B:$B,MATCH($A14,账户总表!$A:$A,0))*N14,0)</f>
        <v>0</v>
      </c>
      <c r="P14" s="40" t="n">
        <f aca="false">IFERROR(O14/D14,0)</f>
        <v>0</v>
      </c>
      <c r="Q14" s="40" t="n">
        <f aca="false">IFERROR(FLOOR(P14,100),0)</f>
        <v>0</v>
      </c>
      <c r="R14" s="40" t="n">
        <f aca="false">IFERROR(CEILING(800/(100*D14),1)*100,0)</f>
        <v>100</v>
      </c>
      <c r="S14" s="41"/>
      <c r="T14" s="39" t="n">
        <f aca="false">IFERROR(S14*D14,0)</f>
        <v>0</v>
      </c>
      <c r="U14" s="38" t="n">
        <f aca="false">IFERROR(T14/INDEX(账户总表!$B:$B,MATCH($A14,账户总表!$A:$A,0)),0)</f>
        <v>0</v>
      </c>
      <c r="V14" s="38" t="n">
        <f aca="false">IFERROR(INDEX(账户总表!$E:$E,MATCH($A14,账户总表!$A:$A,0))+U14,0)</f>
        <v>0</v>
      </c>
      <c r="W14" s="37" t="str">
        <f aca="false">IF($A14="","",IFERROR(IF(V14&lt;=INDEX(账户总表!$N:$N,MATCH($A14,账户总表!$A:$A,0)),"是","否"),"否"))</f>
        <v>否</v>
      </c>
      <c r="X14" s="39" t="n">
        <f aca="false">IF($A14="","",MAX(F14*0.98,D14*0.92))</f>
        <v>49.6174</v>
      </c>
      <c r="Y14" s="34"/>
      <c r="Z14" s="37" t="str">
        <f aca="false">IF($A14="","",IFERROR(IF(AND(T14&gt;INDEX(账户总表!$C:$C,MATCH($A14,账户总表!$A:$A,0)),L14="是"),"是","否"),"否"))</f>
        <v>否</v>
      </c>
      <c r="AA14" s="39" t="n">
        <f aca="false">IF($A14="","",IFERROR(IF(Z14="是",MAX(0,T14-INDEX(账户总表!$C:$C,MATCH($A14,账户总表!$A:$A,0)),IF(N14&gt;0,T14/N14-INDEX(账户总表!$B:$B,MATCH($A14,账户总表!$A:$A,0)),0)),0),0))</f>
        <v>0</v>
      </c>
      <c r="AB14" s="39" t="e">
        <f aca="false">IF($A14="","",IF(AND(Z14="是",INDEX(账户总表!$U:$U,MATCH($A14,账户总表!$A:$A,0))="是"),IF(INDEX(账户总表!$L:$L,MATCH($A14,账户总表!$A:$A,0))&gt;=4,AA14*1.5,AA14),0))</f>
        <v>#N/A</v>
      </c>
      <c r="AC14" s="42" t="e">
        <f aca="false">IF($A14="","",IF(AND(L14="是",Q14&gt;=R14,S14&lt;=Q14,S14&gt;=R14,W14="是",X14&gt;0,M14="是",INDEX(账户总表!$M:$M,MATCH($A14,账户总表!$A:$A,0))&lt;=2,INDEX(账户总表!$V:$V,MATCH($A14,账户总表!$A:$A,0))="是",OR(T14&lt;=INDEX(账户总表!$C:$C,MATCH($A14,账户总表!$A:$A,0)),AND(Z14="是",INDEX(账户总表!$U:$U,MATCH($A14,账户总表!$A:$A,0))="是",AB14&gt;0))),"是","否"))</f>
        <v>#N/A</v>
      </c>
      <c r="AD14" s="37" t="str">
        <f aca="false">IF($A14="","",IF(L14&lt;&gt;"是","信号未确认",IF(X14&lt;=0,"止损价未定义",IF(Q14&lt;R14,"100股约束不满足",IF(S14&gt;Q14,"计划股数超单股上限",IF(S14&lt;R14,"计划股数低于最小门槛",IF(W14&lt;&gt;"是","总仓位超限",IF(M14&lt;&gt;"是","追价",IF(INDEX(账户总表!$M:$M,MATCH($A14,账户总表!$A:$A,0))&gt;2,"亏钱效应偏高",IF(INDEX(账户总表!$V:$V,MATCH($A14,账户总表!$A:$A,0))&lt;&gt;"是","账户不允许新开仓",IF(AND(T14&gt;INDEX(账户总表!$C:$C,MATCH($A14,账户总表!$A:$A,0)),INDEX(账户总表!$U:$U,MATCH($A14,账户总表!$A:$A,0))&lt;&gt;"是"),"现金不足且不允许转入",IF(AND(Z14="是",AB14&lt;=0),"转入金额未满足",""))))))))))))</f>
        <v>信号未确认</v>
      </c>
      <c r="AE14" s="33" t="s">
        <v>386</v>
      </c>
    </row>
    <row r="15" customFormat="false" ht="15" hidden="false" customHeight="true" outlineLevel="0" collapsed="false">
      <c r="A15" s="32" t="n">
        <v>46228</v>
      </c>
      <c r="B15" s="33" t="s">
        <v>392</v>
      </c>
      <c r="C15" s="34" t="s">
        <v>393</v>
      </c>
      <c r="D15" s="35" t="n">
        <v>22.94</v>
      </c>
      <c r="E15" s="35" t="n">
        <v>22.94</v>
      </c>
      <c r="F15" s="35" t="n">
        <v>21.79</v>
      </c>
      <c r="G15" s="36" t="n">
        <v>0.0756618066366198</v>
      </c>
      <c r="H15" s="34" t="n">
        <v>0.683122762252364</v>
      </c>
      <c r="I15" s="34" t="s">
        <v>141</v>
      </c>
      <c r="J15" s="33" t="s">
        <v>357</v>
      </c>
      <c r="K15" s="37" t="str">
        <f aca="false">IF($A15="","",IF(AND(G15&lt;45%,H15&gt;=0.9),"A",IF(AND(G15&lt;60%,H15&gt;0.8),"B","C")))</f>
        <v>C</v>
      </c>
      <c r="L15" s="37" t="str">
        <f aca="false">IF($A15="","",IF(AND(G15&lt;60%,H15&gt;0.8,I15="True"),"是","否"))</f>
        <v>否</v>
      </c>
      <c r="M15" s="37" t="str">
        <f aca="false">IF($A15="","",IF(AND(D15&gt;0,E15&gt;0,D15&lt;=E15*1.02),"是","否"))</f>
        <v>是</v>
      </c>
      <c r="N15" s="38" t="n">
        <f aca="false">IFERROR(INDEX(账户总表!$O:$O,MATCH($A15,账户总表!$A:$A,0)),0)</f>
        <v>0</v>
      </c>
      <c r="O15" s="39" t="n">
        <f aca="false">IFERROR(INDEX(账户总表!$B:$B,MATCH($A15,账户总表!$A:$A,0))*N15,0)</f>
        <v>0</v>
      </c>
      <c r="P15" s="40" t="n">
        <f aca="false">IFERROR(O15/D15,0)</f>
        <v>0</v>
      </c>
      <c r="Q15" s="40" t="n">
        <f aca="false">IFERROR(FLOOR(P15,100),0)</f>
        <v>0</v>
      </c>
      <c r="R15" s="40" t="n">
        <f aca="false">IFERROR(CEILING(800/(100*D15),1)*100,0)</f>
        <v>100</v>
      </c>
      <c r="S15" s="41"/>
      <c r="T15" s="39" t="n">
        <f aca="false">IFERROR(S15*D15,0)</f>
        <v>0</v>
      </c>
      <c r="U15" s="38" t="n">
        <f aca="false">IFERROR(T15/INDEX(账户总表!$B:$B,MATCH($A15,账户总表!$A:$A,0)),0)</f>
        <v>0</v>
      </c>
      <c r="V15" s="38" t="n">
        <f aca="false">IFERROR(INDEX(账户总表!$E:$E,MATCH($A15,账户总表!$A:$A,0))+U15,0)</f>
        <v>0</v>
      </c>
      <c r="W15" s="37" t="str">
        <f aca="false">IF($A15="","",IFERROR(IF(V15&lt;=INDEX(账户总表!$N:$N,MATCH($A15,账户总表!$A:$A,0)),"是","否"),"否"))</f>
        <v>否</v>
      </c>
      <c r="X15" s="39" t="n">
        <f aca="false">IF($A15="","",MAX(F15*0.98,D15*0.92))</f>
        <v>21.3542</v>
      </c>
      <c r="Y15" s="34"/>
      <c r="Z15" s="37" t="str">
        <f aca="false">IF($A15="","",IFERROR(IF(AND(T15&gt;INDEX(账户总表!$C:$C,MATCH($A15,账户总表!$A:$A,0)),L15="是"),"是","否"),"否"))</f>
        <v>否</v>
      </c>
      <c r="AA15" s="39" t="n">
        <f aca="false">IF($A15="","",IFERROR(IF(Z15="是",MAX(0,T15-INDEX(账户总表!$C:$C,MATCH($A15,账户总表!$A:$A,0)),IF(N15&gt;0,T15/N15-INDEX(账户总表!$B:$B,MATCH($A15,账户总表!$A:$A,0)),0)),0),0))</f>
        <v>0</v>
      </c>
      <c r="AB15" s="39" t="e">
        <f aca="false">IF($A15="","",IF(AND(Z15="是",INDEX(账户总表!$U:$U,MATCH($A15,账户总表!$A:$A,0))="是"),IF(INDEX(账户总表!$L:$L,MATCH($A15,账户总表!$A:$A,0))&gt;=4,AA15*1.5,AA15),0))</f>
        <v>#N/A</v>
      </c>
      <c r="AC15" s="42" t="e">
        <f aca="false">IF($A15="","",IF(AND(L15="是",Q15&gt;=R15,S15&lt;=Q15,S15&gt;=R15,W15="是",X15&gt;0,M15="是",INDEX(账户总表!$M:$M,MATCH($A15,账户总表!$A:$A,0))&lt;=2,INDEX(账户总表!$V:$V,MATCH($A15,账户总表!$A:$A,0))="是",OR(T15&lt;=INDEX(账户总表!$C:$C,MATCH($A15,账户总表!$A:$A,0)),AND(Z15="是",INDEX(账户总表!$U:$U,MATCH($A15,账户总表!$A:$A,0))="是",AB15&gt;0))),"是","否"))</f>
        <v>#N/A</v>
      </c>
      <c r="AD15" s="37" t="str">
        <f aca="false">IF($A15="","",IF(L15&lt;&gt;"是","信号未确认",IF(X15&lt;=0,"止损价未定义",IF(Q15&lt;R15,"100股约束不满足",IF(S15&gt;Q15,"计划股数超单股上限",IF(S15&lt;R15,"计划股数低于最小门槛",IF(W15&lt;&gt;"是","总仓位超限",IF(M15&lt;&gt;"是","追价",IF(INDEX(账户总表!$M:$M,MATCH($A15,账户总表!$A:$A,0))&gt;2,"亏钱效应偏高",IF(INDEX(账户总表!$V:$V,MATCH($A15,账户总表!$A:$A,0))&lt;&gt;"是","账户不允许新开仓",IF(AND(T15&gt;INDEX(账户总表!$C:$C,MATCH($A15,账户总表!$A:$A,0)),INDEX(账户总表!$U:$U,MATCH($A15,账户总表!$A:$A,0))&lt;&gt;"是"),"现金不足且不允许转入",IF(AND(Z15="是",AB15&lt;=0),"转入金额未满足",""))))))))))))</f>
        <v>信号未确认</v>
      </c>
      <c r="AE15" s="33" t="s">
        <v>394</v>
      </c>
    </row>
    <row r="16" customFormat="false" ht="15" hidden="false" customHeight="true" outlineLevel="0" collapsed="false">
      <c r="A16" s="32" t="n">
        <v>46228</v>
      </c>
      <c r="B16" s="33" t="s">
        <v>395</v>
      </c>
      <c r="C16" s="34" t="s">
        <v>396</v>
      </c>
      <c r="D16" s="35" t="n">
        <v>23.73</v>
      </c>
      <c r="E16" s="35" t="n">
        <v>23.73</v>
      </c>
      <c r="F16" s="35" t="n">
        <v>22.54</v>
      </c>
      <c r="G16" s="36" t="n">
        <v>0.0781946777703709</v>
      </c>
      <c r="H16" s="34" t="n">
        <v>0.600641018078207</v>
      </c>
      <c r="I16" s="34" t="s">
        <v>141</v>
      </c>
      <c r="J16" s="33" t="s">
        <v>357</v>
      </c>
      <c r="K16" s="37" t="str">
        <f aca="false">IF($A16="","",IF(AND(G16&lt;45%,H16&gt;=0.9),"A",IF(AND(G16&lt;60%,H16&gt;0.8),"B","C")))</f>
        <v>C</v>
      </c>
      <c r="L16" s="37" t="str">
        <f aca="false">IF($A16="","",IF(AND(G16&lt;60%,H16&gt;0.8,I16="True"),"是","否"))</f>
        <v>否</v>
      </c>
      <c r="M16" s="37" t="str">
        <f aca="false">IF($A16="","",IF(AND(D16&gt;0,E16&gt;0,D16&lt;=E16*1.02),"是","否"))</f>
        <v>是</v>
      </c>
      <c r="N16" s="38" t="n">
        <f aca="false">IFERROR(INDEX(账户总表!$O:$O,MATCH($A16,账户总表!$A:$A,0)),0)</f>
        <v>0</v>
      </c>
      <c r="O16" s="39" t="n">
        <f aca="false">IFERROR(INDEX(账户总表!$B:$B,MATCH($A16,账户总表!$A:$A,0))*N16,0)</f>
        <v>0</v>
      </c>
      <c r="P16" s="40" t="n">
        <f aca="false">IFERROR(O16/D16,0)</f>
        <v>0</v>
      </c>
      <c r="Q16" s="40" t="n">
        <f aca="false">IFERROR(FLOOR(P16,100),0)</f>
        <v>0</v>
      </c>
      <c r="R16" s="40" t="n">
        <f aca="false">IFERROR(CEILING(800/(100*D16),1)*100,0)</f>
        <v>100</v>
      </c>
      <c r="S16" s="41"/>
      <c r="T16" s="39" t="n">
        <f aca="false">IFERROR(S16*D16,0)</f>
        <v>0</v>
      </c>
      <c r="U16" s="38" t="n">
        <f aca="false">IFERROR(T16/INDEX(账户总表!$B:$B,MATCH($A16,账户总表!$A:$A,0)),0)</f>
        <v>0</v>
      </c>
      <c r="V16" s="38" t="n">
        <f aca="false">IFERROR(INDEX(账户总表!$E:$E,MATCH($A16,账户总表!$A:$A,0))+U16,0)</f>
        <v>0</v>
      </c>
      <c r="W16" s="37" t="str">
        <f aca="false">IF($A16="","",IFERROR(IF(V16&lt;=INDEX(账户总表!$N:$N,MATCH($A16,账户总表!$A:$A,0)),"是","否"),"否"))</f>
        <v>否</v>
      </c>
      <c r="X16" s="39" t="n">
        <f aca="false">IF($A16="","",MAX(F16*0.98,D16*0.92))</f>
        <v>22.0892</v>
      </c>
      <c r="Y16" s="34"/>
      <c r="Z16" s="37" t="str">
        <f aca="false">IF($A16="","",IFERROR(IF(AND(T16&gt;INDEX(账户总表!$C:$C,MATCH($A16,账户总表!$A:$A,0)),L16="是"),"是","否"),"否"))</f>
        <v>否</v>
      </c>
      <c r="AA16" s="39" t="n">
        <f aca="false">IF($A16="","",IFERROR(IF(Z16="是",MAX(0,T16-INDEX(账户总表!$C:$C,MATCH($A16,账户总表!$A:$A,0)),IF(N16&gt;0,T16/N16-INDEX(账户总表!$B:$B,MATCH($A16,账户总表!$A:$A,0)),0)),0),0))</f>
        <v>0</v>
      </c>
      <c r="AB16" s="39" t="e">
        <f aca="false">IF($A16="","",IF(AND(Z16="是",INDEX(账户总表!$U:$U,MATCH($A16,账户总表!$A:$A,0))="是"),IF(INDEX(账户总表!$L:$L,MATCH($A16,账户总表!$A:$A,0))&gt;=4,AA16*1.5,AA16),0))</f>
        <v>#N/A</v>
      </c>
      <c r="AC16" s="42" t="e">
        <f aca="false">IF($A16="","",IF(AND(L16="是",Q16&gt;=R16,S16&lt;=Q16,S16&gt;=R16,W16="是",X16&gt;0,M16="是",INDEX(账户总表!$M:$M,MATCH($A16,账户总表!$A:$A,0))&lt;=2,INDEX(账户总表!$V:$V,MATCH($A16,账户总表!$A:$A,0))="是",OR(T16&lt;=INDEX(账户总表!$C:$C,MATCH($A16,账户总表!$A:$A,0)),AND(Z16="是",INDEX(账户总表!$U:$U,MATCH($A16,账户总表!$A:$A,0))="是",AB16&gt;0))),"是","否"))</f>
        <v>#N/A</v>
      </c>
      <c r="AD16" s="37" t="str">
        <f aca="false">IF($A16="","",IF(L16&lt;&gt;"是","信号未确认",IF(X16&lt;=0,"止损价未定义",IF(Q16&lt;R16,"100股约束不满足",IF(S16&gt;Q16,"计划股数超单股上限",IF(S16&lt;R16,"计划股数低于最小门槛",IF(W16&lt;&gt;"是","总仓位超限",IF(M16&lt;&gt;"是","追价",IF(INDEX(账户总表!$M:$M,MATCH($A16,账户总表!$A:$A,0))&gt;2,"亏钱效应偏高",IF(INDEX(账户总表!$V:$V,MATCH($A16,账户总表!$A:$A,0))&lt;&gt;"是","账户不允许新开仓",IF(AND(T16&gt;INDEX(账户总表!$C:$C,MATCH($A16,账户总表!$A:$A,0)),INDEX(账户总表!$U:$U,MATCH($A16,账户总表!$A:$A,0))&lt;&gt;"是"),"现金不足且不允许转入",IF(AND(Z16="是",AB16&lt;=0),"转入金额未满足",""))))))))))))</f>
        <v>信号未确认</v>
      </c>
      <c r="AE16" s="33" t="s">
        <v>397</v>
      </c>
    </row>
    <row r="17" customFormat="false" ht="15" hidden="false" customHeight="true" outlineLevel="0" collapsed="false">
      <c r="A17" s="43" t="n">
        <v>46228</v>
      </c>
      <c r="B17" s="44" t="s">
        <v>398</v>
      </c>
      <c r="C17" s="45" t="s">
        <v>399</v>
      </c>
      <c r="D17" s="46" t="n">
        <v>21.8</v>
      </c>
      <c r="E17" s="46" t="n">
        <v>21.8</v>
      </c>
      <c r="F17" s="46" t="n">
        <v>20.71</v>
      </c>
      <c r="G17" s="47" t="n">
        <v>0.21990287431725</v>
      </c>
      <c r="H17" s="45" t="n">
        <v>0.76348679379502</v>
      </c>
      <c r="I17" s="45" t="s">
        <v>141</v>
      </c>
      <c r="J17" s="44" t="s">
        <v>357</v>
      </c>
      <c r="K17" s="37" t="str">
        <f aca="false">IF($A17="","",IF(AND(G17&lt;45%,H17&gt;=0.9),"A",IF(AND(G17&lt;60%,H17&gt;0.8),"B","C")))</f>
        <v>C</v>
      </c>
      <c r="L17" s="37" t="str">
        <f aca="false">IF($A17="","",IF(AND(G17&lt;60%,H17&gt;0.8,I17="True"),"是","否"))</f>
        <v>否</v>
      </c>
      <c r="M17" s="37" t="str">
        <f aca="false">IF($A17="","",IF(AND(D17&gt;0,E17&gt;0,D17&lt;=E17*1.02),"是","否"))</f>
        <v>是</v>
      </c>
      <c r="N17" s="38" t="n">
        <f aca="false">IFERROR(INDEX(账户总表!$O:$O,MATCH($A17,账户总表!$A:$A,0)),0)</f>
        <v>0</v>
      </c>
      <c r="O17" s="39" t="n">
        <f aca="false">IFERROR(INDEX(账户总表!$B:$B,MATCH($A17,账户总表!$A:$A,0))*N17,0)</f>
        <v>0</v>
      </c>
      <c r="P17" s="40" t="n">
        <f aca="false">IFERROR(O17/D17,0)</f>
        <v>0</v>
      </c>
      <c r="Q17" s="40" t="n">
        <f aca="false">IFERROR(FLOOR(P17,100),0)</f>
        <v>0</v>
      </c>
      <c r="R17" s="40" t="n">
        <f aca="false">IFERROR(CEILING(800/(100*D17),1)*100,0)</f>
        <v>100</v>
      </c>
      <c r="S17" s="41"/>
      <c r="T17" s="39" t="n">
        <f aca="false">IFERROR(S17*D17,0)</f>
        <v>0</v>
      </c>
      <c r="U17" s="38" t="n">
        <f aca="false">IFERROR(T17/INDEX(账户总表!$B:$B,MATCH($A17,账户总表!$A:$A,0)),0)</f>
        <v>0</v>
      </c>
      <c r="V17" s="38" t="n">
        <f aca="false">IFERROR(INDEX(账户总表!$E:$E,MATCH($A17,账户总表!$A:$A,0))+U17,0)</f>
        <v>0</v>
      </c>
      <c r="W17" s="37" t="str">
        <f aca="false">IF($A17="","",IFERROR(IF(V17&lt;=INDEX(账户总表!$N:$N,MATCH($A17,账户总表!$A:$A,0)),"是","否"),"否"))</f>
        <v>否</v>
      </c>
      <c r="X17" s="39" t="n">
        <f aca="false">IF($A17="","",MAX(F17*0.98,D17*0.92))</f>
        <v>20.2958</v>
      </c>
      <c r="Y17" s="34"/>
      <c r="Z17" s="37" t="str">
        <f aca="false">IF($A17="","",IFERROR(IF(AND(T17&gt;INDEX(账户总表!$C:$C,MATCH($A17,账户总表!$A:$A,0)),L17="是"),"是","否"),"否"))</f>
        <v>否</v>
      </c>
      <c r="AA17" s="39" t="n">
        <f aca="false">IF($A17="","",IFERROR(IF(Z17="是",MAX(0,T17-INDEX(账户总表!$C:$C,MATCH($A17,账户总表!$A:$A,0)),IF(N17&gt;0,T17/N17-INDEX(账户总表!$B:$B,MATCH($A17,账户总表!$A:$A,0)),0)),0),0))</f>
        <v>0</v>
      </c>
      <c r="AB17" s="39" t="e">
        <f aca="false">IF($A17="","",IF(AND(Z17="是",INDEX(账户总表!$U:$U,MATCH($A17,账户总表!$A:$A,0))="是"),IF(INDEX(账户总表!$L:$L,MATCH($A17,账户总表!$A:$A,0))&gt;=4,AA17*1.5,AA17),0))</f>
        <v>#N/A</v>
      </c>
      <c r="AC17" s="42" t="e">
        <f aca="false">IF($A17="","",IF(AND(L17="是",Q17&gt;=R17,S17&lt;=Q17,S17&gt;=R17,W17="是",X17&gt;0,M17="是",INDEX(账户总表!$M:$M,MATCH($A17,账户总表!$A:$A,0))&lt;=2,INDEX(账户总表!$V:$V,MATCH($A17,账户总表!$A:$A,0))="是",OR(T17&lt;=INDEX(账户总表!$C:$C,MATCH($A17,账户总表!$A:$A,0)),AND(Z17="是",INDEX(账户总表!$U:$U,MATCH($A17,账户总表!$A:$A,0))="是",AB17&gt;0))),"是","否"))</f>
        <v>#N/A</v>
      </c>
      <c r="AD17" s="37" t="str">
        <f aca="false">IF($A17="","",IF(L17&lt;&gt;"是","信号未确认",IF(X17&lt;=0,"止损价未定义",IF(Q17&lt;R17,"100股约束不满足",IF(S17&gt;Q17,"计划股数超单股上限",IF(S17&lt;R17,"计划股数低于最小门槛",IF(W17&lt;&gt;"是","总仓位超限",IF(M17&lt;&gt;"是","追价",IF(INDEX(账户总表!$M:$M,MATCH($A17,账户总表!$A:$A,0))&gt;2,"亏钱效应偏高",IF(INDEX(账户总表!$V:$V,MATCH($A17,账户总表!$A:$A,0))&lt;&gt;"是","账户不允许新开仓",IF(AND(T17&gt;INDEX(账户总表!$C:$C,MATCH($A17,账户总表!$A:$A,0)),INDEX(账户总表!$U:$U,MATCH($A17,账户总表!$A:$A,0))&lt;&gt;"是"),"现金不足且不允许转入",IF(AND(Z17="是",AB17&lt;=0),"转入金额未满足",""))))))))))))</f>
        <v>信号未确认</v>
      </c>
      <c r="AE17" s="44" t="s">
        <v>400</v>
      </c>
    </row>
    <row r="18" customFormat="false" ht="15" hidden="false" customHeight="true" outlineLevel="0" collapsed="false">
      <c r="A18" s="43"/>
      <c r="B18" s="44"/>
      <c r="C18" s="45"/>
      <c r="D18" s="46"/>
      <c r="E18" s="46"/>
      <c r="F18" s="46"/>
      <c r="G18" s="47"/>
      <c r="H18" s="45"/>
      <c r="I18" s="45"/>
      <c r="J18" s="44"/>
      <c r="K18" s="37" t="str">
        <f aca="false">IF($A18="","",IF(AND(G18&lt;45%,H18&gt;=0.9),"A",IF(AND(G18&lt;60%,H18&gt;0.8),"B","C")))</f>
        <v/>
      </c>
      <c r="L18" s="37" t="str">
        <f aca="false">IF($A18="","",IF(AND(G18&lt;60%,H18&gt;0.8,I18="True"),"是","否"))</f>
        <v/>
      </c>
      <c r="M18" s="37" t="str">
        <f aca="false">IF($A18="","",IF(AND(D18&gt;0,E18&gt;0,D18&lt;=E18*1.02),"是","否"))</f>
        <v/>
      </c>
      <c r="N18" s="38" t="n">
        <f aca="false">IFERROR(INDEX(账户总表!$O:$O,MATCH($A18,账户总表!$A:$A,0)),0)</f>
        <v>0</v>
      </c>
      <c r="O18" s="39" t="n">
        <f aca="false">IFERROR(INDEX(账户总表!$B:$B,MATCH($A18,账户总表!$A:$A,0))*N18,0)</f>
        <v>0</v>
      </c>
      <c r="P18" s="40" t="n">
        <f aca="false">IFERROR(O18/D18,0)</f>
        <v>0</v>
      </c>
      <c r="Q18" s="40" t="n">
        <f aca="false">IFERROR(FLOOR(P18,100),0)</f>
        <v>0</v>
      </c>
      <c r="R18" s="40" t="n">
        <f aca="false">IFERROR(CEILING(800/(100*D18),1)*100,0)</f>
        <v>0</v>
      </c>
      <c r="S18" s="41"/>
      <c r="T18" s="39" t="n">
        <f aca="false">IFERROR(S18*D18,0)</f>
        <v>0</v>
      </c>
      <c r="U18" s="38" t="n">
        <f aca="false">IFERROR(T18/INDEX(账户总表!$B:$B,MATCH($A18,账户总表!$A:$A,0)),0)</f>
        <v>0</v>
      </c>
      <c r="V18" s="38" t="n">
        <f aca="false">IFERROR(INDEX(账户总表!$E:$E,MATCH($A18,账户总表!$A:$A,0))+U18,0)</f>
        <v>0</v>
      </c>
      <c r="W18" s="37" t="str">
        <f aca="false">IF($A18="","",IFERROR(IF(V18&lt;=INDEX(账户总表!$N:$N,MATCH($A18,账户总表!$A:$A,0)),"是","否"),"否"))</f>
        <v/>
      </c>
      <c r="X18" s="39" t="str">
        <f aca="false">IF($A18="","",MAX(F18*0.98,D18*0.92))</f>
        <v/>
      </c>
      <c r="Y18" s="34"/>
      <c r="Z18" s="37" t="str">
        <f aca="false">IF($A18="","",IFERROR(IF(AND(T18&gt;INDEX(账户总表!$C:$C,MATCH($A18,账户总表!$A:$A,0)),L18="是"),"是","否"),"否"))</f>
        <v/>
      </c>
      <c r="AA18" s="39" t="str">
        <f aca="false">IF($A18="","",IFERROR(IF(Z18="是",MAX(0,T18-INDEX(账户总表!$C:$C,MATCH($A18,账户总表!$A:$A,0)),IF(N18&gt;0,T18/N18-INDEX(账户总表!$B:$B,MATCH($A18,账户总表!$A:$A,0)),0)),0),0))</f>
        <v/>
      </c>
      <c r="AB18" s="39" t="str">
        <f aca="false">IF($A18="","",IF(AND(Z18="是",INDEX(账户总表!$U:$U,MATCH($A18,账户总表!$A:$A,0))="是"),IF(INDEX(账户总表!$L:$L,MATCH($A18,账户总表!$A:$A,0))&gt;=4,AA18*1.5,AA18),0))</f>
        <v/>
      </c>
      <c r="AC18" s="42" t="str">
        <f aca="false">IF($A18="","",IF(AND(L18="是",Q18&gt;=R18,S18&lt;=Q18,S18&gt;=R18,W18="是",X18&gt;0,M18="是",INDEX(账户总表!$M:$M,MATCH($A18,账户总表!$A:$A,0))&lt;=2,INDEX(账户总表!$V:$V,MATCH($A18,账户总表!$A:$A,0))="是",OR(T18&lt;=INDEX(账户总表!$C:$C,MATCH($A18,账户总表!$A:$A,0)),AND(Z18="是",INDEX(账户总表!$U:$U,MATCH($A18,账户总表!$A:$A,0))="是",AB18&gt;0))),"是","否"))</f>
        <v/>
      </c>
      <c r="AD18" s="37" t="str">
        <f aca="false">IF($A18="","",IF(L18&lt;&gt;"是","信号未确认",IF(X18&lt;=0,"止损价未定义",IF(Q18&lt;R18,"100股约束不满足",IF(S18&gt;Q18,"计划股数超单股上限",IF(S18&lt;R18,"计划股数低于最小门槛",IF(W18&lt;&gt;"是","总仓位超限",IF(M18&lt;&gt;"是","追价",IF(INDEX(账户总表!$M:$M,MATCH($A18,账户总表!$A:$A,0))&gt;2,"亏钱效应偏高",IF(INDEX(账户总表!$V:$V,MATCH($A18,账户总表!$A:$A,0))&lt;&gt;"是","账户不允许新开仓",IF(AND(T18&gt;INDEX(账户总表!$C:$C,MATCH($A18,账户总表!$A:$A,0)),INDEX(账户总表!$U:$U,MATCH($A18,账户总表!$A:$A,0))&lt;&gt;"是"),"现金不足且不允许转入",IF(AND(Z18="是",AB18&lt;=0),"转入金额未满足",""))))))))))))</f>
        <v/>
      </c>
      <c r="AE18" s="44"/>
    </row>
    <row r="19" customFormat="false" ht="15" hidden="false" customHeight="true" outlineLevel="0" collapsed="false">
      <c r="A19" s="32"/>
      <c r="B19" s="33"/>
      <c r="C19" s="34"/>
      <c r="D19" s="35"/>
      <c r="E19" s="35"/>
      <c r="F19" s="35"/>
      <c r="G19" s="36"/>
      <c r="H19" s="34"/>
      <c r="I19" s="34"/>
      <c r="J19" s="33"/>
      <c r="K19" s="37" t="str">
        <f aca="false">IF($A19="","",IF(AND(G19&lt;45%,H19&gt;=0.9),"A",IF(AND(G19&lt;60%,H19&gt;0.8),"B","C")))</f>
        <v/>
      </c>
      <c r="L19" s="37" t="str">
        <f aca="false">IF($A19="","",IF(AND(G19&lt;60%,H19&gt;0.8,I19="True"),"是","否"))</f>
        <v/>
      </c>
      <c r="M19" s="37" t="str">
        <f aca="false">IF($A19="","",IF(AND(D19&gt;0,E19&gt;0,D19&lt;=E19*1.02),"是","否"))</f>
        <v/>
      </c>
      <c r="N19" s="38" t="n">
        <f aca="false">IFERROR(INDEX(账户总表!$O:$O,MATCH($A19,账户总表!$A:$A,0)),0)</f>
        <v>0</v>
      </c>
      <c r="O19" s="39" t="n">
        <f aca="false">IFERROR(INDEX(账户总表!$B:$B,MATCH($A19,账户总表!$A:$A,0))*N19,0)</f>
        <v>0</v>
      </c>
      <c r="P19" s="40" t="n">
        <f aca="false">IFERROR(O19/D19,0)</f>
        <v>0</v>
      </c>
      <c r="Q19" s="40" t="n">
        <f aca="false">IFERROR(FLOOR(P19,100),0)</f>
        <v>0</v>
      </c>
      <c r="R19" s="40" t="n">
        <f aca="false">IFERROR(CEILING(800/(100*D19),1)*100,0)</f>
        <v>0</v>
      </c>
      <c r="S19" s="41"/>
      <c r="T19" s="39" t="n">
        <f aca="false">IFERROR(S19*D19,0)</f>
        <v>0</v>
      </c>
      <c r="U19" s="38" t="n">
        <f aca="false">IFERROR(T19/INDEX(账户总表!$B:$B,MATCH($A19,账户总表!$A:$A,0)),0)</f>
        <v>0</v>
      </c>
      <c r="V19" s="38" t="n">
        <f aca="false">IFERROR(INDEX(账户总表!$E:$E,MATCH($A19,账户总表!$A:$A,0))+U19,0)</f>
        <v>0</v>
      </c>
      <c r="W19" s="37" t="str">
        <f aca="false">IF($A19="","",IFERROR(IF(V19&lt;=INDEX(账户总表!$N:$N,MATCH($A19,账户总表!$A:$A,0)),"是","否"),"否"))</f>
        <v/>
      </c>
      <c r="X19" s="39" t="str">
        <f aca="false">IF($A19="","",MAX(F19*0.98,D19*0.92))</f>
        <v/>
      </c>
      <c r="Y19" s="34"/>
      <c r="Z19" s="37" t="str">
        <f aca="false">IF($A19="","",IFERROR(IF(AND(T19&gt;INDEX(账户总表!$C:$C,MATCH($A19,账户总表!$A:$A,0)),L19="是"),"是","否"),"否"))</f>
        <v/>
      </c>
      <c r="AA19" s="39" t="str">
        <f aca="false">IF($A19="","",IFERROR(IF(Z19="是",MAX(0,T19-INDEX(账户总表!$C:$C,MATCH($A19,账户总表!$A:$A,0)),IF(N19&gt;0,T19/N19-INDEX(账户总表!$B:$B,MATCH($A19,账户总表!$A:$A,0)),0)),0),0))</f>
        <v/>
      </c>
      <c r="AB19" s="39" t="str">
        <f aca="false">IF($A19="","",IF(AND(Z19="是",INDEX(账户总表!$U:$U,MATCH($A19,账户总表!$A:$A,0))="是"),IF(INDEX(账户总表!$L:$L,MATCH($A19,账户总表!$A:$A,0))&gt;=4,AA19*1.5,AA19),0))</f>
        <v/>
      </c>
      <c r="AC19" s="42" t="str">
        <f aca="false">IF($A19="","",IF(AND(L19="是",Q19&gt;=R19,S19&lt;=Q19,S19&gt;=R19,W19="是",X19&gt;0,M19="是",INDEX(账户总表!$M:$M,MATCH($A19,账户总表!$A:$A,0))&lt;=2,INDEX(账户总表!$V:$V,MATCH($A19,账户总表!$A:$A,0))="是",OR(T19&lt;=INDEX(账户总表!$C:$C,MATCH($A19,账户总表!$A:$A,0)),AND(Z19="是",INDEX(账户总表!$U:$U,MATCH($A19,账户总表!$A:$A,0))="是",AB19&gt;0))),"是","否"))</f>
        <v/>
      </c>
      <c r="AD19" s="37" t="str">
        <f aca="false">IF($A19="","",IF(L19&lt;&gt;"是","信号未确认",IF(X19&lt;=0,"止损价未定义",IF(Q19&lt;R19,"100股约束不满足",IF(S19&gt;Q19,"计划股数超单股上限",IF(S19&lt;R19,"计划股数低于最小门槛",IF(W19&lt;&gt;"是","总仓位超限",IF(M19&lt;&gt;"是","追价",IF(INDEX(账户总表!$M:$M,MATCH($A19,账户总表!$A:$A,0))&gt;2,"亏钱效应偏高",IF(INDEX(账户总表!$V:$V,MATCH($A19,账户总表!$A:$A,0))&lt;&gt;"是","账户不允许新开仓",IF(AND(T19&gt;INDEX(账户总表!$C:$C,MATCH($A19,账户总表!$A:$A,0)),INDEX(账户总表!$U:$U,MATCH($A19,账户总表!$A:$A,0))&lt;&gt;"是"),"现金不足且不允许转入",IF(AND(Z19="是",AB19&lt;=0),"转入金额未满足",""))))))))))))</f>
        <v/>
      </c>
      <c r="AE19" s="33"/>
    </row>
    <row r="20" customFormat="false" ht="15" hidden="false" customHeight="true" outlineLevel="0" collapsed="false">
      <c r="A20" s="32"/>
      <c r="B20" s="33"/>
      <c r="C20" s="34"/>
      <c r="D20" s="35"/>
      <c r="E20" s="35"/>
      <c r="F20" s="35"/>
      <c r="G20" s="36"/>
      <c r="H20" s="34"/>
      <c r="I20" s="34"/>
      <c r="J20" s="33"/>
      <c r="K20" s="37" t="str">
        <f aca="false">IF($A20="","",IF(AND(G20&lt;45%,H20&gt;=0.9),"A",IF(AND(G20&lt;60%,H20&gt;0.8),"B","C")))</f>
        <v/>
      </c>
      <c r="L20" s="37" t="str">
        <f aca="false">IF($A20="","",IF(AND(G20&lt;60%,H20&gt;0.8,I20="True"),"是","否"))</f>
        <v/>
      </c>
      <c r="M20" s="37" t="str">
        <f aca="false">IF($A20="","",IF(AND(D20&gt;0,E20&gt;0,D20&lt;=E20*1.02),"是","否"))</f>
        <v/>
      </c>
      <c r="N20" s="38" t="n">
        <f aca="false">IFERROR(INDEX(账户总表!$O:$O,MATCH($A20,账户总表!$A:$A,0)),0)</f>
        <v>0</v>
      </c>
      <c r="O20" s="39" t="n">
        <f aca="false">IFERROR(INDEX(账户总表!$B:$B,MATCH($A20,账户总表!$A:$A,0))*N20,0)</f>
        <v>0</v>
      </c>
      <c r="P20" s="40" t="n">
        <f aca="false">IFERROR(O20/D20,0)</f>
        <v>0</v>
      </c>
      <c r="Q20" s="40" t="n">
        <f aca="false">IFERROR(FLOOR(P20,100),0)</f>
        <v>0</v>
      </c>
      <c r="R20" s="40" t="n">
        <f aca="false">IFERROR(CEILING(800/(100*D20),1)*100,0)</f>
        <v>0</v>
      </c>
      <c r="S20" s="41"/>
      <c r="T20" s="39" t="n">
        <f aca="false">IFERROR(S20*D20,0)</f>
        <v>0</v>
      </c>
      <c r="U20" s="38" t="n">
        <f aca="false">IFERROR(T20/INDEX(账户总表!$B:$B,MATCH($A20,账户总表!$A:$A,0)),0)</f>
        <v>0</v>
      </c>
      <c r="V20" s="38" t="n">
        <f aca="false">IFERROR(INDEX(账户总表!$E:$E,MATCH($A20,账户总表!$A:$A,0))+U20,0)</f>
        <v>0</v>
      </c>
      <c r="W20" s="37" t="str">
        <f aca="false">IF($A20="","",IFERROR(IF(V20&lt;=INDEX(账户总表!$N:$N,MATCH($A20,账户总表!$A:$A,0)),"是","否"),"否"))</f>
        <v/>
      </c>
      <c r="X20" s="39" t="str">
        <f aca="false">IF($A20="","",MAX(F20*0.98,D20*0.92))</f>
        <v/>
      </c>
      <c r="Y20" s="34"/>
      <c r="Z20" s="37" t="str">
        <f aca="false">IF($A20="","",IFERROR(IF(AND(T20&gt;INDEX(账户总表!$C:$C,MATCH($A20,账户总表!$A:$A,0)),L20="是"),"是","否"),"否"))</f>
        <v/>
      </c>
      <c r="AA20" s="39" t="str">
        <f aca="false">IF($A20="","",IFERROR(IF(Z20="是",MAX(0,T20-INDEX(账户总表!$C:$C,MATCH($A20,账户总表!$A:$A,0)),IF(N20&gt;0,T20/N20-INDEX(账户总表!$B:$B,MATCH($A20,账户总表!$A:$A,0)),0)),0),0))</f>
        <v/>
      </c>
      <c r="AB20" s="39" t="str">
        <f aca="false">IF($A20="","",IF(AND(Z20="是",INDEX(账户总表!$U:$U,MATCH($A20,账户总表!$A:$A,0))="是"),IF(INDEX(账户总表!$L:$L,MATCH($A20,账户总表!$A:$A,0))&gt;=4,AA20*1.5,AA20),0))</f>
        <v/>
      </c>
      <c r="AC20" s="42" t="str">
        <f aca="false">IF($A20="","",IF(AND(L20="是",Q20&gt;=R20,S20&lt;=Q20,S20&gt;=R20,W20="是",X20&gt;0,M20="是",INDEX(账户总表!$M:$M,MATCH($A20,账户总表!$A:$A,0))&lt;=2,INDEX(账户总表!$V:$V,MATCH($A20,账户总表!$A:$A,0))="是",OR(T20&lt;=INDEX(账户总表!$C:$C,MATCH($A20,账户总表!$A:$A,0)),AND(Z20="是",INDEX(账户总表!$U:$U,MATCH($A20,账户总表!$A:$A,0))="是",AB20&gt;0))),"是","否"))</f>
        <v/>
      </c>
      <c r="AD20" s="37" t="str">
        <f aca="false">IF($A20="","",IF(L20&lt;&gt;"是","信号未确认",IF(X20&lt;=0,"止损价未定义",IF(Q20&lt;R20,"100股约束不满足",IF(S20&gt;Q20,"计划股数超单股上限",IF(S20&lt;R20,"计划股数低于最小门槛",IF(W20&lt;&gt;"是","总仓位超限",IF(M20&lt;&gt;"是","追价",IF(INDEX(账户总表!$M:$M,MATCH($A20,账户总表!$A:$A,0))&gt;2,"亏钱效应偏高",IF(INDEX(账户总表!$V:$V,MATCH($A20,账户总表!$A:$A,0))&lt;&gt;"是","账户不允许新开仓",IF(AND(T20&gt;INDEX(账户总表!$C:$C,MATCH($A20,账户总表!$A:$A,0)),INDEX(账户总表!$U:$U,MATCH($A20,账户总表!$A:$A,0))&lt;&gt;"是"),"现金不足且不允许转入",IF(AND(Z20="是",AB20&lt;=0),"转入金额未满足",""))))))))))))</f>
        <v/>
      </c>
      <c r="AE20" s="33"/>
    </row>
    <row r="21" customFormat="false" ht="15" hidden="false" customHeight="true" outlineLevel="0" collapsed="false">
      <c r="A21" s="32"/>
      <c r="B21" s="33"/>
      <c r="C21" s="34"/>
      <c r="D21" s="35"/>
      <c r="E21" s="35"/>
      <c r="F21" s="35"/>
      <c r="G21" s="36"/>
      <c r="H21" s="34"/>
      <c r="I21" s="34"/>
      <c r="J21" s="33"/>
      <c r="K21" s="37" t="str">
        <f aca="false">IF($A21="","",IF(AND(G21&lt;45%,H21&gt;=0.9),"A",IF(AND(G21&lt;60%,H21&gt;0.8),"B","C")))</f>
        <v/>
      </c>
      <c r="L21" s="37" t="str">
        <f aca="false">IF($A21="","",IF(AND(G21&lt;60%,H21&gt;0.8,I21="True"),"是","否"))</f>
        <v/>
      </c>
      <c r="M21" s="37" t="str">
        <f aca="false">IF($A21="","",IF(AND(D21&gt;0,E21&gt;0,D21&lt;=E21*1.02),"是","否"))</f>
        <v/>
      </c>
      <c r="N21" s="38" t="n">
        <f aca="false">IFERROR(INDEX(账户总表!$O:$O,MATCH($A21,账户总表!$A:$A,0)),0)</f>
        <v>0</v>
      </c>
      <c r="O21" s="39" t="n">
        <f aca="false">IFERROR(INDEX(账户总表!$B:$B,MATCH($A21,账户总表!$A:$A,0))*N21,0)</f>
        <v>0</v>
      </c>
      <c r="P21" s="40" t="n">
        <f aca="false">IFERROR(O21/D21,0)</f>
        <v>0</v>
      </c>
      <c r="Q21" s="40" t="n">
        <f aca="false">IFERROR(FLOOR(P21,100),0)</f>
        <v>0</v>
      </c>
      <c r="R21" s="40" t="n">
        <f aca="false">IFERROR(CEILING(800/(100*D21),1)*100,0)</f>
        <v>0</v>
      </c>
      <c r="S21" s="41"/>
      <c r="T21" s="39" t="n">
        <f aca="false">IFERROR(S21*D21,0)</f>
        <v>0</v>
      </c>
      <c r="U21" s="38" t="n">
        <f aca="false">IFERROR(T21/INDEX(账户总表!$B:$B,MATCH($A21,账户总表!$A:$A,0)),0)</f>
        <v>0</v>
      </c>
      <c r="V21" s="38" t="n">
        <f aca="false">IFERROR(INDEX(账户总表!$E:$E,MATCH($A21,账户总表!$A:$A,0))+U21,0)</f>
        <v>0</v>
      </c>
      <c r="W21" s="37" t="str">
        <f aca="false">IF($A21="","",IFERROR(IF(V21&lt;=INDEX(账户总表!$N:$N,MATCH($A21,账户总表!$A:$A,0)),"是","否"),"否"))</f>
        <v/>
      </c>
      <c r="X21" s="39" t="str">
        <f aca="false">IF($A21="","",MAX(F21*0.98,D21*0.92))</f>
        <v/>
      </c>
      <c r="Y21" s="34"/>
      <c r="Z21" s="37" t="str">
        <f aca="false">IF($A21="","",IFERROR(IF(AND(T21&gt;INDEX(账户总表!$C:$C,MATCH($A21,账户总表!$A:$A,0)),L21="是"),"是","否"),"否"))</f>
        <v/>
      </c>
      <c r="AA21" s="39" t="str">
        <f aca="false">IF($A21="","",IFERROR(IF(Z21="是",MAX(0,T21-INDEX(账户总表!$C:$C,MATCH($A21,账户总表!$A:$A,0)),IF(N21&gt;0,T21/N21-INDEX(账户总表!$B:$B,MATCH($A21,账户总表!$A:$A,0)),0)),0),0))</f>
        <v/>
      </c>
      <c r="AB21" s="39" t="str">
        <f aca="false">IF($A21="","",IF(AND(Z21="是",INDEX(账户总表!$U:$U,MATCH($A21,账户总表!$A:$A,0))="是"),IF(INDEX(账户总表!$L:$L,MATCH($A21,账户总表!$A:$A,0))&gt;=4,AA21*1.5,AA21),0))</f>
        <v/>
      </c>
      <c r="AC21" s="42" t="str">
        <f aca="false">IF($A21="","",IF(AND(L21="是",Q21&gt;=R21,S21&lt;=Q21,S21&gt;=R21,W21="是",X21&gt;0,M21="是",INDEX(账户总表!$M:$M,MATCH($A21,账户总表!$A:$A,0))&lt;=2,INDEX(账户总表!$V:$V,MATCH($A21,账户总表!$A:$A,0))="是",OR(T21&lt;=INDEX(账户总表!$C:$C,MATCH($A21,账户总表!$A:$A,0)),AND(Z21="是",INDEX(账户总表!$U:$U,MATCH($A21,账户总表!$A:$A,0))="是",AB21&gt;0))),"是","否"))</f>
        <v/>
      </c>
      <c r="AD21" s="37" t="str">
        <f aca="false">IF($A21="","",IF(L21&lt;&gt;"是","信号未确认",IF(X21&lt;=0,"止损价未定义",IF(Q21&lt;R21,"100股约束不满足",IF(S21&gt;Q21,"计划股数超单股上限",IF(S21&lt;R21,"计划股数低于最小门槛",IF(W21&lt;&gt;"是","总仓位超限",IF(M21&lt;&gt;"是","追价",IF(INDEX(账户总表!$M:$M,MATCH($A21,账户总表!$A:$A,0))&gt;2,"亏钱效应偏高",IF(INDEX(账户总表!$V:$V,MATCH($A21,账户总表!$A:$A,0))&lt;&gt;"是","账户不允许新开仓",IF(AND(T21&gt;INDEX(账户总表!$C:$C,MATCH($A21,账户总表!$A:$A,0)),INDEX(账户总表!$U:$U,MATCH($A21,账户总表!$A:$A,0))&lt;&gt;"是"),"现金不足且不允许转入",IF(AND(Z21="是",AB21&lt;=0),"转入金额未满足",""))))))))))))</f>
        <v/>
      </c>
      <c r="AE21" s="33"/>
    </row>
    <row r="22" customFormat="false" ht="15" hidden="false" customHeight="true" outlineLevel="0" collapsed="false">
      <c r="A22" s="32"/>
      <c r="B22" s="33"/>
      <c r="C22" s="34"/>
      <c r="D22" s="35"/>
      <c r="E22" s="35"/>
      <c r="F22" s="35"/>
      <c r="G22" s="36"/>
      <c r="H22" s="34"/>
      <c r="I22" s="34"/>
      <c r="J22" s="33"/>
      <c r="K22" s="37" t="str">
        <f aca="false">IF($A22="","",IF(AND(G22&lt;45%,H22&gt;=0.9),"A",IF(AND(G22&lt;60%,H22&gt;0.8),"B","C")))</f>
        <v/>
      </c>
      <c r="L22" s="37" t="str">
        <f aca="false">IF($A22="","",IF(AND(G22&lt;60%,H22&gt;0.8,I22="True"),"是","否"))</f>
        <v/>
      </c>
      <c r="M22" s="37" t="str">
        <f aca="false">IF($A22="","",IF(AND(D22&gt;0,E22&gt;0,D22&lt;=E22*1.02),"是","否"))</f>
        <v/>
      </c>
      <c r="N22" s="38" t="n">
        <f aca="false">IFERROR(INDEX(账户总表!$O:$O,MATCH($A22,账户总表!$A:$A,0)),0)</f>
        <v>0</v>
      </c>
      <c r="O22" s="39" t="n">
        <f aca="false">IFERROR(INDEX(账户总表!$B:$B,MATCH($A22,账户总表!$A:$A,0))*N22,0)</f>
        <v>0</v>
      </c>
      <c r="P22" s="40" t="n">
        <f aca="false">IFERROR(O22/D22,0)</f>
        <v>0</v>
      </c>
      <c r="Q22" s="40" t="n">
        <f aca="false">IFERROR(FLOOR(P22,100),0)</f>
        <v>0</v>
      </c>
      <c r="R22" s="40" t="n">
        <f aca="false">IFERROR(CEILING(800/(100*D22),1)*100,0)</f>
        <v>0</v>
      </c>
      <c r="S22" s="41"/>
      <c r="T22" s="39" t="n">
        <f aca="false">IFERROR(S22*D22,0)</f>
        <v>0</v>
      </c>
      <c r="U22" s="38" t="n">
        <f aca="false">IFERROR(T22/INDEX(账户总表!$B:$B,MATCH($A22,账户总表!$A:$A,0)),0)</f>
        <v>0</v>
      </c>
      <c r="V22" s="38" t="n">
        <f aca="false">IFERROR(INDEX(账户总表!$E:$E,MATCH($A22,账户总表!$A:$A,0))+U22,0)</f>
        <v>0</v>
      </c>
      <c r="W22" s="37" t="str">
        <f aca="false">IF($A22="","",IFERROR(IF(V22&lt;=INDEX(账户总表!$N:$N,MATCH($A22,账户总表!$A:$A,0)),"是","否"),"否"))</f>
        <v/>
      </c>
      <c r="X22" s="39" t="str">
        <f aca="false">IF($A22="","",MAX(F22*0.98,D22*0.92))</f>
        <v/>
      </c>
      <c r="Y22" s="34"/>
      <c r="Z22" s="37" t="str">
        <f aca="false">IF($A22="","",IFERROR(IF(AND(T22&gt;INDEX(账户总表!$C:$C,MATCH($A22,账户总表!$A:$A,0)),L22="是"),"是","否"),"否"))</f>
        <v/>
      </c>
      <c r="AA22" s="39" t="str">
        <f aca="false">IF($A22="","",IFERROR(IF(Z22="是",MAX(0,T22-INDEX(账户总表!$C:$C,MATCH($A22,账户总表!$A:$A,0)),IF(N22&gt;0,T22/N22-INDEX(账户总表!$B:$B,MATCH($A22,账户总表!$A:$A,0)),0)),0),0))</f>
        <v/>
      </c>
      <c r="AB22" s="39" t="str">
        <f aca="false">IF($A22="","",IF(AND(Z22="是",INDEX(账户总表!$U:$U,MATCH($A22,账户总表!$A:$A,0))="是"),IF(INDEX(账户总表!$L:$L,MATCH($A22,账户总表!$A:$A,0))&gt;=4,AA22*1.5,AA22),0))</f>
        <v/>
      </c>
      <c r="AC22" s="42" t="str">
        <f aca="false">IF($A22="","",IF(AND(L22="是",Q22&gt;=R22,S22&lt;=Q22,S22&gt;=R22,W22="是",X22&gt;0,M22="是",INDEX(账户总表!$M:$M,MATCH($A22,账户总表!$A:$A,0))&lt;=2,INDEX(账户总表!$V:$V,MATCH($A22,账户总表!$A:$A,0))="是",OR(T22&lt;=INDEX(账户总表!$C:$C,MATCH($A22,账户总表!$A:$A,0)),AND(Z22="是",INDEX(账户总表!$U:$U,MATCH($A22,账户总表!$A:$A,0))="是",AB22&gt;0))),"是","否"))</f>
        <v/>
      </c>
      <c r="AD22" s="37" t="str">
        <f aca="false">IF($A22="","",IF(L22&lt;&gt;"是","信号未确认",IF(X22&lt;=0,"止损价未定义",IF(Q22&lt;R22,"100股约束不满足",IF(S22&gt;Q22,"计划股数超单股上限",IF(S22&lt;R22,"计划股数低于最小门槛",IF(W22&lt;&gt;"是","总仓位超限",IF(M22&lt;&gt;"是","追价",IF(INDEX(账户总表!$M:$M,MATCH($A22,账户总表!$A:$A,0))&gt;2,"亏钱效应偏高",IF(INDEX(账户总表!$V:$V,MATCH($A22,账户总表!$A:$A,0))&lt;&gt;"是","账户不允许新开仓",IF(AND(T22&gt;INDEX(账户总表!$C:$C,MATCH($A22,账户总表!$A:$A,0)),INDEX(账户总表!$U:$U,MATCH($A22,账户总表!$A:$A,0))&lt;&gt;"是"),"现金不足且不允许转入",IF(AND(Z22="是",AB22&lt;=0),"转入金额未满足",""))))))))))))</f>
        <v/>
      </c>
      <c r="AE22" s="33"/>
    </row>
    <row r="23" customFormat="false" ht="15" hidden="false" customHeight="true" outlineLevel="0" collapsed="false">
      <c r="A23" s="32"/>
      <c r="B23" s="33"/>
      <c r="C23" s="34"/>
      <c r="D23" s="35"/>
      <c r="E23" s="35"/>
      <c r="F23" s="35"/>
      <c r="G23" s="36"/>
      <c r="H23" s="34"/>
      <c r="I23" s="34"/>
      <c r="J23" s="33"/>
      <c r="K23" s="37" t="str">
        <f aca="false">IF($A23="","",IF(AND(G23&lt;45%,H23&gt;=0.9),"A",IF(AND(G23&lt;60%,H23&gt;0.8),"B","C")))</f>
        <v/>
      </c>
      <c r="L23" s="37" t="str">
        <f aca="false">IF($A23="","",IF(AND(G23&lt;60%,H23&gt;0.8,I23="True"),"是","否"))</f>
        <v/>
      </c>
      <c r="M23" s="37" t="str">
        <f aca="false">IF($A23="","",IF(AND(D23&gt;0,E23&gt;0,D23&lt;=E23*1.02),"是","否"))</f>
        <v/>
      </c>
      <c r="N23" s="38" t="n">
        <f aca="false">IFERROR(INDEX(账户总表!$O:$O,MATCH($A23,账户总表!$A:$A,0)),0)</f>
        <v>0</v>
      </c>
      <c r="O23" s="39" t="n">
        <f aca="false">IFERROR(INDEX(账户总表!$B:$B,MATCH($A23,账户总表!$A:$A,0))*N23,0)</f>
        <v>0</v>
      </c>
      <c r="P23" s="40" t="n">
        <f aca="false">IFERROR(O23/D23,0)</f>
        <v>0</v>
      </c>
      <c r="Q23" s="40" t="n">
        <f aca="false">IFERROR(FLOOR(P23,100),0)</f>
        <v>0</v>
      </c>
      <c r="R23" s="40" t="n">
        <f aca="false">IFERROR(CEILING(800/(100*D23),1)*100,0)</f>
        <v>0</v>
      </c>
      <c r="S23" s="41"/>
      <c r="T23" s="39" t="n">
        <f aca="false">IFERROR(S23*D23,0)</f>
        <v>0</v>
      </c>
      <c r="U23" s="38" t="n">
        <f aca="false">IFERROR(T23/INDEX(账户总表!$B:$B,MATCH($A23,账户总表!$A:$A,0)),0)</f>
        <v>0</v>
      </c>
      <c r="V23" s="38" t="n">
        <f aca="false">IFERROR(INDEX(账户总表!$E:$E,MATCH($A23,账户总表!$A:$A,0))+U23,0)</f>
        <v>0</v>
      </c>
      <c r="W23" s="37" t="str">
        <f aca="false">IF($A23="","",IFERROR(IF(V23&lt;=INDEX(账户总表!$N:$N,MATCH($A23,账户总表!$A:$A,0)),"是","否"),"否"))</f>
        <v/>
      </c>
      <c r="X23" s="39" t="str">
        <f aca="false">IF($A23="","",MAX(F23*0.98,D23*0.92))</f>
        <v/>
      </c>
      <c r="Y23" s="34"/>
      <c r="Z23" s="37" t="str">
        <f aca="false">IF($A23="","",IFERROR(IF(AND(T23&gt;INDEX(账户总表!$C:$C,MATCH($A23,账户总表!$A:$A,0)),L23="是"),"是","否"),"否"))</f>
        <v/>
      </c>
      <c r="AA23" s="39" t="str">
        <f aca="false">IF($A23="","",IFERROR(IF(Z23="是",MAX(0,T23-INDEX(账户总表!$C:$C,MATCH($A23,账户总表!$A:$A,0)),IF(N23&gt;0,T23/N23-INDEX(账户总表!$B:$B,MATCH($A23,账户总表!$A:$A,0)),0)),0),0))</f>
        <v/>
      </c>
      <c r="AB23" s="39" t="str">
        <f aca="false">IF($A23="","",IF(AND(Z23="是",INDEX(账户总表!$U:$U,MATCH($A23,账户总表!$A:$A,0))="是"),IF(INDEX(账户总表!$L:$L,MATCH($A23,账户总表!$A:$A,0))&gt;=4,AA23*1.5,AA23),0))</f>
        <v/>
      </c>
      <c r="AC23" s="42" t="str">
        <f aca="false">IF($A23="","",IF(AND(L23="是",Q23&gt;=R23,S23&lt;=Q23,S23&gt;=R23,W23="是",X23&gt;0,M23="是",INDEX(账户总表!$M:$M,MATCH($A23,账户总表!$A:$A,0))&lt;=2,INDEX(账户总表!$V:$V,MATCH($A23,账户总表!$A:$A,0))="是",OR(T23&lt;=INDEX(账户总表!$C:$C,MATCH($A23,账户总表!$A:$A,0)),AND(Z23="是",INDEX(账户总表!$U:$U,MATCH($A23,账户总表!$A:$A,0))="是",AB23&gt;0))),"是","否"))</f>
        <v/>
      </c>
      <c r="AD23" s="37" t="str">
        <f aca="false">IF($A23="","",IF(L23&lt;&gt;"是","信号未确认",IF(X23&lt;=0,"止损价未定义",IF(Q23&lt;R23,"100股约束不满足",IF(S23&gt;Q23,"计划股数超单股上限",IF(S23&lt;R23,"计划股数低于最小门槛",IF(W23&lt;&gt;"是","总仓位超限",IF(M23&lt;&gt;"是","追价",IF(INDEX(账户总表!$M:$M,MATCH($A23,账户总表!$A:$A,0))&gt;2,"亏钱效应偏高",IF(INDEX(账户总表!$V:$V,MATCH($A23,账户总表!$A:$A,0))&lt;&gt;"是","账户不允许新开仓",IF(AND(T23&gt;INDEX(账户总表!$C:$C,MATCH($A23,账户总表!$A:$A,0)),INDEX(账户总表!$U:$U,MATCH($A23,账户总表!$A:$A,0))&lt;&gt;"是"),"现金不足且不允许转入",IF(AND(Z23="是",AB23&lt;=0),"转入金额未满足",""))))))))))))</f>
        <v/>
      </c>
      <c r="AE23" s="33"/>
    </row>
    <row r="24" customFormat="false" ht="15" hidden="false" customHeight="true" outlineLevel="0" collapsed="false">
      <c r="A24" s="32"/>
      <c r="B24" s="33"/>
      <c r="C24" s="34"/>
      <c r="D24" s="35"/>
      <c r="E24" s="35"/>
      <c r="F24" s="35"/>
      <c r="G24" s="36"/>
      <c r="H24" s="34"/>
      <c r="I24" s="34"/>
      <c r="J24" s="33"/>
      <c r="K24" s="37" t="str">
        <f aca="false">IF($A24="","",IF(AND(G24&lt;45%,H24&gt;=0.9),"A",IF(AND(G24&lt;60%,H24&gt;0.8),"B","C")))</f>
        <v/>
      </c>
      <c r="L24" s="37" t="str">
        <f aca="false">IF($A24="","",IF(AND(G24&lt;60%,H24&gt;0.8,I24="True"),"是","否"))</f>
        <v/>
      </c>
      <c r="M24" s="37" t="str">
        <f aca="false">IF($A24="","",IF(AND(D24&gt;0,E24&gt;0,D24&lt;=E24*1.02),"是","否"))</f>
        <v/>
      </c>
      <c r="N24" s="38" t="n">
        <f aca="false">IFERROR(INDEX(账户总表!$O:$O,MATCH($A24,账户总表!$A:$A,0)),0)</f>
        <v>0</v>
      </c>
      <c r="O24" s="39" t="n">
        <f aca="false">IFERROR(INDEX(账户总表!$B:$B,MATCH($A24,账户总表!$A:$A,0))*N24,0)</f>
        <v>0</v>
      </c>
      <c r="P24" s="40" t="n">
        <f aca="false">IFERROR(O24/D24,0)</f>
        <v>0</v>
      </c>
      <c r="Q24" s="40" t="n">
        <f aca="false">IFERROR(FLOOR(P24,100),0)</f>
        <v>0</v>
      </c>
      <c r="R24" s="40" t="n">
        <f aca="false">IFERROR(CEILING(800/(100*D24),1)*100,0)</f>
        <v>0</v>
      </c>
      <c r="S24" s="41"/>
      <c r="T24" s="39" t="n">
        <f aca="false">IFERROR(S24*D24,0)</f>
        <v>0</v>
      </c>
      <c r="U24" s="38" t="n">
        <f aca="false">IFERROR(T24/INDEX(账户总表!$B:$B,MATCH($A24,账户总表!$A:$A,0)),0)</f>
        <v>0</v>
      </c>
      <c r="V24" s="38" t="n">
        <f aca="false">IFERROR(INDEX(账户总表!$E:$E,MATCH($A24,账户总表!$A:$A,0))+U24,0)</f>
        <v>0</v>
      </c>
      <c r="W24" s="37" t="str">
        <f aca="false">IF($A24="","",IFERROR(IF(V24&lt;=INDEX(账户总表!$N:$N,MATCH($A24,账户总表!$A:$A,0)),"是","否"),"否"))</f>
        <v/>
      </c>
      <c r="X24" s="39" t="str">
        <f aca="false">IF($A24="","",MAX(F24*0.98,D24*0.92))</f>
        <v/>
      </c>
      <c r="Y24" s="34"/>
      <c r="Z24" s="37" t="str">
        <f aca="false">IF($A24="","",IFERROR(IF(AND(T24&gt;INDEX(账户总表!$C:$C,MATCH($A24,账户总表!$A:$A,0)),L24="是"),"是","否"),"否"))</f>
        <v/>
      </c>
      <c r="AA24" s="39" t="str">
        <f aca="false">IF($A24="","",IFERROR(IF(Z24="是",MAX(0,T24-INDEX(账户总表!$C:$C,MATCH($A24,账户总表!$A:$A,0)),IF(N24&gt;0,T24/N24-INDEX(账户总表!$B:$B,MATCH($A24,账户总表!$A:$A,0)),0)),0),0))</f>
        <v/>
      </c>
      <c r="AB24" s="39" t="str">
        <f aca="false">IF($A24="","",IF(AND(Z24="是",INDEX(账户总表!$U:$U,MATCH($A24,账户总表!$A:$A,0))="是"),IF(INDEX(账户总表!$L:$L,MATCH($A24,账户总表!$A:$A,0))&gt;=4,AA24*1.5,AA24),0))</f>
        <v/>
      </c>
      <c r="AC24" s="42" t="str">
        <f aca="false">IF($A24="","",IF(AND(L24="是",Q24&gt;=R24,S24&lt;=Q24,S24&gt;=R24,W24="是",X24&gt;0,M24="是",INDEX(账户总表!$M:$M,MATCH($A24,账户总表!$A:$A,0))&lt;=2,INDEX(账户总表!$V:$V,MATCH($A24,账户总表!$A:$A,0))="是",OR(T24&lt;=INDEX(账户总表!$C:$C,MATCH($A24,账户总表!$A:$A,0)),AND(Z24="是",INDEX(账户总表!$U:$U,MATCH($A24,账户总表!$A:$A,0))="是",AB24&gt;0))),"是","否"))</f>
        <v/>
      </c>
      <c r="AD24" s="37" t="str">
        <f aca="false">IF($A24="","",IF(L24&lt;&gt;"是","信号未确认",IF(X24&lt;=0,"止损价未定义",IF(Q24&lt;R24,"100股约束不满足",IF(S24&gt;Q24,"计划股数超单股上限",IF(S24&lt;R24,"计划股数低于最小门槛",IF(W24&lt;&gt;"是","总仓位超限",IF(M24&lt;&gt;"是","追价",IF(INDEX(账户总表!$M:$M,MATCH($A24,账户总表!$A:$A,0))&gt;2,"亏钱效应偏高",IF(INDEX(账户总表!$V:$V,MATCH($A24,账户总表!$A:$A,0))&lt;&gt;"是","账户不允许新开仓",IF(AND(T24&gt;INDEX(账户总表!$C:$C,MATCH($A24,账户总表!$A:$A,0)),INDEX(账户总表!$U:$U,MATCH($A24,账户总表!$A:$A,0))&lt;&gt;"是"),"现金不足且不允许转入",IF(AND(Z24="是",AB24&lt;=0),"转入金额未满足",""))))))))))))</f>
        <v/>
      </c>
      <c r="AE24" s="33"/>
    </row>
    <row r="25" customFormat="false" ht="15" hidden="false" customHeight="true" outlineLevel="0" collapsed="false">
      <c r="A25" s="32"/>
      <c r="B25" s="33"/>
      <c r="C25" s="34"/>
      <c r="D25" s="35"/>
      <c r="E25" s="35"/>
      <c r="F25" s="35"/>
      <c r="G25" s="36"/>
      <c r="H25" s="34"/>
      <c r="I25" s="34"/>
      <c r="J25" s="33"/>
      <c r="K25" s="37" t="str">
        <f aca="false">IF($A25="","",IF(AND(G25&lt;45%,H25&gt;=0.9),"A",IF(AND(G25&lt;60%,H25&gt;0.8),"B","C")))</f>
        <v/>
      </c>
      <c r="L25" s="37" t="str">
        <f aca="false">IF($A25="","",IF(AND(G25&lt;60%,H25&gt;0.8,I25="True"),"是","否"))</f>
        <v/>
      </c>
      <c r="M25" s="37" t="str">
        <f aca="false">IF($A25="","",IF(AND(D25&gt;0,E25&gt;0,D25&lt;=E25*1.02),"是","否"))</f>
        <v/>
      </c>
      <c r="N25" s="38" t="n">
        <f aca="false">IFERROR(INDEX(账户总表!$O:$O,MATCH($A25,账户总表!$A:$A,0)),0)</f>
        <v>0</v>
      </c>
      <c r="O25" s="39" t="n">
        <f aca="false">IFERROR(INDEX(账户总表!$B:$B,MATCH($A25,账户总表!$A:$A,0))*N25,0)</f>
        <v>0</v>
      </c>
      <c r="P25" s="40" t="n">
        <f aca="false">IFERROR(O25/D25,0)</f>
        <v>0</v>
      </c>
      <c r="Q25" s="40" t="n">
        <f aca="false">IFERROR(FLOOR(P25,100),0)</f>
        <v>0</v>
      </c>
      <c r="R25" s="40" t="n">
        <f aca="false">IFERROR(CEILING(800/(100*D25),1)*100,0)</f>
        <v>0</v>
      </c>
      <c r="S25" s="41"/>
      <c r="T25" s="39" t="n">
        <f aca="false">IFERROR(S25*D25,0)</f>
        <v>0</v>
      </c>
      <c r="U25" s="38" t="n">
        <f aca="false">IFERROR(T25/INDEX(账户总表!$B:$B,MATCH($A25,账户总表!$A:$A,0)),0)</f>
        <v>0</v>
      </c>
      <c r="V25" s="38" t="n">
        <f aca="false">IFERROR(INDEX(账户总表!$E:$E,MATCH($A25,账户总表!$A:$A,0))+U25,0)</f>
        <v>0</v>
      </c>
      <c r="W25" s="37" t="str">
        <f aca="false">IF($A25="","",IFERROR(IF(V25&lt;=INDEX(账户总表!$N:$N,MATCH($A25,账户总表!$A:$A,0)),"是","否"),"否"))</f>
        <v/>
      </c>
      <c r="X25" s="39" t="str">
        <f aca="false">IF($A25="","",MAX(F25*0.98,D25*0.92))</f>
        <v/>
      </c>
      <c r="Y25" s="34"/>
      <c r="Z25" s="37" t="str">
        <f aca="false">IF($A25="","",IFERROR(IF(AND(T25&gt;INDEX(账户总表!$C:$C,MATCH($A25,账户总表!$A:$A,0)),L25="是"),"是","否"),"否"))</f>
        <v/>
      </c>
      <c r="AA25" s="39" t="str">
        <f aca="false">IF($A25="","",IFERROR(IF(Z25="是",MAX(0,T25-INDEX(账户总表!$C:$C,MATCH($A25,账户总表!$A:$A,0)),IF(N25&gt;0,T25/N25-INDEX(账户总表!$B:$B,MATCH($A25,账户总表!$A:$A,0)),0)),0),0))</f>
        <v/>
      </c>
      <c r="AB25" s="39" t="str">
        <f aca="false">IF($A25="","",IF(AND(Z25="是",INDEX(账户总表!$U:$U,MATCH($A25,账户总表!$A:$A,0))="是"),IF(INDEX(账户总表!$L:$L,MATCH($A25,账户总表!$A:$A,0))&gt;=4,AA25*1.5,AA25),0))</f>
        <v/>
      </c>
      <c r="AC25" s="42" t="str">
        <f aca="false">IF($A25="","",IF(AND(L25="是",Q25&gt;=R25,S25&lt;=Q25,S25&gt;=R25,W25="是",X25&gt;0,M25="是",INDEX(账户总表!$M:$M,MATCH($A25,账户总表!$A:$A,0))&lt;=2,INDEX(账户总表!$V:$V,MATCH($A25,账户总表!$A:$A,0))="是",OR(T25&lt;=INDEX(账户总表!$C:$C,MATCH($A25,账户总表!$A:$A,0)),AND(Z25="是",INDEX(账户总表!$U:$U,MATCH($A25,账户总表!$A:$A,0))="是",AB25&gt;0))),"是","否"))</f>
        <v/>
      </c>
      <c r="AD25" s="37" t="str">
        <f aca="false">IF($A25="","",IF(L25&lt;&gt;"是","信号未确认",IF(X25&lt;=0,"止损价未定义",IF(Q25&lt;R25,"100股约束不满足",IF(S25&gt;Q25,"计划股数超单股上限",IF(S25&lt;R25,"计划股数低于最小门槛",IF(W25&lt;&gt;"是","总仓位超限",IF(M25&lt;&gt;"是","追价",IF(INDEX(账户总表!$M:$M,MATCH($A25,账户总表!$A:$A,0))&gt;2,"亏钱效应偏高",IF(INDEX(账户总表!$V:$V,MATCH($A25,账户总表!$A:$A,0))&lt;&gt;"是","账户不允许新开仓",IF(AND(T25&gt;INDEX(账户总表!$C:$C,MATCH($A25,账户总表!$A:$A,0)),INDEX(账户总表!$U:$U,MATCH($A25,账户总表!$A:$A,0))&lt;&gt;"是"),"现金不足且不允许转入",IF(AND(Z25="是",AB25&lt;=0),"转入金额未满足",""))))))))))))</f>
        <v/>
      </c>
      <c r="AE25" s="33"/>
    </row>
    <row r="26" customFormat="false" ht="15" hidden="false" customHeight="true" outlineLevel="0" collapsed="false">
      <c r="A26" s="32"/>
      <c r="B26" s="33"/>
      <c r="C26" s="34"/>
      <c r="D26" s="35"/>
      <c r="E26" s="35"/>
      <c r="F26" s="35"/>
      <c r="G26" s="36"/>
      <c r="H26" s="34"/>
      <c r="I26" s="34"/>
      <c r="J26" s="33"/>
      <c r="K26" s="37" t="str">
        <f aca="false">IF($A26="","",IF(AND(G26&lt;45%,H26&gt;=0.9),"A",IF(AND(G26&lt;60%,H26&gt;0.8),"B","C")))</f>
        <v/>
      </c>
      <c r="L26" s="37" t="str">
        <f aca="false">IF($A26="","",IF(AND(G26&lt;60%,H26&gt;0.8,I26="True"),"是","否"))</f>
        <v/>
      </c>
      <c r="M26" s="37" t="str">
        <f aca="false">IF($A26="","",IF(AND(D26&gt;0,E26&gt;0,D26&lt;=E26*1.02),"是","否"))</f>
        <v/>
      </c>
      <c r="N26" s="38" t="n">
        <f aca="false">IFERROR(INDEX(账户总表!$O:$O,MATCH($A26,账户总表!$A:$A,0)),0)</f>
        <v>0</v>
      </c>
      <c r="O26" s="39" t="n">
        <f aca="false">IFERROR(INDEX(账户总表!$B:$B,MATCH($A26,账户总表!$A:$A,0))*N26,0)</f>
        <v>0</v>
      </c>
      <c r="P26" s="40" t="n">
        <f aca="false">IFERROR(O26/D26,0)</f>
        <v>0</v>
      </c>
      <c r="Q26" s="40" t="n">
        <f aca="false">IFERROR(FLOOR(P26,100),0)</f>
        <v>0</v>
      </c>
      <c r="R26" s="40" t="n">
        <f aca="false">IFERROR(CEILING(800/(100*D26),1)*100,0)</f>
        <v>0</v>
      </c>
      <c r="S26" s="41"/>
      <c r="T26" s="39" t="n">
        <f aca="false">IFERROR(S26*D26,0)</f>
        <v>0</v>
      </c>
      <c r="U26" s="38" t="n">
        <f aca="false">IFERROR(T26/INDEX(账户总表!$B:$B,MATCH($A26,账户总表!$A:$A,0)),0)</f>
        <v>0</v>
      </c>
      <c r="V26" s="38" t="n">
        <f aca="false">IFERROR(INDEX(账户总表!$E:$E,MATCH($A26,账户总表!$A:$A,0))+U26,0)</f>
        <v>0</v>
      </c>
      <c r="W26" s="37" t="str">
        <f aca="false">IF($A26="","",IFERROR(IF(V26&lt;=INDEX(账户总表!$N:$N,MATCH($A26,账户总表!$A:$A,0)),"是","否"),"否"))</f>
        <v/>
      </c>
      <c r="X26" s="39" t="str">
        <f aca="false">IF($A26="","",MAX(F26*0.98,D26*0.92))</f>
        <v/>
      </c>
      <c r="Y26" s="34"/>
      <c r="Z26" s="37" t="str">
        <f aca="false">IF($A26="","",IFERROR(IF(AND(T26&gt;INDEX(账户总表!$C:$C,MATCH($A26,账户总表!$A:$A,0)),L26="是"),"是","否"),"否"))</f>
        <v/>
      </c>
      <c r="AA26" s="39" t="str">
        <f aca="false">IF($A26="","",IFERROR(IF(Z26="是",MAX(0,T26-INDEX(账户总表!$C:$C,MATCH($A26,账户总表!$A:$A,0)),IF(N26&gt;0,T26/N26-INDEX(账户总表!$B:$B,MATCH($A26,账户总表!$A:$A,0)),0)),0),0))</f>
        <v/>
      </c>
      <c r="AB26" s="39" t="str">
        <f aca="false">IF($A26="","",IF(AND(Z26="是",INDEX(账户总表!$U:$U,MATCH($A26,账户总表!$A:$A,0))="是"),IF(INDEX(账户总表!$L:$L,MATCH($A26,账户总表!$A:$A,0))&gt;=4,AA26*1.5,AA26),0))</f>
        <v/>
      </c>
      <c r="AC26" s="42" t="str">
        <f aca="false">IF($A26="","",IF(AND(L26="是",Q26&gt;=R26,S26&lt;=Q26,S26&gt;=R26,W26="是",X26&gt;0,M26="是",INDEX(账户总表!$M:$M,MATCH($A26,账户总表!$A:$A,0))&lt;=2,INDEX(账户总表!$V:$V,MATCH($A26,账户总表!$A:$A,0))="是",OR(T26&lt;=INDEX(账户总表!$C:$C,MATCH($A26,账户总表!$A:$A,0)),AND(Z26="是",INDEX(账户总表!$U:$U,MATCH($A26,账户总表!$A:$A,0))="是",AB26&gt;0))),"是","否"))</f>
        <v/>
      </c>
      <c r="AD26" s="37" t="str">
        <f aca="false">IF($A26="","",IF(L26&lt;&gt;"是","信号未确认",IF(X26&lt;=0,"止损价未定义",IF(Q26&lt;R26,"100股约束不满足",IF(S26&gt;Q26,"计划股数超单股上限",IF(S26&lt;R26,"计划股数低于最小门槛",IF(W26&lt;&gt;"是","总仓位超限",IF(M26&lt;&gt;"是","追价",IF(INDEX(账户总表!$M:$M,MATCH($A26,账户总表!$A:$A,0))&gt;2,"亏钱效应偏高",IF(INDEX(账户总表!$V:$V,MATCH($A26,账户总表!$A:$A,0))&lt;&gt;"是","账户不允许新开仓",IF(AND(T26&gt;INDEX(账户总表!$C:$C,MATCH($A26,账户总表!$A:$A,0)),INDEX(账户总表!$U:$U,MATCH($A26,账户总表!$A:$A,0))&lt;&gt;"是"),"现金不足且不允许转入",IF(AND(Z26="是",AB26&lt;=0),"转入金额未满足",""))))))))))))</f>
        <v/>
      </c>
      <c r="AE26" s="33"/>
    </row>
    <row r="27" customFormat="false" ht="15" hidden="false" customHeight="true" outlineLevel="0" collapsed="false">
      <c r="A27" s="32"/>
      <c r="B27" s="33"/>
      <c r="C27" s="34"/>
      <c r="D27" s="35"/>
      <c r="E27" s="35"/>
      <c r="F27" s="35"/>
      <c r="G27" s="36"/>
      <c r="H27" s="34"/>
      <c r="I27" s="34"/>
      <c r="J27" s="33"/>
      <c r="K27" s="37" t="str">
        <f aca="false">IF($A27="","",IF(AND(G27&lt;45%,H27&gt;=0.9),"A",IF(AND(G27&lt;60%,H27&gt;0.8),"B","C")))</f>
        <v/>
      </c>
      <c r="L27" s="37" t="str">
        <f aca="false">IF($A27="","",IF(AND(G27&lt;60%,H27&gt;0.8,I27="True"),"是","否"))</f>
        <v/>
      </c>
      <c r="M27" s="37" t="str">
        <f aca="false">IF($A27="","",IF(AND(D27&gt;0,E27&gt;0,D27&lt;=E27*1.02),"是","否"))</f>
        <v/>
      </c>
      <c r="N27" s="38" t="n">
        <f aca="false">IFERROR(INDEX(账户总表!$O:$O,MATCH($A27,账户总表!$A:$A,0)),0)</f>
        <v>0</v>
      </c>
      <c r="O27" s="39" t="n">
        <f aca="false">IFERROR(INDEX(账户总表!$B:$B,MATCH($A27,账户总表!$A:$A,0))*N27,0)</f>
        <v>0</v>
      </c>
      <c r="P27" s="40" t="n">
        <f aca="false">IFERROR(O27/D27,0)</f>
        <v>0</v>
      </c>
      <c r="Q27" s="40" t="n">
        <f aca="false">IFERROR(FLOOR(P27,100),0)</f>
        <v>0</v>
      </c>
      <c r="R27" s="40" t="n">
        <f aca="false">IFERROR(CEILING(800/(100*D27),1)*100,0)</f>
        <v>0</v>
      </c>
      <c r="S27" s="41"/>
      <c r="T27" s="39" t="n">
        <f aca="false">IFERROR(S27*D27,0)</f>
        <v>0</v>
      </c>
      <c r="U27" s="38" t="n">
        <f aca="false">IFERROR(T27/INDEX(账户总表!$B:$B,MATCH($A27,账户总表!$A:$A,0)),0)</f>
        <v>0</v>
      </c>
      <c r="V27" s="38" t="n">
        <f aca="false">IFERROR(INDEX(账户总表!$E:$E,MATCH($A27,账户总表!$A:$A,0))+U27,0)</f>
        <v>0</v>
      </c>
      <c r="W27" s="37" t="str">
        <f aca="false">IF($A27="","",IFERROR(IF(V27&lt;=INDEX(账户总表!$N:$N,MATCH($A27,账户总表!$A:$A,0)),"是","否"),"否"))</f>
        <v/>
      </c>
      <c r="X27" s="39" t="str">
        <f aca="false">IF($A27="","",MAX(F27*0.98,D27*0.92))</f>
        <v/>
      </c>
      <c r="Y27" s="34"/>
      <c r="Z27" s="37" t="str">
        <f aca="false">IF($A27="","",IFERROR(IF(AND(T27&gt;INDEX(账户总表!$C:$C,MATCH($A27,账户总表!$A:$A,0)),L27="是"),"是","否"),"否"))</f>
        <v/>
      </c>
      <c r="AA27" s="39" t="str">
        <f aca="false">IF($A27="","",IFERROR(IF(Z27="是",MAX(0,T27-INDEX(账户总表!$C:$C,MATCH($A27,账户总表!$A:$A,0)),IF(N27&gt;0,T27/N27-INDEX(账户总表!$B:$B,MATCH($A27,账户总表!$A:$A,0)),0)),0),0))</f>
        <v/>
      </c>
      <c r="AB27" s="39" t="str">
        <f aca="false">IF($A27="","",IF(AND(Z27="是",INDEX(账户总表!$U:$U,MATCH($A27,账户总表!$A:$A,0))="是"),IF(INDEX(账户总表!$L:$L,MATCH($A27,账户总表!$A:$A,0))&gt;=4,AA27*1.5,AA27),0))</f>
        <v/>
      </c>
      <c r="AC27" s="42" t="str">
        <f aca="false">IF($A27="","",IF(AND(L27="是",Q27&gt;=R27,S27&lt;=Q27,S27&gt;=R27,W27="是",X27&gt;0,M27="是",INDEX(账户总表!$M:$M,MATCH($A27,账户总表!$A:$A,0))&lt;=2,INDEX(账户总表!$V:$V,MATCH($A27,账户总表!$A:$A,0))="是",OR(T27&lt;=INDEX(账户总表!$C:$C,MATCH($A27,账户总表!$A:$A,0)),AND(Z27="是",INDEX(账户总表!$U:$U,MATCH($A27,账户总表!$A:$A,0))="是",AB27&gt;0))),"是","否"))</f>
        <v/>
      </c>
      <c r="AD27" s="37" t="str">
        <f aca="false">IF($A27="","",IF(L27&lt;&gt;"是","信号未确认",IF(X27&lt;=0,"止损价未定义",IF(Q27&lt;R27,"100股约束不满足",IF(S27&gt;Q27,"计划股数超单股上限",IF(S27&lt;R27,"计划股数低于最小门槛",IF(W27&lt;&gt;"是","总仓位超限",IF(M27&lt;&gt;"是","追价",IF(INDEX(账户总表!$M:$M,MATCH($A27,账户总表!$A:$A,0))&gt;2,"亏钱效应偏高",IF(INDEX(账户总表!$V:$V,MATCH($A27,账户总表!$A:$A,0))&lt;&gt;"是","账户不允许新开仓",IF(AND(T27&gt;INDEX(账户总表!$C:$C,MATCH($A27,账户总表!$A:$A,0)),INDEX(账户总表!$U:$U,MATCH($A27,账户总表!$A:$A,0))&lt;&gt;"是"),"现金不足且不允许转入",IF(AND(Z27="是",AB27&lt;=0),"转入金额未满足",""))))))))))))</f>
        <v/>
      </c>
      <c r="AE27" s="33"/>
    </row>
    <row r="28" customFormat="false" ht="15" hidden="false" customHeight="true" outlineLevel="0" collapsed="false">
      <c r="A28" s="32"/>
      <c r="B28" s="33"/>
      <c r="C28" s="34"/>
      <c r="D28" s="35"/>
      <c r="E28" s="35"/>
      <c r="F28" s="35"/>
      <c r="G28" s="36"/>
      <c r="H28" s="34"/>
      <c r="I28" s="34"/>
      <c r="J28" s="33"/>
      <c r="K28" s="37" t="str">
        <f aca="false">IF($A28="","",IF(AND(G28&lt;45%,H28&gt;=0.9),"A",IF(AND(G28&lt;60%,H28&gt;0.8),"B","C")))</f>
        <v/>
      </c>
      <c r="L28" s="37" t="str">
        <f aca="false">IF($A28="","",IF(AND(G28&lt;60%,H28&gt;0.8,I28="True"),"是","否"))</f>
        <v/>
      </c>
      <c r="M28" s="37" t="str">
        <f aca="false">IF($A28="","",IF(AND(D28&gt;0,E28&gt;0,D28&lt;=E28*1.02),"是","否"))</f>
        <v/>
      </c>
      <c r="N28" s="38" t="n">
        <f aca="false">IFERROR(INDEX(账户总表!$O:$O,MATCH($A28,账户总表!$A:$A,0)),0)</f>
        <v>0</v>
      </c>
      <c r="O28" s="39" t="n">
        <f aca="false">IFERROR(INDEX(账户总表!$B:$B,MATCH($A28,账户总表!$A:$A,0))*N28,0)</f>
        <v>0</v>
      </c>
      <c r="P28" s="40" t="n">
        <f aca="false">IFERROR(O28/D28,0)</f>
        <v>0</v>
      </c>
      <c r="Q28" s="40" t="n">
        <f aca="false">IFERROR(FLOOR(P28,100),0)</f>
        <v>0</v>
      </c>
      <c r="R28" s="40" t="n">
        <f aca="false">IFERROR(CEILING(800/(100*D28),1)*100,0)</f>
        <v>0</v>
      </c>
      <c r="S28" s="41"/>
      <c r="T28" s="39" t="n">
        <f aca="false">IFERROR(S28*D28,0)</f>
        <v>0</v>
      </c>
      <c r="U28" s="38" t="n">
        <f aca="false">IFERROR(T28/INDEX(账户总表!$B:$B,MATCH($A28,账户总表!$A:$A,0)),0)</f>
        <v>0</v>
      </c>
      <c r="V28" s="38" t="n">
        <f aca="false">IFERROR(INDEX(账户总表!$E:$E,MATCH($A28,账户总表!$A:$A,0))+U28,0)</f>
        <v>0</v>
      </c>
      <c r="W28" s="37" t="str">
        <f aca="false">IF($A28="","",IFERROR(IF(V28&lt;=INDEX(账户总表!$N:$N,MATCH($A28,账户总表!$A:$A,0)),"是","否"),"否"))</f>
        <v/>
      </c>
      <c r="X28" s="39" t="str">
        <f aca="false">IF($A28="","",MAX(F28*0.98,D28*0.92))</f>
        <v/>
      </c>
      <c r="Y28" s="34"/>
      <c r="Z28" s="37" t="str">
        <f aca="false">IF($A28="","",IFERROR(IF(AND(T28&gt;INDEX(账户总表!$C:$C,MATCH($A28,账户总表!$A:$A,0)),L28="是"),"是","否"),"否"))</f>
        <v/>
      </c>
      <c r="AA28" s="39" t="str">
        <f aca="false">IF($A28="","",IFERROR(IF(Z28="是",MAX(0,T28-INDEX(账户总表!$C:$C,MATCH($A28,账户总表!$A:$A,0)),IF(N28&gt;0,T28/N28-INDEX(账户总表!$B:$B,MATCH($A28,账户总表!$A:$A,0)),0)),0),0))</f>
        <v/>
      </c>
      <c r="AB28" s="39" t="str">
        <f aca="false">IF($A28="","",IF(AND(Z28="是",INDEX(账户总表!$U:$U,MATCH($A28,账户总表!$A:$A,0))="是"),IF(INDEX(账户总表!$L:$L,MATCH($A28,账户总表!$A:$A,0))&gt;=4,AA28*1.5,AA28),0))</f>
        <v/>
      </c>
      <c r="AC28" s="42" t="str">
        <f aca="false">IF($A28="","",IF(AND(L28="是",Q28&gt;=R28,S28&lt;=Q28,S28&gt;=R28,W28="是",X28&gt;0,M28="是",INDEX(账户总表!$M:$M,MATCH($A28,账户总表!$A:$A,0))&lt;=2,INDEX(账户总表!$V:$V,MATCH($A28,账户总表!$A:$A,0))="是",OR(T28&lt;=INDEX(账户总表!$C:$C,MATCH($A28,账户总表!$A:$A,0)),AND(Z28="是",INDEX(账户总表!$U:$U,MATCH($A28,账户总表!$A:$A,0))="是",AB28&gt;0))),"是","否"))</f>
        <v/>
      </c>
      <c r="AD28" s="37" t="str">
        <f aca="false">IF($A28="","",IF(L28&lt;&gt;"是","信号未确认",IF(X28&lt;=0,"止损价未定义",IF(Q28&lt;R28,"100股约束不满足",IF(S28&gt;Q28,"计划股数超单股上限",IF(S28&lt;R28,"计划股数低于最小门槛",IF(W28&lt;&gt;"是","总仓位超限",IF(M28&lt;&gt;"是","追价",IF(INDEX(账户总表!$M:$M,MATCH($A28,账户总表!$A:$A,0))&gt;2,"亏钱效应偏高",IF(INDEX(账户总表!$V:$V,MATCH($A28,账户总表!$A:$A,0))&lt;&gt;"是","账户不允许新开仓",IF(AND(T28&gt;INDEX(账户总表!$C:$C,MATCH($A28,账户总表!$A:$A,0)),INDEX(账户总表!$U:$U,MATCH($A28,账户总表!$A:$A,0))&lt;&gt;"是"),"现金不足且不允许转入",IF(AND(Z28="是",AB28&lt;=0),"转入金额未满足",""))))))))))))</f>
        <v/>
      </c>
      <c r="AE28" s="33"/>
    </row>
    <row r="29" customFormat="false" ht="15" hidden="false" customHeight="true" outlineLevel="0" collapsed="false">
      <c r="A29" s="32"/>
      <c r="B29" s="33"/>
      <c r="C29" s="34"/>
      <c r="D29" s="35"/>
      <c r="E29" s="35"/>
      <c r="F29" s="35"/>
      <c r="G29" s="36"/>
      <c r="H29" s="34"/>
      <c r="I29" s="34"/>
      <c r="J29" s="33"/>
      <c r="K29" s="37" t="str">
        <f aca="false">IF($A29="","",IF(AND(G29&lt;45%,H29&gt;=0.9),"A",IF(AND(G29&lt;60%,H29&gt;0.8),"B","C")))</f>
        <v/>
      </c>
      <c r="L29" s="37" t="str">
        <f aca="false">IF($A29="","",IF(AND(G29&lt;60%,H29&gt;0.8,I29="True"),"是","否"))</f>
        <v/>
      </c>
      <c r="M29" s="37" t="str">
        <f aca="false">IF($A29="","",IF(AND(D29&gt;0,E29&gt;0,D29&lt;=E29*1.02),"是","否"))</f>
        <v/>
      </c>
      <c r="N29" s="38" t="n">
        <f aca="false">IFERROR(INDEX(账户总表!$O:$O,MATCH($A29,账户总表!$A:$A,0)),0)</f>
        <v>0</v>
      </c>
      <c r="O29" s="39" t="n">
        <f aca="false">IFERROR(INDEX(账户总表!$B:$B,MATCH($A29,账户总表!$A:$A,0))*N29,0)</f>
        <v>0</v>
      </c>
      <c r="P29" s="40" t="n">
        <f aca="false">IFERROR(O29/D29,0)</f>
        <v>0</v>
      </c>
      <c r="Q29" s="40" t="n">
        <f aca="false">IFERROR(FLOOR(P29,100),0)</f>
        <v>0</v>
      </c>
      <c r="R29" s="40" t="n">
        <f aca="false">IFERROR(CEILING(800/(100*D29),1)*100,0)</f>
        <v>0</v>
      </c>
      <c r="S29" s="41"/>
      <c r="T29" s="39" t="n">
        <f aca="false">IFERROR(S29*D29,0)</f>
        <v>0</v>
      </c>
      <c r="U29" s="38" t="n">
        <f aca="false">IFERROR(T29/INDEX(账户总表!$B:$B,MATCH($A29,账户总表!$A:$A,0)),0)</f>
        <v>0</v>
      </c>
      <c r="V29" s="38" t="n">
        <f aca="false">IFERROR(INDEX(账户总表!$E:$E,MATCH($A29,账户总表!$A:$A,0))+U29,0)</f>
        <v>0</v>
      </c>
      <c r="W29" s="37" t="str">
        <f aca="false">IF($A29="","",IFERROR(IF(V29&lt;=INDEX(账户总表!$N:$N,MATCH($A29,账户总表!$A:$A,0)),"是","否"),"否"))</f>
        <v/>
      </c>
      <c r="X29" s="39" t="str">
        <f aca="false">IF($A29="","",MAX(F29*0.98,D29*0.92))</f>
        <v/>
      </c>
      <c r="Y29" s="34"/>
      <c r="Z29" s="37" t="str">
        <f aca="false">IF($A29="","",IFERROR(IF(AND(T29&gt;INDEX(账户总表!$C:$C,MATCH($A29,账户总表!$A:$A,0)),L29="是"),"是","否"),"否"))</f>
        <v/>
      </c>
      <c r="AA29" s="39" t="str">
        <f aca="false">IF($A29="","",IFERROR(IF(Z29="是",MAX(0,T29-INDEX(账户总表!$C:$C,MATCH($A29,账户总表!$A:$A,0)),IF(N29&gt;0,T29/N29-INDEX(账户总表!$B:$B,MATCH($A29,账户总表!$A:$A,0)),0)),0),0))</f>
        <v/>
      </c>
      <c r="AB29" s="39" t="str">
        <f aca="false">IF($A29="","",IF(AND(Z29="是",INDEX(账户总表!$U:$U,MATCH($A29,账户总表!$A:$A,0))="是"),IF(INDEX(账户总表!$L:$L,MATCH($A29,账户总表!$A:$A,0))&gt;=4,AA29*1.5,AA29),0))</f>
        <v/>
      </c>
      <c r="AC29" s="42" t="str">
        <f aca="false">IF($A29="","",IF(AND(L29="是",Q29&gt;=R29,S29&lt;=Q29,S29&gt;=R29,W29="是",X29&gt;0,M29="是",INDEX(账户总表!$M:$M,MATCH($A29,账户总表!$A:$A,0))&lt;=2,INDEX(账户总表!$V:$V,MATCH($A29,账户总表!$A:$A,0))="是",OR(T29&lt;=INDEX(账户总表!$C:$C,MATCH($A29,账户总表!$A:$A,0)),AND(Z29="是",INDEX(账户总表!$U:$U,MATCH($A29,账户总表!$A:$A,0))="是",AB29&gt;0))),"是","否"))</f>
        <v/>
      </c>
      <c r="AD29" s="37" t="str">
        <f aca="false">IF($A29="","",IF(L29&lt;&gt;"是","信号未确认",IF(X29&lt;=0,"止损价未定义",IF(Q29&lt;R29,"100股约束不满足",IF(S29&gt;Q29,"计划股数超单股上限",IF(S29&lt;R29,"计划股数低于最小门槛",IF(W29&lt;&gt;"是","总仓位超限",IF(M29&lt;&gt;"是","追价",IF(INDEX(账户总表!$M:$M,MATCH($A29,账户总表!$A:$A,0))&gt;2,"亏钱效应偏高",IF(INDEX(账户总表!$V:$V,MATCH($A29,账户总表!$A:$A,0))&lt;&gt;"是","账户不允许新开仓",IF(AND(T29&gt;INDEX(账户总表!$C:$C,MATCH($A29,账户总表!$A:$A,0)),INDEX(账户总表!$U:$U,MATCH($A29,账户总表!$A:$A,0))&lt;&gt;"是"),"现金不足且不允许转入",IF(AND(Z29="是",AB29&lt;=0),"转入金额未满足",""))))))))))))</f>
        <v/>
      </c>
      <c r="AE29" s="33"/>
    </row>
    <row r="30" customFormat="false" ht="15" hidden="false" customHeight="true" outlineLevel="0" collapsed="false">
      <c r="A30" s="32"/>
      <c r="B30" s="33"/>
      <c r="C30" s="34"/>
      <c r="D30" s="35"/>
      <c r="E30" s="35"/>
      <c r="F30" s="35"/>
      <c r="G30" s="36"/>
      <c r="H30" s="34"/>
      <c r="I30" s="34"/>
      <c r="J30" s="33"/>
      <c r="K30" s="37" t="str">
        <f aca="false">IF($A30="","",IF(AND(G30&lt;45%,H30&gt;=0.9),"A",IF(AND(G30&lt;60%,H30&gt;0.8),"B","C")))</f>
        <v/>
      </c>
      <c r="L30" s="37" t="str">
        <f aca="false">IF($A30="","",IF(AND(G30&lt;60%,H30&gt;0.8,I30="True"),"是","否"))</f>
        <v/>
      </c>
      <c r="M30" s="37" t="str">
        <f aca="false">IF($A30="","",IF(AND(D30&gt;0,E30&gt;0,D30&lt;=E30*1.02),"是","否"))</f>
        <v/>
      </c>
      <c r="N30" s="38" t="n">
        <f aca="false">IFERROR(INDEX(账户总表!$O:$O,MATCH($A30,账户总表!$A:$A,0)),0)</f>
        <v>0</v>
      </c>
      <c r="O30" s="39" t="n">
        <f aca="false">IFERROR(INDEX(账户总表!$B:$B,MATCH($A30,账户总表!$A:$A,0))*N30,0)</f>
        <v>0</v>
      </c>
      <c r="P30" s="40" t="n">
        <f aca="false">IFERROR(O30/D30,0)</f>
        <v>0</v>
      </c>
      <c r="Q30" s="40" t="n">
        <f aca="false">IFERROR(FLOOR(P30,100),0)</f>
        <v>0</v>
      </c>
      <c r="R30" s="40" t="n">
        <f aca="false">IFERROR(CEILING(800/(100*D30),1)*100,0)</f>
        <v>0</v>
      </c>
      <c r="S30" s="41"/>
      <c r="T30" s="39" t="n">
        <f aca="false">IFERROR(S30*D30,0)</f>
        <v>0</v>
      </c>
      <c r="U30" s="38" t="n">
        <f aca="false">IFERROR(T30/INDEX(账户总表!$B:$B,MATCH($A30,账户总表!$A:$A,0)),0)</f>
        <v>0</v>
      </c>
      <c r="V30" s="38" t="n">
        <f aca="false">IFERROR(INDEX(账户总表!$E:$E,MATCH($A30,账户总表!$A:$A,0))+U30,0)</f>
        <v>0</v>
      </c>
      <c r="W30" s="37" t="str">
        <f aca="false">IF($A30="","",IFERROR(IF(V30&lt;=INDEX(账户总表!$N:$N,MATCH($A30,账户总表!$A:$A,0)),"是","否"),"否"))</f>
        <v/>
      </c>
      <c r="X30" s="39" t="str">
        <f aca="false">IF($A30="","",MAX(F30*0.98,D30*0.92))</f>
        <v/>
      </c>
      <c r="Y30" s="34"/>
      <c r="Z30" s="37" t="str">
        <f aca="false">IF($A30="","",IFERROR(IF(AND(T30&gt;INDEX(账户总表!$C:$C,MATCH($A30,账户总表!$A:$A,0)),L30="是"),"是","否"),"否"))</f>
        <v/>
      </c>
      <c r="AA30" s="39" t="str">
        <f aca="false">IF($A30="","",IFERROR(IF(Z30="是",MAX(0,T30-INDEX(账户总表!$C:$C,MATCH($A30,账户总表!$A:$A,0)),IF(N30&gt;0,T30/N30-INDEX(账户总表!$B:$B,MATCH($A30,账户总表!$A:$A,0)),0)),0),0))</f>
        <v/>
      </c>
      <c r="AB30" s="39" t="str">
        <f aca="false">IF($A30="","",IF(AND(Z30="是",INDEX(账户总表!$U:$U,MATCH($A30,账户总表!$A:$A,0))="是"),IF(INDEX(账户总表!$L:$L,MATCH($A30,账户总表!$A:$A,0))&gt;=4,AA30*1.5,AA30),0))</f>
        <v/>
      </c>
      <c r="AC30" s="42" t="str">
        <f aca="false">IF($A30="","",IF(AND(L30="是",Q30&gt;=R30,S30&lt;=Q30,S30&gt;=R30,W30="是",X30&gt;0,M30="是",INDEX(账户总表!$M:$M,MATCH($A30,账户总表!$A:$A,0))&lt;=2,INDEX(账户总表!$V:$V,MATCH($A30,账户总表!$A:$A,0))="是",OR(T30&lt;=INDEX(账户总表!$C:$C,MATCH($A30,账户总表!$A:$A,0)),AND(Z30="是",INDEX(账户总表!$U:$U,MATCH($A30,账户总表!$A:$A,0))="是",AB30&gt;0))),"是","否"))</f>
        <v/>
      </c>
      <c r="AD30" s="37" t="str">
        <f aca="false">IF($A30="","",IF(L30&lt;&gt;"是","信号未确认",IF(X30&lt;=0,"止损价未定义",IF(Q30&lt;R30,"100股约束不满足",IF(S30&gt;Q30,"计划股数超单股上限",IF(S30&lt;R30,"计划股数低于最小门槛",IF(W30&lt;&gt;"是","总仓位超限",IF(M30&lt;&gt;"是","追价",IF(INDEX(账户总表!$M:$M,MATCH($A30,账户总表!$A:$A,0))&gt;2,"亏钱效应偏高",IF(INDEX(账户总表!$V:$V,MATCH($A30,账户总表!$A:$A,0))&lt;&gt;"是","账户不允许新开仓",IF(AND(T30&gt;INDEX(账户总表!$C:$C,MATCH($A30,账户总表!$A:$A,0)),INDEX(账户总表!$U:$U,MATCH($A30,账户总表!$A:$A,0))&lt;&gt;"是"),"现金不足且不允许转入",IF(AND(Z30="是",AB30&lt;=0),"转入金额未满足",""))))))))))))</f>
        <v/>
      </c>
      <c r="AE30" s="33"/>
    </row>
    <row r="31" customFormat="false" ht="15" hidden="false" customHeight="true" outlineLevel="0" collapsed="false">
      <c r="A31" s="32"/>
      <c r="B31" s="33"/>
      <c r="C31" s="34"/>
      <c r="D31" s="35"/>
      <c r="E31" s="35"/>
      <c r="F31" s="35"/>
      <c r="G31" s="36"/>
      <c r="H31" s="34"/>
      <c r="I31" s="34"/>
      <c r="J31" s="33"/>
      <c r="K31" s="37" t="str">
        <f aca="false">IF($A31="","",IF(AND(G31&lt;45%,H31&gt;=0.9),"A",IF(AND(G31&lt;60%,H31&gt;0.8),"B","C")))</f>
        <v/>
      </c>
      <c r="L31" s="37" t="str">
        <f aca="false">IF($A31="","",IF(AND(G31&lt;60%,H31&gt;0.8,I31="True"),"是","否"))</f>
        <v/>
      </c>
      <c r="M31" s="37" t="str">
        <f aca="false">IF($A31="","",IF(AND(D31&gt;0,E31&gt;0,D31&lt;=E31*1.02),"是","否"))</f>
        <v/>
      </c>
      <c r="N31" s="38" t="n">
        <f aca="false">IFERROR(INDEX(账户总表!$O:$O,MATCH($A31,账户总表!$A:$A,0)),0)</f>
        <v>0</v>
      </c>
      <c r="O31" s="39" t="n">
        <f aca="false">IFERROR(INDEX(账户总表!$B:$B,MATCH($A31,账户总表!$A:$A,0))*N31,0)</f>
        <v>0</v>
      </c>
      <c r="P31" s="40" t="n">
        <f aca="false">IFERROR(O31/D31,0)</f>
        <v>0</v>
      </c>
      <c r="Q31" s="40" t="n">
        <f aca="false">IFERROR(FLOOR(P31,100),0)</f>
        <v>0</v>
      </c>
      <c r="R31" s="40" t="n">
        <f aca="false">IFERROR(CEILING(800/(100*D31),1)*100,0)</f>
        <v>0</v>
      </c>
      <c r="S31" s="41"/>
      <c r="T31" s="39" t="n">
        <f aca="false">IFERROR(S31*D31,0)</f>
        <v>0</v>
      </c>
      <c r="U31" s="38" t="n">
        <f aca="false">IFERROR(T31/INDEX(账户总表!$B:$B,MATCH($A31,账户总表!$A:$A,0)),0)</f>
        <v>0</v>
      </c>
      <c r="V31" s="38" t="n">
        <f aca="false">IFERROR(INDEX(账户总表!$E:$E,MATCH($A31,账户总表!$A:$A,0))+U31,0)</f>
        <v>0</v>
      </c>
      <c r="W31" s="37" t="str">
        <f aca="false">IF($A31="","",IFERROR(IF(V31&lt;=INDEX(账户总表!$N:$N,MATCH($A31,账户总表!$A:$A,0)),"是","否"),"否"))</f>
        <v/>
      </c>
      <c r="X31" s="39" t="str">
        <f aca="false">IF($A31="","",MAX(F31*0.98,D31*0.92))</f>
        <v/>
      </c>
      <c r="Y31" s="34"/>
      <c r="Z31" s="37" t="str">
        <f aca="false">IF($A31="","",IFERROR(IF(AND(T31&gt;INDEX(账户总表!$C:$C,MATCH($A31,账户总表!$A:$A,0)),L31="是"),"是","否"),"否"))</f>
        <v/>
      </c>
      <c r="AA31" s="39" t="str">
        <f aca="false">IF($A31="","",IFERROR(IF(Z31="是",MAX(0,T31-INDEX(账户总表!$C:$C,MATCH($A31,账户总表!$A:$A,0)),IF(N31&gt;0,T31/N31-INDEX(账户总表!$B:$B,MATCH($A31,账户总表!$A:$A,0)),0)),0),0))</f>
        <v/>
      </c>
      <c r="AB31" s="39" t="str">
        <f aca="false">IF($A31="","",IF(AND(Z31="是",INDEX(账户总表!$U:$U,MATCH($A31,账户总表!$A:$A,0))="是"),IF(INDEX(账户总表!$L:$L,MATCH($A31,账户总表!$A:$A,0))&gt;=4,AA31*1.5,AA31),0))</f>
        <v/>
      </c>
      <c r="AC31" s="42" t="str">
        <f aca="false">IF($A31="","",IF(AND(L31="是",Q31&gt;=R31,S31&lt;=Q31,S31&gt;=R31,W31="是",X31&gt;0,M31="是",INDEX(账户总表!$M:$M,MATCH($A31,账户总表!$A:$A,0))&lt;=2,INDEX(账户总表!$V:$V,MATCH($A31,账户总表!$A:$A,0))="是",OR(T31&lt;=INDEX(账户总表!$C:$C,MATCH($A31,账户总表!$A:$A,0)),AND(Z31="是",INDEX(账户总表!$U:$U,MATCH($A31,账户总表!$A:$A,0))="是",AB31&gt;0))),"是","否"))</f>
        <v/>
      </c>
      <c r="AD31" s="37" t="str">
        <f aca="false">IF($A31="","",IF(L31&lt;&gt;"是","信号未确认",IF(X31&lt;=0,"止损价未定义",IF(Q31&lt;R31,"100股约束不满足",IF(S31&gt;Q31,"计划股数超单股上限",IF(S31&lt;R31,"计划股数低于最小门槛",IF(W31&lt;&gt;"是","总仓位超限",IF(M31&lt;&gt;"是","追价",IF(INDEX(账户总表!$M:$M,MATCH($A31,账户总表!$A:$A,0))&gt;2,"亏钱效应偏高",IF(INDEX(账户总表!$V:$V,MATCH($A31,账户总表!$A:$A,0))&lt;&gt;"是","账户不允许新开仓",IF(AND(T31&gt;INDEX(账户总表!$C:$C,MATCH($A31,账户总表!$A:$A,0)),INDEX(账户总表!$U:$U,MATCH($A31,账户总表!$A:$A,0))&lt;&gt;"是"),"现金不足且不允许转入",IF(AND(Z31="是",AB31&lt;=0),"转入金额未满足",""))))))))))))</f>
        <v/>
      </c>
      <c r="AE31" s="33"/>
    </row>
    <row r="32" customFormat="false" ht="15" hidden="false" customHeight="true" outlineLevel="0" collapsed="false">
      <c r="A32" s="32"/>
      <c r="B32" s="33"/>
      <c r="C32" s="34"/>
      <c r="D32" s="35"/>
      <c r="E32" s="35"/>
      <c r="F32" s="35"/>
      <c r="G32" s="36"/>
      <c r="H32" s="34"/>
      <c r="I32" s="34"/>
      <c r="J32" s="33"/>
      <c r="K32" s="37" t="str">
        <f aca="false">IF($A32="","",IF(AND(G32&lt;45%,H32&gt;=0.9),"A",IF(AND(G32&lt;60%,H32&gt;0.8),"B","C")))</f>
        <v/>
      </c>
      <c r="L32" s="37" t="str">
        <f aca="false">IF($A32="","",IF(AND(G32&lt;60%,H32&gt;0.8,I32="True"),"是","否"))</f>
        <v/>
      </c>
      <c r="M32" s="37" t="str">
        <f aca="false">IF($A32="","",IF(AND(D32&gt;0,E32&gt;0,D32&lt;=E32*1.02),"是","否"))</f>
        <v/>
      </c>
      <c r="N32" s="38" t="n">
        <f aca="false">IFERROR(INDEX(账户总表!$O:$O,MATCH($A32,账户总表!$A:$A,0)),0)</f>
        <v>0</v>
      </c>
      <c r="O32" s="39" t="n">
        <f aca="false">IFERROR(INDEX(账户总表!$B:$B,MATCH($A32,账户总表!$A:$A,0))*N32,0)</f>
        <v>0</v>
      </c>
      <c r="P32" s="40" t="n">
        <f aca="false">IFERROR(O32/D32,0)</f>
        <v>0</v>
      </c>
      <c r="Q32" s="40" t="n">
        <f aca="false">IFERROR(FLOOR(P32,100),0)</f>
        <v>0</v>
      </c>
      <c r="R32" s="40" t="n">
        <f aca="false">IFERROR(CEILING(800/(100*D32),1)*100,0)</f>
        <v>0</v>
      </c>
      <c r="S32" s="41"/>
      <c r="T32" s="39" t="n">
        <f aca="false">IFERROR(S32*D32,0)</f>
        <v>0</v>
      </c>
      <c r="U32" s="38" t="n">
        <f aca="false">IFERROR(T32/INDEX(账户总表!$B:$B,MATCH($A32,账户总表!$A:$A,0)),0)</f>
        <v>0</v>
      </c>
      <c r="V32" s="38" t="n">
        <f aca="false">IFERROR(INDEX(账户总表!$E:$E,MATCH($A32,账户总表!$A:$A,0))+U32,0)</f>
        <v>0</v>
      </c>
      <c r="W32" s="37" t="str">
        <f aca="false">IF($A32="","",IFERROR(IF(V32&lt;=INDEX(账户总表!$N:$N,MATCH($A32,账户总表!$A:$A,0)),"是","否"),"否"))</f>
        <v/>
      </c>
      <c r="X32" s="39" t="str">
        <f aca="false">IF($A32="","",MAX(F32*0.98,D32*0.92))</f>
        <v/>
      </c>
      <c r="Y32" s="34"/>
      <c r="Z32" s="37" t="str">
        <f aca="false">IF($A32="","",IFERROR(IF(AND(T32&gt;INDEX(账户总表!$C:$C,MATCH($A32,账户总表!$A:$A,0)),L32="是"),"是","否"),"否"))</f>
        <v/>
      </c>
      <c r="AA32" s="39" t="str">
        <f aca="false">IF($A32="","",IFERROR(IF(Z32="是",MAX(0,T32-INDEX(账户总表!$C:$C,MATCH($A32,账户总表!$A:$A,0)),IF(N32&gt;0,T32/N32-INDEX(账户总表!$B:$B,MATCH($A32,账户总表!$A:$A,0)),0)),0),0))</f>
        <v/>
      </c>
      <c r="AB32" s="39" t="str">
        <f aca="false">IF($A32="","",IF(AND(Z32="是",INDEX(账户总表!$U:$U,MATCH($A32,账户总表!$A:$A,0))="是"),IF(INDEX(账户总表!$L:$L,MATCH($A32,账户总表!$A:$A,0))&gt;=4,AA32*1.5,AA32),0))</f>
        <v/>
      </c>
      <c r="AC32" s="42" t="str">
        <f aca="false">IF($A32="","",IF(AND(L32="是",Q32&gt;=R32,S32&lt;=Q32,S32&gt;=R32,W32="是",X32&gt;0,M32="是",INDEX(账户总表!$M:$M,MATCH($A32,账户总表!$A:$A,0))&lt;=2,INDEX(账户总表!$V:$V,MATCH($A32,账户总表!$A:$A,0))="是",OR(T32&lt;=INDEX(账户总表!$C:$C,MATCH($A32,账户总表!$A:$A,0)),AND(Z32="是",INDEX(账户总表!$U:$U,MATCH($A32,账户总表!$A:$A,0))="是",AB32&gt;0))),"是","否"))</f>
        <v/>
      </c>
      <c r="AD32" s="37" t="str">
        <f aca="false">IF($A32="","",IF(L32&lt;&gt;"是","信号未确认",IF(X32&lt;=0,"止损价未定义",IF(Q32&lt;R32,"100股约束不满足",IF(S32&gt;Q32,"计划股数超单股上限",IF(S32&lt;R32,"计划股数低于最小门槛",IF(W32&lt;&gt;"是","总仓位超限",IF(M32&lt;&gt;"是","追价",IF(INDEX(账户总表!$M:$M,MATCH($A32,账户总表!$A:$A,0))&gt;2,"亏钱效应偏高",IF(INDEX(账户总表!$V:$V,MATCH($A32,账户总表!$A:$A,0))&lt;&gt;"是","账户不允许新开仓",IF(AND(T32&gt;INDEX(账户总表!$C:$C,MATCH($A32,账户总表!$A:$A,0)),INDEX(账户总表!$U:$U,MATCH($A32,账户总表!$A:$A,0))&lt;&gt;"是"),"现金不足且不允许转入",IF(AND(Z32="是",AB32&lt;=0),"转入金额未满足",""))))))))))))</f>
        <v/>
      </c>
      <c r="AE32" s="33"/>
    </row>
    <row r="33" customFormat="false" ht="15" hidden="false" customHeight="true" outlineLevel="0" collapsed="false">
      <c r="A33" s="32"/>
      <c r="B33" s="33"/>
      <c r="C33" s="34"/>
      <c r="D33" s="35"/>
      <c r="E33" s="35"/>
      <c r="F33" s="35"/>
      <c r="G33" s="36"/>
      <c r="H33" s="34"/>
      <c r="I33" s="34"/>
      <c r="J33" s="33"/>
      <c r="K33" s="37" t="str">
        <f aca="false">IF($A33="","",IF(AND(G33&lt;45%,H33&gt;=0.9),"A",IF(AND(G33&lt;60%,H33&gt;0.8),"B","C")))</f>
        <v/>
      </c>
      <c r="L33" s="37" t="str">
        <f aca="false">IF($A33="","",IF(AND(G33&lt;60%,H33&gt;0.8,I33="True"),"是","否"))</f>
        <v/>
      </c>
      <c r="M33" s="37" t="str">
        <f aca="false">IF($A33="","",IF(AND(D33&gt;0,E33&gt;0,D33&lt;=E33*1.02),"是","否"))</f>
        <v/>
      </c>
      <c r="N33" s="38" t="n">
        <f aca="false">IFERROR(INDEX(账户总表!$O:$O,MATCH($A33,账户总表!$A:$A,0)),0)</f>
        <v>0</v>
      </c>
      <c r="O33" s="39" t="n">
        <f aca="false">IFERROR(INDEX(账户总表!$B:$B,MATCH($A33,账户总表!$A:$A,0))*N33,0)</f>
        <v>0</v>
      </c>
      <c r="P33" s="40" t="n">
        <f aca="false">IFERROR(O33/D33,0)</f>
        <v>0</v>
      </c>
      <c r="Q33" s="40" t="n">
        <f aca="false">IFERROR(FLOOR(P33,100),0)</f>
        <v>0</v>
      </c>
      <c r="R33" s="40" t="n">
        <f aca="false">IFERROR(CEILING(800/(100*D33),1)*100,0)</f>
        <v>0</v>
      </c>
      <c r="S33" s="41"/>
      <c r="T33" s="39" t="n">
        <f aca="false">IFERROR(S33*D33,0)</f>
        <v>0</v>
      </c>
      <c r="U33" s="38" t="n">
        <f aca="false">IFERROR(T33/INDEX(账户总表!$B:$B,MATCH($A33,账户总表!$A:$A,0)),0)</f>
        <v>0</v>
      </c>
      <c r="V33" s="38" t="n">
        <f aca="false">IFERROR(INDEX(账户总表!$E:$E,MATCH($A33,账户总表!$A:$A,0))+U33,0)</f>
        <v>0</v>
      </c>
      <c r="W33" s="37" t="str">
        <f aca="false">IF($A33="","",IFERROR(IF(V33&lt;=INDEX(账户总表!$N:$N,MATCH($A33,账户总表!$A:$A,0)),"是","否"),"否"))</f>
        <v/>
      </c>
      <c r="X33" s="39" t="str">
        <f aca="false">IF($A33="","",MAX(F33*0.98,D33*0.92))</f>
        <v/>
      </c>
      <c r="Y33" s="34"/>
      <c r="Z33" s="37" t="str">
        <f aca="false">IF($A33="","",IFERROR(IF(AND(T33&gt;INDEX(账户总表!$C:$C,MATCH($A33,账户总表!$A:$A,0)),L33="是"),"是","否"),"否"))</f>
        <v/>
      </c>
      <c r="AA33" s="39" t="str">
        <f aca="false">IF($A33="","",IFERROR(IF(Z33="是",MAX(0,T33-INDEX(账户总表!$C:$C,MATCH($A33,账户总表!$A:$A,0)),IF(N33&gt;0,T33/N33-INDEX(账户总表!$B:$B,MATCH($A33,账户总表!$A:$A,0)),0)),0),0))</f>
        <v/>
      </c>
      <c r="AB33" s="39" t="str">
        <f aca="false">IF($A33="","",IF(AND(Z33="是",INDEX(账户总表!$U:$U,MATCH($A33,账户总表!$A:$A,0))="是"),IF(INDEX(账户总表!$L:$L,MATCH($A33,账户总表!$A:$A,0))&gt;=4,AA33*1.5,AA33),0))</f>
        <v/>
      </c>
      <c r="AC33" s="42" t="str">
        <f aca="false">IF($A33="","",IF(AND(L33="是",Q33&gt;=R33,S33&lt;=Q33,S33&gt;=R33,W33="是",X33&gt;0,M33="是",INDEX(账户总表!$M:$M,MATCH($A33,账户总表!$A:$A,0))&lt;=2,INDEX(账户总表!$V:$V,MATCH($A33,账户总表!$A:$A,0))="是",OR(T33&lt;=INDEX(账户总表!$C:$C,MATCH($A33,账户总表!$A:$A,0)),AND(Z33="是",INDEX(账户总表!$U:$U,MATCH($A33,账户总表!$A:$A,0))="是",AB33&gt;0))),"是","否"))</f>
        <v/>
      </c>
      <c r="AD33" s="37" t="str">
        <f aca="false">IF($A33="","",IF(L33&lt;&gt;"是","信号未确认",IF(X33&lt;=0,"止损价未定义",IF(Q33&lt;R33,"100股约束不满足",IF(S33&gt;Q33,"计划股数超单股上限",IF(S33&lt;R33,"计划股数低于最小门槛",IF(W33&lt;&gt;"是","总仓位超限",IF(M33&lt;&gt;"是","追价",IF(INDEX(账户总表!$M:$M,MATCH($A33,账户总表!$A:$A,0))&gt;2,"亏钱效应偏高",IF(INDEX(账户总表!$V:$V,MATCH($A33,账户总表!$A:$A,0))&lt;&gt;"是","账户不允许新开仓",IF(AND(T33&gt;INDEX(账户总表!$C:$C,MATCH($A33,账户总表!$A:$A,0)),INDEX(账户总表!$U:$U,MATCH($A33,账户总表!$A:$A,0))&lt;&gt;"是"),"现金不足且不允许转入",IF(AND(Z33="是",AB33&lt;=0),"转入金额未满足",""))))))))))))</f>
        <v/>
      </c>
      <c r="AE33" s="33"/>
    </row>
    <row r="34" customFormat="false" ht="15" hidden="false" customHeight="true" outlineLevel="0" collapsed="false">
      <c r="A34" s="32"/>
      <c r="B34" s="33"/>
      <c r="C34" s="34"/>
      <c r="D34" s="35"/>
      <c r="E34" s="35"/>
      <c r="F34" s="35"/>
      <c r="G34" s="36"/>
      <c r="H34" s="34"/>
      <c r="I34" s="34"/>
      <c r="J34" s="33"/>
      <c r="K34" s="37" t="str">
        <f aca="false">IF($A34="","",IF(AND(G34&lt;45%,H34&gt;=0.9),"A",IF(AND(G34&lt;60%,H34&gt;0.8),"B","C")))</f>
        <v/>
      </c>
      <c r="L34" s="37" t="str">
        <f aca="false">IF($A34="","",IF(AND(G34&lt;60%,H34&gt;0.8,I34="True"),"是","否"))</f>
        <v/>
      </c>
      <c r="M34" s="37" t="str">
        <f aca="false">IF($A34="","",IF(AND(D34&gt;0,E34&gt;0,D34&lt;=E34*1.02),"是","否"))</f>
        <v/>
      </c>
      <c r="N34" s="38" t="n">
        <f aca="false">IFERROR(INDEX(账户总表!$O:$O,MATCH($A34,账户总表!$A:$A,0)),0)</f>
        <v>0</v>
      </c>
      <c r="O34" s="39" t="n">
        <f aca="false">IFERROR(INDEX(账户总表!$B:$B,MATCH($A34,账户总表!$A:$A,0))*N34,0)</f>
        <v>0</v>
      </c>
      <c r="P34" s="40" t="n">
        <f aca="false">IFERROR(O34/D34,0)</f>
        <v>0</v>
      </c>
      <c r="Q34" s="40" t="n">
        <f aca="false">IFERROR(FLOOR(P34,100),0)</f>
        <v>0</v>
      </c>
      <c r="R34" s="40" t="n">
        <f aca="false">IFERROR(CEILING(800/(100*D34),1)*100,0)</f>
        <v>0</v>
      </c>
      <c r="S34" s="41"/>
      <c r="T34" s="39" t="n">
        <f aca="false">IFERROR(S34*D34,0)</f>
        <v>0</v>
      </c>
      <c r="U34" s="38" t="n">
        <f aca="false">IFERROR(T34/INDEX(账户总表!$B:$B,MATCH($A34,账户总表!$A:$A,0)),0)</f>
        <v>0</v>
      </c>
      <c r="V34" s="38" t="n">
        <f aca="false">IFERROR(INDEX(账户总表!$E:$E,MATCH($A34,账户总表!$A:$A,0))+U34,0)</f>
        <v>0</v>
      </c>
      <c r="W34" s="37" t="str">
        <f aca="false">IF($A34="","",IFERROR(IF(V34&lt;=INDEX(账户总表!$N:$N,MATCH($A34,账户总表!$A:$A,0)),"是","否"),"否"))</f>
        <v/>
      </c>
      <c r="X34" s="39" t="str">
        <f aca="false">IF($A34="","",MAX(F34*0.98,D34*0.92))</f>
        <v/>
      </c>
      <c r="Y34" s="34"/>
      <c r="Z34" s="37" t="str">
        <f aca="false">IF($A34="","",IFERROR(IF(AND(T34&gt;INDEX(账户总表!$C:$C,MATCH($A34,账户总表!$A:$A,0)),L34="是"),"是","否"),"否"))</f>
        <v/>
      </c>
      <c r="AA34" s="39" t="str">
        <f aca="false">IF($A34="","",IFERROR(IF(Z34="是",MAX(0,T34-INDEX(账户总表!$C:$C,MATCH($A34,账户总表!$A:$A,0)),IF(N34&gt;0,T34/N34-INDEX(账户总表!$B:$B,MATCH($A34,账户总表!$A:$A,0)),0)),0),0))</f>
        <v/>
      </c>
      <c r="AB34" s="39" t="str">
        <f aca="false">IF($A34="","",IF(AND(Z34="是",INDEX(账户总表!$U:$U,MATCH($A34,账户总表!$A:$A,0))="是"),IF(INDEX(账户总表!$L:$L,MATCH($A34,账户总表!$A:$A,0))&gt;=4,AA34*1.5,AA34),0))</f>
        <v/>
      </c>
      <c r="AC34" s="42" t="str">
        <f aca="false">IF($A34="","",IF(AND(L34="是",Q34&gt;=R34,S34&lt;=Q34,S34&gt;=R34,W34="是",X34&gt;0,M34="是",INDEX(账户总表!$M:$M,MATCH($A34,账户总表!$A:$A,0))&lt;=2,INDEX(账户总表!$V:$V,MATCH($A34,账户总表!$A:$A,0))="是",OR(T34&lt;=INDEX(账户总表!$C:$C,MATCH($A34,账户总表!$A:$A,0)),AND(Z34="是",INDEX(账户总表!$U:$U,MATCH($A34,账户总表!$A:$A,0))="是",AB34&gt;0))),"是","否"))</f>
        <v/>
      </c>
      <c r="AD34" s="37" t="str">
        <f aca="false">IF($A34="","",IF(L34&lt;&gt;"是","信号未确认",IF(X34&lt;=0,"止损价未定义",IF(Q34&lt;R34,"100股约束不满足",IF(S34&gt;Q34,"计划股数超单股上限",IF(S34&lt;R34,"计划股数低于最小门槛",IF(W34&lt;&gt;"是","总仓位超限",IF(M34&lt;&gt;"是","追价",IF(INDEX(账户总表!$M:$M,MATCH($A34,账户总表!$A:$A,0))&gt;2,"亏钱效应偏高",IF(INDEX(账户总表!$V:$V,MATCH($A34,账户总表!$A:$A,0))&lt;&gt;"是","账户不允许新开仓",IF(AND(T34&gt;INDEX(账户总表!$C:$C,MATCH($A34,账户总表!$A:$A,0)),INDEX(账户总表!$U:$U,MATCH($A34,账户总表!$A:$A,0))&lt;&gt;"是"),"现金不足且不允许转入",IF(AND(Z34="是",AB34&lt;=0),"转入金额未满足",""))))))))))))</f>
        <v/>
      </c>
      <c r="AE34" s="33"/>
    </row>
    <row r="35" customFormat="false" ht="15" hidden="false" customHeight="true" outlineLevel="0" collapsed="false">
      <c r="A35" s="32"/>
      <c r="B35" s="33"/>
      <c r="C35" s="34"/>
      <c r="D35" s="35"/>
      <c r="E35" s="35"/>
      <c r="F35" s="35"/>
      <c r="G35" s="36"/>
      <c r="H35" s="34"/>
      <c r="I35" s="34"/>
      <c r="J35" s="33"/>
      <c r="K35" s="37" t="str">
        <f aca="false">IF($A35="","",IF(AND(G35&lt;45%,H35&gt;=0.9),"A",IF(AND(G35&lt;60%,H35&gt;0.8),"B","C")))</f>
        <v/>
      </c>
      <c r="L35" s="37" t="str">
        <f aca="false">IF($A35="","",IF(AND(G35&lt;60%,H35&gt;0.8,I35="True"),"是","否"))</f>
        <v/>
      </c>
      <c r="M35" s="37" t="str">
        <f aca="false">IF($A35="","",IF(AND(D35&gt;0,E35&gt;0,D35&lt;=E35*1.02),"是","否"))</f>
        <v/>
      </c>
      <c r="N35" s="38" t="n">
        <f aca="false">IFERROR(INDEX(账户总表!$O:$O,MATCH($A35,账户总表!$A:$A,0)),0)</f>
        <v>0</v>
      </c>
      <c r="O35" s="39" t="n">
        <f aca="false">IFERROR(INDEX(账户总表!$B:$B,MATCH($A35,账户总表!$A:$A,0))*N35,0)</f>
        <v>0</v>
      </c>
      <c r="P35" s="40" t="n">
        <f aca="false">IFERROR(O35/D35,0)</f>
        <v>0</v>
      </c>
      <c r="Q35" s="40" t="n">
        <f aca="false">IFERROR(FLOOR(P35,100),0)</f>
        <v>0</v>
      </c>
      <c r="R35" s="40" t="n">
        <f aca="false">IFERROR(CEILING(800/(100*D35),1)*100,0)</f>
        <v>0</v>
      </c>
      <c r="S35" s="41"/>
      <c r="T35" s="39" t="n">
        <f aca="false">IFERROR(S35*D35,0)</f>
        <v>0</v>
      </c>
      <c r="U35" s="38" t="n">
        <f aca="false">IFERROR(T35/INDEX(账户总表!$B:$B,MATCH($A35,账户总表!$A:$A,0)),0)</f>
        <v>0</v>
      </c>
      <c r="V35" s="38" t="n">
        <f aca="false">IFERROR(INDEX(账户总表!$E:$E,MATCH($A35,账户总表!$A:$A,0))+U35,0)</f>
        <v>0</v>
      </c>
      <c r="W35" s="37" t="str">
        <f aca="false">IF($A35="","",IFERROR(IF(V35&lt;=INDEX(账户总表!$N:$N,MATCH($A35,账户总表!$A:$A,0)),"是","否"),"否"))</f>
        <v/>
      </c>
      <c r="X35" s="39" t="str">
        <f aca="false">IF($A35="","",MAX(F35*0.98,D35*0.92))</f>
        <v/>
      </c>
      <c r="Y35" s="34"/>
      <c r="Z35" s="37" t="str">
        <f aca="false">IF($A35="","",IFERROR(IF(AND(T35&gt;INDEX(账户总表!$C:$C,MATCH($A35,账户总表!$A:$A,0)),L35="是"),"是","否"),"否"))</f>
        <v/>
      </c>
      <c r="AA35" s="39" t="str">
        <f aca="false">IF($A35="","",IFERROR(IF(Z35="是",MAX(0,T35-INDEX(账户总表!$C:$C,MATCH($A35,账户总表!$A:$A,0)),IF(N35&gt;0,T35/N35-INDEX(账户总表!$B:$B,MATCH($A35,账户总表!$A:$A,0)),0)),0),0))</f>
        <v/>
      </c>
      <c r="AB35" s="39" t="str">
        <f aca="false">IF($A35="","",IF(AND(Z35="是",INDEX(账户总表!$U:$U,MATCH($A35,账户总表!$A:$A,0))="是"),IF(INDEX(账户总表!$L:$L,MATCH($A35,账户总表!$A:$A,0))&gt;=4,AA35*1.5,AA35),0))</f>
        <v/>
      </c>
      <c r="AC35" s="42" t="str">
        <f aca="false">IF($A35="","",IF(AND(L35="是",Q35&gt;=R35,S35&lt;=Q35,S35&gt;=R35,W35="是",X35&gt;0,M35="是",INDEX(账户总表!$M:$M,MATCH($A35,账户总表!$A:$A,0))&lt;=2,INDEX(账户总表!$V:$V,MATCH($A35,账户总表!$A:$A,0))="是",OR(T35&lt;=INDEX(账户总表!$C:$C,MATCH($A35,账户总表!$A:$A,0)),AND(Z35="是",INDEX(账户总表!$U:$U,MATCH($A35,账户总表!$A:$A,0))="是",AB35&gt;0))),"是","否"))</f>
        <v/>
      </c>
      <c r="AD35" s="37" t="str">
        <f aca="false">IF($A35="","",IF(L35&lt;&gt;"是","信号未确认",IF(X35&lt;=0,"止损价未定义",IF(Q35&lt;R35,"100股约束不满足",IF(S35&gt;Q35,"计划股数超单股上限",IF(S35&lt;R35,"计划股数低于最小门槛",IF(W35&lt;&gt;"是","总仓位超限",IF(M35&lt;&gt;"是","追价",IF(INDEX(账户总表!$M:$M,MATCH($A35,账户总表!$A:$A,0))&gt;2,"亏钱效应偏高",IF(INDEX(账户总表!$V:$V,MATCH($A35,账户总表!$A:$A,0))&lt;&gt;"是","账户不允许新开仓",IF(AND(T35&gt;INDEX(账户总表!$C:$C,MATCH($A35,账户总表!$A:$A,0)),INDEX(账户总表!$U:$U,MATCH($A35,账户总表!$A:$A,0))&lt;&gt;"是"),"现金不足且不允许转入",IF(AND(Z35="是",AB35&lt;=0),"转入金额未满足",""))))))))))))</f>
        <v/>
      </c>
      <c r="AE35" s="33"/>
    </row>
    <row r="36" customFormat="false" ht="15" hidden="false" customHeight="true" outlineLevel="0" collapsed="false">
      <c r="A36" s="32"/>
      <c r="B36" s="33"/>
      <c r="C36" s="34"/>
      <c r="D36" s="35"/>
      <c r="E36" s="35"/>
      <c r="F36" s="35"/>
      <c r="G36" s="36"/>
      <c r="H36" s="34"/>
      <c r="I36" s="34"/>
      <c r="J36" s="33"/>
      <c r="K36" s="37" t="str">
        <f aca="false">IF($A36="","",IF(AND(G36&lt;45%,H36&gt;=0.9),"A",IF(AND(G36&lt;60%,H36&gt;0.8),"B","C")))</f>
        <v/>
      </c>
      <c r="L36" s="37" t="str">
        <f aca="false">IF($A36="","",IF(AND(G36&lt;60%,H36&gt;0.8,I36="True"),"是","否"))</f>
        <v/>
      </c>
      <c r="M36" s="37" t="str">
        <f aca="false">IF($A36="","",IF(AND(D36&gt;0,E36&gt;0,D36&lt;=E36*1.02),"是","否"))</f>
        <v/>
      </c>
      <c r="N36" s="38" t="n">
        <f aca="false">IFERROR(INDEX(账户总表!$O:$O,MATCH($A36,账户总表!$A:$A,0)),0)</f>
        <v>0</v>
      </c>
      <c r="O36" s="39" t="n">
        <f aca="false">IFERROR(INDEX(账户总表!$B:$B,MATCH($A36,账户总表!$A:$A,0))*N36,0)</f>
        <v>0</v>
      </c>
      <c r="P36" s="40" t="n">
        <f aca="false">IFERROR(O36/D36,0)</f>
        <v>0</v>
      </c>
      <c r="Q36" s="40" t="n">
        <f aca="false">IFERROR(FLOOR(P36,100),0)</f>
        <v>0</v>
      </c>
      <c r="R36" s="40" t="n">
        <f aca="false">IFERROR(CEILING(800/(100*D36),1)*100,0)</f>
        <v>0</v>
      </c>
      <c r="S36" s="41"/>
      <c r="T36" s="39" t="n">
        <f aca="false">IFERROR(S36*D36,0)</f>
        <v>0</v>
      </c>
      <c r="U36" s="38" t="n">
        <f aca="false">IFERROR(T36/INDEX(账户总表!$B:$B,MATCH($A36,账户总表!$A:$A,0)),0)</f>
        <v>0</v>
      </c>
      <c r="V36" s="38" t="n">
        <f aca="false">IFERROR(INDEX(账户总表!$E:$E,MATCH($A36,账户总表!$A:$A,0))+U36,0)</f>
        <v>0</v>
      </c>
      <c r="W36" s="37" t="str">
        <f aca="false">IF($A36="","",IFERROR(IF(V36&lt;=INDEX(账户总表!$N:$N,MATCH($A36,账户总表!$A:$A,0)),"是","否"),"否"))</f>
        <v/>
      </c>
      <c r="X36" s="39" t="str">
        <f aca="false">IF($A36="","",MAX(F36*0.98,D36*0.92))</f>
        <v/>
      </c>
      <c r="Y36" s="34"/>
      <c r="Z36" s="37" t="str">
        <f aca="false">IF($A36="","",IFERROR(IF(AND(T36&gt;INDEX(账户总表!$C:$C,MATCH($A36,账户总表!$A:$A,0)),L36="是"),"是","否"),"否"))</f>
        <v/>
      </c>
      <c r="AA36" s="39" t="str">
        <f aca="false">IF($A36="","",IFERROR(IF(Z36="是",MAX(0,T36-INDEX(账户总表!$C:$C,MATCH($A36,账户总表!$A:$A,0)),IF(N36&gt;0,T36/N36-INDEX(账户总表!$B:$B,MATCH($A36,账户总表!$A:$A,0)),0)),0),0))</f>
        <v/>
      </c>
      <c r="AB36" s="39" t="str">
        <f aca="false">IF($A36="","",IF(AND(Z36="是",INDEX(账户总表!$U:$U,MATCH($A36,账户总表!$A:$A,0))="是"),IF(INDEX(账户总表!$L:$L,MATCH($A36,账户总表!$A:$A,0))&gt;=4,AA36*1.5,AA36),0))</f>
        <v/>
      </c>
      <c r="AC36" s="42" t="str">
        <f aca="false">IF($A36="","",IF(AND(L36="是",Q36&gt;=R36,S36&lt;=Q36,S36&gt;=R36,W36="是",X36&gt;0,M36="是",INDEX(账户总表!$M:$M,MATCH($A36,账户总表!$A:$A,0))&lt;=2,INDEX(账户总表!$V:$V,MATCH($A36,账户总表!$A:$A,0))="是",OR(T36&lt;=INDEX(账户总表!$C:$C,MATCH($A36,账户总表!$A:$A,0)),AND(Z36="是",INDEX(账户总表!$U:$U,MATCH($A36,账户总表!$A:$A,0))="是",AB36&gt;0))),"是","否"))</f>
        <v/>
      </c>
      <c r="AD36" s="37" t="str">
        <f aca="false">IF($A36="","",IF(L36&lt;&gt;"是","信号未确认",IF(X36&lt;=0,"止损价未定义",IF(Q36&lt;R36,"100股约束不满足",IF(S36&gt;Q36,"计划股数超单股上限",IF(S36&lt;R36,"计划股数低于最小门槛",IF(W36&lt;&gt;"是","总仓位超限",IF(M36&lt;&gt;"是","追价",IF(INDEX(账户总表!$M:$M,MATCH($A36,账户总表!$A:$A,0))&gt;2,"亏钱效应偏高",IF(INDEX(账户总表!$V:$V,MATCH($A36,账户总表!$A:$A,0))&lt;&gt;"是","账户不允许新开仓",IF(AND(T36&gt;INDEX(账户总表!$C:$C,MATCH($A36,账户总表!$A:$A,0)),INDEX(账户总表!$U:$U,MATCH($A36,账户总表!$A:$A,0))&lt;&gt;"是"),"现金不足且不允许转入",IF(AND(Z36="是",AB36&lt;=0),"转入金额未满足",""))))))))))))</f>
        <v/>
      </c>
      <c r="AE36" s="33"/>
    </row>
    <row r="37" customFormat="false" ht="15" hidden="false" customHeight="true" outlineLevel="0" collapsed="false">
      <c r="A37" s="32"/>
      <c r="B37" s="33"/>
      <c r="C37" s="34"/>
      <c r="D37" s="35"/>
      <c r="E37" s="35"/>
      <c r="F37" s="35"/>
      <c r="G37" s="36"/>
      <c r="H37" s="34"/>
      <c r="I37" s="34"/>
      <c r="J37" s="33"/>
      <c r="K37" s="37" t="str">
        <f aca="false">IF($A37="","",IF(AND(G37&lt;45%,H37&gt;=0.9),"A",IF(AND(G37&lt;60%,H37&gt;0.8),"B","C")))</f>
        <v/>
      </c>
      <c r="L37" s="37" t="str">
        <f aca="false">IF($A37="","",IF(AND(G37&lt;60%,H37&gt;0.8,I37="True"),"是","否"))</f>
        <v/>
      </c>
      <c r="M37" s="37" t="str">
        <f aca="false">IF($A37="","",IF(AND(D37&gt;0,E37&gt;0,D37&lt;=E37*1.02),"是","否"))</f>
        <v/>
      </c>
      <c r="N37" s="38" t="n">
        <f aca="false">IFERROR(INDEX(账户总表!$O:$O,MATCH($A37,账户总表!$A:$A,0)),0)</f>
        <v>0</v>
      </c>
      <c r="O37" s="39" t="n">
        <f aca="false">IFERROR(INDEX(账户总表!$B:$B,MATCH($A37,账户总表!$A:$A,0))*N37,0)</f>
        <v>0</v>
      </c>
      <c r="P37" s="40" t="n">
        <f aca="false">IFERROR(O37/D37,0)</f>
        <v>0</v>
      </c>
      <c r="Q37" s="40" t="n">
        <f aca="false">IFERROR(FLOOR(P37,100),0)</f>
        <v>0</v>
      </c>
      <c r="R37" s="40" t="n">
        <f aca="false">IFERROR(CEILING(800/(100*D37),1)*100,0)</f>
        <v>0</v>
      </c>
      <c r="S37" s="41"/>
      <c r="T37" s="39" t="n">
        <f aca="false">IFERROR(S37*D37,0)</f>
        <v>0</v>
      </c>
      <c r="U37" s="38" t="n">
        <f aca="false">IFERROR(T37/INDEX(账户总表!$B:$B,MATCH($A37,账户总表!$A:$A,0)),0)</f>
        <v>0</v>
      </c>
      <c r="V37" s="38" t="n">
        <f aca="false">IFERROR(INDEX(账户总表!$E:$E,MATCH($A37,账户总表!$A:$A,0))+U37,0)</f>
        <v>0</v>
      </c>
      <c r="W37" s="37" t="str">
        <f aca="false">IF($A37="","",IFERROR(IF(V37&lt;=INDEX(账户总表!$N:$N,MATCH($A37,账户总表!$A:$A,0)),"是","否"),"否"))</f>
        <v/>
      </c>
      <c r="X37" s="39" t="str">
        <f aca="false">IF($A37="","",MAX(F37*0.98,D37*0.92))</f>
        <v/>
      </c>
      <c r="Y37" s="34"/>
      <c r="Z37" s="37" t="str">
        <f aca="false">IF($A37="","",IFERROR(IF(AND(T37&gt;INDEX(账户总表!$C:$C,MATCH($A37,账户总表!$A:$A,0)),L37="是"),"是","否"),"否"))</f>
        <v/>
      </c>
      <c r="AA37" s="39" t="str">
        <f aca="false">IF($A37="","",IFERROR(IF(Z37="是",MAX(0,T37-INDEX(账户总表!$C:$C,MATCH($A37,账户总表!$A:$A,0)),IF(N37&gt;0,T37/N37-INDEX(账户总表!$B:$B,MATCH($A37,账户总表!$A:$A,0)),0)),0),0))</f>
        <v/>
      </c>
      <c r="AB37" s="39" t="str">
        <f aca="false">IF($A37="","",IF(AND(Z37="是",INDEX(账户总表!$U:$U,MATCH($A37,账户总表!$A:$A,0))="是"),IF(INDEX(账户总表!$L:$L,MATCH($A37,账户总表!$A:$A,0))&gt;=4,AA37*1.5,AA37),0))</f>
        <v/>
      </c>
      <c r="AC37" s="42" t="str">
        <f aca="false">IF($A37="","",IF(AND(L37="是",Q37&gt;=R37,S37&lt;=Q37,S37&gt;=R37,W37="是",X37&gt;0,M37="是",INDEX(账户总表!$M:$M,MATCH($A37,账户总表!$A:$A,0))&lt;=2,INDEX(账户总表!$V:$V,MATCH($A37,账户总表!$A:$A,0))="是",OR(T37&lt;=INDEX(账户总表!$C:$C,MATCH($A37,账户总表!$A:$A,0)),AND(Z37="是",INDEX(账户总表!$U:$U,MATCH($A37,账户总表!$A:$A,0))="是",AB37&gt;0))),"是","否"))</f>
        <v/>
      </c>
      <c r="AD37" s="37" t="str">
        <f aca="false">IF($A37="","",IF(L37&lt;&gt;"是","信号未确认",IF(X37&lt;=0,"止损价未定义",IF(Q37&lt;R37,"100股约束不满足",IF(S37&gt;Q37,"计划股数超单股上限",IF(S37&lt;R37,"计划股数低于最小门槛",IF(W37&lt;&gt;"是","总仓位超限",IF(M37&lt;&gt;"是","追价",IF(INDEX(账户总表!$M:$M,MATCH($A37,账户总表!$A:$A,0))&gt;2,"亏钱效应偏高",IF(INDEX(账户总表!$V:$V,MATCH($A37,账户总表!$A:$A,0))&lt;&gt;"是","账户不允许新开仓",IF(AND(T37&gt;INDEX(账户总表!$C:$C,MATCH($A37,账户总表!$A:$A,0)),INDEX(账户总表!$U:$U,MATCH($A37,账户总表!$A:$A,0))&lt;&gt;"是"),"现金不足且不允许转入",IF(AND(Z37="是",AB37&lt;=0),"转入金额未满足",""))))))))))))</f>
        <v/>
      </c>
      <c r="AE37" s="33"/>
    </row>
    <row r="38" customFormat="false" ht="15" hidden="false" customHeight="true" outlineLevel="0" collapsed="false">
      <c r="A38" s="32"/>
      <c r="B38" s="33"/>
      <c r="C38" s="34"/>
      <c r="D38" s="35"/>
      <c r="E38" s="35"/>
      <c r="F38" s="35"/>
      <c r="G38" s="36"/>
      <c r="H38" s="34"/>
      <c r="I38" s="34"/>
      <c r="J38" s="33"/>
      <c r="K38" s="37" t="str">
        <f aca="false">IF($A38="","",IF(AND(G38&lt;45%,H38&gt;=0.9),"A",IF(AND(G38&lt;60%,H38&gt;0.8),"B","C")))</f>
        <v/>
      </c>
      <c r="L38" s="37" t="str">
        <f aca="false">IF($A38="","",IF(AND(G38&lt;60%,H38&gt;0.8,I38="True"),"是","否"))</f>
        <v/>
      </c>
      <c r="M38" s="37" t="str">
        <f aca="false">IF($A38="","",IF(AND(D38&gt;0,E38&gt;0,D38&lt;=E38*1.02),"是","否"))</f>
        <v/>
      </c>
      <c r="N38" s="38" t="n">
        <f aca="false">IFERROR(INDEX(账户总表!$O:$O,MATCH($A38,账户总表!$A:$A,0)),0)</f>
        <v>0</v>
      </c>
      <c r="O38" s="39" t="n">
        <f aca="false">IFERROR(INDEX(账户总表!$B:$B,MATCH($A38,账户总表!$A:$A,0))*N38,0)</f>
        <v>0</v>
      </c>
      <c r="P38" s="40" t="n">
        <f aca="false">IFERROR(O38/D38,0)</f>
        <v>0</v>
      </c>
      <c r="Q38" s="40" t="n">
        <f aca="false">IFERROR(FLOOR(P38,100),0)</f>
        <v>0</v>
      </c>
      <c r="R38" s="40" t="n">
        <f aca="false">IFERROR(CEILING(800/(100*D38),1)*100,0)</f>
        <v>0</v>
      </c>
      <c r="S38" s="41"/>
      <c r="T38" s="39" t="n">
        <f aca="false">IFERROR(S38*D38,0)</f>
        <v>0</v>
      </c>
      <c r="U38" s="38" t="n">
        <f aca="false">IFERROR(T38/INDEX(账户总表!$B:$B,MATCH($A38,账户总表!$A:$A,0)),0)</f>
        <v>0</v>
      </c>
      <c r="V38" s="38" t="n">
        <f aca="false">IFERROR(INDEX(账户总表!$E:$E,MATCH($A38,账户总表!$A:$A,0))+U38,0)</f>
        <v>0</v>
      </c>
      <c r="W38" s="37" t="str">
        <f aca="false">IF($A38="","",IFERROR(IF(V38&lt;=INDEX(账户总表!$N:$N,MATCH($A38,账户总表!$A:$A,0)),"是","否"),"否"))</f>
        <v/>
      </c>
      <c r="X38" s="39" t="str">
        <f aca="false">IF($A38="","",MAX(F38*0.98,D38*0.92))</f>
        <v/>
      </c>
      <c r="Y38" s="34"/>
      <c r="Z38" s="37" t="str">
        <f aca="false">IF($A38="","",IFERROR(IF(AND(T38&gt;INDEX(账户总表!$C:$C,MATCH($A38,账户总表!$A:$A,0)),L38="是"),"是","否"),"否"))</f>
        <v/>
      </c>
      <c r="AA38" s="39" t="str">
        <f aca="false">IF($A38="","",IFERROR(IF(Z38="是",MAX(0,T38-INDEX(账户总表!$C:$C,MATCH($A38,账户总表!$A:$A,0)),IF(N38&gt;0,T38/N38-INDEX(账户总表!$B:$B,MATCH($A38,账户总表!$A:$A,0)),0)),0),0))</f>
        <v/>
      </c>
      <c r="AB38" s="39" t="str">
        <f aca="false">IF($A38="","",IF(AND(Z38="是",INDEX(账户总表!$U:$U,MATCH($A38,账户总表!$A:$A,0))="是"),IF(INDEX(账户总表!$L:$L,MATCH($A38,账户总表!$A:$A,0))&gt;=4,AA38*1.5,AA38),0))</f>
        <v/>
      </c>
      <c r="AC38" s="42" t="str">
        <f aca="false">IF($A38="","",IF(AND(L38="是",Q38&gt;=R38,S38&lt;=Q38,S38&gt;=R38,W38="是",X38&gt;0,M38="是",INDEX(账户总表!$M:$M,MATCH($A38,账户总表!$A:$A,0))&lt;=2,INDEX(账户总表!$V:$V,MATCH($A38,账户总表!$A:$A,0))="是",OR(T38&lt;=INDEX(账户总表!$C:$C,MATCH($A38,账户总表!$A:$A,0)),AND(Z38="是",INDEX(账户总表!$U:$U,MATCH($A38,账户总表!$A:$A,0))="是",AB38&gt;0))),"是","否"))</f>
        <v/>
      </c>
      <c r="AD38" s="37" t="str">
        <f aca="false">IF($A38="","",IF(L38&lt;&gt;"是","信号未确认",IF(X38&lt;=0,"止损价未定义",IF(Q38&lt;R38,"100股约束不满足",IF(S38&gt;Q38,"计划股数超单股上限",IF(S38&lt;R38,"计划股数低于最小门槛",IF(W38&lt;&gt;"是","总仓位超限",IF(M38&lt;&gt;"是","追价",IF(INDEX(账户总表!$M:$M,MATCH($A38,账户总表!$A:$A,0))&gt;2,"亏钱效应偏高",IF(INDEX(账户总表!$V:$V,MATCH($A38,账户总表!$A:$A,0))&lt;&gt;"是","账户不允许新开仓",IF(AND(T38&gt;INDEX(账户总表!$C:$C,MATCH($A38,账户总表!$A:$A,0)),INDEX(账户总表!$U:$U,MATCH($A38,账户总表!$A:$A,0))&lt;&gt;"是"),"现金不足且不允许转入",IF(AND(Z38="是",AB38&lt;=0),"转入金额未满足",""))))))))))))</f>
        <v/>
      </c>
      <c r="AE38" s="33"/>
    </row>
    <row r="39" customFormat="false" ht="15" hidden="false" customHeight="true" outlineLevel="0" collapsed="false">
      <c r="A39" s="32"/>
      <c r="B39" s="33"/>
      <c r="C39" s="34"/>
      <c r="D39" s="35"/>
      <c r="E39" s="35"/>
      <c r="F39" s="35"/>
      <c r="G39" s="36"/>
      <c r="H39" s="34"/>
      <c r="I39" s="34"/>
      <c r="J39" s="33"/>
      <c r="K39" s="37" t="str">
        <f aca="false">IF($A39="","",IF(AND(G39&lt;45%,H39&gt;=0.9),"A",IF(AND(G39&lt;60%,H39&gt;0.8),"B","C")))</f>
        <v/>
      </c>
      <c r="L39" s="37" t="str">
        <f aca="false">IF($A39="","",IF(AND(G39&lt;60%,H39&gt;0.8,I39="True"),"是","否"))</f>
        <v/>
      </c>
      <c r="M39" s="37" t="str">
        <f aca="false">IF($A39="","",IF(AND(D39&gt;0,E39&gt;0,D39&lt;=E39*1.02),"是","否"))</f>
        <v/>
      </c>
      <c r="N39" s="38" t="n">
        <f aca="false">IFERROR(INDEX(账户总表!$O:$O,MATCH($A39,账户总表!$A:$A,0)),0)</f>
        <v>0</v>
      </c>
      <c r="O39" s="39" t="n">
        <f aca="false">IFERROR(INDEX(账户总表!$B:$B,MATCH($A39,账户总表!$A:$A,0))*N39,0)</f>
        <v>0</v>
      </c>
      <c r="P39" s="40" t="n">
        <f aca="false">IFERROR(O39/D39,0)</f>
        <v>0</v>
      </c>
      <c r="Q39" s="40" t="n">
        <f aca="false">IFERROR(FLOOR(P39,100),0)</f>
        <v>0</v>
      </c>
      <c r="R39" s="40" t="n">
        <f aca="false">IFERROR(CEILING(800/(100*D39),1)*100,0)</f>
        <v>0</v>
      </c>
      <c r="S39" s="41"/>
      <c r="T39" s="39" t="n">
        <f aca="false">IFERROR(S39*D39,0)</f>
        <v>0</v>
      </c>
      <c r="U39" s="38" t="n">
        <f aca="false">IFERROR(T39/INDEX(账户总表!$B:$B,MATCH($A39,账户总表!$A:$A,0)),0)</f>
        <v>0</v>
      </c>
      <c r="V39" s="38" t="n">
        <f aca="false">IFERROR(INDEX(账户总表!$E:$E,MATCH($A39,账户总表!$A:$A,0))+U39,0)</f>
        <v>0</v>
      </c>
      <c r="W39" s="37" t="str">
        <f aca="false">IF($A39="","",IFERROR(IF(V39&lt;=INDEX(账户总表!$N:$N,MATCH($A39,账户总表!$A:$A,0)),"是","否"),"否"))</f>
        <v/>
      </c>
      <c r="X39" s="39" t="str">
        <f aca="false">IF($A39="","",MAX(F39*0.98,D39*0.92))</f>
        <v/>
      </c>
      <c r="Y39" s="34"/>
      <c r="Z39" s="37" t="str">
        <f aca="false">IF($A39="","",IFERROR(IF(AND(T39&gt;INDEX(账户总表!$C:$C,MATCH($A39,账户总表!$A:$A,0)),L39="是"),"是","否"),"否"))</f>
        <v/>
      </c>
      <c r="AA39" s="39" t="str">
        <f aca="false">IF($A39="","",IFERROR(IF(Z39="是",MAX(0,T39-INDEX(账户总表!$C:$C,MATCH($A39,账户总表!$A:$A,0)),IF(N39&gt;0,T39/N39-INDEX(账户总表!$B:$B,MATCH($A39,账户总表!$A:$A,0)),0)),0),0))</f>
        <v/>
      </c>
      <c r="AB39" s="39" t="str">
        <f aca="false">IF($A39="","",IF(AND(Z39="是",INDEX(账户总表!$U:$U,MATCH($A39,账户总表!$A:$A,0))="是"),IF(INDEX(账户总表!$L:$L,MATCH($A39,账户总表!$A:$A,0))&gt;=4,AA39*1.5,AA39),0))</f>
        <v/>
      </c>
      <c r="AC39" s="42" t="str">
        <f aca="false">IF($A39="","",IF(AND(L39="是",Q39&gt;=R39,S39&lt;=Q39,S39&gt;=R39,W39="是",X39&gt;0,M39="是",INDEX(账户总表!$M:$M,MATCH($A39,账户总表!$A:$A,0))&lt;=2,INDEX(账户总表!$V:$V,MATCH($A39,账户总表!$A:$A,0))="是",OR(T39&lt;=INDEX(账户总表!$C:$C,MATCH($A39,账户总表!$A:$A,0)),AND(Z39="是",INDEX(账户总表!$U:$U,MATCH($A39,账户总表!$A:$A,0))="是",AB39&gt;0))),"是","否"))</f>
        <v/>
      </c>
      <c r="AD39" s="37" t="str">
        <f aca="false">IF($A39="","",IF(L39&lt;&gt;"是","信号未确认",IF(X39&lt;=0,"止损价未定义",IF(Q39&lt;R39,"100股约束不满足",IF(S39&gt;Q39,"计划股数超单股上限",IF(S39&lt;R39,"计划股数低于最小门槛",IF(W39&lt;&gt;"是","总仓位超限",IF(M39&lt;&gt;"是","追价",IF(INDEX(账户总表!$M:$M,MATCH($A39,账户总表!$A:$A,0))&gt;2,"亏钱效应偏高",IF(INDEX(账户总表!$V:$V,MATCH($A39,账户总表!$A:$A,0))&lt;&gt;"是","账户不允许新开仓",IF(AND(T39&gt;INDEX(账户总表!$C:$C,MATCH($A39,账户总表!$A:$A,0)),INDEX(账户总表!$U:$U,MATCH($A39,账户总表!$A:$A,0))&lt;&gt;"是"),"现金不足且不允许转入",IF(AND(Z39="是",AB39&lt;=0),"转入金额未满足",""))))))))))))</f>
        <v/>
      </c>
      <c r="AE39" s="33"/>
    </row>
    <row r="40" customFormat="false" ht="15" hidden="false" customHeight="true" outlineLevel="0" collapsed="false">
      <c r="A40" s="32"/>
      <c r="B40" s="33"/>
      <c r="C40" s="34"/>
      <c r="D40" s="35"/>
      <c r="E40" s="35"/>
      <c r="F40" s="35"/>
      <c r="G40" s="36"/>
      <c r="H40" s="34"/>
      <c r="I40" s="34"/>
      <c r="J40" s="33"/>
      <c r="K40" s="37" t="str">
        <f aca="false">IF($A40="","",IF(AND(G40&lt;45%,H40&gt;=0.9),"A",IF(AND(G40&lt;60%,H40&gt;0.8),"B","C")))</f>
        <v/>
      </c>
      <c r="L40" s="37" t="str">
        <f aca="false">IF($A40="","",IF(AND(G40&lt;60%,H40&gt;0.8,I40="True"),"是","否"))</f>
        <v/>
      </c>
      <c r="M40" s="37" t="str">
        <f aca="false">IF($A40="","",IF(AND(D40&gt;0,E40&gt;0,D40&lt;=E40*1.02),"是","否"))</f>
        <v/>
      </c>
      <c r="N40" s="38" t="n">
        <f aca="false">IFERROR(INDEX(账户总表!$O:$O,MATCH($A40,账户总表!$A:$A,0)),0)</f>
        <v>0</v>
      </c>
      <c r="O40" s="39" t="n">
        <f aca="false">IFERROR(INDEX(账户总表!$B:$B,MATCH($A40,账户总表!$A:$A,0))*N40,0)</f>
        <v>0</v>
      </c>
      <c r="P40" s="40" t="n">
        <f aca="false">IFERROR(O40/D40,0)</f>
        <v>0</v>
      </c>
      <c r="Q40" s="40" t="n">
        <f aca="false">IFERROR(FLOOR(P40,100),0)</f>
        <v>0</v>
      </c>
      <c r="R40" s="40" t="n">
        <f aca="false">IFERROR(CEILING(800/(100*D40),1)*100,0)</f>
        <v>0</v>
      </c>
      <c r="S40" s="41"/>
      <c r="T40" s="39" t="n">
        <f aca="false">IFERROR(S40*D40,0)</f>
        <v>0</v>
      </c>
      <c r="U40" s="38" t="n">
        <f aca="false">IFERROR(T40/INDEX(账户总表!$B:$B,MATCH($A40,账户总表!$A:$A,0)),0)</f>
        <v>0</v>
      </c>
      <c r="V40" s="38" t="n">
        <f aca="false">IFERROR(INDEX(账户总表!$E:$E,MATCH($A40,账户总表!$A:$A,0))+U40,0)</f>
        <v>0</v>
      </c>
      <c r="W40" s="37" t="str">
        <f aca="false">IF($A40="","",IFERROR(IF(V40&lt;=INDEX(账户总表!$N:$N,MATCH($A40,账户总表!$A:$A,0)),"是","否"),"否"))</f>
        <v/>
      </c>
      <c r="X40" s="39" t="str">
        <f aca="false">IF($A40="","",MAX(F40*0.98,D40*0.92))</f>
        <v/>
      </c>
      <c r="Y40" s="34"/>
      <c r="Z40" s="37" t="str">
        <f aca="false">IF($A40="","",IFERROR(IF(AND(T40&gt;INDEX(账户总表!$C:$C,MATCH($A40,账户总表!$A:$A,0)),L40="是"),"是","否"),"否"))</f>
        <v/>
      </c>
      <c r="AA40" s="39" t="str">
        <f aca="false">IF($A40="","",IFERROR(IF(Z40="是",MAX(0,T40-INDEX(账户总表!$C:$C,MATCH($A40,账户总表!$A:$A,0)),IF(N40&gt;0,T40/N40-INDEX(账户总表!$B:$B,MATCH($A40,账户总表!$A:$A,0)),0)),0),0))</f>
        <v/>
      </c>
      <c r="AB40" s="39" t="str">
        <f aca="false">IF($A40="","",IF(AND(Z40="是",INDEX(账户总表!$U:$U,MATCH($A40,账户总表!$A:$A,0))="是"),IF(INDEX(账户总表!$L:$L,MATCH($A40,账户总表!$A:$A,0))&gt;=4,AA40*1.5,AA40),0))</f>
        <v/>
      </c>
      <c r="AC40" s="42" t="str">
        <f aca="false">IF($A40="","",IF(AND(L40="是",Q40&gt;=R40,S40&lt;=Q40,S40&gt;=R40,W40="是",X40&gt;0,M40="是",INDEX(账户总表!$M:$M,MATCH($A40,账户总表!$A:$A,0))&lt;=2,INDEX(账户总表!$V:$V,MATCH($A40,账户总表!$A:$A,0))="是",OR(T40&lt;=INDEX(账户总表!$C:$C,MATCH($A40,账户总表!$A:$A,0)),AND(Z40="是",INDEX(账户总表!$U:$U,MATCH($A40,账户总表!$A:$A,0))="是",AB40&gt;0))),"是","否"))</f>
        <v/>
      </c>
      <c r="AD40" s="37" t="str">
        <f aca="false">IF($A40="","",IF(L40&lt;&gt;"是","信号未确认",IF(X40&lt;=0,"止损价未定义",IF(Q40&lt;R40,"100股约束不满足",IF(S40&gt;Q40,"计划股数超单股上限",IF(S40&lt;R40,"计划股数低于最小门槛",IF(W40&lt;&gt;"是","总仓位超限",IF(M40&lt;&gt;"是","追价",IF(INDEX(账户总表!$M:$M,MATCH($A40,账户总表!$A:$A,0))&gt;2,"亏钱效应偏高",IF(INDEX(账户总表!$V:$V,MATCH($A40,账户总表!$A:$A,0))&lt;&gt;"是","账户不允许新开仓",IF(AND(T40&gt;INDEX(账户总表!$C:$C,MATCH($A40,账户总表!$A:$A,0)),INDEX(账户总表!$U:$U,MATCH($A40,账户总表!$A:$A,0))&lt;&gt;"是"),"现金不足且不允许转入",IF(AND(Z40="是",AB40&lt;=0),"转入金额未满足",""))))))))))))</f>
        <v/>
      </c>
      <c r="AE40" s="33"/>
    </row>
    <row r="41" customFormat="false" ht="15" hidden="false" customHeight="true" outlineLevel="0" collapsed="false">
      <c r="A41" s="32"/>
      <c r="B41" s="33"/>
      <c r="C41" s="34"/>
      <c r="D41" s="35"/>
      <c r="E41" s="35"/>
      <c r="F41" s="35"/>
      <c r="G41" s="36"/>
      <c r="H41" s="34"/>
      <c r="I41" s="34"/>
      <c r="J41" s="33"/>
      <c r="K41" s="37" t="str">
        <f aca="false">IF($A41="","",IF(AND(G41&lt;45%,H41&gt;=0.9),"A",IF(AND(G41&lt;60%,H41&gt;0.8),"B","C")))</f>
        <v/>
      </c>
      <c r="L41" s="37" t="str">
        <f aca="false">IF($A41="","",IF(AND(G41&lt;60%,H41&gt;0.8,I41="True"),"是","否"))</f>
        <v/>
      </c>
      <c r="M41" s="37" t="str">
        <f aca="false">IF($A41="","",IF(AND(D41&gt;0,E41&gt;0,D41&lt;=E41*1.02),"是","否"))</f>
        <v/>
      </c>
      <c r="N41" s="38" t="n">
        <f aca="false">IFERROR(INDEX(账户总表!$O:$O,MATCH($A41,账户总表!$A:$A,0)),0)</f>
        <v>0</v>
      </c>
      <c r="O41" s="39" t="n">
        <f aca="false">IFERROR(INDEX(账户总表!$B:$B,MATCH($A41,账户总表!$A:$A,0))*N41,0)</f>
        <v>0</v>
      </c>
      <c r="P41" s="40" t="n">
        <f aca="false">IFERROR(O41/D41,0)</f>
        <v>0</v>
      </c>
      <c r="Q41" s="40" t="n">
        <f aca="false">IFERROR(FLOOR(P41,100),0)</f>
        <v>0</v>
      </c>
      <c r="R41" s="40" t="n">
        <f aca="false">IFERROR(CEILING(800/(100*D41),1)*100,0)</f>
        <v>0</v>
      </c>
      <c r="S41" s="41"/>
      <c r="T41" s="39" t="n">
        <f aca="false">IFERROR(S41*D41,0)</f>
        <v>0</v>
      </c>
      <c r="U41" s="38" t="n">
        <f aca="false">IFERROR(T41/INDEX(账户总表!$B:$B,MATCH($A41,账户总表!$A:$A,0)),0)</f>
        <v>0</v>
      </c>
      <c r="V41" s="38" t="n">
        <f aca="false">IFERROR(INDEX(账户总表!$E:$E,MATCH($A41,账户总表!$A:$A,0))+U41,0)</f>
        <v>0</v>
      </c>
      <c r="W41" s="37" t="str">
        <f aca="false">IF($A41="","",IFERROR(IF(V41&lt;=INDEX(账户总表!$N:$N,MATCH($A41,账户总表!$A:$A,0)),"是","否"),"否"))</f>
        <v/>
      </c>
      <c r="X41" s="39" t="str">
        <f aca="false">IF($A41="","",MAX(F41*0.98,D41*0.92))</f>
        <v/>
      </c>
      <c r="Y41" s="34"/>
      <c r="Z41" s="37" t="str">
        <f aca="false">IF($A41="","",IFERROR(IF(AND(T41&gt;INDEX(账户总表!$C:$C,MATCH($A41,账户总表!$A:$A,0)),L41="是"),"是","否"),"否"))</f>
        <v/>
      </c>
      <c r="AA41" s="39" t="str">
        <f aca="false">IF($A41="","",IFERROR(IF(Z41="是",MAX(0,T41-INDEX(账户总表!$C:$C,MATCH($A41,账户总表!$A:$A,0)),IF(N41&gt;0,T41/N41-INDEX(账户总表!$B:$B,MATCH($A41,账户总表!$A:$A,0)),0)),0),0))</f>
        <v/>
      </c>
      <c r="AB41" s="39" t="str">
        <f aca="false">IF($A41="","",IF(AND(Z41="是",INDEX(账户总表!$U:$U,MATCH($A41,账户总表!$A:$A,0))="是"),IF(INDEX(账户总表!$L:$L,MATCH($A41,账户总表!$A:$A,0))&gt;=4,AA41*1.5,AA41),0))</f>
        <v/>
      </c>
      <c r="AC41" s="42" t="str">
        <f aca="false">IF($A41="","",IF(AND(L41="是",Q41&gt;=R41,S41&lt;=Q41,S41&gt;=R41,W41="是",X41&gt;0,M41="是",INDEX(账户总表!$M:$M,MATCH($A41,账户总表!$A:$A,0))&lt;=2,INDEX(账户总表!$V:$V,MATCH($A41,账户总表!$A:$A,0))="是",OR(T41&lt;=INDEX(账户总表!$C:$C,MATCH($A41,账户总表!$A:$A,0)),AND(Z41="是",INDEX(账户总表!$U:$U,MATCH($A41,账户总表!$A:$A,0))="是",AB41&gt;0))),"是","否"))</f>
        <v/>
      </c>
      <c r="AD41" s="37" t="str">
        <f aca="false">IF($A41="","",IF(L41&lt;&gt;"是","信号未确认",IF(X41&lt;=0,"止损价未定义",IF(Q41&lt;R41,"100股约束不满足",IF(S41&gt;Q41,"计划股数超单股上限",IF(S41&lt;R41,"计划股数低于最小门槛",IF(W41&lt;&gt;"是","总仓位超限",IF(M41&lt;&gt;"是","追价",IF(INDEX(账户总表!$M:$M,MATCH($A41,账户总表!$A:$A,0))&gt;2,"亏钱效应偏高",IF(INDEX(账户总表!$V:$V,MATCH($A41,账户总表!$A:$A,0))&lt;&gt;"是","账户不允许新开仓",IF(AND(T41&gt;INDEX(账户总表!$C:$C,MATCH($A41,账户总表!$A:$A,0)),INDEX(账户总表!$U:$U,MATCH($A41,账户总表!$A:$A,0))&lt;&gt;"是"),"现金不足且不允许转入",IF(AND(Z41="是",AB41&lt;=0),"转入金额未满足",""))))))))))))</f>
        <v/>
      </c>
      <c r="AE41" s="33"/>
    </row>
    <row r="42" customFormat="false" ht="15" hidden="false" customHeight="true" outlineLevel="0" collapsed="false">
      <c r="A42" s="32"/>
      <c r="B42" s="33"/>
      <c r="C42" s="34"/>
      <c r="D42" s="35"/>
      <c r="E42" s="35"/>
      <c r="F42" s="35"/>
      <c r="G42" s="36"/>
      <c r="H42" s="34"/>
      <c r="I42" s="34"/>
      <c r="J42" s="33"/>
      <c r="K42" s="37" t="str">
        <f aca="false">IF($A42="","",IF(AND(G42&lt;45%,H42&gt;=0.9),"A",IF(AND(G42&lt;60%,H42&gt;0.8),"B","C")))</f>
        <v/>
      </c>
      <c r="L42" s="37" t="str">
        <f aca="false">IF($A42="","",IF(AND(G42&lt;60%,H42&gt;0.8,I42="True"),"是","否"))</f>
        <v/>
      </c>
      <c r="M42" s="37" t="str">
        <f aca="false">IF($A42="","",IF(AND(D42&gt;0,E42&gt;0,D42&lt;=E42*1.02),"是","否"))</f>
        <v/>
      </c>
      <c r="N42" s="38" t="n">
        <f aca="false">IFERROR(INDEX(账户总表!$O:$O,MATCH($A42,账户总表!$A:$A,0)),0)</f>
        <v>0</v>
      </c>
      <c r="O42" s="39" t="n">
        <f aca="false">IFERROR(INDEX(账户总表!$B:$B,MATCH($A42,账户总表!$A:$A,0))*N42,0)</f>
        <v>0</v>
      </c>
      <c r="P42" s="40" t="n">
        <f aca="false">IFERROR(O42/D42,0)</f>
        <v>0</v>
      </c>
      <c r="Q42" s="40" t="n">
        <f aca="false">IFERROR(FLOOR(P42,100),0)</f>
        <v>0</v>
      </c>
      <c r="R42" s="40" t="n">
        <f aca="false">IFERROR(CEILING(800/(100*D42),1)*100,0)</f>
        <v>0</v>
      </c>
      <c r="S42" s="41"/>
      <c r="T42" s="39" t="n">
        <f aca="false">IFERROR(S42*D42,0)</f>
        <v>0</v>
      </c>
      <c r="U42" s="38" t="n">
        <f aca="false">IFERROR(T42/INDEX(账户总表!$B:$B,MATCH($A42,账户总表!$A:$A,0)),0)</f>
        <v>0</v>
      </c>
      <c r="V42" s="38" t="n">
        <f aca="false">IFERROR(INDEX(账户总表!$E:$E,MATCH($A42,账户总表!$A:$A,0))+U42,0)</f>
        <v>0</v>
      </c>
      <c r="W42" s="37" t="str">
        <f aca="false">IF($A42="","",IFERROR(IF(V42&lt;=INDEX(账户总表!$N:$N,MATCH($A42,账户总表!$A:$A,0)),"是","否"),"否"))</f>
        <v/>
      </c>
      <c r="X42" s="39" t="str">
        <f aca="false">IF($A42="","",MAX(F42*0.98,D42*0.92))</f>
        <v/>
      </c>
      <c r="Y42" s="34"/>
      <c r="Z42" s="37" t="str">
        <f aca="false">IF($A42="","",IFERROR(IF(AND(T42&gt;INDEX(账户总表!$C:$C,MATCH($A42,账户总表!$A:$A,0)),L42="是"),"是","否"),"否"))</f>
        <v/>
      </c>
      <c r="AA42" s="39" t="str">
        <f aca="false">IF($A42="","",IFERROR(IF(Z42="是",MAX(0,T42-INDEX(账户总表!$C:$C,MATCH($A42,账户总表!$A:$A,0)),IF(N42&gt;0,T42/N42-INDEX(账户总表!$B:$B,MATCH($A42,账户总表!$A:$A,0)),0)),0),0))</f>
        <v/>
      </c>
      <c r="AB42" s="39" t="str">
        <f aca="false">IF($A42="","",IF(AND(Z42="是",INDEX(账户总表!$U:$U,MATCH($A42,账户总表!$A:$A,0))="是"),IF(INDEX(账户总表!$L:$L,MATCH($A42,账户总表!$A:$A,0))&gt;=4,AA42*1.5,AA42),0))</f>
        <v/>
      </c>
      <c r="AC42" s="42" t="str">
        <f aca="false">IF($A42="","",IF(AND(L42="是",Q42&gt;=R42,S42&lt;=Q42,S42&gt;=R42,W42="是",X42&gt;0,M42="是",INDEX(账户总表!$M:$M,MATCH($A42,账户总表!$A:$A,0))&lt;=2,INDEX(账户总表!$V:$V,MATCH($A42,账户总表!$A:$A,0))="是",OR(T42&lt;=INDEX(账户总表!$C:$C,MATCH($A42,账户总表!$A:$A,0)),AND(Z42="是",INDEX(账户总表!$U:$U,MATCH($A42,账户总表!$A:$A,0))="是",AB42&gt;0))),"是","否"))</f>
        <v/>
      </c>
      <c r="AD42" s="37" t="str">
        <f aca="false">IF($A42="","",IF(L42&lt;&gt;"是","信号未确认",IF(X42&lt;=0,"止损价未定义",IF(Q42&lt;R42,"100股约束不满足",IF(S42&gt;Q42,"计划股数超单股上限",IF(S42&lt;R42,"计划股数低于最小门槛",IF(W42&lt;&gt;"是","总仓位超限",IF(M42&lt;&gt;"是","追价",IF(INDEX(账户总表!$M:$M,MATCH($A42,账户总表!$A:$A,0))&gt;2,"亏钱效应偏高",IF(INDEX(账户总表!$V:$V,MATCH($A42,账户总表!$A:$A,0))&lt;&gt;"是","账户不允许新开仓",IF(AND(T42&gt;INDEX(账户总表!$C:$C,MATCH($A42,账户总表!$A:$A,0)),INDEX(账户总表!$U:$U,MATCH($A42,账户总表!$A:$A,0))&lt;&gt;"是"),"现金不足且不允许转入",IF(AND(Z42="是",AB42&lt;=0),"转入金额未满足",""))))))))))))</f>
        <v/>
      </c>
      <c r="AE42" s="33"/>
    </row>
    <row r="43" customFormat="false" ht="15" hidden="false" customHeight="true" outlineLevel="0" collapsed="false">
      <c r="A43" s="32"/>
      <c r="B43" s="33"/>
      <c r="C43" s="34"/>
      <c r="D43" s="35"/>
      <c r="E43" s="35"/>
      <c r="F43" s="35"/>
      <c r="G43" s="36"/>
      <c r="H43" s="34"/>
      <c r="I43" s="34"/>
      <c r="J43" s="33"/>
      <c r="K43" s="37" t="str">
        <f aca="false">IF($A43="","",IF(AND(G43&lt;45%,H43&gt;=0.9),"A",IF(AND(G43&lt;60%,H43&gt;0.8),"B","C")))</f>
        <v/>
      </c>
      <c r="L43" s="37" t="str">
        <f aca="false">IF($A43="","",IF(AND(G43&lt;60%,H43&gt;0.8,I43="True"),"是","否"))</f>
        <v/>
      </c>
      <c r="M43" s="37" t="str">
        <f aca="false">IF($A43="","",IF(AND(D43&gt;0,E43&gt;0,D43&lt;=E43*1.02),"是","否"))</f>
        <v/>
      </c>
      <c r="N43" s="38" t="n">
        <f aca="false">IFERROR(INDEX(账户总表!$O:$O,MATCH($A43,账户总表!$A:$A,0)),0)</f>
        <v>0</v>
      </c>
      <c r="O43" s="39" t="n">
        <f aca="false">IFERROR(INDEX(账户总表!$B:$B,MATCH($A43,账户总表!$A:$A,0))*N43,0)</f>
        <v>0</v>
      </c>
      <c r="P43" s="40" t="n">
        <f aca="false">IFERROR(O43/D43,0)</f>
        <v>0</v>
      </c>
      <c r="Q43" s="40" t="n">
        <f aca="false">IFERROR(FLOOR(P43,100),0)</f>
        <v>0</v>
      </c>
      <c r="R43" s="40" t="n">
        <f aca="false">IFERROR(CEILING(800/(100*D43),1)*100,0)</f>
        <v>0</v>
      </c>
      <c r="S43" s="41"/>
      <c r="T43" s="39" t="n">
        <f aca="false">IFERROR(S43*D43,0)</f>
        <v>0</v>
      </c>
      <c r="U43" s="38" t="n">
        <f aca="false">IFERROR(T43/INDEX(账户总表!$B:$B,MATCH($A43,账户总表!$A:$A,0)),0)</f>
        <v>0</v>
      </c>
      <c r="V43" s="38" t="n">
        <f aca="false">IFERROR(INDEX(账户总表!$E:$E,MATCH($A43,账户总表!$A:$A,0))+U43,0)</f>
        <v>0</v>
      </c>
      <c r="W43" s="37" t="str">
        <f aca="false">IF($A43="","",IFERROR(IF(V43&lt;=INDEX(账户总表!$N:$N,MATCH($A43,账户总表!$A:$A,0)),"是","否"),"否"))</f>
        <v/>
      </c>
      <c r="X43" s="39" t="str">
        <f aca="false">IF($A43="","",MAX(F43*0.98,D43*0.92))</f>
        <v/>
      </c>
      <c r="Y43" s="34"/>
      <c r="Z43" s="37" t="str">
        <f aca="false">IF($A43="","",IFERROR(IF(AND(T43&gt;INDEX(账户总表!$C:$C,MATCH($A43,账户总表!$A:$A,0)),L43="是"),"是","否"),"否"))</f>
        <v/>
      </c>
      <c r="AA43" s="39" t="str">
        <f aca="false">IF($A43="","",IFERROR(IF(Z43="是",MAX(0,T43-INDEX(账户总表!$C:$C,MATCH($A43,账户总表!$A:$A,0)),IF(N43&gt;0,T43/N43-INDEX(账户总表!$B:$B,MATCH($A43,账户总表!$A:$A,0)),0)),0),0))</f>
        <v/>
      </c>
      <c r="AB43" s="39" t="str">
        <f aca="false">IF($A43="","",IF(AND(Z43="是",INDEX(账户总表!$U:$U,MATCH($A43,账户总表!$A:$A,0))="是"),IF(INDEX(账户总表!$L:$L,MATCH($A43,账户总表!$A:$A,0))&gt;=4,AA43*1.5,AA43),0))</f>
        <v/>
      </c>
      <c r="AC43" s="42" t="str">
        <f aca="false">IF($A43="","",IF(AND(L43="是",Q43&gt;=R43,S43&lt;=Q43,S43&gt;=R43,W43="是",X43&gt;0,M43="是",INDEX(账户总表!$M:$M,MATCH($A43,账户总表!$A:$A,0))&lt;=2,INDEX(账户总表!$V:$V,MATCH($A43,账户总表!$A:$A,0))="是",OR(T43&lt;=INDEX(账户总表!$C:$C,MATCH($A43,账户总表!$A:$A,0)),AND(Z43="是",INDEX(账户总表!$U:$U,MATCH($A43,账户总表!$A:$A,0))="是",AB43&gt;0))),"是","否"))</f>
        <v/>
      </c>
      <c r="AD43" s="37" t="str">
        <f aca="false">IF($A43="","",IF(L43&lt;&gt;"是","信号未确认",IF(X43&lt;=0,"止损价未定义",IF(Q43&lt;R43,"100股约束不满足",IF(S43&gt;Q43,"计划股数超单股上限",IF(S43&lt;R43,"计划股数低于最小门槛",IF(W43&lt;&gt;"是","总仓位超限",IF(M43&lt;&gt;"是","追价",IF(INDEX(账户总表!$M:$M,MATCH($A43,账户总表!$A:$A,0))&gt;2,"亏钱效应偏高",IF(INDEX(账户总表!$V:$V,MATCH($A43,账户总表!$A:$A,0))&lt;&gt;"是","账户不允许新开仓",IF(AND(T43&gt;INDEX(账户总表!$C:$C,MATCH($A43,账户总表!$A:$A,0)),INDEX(账户总表!$U:$U,MATCH($A43,账户总表!$A:$A,0))&lt;&gt;"是"),"现金不足且不允许转入",IF(AND(Z43="是",AB43&lt;=0),"转入金额未满足",""))))))))))))</f>
        <v/>
      </c>
      <c r="AE43" s="33"/>
    </row>
    <row r="44" customFormat="false" ht="15" hidden="false" customHeight="true" outlineLevel="0" collapsed="false">
      <c r="A44" s="32"/>
      <c r="B44" s="33"/>
      <c r="C44" s="34"/>
      <c r="D44" s="35"/>
      <c r="E44" s="35"/>
      <c r="F44" s="35"/>
      <c r="G44" s="36"/>
      <c r="H44" s="34"/>
      <c r="I44" s="34"/>
      <c r="J44" s="33"/>
      <c r="K44" s="37" t="str">
        <f aca="false">IF($A44="","",IF(AND(G44&lt;45%,H44&gt;=0.9),"A",IF(AND(G44&lt;60%,H44&gt;0.8),"B","C")))</f>
        <v/>
      </c>
      <c r="L44" s="37" t="str">
        <f aca="false">IF($A44="","",IF(AND(G44&lt;60%,H44&gt;0.8,I44="True"),"是","否"))</f>
        <v/>
      </c>
      <c r="M44" s="37" t="str">
        <f aca="false">IF($A44="","",IF(AND(D44&gt;0,E44&gt;0,D44&lt;=E44*1.02),"是","否"))</f>
        <v/>
      </c>
      <c r="N44" s="38" t="n">
        <f aca="false">IFERROR(INDEX(账户总表!$O:$O,MATCH($A44,账户总表!$A:$A,0)),0)</f>
        <v>0</v>
      </c>
      <c r="O44" s="39" t="n">
        <f aca="false">IFERROR(INDEX(账户总表!$B:$B,MATCH($A44,账户总表!$A:$A,0))*N44,0)</f>
        <v>0</v>
      </c>
      <c r="P44" s="40" t="n">
        <f aca="false">IFERROR(O44/D44,0)</f>
        <v>0</v>
      </c>
      <c r="Q44" s="40" t="n">
        <f aca="false">IFERROR(FLOOR(P44,100),0)</f>
        <v>0</v>
      </c>
      <c r="R44" s="40" t="n">
        <f aca="false">IFERROR(CEILING(800/(100*D44),1)*100,0)</f>
        <v>0</v>
      </c>
      <c r="S44" s="41"/>
      <c r="T44" s="39" t="n">
        <f aca="false">IFERROR(S44*D44,0)</f>
        <v>0</v>
      </c>
      <c r="U44" s="38" t="n">
        <f aca="false">IFERROR(T44/INDEX(账户总表!$B:$B,MATCH($A44,账户总表!$A:$A,0)),0)</f>
        <v>0</v>
      </c>
      <c r="V44" s="38" t="n">
        <f aca="false">IFERROR(INDEX(账户总表!$E:$E,MATCH($A44,账户总表!$A:$A,0))+U44,0)</f>
        <v>0</v>
      </c>
      <c r="W44" s="37" t="str">
        <f aca="false">IF($A44="","",IFERROR(IF(V44&lt;=INDEX(账户总表!$N:$N,MATCH($A44,账户总表!$A:$A,0)),"是","否"),"否"))</f>
        <v/>
      </c>
      <c r="X44" s="39" t="str">
        <f aca="false">IF($A44="","",MAX(F44*0.98,D44*0.92))</f>
        <v/>
      </c>
      <c r="Y44" s="34"/>
      <c r="Z44" s="37" t="str">
        <f aca="false">IF($A44="","",IFERROR(IF(AND(T44&gt;INDEX(账户总表!$C:$C,MATCH($A44,账户总表!$A:$A,0)),L44="是"),"是","否"),"否"))</f>
        <v/>
      </c>
      <c r="AA44" s="39" t="str">
        <f aca="false">IF($A44="","",IFERROR(IF(Z44="是",MAX(0,T44-INDEX(账户总表!$C:$C,MATCH($A44,账户总表!$A:$A,0)),IF(N44&gt;0,T44/N44-INDEX(账户总表!$B:$B,MATCH($A44,账户总表!$A:$A,0)),0)),0),0))</f>
        <v/>
      </c>
      <c r="AB44" s="39" t="str">
        <f aca="false">IF($A44="","",IF(AND(Z44="是",INDEX(账户总表!$U:$U,MATCH($A44,账户总表!$A:$A,0))="是"),IF(INDEX(账户总表!$L:$L,MATCH($A44,账户总表!$A:$A,0))&gt;=4,AA44*1.5,AA44),0))</f>
        <v/>
      </c>
      <c r="AC44" s="42" t="str">
        <f aca="false">IF($A44="","",IF(AND(L44="是",Q44&gt;=R44,S44&lt;=Q44,S44&gt;=R44,W44="是",X44&gt;0,M44="是",INDEX(账户总表!$M:$M,MATCH($A44,账户总表!$A:$A,0))&lt;=2,INDEX(账户总表!$V:$V,MATCH($A44,账户总表!$A:$A,0))="是",OR(T44&lt;=INDEX(账户总表!$C:$C,MATCH($A44,账户总表!$A:$A,0)),AND(Z44="是",INDEX(账户总表!$U:$U,MATCH($A44,账户总表!$A:$A,0))="是",AB44&gt;0))),"是","否"))</f>
        <v/>
      </c>
      <c r="AD44" s="37" t="str">
        <f aca="false">IF($A44="","",IF(L44&lt;&gt;"是","信号未确认",IF(X44&lt;=0,"止损价未定义",IF(Q44&lt;R44,"100股约束不满足",IF(S44&gt;Q44,"计划股数超单股上限",IF(S44&lt;R44,"计划股数低于最小门槛",IF(W44&lt;&gt;"是","总仓位超限",IF(M44&lt;&gt;"是","追价",IF(INDEX(账户总表!$M:$M,MATCH($A44,账户总表!$A:$A,0))&gt;2,"亏钱效应偏高",IF(INDEX(账户总表!$V:$V,MATCH($A44,账户总表!$A:$A,0))&lt;&gt;"是","账户不允许新开仓",IF(AND(T44&gt;INDEX(账户总表!$C:$C,MATCH($A44,账户总表!$A:$A,0)),INDEX(账户总表!$U:$U,MATCH($A44,账户总表!$A:$A,0))&lt;&gt;"是"),"现金不足且不允许转入",IF(AND(Z44="是",AB44&lt;=0),"转入金额未满足",""))))))))))))</f>
        <v/>
      </c>
      <c r="AE44" s="33"/>
    </row>
    <row r="45" customFormat="false" ht="15" hidden="false" customHeight="true" outlineLevel="0" collapsed="false">
      <c r="A45" s="32"/>
      <c r="B45" s="33"/>
      <c r="C45" s="34"/>
      <c r="D45" s="35"/>
      <c r="E45" s="35"/>
      <c r="F45" s="35"/>
      <c r="G45" s="36"/>
      <c r="H45" s="34"/>
      <c r="I45" s="34"/>
      <c r="J45" s="33"/>
      <c r="K45" s="37" t="str">
        <f aca="false">IF($A45="","",IF(AND(G45&lt;45%,H45&gt;=0.9),"A",IF(AND(G45&lt;60%,H45&gt;0.8),"B","C")))</f>
        <v/>
      </c>
      <c r="L45" s="37" t="str">
        <f aca="false">IF($A45="","",IF(AND(G45&lt;60%,H45&gt;0.8,I45="True"),"是","否"))</f>
        <v/>
      </c>
      <c r="M45" s="37" t="str">
        <f aca="false">IF($A45="","",IF(AND(D45&gt;0,E45&gt;0,D45&lt;=E45*1.02),"是","否"))</f>
        <v/>
      </c>
      <c r="N45" s="38" t="n">
        <f aca="false">IFERROR(INDEX(账户总表!$O:$O,MATCH($A45,账户总表!$A:$A,0)),0)</f>
        <v>0</v>
      </c>
      <c r="O45" s="39" t="n">
        <f aca="false">IFERROR(INDEX(账户总表!$B:$B,MATCH($A45,账户总表!$A:$A,0))*N45,0)</f>
        <v>0</v>
      </c>
      <c r="P45" s="40" t="n">
        <f aca="false">IFERROR(O45/D45,0)</f>
        <v>0</v>
      </c>
      <c r="Q45" s="40" t="n">
        <f aca="false">IFERROR(FLOOR(P45,100),0)</f>
        <v>0</v>
      </c>
      <c r="R45" s="40" t="n">
        <f aca="false">IFERROR(CEILING(800/(100*D45),1)*100,0)</f>
        <v>0</v>
      </c>
      <c r="S45" s="41"/>
      <c r="T45" s="39" t="n">
        <f aca="false">IFERROR(S45*D45,0)</f>
        <v>0</v>
      </c>
      <c r="U45" s="38" t="n">
        <f aca="false">IFERROR(T45/INDEX(账户总表!$B:$B,MATCH($A45,账户总表!$A:$A,0)),0)</f>
        <v>0</v>
      </c>
      <c r="V45" s="38" t="n">
        <f aca="false">IFERROR(INDEX(账户总表!$E:$E,MATCH($A45,账户总表!$A:$A,0))+U45,0)</f>
        <v>0</v>
      </c>
      <c r="W45" s="37" t="str">
        <f aca="false">IF($A45="","",IFERROR(IF(V45&lt;=INDEX(账户总表!$N:$N,MATCH($A45,账户总表!$A:$A,0)),"是","否"),"否"))</f>
        <v/>
      </c>
      <c r="X45" s="39" t="str">
        <f aca="false">IF($A45="","",MAX(F45*0.98,D45*0.92))</f>
        <v/>
      </c>
      <c r="Y45" s="34"/>
      <c r="Z45" s="37" t="str">
        <f aca="false">IF($A45="","",IFERROR(IF(AND(T45&gt;INDEX(账户总表!$C:$C,MATCH($A45,账户总表!$A:$A,0)),L45="是"),"是","否"),"否"))</f>
        <v/>
      </c>
      <c r="AA45" s="39" t="str">
        <f aca="false">IF($A45="","",IFERROR(IF(Z45="是",MAX(0,T45-INDEX(账户总表!$C:$C,MATCH($A45,账户总表!$A:$A,0)),IF(N45&gt;0,T45/N45-INDEX(账户总表!$B:$B,MATCH($A45,账户总表!$A:$A,0)),0)),0),0))</f>
        <v/>
      </c>
      <c r="AB45" s="39" t="str">
        <f aca="false">IF($A45="","",IF(AND(Z45="是",INDEX(账户总表!$U:$U,MATCH($A45,账户总表!$A:$A,0))="是"),IF(INDEX(账户总表!$L:$L,MATCH($A45,账户总表!$A:$A,0))&gt;=4,AA45*1.5,AA45),0))</f>
        <v/>
      </c>
      <c r="AC45" s="42" t="str">
        <f aca="false">IF($A45="","",IF(AND(L45="是",Q45&gt;=R45,S45&lt;=Q45,S45&gt;=R45,W45="是",X45&gt;0,M45="是",INDEX(账户总表!$M:$M,MATCH($A45,账户总表!$A:$A,0))&lt;=2,INDEX(账户总表!$V:$V,MATCH($A45,账户总表!$A:$A,0))="是",OR(T45&lt;=INDEX(账户总表!$C:$C,MATCH($A45,账户总表!$A:$A,0)),AND(Z45="是",INDEX(账户总表!$U:$U,MATCH($A45,账户总表!$A:$A,0))="是",AB45&gt;0))),"是","否"))</f>
        <v/>
      </c>
      <c r="AD45" s="37" t="str">
        <f aca="false">IF($A45="","",IF(L45&lt;&gt;"是","信号未确认",IF(X45&lt;=0,"止损价未定义",IF(Q45&lt;R45,"100股约束不满足",IF(S45&gt;Q45,"计划股数超单股上限",IF(S45&lt;R45,"计划股数低于最小门槛",IF(W45&lt;&gt;"是","总仓位超限",IF(M45&lt;&gt;"是","追价",IF(INDEX(账户总表!$M:$M,MATCH($A45,账户总表!$A:$A,0))&gt;2,"亏钱效应偏高",IF(INDEX(账户总表!$V:$V,MATCH($A45,账户总表!$A:$A,0))&lt;&gt;"是","账户不允许新开仓",IF(AND(T45&gt;INDEX(账户总表!$C:$C,MATCH($A45,账户总表!$A:$A,0)),INDEX(账户总表!$U:$U,MATCH($A45,账户总表!$A:$A,0))&lt;&gt;"是"),"现金不足且不允许转入",IF(AND(Z45="是",AB45&lt;=0),"转入金额未满足",""))))))))))))</f>
        <v/>
      </c>
      <c r="AE45" s="33"/>
    </row>
    <row r="46" customFormat="false" ht="15" hidden="false" customHeight="true" outlineLevel="0" collapsed="false">
      <c r="A46" s="32"/>
      <c r="B46" s="33"/>
      <c r="C46" s="34"/>
      <c r="D46" s="35"/>
      <c r="E46" s="35"/>
      <c r="F46" s="35"/>
      <c r="G46" s="36"/>
      <c r="H46" s="34"/>
      <c r="I46" s="34"/>
      <c r="J46" s="33"/>
      <c r="K46" s="37" t="str">
        <f aca="false">IF($A46="","",IF(AND(G46&lt;45%,H46&gt;=0.9),"A",IF(AND(G46&lt;60%,H46&gt;0.8),"B","C")))</f>
        <v/>
      </c>
      <c r="L46" s="37" t="str">
        <f aca="false">IF($A46="","",IF(AND(G46&lt;60%,H46&gt;0.8,I46="True"),"是","否"))</f>
        <v/>
      </c>
      <c r="M46" s="37" t="str">
        <f aca="false">IF($A46="","",IF(AND(D46&gt;0,E46&gt;0,D46&lt;=E46*1.02),"是","否"))</f>
        <v/>
      </c>
      <c r="N46" s="38" t="n">
        <f aca="false">IFERROR(INDEX(账户总表!$O:$O,MATCH($A46,账户总表!$A:$A,0)),0)</f>
        <v>0</v>
      </c>
      <c r="O46" s="39" t="n">
        <f aca="false">IFERROR(INDEX(账户总表!$B:$B,MATCH($A46,账户总表!$A:$A,0))*N46,0)</f>
        <v>0</v>
      </c>
      <c r="P46" s="40" t="n">
        <f aca="false">IFERROR(O46/D46,0)</f>
        <v>0</v>
      </c>
      <c r="Q46" s="40" t="n">
        <f aca="false">IFERROR(FLOOR(P46,100),0)</f>
        <v>0</v>
      </c>
      <c r="R46" s="40" t="n">
        <f aca="false">IFERROR(CEILING(800/(100*D46),1)*100,0)</f>
        <v>0</v>
      </c>
      <c r="S46" s="41"/>
      <c r="T46" s="39" t="n">
        <f aca="false">IFERROR(S46*D46,0)</f>
        <v>0</v>
      </c>
      <c r="U46" s="38" t="n">
        <f aca="false">IFERROR(T46/INDEX(账户总表!$B:$B,MATCH($A46,账户总表!$A:$A,0)),0)</f>
        <v>0</v>
      </c>
      <c r="V46" s="38" t="n">
        <f aca="false">IFERROR(INDEX(账户总表!$E:$E,MATCH($A46,账户总表!$A:$A,0))+U46,0)</f>
        <v>0</v>
      </c>
      <c r="W46" s="37" t="str">
        <f aca="false">IF($A46="","",IFERROR(IF(V46&lt;=INDEX(账户总表!$N:$N,MATCH($A46,账户总表!$A:$A,0)),"是","否"),"否"))</f>
        <v/>
      </c>
      <c r="X46" s="39" t="str">
        <f aca="false">IF($A46="","",MAX(F46*0.98,D46*0.92))</f>
        <v/>
      </c>
      <c r="Y46" s="34"/>
      <c r="Z46" s="37" t="str">
        <f aca="false">IF($A46="","",IFERROR(IF(AND(T46&gt;INDEX(账户总表!$C:$C,MATCH($A46,账户总表!$A:$A,0)),L46="是"),"是","否"),"否"))</f>
        <v/>
      </c>
      <c r="AA46" s="39" t="str">
        <f aca="false">IF($A46="","",IFERROR(IF(Z46="是",MAX(0,T46-INDEX(账户总表!$C:$C,MATCH($A46,账户总表!$A:$A,0)),IF(N46&gt;0,T46/N46-INDEX(账户总表!$B:$B,MATCH($A46,账户总表!$A:$A,0)),0)),0),0))</f>
        <v/>
      </c>
      <c r="AB46" s="39" t="str">
        <f aca="false">IF($A46="","",IF(AND(Z46="是",INDEX(账户总表!$U:$U,MATCH($A46,账户总表!$A:$A,0))="是"),IF(INDEX(账户总表!$L:$L,MATCH($A46,账户总表!$A:$A,0))&gt;=4,AA46*1.5,AA46),0))</f>
        <v/>
      </c>
      <c r="AC46" s="42" t="str">
        <f aca="false">IF($A46="","",IF(AND(L46="是",Q46&gt;=R46,S46&lt;=Q46,S46&gt;=R46,W46="是",X46&gt;0,M46="是",INDEX(账户总表!$M:$M,MATCH($A46,账户总表!$A:$A,0))&lt;=2,INDEX(账户总表!$V:$V,MATCH($A46,账户总表!$A:$A,0))="是",OR(T46&lt;=INDEX(账户总表!$C:$C,MATCH($A46,账户总表!$A:$A,0)),AND(Z46="是",INDEX(账户总表!$U:$U,MATCH($A46,账户总表!$A:$A,0))="是",AB46&gt;0))),"是","否"))</f>
        <v/>
      </c>
      <c r="AD46" s="37" t="str">
        <f aca="false">IF($A46="","",IF(L46&lt;&gt;"是","信号未确认",IF(X46&lt;=0,"止损价未定义",IF(Q46&lt;R46,"100股约束不满足",IF(S46&gt;Q46,"计划股数超单股上限",IF(S46&lt;R46,"计划股数低于最小门槛",IF(W46&lt;&gt;"是","总仓位超限",IF(M46&lt;&gt;"是","追价",IF(INDEX(账户总表!$M:$M,MATCH($A46,账户总表!$A:$A,0))&gt;2,"亏钱效应偏高",IF(INDEX(账户总表!$V:$V,MATCH($A46,账户总表!$A:$A,0))&lt;&gt;"是","账户不允许新开仓",IF(AND(T46&gt;INDEX(账户总表!$C:$C,MATCH($A46,账户总表!$A:$A,0)),INDEX(账户总表!$U:$U,MATCH($A46,账户总表!$A:$A,0))&lt;&gt;"是"),"现金不足且不允许转入",IF(AND(Z46="是",AB46&lt;=0),"转入金额未满足",""))))))))))))</f>
        <v/>
      </c>
      <c r="AE46" s="33"/>
    </row>
    <row r="47" customFormat="false" ht="15" hidden="false" customHeight="true" outlineLevel="0" collapsed="false">
      <c r="A47" s="32"/>
      <c r="B47" s="33"/>
      <c r="C47" s="34"/>
      <c r="D47" s="35"/>
      <c r="E47" s="35"/>
      <c r="F47" s="35"/>
      <c r="G47" s="36"/>
      <c r="H47" s="34"/>
      <c r="I47" s="34"/>
      <c r="J47" s="33"/>
      <c r="K47" s="37" t="str">
        <f aca="false">IF($A47="","",IF(AND(G47&lt;45%,H47&gt;=0.9),"A",IF(AND(G47&lt;60%,H47&gt;0.8),"B","C")))</f>
        <v/>
      </c>
      <c r="L47" s="37" t="str">
        <f aca="false">IF($A47="","",IF(AND(G47&lt;60%,H47&gt;0.8,I47="True"),"是","否"))</f>
        <v/>
      </c>
      <c r="M47" s="37" t="str">
        <f aca="false">IF($A47="","",IF(AND(D47&gt;0,E47&gt;0,D47&lt;=E47*1.02),"是","否"))</f>
        <v/>
      </c>
      <c r="N47" s="38" t="n">
        <f aca="false">IFERROR(INDEX(账户总表!$O:$O,MATCH($A47,账户总表!$A:$A,0)),0)</f>
        <v>0</v>
      </c>
      <c r="O47" s="39" t="n">
        <f aca="false">IFERROR(INDEX(账户总表!$B:$B,MATCH($A47,账户总表!$A:$A,0))*N47,0)</f>
        <v>0</v>
      </c>
      <c r="P47" s="40" t="n">
        <f aca="false">IFERROR(O47/D47,0)</f>
        <v>0</v>
      </c>
      <c r="Q47" s="40" t="n">
        <f aca="false">IFERROR(FLOOR(P47,100),0)</f>
        <v>0</v>
      </c>
      <c r="R47" s="40" t="n">
        <f aca="false">IFERROR(CEILING(800/(100*D47),1)*100,0)</f>
        <v>0</v>
      </c>
      <c r="S47" s="41"/>
      <c r="T47" s="39" t="n">
        <f aca="false">IFERROR(S47*D47,0)</f>
        <v>0</v>
      </c>
      <c r="U47" s="38" t="n">
        <f aca="false">IFERROR(T47/INDEX(账户总表!$B:$B,MATCH($A47,账户总表!$A:$A,0)),0)</f>
        <v>0</v>
      </c>
      <c r="V47" s="38" t="n">
        <f aca="false">IFERROR(INDEX(账户总表!$E:$E,MATCH($A47,账户总表!$A:$A,0))+U47,0)</f>
        <v>0</v>
      </c>
      <c r="W47" s="37" t="str">
        <f aca="false">IF($A47="","",IFERROR(IF(V47&lt;=INDEX(账户总表!$N:$N,MATCH($A47,账户总表!$A:$A,0)),"是","否"),"否"))</f>
        <v/>
      </c>
      <c r="X47" s="39" t="str">
        <f aca="false">IF($A47="","",MAX(F47*0.98,D47*0.92))</f>
        <v/>
      </c>
      <c r="Y47" s="34"/>
      <c r="Z47" s="37" t="str">
        <f aca="false">IF($A47="","",IFERROR(IF(AND(T47&gt;INDEX(账户总表!$C:$C,MATCH($A47,账户总表!$A:$A,0)),L47="是"),"是","否"),"否"))</f>
        <v/>
      </c>
      <c r="AA47" s="39" t="str">
        <f aca="false">IF($A47="","",IFERROR(IF(Z47="是",MAX(0,T47-INDEX(账户总表!$C:$C,MATCH($A47,账户总表!$A:$A,0)),IF(N47&gt;0,T47/N47-INDEX(账户总表!$B:$B,MATCH($A47,账户总表!$A:$A,0)),0)),0),0))</f>
        <v/>
      </c>
      <c r="AB47" s="39" t="str">
        <f aca="false">IF($A47="","",IF(AND(Z47="是",INDEX(账户总表!$U:$U,MATCH($A47,账户总表!$A:$A,0))="是"),IF(INDEX(账户总表!$L:$L,MATCH($A47,账户总表!$A:$A,0))&gt;=4,AA47*1.5,AA47),0))</f>
        <v/>
      </c>
      <c r="AC47" s="42" t="str">
        <f aca="false">IF($A47="","",IF(AND(L47="是",Q47&gt;=R47,S47&lt;=Q47,S47&gt;=R47,W47="是",X47&gt;0,M47="是",INDEX(账户总表!$M:$M,MATCH($A47,账户总表!$A:$A,0))&lt;=2,INDEX(账户总表!$V:$V,MATCH($A47,账户总表!$A:$A,0))="是",OR(T47&lt;=INDEX(账户总表!$C:$C,MATCH($A47,账户总表!$A:$A,0)),AND(Z47="是",INDEX(账户总表!$U:$U,MATCH($A47,账户总表!$A:$A,0))="是",AB47&gt;0))),"是","否"))</f>
        <v/>
      </c>
      <c r="AD47" s="37" t="str">
        <f aca="false">IF($A47="","",IF(L47&lt;&gt;"是","信号未确认",IF(X47&lt;=0,"止损价未定义",IF(Q47&lt;R47,"100股约束不满足",IF(S47&gt;Q47,"计划股数超单股上限",IF(S47&lt;R47,"计划股数低于最小门槛",IF(W47&lt;&gt;"是","总仓位超限",IF(M47&lt;&gt;"是","追价",IF(INDEX(账户总表!$M:$M,MATCH($A47,账户总表!$A:$A,0))&gt;2,"亏钱效应偏高",IF(INDEX(账户总表!$V:$V,MATCH($A47,账户总表!$A:$A,0))&lt;&gt;"是","账户不允许新开仓",IF(AND(T47&gt;INDEX(账户总表!$C:$C,MATCH($A47,账户总表!$A:$A,0)),INDEX(账户总表!$U:$U,MATCH($A47,账户总表!$A:$A,0))&lt;&gt;"是"),"现金不足且不允许转入",IF(AND(Z47="是",AB47&lt;=0),"转入金额未满足",""))))))))))))</f>
        <v/>
      </c>
      <c r="AE47" s="33"/>
    </row>
    <row r="48" customFormat="false" ht="15" hidden="false" customHeight="true" outlineLevel="0" collapsed="false">
      <c r="A48" s="32"/>
      <c r="B48" s="33"/>
      <c r="C48" s="34"/>
      <c r="D48" s="35"/>
      <c r="E48" s="35"/>
      <c r="F48" s="35"/>
      <c r="G48" s="36"/>
      <c r="H48" s="34"/>
      <c r="I48" s="34"/>
      <c r="J48" s="33"/>
      <c r="K48" s="37" t="str">
        <f aca="false">IF($A48="","",IF(AND(G48&lt;45%,H48&gt;=0.9),"A",IF(AND(G48&lt;60%,H48&gt;0.8),"B","C")))</f>
        <v/>
      </c>
      <c r="L48" s="37" t="str">
        <f aca="false">IF($A48="","",IF(AND(G48&lt;60%,H48&gt;0.8,I48="True"),"是","否"))</f>
        <v/>
      </c>
      <c r="M48" s="37" t="str">
        <f aca="false">IF($A48="","",IF(AND(D48&gt;0,E48&gt;0,D48&lt;=E48*1.02),"是","否"))</f>
        <v/>
      </c>
      <c r="N48" s="38" t="n">
        <f aca="false">IFERROR(INDEX(账户总表!$O:$O,MATCH($A48,账户总表!$A:$A,0)),0)</f>
        <v>0</v>
      </c>
      <c r="O48" s="39" t="n">
        <f aca="false">IFERROR(INDEX(账户总表!$B:$B,MATCH($A48,账户总表!$A:$A,0))*N48,0)</f>
        <v>0</v>
      </c>
      <c r="P48" s="40" t="n">
        <f aca="false">IFERROR(O48/D48,0)</f>
        <v>0</v>
      </c>
      <c r="Q48" s="40" t="n">
        <f aca="false">IFERROR(FLOOR(P48,100),0)</f>
        <v>0</v>
      </c>
      <c r="R48" s="40" t="n">
        <f aca="false">IFERROR(CEILING(800/(100*D48),1)*100,0)</f>
        <v>0</v>
      </c>
      <c r="S48" s="41"/>
      <c r="T48" s="39" t="n">
        <f aca="false">IFERROR(S48*D48,0)</f>
        <v>0</v>
      </c>
      <c r="U48" s="38" t="n">
        <f aca="false">IFERROR(T48/INDEX(账户总表!$B:$B,MATCH($A48,账户总表!$A:$A,0)),0)</f>
        <v>0</v>
      </c>
      <c r="V48" s="38" t="n">
        <f aca="false">IFERROR(INDEX(账户总表!$E:$E,MATCH($A48,账户总表!$A:$A,0))+U48,0)</f>
        <v>0</v>
      </c>
      <c r="W48" s="37" t="str">
        <f aca="false">IF($A48="","",IFERROR(IF(V48&lt;=INDEX(账户总表!$N:$N,MATCH($A48,账户总表!$A:$A,0)),"是","否"),"否"))</f>
        <v/>
      </c>
      <c r="X48" s="39" t="str">
        <f aca="false">IF($A48="","",MAX(F48*0.98,D48*0.92))</f>
        <v/>
      </c>
      <c r="Y48" s="34"/>
      <c r="Z48" s="37" t="str">
        <f aca="false">IF($A48="","",IFERROR(IF(AND(T48&gt;INDEX(账户总表!$C:$C,MATCH($A48,账户总表!$A:$A,0)),L48="是"),"是","否"),"否"))</f>
        <v/>
      </c>
      <c r="AA48" s="39" t="str">
        <f aca="false">IF($A48="","",IFERROR(IF(Z48="是",MAX(0,T48-INDEX(账户总表!$C:$C,MATCH($A48,账户总表!$A:$A,0)),IF(N48&gt;0,T48/N48-INDEX(账户总表!$B:$B,MATCH($A48,账户总表!$A:$A,0)),0)),0),0))</f>
        <v/>
      </c>
      <c r="AB48" s="39" t="str">
        <f aca="false">IF($A48="","",IF(AND(Z48="是",INDEX(账户总表!$U:$U,MATCH($A48,账户总表!$A:$A,0))="是"),IF(INDEX(账户总表!$L:$L,MATCH($A48,账户总表!$A:$A,0))&gt;=4,AA48*1.5,AA48),0))</f>
        <v/>
      </c>
      <c r="AC48" s="42" t="str">
        <f aca="false">IF($A48="","",IF(AND(L48="是",Q48&gt;=R48,S48&lt;=Q48,S48&gt;=R48,W48="是",X48&gt;0,M48="是",INDEX(账户总表!$M:$M,MATCH($A48,账户总表!$A:$A,0))&lt;=2,INDEX(账户总表!$V:$V,MATCH($A48,账户总表!$A:$A,0))="是",OR(T48&lt;=INDEX(账户总表!$C:$C,MATCH($A48,账户总表!$A:$A,0)),AND(Z48="是",INDEX(账户总表!$U:$U,MATCH($A48,账户总表!$A:$A,0))="是",AB48&gt;0))),"是","否"))</f>
        <v/>
      </c>
      <c r="AD48" s="37" t="str">
        <f aca="false">IF($A48="","",IF(L48&lt;&gt;"是","信号未确认",IF(X48&lt;=0,"止损价未定义",IF(Q48&lt;R48,"100股约束不满足",IF(S48&gt;Q48,"计划股数超单股上限",IF(S48&lt;R48,"计划股数低于最小门槛",IF(W48&lt;&gt;"是","总仓位超限",IF(M48&lt;&gt;"是","追价",IF(INDEX(账户总表!$M:$M,MATCH($A48,账户总表!$A:$A,0))&gt;2,"亏钱效应偏高",IF(INDEX(账户总表!$V:$V,MATCH($A48,账户总表!$A:$A,0))&lt;&gt;"是","账户不允许新开仓",IF(AND(T48&gt;INDEX(账户总表!$C:$C,MATCH($A48,账户总表!$A:$A,0)),INDEX(账户总表!$U:$U,MATCH($A48,账户总表!$A:$A,0))&lt;&gt;"是"),"现金不足且不允许转入",IF(AND(Z48="是",AB48&lt;=0),"转入金额未满足",""))))))))))))</f>
        <v/>
      </c>
      <c r="AE48" s="33"/>
    </row>
    <row r="49" customFormat="false" ht="15" hidden="false" customHeight="true" outlineLevel="0" collapsed="false">
      <c r="A49" s="32"/>
      <c r="B49" s="33"/>
      <c r="C49" s="34"/>
      <c r="D49" s="35"/>
      <c r="E49" s="35"/>
      <c r="F49" s="35"/>
      <c r="G49" s="36"/>
      <c r="H49" s="34"/>
      <c r="I49" s="34"/>
      <c r="J49" s="33"/>
      <c r="K49" s="37" t="str">
        <f aca="false">IF($A49="","",IF(AND(G49&lt;45%,H49&gt;=0.9),"A",IF(AND(G49&lt;60%,H49&gt;0.8),"B","C")))</f>
        <v/>
      </c>
      <c r="L49" s="37" t="str">
        <f aca="false">IF($A49="","",IF(AND(G49&lt;60%,H49&gt;0.8,I49="True"),"是","否"))</f>
        <v/>
      </c>
      <c r="M49" s="37" t="str">
        <f aca="false">IF($A49="","",IF(AND(D49&gt;0,E49&gt;0,D49&lt;=E49*1.02),"是","否"))</f>
        <v/>
      </c>
      <c r="N49" s="38" t="n">
        <f aca="false">IFERROR(INDEX(账户总表!$O:$O,MATCH($A49,账户总表!$A:$A,0)),0)</f>
        <v>0</v>
      </c>
      <c r="O49" s="39" t="n">
        <f aca="false">IFERROR(INDEX(账户总表!$B:$B,MATCH($A49,账户总表!$A:$A,0))*N49,0)</f>
        <v>0</v>
      </c>
      <c r="P49" s="40" t="n">
        <f aca="false">IFERROR(O49/D49,0)</f>
        <v>0</v>
      </c>
      <c r="Q49" s="40" t="n">
        <f aca="false">IFERROR(FLOOR(P49,100),0)</f>
        <v>0</v>
      </c>
      <c r="R49" s="40" t="n">
        <f aca="false">IFERROR(CEILING(800/(100*D49),1)*100,0)</f>
        <v>0</v>
      </c>
      <c r="S49" s="41"/>
      <c r="T49" s="39" t="n">
        <f aca="false">IFERROR(S49*D49,0)</f>
        <v>0</v>
      </c>
      <c r="U49" s="38" t="n">
        <f aca="false">IFERROR(T49/INDEX(账户总表!$B:$B,MATCH($A49,账户总表!$A:$A,0)),0)</f>
        <v>0</v>
      </c>
      <c r="V49" s="38" t="n">
        <f aca="false">IFERROR(INDEX(账户总表!$E:$E,MATCH($A49,账户总表!$A:$A,0))+U49,0)</f>
        <v>0</v>
      </c>
      <c r="W49" s="37" t="str">
        <f aca="false">IF($A49="","",IFERROR(IF(V49&lt;=INDEX(账户总表!$N:$N,MATCH($A49,账户总表!$A:$A,0)),"是","否"),"否"))</f>
        <v/>
      </c>
      <c r="X49" s="39" t="str">
        <f aca="false">IF($A49="","",MAX(F49*0.98,D49*0.92))</f>
        <v/>
      </c>
      <c r="Y49" s="34"/>
      <c r="Z49" s="37" t="str">
        <f aca="false">IF($A49="","",IFERROR(IF(AND(T49&gt;INDEX(账户总表!$C:$C,MATCH($A49,账户总表!$A:$A,0)),L49="是"),"是","否"),"否"))</f>
        <v/>
      </c>
      <c r="AA49" s="39" t="str">
        <f aca="false">IF($A49="","",IFERROR(IF(Z49="是",MAX(0,T49-INDEX(账户总表!$C:$C,MATCH($A49,账户总表!$A:$A,0)),IF(N49&gt;0,T49/N49-INDEX(账户总表!$B:$B,MATCH($A49,账户总表!$A:$A,0)),0)),0),0))</f>
        <v/>
      </c>
      <c r="AB49" s="39" t="str">
        <f aca="false">IF($A49="","",IF(AND(Z49="是",INDEX(账户总表!$U:$U,MATCH($A49,账户总表!$A:$A,0))="是"),IF(INDEX(账户总表!$L:$L,MATCH($A49,账户总表!$A:$A,0))&gt;=4,AA49*1.5,AA49),0))</f>
        <v/>
      </c>
      <c r="AC49" s="42" t="str">
        <f aca="false">IF($A49="","",IF(AND(L49="是",Q49&gt;=R49,S49&lt;=Q49,S49&gt;=R49,W49="是",X49&gt;0,M49="是",INDEX(账户总表!$M:$M,MATCH($A49,账户总表!$A:$A,0))&lt;=2,INDEX(账户总表!$V:$V,MATCH($A49,账户总表!$A:$A,0))="是",OR(T49&lt;=INDEX(账户总表!$C:$C,MATCH($A49,账户总表!$A:$A,0)),AND(Z49="是",INDEX(账户总表!$U:$U,MATCH($A49,账户总表!$A:$A,0))="是",AB49&gt;0))),"是","否"))</f>
        <v/>
      </c>
      <c r="AD49" s="37" t="str">
        <f aca="false">IF($A49="","",IF(L49&lt;&gt;"是","信号未确认",IF(X49&lt;=0,"止损价未定义",IF(Q49&lt;R49,"100股约束不满足",IF(S49&gt;Q49,"计划股数超单股上限",IF(S49&lt;R49,"计划股数低于最小门槛",IF(W49&lt;&gt;"是","总仓位超限",IF(M49&lt;&gt;"是","追价",IF(INDEX(账户总表!$M:$M,MATCH($A49,账户总表!$A:$A,0))&gt;2,"亏钱效应偏高",IF(INDEX(账户总表!$V:$V,MATCH($A49,账户总表!$A:$A,0))&lt;&gt;"是","账户不允许新开仓",IF(AND(T49&gt;INDEX(账户总表!$C:$C,MATCH($A49,账户总表!$A:$A,0)),INDEX(账户总表!$U:$U,MATCH($A49,账户总表!$A:$A,0))&lt;&gt;"是"),"现金不足且不允许转入",IF(AND(Z49="是",AB49&lt;=0),"转入金额未满足",""))))))))))))</f>
        <v/>
      </c>
      <c r="AE49" s="33"/>
    </row>
    <row r="50" customFormat="false" ht="15" hidden="false" customHeight="true" outlineLevel="0" collapsed="false">
      <c r="A50" s="32"/>
      <c r="B50" s="33"/>
      <c r="C50" s="34"/>
      <c r="D50" s="35"/>
      <c r="E50" s="35"/>
      <c r="F50" s="35"/>
      <c r="G50" s="36"/>
      <c r="H50" s="34"/>
      <c r="I50" s="34"/>
      <c r="J50" s="33"/>
      <c r="K50" s="37" t="str">
        <f aca="false">IF($A50="","",IF(AND(G50&lt;45%,H50&gt;=0.9),"A",IF(AND(G50&lt;60%,H50&gt;0.8),"B","C")))</f>
        <v/>
      </c>
      <c r="L50" s="37" t="str">
        <f aca="false">IF($A50="","",IF(AND(G50&lt;60%,H50&gt;0.8,I50="True"),"是","否"))</f>
        <v/>
      </c>
      <c r="M50" s="37" t="str">
        <f aca="false">IF($A50="","",IF(AND(D50&gt;0,E50&gt;0,D50&lt;=E50*1.02),"是","否"))</f>
        <v/>
      </c>
      <c r="N50" s="38" t="n">
        <f aca="false">IFERROR(INDEX(账户总表!$O:$O,MATCH($A50,账户总表!$A:$A,0)),0)</f>
        <v>0</v>
      </c>
      <c r="O50" s="39" t="n">
        <f aca="false">IFERROR(INDEX(账户总表!$B:$B,MATCH($A50,账户总表!$A:$A,0))*N50,0)</f>
        <v>0</v>
      </c>
      <c r="P50" s="40" t="n">
        <f aca="false">IFERROR(O50/D50,0)</f>
        <v>0</v>
      </c>
      <c r="Q50" s="40" t="n">
        <f aca="false">IFERROR(FLOOR(P50,100),0)</f>
        <v>0</v>
      </c>
      <c r="R50" s="40" t="n">
        <f aca="false">IFERROR(CEILING(800/(100*D50),1)*100,0)</f>
        <v>0</v>
      </c>
      <c r="S50" s="41"/>
      <c r="T50" s="39" t="n">
        <f aca="false">IFERROR(S50*D50,0)</f>
        <v>0</v>
      </c>
      <c r="U50" s="38" t="n">
        <f aca="false">IFERROR(T50/INDEX(账户总表!$B:$B,MATCH($A50,账户总表!$A:$A,0)),0)</f>
        <v>0</v>
      </c>
      <c r="V50" s="38" t="n">
        <f aca="false">IFERROR(INDEX(账户总表!$E:$E,MATCH($A50,账户总表!$A:$A,0))+U50,0)</f>
        <v>0</v>
      </c>
      <c r="W50" s="37" t="str">
        <f aca="false">IF($A50="","",IFERROR(IF(V50&lt;=INDEX(账户总表!$N:$N,MATCH($A50,账户总表!$A:$A,0)),"是","否"),"否"))</f>
        <v/>
      </c>
      <c r="X50" s="39" t="str">
        <f aca="false">IF($A50="","",MAX(F50*0.98,D50*0.92))</f>
        <v/>
      </c>
      <c r="Y50" s="34"/>
      <c r="Z50" s="37" t="str">
        <f aca="false">IF($A50="","",IFERROR(IF(AND(T50&gt;INDEX(账户总表!$C:$C,MATCH($A50,账户总表!$A:$A,0)),L50="是"),"是","否"),"否"))</f>
        <v/>
      </c>
      <c r="AA50" s="39" t="str">
        <f aca="false">IF($A50="","",IFERROR(IF(Z50="是",MAX(0,T50-INDEX(账户总表!$C:$C,MATCH($A50,账户总表!$A:$A,0)),IF(N50&gt;0,T50/N50-INDEX(账户总表!$B:$B,MATCH($A50,账户总表!$A:$A,0)),0)),0),0))</f>
        <v/>
      </c>
      <c r="AB50" s="39" t="str">
        <f aca="false">IF($A50="","",IF(AND(Z50="是",INDEX(账户总表!$U:$U,MATCH($A50,账户总表!$A:$A,0))="是"),IF(INDEX(账户总表!$L:$L,MATCH($A50,账户总表!$A:$A,0))&gt;=4,AA50*1.5,AA50),0))</f>
        <v/>
      </c>
      <c r="AC50" s="42" t="str">
        <f aca="false">IF($A50="","",IF(AND(L50="是",Q50&gt;=R50,S50&lt;=Q50,S50&gt;=R50,W50="是",X50&gt;0,M50="是",INDEX(账户总表!$M:$M,MATCH($A50,账户总表!$A:$A,0))&lt;=2,INDEX(账户总表!$V:$V,MATCH($A50,账户总表!$A:$A,0))="是",OR(T50&lt;=INDEX(账户总表!$C:$C,MATCH($A50,账户总表!$A:$A,0)),AND(Z50="是",INDEX(账户总表!$U:$U,MATCH($A50,账户总表!$A:$A,0))="是",AB50&gt;0))),"是","否"))</f>
        <v/>
      </c>
      <c r="AD50" s="37" t="str">
        <f aca="false">IF($A50="","",IF(L50&lt;&gt;"是","信号未确认",IF(X50&lt;=0,"止损价未定义",IF(Q50&lt;R50,"100股约束不满足",IF(S50&gt;Q50,"计划股数超单股上限",IF(S50&lt;R50,"计划股数低于最小门槛",IF(W50&lt;&gt;"是","总仓位超限",IF(M50&lt;&gt;"是","追价",IF(INDEX(账户总表!$M:$M,MATCH($A50,账户总表!$A:$A,0))&gt;2,"亏钱效应偏高",IF(INDEX(账户总表!$V:$V,MATCH($A50,账户总表!$A:$A,0))&lt;&gt;"是","账户不允许新开仓",IF(AND(T50&gt;INDEX(账户总表!$C:$C,MATCH($A50,账户总表!$A:$A,0)),INDEX(账户总表!$U:$U,MATCH($A50,账户总表!$A:$A,0))&lt;&gt;"是"),"现金不足且不允许转入",IF(AND(Z50="是",AB50&lt;=0),"转入金额未满足",""))))))))))))</f>
        <v/>
      </c>
      <c r="AE50" s="33"/>
    </row>
    <row r="51" customFormat="false" ht="15" hidden="false" customHeight="true" outlineLevel="0" collapsed="false">
      <c r="A51" s="32"/>
      <c r="B51" s="33"/>
      <c r="C51" s="34"/>
      <c r="D51" s="35"/>
      <c r="E51" s="35"/>
      <c r="F51" s="35"/>
      <c r="G51" s="36"/>
      <c r="H51" s="34"/>
      <c r="I51" s="34"/>
      <c r="J51" s="33"/>
      <c r="K51" s="37" t="str">
        <f aca="false">IF($A51="","",IF(AND(G51&lt;45%,H51&gt;=0.9),"A",IF(AND(G51&lt;60%,H51&gt;0.8),"B","C")))</f>
        <v/>
      </c>
      <c r="L51" s="37" t="str">
        <f aca="false">IF($A51="","",IF(AND(G51&lt;60%,H51&gt;0.8,I51="True"),"是","否"))</f>
        <v/>
      </c>
      <c r="M51" s="37" t="str">
        <f aca="false">IF($A51="","",IF(AND(D51&gt;0,E51&gt;0,D51&lt;=E51*1.02),"是","否"))</f>
        <v/>
      </c>
      <c r="N51" s="38" t="n">
        <f aca="false">IFERROR(INDEX(账户总表!$O:$O,MATCH($A51,账户总表!$A:$A,0)),0)</f>
        <v>0</v>
      </c>
      <c r="O51" s="39" t="n">
        <f aca="false">IFERROR(INDEX(账户总表!$B:$B,MATCH($A51,账户总表!$A:$A,0))*N51,0)</f>
        <v>0</v>
      </c>
      <c r="P51" s="40" t="n">
        <f aca="false">IFERROR(O51/D51,0)</f>
        <v>0</v>
      </c>
      <c r="Q51" s="40" t="n">
        <f aca="false">IFERROR(FLOOR(P51,100),0)</f>
        <v>0</v>
      </c>
      <c r="R51" s="40" t="n">
        <f aca="false">IFERROR(CEILING(800/(100*D51),1)*100,0)</f>
        <v>0</v>
      </c>
      <c r="S51" s="41"/>
      <c r="T51" s="39" t="n">
        <f aca="false">IFERROR(S51*D51,0)</f>
        <v>0</v>
      </c>
      <c r="U51" s="38" t="n">
        <f aca="false">IFERROR(T51/INDEX(账户总表!$B:$B,MATCH($A51,账户总表!$A:$A,0)),0)</f>
        <v>0</v>
      </c>
      <c r="V51" s="38" t="n">
        <f aca="false">IFERROR(INDEX(账户总表!$E:$E,MATCH($A51,账户总表!$A:$A,0))+U51,0)</f>
        <v>0</v>
      </c>
      <c r="W51" s="37" t="str">
        <f aca="false">IF($A51="","",IFERROR(IF(V51&lt;=INDEX(账户总表!$N:$N,MATCH($A51,账户总表!$A:$A,0)),"是","否"),"否"))</f>
        <v/>
      </c>
      <c r="X51" s="39" t="str">
        <f aca="false">IF($A51="","",MAX(F51*0.98,D51*0.92))</f>
        <v/>
      </c>
      <c r="Y51" s="34"/>
      <c r="Z51" s="37" t="str">
        <f aca="false">IF($A51="","",IFERROR(IF(AND(T51&gt;INDEX(账户总表!$C:$C,MATCH($A51,账户总表!$A:$A,0)),L51="是"),"是","否"),"否"))</f>
        <v/>
      </c>
      <c r="AA51" s="39" t="str">
        <f aca="false">IF($A51="","",IFERROR(IF(Z51="是",MAX(0,T51-INDEX(账户总表!$C:$C,MATCH($A51,账户总表!$A:$A,0)),IF(N51&gt;0,T51/N51-INDEX(账户总表!$B:$B,MATCH($A51,账户总表!$A:$A,0)),0)),0),0))</f>
        <v/>
      </c>
      <c r="AB51" s="39" t="str">
        <f aca="false">IF($A51="","",IF(AND(Z51="是",INDEX(账户总表!$U:$U,MATCH($A51,账户总表!$A:$A,0))="是"),IF(INDEX(账户总表!$L:$L,MATCH($A51,账户总表!$A:$A,0))&gt;=4,AA51*1.5,AA51),0))</f>
        <v/>
      </c>
      <c r="AC51" s="42" t="str">
        <f aca="false">IF($A51="","",IF(AND(L51="是",Q51&gt;=R51,S51&lt;=Q51,S51&gt;=R51,W51="是",X51&gt;0,M51="是",INDEX(账户总表!$M:$M,MATCH($A51,账户总表!$A:$A,0))&lt;=2,INDEX(账户总表!$V:$V,MATCH($A51,账户总表!$A:$A,0))="是",OR(T51&lt;=INDEX(账户总表!$C:$C,MATCH($A51,账户总表!$A:$A,0)),AND(Z51="是",INDEX(账户总表!$U:$U,MATCH($A51,账户总表!$A:$A,0))="是",AB51&gt;0))),"是","否"))</f>
        <v/>
      </c>
      <c r="AD51" s="37" t="str">
        <f aca="false">IF($A51="","",IF(L51&lt;&gt;"是","信号未确认",IF(X51&lt;=0,"止损价未定义",IF(Q51&lt;R51,"100股约束不满足",IF(S51&gt;Q51,"计划股数超单股上限",IF(S51&lt;R51,"计划股数低于最小门槛",IF(W51&lt;&gt;"是","总仓位超限",IF(M51&lt;&gt;"是","追价",IF(INDEX(账户总表!$M:$M,MATCH($A51,账户总表!$A:$A,0))&gt;2,"亏钱效应偏高",IF(INDEX(账户总表!$V:$V,MATCH($A51,账户总表!$A:$A,0))&lt;&gt;"是","账户不允许新开仓",IF(AND(T51&gt;INDEX(账户总表!$C:$C,MATCH($A51,账户总表!$A:$A,0)),INDEX(账户总表!$U:$U,MATCH($A51,账户总表!$A:$A,0))&lt;&gt;"是"),"现金不足且不允许转入",IF(AND(Z51="是",AB51&lt;=0),"转入金额未满足",""))))))))))))</f>
        <v/>
      </c>
      <c r="AE51" s="33"/>
    </row>
    <row r="52" customFormat="false" ht="15" hidden="false" customHeight="true" outlineLevel="0" collapsed="false">
      <c r="A52" s="32"/>
      <c r="B52" s="33"/>
      <c r="C52" s="34"/>
      <c r="D52" s="35"/>
      <c r="E52" s="35"/>
      <c r="F52" s="35"/>
      <c r="G52" s="36"/>
      <c r="H52" s="34"/>
      <c r="I52" s="34"/>
      <c r="J52" s="33"/>
      <c r="K52" s="37" t="str">
        <f aca="false">IF($A52="","",IF(AND(G52&lt;45%,H52&gt;=0.9),"A",IF(AND(G52&lt;60%,H52&gt;0.8),"B","C")))</f>
        <v/>
      </c>
      <c r="L52" s="37" t="str">
        <f aca="false">IF($A52="","",IF(AND(G52&lt;60%,H52&gt;0.8,I52="True"),"是","否"))</f>
        <v/>
      </c>
      <c r="M52" s="37" t="str">
        <f aca="false">IF($A52="","",IF(AND(D52&gt;0,E52&gt;0,D52&lt;=E52*1.02),"是","否"))</f>
        <v/>
      </c>
      <c r="N52" s="38" t="n">
        <f aca="false">IFERROR(INDEX(账户总表!$O:$O,MATCH($A52,账户总表!$A:$A,0)),0)</f>
        <v>0</v>
      </c>
      <c r="O52" s="39" t="n">
        <f aca="false">IFERROR(INDEX(账户总表!$B:$B,MATCH($A52,账户总表!$A:$A,0))*N52,0)</f>
        <v>0</v>
      </c>
      <c r="P52" s="40" t="n">
        <f aca="false">IFERROR(O52/D52,0)</f>
        <v>0</v>
      </c>
      <c r="Q52" s="40" t="n">
        <f aca="false">IFERROR(FLOOR(P52,100),0)</f>
        <v>0</v>
      </c>
      <c r="R52" s="40" t="n">
        <f aca="false">IFERROR(CEILING(800/(100*D52),1)*100,0)</f>
        <v>0</v>
      </c>
      <c r="S52" s="41"/>
      <c r="T52" s="39" t="n">
        <f aca="false">IFERROR(S52*D52,0)</f>
        <v>0</v>
      </c>
      <c r="U52" s="38" t="n">
        <f aca="false">IFERROR(T52/INDEX(账户总表!$B:$B,MATCH($A52,账户总表!$A:$A,0)),0)</f>
        <v>0</v>
      </c>
      <c r="V52" s="38" t="n">
        <f aca="false">IFERROR(INDEX(账户总表!$E:$E,MATCH($A52,账户总表!$A:$A,0))+U52,0)</f>
        <v>0</v>
      </c>
      <c r="W52" s="37" t="str">
        <f aca="false">IF($A52="","",IFERROR(IF(V52&lt;=INDEX(账户总表!$N:$N,MATCH($A52,账户总表!$A:$A,0)),"是","否"),"否"))</f>
        <v/>
      </c>
      <c r="X52" s="39" t="str">
        <f aca="false">IF($A52="","",MAX(F52*0.98,D52*0.92))</f>
        <v/>
      </c>
      <c r="Y52" s="34"/>
      <c r="Z52" s="37" t="str">
        <f aca="false">IF($A52="","",IFERROR(IF(AND(T52&gt;INDEX(账户总表!$C:$C,MATCH($A52,账户总表!$A:$A,0)),L52="是"),"是","否"),"否"))</f>
        <v/>
      </c>
      <c r="AA52" s="39" t="str">
        <f aca="false">IF($A52="","",IFERROR(IF(Z52="是",MAX(0,T52-INDEX(账户总表!$C:$C,MATCH($A52,账户总表!$A:$A,0)),IF(N52&gt;0,T52/N52-INDEX(账户总表!$B:$B,MATCH($A52,账户总表!$A:$A,0)),0)),0),0))</f>
        <v/>
      </c>
      <c r="AB52" s="39" t="str">
        <f aca="false">IF($A52="","",IF(AND(Z52="是",INDEX(账户总表!$U:$U,MATCH($A52,账户总表!$A:$A,0))="是"),IF(INDEX(账户总表!$L:$L,MATCH($A52,账户总表!$A:$A,0))&gt;=4,AA52*1.5,AA52),0))</f>
        <v/>
      </c>
      <c r="AC52" s="42" t="str">
        <f aca="false">IF($A52="","",IF(AND(L52="是",Q52&gt;=R52,S52&lt;=Q52,S52&gt;=R52,W52="是",X52&gt;0,M52="是",INDEX(账户总表!$M:$M,MATCH($A52,账户总表!$A:$A,0))&lt;=2,INDEX(账户总表!$V:$V,MATCH($A52,账户总表!$A:$A,0))="是",OR(T52&lt;=INDEX(账户总表!$C:$C,MATCH($A52,账户总表!$A:$A,0)),AND(Z52="是",INDEX(账户总表!$U:$U,MATCH($A52,账户总表!$A:$A,0))="是",AB52&gt;0))),"是","否"))</f>
        <v/>
      </c>
      <c r="AD52" s="37" t="str">
        <f aca="false">IF($A52="","",IF(L52&lt;&gt;"是","信号未确认",IF(X52&lt;=0,"止损价未定义",IF(Q52&lt;R52,"100股约束不满足",IF(S52&gt;Q52,"计划股数超单股上限",IF(S52&lt;R52,"计划股数低于最小门槛",IF(W52&lt;&gt;"是","总仓位超限",IF(M52&lt;&gt;"是","追价",IF(INDEX(账户总表!$M:$M,MATCH($A52,账户总表!$A:$A,0))&gt;2,"亏钱效应偏高",IF(INDEX(账户总表!$V:$V,MATCH($A52,账户总表!$A:$A,0))&lt;&gt;"是","账户不允许新开仓",IF(AND(T52&gt;INDEX(账户总表!$C:$C,MATCH($A52,账户总表!$A:$A,0)),INDEX(账户总表!$U:$U,MATCH($A52,账户总表!$A:$A,0))&lt;&gt;"是"),"现金不足且不允许转入",IF(AND(Z52="是",AB52&lt;=0),"转入金额未满足",""))))))))))))</f>
        <v/>
      </c>
      <c r="AE52" s="33"/>
    </row>
    <row r="53" customFormat="false" ht="15" hidden="false" customHeight="true" outlineLevel="0" collapsed="false">
      <c r="A53" s="32"/>
      <c r="B53" s="33"/>
      <c r="C53" s="34"/>
      <c r="D53" s="35"/>
      <c r="E53" s="35"/>
      <c r="F53" s="35"/>
      <c r="G53" s="36"/>
      <c r="H53" s="34"/>
      <c r="I53" s="34"/>
      <c r="J53" s="33"/>
      <c r="K53" s="37" t="str">
        <f aca="false">IF($A53="","",IF(AND(G53&lt;45%,H53&gt;=0.9),"A",IF(AND(G53&lt;60%,H53&gt;0.8),"B","C")))</f>
        <v/>
      </c>
      <c r="L53" s="37" t="str">
        <f aca="false">IF($A53="","",IF(AND(G53&lt;60%,H53&gt;0.8,I53="True"),"是","否"))</f>
        <v/>
      </c>
      <c r="M53" s="37" t="str">
        <f aca="false">IF($A53="","",IF(AND(D53&gt;0,E53&gt;0,D53&lt;=E53*1.02),"是","否"))</f>
        <v/>
      </c>
      <c r="N53" s="38" t="n">
        <f aca="false">IFERROR(INDEX(账户总表!$O:$O,MATCH($A53,账户总表!$A:$A,0)),0)</f>
        <v>0</v>
      </c>
      <c r="O53" s="39" t="n">
        <f aca="false">IFERROR(INDEX(账户总表!$B:$B,MATCH($A53,账户总表!$A:$A,0))*N53,0)</f>
        <v>0</v>
      </c>
      <c r="P53" s="40" t="n">
        <f aca="false">IFERROR(O53/D53,0)</f>
        <v>0</v>
      </c>
      <c r="Q53" s="40" t="n">
        <f aca="false">IFERROR(FLOOR(P53,100),0)</f>
        <v>0</v>
      </c>
      <c r="R53" s="40" t="n">
        <f aca="false">IFERROR(CEILING(800/(100*D53),1)*100,0)</f>
        <v>0</v>
      </c>
      <c r="S53" s="41"/>
      <c r="T53" s="39" t="n">
        <f aca="false">IFERROR(S53*D53,0)</f>
        <v>0</v>
      </c>
      <c r="U53" s="38" t="n">
        <f aca="false">IFERROR(T53/INDEX(账户总表!$B:$B,MATCH($A53,账户总表!$A:$A,0)),0)</f>
        <v>0</v>
      </c>
      <c r="V53" s="38" t="n">
        <f aca="false">IFERROR(INDEX(账户总表!$E:$E,MATCH($A53,账户总表!$A:$A,0))+U53,0)</f>
        <v>0</v>
      </c>
      <c r="W53" s="37" t="str">
        <f aca="false">IF($A53="","",IFERROR(IF(V53&lt;=INDEX(账户总表!$N:$N,MATCH($A53,账户总表!$A:$A,0)),"是","否"),"否"))</f>
        <v/>
      </c>
      <c r="X53" s="39" t="str">
        <f aca="false">IF($A53="","",MAX(F53*0.98,D53*0.92))</f>
        <v/>
      </c>
      <c r="Y53" s="34"/>
      <c r="Z53" s="37" t="str">
        <f aca="false">IF($A53="","",IFERROR(IF(AND(T53&gt;INDEX(账户总表!$C:$C,MATCH($A53,账户总表!$A:$A,0)),L53="是"),"是","否"),"否"))</f>
        <v/>
      </c>
      <c r="AA53" s="39" t="str">
        <f aca="false">IF($A53="","",IFERROR(IF(Z53="是",MAX(0,T53-INDEX(账户总表!$C:$C,MATCH($A53,账户总表!$A:$A,0)),IF(N53&gt;0,T53/N53-INDEX(账户总表!$B:$B,MATCH($A53,账户总表!$A:$A,0)),0)),0),0))</f>
        <v/>
      </c>
      <c r="AB53" s="39" t="str">
        <f aca="false">IF($A53="","",IF(AND(Z53="是",INDEX(账户总表!$U:$U,MATCH($A53,账户总表!$A:$A,0))="是"),IF(INDEX(账户总表!$L:$L,MATCH($A53,账户总表!$A:$A,0))&gt;=4,AA53*1.5,AA53),0))</f>
        <v/>
      </c>
      <c r="AC53" s="42" t="str">
        <f aca="false">IF($A53="","",IF(AND(L53="是",Q53&gt;=R53,S53&lt;=Q53,S53&gt;=R53,W53="是",X53&gt;0,M53="是",INDEX(账户总表!$M:$M,MATCH($A53,账户总表!$A:$A,0))&lt;=2,INDEX(账户总表!$V:$V,MATCH($A53,账户总表!$A:$A,0))="是",OR(T53&lt;=INDEX(账户总表!$C:$C,MATCH($A53,账户总表!$A:$A,0)),AND(Z53="是",INDEX(账户总表!$U:$U,MATCH($A53,账户总表!$A:$A,0))="是",AB53&gt;0))),"是","否"))</f>
        <v/>
      </c>
      <c r="AD53" s="37" t="str">
        <f aca="false">IF($A53="","",IF(L53&lt;&gt;"是","信号未确认",IF(X53&lt;=0,"止损价未定义",IF(Q53&lt;R53,"100股约束不满足",IF(S53&gt;Q53,"计划股数超单股上限",IF(S53&lt;R53,"计划股数低于最小门槛",IF(W53&lt;&gt;"是","总仓位超限",IF(M53&lt;&gt;"是","追价",IF(INDEX(账户总表!$M:$M,MATCH($A53,账户总表!$A:$A,0))&gt;2,"亏钱效应偏高",IF(INDEX(账户总表!$V:$V,MATCH($A53,账户总表!$A:$A,0))&lt;&gt;"是","账户不允许新开仓",IF(AND(T53&gt;INDEX(账户总表!$C:$C,MATCH($A53,账户总表!$A:$A,0)),INDEX(账户总表!$U:$U,MATCH($A53,账户总表!$A:$A,0))&lt;&gt;"是"),"现金不足且不允许转入",IF(AND(Z53="是",AB53&lt;=0),"转入金额未满足",""))))))))))))</f>
        <v/>
      </c>
      <c r="AE53" s="33"/>
    </row>
    <row r="54" customFormat="false" ht="15" hidden="false" customHeight="true" outlineLevel="0" collapsed="false">
      <c r="A54" s="32"/>
      <c r="B54" s="33"/>
      <c r="C54" s="34"/>
      <c r="D54" s="35"/>
      <c r="E54" s="35"/>
      <c r="F54" s="35"/>
      <c r="G54" s="36"/>
      <c r="H54" s="34"/>
      <c r="I54" s="34"/>
      <c r="J54" s="33"/>
      <c r="K54" s="37" t="str">
        <f aca="false">IF($A54="","",IF(AND(G54&lt;45%,H54&gt;=0.9),"A",IF(AND(G54&lt;60%,H54&gt;0.8),"B","C")))</f>
        <v/>
      </c>
      <c r="L54" s="37" t="str">
        <f aca="false">IF($A54="","",IF(AND(G54&lt;60%,H54&gt;0.8,I54="True"),"是","否"))</f>
        <v/>
      </c>
      <c r="M54" s="37" t="str">
        <f aca="false">IF($A54="","",IF(AND(D54&gt;0,E54&gt;0,D54&lt;=E54*1.02),"是","否"))</f>
        <v/>
      </c>
      <c r="N54" s="38" t="n">
        <f aca="false">IFERROR(INDEX(账户总表!$O:$O,MATCH($A54,账户总表!$A:$A,0)),0)</f>
        <v>0</v>
      </c>
      <c r="O54" s="39" t="n">
        <f aca="false">IFERROR(INDEX(账户总表!$B:$B,MATCH($A54,账户总表!$A:$A,0))*N54,0)</f>
        <v>0</v>
      </c>
      <c r="P54" s="40" t="n">
        <f aca="false">IFERROR(O54/D54,0)</f>
        <v>0</v>
      </c>
      <c r="Q54" s="40" t="n">
        <f aca="false">IFERROR(FLOOR(P54,100),0)</f>
        <v>0</v>
      </c>
      <c r="R54" s="40" t="n">
        <f aca="false">IFERROR(CEILING(800/(100*D54),1)*100,0)</f>
        <v>0</v>
      </c>
      <c r="S54" s="41"/>
      <c r="T54" s="39" t="n">
        <f aca="false">IFERROR(S54*D54,0)</f>
        <v>0</v>
      </c>
      <c r="U54" s="38" t="n">
        <f aca="false">IFERROR(T54/INDEX(账户总表!$B:$B,MATCH($A54,账户总表!$A:$A,0)),0)</f>
        <v>0</v>
      </c>
      <c r="V54" s="38" t="n">
        <f aca="false">IFERROR(INDEX(账户总表!$E:$E,MATCH($A54,账户总表!$A:$A,0))+U54,0)</f>
        <v>0</v>
      </c>
      <c r="W54" s="37" t="str">
        <f aca="false">IF($A54="","",IFERROR(IF(V54&lt;=INDEX(账户总表!$N:$N,MATCH($A54,账户总表!$A:$A,0)),"是","否"),"否"))</f>
        <v/>
      </c>
      <c r="X54" s="39" t="str">
        <f aca="false">IF($A54="","",MAX(F54*0.98,D54*0.92))</f>
        <v/>
      </c>
      <c r="Y54" s="34"/>
      <c r="Z54" s="37" t="str">
        <f aca="false">IF($A54="","",IFERROR(IF(AND(T54&gt;INDEX(账户总表!$C:$C,MATCH($A54,账户总表!$A:$A,0)),L54="是"),"是","否"),"否"))</f>
        <v/>
      </c>
      <c r="AA54" s="39" t="str">
        <f aca="false">IF($A54="","",IFERROR(IF(Z54="是",MAX(0,T54-INDEX(账户总表!$C:$C,MATCH($A54,账户总表!$A:$A,0)),IF(N54&gt;0,T54/N54-INDEX(账户总表!$B:$B,MATCH($A54,账户总表!$A:$A,0)),0)),0),0))</f>
        <v/>
      </c>
      <c r="AB54" s="39" t="str">
        <f aca="false">IF($A54="","",IF(AND(Z54="是",INDEX(账户总表!$U:$U,MATCH($A54,账户总表!$A:$A,0))="是"),IF(INDEX(账户总表!$L:$L,MATCH($A54,账户总表!$A:$A,0))&gt;=4,AA54*1.5,AA54),0))</f>
        <v/>
      </c>
      <c r="AC54" s="42" t="str">
        <f aca="false">IF($A54="","",IF(AND(L54="是",Q54&gt;=R54,S54&lt;=Q54,S54&gt;=R54,W54="是",X54&gt;0,M54="是",INDEX(账户总表!$M:$M,MATCH($A54,账户总表!$A:$A,0))&lt;=2,INDEX(账户总表!$V:$V,MATCH($A54,账户总表!$A:$A,0))="是",OR(T54&lt;=INDEX(账户总表!$C:$C,MATCH($A54,账户总表!$A:$A,0)),AND(Z54="是",INDEX(账户总表!$U:$U,MATCH($A54,账户总表!$A:$A,0))="是",AB54&gt;0))),"是","否"))</f>
        <v/>
      </c>
      <c r="AD54" s="37" t="str">
        <f aca="false">IF($A54="","",IF(L54&lt;&gt;"是","信号未确认",IF(X54&lt;=0,"止损价未定义",IF(Q54&lt;R54,"100股约束不满足",IF(S54&gt;Q54,"计划股数超单股上限",IF(S54&lt;R54,"计划股数低于最小门槛",IF(W54&lt;&gt;"是","总仓位超限",IF(M54&lt;&gt;"是","追价",IF(INDEX(账户总表!$M:$M,MATCH($A54,账户总表!$A:$A,0))&gt;2,"亏钱效应偏高",IF(INDEX(账户总表!$V:$V,MATCH($A54,账户总表!$A:$A,0))&lt;&gt;"是","账户不允许新开仓",IF(AND(T54&gt;INDEX(账户总表!$C:$C,MATCH($A54,账户总表!$A:$A,0)),INDEX(账户总表!$U:$U,MATCH($A54,账户总表!$A:$A,0))&lt;&gt;"是"),"现金不足且不允许转入",IF(AND(Z54="是",AB54&lt;=0),"转入金额未满足",""))))))))))))</f>
        <v/>
      </c>
      <c r="AE54" s="33"/>
    </row>
    <row r="55" customFormat="false" ht="15" hidden="false" customHeight="true" outlineLevel="0" collapsed="false">
      <c r="A55" s="32"/>
      <c r="B55" s="33"/>
      <c r="C55" s="34"/>
      <c r="D55" s="35"/>
      <c r="E55" s="35"/>
      <c r="F55" s="35"/>
      <c r="G55" s="36"/>
      <c r="H55" s="34"/>
      <c r="I55" s="34"/>
      <c r="J55" s="33"/>
      <c r="K55" s="37" t="str">
        <f aca="false">IF($A55="","",IF(AND(G55&lt;45%,H55&gt;=0.9),"A",IF(AND(G55&lt;60%,H55&gt;0.8),"B","C")))</f>
        <v/>
      </c>
      <c r="L55" s="37" t="str">
        <f aca="false">IF($A55="","",IF(AND(G55&lt;60%,H55&gt;0.8,I55="True"),"是","否"))</f>
        <v/>
      </c>
      <c r="M55" s="37" t="str">
        <f aca="false">IF($A55="","",IF(AND(D55&gt;0,E55&gt;0,D55&lt;=E55*1.02),"是","否"))</f>
        <v/>
      </c>
      <c r="N55" s="38" t="n">
        <f aca="false">IFERROR(INDEX(账户总表!$O:$O,MATCH($A55,账户总表!$A:$A,0)),0)</f>
        <v>0</v>
      </c>
      <c r="O55" s="39" t="n">
        <f aca="false">IFERROR(INDEX(账户总表!$B:$B,MATCH($A55,账户总表!$A:$A,0))*N55,0)</f>
        <v>0</v>
      </c>
      <c r="P55" s="40" t="n">
        <f aca="false">IFERROR(O55/D55,0)</f>
        <v>0</v>
      </c>
      <c r="Q55" s="40" t="n">
        <f aca="false">IFERROR(FLOOR(P55,100),0)</f>
        <v>0</v>
      </c>
      <c r="R55" s="40" t="n">
        <f aca="false">IFERROR(CEILING(800/(100*D55),1)*100,0)</f>
        <v>0</v>
      </c>
      <c r="S55" s="41"/>
      <c r="T55" s="39" t="n">
        <f aca="false">IFERROR(S55*D55,0)</f>
        <v>0</v>
      </c>
      <c r="U55" s="38" t="n">
        <f aca="false">IFERROR(T55/INDEX(账户总表!$B:$B,MATCH($A55,账户总表!$A:$A,0)),0)</f>
        <v>0</v>
      </c>
      <c r="V55" s="38" t="n">
        <f aca="false">IFERROR(INDEX(账户总表!$E:$E,MATCH($A55,账户总表!$A:$A,0))+U55,0)</f>
        <v>0</v>
      </c>
      <c r="W55" s="37" t="str">
        <f aca="false">IF($A55="","",IFERROR(IF(V55&lt;=INDEX(账户总表!$N:$N,MATCH($A55,账户总表!$A:$A,0)),"是","否"),"否"))</f>
        <v/>
      </c>
      <c r="X55" s="39" t="str">
        <f aca="false">IF($A55="","",MAX(F55*0.98,D55*0.92))</f>
        <v/>
      </c>
      <c r="Y55" s="34"/>
      <c r="Z55" s="37" t="str">
        <f aca="false">IF($A55="","",IFERROR(IF(AND(T55&gt;INDEX(账户总表!$C:$C,MATCH($A55,账户总表!$A:$A,0)),L55="是"),"是","否"),"否"))</f>
        <v/>
      </c>
      <c r="AA55" s="39" t="str">
        <f aca="false">IF($A55="","",IFERROR(IF(Z55="是",MAX(0,T55-INDEX(账户总表!$C:$C,MATCH($A55,账户总表!$A:$A,0)),IF(N55&gt;0,T55/N55-INDEX(账户总表!$B:$B,MATCH($A55,账户总表!$A:$A,0)),0)),0),0))</f>
        <v/>
      </c>
      <c r="AB55" s="39" t="str">
        <f aca="false">IF($A55="","",IF(AND(Z55="是",INDEX(账户总表!$U:$U,MATCH($A55,账户总表!$A:$A,0))="是"),IF(INDEX(账户总表!$L:$L,MATCH($A55,账户总表!$A:$A,0))&gt;=4,AA55*1.5,AA55),0))</f>
        <v/>
      </c>
      <c r="AC55" s="42" t="str">
        <f aca="false">IF($A55="","",IF(AND(L55="是",Q55&gt;=R55,S55&lt;=Q55,S55&gt;=R55,W55="是",X55&gt;0,M55="是",INDEX(账户总表!$M:$M,MATCH($A55,账户总表!$A:$A,0))&lt;=2,INDEX(账户总表!$V:$V,MATCH($A55,账户总表!$A:$A,0))="是",OR(T55&lt;=INDEX(账户总表!$C:$C,MATCH($A55,账户总表!$A:$A,0)),AND(Z55="是",INDEX(账户总表!$U:$U,MATCH($A55,账户总表!$A:$A,0))="是",AB55&gt;0))),"是","否"))</f>
        <v/>
      </c>
      <c r="AD55" s="37" t="str">
        <f aca="false">IF($A55="","",IF(L55&lt;&gt;"是","信号未确认",IF(X55&lt;=0,"止损价未定义",IF(Q55&lt;R55,"100股约束不满足",IF(S55&gt;Q55,"计划股数超单股上限",IF(S55&lt;R55,"计划股数低于最小门槛",IF(W55&lt;&gt;"是","总仓位超限",IF(M55&lt;&gt;"是","追价",IF(INDEX(账户总表!$M:$M,MATCH($A55,账户总表!$A:$A,0))&gt;2,"亏钱效应偏高",IF(INDEX(账户总表!$V:$V,MATCH($A55,账户总表!$A:$A,0))&lt;&gt;"是","账户不允许新开仓",IF(AND(T55&gt;INDEX(账户总表!$C:$C,MATCH($A55,账户总表!$A:$A,0)),INDEX(账户总表!$U:$U,MATCH($A55,账户总表!$A:$A,0))&lt;&gt;"是"),"现金不足且不允许转入",IF(AND(Z55="是",AB55&lt;=0),"转入金额未满足",""))))))))))))</f>
        <v/>
      </c>
      <c r="AE55" s="33"/>
    </row>
    <row r="56" customFormat="false" ht="15" hidden="false" customHeight="true" outlineLevel="0" collapsed="false">
      <c r="A56" s="32"/>
      <c r="B56" s="33"/>
      <c r="C56" s="34"/>
      <c r="D56" s="35"/>
      <c r="E56" s="35"/>
      <c r="F56" s="35"/>
      <c r="G56" s="36"/>
      <c r="H56" s="34"/>
      <c r="I56" s="34"/>
      <c r="J56" s="33"/>
      <c r="K56" s="37" t="str">
        <f aca="false">IF($A56="","",IF(AND(G56&lt;45%,H56&gt;=0.9),"A",IF(AND(G56&lt;60%,H56&gt;0.8),"B","C")))</f>
        <v/>
      </c>
      <c r="L56" s="37" t="str">
        <f aca="false">IF($A56="","",IF(AND(G56&lt;60%,H56&gt;0.8,I56="True"),"是","否"))</f>
        <v/>
      </c>
      <c r="M56" s="37" t="str">
        <f aca="false">IF($A56="","",IF(AND(D56&gt;0,E56&gt;0,D56&lt;=E56*1.02),"是","否"))</f>
        <v/>
      </c>
      <c r="N56" s="38" t="n">
        <f aca="false">IFERROR(INDEX(账户总表!$O:$O,MATCH($A56,账户总表!$A:$A,0)),0)</f>
        <v>0</v>
      </c>
      <c r="O56" s="39" t="n">
        <f aca="false">IFERROR(INDEX(账户总表!$B:$B,MATCH($A56,账户总表!$A:$A,0))*N56,0)</f>
        <v>0</v>
      </c>
      <c r="P56" s="40" t="n">
        <f aca="false">IFERROR(O56/D56,0)</f>
        <v>0</v>
      </c>
      <c r="Q56" s="40" t="n">
        <f aca="false">IFERROR(FLOOR(P56,100),0)</f>
        <v>0</v>
      </c>
      <c r="R56" s="40" t="n">
        <f aca="false">IFERROR(CEILING(800/(100*D56),1)*100,0)</f>
        <v>0</v>
      </c>
      <c r="S56" s="41"/>
      <c r="T56" s="39" t="n">
        <f aca="false">IFERROR(S56*D56,0)</f>
        <v>0</v>
      </c>
      <c r="U56" s="38" t="n">
        <f aca="false">IFERROR(T56/INDEX(账户总表!$B:$B,MATCH($A56,账户总表!$A:$A,0)),0)</f>
        <v>0</v>
      </c>
      <c r="V56" s="38" t="n">
        <f aca="false">IFERROR(INDEX(账户总表!$E:$E,MATCH($A56,账户总表!$A:$A,0))+U56,0)</f>
        <v>0</v>
      </c>
      <c r="W56" s="37" t="str">
        <f aca="false">IF($A56="","",IFERROR(IF(V56&lt;=INDEX(账户总表!$N:$N,MATCH($A56,账户总表!$A:$A,0)),"是","否"),"否"))</f>
        <v/>
      </c>
      <c r="X56" s="39" t="str">
        <f aca="false">IF($A56="","",MAX(F56*0.98,D56*0.92))</f>
        <v/>
      </c>
      <c r="Y56" s="34"/>
      <c r="Z56" s="37" t="str">
        <f aca="false">IF($A56="","",IFERROR(IF(AND(T56&gt;INDEX(账户总表!$C:$C,MATCH($A56,账户总表!$A:$A,0)),L56="是"),"是","否"),"否"))</f>
        <v/>
      </c>
      <c r="AA56" s="39" t="str">
        <f aca="false">IF($A56="","",IFERROR(IF(Z56="是",MAX(0,T56-INDEX(账户总表!$C:$C,MATCH($A56,账户总表!$A:$A,0)),IF(N56&gt;0,T56/N56-INDEX(账户总表!$B:$B,MATCH($A56,账户总表!$A:$A,0)),0)),0),0))</f>
        <v/>
      </c>
      <c r="AB56" s="39" t="str">
        <f aca="false">IF($A56="","",IF(AND(Z56="是",INDEX(账户总表!$U:$U,MATCH($A56,账户总表!$A:$A,0))="是"),IF(INDEX(账户总表!$L:$L,MATCH($A56,账户总表!$A:$A,0))&gt;=4,AA56*1.5,AA56),0))</f>
        <v/>
      </c>
      <c r="AC56" s="42" t="str">
        <f aca="false">IF($A56="","",IF(AND(L56="是",Q56&gt;=R56,S56&lt;=Q56,S56&gt;=R56,W56="是",X56&gt;0,M56="是",INDEX(账户总表!$M:$M,MATCH($A56,账户总表!$A:$A,0))&lt;=2,INDEX(账户总表!$V:$V,MATCH($A56,账户总表!$A:$A,0))="是",OR(T56&lt;=INDEX(账户总表!$C:$C,MATCH($A56,账户总表!$A:$A,0)),AND(Z56="是",INDEX(账户总表!$U:$U,MATCH($A56,账户总表!$A:$A,0))="是",AB56&gt;0))),"是","否"))</f>
        <v/>
      </c>
      <c r="AD56" s="37" t="str">
        <f aca="false">IF($A56="","",IF(L56&lt;&gt;"是","信号未确认",IF(X56&lt;=0,"止损价未定义",IF(Q56&lt;R56,"100股约束不满足",IF(S56&gt;Q56,"计划股数超单股上限",IF(S56&lt;R56,"计划股数低于最小门槛",IF(W56&lt;&gt;"是","总仓位超限",IF(M56&lt;&gt;"是","追价",IF(INDEX(账户总表!$M:$M,MATCH($A56,账户总表!$A:$A,0))&gt;2,"亏钱效应偏高",IF(INDEX(账户总表!$V:$V,MATCH($A56,账户总表!$A:$A,0))&lt;&gt;"是","账户不允许新开仓",IF(AND(T56&gt;INDEX(账户总表!$C:$C,MATCH($A56,账户总表!$A:$A,0)),INDEX(账户总表!$U:$U,MATCH($A56,账户总表!$A:$A,0))&lt;&gt;"是"),"现金不足且不允许转入",IF(AND(Z56="是",AB56&lt;=0),"转入金额未满足",""))))))))))))</f>
        <v/>
      </c>
      <c r="AE56" s="33"/>
    </row>
    <row r="57" customFormat="false" ht="15" hidden="false" customHeight="true" outlineLevel="0" collapsed="false">
      <c r="A57" s="32"/>
      <c r="B57" s="33"/>
      <c r="C57" s="34"/>
      <c r="D57" s="35"/>
      <c r="E57" s="35"/>
      <c r="F57" s="35"/>
      <c r="G57" s="36"/>
      <c r="H57" s="34"/>
      <c r="I57" s="34"/>
      <c r="J57" s="33"/>
      <c r="K57" s="37" t="str">
        <f aca="false">IF($A57="","",IF(AND(G57&lt;45%,H57&gt;=0.9),"A",IF(AND(G57&lt;60%,H57&gt;0.8),"B","C")))</f>
        <v/>
      </c>
      <c r="L57" s="37" t="str">
        <f aca="false">IF($A57="","",IF(AND(G57&lt;60%,H57&gt;0.8,I57="True"),"是","否"))</f>
        <v/>
      </c>
      <c r="M57" s="37" t="str">
        <f aca="false">IF($A57="","",IF(AND(D57&gt;0,E57&gt;0,D57&lt;=E57*1.02),"是","否"))</f>
        <v/>
      </c>
      <c r="N57" s="38" t="n">
        <f aca="false">IFERROR(INDEX(账户总表!$O:$O,MATCH($A57,账户总表!$A:$A,0)),0)</f>
        <v>0</v>
      </c>
      <c r="O57" s="39" t="n">
        <f aca="false">IFERROR(INDEX(账户总表!$B:$B,MATCH($A57,账户总表!$A:$A,0))*N57,0)</f>
        <v>0</v>
      </c>
      <c r="P57" s="40" t="n">
        <f aca="false">IFERROR(O57/D57,0)</f>
        <v>0</v>
      </c>
      <c r="Q57" s="40" t="n">
        <f aca="false">IFERROR(FLOOR(P57,100),0)</f>
        <v>0</v>
      </c>
      <c r="R57" s="40" t="n">
        <f aca="false">IFERROR(CEILING(800/(100*D57),1)*100,0)</f>
        <v>0</v>
      </c>
      <c r="S57" s="41"/>
      <c r="T57" s="39" t="n">
        <f aca="false">IFERROR(S57*D57,0)</f>
        <v>0</v>
      </c>
      <c r="U57" s="38" t="n">
        <f aca="false">IFERROR(T57/INDEX(账户总表!$B:$B,MATCH($A57,账户总表!$A:$A,0)),0)</f>
        <v>0</v>
      </c>
      <c r="V57" s="38" t="n">
        <f aca="false">IFERROR(INDEX(账户总表!$E:$E,MATCH($A57,账户总表!$A:$A,0))+U57,0)</f>
        <v>0</v>
      </c>
      <c r="W57" s="37" t="str">
        <f aca="false">IF($A57="","",IFERROR(IF(V57&lt;=INDEX(账户总表!$N:$N,MATCH($A57,账户总表!$A:$A,0)),"是","否"),"否"))</f>
        <v/>
      </c>
      <c r="X57" s="39" t="str">
        <f aca="false">IF($A57="","",MAX(F57*0.98,D57*0.92))</f>
        <v/>
      </c>
      <c r="Y57" s="34"/>
      <c r="Z57" s="37" t="str">
        <f aca="false">IF($A57="","",IFERROR(IF(AND(T57&gt;INDEX(账户总表!$C:$C,MATCH($A57,账户总表!$A:$A,0)),L57="是"),"是","否"),"否"))</f>
        <v/>
      </c>
      <c r="AA57" s="39" t="str">
        <f aca="false">IF($A57="","",IFERROR(IF(Z57="是",MAX(0,T57-INDEX(账户总表!$C:$C,MATCH($A57,账户总表!$A:$A,0)),IF(N57&gt;0,T57/N57-INDEX(账户总表!$B:$B,MATCH($A57,账户总表!$A:$A,0)),0)),0),0))</f>
        <v/>
      </c>
      <c r="AB57" s="39" t="str">
        <f aca="false">IF($A57="","",IF(AND(Z57="是",INDEX(账户总表!$U:$U,MATCH($A57,账户总表!$A:$A,0))="是"),IF(INDEX(账户总表!$L:$L,MATCH($A57,账户总表!$A:$A,0))&gt;=4,AA57*1.5,AA57),0))</f>
        <v/>
      </c>
      <c r="AC57" s="42" t="str">
        <f aca="false">IF($A57="","",IF(AND(L57="是",Q57&gt;=R57,S57&lt;=Q57,S57&gt;=R57,W57="是",X57&gt;0,M57="是",INDEX(账户总表!$M:$M,MATCH($A57,账户总表!$A:$A,0))&lt;=2,INDEX(账户总表!$V:$V,MATCH($A57,账户总表!$A:$A,0))="是",OR(T57&lt;=INDEX(账户总表!$C:$C,MATCH($A57,账户总表!$A:$A,0)),AND(Z57="是",INDEX(账户总表!$U:$U,MATCH($A57,账户总表!$A:$A,0))="是",AB57&gt;0))),"是","否"))</f>
        <v/>
      </c>
      <c r="AD57" s="37" t="str">
        <f aca="false">IF($A57="","",IF(L57&lt;&gt;"是","信号未确认",IF(X57&lt;=0,"止损价未定义",IF(Q57&lt;R57,"100股约束不满足",IF(S57&gt;Q57,"计划股数超单股上限",IF(S57&lt;R57,"计划股数低于最小门槛",IF(W57&lt;&gt;"是","总仓位超限",IF(M57&lt;&gt;"是","追价",IF(INDEX(账户总表!$M:$M,MATCH($A57,账户总表!$A:$A,0))&gt;2,"亏钱效应偏高",IF(INDEX(账户总表!$V:$V,MATCH($A57,账户总表!$A:$A,0))&lt;&gt;"是","账户不允许新开仓",IF(AND(T57&gt;INDEX(账户总表!$C:$C,MATCH($A57,账户总表!$A:$A,0)),INDEX(账户总表!$U:$U,MATCH($A57,账户总表!$A:$A,0))&lt;&gt;"是"),"现金不足且不允许转入",IF(AND(Z57="是",AB57&lt;=0),"转入金额未满足",""))))))))))))</f>
        <v/>
      </c>
      <c r="AE57" s="33"/>
    </row>
    <row r="58" customFormat="false" ht="15" hidden="false" customHeight="true" outlineLevel="0" collapsed="false">
      <c r="A58" s="32"/>
      <c r="B58" s="33"/>
      <c r="C58" s="34"/>
      <c r="D58" s="35"/>
      <c r="E58" s="35"/>
      <c r="F58" s="35"/>
      <c r="G58" s="36"/>
      <c r="H58" s="34"/>
      <c r="I58" s="34"/>
      <c r="J58" s="33"/>
      <c r="K58" s="37" t="str">
        <f aca="false">IF($A58="","",IF(AND(G58&lt;45%,H58&gt;=0.9),"A",IF(AND(G58&lt;60%,H58&gt;0.8),"B","C")))</f>
        <v/>
      </c>
      <c r="L58" s="37" t="str">
        <f aca="false">IF($A58="","",IF(AND(G58&lt;60%,H58&gt;0.8,I58="True"),"是","否"))</f>
        <v/>
      </c>
      <c r="M58" s="37" t="str">
        <f aca="false">IF($A58="","",IF(AND(D58&gt;0,E58&gt;0,D58&lt;=E58*1.02),"是","否"))</f>
        <v/>
      </c>
      <c r="N58" s="38" t="n">
        <f aca="false">IFERROR(INDEX(账户总表!$O:$O,MATCH($A58,账户总表!$A:$A,0)),0)</f>
        <v>0</v>
      </c>
      <c r="O58" s="39" t="n">
        <f aca="false">IFERROR(INDEX(账户总表!$B:$B,MATCH($A58,账户总表!$A:$A,0))*N58,0)</f>
        <v>0</v>
      </c>
      <c r="P58" s="40" t="n">
        <f aca="false">IFERROR(O58/D58,0)</f>
        <v>0</v>
      </c>
      <c r="Q58" s="40" t="n">
        <f aca="false">IFERROR(FLOOR(P58,100),0)</f>
        <v>0</v>
      </c>
      <c r="R58" s="40" t="n">
        <f aca="false">IFERROR(CEILING(800/(100*D58),1)*100,0)</f>
        <v>0</v>
      </c>
      <c r="S58" s="41"/>
      <c r="T58" s="39" t="n">
        <f aca="false">IFERROR(S58*D58,0)</f>
        <v>0</v>
      </c>
      <c r="U58" s="38" t="n">
        <f aca="false">IFERROR(T58/INDEX(账户总表!$B:$B,MATCH($A58,账户总表!$A:$A,0)),0)</f>
        <v>0</v>
      </c>
      <c r="V58" s="38" t="n">
        <f aca="false">IFERROR(INDEX(账户总表!$E:$E,MATCH($A58,账户总表!$A:$A,0))+U58,0)</f>
        <v>0</v>
      </c>
      <c r="W58" s="37" t="str">
        <f aca="false">IF($A58="","",IFERROR(IF(V58&lt;=INDEX(账户总表!$N:$N,MATCH($A58,账户总表!$A:$A,0)),"是","否"),"否"))</f>
        <v/>
      </c>
      <c r="X58" s="39" t="str">
        <f aca="false">IF($A58="","",MAX(F58*0.98,D58*0.92))</f>
        <v/>
      </c>
      <c r="Y58" s="34"/>
      <c r="Z58" s="37" t="str">
        <f aca="false">IF($A58="","",IFERROR(IF(AND(T58&gt;INDEX(账户总表!$C:$C,MATCH($A58,账户总表!$A:$A,0)),L58="是"),"是","否"),"否"))</f>
        <v/>
      </c>
      <c r="AA58" s="39" t="str">
        <f aca="false">IF($A58="","",IFERROR(IF(Z58="是",MAX(0,T58-INDEX(账户总表!$C:$C,MATCH($A58,账户总表!$A:$A,0)),IF(N58&gt;0,T58/N58-INDEX(账户总表!$B:$B,MATCH($A58,账户总表!$A:$A,0)),0)),0),0))</f>
        <v/>
      </c>
      <c r="AB58" s="39" t="str">
        <f aca="false">IF($A58="","",IF(AND(Z58="是",INDEX(账户总表!$U:$U,MATCH($A58,账户总表!$A:$A,0))="是"),IF(INDEX(账户总表!$L:$L,MATCH($A58,账户总表!$A:$A,0))&gt;=4,AA58*1.5,AA58),0))</f>
        <v/>
      </c>
      <c r="AC58" s="42" t="str">
        <f aca="false">IF($A58="","",IF(AND(L58="是",Q58&gt;=R58,S58&lt;=Q58,S58&gt;=R58,W58="是",X58&gt;0,M58="是",INDEX(账户总表!$M:$M,MATCH($A58,账户总表!$A:$A,0))&lt;=2,INDEX(账户总表!$V:$V,MATCH($A58,账户总表!$A:$A,0))="是",OR(T58&lt;=INDEX(账户总表!$C:$C,MATCH($A58,账户总表!$A:$A,0)),AND(Z58="是",INDEX(账户总表!$U:$U,MATCH($A58,账户总表!$A:$A,0))="是",AB58&gt;0))),"是","否"))</f>
        <v/>
      </c>
      <c r="AD58" s="37" t="str">
        <f aca="false">IF($A58="","",IF(L58&lt;&gt;"是","信号未确认",IF(X58&lt;=0,"止损价未定义",IF(Q58&lt;R58,"100股约束不满足",IF(S58&gt;Q58,"计划股数超单股上限",IF(S58&lt;R58,"计划股数低于最小门槛",IF(W58&lt;&gt;"是","总仓位超限",IF(M58&lt;&gt;"是","追价",IF(INDEX(账户总表!$M:$M,MATCH($A58,账户总表!$A:$A,0))&gt;2,"亏钱效应偏高",IF(INDEX(账户总表!$V:$V,MATCH($A58,账户总表!$A:$A,0))&lt;&gt;"是","账户不允许新开仓",IF(AND(T58&gt;INDEX(账户总表!$C:$C,MATCH($A58,账户总表!$A:$A,0)),INDEX(账户总表!$U:$U,MATCH($A58,账户总表!$A:$A,0))&lt;&gt;"是"),"现金不足且不允许转入",IF(AND(Z58="是",AB58&lt;=0),"转入金额未满足",""))))))))))))</f>
        <v/>
      </c>
      <c r="AE58" s="33"/>
    </row>
    <row r="59" customFormat="false" ht="15" hidden="false" customHeight="true" outlineLevel="0" collapsed="false">
      <c r="A59" s="32"/>
      <c r="B59" s="33"/>
      <c r="C59" s="34"/>
      <c r="D59" s="35"/>
      <c r="E59" s="35"/>
      <c r="F59" s="35"/>
      <c r="G59" s="36"/>
      <c r="H59" s="34"/>
      <c r="I59" s="34"/>
      <c r="J59" s="33"/>
      <c r="K59" s="37" t="str">
        <f aca="false">IF($A59="","",IF(AND(G59&lt;45%,H59&gt;=0.9),"A",IF(AND(G59&lt;60%,H59&gt;0.8),"B","C")))</f>
        <v/>
      </c>
      <c r="L59" s="37" t="str">
        <f aca="false">IF($A59="","",IF(AND(G59&lt;60%,H59&gt;0.8,I59="True"),"是","否"))</f>
        <v/>
      </c>
      <c r="M59" s="37" t="str">
        <f aca="false">IF($A59="","",IF(AND(D59&gt;0,E59&gt;0,D59&lt;=E59*1.02),"是","否"))</f>
        <v/>
      </c>
      <c r="N59" s="38" t="n">
        <f aca="false">IFERROR(INDEX(账户总表!$O:$O,MATCH($A59,账户总表!$A:$A,0)),0)</f>
        <v>0</v>
      </c>
      <c r="O59" s="39" t="n">
        <f aca="false">IFERROR(INDEX(账户总表!$B:$B,MATCH($A59,账户总表!$A:$A,0))*N59,0)</f>
        <v>0</v>
      </c>
      <c r="P59" s="40" t="n">
        <f aca="false">IFERROR(O59/D59,0)</f>
        <v>0</v>
      </c>
      <c r="Q59" s="40" t="n">
        <f aca="false">IFERROR(FLOOR(P59,100),0)</f>
        <v>0</v>
      </c>
      <c r="R59" s="40" t="n">
        <f aca="false">IFERROR(CEILING(800/(100*D59),1)*100,0)</f>
        <v>0</v>
      </c>
      <c r="S59" s="41"/>
      <c r="T59" s="39" t="n">
        <f aca="false">IFERROR(S59*D59,0)</f>
        <v>0</v>
      </c>
      <c r="U59" s="38" t="n">
        <f aca="false">IFERROR(T59/INDEX(账户总表!$B:$B,MATCH($A59,账户总表!$A:$A,0)),0)</f>
        <v>0</v>
      </c>
      <c r="V59" s="38" t="n">
        <f aca="false">IFERROR(INDEX(账户总表!$E:$E,MATCH($A59,账户总表!$A:$A,0))+U59,0)</f>
        <v>0</v>
      </c>
      <c r="W59" s="37" t="str">
        <f aca="false">IF($A59="","",IFERROR(IF(V59&lt;=INDEX(账户总表!$N:$N,MATCH($A59,账户总表!$A:$A,0)),"是","否"),"否"))</f>
        <v/>
      </c>
      <c r="X59" s="39" t="str">
        <f aca="false">IF($A59="","",MAX(F59*0.98,D59*0.92))</f>
        <v/>
      </c>
      <c r="Y59" s="34"/>
      <c r="Z59" s="37" t="str">
        <f aca="false">IF($A59="","",IFERROR(IF(AND(T59&gt;INDEX(账户总表!$C:$C,MATCH($A59,账户总表!$A:$A,0)),L59="是"),"是","否"),"否"))</f>
        <v/>
      </c>
      <c r="AA59" s="39" t="str">
        <f aca="false">IF($A59="","",IFERROR(IF(Z59="是",MAX(0,T59-INDEX(账户总表!$C:$C,MATCH($A59,账户总表!$A:$A,0)),IF(N59&gt;0,T59/N59-INDEX(账户总表!$B:$B,MATCH($A59,账户总表!$A:$A,0)),0)),0),0))</f>
        <v/>
      </c>
      <c r="AB59" s="39" t="str">
        <f aca="false">IF($A59="","",IF(AND(Z59="是",INDEX(账户总表!$U:$U,MATCH($A59,账户总表!$A:$A,0))="是"),IF(INDEX(账户总表!$L:$L,MATCH($A59,账户总表!$A:$A,0))&gt;=4,AA59*1.5,AA59),0))</f>
        <v/>
      </c>
      <c r="AC59" s="42" t="str">
        <f aca="false">IF($A59="","",IF(AND(L59="是",Q59&gt;=R59,S59&lt;=Q59,S59&gt;=R59,W59="是",X59&gt;0,M59="是",INDEX(账户总表!$M:$M,MATCH($A59,账户总表!$A:$A,0))&lt;=2,INDEX(账户总表!$V:$V,MATCH($A59,账户总表!$A:$A,0))="是",OR(T59&lt;=INDEX(账户总表!$C:$C,MATCH($A59,账户总表!$A:$A,0)),AND(Z59="是",INDEX(账户总表!$U:$U,MATCH($A59,账户总表!$A:$A,0))="是",AB59&gt;0))),"是","否"))</f>
        <v/>
      </c>
      <c r="AD59" s="37" t="str">
        <f aca="false">IF($A59="","",IF(L59&lt;&gt;"是","信号未确认",IF(X59&lt;=0,"止损价未定义",IF(Q59&lt;R59,"100股约束不满足",IF(S59&gt;Q59,"计划股数超单股上限",IF(S59&lt;R59,"计划股数低于最小门槛",IF(W59&lt;&gt;"是","总仓位超限",IF(M59&lt;&gt;"是","追价",IF(INDEX(账户总表!$M:$M,MATCH($A59,账户总表!$A:$A,0))&gt;2,"亏钱效应偏高",IF(INDEX(账户总表!$V:$V,MATCH($A59,账户总表!$A:$A,0))&lt;&gt;"是","账户不允许新开仓",IF(AND(T59&gt;INDEX(账户总表!$C:$C,MATCH($A59,账户总表!$A:$A,0)),INDEX(账户总表!$U:$U,MATCH($A59,账户总表!$A:$A,0))&lt;&gt;"是"),"现金不足且不允许转入",IF(AND(Z59="是",AB59&lt;=0),"转入金额未满足",""))))))))))))</f>
        <v/>
      </c>
      <c r="AE59" s="33"/>
    </row>
    <row r="60" customFormat="false" ht="15" hidden="false" customHeight="true" outlineLevel="0" collapsed="false">
      <c r="A60" s="32"/>
      <c r="B60" s="33"/>
      <c r="C60" s="34"/>
      <c r="D60" s="35"/>
      <c r="E60" s="35"/>
      <c r="F60" s="35"/>
      <c r="G60" s="36"/>
      <c r="H60" s="34"/>
      <c r="I60" s="34"/>
      <c r="J60" s="33"/>
      <c r="K60" s="37" t="str">
        <f aca="false">IF($A60="","",IF(AND(G60&lt;45%,H60&gt;=0.9),"A",IF(AND(G60&lt;60%,H60&gt;0.8),"B","C")))</f>
        <v/>
      </c>
      <c r="L60" s="37" t="str">
        <f aca="false">IF($A60="","",IF(AND(G60&lt;60%,H60&gt;0.8,I60="True"),"是","否"))</f>
        <v/>
      </c>
      <c r="M60" s="37" t="str">
        <f aca="false">IF($A60="","",IF(AND(D60&gt;0,E60&gt;0,D60&lt;=E60*1.02),"是","否"))</f>
        <v/>
      </c>
      <c r="N60" s="38" t="n">
        <f aca="false">IFERROR(INDEX(账户总表!$O:$O,MATCH($A60,账户总表!$A:$A,0)),0)</f>
        <v>0</v>
      </c>
      <c r="O60" s="39" t="n">
        <f aca="false">IFERROR(INDEX(账户总表!$B:$B,MATCH($A60,账户总表!$A:$A,0))*N60,0)</f>
        <v>0</v>
      </c>
      <c r="P60" s="40" t="n">
        <f aca="false">IFERROR(O60/D60,0)</f>
        <v>0</v>
      </c>
      <c r="Q60" s="40" t="n">
        <f aca="false">IFERROR(FLOOR(P60,100),0)</f>
        <v>0</v>
      </c>
      <c r="R60" s="40" t="n">
        <f aca="false">IFERROR(CEILING(800/(100*D60),1)*100,0)</f>
        <v>0</v>
      </c>
      <c r="S60" s="41"/>
      <c r="T60" s="39" t="n">
        <f aca="false">IFERROR(S60*D60,0)</f>
        <v>0</v>
      </c>
      <c r="U60" s="38" t="n">
        <f aca="false">IFERROR(T60/INDEX(账户总表!$B:$B,MATCH($A60,账户总表!$A:$A,0)),0)</f>
        <v>0</v>
      </c>
      <c r="V60" s="38" t="n">
        <f aca="false">IFERROR(INDEX(账户总表!$E:$E,MATCH($A60,账户总表!$A:$A,0))+U60,0)</f>
        <v>0</v>
      </c>
      <c r="W60" s="37" t="str">
        <f aca="false">IF($A60="","",IFERROR(IF(V60&lt;=INDEX(账户总表!$N:$N,MATCH($A60,账户总表!$A:$A,0)),"是","否"),"否"))</f>
        <v/>
      </c>
      <c r="X60" s="39" t="str">
        <f aca="false">IF($A60="","",MAX(F60*0.98,D60*0.92))</f>
        <v/>
      </c>
      <c r="Y60" s="34"/>
      <c r="Z60" s="37" t="str">
        <f aca="false">IF($A60="","",IFERROR(IF(AND(T60&gt;INDEX(账户总表!$C:$C,MATCH($A60,账户总表!$A:$A,0)),L60="是"),"是","否"),"否"))</f>
        <v/>
      </c>
      <c r="AA60" s="39" t="str">
        <f aca="false">IF($A60="","",IFERROR(IF(Z60="是",MAX(0,T60-INDEX(账户总表!$C:$C,MATCH($A60,账户总表!$A:$A,0)),IF(N60&gt;0,T60/N60-INDEX(账户总表!$B:$B,MATCH($A60,账户总表!$A:$A,0)),0)),0),0))</f>
        <v/>
      </c>
      <c r="AB60" s="39" t="str">
        <f aca="false">IF($A60="","",IF(AND(Z60="是",INDEX(账户总表!$U:$U,MATCH($A60,账户总表!$A:$A,0))="是"),IF(INDEX(账户总表!$L:$L,MATCH($A60,账户总表!$A:$A,0))&gt;=4,AA60*1.5,AA60),0))</f>
        <v/>
      </c>
      <c r="AC60" s="42" t="str">
        <f aca="false">IF($A60="","",IF(AND(L60="是",Q60&gt;=R60,S60&lt;=Q60,S60&gt;=R60,W60="是",X60&gt;0,M60="是",INDEX(账户总表!$M:$M,MATCH($A60,账户总表!$A:$A,0))&lt;=2,INDEX(账户总表!$V:$V,MATCH($A60,账户总表!$A:$A,0))="是",OR(T60&lt;=INDEX(账户总表!$C:$C,MATCH($A60,账户总表!$A:$A,0)),AND(Z60="是",INDEX(账户总表!$U:$U,MATCH($A60,账户总表!$A:$A,0))="是",AB60&gt;0))),"是","否"))</f>
        <v/>
      </c>
      <c r="AD60" s="37" t="str">
        <f aca="false">IF($A60="","",IF(L60&lt;&gt;"是","信号未确认",IF(X60&lt;=0,"止损价未定义",IF(Q60&lt;R60,"100股约束不满足",IF(S60&gt;Q60,"计划股数超单股上限",IF(S60&lt;R60,"计划股数低于最小门槛",IF(W60&lt;&gt;"是","总仓位超限",IF(M60&lt;&gt;"是","追价",IF(INDEX(账户总表!$M:$M,MATCH($A60,账户总表!$A:$A,0))&gt;2,"亏钱效应偏高",IF(INDEX(账户总表!$V:$V,MATCH($A60,账户总表!$A:$A,0))&lt;&gt;"是","账户不允许新开仓",IF(AND(T60&gt;INDEX(账户总表!$C:$C,MATCH($A60,账户总表!$A:$A,0)),INDEX(账户总表!$U:$U,MATCH($A60,账户总表!$A:$A,0))&lt;&gt;"是"),"现金不足且不允许转入",IF(AND(Z60="是",AB60&lt;=0),"转入金额未满足",""))))))))))))</f>
        <v/>
      </c>
      <c r="AE60" s="33"/>
    </row>
    <row r="61" customFormat="false" ht="15" hidden="false" customHeight="true" outlineLevel="0" collapsed="false">
      <c r="A61" s="32"/>
      <c r="B61" s="33"/>
      <c r="C61" s="34"/>
      <c r="D61" s="35"/>
      <c r="E61" s="35"/>
      <c r="F61" s="35"/>
      <c r="G61" s="36"/>
      <c r="H61" s="34"/>
      <c r="I61" s="34"/>
      <c r="J61" s="33"/>
      <c r="K61" s="37" t="str">
        <f aca="false">IF($A61="","",IF(AND(G61&lt;45%,H61&gt;=0.9),"A",IF(AND(G61&lt;60%,H61&gt;0.8),"B","C")))</f>
        <v/>
      </c>
      <c r="L61" s="37" t="str">
        <f aca="false">IF($A61="","",IF(AND(G61&lt;60%,H61&gt;0.8,I61="True"),"是","否"))</f>
        <v/>
      </c>
      <c r="M61" s="37" t="str">
        <f aca="false">IF($A61="","",IF(AND(D61&gt;0,E61&gt;0,D61&lt;=E61*1.02),"是","否"))</f>
        <v/>
      </c>
      <c r="N61" s="38" t="n">
        <f aca="false">IFERROR(INDEX(账户总表!$O:$O,MATCH($A61,账户总表!$A:$A,0)),0)</f>
        <v>0</v>
      </c>
      <c r="O61" s="39" t="n">
        <f aca="false">IFERROR(INDEX(账户总表!$B:$B,MATCH($A61,账户总表!$A:$A,0))*N61,0)</f>
        <v>0</v>
      </c>
      <c r="P61" s="40" t="n">
        <f aca="false">IFERROR(O61/D61,0)</f>
        <v>0</v>
      </c>
      <c r="Q61" s="40" t="n">
        <f aca="false">IFERROR(FLOOR(P61,100),0)</f>
        <v>0</v>
      </c>
      <c r="R61" s="40" t="n">
        <f aca="false">IFERROR(CEILING(800/(100*D61),1)*100,0)</f>
        <v>0</v>
      </c>
      <c r="S61" s="41"/>
      <c r="T61" s="39" t="n">
        <f aca="false">IFERROR(S61*D61,0)</f>
        <v>0</v>
      </c>
      <c r="U61" s="38" t="n">
        <f aca="false">IFERROR(T61/INDEX(账户总表!$B:$B,MATCH($A61,账户总表!$A:$A,0)),0)</f>
        <v>0</v>
      </c>
      <c r="V61" s="38" t="n">
        <f aca="false">IFERROR(INDEX(账户总表!$E:$E,MATCH($A61,账户总表!$A:$A,0))+U61,0)</f>
        <v>0</v>
      </c>
      <c r="W61" s="37" t="str">
        <f aca="false">IF($A61="","",IFERROR(IF(V61&lt;=INDEX(账户总表!$N:$N,MATCH($A61,账户总表!$A:$A,0)),"是","否"),"否"))</f>
        <v/>
      </c>
      <c r="X61" s="39" t="str">
        <f aca="false">IF($A61="","",MAX(F61*0.98,D61*0.92))</f>
        <v/>
      </c>
      <c r="Y61" s="34"/>
      <c r="Z61" s="37" t="str">
        <f aca="false">IF($A61="","",IFERROR(IF(AND(T61&gt;INDEX(账户总表!$C:$C,MATCH($A61,账户总表!$A:$A,0)),L61="是"),"是","否"),"否"))</f>
        <v/>
      </c>
      <c r="AA61" s="39" t="str">
        <f aca="false">IF($A61="","",IFERROR(IF(Z61="是",MAX(0,T61-INDEX(账户总表!$C:$C,MATCH($A61,账户总表!$A:$A,0)),IF(N61&gt;0,T61/N61-INDEX(账户总表!$B:$B,MATCH($A61,账户总表!$A:$A,0)),0)),0),0))</f>
        <v/>
      </c>
      <c r="AB61" s="39" t="str">
        <f aca="false">IF($A61="","",IF(AND(Z61="是",INDEX(账户总表!$U:$U,MATCH($A61,账户总表!$A:$A,0))="是"),IF(INDEX(账户总表!$L:$L,MATCH($A61,账户总表!$A:$A,0))&gt;=4,AA61*1.5,AA61),0))</f>
        <v/>
      </c>
      <c r="AC61" s="42" t="str">
        <f aca="false">IF($A61="","",IF(AND(L61="是",Q61&gt;=R61,S61&lt;=Q61,S61&gt;=R61,W61="是",X61&gt;0,M61="是",INDEX(账户总表!$M:$M,MATCH($A61,账户总表!$A:$A,0))&lt;=2,INDEX(账户总表!$V:$V,MATCH($A61,账户总表!$A:$A,0))="是",OR(T61&lt;=INDEX(账户总表!$C:$C,MATCH($A61,账户总表!$A:$A,0)),AND(Z61="是",INDEX(账户总表!$U:$U,MATCH($A61,账户总表!$A:$A,0))="是",AB61&gt;0))),"是","否"))</f>
        <v/>
      </c>
      <c r="AD61" s="37" t="str">
        <f aca="false">IF($A61="","",IF(L61&lt;&gt;"是","信号未确认",IF(X61&lt;=0,"止损价未定义",IF(Q61&lt;R61,"100股约束不满足",IF(S61&gt;Q61,"计划股数超单股上限",IF(S61&lt;R61,"计划股数低于最小门槛",IF(W61&lt;&gt;"是","总仓位超限",IF(M61&lt;&gt;"是","追价",IF(INDEX(账户总表!$M:$M,MATCH($A61,账户总表!$A:$A,0))&gt;2,"亏钱效应偏高",IF(INDEX(账户总表!$V:$V,MATCH($A61,账户总表!$A:$A,0))&lt;&gt;"是","账户不允许新开仓",IF(AND(T61&gt;INDEX(账户总表!$C:$C,MATCH($A61,账户总表!$A:$A,0)),INDEX(账户总表!$U:$U,MATCH($A61,账户总表!$A:$A,0))&lt;&gt;"是"),"现金不足且不允许转入",IF(AND(Z61="是",AB61&lt;=0),"转入金额未满足",""))))))))))))</f>
        <v/>
      </c>
      <c r="AE61" s="33"/>
    </row>
    <row r="62" customFormat="false" ht="15" hidden="false" customHeight="true" outlineLevel="0" collapsed="false">
      <c r="A62" s="32"/>
      <c r="B62" s="33"/>
      <c r="C62" s="34"/>
      <c r="D62" s="35"/>
      <c r="E62" s="35"/>
      <c r="F62" s="35"/>
      <c r="G62" s="36"/>
      <c r="H62" s="34"/>
      <c r="I62" s="34"/>
      <c r="J62" s="33"/>
      <c r="K62" s="37" t="str">
        <f aca="false">IF($A62="","",IF(AND(G62&lt;45%,H62&gt;=0.9),"A",IF(AND(G62&lt;60%,H62&gt;0.8),"B","C")))</f>
        <v/>
      </c>
      <c r="L62" s="37" t="str">
        <f aca="false">IF($A62="","",IF(AND(G62&lt;60%,H62&gt;0.8,I62="True"),"是","否"))</f>
        <v/>
      </c>
      <c r="M62" s="37" t="str">
        <f aca="false">IF($A62="","",IF(AND(D62&gt;0,E62&gt;0,D62&lt;=E62*1.02),"是","否"))</f>
        <v/>
      </c>
      <c r="N62" s="38" t="n">
        <f aca="false">IFERROR(INDEX(账户总表!$O:$O,MATCH($A62,账户总表!$A:$A,0)),0)</f>
        <v>0</v>
      </c>
      <c r="O62" s="39" t="n">
        <f aca="false">IFERROR(INDEX(账户总表!$B:$B,MATCH($A62,账户总表!$A:$A,0))*N62,0)</f>
        <v>0</v>
      </c>
      <c r="P62" s="40" t="n">
        <f aca="false">IFERROR(O62/D62,0)</f>
        <v>0</v>
      </c>
      <c r="Q62" s="40" t="n">
        <f aca="false">IFERROR(FLOOR(P62,100),0)</f>
        <v>0</v>
      </c>
      <c r="R62" s="40" t="n">
        <f aca="false">IFERROR(CEILING(800/(100*D62),1)*100,0)</f>
        <v>0</v>
      </c>
      <c r="S62" s="41"/>
      <c r="T62" s="39" t="n">
        <f aca="false">IFERROR(S62*D62,0)</f>
        <v>0</v>
      </c>
      <c r="U62" s="38" t="n">
        <f aca="false">IFERROR(T62/INDEX(账户总表!$B:$B,MATCH($A62,账户总表!$A:$A,0)),0)</f>
        <v>0</v>
      </c>
      <c r="V62" s="38" t="n">
        <f aca="false">IFERROR(INDEX(账户总表!$E:$E,MATCH($A62,账户总表!$A:$A,0))+U62,0)</f>
        <v>0</v>
      </c>
      <c r="W62" s="37" t="str">
        <f aca="false">IF($A62="","",IFERROR(IF(V62&lt;=INDEX(账户总表!$N:$N,MATCH($A62,账户总表!$A:$A,0)),"是","否"),"否"))</f>
        <v/>
      </c>
      <c r="X62" s="39" t="str">
        <f aca="false">IF($A62="","",MAX(F62*0.98,D62*0.92))</f>
        <v/>
      </c>
      <c r="Y62" s="34"/>
      <c r="Z62" s="37" t="str">
        <f aca="false">IF($A62="","",IFERROR(IF(AND(T62&gt;INDEX(账户总表!$C:$C,MATCH($A62,账户总表!$A:$A,0)),L62="是"),"是","否"),"否"))</f>
        <v/>
      </c>
      <c r="AA62" s="39" t="str">
        <f aca="false">IF($A62="","",IFERROR(IF(Z62="是",MAX(0,T62-INDEX(账户总表!$C:$C,MATCH($A62,账户总表!$A:$A,0)),IF(N62&gt;0,T62/N62-INDEX(账户总表!$B:$B,MATCH($A62,账户总表!$A:$A,0)),0)),0),0))</f>
        <v/>
      </c>
      <c r="AB62" s="39" t="str">
        <f aca="false">IF($A62="","",IF(AND(Z62="是",INDEX(账户总表!$U:$U,MATCH($A62,账户总表!$A:$A,0))="是"),IF(INDEX(账户总表!$L:$L,MATCH($A62,账户总表!$A:$A,0))&gt;=4,AA62*1.5,AA62),0))</f>
        <v/>
      </c>
      <c r="AC62" s="42" t="str">
        <f aca="false">IF($A62="","",IF(AND(L62="是",Q62&gt;=R62,S62&lt;=Q62,S62&gt;=R62,W62="是",X62&gt;0,M62="是",INDEX(账户总表!$M:$M,MATCH($A62,账户总表!$A:$A,0))&lt;=2,INDEX(账户总表!$V:$V,MATCH($A62,账户总表!$A:$A,0))="是",OR(T62&lt;=INDEX(账户总表!$C:$C,MATCH($A62,账户总表!$A:$A,0)),AND(Z62="是",INDEX(账户总表!$U:$U,MATCH($A62,账户总表!$A:$A,0))="是",AB62&gt;0))),"是","否"))</f>
        <v/>
      </c>
      <c r="AD62" s="37" t="str">
        <f aca="false">IF($A62="","",IF(L62&lt;&gt;"是","信号未确认",IF(X62&lt;=0,"止损价未定义",IF(Q62&lt;R62,"100股约束不满足",IF(S62&gt;Q62,"计划股数超单股上限",IF(S62&lt;R62,"计划股数低于最小门槛",IF(W62&lt;&gt;"是","总仓位超限",IF(M62&lt;&gt;"是","追价",IF(INDEX(账户总表!$M:$M,MATCH($A62,账户总表!$A:$A,0))&gt;2,"亏钱效应偏高",IF(INDEX(账户总表!$V:$V,MATCH($A62,账户总表!$A:$A,0))&lt;&gt;"是","账户不允许新开仓",IF(AND(T62&gt;INDEX(账户总表!$C:$C,MATCH($A62,账户总表!$A:$A,0)),INDEX(账户总表!$U:$U,MATCH($A62,账户总表!$A:$A,0))&lt;&gt;"是"),"现金不足且不允许转入",IF(AND(Z62="是",AB62&lt;=0),"转入金额未满足",""))))))))))))</f>
        <v/>
      </c>
      <c r="AE62" s="33"/>
    </row>
    <row r="63" customFormat="false" ht="15" hidden="false" customHeight="true" outlineLevel="0" collapsed="false">
      <c r="A63" s="32"/>
      <c r="B63" s="33"/>
      <c r="C63" s="34"/>
      <c r="D63" s="35"/>
      <c r="E63" s="35"/>
      <c r="F63" s="35"/>
      <c r="G63" s="36"/>
      <c r="H63" s="34"/>
      <c r="I63" s="34"/>
      <c r="J63" s="33"/>
      <c r="K63" s="37" t="str">
        <f aca="false">IF($A63="","",IF(AND(G63&lt;45%,H63&gt;=0.9),"A",IF(AND(G63&lt;60%,H63&gt;0.8),"B","C")))</f>
        <v/>
      </c>
      <c r="L63" s="37" t="str">
        <f aca="false">IF($A63="","",IF(AND(G63&lt;60%,H63&gt;0.8,I63="True"),"是","否"))</f>
        <v/>
      </c>
      <c r="M63" s="37" t="str">
        <f aca="false">IF($A63="","",IF(AND(D63&gt;0,E63&gt;0,D63&lt;=E63*1.02),"是","否"))</f>
        <v/>
      </c>
      <c r="N63" s="38" t="n">
        <f aca="false">IFERROR(INDEX(账户总表!$O:$O,MATCH($A63,账户总表!$A:$A,0)),0)</f>
        <v>0</v>
      </c>
      <c r="O63" s="39" t="n">
        <f aca="false">IFERROR(INDEX(账户总表!$B:$B,MATCH($A63,账户总表!$A:$A,0))*N63,0)</f>
        <v>0</v>
      </c>
      <c r="P63" s="40" t="n">
        <f aca="false">IFERROR(O63/D63,0)</f>
        <v>0</v>
      </c>
      <c r="Q63" s="40" t="n">
        <f aca="false">IFERROR(FLOOR(P63,100),0)</f>
        <v>0</v>
      </c>
      <c r="R63" s="40" t="n">
        <f aca="false">IFERROR(CEILING(800/(100*D63),1)*100,0)</f>
        <v>0</v>
      </c>
      <c r="S63" s="41"/>
      <c r="T63" s="39" t="n">
        <f aca="false">IFERROR(S63*D63,0)</f>
        <v>0</v>
      </c>
      <c r="U63" s="38" t="n">
        <f aca="false">IFERROR(T63/INDEX(账户总表!$B:$B,MATCH($A63,账户总表!$A:$A,0)),0)</f>
        <v>0</v>
      </c>
      <c r="V63" s="38" t="n">
        <f aca="false">IFERROR(INDEX(账户总表!$E:$E,MATCH($A63,账户总表!$A:$A,0))+U63,0)</f>
        <v>0</v>
      </c>
      <c r="W63" s="37" t="str">
        <f aca="false">IF($A63="","",IFERROR(IF(V63&lt;=INDEX(账户总表!$N:$N,MATCH($A63,账户总表!$A:$A,0)),"是","否"),"否"))</f>
        <v/>
      </c>
      <c r="X63" s="39" t="str">
        <f aca="false">IF($A63="","",MAX(F63*0.98,D63*0.92))</f>
        <v/>
      </c>
      <c r="Y63" s="34"/>
      <c r="Z63" s="37" t="str">
        <f aca="false">IF($A63="","",IFERROR(IF(AND(T63&gt;INDEX(账户总表!$C:$C,MATCH($A63,账户总表!$A:$A,0)),L63="是"),"是","否"),"否"))</f>
        <v/>
      </c>
      <c r="AA63" s="39" t="str">
        <f aca="false">IF($A63="","",IFERROR(IF(Z63="是",MAX(0,T63-INDEX(账户总表!$C:$C,MATCH($A63,账户总表!$A:$A,0)),IF(N63&gt;0,T63/N63-INDEX(账户总表!$B:$B,MATCH($A63,账户总表!$A:$A,0)),0)),0),0))</f>
        <v/>
      </c>
      <c r="AB63" s="39" t="str">
        <f aca="false">IF($A63="","",IF(AND(Z63="是",INDEX(账户总表!$U:$U,MATCH($A63,账户总表!$A:$A,0))="是"),IF(INDEX(账户总表!$L:$L,MATCH($A63,账户总表!$A:$A,0))&gt;=4,AA63*1.5,AA63),0))</f>
        <v/>
      </c>
      <c r="AC63" s="42" t="str">
        <f aca="false">IF($A63="","",IF(AND(L63="是",Q63&gt;=R63,S63&lt;=Q63,S63&gt;=R63,W63="是",X63&gt;0,M63="是",INDEX(账户总表!$M:$M,MATCH($A63,账户总表!$A:$A,0))&lt;=2,INDEX(账户总表!$V:$V,MATCH($A63,账户总表!$A:$A,0))="是",OR(T63&lt;=INDEX(账户总表!$C:$C,MATCH($A63,账户总表!$A:$A,0)),AND(Z63="是",INDEX(账户总表!$U:$U,MATCH($A63,账户总表!$A:$A,0))="是",AB63&gt;0))),"是","否"))</f>
        <v/>
      </c>
      <c r="AD63" s="37" t="str">
        <f aca="false">IF($A63="","",IF(L63&lt;&gt;"是","信号未确认",IF(X63&lt;=0,"止损价未定义",IF(Q63&lt;R63,"100股约束不满足",IF(S63&gt;Q63,"计划股数超单股上限",IF(S63&lt;R63,"计划股数低于最小门槛",IF(W63&lt;&gt;"是","总仓位超限",IF(M63&lt;&gt;"是","追价",IF(INDEX(账户总表!$M:$M,MATCH($A63,账户总表!$A:$A,0))&gt;2,"亏钱效应偏高",IF(INDEX(账户总表!$V:$V,MATCH($A63,账户总表!$A:$A,0))&lt;&gt;"是","账户不允许新开仓",IF(AND(T63&gt;INDEX(账户总表!$C:$C,MATCH($A63,账户总表!$A:$A,0)),INDEX(账户总表!$U:$U,MATCH($A63,账户总表!$A:$A,0))&lt;&gt;"是"),"现金不足且不允许转入",IF(AND(Z63="是",AB63&lt;=0),"转入金额未满足",""))))))))))))</f>
        <v/>
      </c>
      <c r="AE63" s="33"/>
    </row>
    <row r="64" customFormat="false" ht="15" hidden="false" customHeight="true" outlineLevel="0" collapsed="false">
      <c r="A64" s="32"/>
      <c r="B64" s="33"/>
      <c r="C64" s="34"/>
      <c r="D64" s="35"/>
      <c r="E64" s="35"/>
      <c r="F64" s="35"/>
      <c r="G64" s="36"/>
      <c r="H64" s="34"/>
      <c r="I64" s="34"/>
      <c r="J64" s="33"/>
      <c r="K64" s="37" t="str">
        <f aca="false">IF($A64="","",IF(AND(G64&lt;45%,H64&gt;=0.9),"A",IF(AND(G64&lt;60%,H64&gt;0.8),"B","C")))</f>
        <v/>
      </c>
      <c r="L64" s="37" t="str">
        <f aca="false">IF($A64="","",IF(AND(G64&lt;60%,H64&gt;0.8,I64="True"),"是","否"))</f>
        <v/>
      </c>
      <c r="M64" s="37" t="str">
        <f aca="false">IF($A64="","",IF(AND(D64&gt;0,E64&gt;0,D64&lt;=E64*1.02),"是","否"))</f>
        <v/>
      </c>
      <c r="N64" s="38" t="n">
        <f aca="false">IFERROR(INDEX(账户总表!$O:$O,MATCH($A64,账户总表!$A:$A,0)),0)</f>
        <v>0</v>
      </c>
      <c r="O64" s="39" t="n">
        <f aca="false">IFERROR(INDEX(账户总表!$B:$B,MATCH($A64,账户总表!$A:$A,0))*N64,0)</f>
        <v>0</v>
      </c>
      <c r="P64" s="40" t="n">
        <f aca="false">IFERROR(O64/D64,0)</f>
        <v>0</v>
      </c>
      <c r="Q64" s="40" t="n">
        <f aca="false">IFERROR(FLOOR(P64,100),0)</f>
        <v>0</v>
      </c>
      <c r="R64" s="40" t="n">
        <f aca="false">IFERROR(CEILING(800/(100*D64),1)*100,0)</f>
        <v>0</v>
      </c>
      <c r="S64" s="41"/>
      <c r="T64" s="39" t="n">
        <f aca="false">IFERROR(S64*D64,0)</f>
        <v>0</v>
      </c>
      <c r="U64" s="38" t="n">
        <f aca="false">IFERROR(T64/INDEX(账户总表!$B:$B,MATCH($A64,账户总表!$A:$A,0)),0)</f>
        <v>0</v>
      </c>
      <c r="V64" s="38" t="n">
        <f aca="false">IFERROR(INDEX(账户总表!$E:$E,MATCH($A64,账户总表!$A:$A,0))+U64,0)</f>
        <v>0</v>
      </c>
      <c r="W64" s="37" t="str">
        <f aca="false">IF($A64="","",IFERROR(IF(V64&lt;=INDEX(账户总表!$N:$N,MATCH($A64,账户总表!$A:$A,0)),"是","否"),"否"))</f>
        <v/>
      </c>
      <c r="X64" s="39" t="str">
        <f aca="false">IF($A64="","",MAX(F64*0.98,D64*0.92))</f>
        <v/>
      </c>
      <c r="Y64" s="34"/>
      <c r="Z64" s="37" t="str">
        <f aca="false">IF($A64="","",IFERROR(IF(AND(T64&gt;INDEX(账户总表!$C:$C,MATCH($A64,账户总表!$A:$A,0)),L64="是"),"是","否"),"否"))</f>
        <v/>
      </c>
      <c r="AA64" s="39" t="str">
        <f aca="false">IF($A64="","",IFERROR(IF(Z64="是",MAX(0,T64-INDEX(账户总表!$C:$C,MATCH($A64,账户总表!$A:$A,0)),IF(N64&gt;0,T64/N64-INDEX(账户总表!$B:$B,MATCH($A64,账户总表!$A:$A,0)),0)),0),0))</f>
        <v/>
      </c>
      <c r="AB64" s="39" t="str">
        <f aca="false">IF($A64="","",IF(AND(Z64="是",INDEX(账户总表!$U:$U,MATCH($A64,账户总表!$A:$A,0))="是"),IF(INDEX(账户总表!$L:$L,MATCH($A64,账户总表!$A:$A,0))&gt;=4,AA64*1.5,AA64),0))</f>
        <v/>
      </c>
      <c r="AC64" s="42" t="str">
        <f aca="false">IF($A64="","",IF(AND(L64="是",Q64&gt;=R64,S64&lt;=Q64,S64&gt;=R64,W64="是",X64&gt;0,M64="是",INDEX(账户总表!$M:$M,MATCH($A64,账户总表!$A:$A,0))&lt;=2,INDEX(账户总表!$V:$V,MATCH($A64,账户总表!$A:$A,0))="是",OR(T64&lt;=INDEX(账户总表!$C:$C,MATCH($A64,账户总表!$A:$A,0)),AND(Z64="是",INDEX(账户总表!$U:$U,MATCH($A64,账户总表!$A:$A,0))="是",AB64&gt;0))),"是","否"))</f>
        <v/>
      </c>
      <c r="AD64" s="37" t="str">
        <f aca="false">IF($A64="","",IF(L64&lt;&gt;"是","信号未确认",IF(X64&lt;=0,"止损价未定义",IF(Q64&lt;R64,"100股约束不满足",IF(S64&gt;Q64,"计划股数超单股上限",IF(S64&lt;R64,"计划股数低于最小门槛",IF(W64&lt;&gt;"是","总仓位超限",IF(M64&lt;&gt;"是","追价",IF(INDEX(账户总表!$M:$M,MATCH($A64,账户总表!$A:$A,0))&gt;2,"亏钱效应偏高",IF(INDEX(账户总表!$V:$V,MATCH($A64,账户总表!$A:$A,0))&lt;&gt;"是","账户不允许新开仓",IF(AND(T64&gt;INDEX(账户总表!$C:$C,MATCH($A64,账户总表!$A:$A,0)),INDEX(账户总表!$U:$U,MATCH($A64,账户总表!$A:$A,0))&lt;&gt;"是"),"现金不足且不允许转入",IF(AND(Z64="是",AB64&lt;=0),"转入金额未满足",""))))))))))))</f>
        <v/>
      </c>
      <c r="AE64" s="33"/>
    </row>
    <row r="65" customFormat="false" ht="15" hidden="false" customHeight="true" outlineLevel="0" collapsed="false">
      <c r="A65" s="32"/>
      <c r="B65" s="33"/>
      <c r="C65" s="34"/>
      <c r="D65" s="35"/>
      <c r="E65" s="35"/>
      <c r="F65" s="35"/>
      <c r="G65" s="36"/>
      <c r="H65" s="34"/>
      <c r="I65" s="34"/>
      <c r="J65" s="33"/>
      <c r="K65" s="37" t="str">
        <f aca="false">IF($A65="","",IF(AND(G65&lt;45%,H65&gt;=0.9),"A",IF(AND(G65&lt;60%,H65&gt;0.8),"B","C")))</f>
        <v/>
      </c>
      <c r="L65" s="37" t="str">
        <f aca="false">IF($A65="","",IF(AND(G65&lt;60%,H65&gt;0.8,I65="True"),"是","否"))</f>
        <v/>
      </c>
      <c r="M65" s="37" t="str">
        <f aca="false">IF($A65="","",IF(AND(D65&gt;0,E65&gt;0,D65&lt;=E65*1.02),"是","否"))</f>
        <v/>
      </c>
      <c r="N65" s="38" t="n">
        <f aca="false">IFERROR(INDEX(账户总表!$O:$O,MATCH($A65,账户总表!$A:$A,0)),0)</f>
        <v>0</v>
      </c>
      <c r="O65" s="39" t="n">
        <f aca="false">IFERROR(INDEX(账户总表!$B:$B,MATCH($A65,账户总表!$A:$A,0))*N65,0)</f>
        <v>0</v>
      </c>
      <c r="P65" s="40" t="n">
        <f aca="false">IFERROR(O65/D65,0)</f>
        <v>0</v>
      </c>
      <c r="Q65" s="40" t="n">
        <f aca="false">IFERROR(FLOOR(P65,100),0)</f>
        <v>0</v>
      </c>
      <c r="R65" s="40" t="n">
        <f aca="false">IFERROR(CEILING(800/(100*D65),1)*100,0)</f>
        <v>0</v>
      </c>
      <c r="S65" s="41"/>
      <c r="T65" s="39" t="n">
        <f aca="false">IFERROR(S65*D65,0)</f>
        <v>0</v>
      </c>
      <c r="U65" s="38" t="n">
        <f aca="false">IFERROR(T65/INDEX(账户总表!$B:$B,MATCH($A65,账户总表!$A:$A,0)),0)</f>
        <v>0</v>
      </c>
      <c r="V65" s="38" t="n">
        <f aca="false">IFERROR(INDEX(账户总表!$E:$E,MATCH($A65,账户总表!$A:$A,0))+U65,0)</f>
        <v>0</v>
      </c>
      <c r="W65" s="37" t="str">
        <f aca="false">IF($A65="","",IFERROR(IF(V65&lt;=INDEX(账户总表!$N:$N,MATCH($A65,账户总表!$A:$A,0)),"是","否"),"否"))</f>
        <v/>
      </c>
      <c r="X65" s="39" t="str">
        <f aca="false">IF($A65="","",MAX(F65*0.98,D65*0.92))</f>
        <v/>
      </c>
      <c r="Y65" s="34"/>
      <c r="Z65" s="37" t="str">
        <f aca="false">IF($A65="","",IFERROR(IF(AND(T65&gt;INDEX(账户总表!$C:$C,MATCH($A65,账户总表!$A:$A,0)),L65="是"),"是","否"),"否"))</f>
        <v/>
      </c>
      <c r="AA65" s="39" t="str">
        <f aca="false">IF($A65="","",IFERROR(IF(Z65="是",MAX(0,T65-INDEX(账户总表!$C:$C,MATCH($A65,账户总表!$A:$A,0)),IF(N65&gt;0,T65/N65-INDEX(账户总表!$B:$B,MATCH($A65,账户总表!$A:$A,0)),0)),0),0))</f>
        <v/>
      </c>
      <c r="AB65" s="39" t="str">
        <f aca="false">IF($A65="","",IF(AND(Z65="是",INDEX(账户总表!$U:$U,MATCH($A65,账户总表!$A:$A,0))="是"),IF(INDEX(账户总表!$L:$L,MATCH($A65,账户总表!$A:$A,0))&gt;=4,AA65*1.5,AA65),0))</f>
        <v/>
      </c>
      <c r="AC65" s="42" t="str">
        <f aca="false">IF($A65="","",IF(AND(L65="是",Q65&gt;=R65,S65&lt;=Q65,S65&gt;=R65,W65="是",X65&gt;0,M65="是",INDEX(账户总表!$M:$M,MATCH($A65,账户总表!$A:$A,0))&lt;=2,INDEX(账户总表!$V:$V,MATCH($A65,账户总表!$A:$A,0))="是",OR(T65&lt;=INDEX(账户总表!$C:$C,MATCH($A65,账户总表!$A:$A,0)),AND(Z65="是",INDEX(账户总表!$U:$U,MATCH($A65,账户总表!$A:$A,0))="是",AB65&gt;0))),"是","否"))</f>
        <v/>
      </c>
      <c r="AD65" s="37" t="str">
        <f aca="false">IF($A65="","",IF(L65&lt;&gt;"是","信号未确认",IF(X65&lt;=0,"止损价未定义",IF(Q65&lt;R65,"100股约束不满足",IF(S65&gt;Q65,"计划股数超单股上限",IF(S65&lt;R65,"计划股数低于最小门槛",IF(W65&lt;&gt;"是","总仓位超限",IF(M65&lt;&gt;"是","追价",IF(INDEX(账户总表!$M:$M,MATCH($A65,账户总表!$A:$A,0))&gt;2,"亏钱效应偏高",IF(INDEX(账户总表!$V:$V,MATCH($A65,账户总表!$A:$A,0))&lt;&gt;"是","账户不允许新开仓",IF(AND(T65&gt;INDEX(账户总表!$C:$C,MATCH($A65,账户总表!$A:$A,0)),INDEX(账户总表!$U:$U,MATCH($A65,账户总表!$A:$A,0))&lt;&gt;"是"),"现金不足且不允许转入",IF(AND(Z65="是",AB65&lt;=0),"转入金额未满足",""))))))))))))</f>
        <v/>
      </c>
      <c r="AE65" s="33"/>
    </row>
    <row r="66" customFormat="false" ht="15" hidden="false" customHeight="true" outlineLevel="0" collapsed="false">
      <c r="A66" s="32"/>
      <c r="B66" s="33"/>
      <c r="C66" s="34"/>
      <c r="D66" s="35"/>
      <c r="E66" s="35"/>
      <c r="F66" s="35"/>
      <c r="G66" s="36"/>
      <c r="H66" s="34"/>
      <c r="I66" s="34"/>
      <c r="J66" s="33"/>
      <c r="K66" s="37" t="str">
        <f aca="false">IF($A66="","",IF(AND(G66&lt;45%,H66&gt;=0.9),"A",IF(AND(G66&lt;60%,H66&gt;0.8),"B","C")))</f>
        <v/>
      </c>
      <c r="L66" s="37" t="str">
        <f aca="false">IF($A66="","",IF(AND(G66&lt;60%,H66&gt;0.8,I66="True"),"是","否"))</f>
        <v/>
      </c>
      <c r="M66" s="37" t="str">
        <f aca="false">IF($A66="","",IF(AND(D66&gt;0,E66&gt;0,D66&lt;=E66*1.02),"是","否"))</f>
        <v/>
      </c>
      <c r="N66" s="38" t="n">
        <f aca="false">IFERROR(INDEX(账户总表!$O:$O,MATCH($A66,账户总表!$A:$A,0)),0)</f>
        <v>0</v>
      </c>
      <c r="O66" s="39" t="n">
        <f aca="false">IFERROR(INDEX(账户总表!$B:$B,MATCH($A66,账户总表!$A:$A,0))*N66,0)</f>
        <v>0</v>
      </c>
      <c r="P66" s="40" t="n">
        <f aca="false">IFERROR(O66/D66,0)</f>
        <v>0</v>
      </c>
      <c r="Q66" s="40" t="n">
        <f aca="false">IFERROR(FLOOR(P66,100),0)</f>
        <v>0</v>
      </c>
      <c r="R66" s="40" t="n">
        <f aca="false">IFERROR(CEILING(800/(100*D66),1)*100,0)</f>
        <v>0</v>
      </c>
      <c r="S66" s="41"/>
      <c r="T66" s="39" t="n">
        <f aca="false">IFERROR(S66*D66,0)</f>
        <v>0</v>
      </c>
      <c r="U66" s="38" t="n">
        <f aca="false">IFERROR(T66/INDEX(账户总表!$B:$B,MATCH($A66,账户总表!$A:$A,0)),0)</f>
        <v>0</v>
      </c>
      <c r="V66" s="38" t="n">
        <f aca="false">IFERROR(INDEX(账户总表!$E:$E,MATCH($A66,账户总表!$A:$A,0))+U66,0)</f>
        <v>0</v>
      </c>
      <c r="W66" s="37" t="str">
        <f aca="false">IF($A66="","",IFERROR(IF(V66&lt;=INDEX(账户总表!$N:$N,MATCH($A66,账户总表!$A:$A,0)),"是","否"),"否"))</f>
        <v/>
      </c>
      <c r="X66" s="39" t="str">
        <f aca="false">IF($A66="","",MAX(F66*0.98,D66*0.92))</f>
        <v/>
      </c>
      <c r="Y66" s="34"/>
      <c r="Z66" s="37" t="str">
        <f aca="false">IF($A66="","",IFERROR(IF(AND(T66&gt;INDEX(账户总表!$C:$C,MATCH($A66,账户总表!$A:$A,0)),L66="是"),"是","否"),"否"))</f>
        <v/>
      </c>
      <c r="AA66" s="39" t="str">
        <f aca="false">IF($A66="","",IFERROR(IF(Z66="是",MAX(0,T66-INDEX(账户总表!$C:$C,MATCH($A66,账户总表!$A:$A,0)),IF(N66&gt;0,T66/N66-INDEX(账户总表!$B:$B,MATCH($A66,账户总表!$A:$A,0)),0)),0),0))</f>
        <v/>
      </c>
      <c r="AB66" s="39" t="str">
        <f aca="false">IF($A66="","",IF(AND(Z66="是",INDEX(账户总表!$U:$U,MATCH($A66,账户总表!$A:$A,0))="是"),IF(INDEX(账户总表!$L:$L,MATCH($A66,账户总表!$A:$A,0))&gt;=4,AA66*1.5,AA66),0))</f>
        <v/>
      </c>
      <c r="AC66" s="42" t="str">
        <f aca="false">IF($A66="","",IF(AND(L66="是",Q66&gt;=R66,S66&lt;=Q66,S66&gt;=R66,W66="是",X66&gt;0,M66="是",INDEX(账户总表!$M:$M,MATCH($A66,账户总表!$A:$A,0))&lt;=2,INDEX(账户总表!$V:$V,MATCH($A66,账户总表!$A:$A,0))="是",OR(T66&lt;=INDEX(账户总表!$C:$C,MATCH($A66,账户总表!$A:$A,0)),AND(Z66="是",INDEX(账户总表!$U:$U,MATCH($A66,账户总表!$A:$A,0))="是",AB66&gt;0))),"是","否"))</f>
        <v/>
      </c>
      <c r="AD66" s="37" t="str">
        <f aca="false">IF($A66="","",IF(L66&lt;&gt;"是","信号未确认",IF(X66&lt;=0,"止损价未定义",IF(Q66&lt;R66,"100股约束不满足",IF(S66&gt;Q66,"计划股数超单股上限",IF(S66&lt;R66,"计划股数低于最小门槛",IF(W66&lt;&gt;"是","总仓位超限",IF(M66&lt;&gt;"是","追价",IF(INDEX(账户总表!$M:$M,MATCH($A66,账户总表!$A:$A,0))&gt;2,"亏钱效应偏高",IF(INDEX(账户总表!$V:$V,MATCH($A66,账户总表!$A:$A,0))&lt;&gt;"是","账户不允许新开仓",IF(AND(T66&gt;INDEX(账户总表!$C:$C,MATCH($A66,账户总表!$A:$A,0)),INDEX(账户总表!$U:$U,MATCH($A66,账户总表!$A:$A,0))&lt;&gt;"是"),"现金不足且不允许转入",IF(AND(Z66="是",AB66&lt;=0),"转入金额未满足",""))))))))))))</f>
        <v/>
      </c>
      <c r="AE66" s="33"/>
    </row>
    <row r="67" customFormat="false" ht="15" hidden="false" customHeight="true" outlineLevel="0" collapsed="false">
      <c r="A67" s="32"/>
      <c r="B67" s="33"/>
      <c r="C67" s="34"/>
      <c r="D67" s="35"/>
      <c r="E67" s="35"/>
      <c r="F67" s="35"/>
      <c r="G67" s="36"/>
      <c r="H67" s="34"/>
      <c r="I67" s="34"/>
      <c r="J67" s="33"/>
      <c r="K67" s="37" t="str">
        <f aca="false">IF($A67="","",IF(AND(G67&lt;45%,H67&gt;=0.9),"A",IF(AND(G67&lt;60%,H67&gt;0.8),"B","C")))</f>
        <v/>
      </c>
      <c r="L67" s="37" t="str">
        <f aca="false">IF($A67="","",IF(AND(G67&lt;60%,H67&gt;0.8,I67="True"),"是","否"))</f>
        <v/>
      </c>
      <c r="M67" s="37" t="str">
        <f aca="false">IF($A67="","",IF(AND(D67&gt;0,E67&gt;0,D67&lt;=E67*1.02),"是","否"))</f>
        <v/>
      </c>
      <c r="N67" s="38" t="n">
        <f aca="false">IFERROR(INDEX(账户总表!$O:$O,MATCH($A67,账户总表!$A:$A,0)),0)</f>
        <v>0</v>
      </c>
      <c r="O67" s="39" t="n">
        <f aca="false">IFERROR(INDEX(账户总表!$B:$B,MATCH($A67,账户总表!$A:$A,0))*N67,0)</f>
        <v>0</v>
      </c>
      <c r="P67" s="40" t="n">
        <f aca="false">IFERROR(O67/D67,0)</f>
        <v>0</v>
      </c>
      <c r="Q67" s="40" t="n">
        <f aca="false">IFERROR(FLOOR(P67,100),0)</f>
        <v>0</v>
      </c>
      <c r="R67" s="40" t="n">
        <f aca="false">IFERROR(CEILING(800/(100*D67),1)*100,0)</f>
        <v>0</v>
      </c>
      <c r="S67" s="41"/>
      <c r="T67" s="39" t="n">
        <f aca="false">IFERROR(S67*D67,0)</f>
        <v>0</v>
      </c>
      <c r="U67" s="38" t="n">
        <f aca="false">IFERROR(T67/INDEX(账户总表!$B:$B,MATCH($A67,账户总表!$A:$A,0)),0)</f>
        <v>0</v>
      </c>
      <c r="V67" s="38" t="n">
        <f aca="false">IFERROR(INDEX(账户总表!$E:$E,MATCH($A67,账户总表!$A:$A,0))+U67,0)</f>
        <v>0</v>
      </c>
      <c r="W67" s="37" t="str">
        <f aca="false">IF($A67="","",IFERROR(IF(V67&lt;=INDEX(账户总表!$N:$N,MATCH($A67,账户总表!$A:$A,0)),"是","否"),"否"))</f>
        <v/>
      </c>
      <c r="X67" s="39" t="str">
        <f aca="false">IF($A67="","",MAX(F67*0.98,D67*0.92))</f>
        <v/>
      </c>
      <c r="Y67" s="34"/>
      <c r="Z67" s="37" t="str">
        <f aca="false">IF($A67="","",IFERROR(IF(AND(T67&gt;INDEX(账户总表!$C:$C,MATCH($A67,账户总表!$A:$A,0)),L67="是"),"是","否"),"否"))</f>
        <v/>
      </c>
      <c r="AA67" s="39" t="str">
        <f aca="false">IF($A67="","",IFERROR(IF(Z67="是",MAX(0,T67-INDEX(账户总表!$C:$C,MATCH($A67,账户总表!$A:$A,0)),IF(N67&gt;0,T67/N67-INDEX(账户总表!$B:$B,MATCH($A67,账户总表!$A:$A,0)),0)),0),0))</f>
        <v/>
      </c>
      <c r="AB67" s="39" t="str">
        <f aca="false">IF($A67="","",IF(AND(Z67="是",INDEX(账户总表!$U:$U,MATCH($A67,账户总表!$A:$A,0))="是"),IF(INDEX(账户总表!$L:$L,MATCH($A67,账户总表!$A:$A,0))&gt;=4,AA67*1.5,AA67),0))</f>
        <v/>
      </c>
      <c r="AC67" s="42" t="str">
        <f aca="false">IF($A67="","",IF(AND(L67="是",Q67&gt;=R67,S67&lt;=Q67,S67&gt;=R67,W67="是",X67&gt;0,M67="是",INDEX(账户总表!$M:$M,MATCH($A67,账户总表!$A:$A,0))&lt;=2,INDEX(账户总表!$V:$V,MATCH($A67,账户总表!$A:$A,0))="是",OR(T67&lt;=INDEX(账户总表!$C:$C,MATCH($A67,账户总表!$A:$A,0)),AND(Z67="是",INDEX(账户总表!$U:$U,MATCH($A67,账户总表!$A:$A,0))="是",AB67&gt;0))),"是","否"))</f>
        <v/>
      </c>
      <c r="AD67" s="37" t="str">
        <f aca="false">IF($A67="","",IF(L67&lt;&gt;"是","信号未确认",IF(X67&lt;=0,"止损价未定义",IF(Q67&lt;R67,"100股约束不满足",IF(S67&gt;Q67,"计划股数超单股上限",IF(S67&lt;R67,"计划股数低于最小门槛",IF(W67&lt;&gt;"是","总仓位超限",IF(M67&lt;&gt;"是","追价",IF(INDEX(账户总表!$M:$M,MATCH($A67,账户总表!$A:$A,0))&gt;2,"亏钱效应偏高",IF(INDEX(账户总表!$V:$V,MATCH($A67,账户总表!$A:$A,0))&lt;&gt;"是","账户不允许新开仓",IF(AND(T67&gt;INDEX(账户总表!$C:$C,MATCH($A67,账户总表!$A:$A,0)),INDEX(账户总表!$U:$U,MATCH($A67,账户总表!$A:$A,0))&lt;&gt;"是"),"现金不足且不允许转入",IF(AND(Z67="是",AB67&lt;=0),"转入金额未满足",""))))))))))))</f>
        <v/>
      </c>
      <c r="AE67" s="33"/>
    </row>
    <row r="68" customFormat="false" ht="15" hidden="false" customHeight="true" outlineLevel="0" collapsed="false">
      <c r="A68" s="32"/>
      <c r="B68" s="33"/>
      <c r="C68" s="34"/>
      <c r="D68" s="35"/>
      <c r="E68" s="35"/>
      <c r="F68" s="35"/>
      <c r="G68" s="36"/>
      <c r="H68" s="34"/>
      <c r="I68" s="34"/>
      <c r="J68" s="33"/>
      <c r="K68" s="37" t="str">
        <f aca="false">IF($A68="","",IF(AND(G68&lt;45%,H68&gt;=0.9),"A",IF(AND(G68&lt;60%,H68&gt;0.8),"B","C")))</f>
        <v/>
      </c>
      <c r="L68" s="37" t="str">
        <f aca="false">IF($A68="","",IF(AND(G68&lt;60%,H68&gt;0.8,I68="True"),"是","否"))</f>
        <v/>
      </c>
      <c r="M68" s="37" t="str">
        <f aca="false">IF($A68="","",IF(AND(D68&gt;0,E68&gt;0,D68&lt;=E68*1.02),"是","否"))</f>
        <v/>
      </c>
      <c r="N68" s="38" t="n">
        <f aca="false">IFERROR(INDEX(账户总表!$O:$O,MATCH($A68,账户总表!$A:$A,0)),0)</f>
        <v>0</v>
      </c>
      <c r="O68" s="39" t="n">
        <f aca="false">IFERROR(INDEX(账户总表!$B:$B,MATCH($A68,账户总表!$A:$A,0))*N68,0)</f>
        <v>0</v>
      </c>
      <c r="P68" s="40" t="n">
        <f aca="false">IFERROR(O68/D68,0)</f>
        <v>0</v>
      </c>
      <c r="Q68" s="40" t="n">
        <f aca="false">IFERROR(FLOOR(P68,100),0)</f>
        <v>0</v>
      </c>
      <c r="R68" s="40" t="n">
        <f aca="false">IFERROR(CEILING(800/(100*D68),1)*100,0)</f>
        <v>0</v>
      </c>
      <c r="S68" s="41"/>
      <c r="T68" s="39" t="n">
        <f aca="false">IFERROR(S68*D68,0)</f>
        <v>0</v>
      </c>
      <c r="U68" s="38" t="n">
        <f aca="false">IFERROR(T68/INDEX(账户总表!$B:$B,MATCH($A68,账户总表!$A:$A,0)),0)</f>
        <v>0</v>
      </c>
      <c r="V68" s="38" t="n">
        <f aca="false">IFERROR(INDEX(账户总表!$E:$E,MATCH($A68,账户总表!$A:$A,0))+U68,0)</f>
        <v>0</v>
      </c>
      <c r="W68" s="37" t="str">
        <f aca="false">IF($A68="","",IFERROR(IF(V68&lt;=INDEX(账户总表!$N:$N,MATCH($A68,账户总表!$A:$A,0)),"是","否"),"否"))</f>
        <v/>
      </c>
      <c r="X68" s="39" t="str">
        <f aca="false">IF($A68="","",MAX(F68*0.98,D68*0.92))</f>
        <v/>
      </c>
      <c r="Y68" s="34"/>
      <c r="Z68" s="37" t="str">
        <f aca="false">IF($A68="","",IFERROR(IF(AND(T68&gt;INDEX(账户总表!$C:$C,MATCH($A68,账户总表!$A:$A,0)),L68="是"),"是","否"),"否"))</f>
        <v/>
      </c>
      <c r="AA68" s="39" t="str">
        <f aca="false">IF($A68="","",IFERROR(IF(Z68="是",MAX(0,T68-INDEX(账户总表!$C:$C,MATCH($A68,账户总表!$A:$A,0)),IF(N68&gt;0,T68/N68-INDEX(账户总表!$B:$B,MATCH($A68,账户总表!$A:$A,0)),0)),0),0))</f>
        <v/>
      </c>
      <c r="AB68" s="39" t="str">
        <f aca="false">IF($A68="","",IF(AND(Z68="是",INDEX(账户总表!$U:$U,MATCH($A68,账户总表!$A:$A,0))="是"),IF(INDEX(账户总表!$L:$L,MATCH($A68,账户总表!$A:$A,0))&gt;=4,AA68*1.5,AA68),0))</f>
        <v/>
      </c>
      <c r="AC68" s="42" t="str">
        <f aca="false">IF($A68="","",IF(AND(L68="是",Q68&gt;=R68,S68&lt;=Q68,S68&gt;=R68,W68="是",X68&gt;0,M68="是",INDEX(账户总表!$M:$M,MATCH($A68,账户总表!$A:$A,0))&lt;=2,INDEX(账户总表!$V:$V,MATCH($A68,账户总表!$A:$A,0))="是",OR(T68&lt;=INDEX(账户总表!$C:$C,MATCH($A68,账户总表!$A:$A,0)),AND(Z68="是",INDEX(账户总表!$U:$U,MATCH($A68,账户总表!$A:$A,0))="是",AB68&gt;0))),"是","否"))</f>
        <v/>
      </c>
      <c r="AD68" s="37" t="str">
        <f aca="false">IF($A68="","",IF(L68&lt;&gt;"是","信号未确认",IF(X68&lt;=0,"止损价未定义",IF(Q68&lt;R68,"100股约束不满足",IF(S68&gt;Q68,"计划股数超单股上限",IF(S68&lt;R68,"计划股数低于最小门槛",IF(W68&lt;&gt;"是","总仓位超限",IF(M68&lt;&gt;"是","追价",IF(INDEX(账户总表!$M:$M,MATCH($A68,账户总表!$A:$A,0))&gt;2,"亏钱效应偏高",IF(INDEX(账户总表!$V:$V,MATCH($A68,账户总表!$A:$A,0))&lt;&gt;"是","账户不允许新开仓",IF(AND(T68&gt;INDEX(账户总表!$C:$C,MATCH($A68,账户总表!$A:$A,0)),INDEX(账户总表!$U:$U,MATCH($A68,账户总表!$A:$A,0))&lt;&gt;"是"),"现金不足且不允许转入",IF(AND(Z68="是",AB68&lt;=0),"转入金额未满足",""))))))))))))</f>
        <v/>
      </c>
      <c r="AE68" s="33"/>
    </row>
    <row r="69" customFormat="false" ht="15" hidden="false" customHeight="true" outlineLevel="0" collapsed="false">
      <c r="A69" s="32"/>
      <c r="B69" s="33"/>
      <c r="C69" s="34"/>
      <c r="D69" s="35"/>
      <c r="E69" s="35"/>
      <c r="F69" s="35"/>
      <c r="G69" s="36"/>
      <c r="H69" s="34"/>
      <c r="I69" s="34"/>
      <c r="J69" s="33"/>
      <c r="K69" s="37" t="str">
        <f aca="false">IF($A69="","",IF(AND(G69&lt;45%,H69&gt;=0.9),"A",IF(AND(G69&lt;60%,H69&gt;0.8),"B","C")))</f>
        <v/>
      </c>
      <c r="L69" s="37" t="str">
        <f aca="false">IF($A69="","",IF(AND(G69&lt;60%,H69&gt;0.8,I69="True"),"是","否"))</f>
        <v/>
      </c>
      <c r="M69" s="37" t="str">
        <f aca="false">IF($A69="","",IF(AND(D69&gt;0,E69&gt;0,D69&lt;=E69*1.02),"是","否"))</f>
        <v/>
      </c>
      <c r="N69" s="38" t="n">
        <f aca="false">IFERROR(INDEX(账户总表!$O:$O,MATCH($A69,账户总表!$A:$A,0)),0)</f>
        <v>0</v>
      </c>
      <c r="O69" s="39" t="n">
        <f aca="false">IFERROR(INDEX(账户总表!$B:$B,MATCH($A69,账户总表!$A:$A,0))*N69,0)</f>
        <v>0</v>
      </c>
      <c r="P69" s="40" t="n">
        <f aca="false">IFERROR(O69/D69,0)</f>
        <v>0</v>
      </c>
      <c r="Q69" s="40" t="n">
        <f aca="false">IFERROR(FLOOR(P69,100),0)</f>
        <v>0</v>
      </c>
      <c r="R69" s="40" t="n">
        <f aca="false">IFERROR(CEILING(800/(100*D69),1)*100,0)</f>
        <v>0</v>
      </c>
      <c r="S69" s="41"/>
      <c r="T69" s="39" t="n">
        <f aca="false">IFERROR(S69*D69,0)</f>
        <v>0</v>
      </c>
      <c r="U69" s="38" t="n">
        <f aca="false">IFERROR(T69/INDEX(账户总表!$B:$B,MATCH($A69,账户总表!$A:$A,0)),0)</f>
        <v>0</v>
      </c>
      <c r="V69" s="38" t="n">
        <f aca="false">IFERROR(INDEX(账户总表!$E:$E,MATCH($A69,账户总表!$A:$A,0))+U69,0)</f>
        <v>0</v>
      </c>
      <c r="W69" s="37" t="str">
        <f aca="false">IF($A69="","",IFERROR(IF(V69&lt;=INDEX(账户总表!$N:$N,MATCH($A69,账户总表!$A:$A,0)),"是","否"),"否"))</f>
        <v/>
      </c>
      <c r="X69" s="39" t="str">
        <f aca="false">IF($A69="","",MAX(F69*0.98,D69*0.92))</f>
        <v/>
      </c>
      <c r="Y69" s="34"/>
      <c r="Z69" s="37" t="str">
        <f aca="false">IF($A69="","",IFERROR(IF(AND(T69&gt;INDEX(账户总表!$C:$C,MATCH($A69,账户总表!$A:$A,0)),L69="是"),"是","否"),"否"))</f>
        <v/>
      </c>
      <c r="AA69" s="39" t="str">
        <f aca="false">IF($A69="","",IFERROR(IF(Z69="是",MAX(0,T69-INDEX(账户总表!$C:$C,MATCH($A69,账户总表!$A:$A,0)),IF(N69&gt;0,T69/N69-INDEX(账户总表!$B:$B,MATCH($A69,账户总表!$A:$A,0)),0)),0),0))</f>
        <v/>
      </c>
      <c r="AB69" s="39" t="str">
        <f aca="false">IF($A69="","",IF(AND(Z69="是",INDEX(账户总表!$U:$U,MATCH($A69,账户总表!$A:$A,0))="是"),IF(INDEX(账户总表!$L:$L,MATCH($A69,账户总表!$A:$A,0))&gt;=4,AA69*1.5,AA69),0))</f>
        <v/>
      </c>
      <c r="AC69" s="42" t="str">
        <f aca="false">IF($A69="","",IF(AND(L69="是",Q69&gt;=R69,S69&lt;=Q69,S69&gt;=R69,W69="是",X69&gt;0,M69="是",INDEX(账户总表!$M:$M,MATCH($A69,账户总表!$A:$A,0))&lt;=2,INDEX(账户总表!$V:$V,MATCH($A69,账户总表!$A:$A,0))="是",OR(T69&lt;=INDEX(账户总表!$C:$C,MATCH($A69,账户总表!$A:$A,0)),AND(Z69="是",INDEX(账户总表!$U:$U,MATCH($A69,账户总表!$A:$A,0))="是",AB69&gt;0))),"是","否"))</f>
        <v/>
      </c>
      <c r="AD69" s="37" t="str">
        <f aca="false">IF($A69="","",IF(L69&lt;&gt;"是","信号未确认",IF(X69&lt;=0,"止损价未定义",IF(Q69&lt;R69,"100股约束不满足",IF(S69&gt;Q69,"计划股数超单股上限",IF(S69&lt;R69,"计划股数低于最小门槛",IF(W69&lt;&gt;"是","总仓位超限",IF(M69&lt;&gt;"是","追价",IF(INDEX(账户总表!$M:$M,MATCH($A69,账户总表!$A:$A,0))&gt;2,"亏钱效应偏高",IF(INDEX(账户总表!$V:$V,MATCH($A69,账户总表!$A:$A,0))&lt;&gt;"是","账户不允许新开仓",IF(AND(T69&gt;INDEX(账户总表!$C:$C,MATCH($A69,账户总表!$A:$A,0)),INDEX(账户总表!$U:$U,MATCH($A69,账户总表!$A:$A,0))&lt;&gt;"是"),"现金不足且不允许转入",IF(AND(Z69="是",AB69&lt;=0),"转入金额未满足",""))))))))))))</f>
        <v/>
      </c>
      <c r="AE69" s="33"/>
    </row>
    <row r="70" customFormat="false" ht="15" hidden="false" customHeight="true" outlineLevel="0" collapsed="false">
      <c r="A70" s="32"/>
      <c r="B70" s="33"/>
      <c r="C70" s="34"/>
      <c r="D70" s="35"/>
      <c r="E70" s="35"/>
      <c r="F70" s="35"/>
      <c r="G70" s="36"/>
      <c r="H70" s="34"/>
      <c r="I70" s="34"/>
      <c r="J70" s="33"/>
      <c r="K70" s="37" t="str">
        <f aca="false">IF($A70="","",IF(AND(G70&lt;45%,H70&gt;=0.9),"A",IF(AND(G70&lt;60%,H70&gt;0.8),"B","C")))</f>
        <v/>
      </c>
      <c r="L70" s="37" t="str">
        <f aca="false">IF($A70="","",IF(AND(G70&lt;60%,H70&gt;0.8,I70="True"),"是","否"))</f>
        <v/>
      </c>
      <c r="M70" s="37" t="str">
        <f aca="false">IF($A70="","",IF(AND(D70&gt;0,E70&gt;0,D70&lt;=E70*1.02),"是","否"))</f>
        <v/>
      </c>
      <c r="N70" s="38" t="n">
        <f aca="false">IFERROR(INDEX(账户总表!$O:$O,MATCH($A70,账户总表!$A:$A,0)),0)</f>
        <v>0</v>
      </c>
      <c r="O70" s="39" t="n">
        <f aca="false">IFERROR(INDEX(账户总表!$B:$B,MATCH($A70,账户总表!$A:$A,0))*N70,0)</f>
        <v>0</v>
      </c>
      <c r="P70" s="40" t="n">
        <f aca="false">IFERROR(O70/D70,0)</f>
        <v>0</v>
      </c>
      <c r="Q70" s="40" t="n">
        <f aca="false">IFERROR(FLOOR(P70,100),0)</f>
        <v>0</v>
      </c>
      <c r="R70" s="40" t="n">
        <f aca="false">IFERROR(CEILING(800/(100*D70),1)*100,0)</f>
        <v>0</v>
      </c>
      <c r="S70" s="41"/>
      <c r="T70" s="39" t="n">
        <f aca="false">IFERROR(S70*D70,0)</f>
        <v>0</v>
      </c>
      <c r="U70" s="38" t="n">
        <f aca="false">IFERROR(T70/INDEX(账户总表!$B:$B,MATCH($A70,账户总表!$A:$A,0)),0)</f>
        <v>0</v>
      </c>
      <c r="V70" s="38" t="n">
        <f aca="false">IFERROR(INDEX(账户总表!$E:$E,MATCH($A70,账户总表!$A:$A,0))+U70,0)</f>
        <v>0</v>
      </c>
      <c r="W70" s="37" t="str">
        <f aca="false">IF($A70="","",IFERROR(IF(V70&lt;=INDEX(账户总表!$N:$N,MATCH($A70,账户总表!$A:$A,0)),"是","否"),"否"))</f>
        <v/>
      </c>
      <c r="X70" s="39" t="str">
        <f aca="false">IF($A70="","",MAX(F70*0.98,D70*0.92))</f>
        <v/>
      </c>
      <c r="Y70" s="34"/>
      <c r="Z70" s="37" t="str">
        <f aca="false">IF($A70="","",IFERROR(IF(AND(T70&gt;INDEX(账户总表!$C:$C,MATCH($A70,账户总表!$A:$A,0)),L70="是"),"是","否"),"否"))</f>
        <v/>
      </c>
      <c r="AA70" s="39" t="str">
        <f aca="false">IF($A70="","",IFERROR(IF(Z70="是",MAX(0,T70-INDEX(账户总表!$C:$C,MATCH($A70,账户总表!$A:$A,0)),IF(N70&gt;0,T70/N70-INDEX(账户总表!$B:$B,MATCH($A70,账户总表!$A:$A,0)),0)),0),0))</f>
        <v/>
      </c>
      <c r="AB70" s="39" t="str">
        <f aca="false">IF($A70="","",IF(AND(Z70="是",INDEX(账户总表!$U:$U,MATCH($A70,账户总表!$A:$A,0))="是"),IF(INDEX(账户总表!$L:$L,MATCH($A70,账户总表!$A:$A,0))&gt;=4,AA70*1.5,AA70),0))</f>
        <v/>
      </c>
      <c r="AC70" s="42" t="str">
        <f aca="false">IF($A70="","",IF(AND(L70="是",Q70&gt;=R70,S70&lt;=Q70,S70&gt;=R70,W70="是",X70&gt;0,M70="是",INDEX(账户总表!$M:$M,MATCH($A70,账户总表!$A:$A,0))&lt;=2,INDEX(账户总表!$V:$V,MATCH($A70,账户总表!$A:$A,0))="是",OR(T70&lt;=INDEX(账户总表!$C:$C,MATCH($A70,账户总表!$A:$A,0)),AND(Z70="是",INDEX(账户总表!$U:$U,MATCH($A70,账户总表!$A:$A,0))="是",AB70&gt;0))),"是","否"))</f>
        <v/>
      </c>
      <c r="AD70" s="37" t="str">
        <f aca="false">IF($A70="","",IF(L70&lt;&gt;"是","信号未确认",IF(X70&lt;=0,"止损价未定义",IF(Q70&lt;R70,"100股约束不满足",IF(S70&gt;Q70,"计划股数超单股上限",IF(S70&lt;R70,"计划股数低于最小门槛",IF(W70&lt;&gt;"是","总仓位超限",IF(M70&lt;&gt;"是","追价",IF(INDEX(账户总表!$M:$M,MATCH($A70,账户总表!$A:$A,0))&gt;2,"亏钱效应偏高",IF(INDEX(账户总表!$V:$V,MATCH($A70,账户总表!$A:$A,0))&lt;&gt;"是","账户不允许新开仓",IF(AND(T70&gt;INDEX(账户总表!$C:$C,MATCH($A70,账户总表!$A:$A,0)),INDEX(账户总表!$U:$U,MATCH($A70,账户总表!$A:$A,0))&lt;&gt;"是"),"现金不足且不允许转入",IF(AND(Z70="是",AB70&lt;=0),"转入金额未满足",""))))))))))))</f>
        <v/>
      </c>
      <c r="AE70" s="33"/>
    </row>
    <row r="71" customFormat="false" ht="15" hidden="false" customHeight="true" outlineLevel="0" collapsed="false">
      <c r="A71" s="32"/>
      <c r="B71" s="33"/>
      <c r="C71" s="34"/>
      <c r="D71" s="35"/>
      <c r="E71" s="35"/>
      <c r="F71" s="35"/>
      <c r="G71" s="36"/>
      <c r="H71" s="34"/>
      <c r="I71" s="34"/>
      <c r="J71" s="33"/>
      <c r="K71" s="37" t="str">
        <f aca="false">IF($A71="","",IF(AND(G71&lt;45%,H71&gt;=0.9),"A",IF(AND(G71&lt;60%,H71&gt;0.8),"B","C")))</f>
        <v/>
      </c>
      <c r="L71" s="37" t="str">
        <f aca="false">IF($A71="","",IF(AND(G71&lt;60%,H71&gt;0.8,I71="True"),"是","否"))</f>
        <v/>
      </c>
      <c r="M71" s="37" t="str">
        <f aca="false">IF($A71="","",IF(AND(D71&gt;0,E71&gt;0,D71&lt;=E71*1.02),"是","否"))</f>
        <v/>
      </c>
      <c r="N71" s="38" t="n">
        <f aca="false">IFERROR(INDEX(账户总表!$O:$O,MATCH($A71,账户总表!$A:$A,0)),0)</f>
        <v>0</v>
      </c>
      <c r="O71" s="39" t="n">
        <f aca="false">IFERROR(INDEX(账户总表!$B:$B,MATCH($A71,账户总表!$A:$A,0))*N71,0)</f>
        <v>0</v>
      </c>
      <c r="P71" s="40" t="n">
        <f aca="false">IFERROR(O71/D71,0)</f>
        <v>0</v>
      </c>
      <c r="Q71" s="40" t="n">
        <f aca="false">IFERROR(FLOOR(P71,100),0)</f>
        <v>0</v>
      </c>
      <c r="R71" s="40" t="n">
        <f aca="false">IFERROR(CEILING(800/(100*D71),1)*100,0)</f>
        <v>0</v>
      </c>
      <c r="S71" s="41"/>
      <c r="T71" s="39" t="n">
        <f aca="false">IFERROR(S71*D71,0)</f>
        <v>0</v>
      </c>
      <c r="U71" s="38" t="n">
        <f aca="false">IFERROR(T71/INDEX(账户总表!$B:$B,MATCH($A71,账户总表!$A:$A,0)),0)</f>
        <v>0</v>
      </c>
      <c r="V71" s="38" t="n">
        <f aca="false">IFERROR(INDEX(账户总表!$E:$E,MATCH($A71,账户总表!$A:$A,0))+U71,0)</f>
        <v>0</v>
      </c>
      <c r="W71" s="37" t="str">
        <f aca="false">IF($A71="","",IFERROR(IF(V71&lt;=INDEX(账户总表!$N:$N,MATCH($A71,账户总表!$A:$A,0)),"是","否"),"否"))</f>
        <v/>
      </c>
      <c r="X71" s="39" t="str">
        <f aca="false">IF($A71="","",MAX(F71*0.98,D71*0.92))</f>
        <v/>
      </c>
      <c r="Y71" s="34"/>
      <c r="Z71" s="37" t="str">
        <f aca="false">IF($A71="","",IFERROR(IF(AND(T71&gt;INDEX(账户总表!$C:$C,MATCH($A71,账户总表!$A:$A,0)),L71="是"),"是","否"),"否"))</f>
        <v/>
      </c>
      <c r="AA71" s="39" t="str">
        <f aca="false">IF($A71="","",IFERROR(IF(Z71="是",MAX(0,T71-INDEX(账户总表!$C:$C,MATCH($A71,账户总表!$A:$A,0)),IF(N71&gt;0,T71/N71-INDEX(账户总表!$B:$B,MATCH($A71,账户总表!$A:$A,0)),0)),0),0))</f>
        <v/>
      </c>
      <c r="AB71" s="39" t="str">
        <f aca="false">IF($A71="","",IF(AND(Z71="是",INDEX(账户总表!$U:$U,MATCH($A71,账户总表!$A:$A,0))="是"),IF(INDEX(账户总表!$L:$L,MATCH($A71,账户总表!$A:$A,0))&gt;=4,AA71*1.5,AA71),0))</f>
        <v/>
      </c>
      <c r="AC71" s="42" t="str">
        <f aca="false">IF($A71="","",IF(AND(L71="是",Q71&gt;=R71,S71&lt;=Q71,S71&gt;=R71,W71="是",X71&gt;0,M71="是",INDEX(账户总表!$M:$M,MATCH($A71,账户总表!$A:$A,0))&lt;=2,INDEX(账户总表!$V:$V,MATCH($A71,账户总表!$A:$A,0))="是",OR(T71&lt;=INDEX(账户总表!$C:$C,MATCH($A71,账户总表!$A:$A,0)),AND(Z71="是",INDEX(账户总表!$U:$U,MATCH($A71,账户总表!$A:$A,0))="是",AB71&gt;0))),"是","否"))</f>
        <v/>
      </c>
      <c r="AD71" s="37" t="str">
        <f aca="false">IF($A71="","",IF(L71&lt;&gt;"是","信号未确认",IF(X71&lt;=0,"止损价未定义",IF(Q71&lt;R71,"100股约束不满足",IF(S71&gt;Q71,"计划股数超单股上限",IF(S71&lt;R71,"计划股数低于最小门槛",IF(W71&lt;&gt;"是","总仓位超限",IF(M71&lt;&gt;"是","追价",IF(INDEX(账户总表!$M:$M,MATCH($A71,账户总表!$A:$A,0))&gt;2,"亏钱效应偏高",IF(INDEX(账户总表!$V:$V,MATCH($A71,账户总表!$A:$A,0))&lt;&gt;"是","账户不允许新开仓",IF(AND(T71&gt;INDEX(账户总表!$C:$C,MATCH($A71,账户总表!$A:$A,0)),INDEX(账户总表!$U:$U,MATCH($A71,账户总表!$A:$A,0))&lt;&gt;"是"),"现金不足且不允许转入",IF(AND(Z71="是",AB71&lt;=0),"转入金额未满足",""))))))))))))</f>
        <v/>
      </c>
      <c r="AE71" s="33"/>
    </row>
    <row r="72" customFormat="false" ht="15" hidden="false" customHeight="true" outlineLevel="0" collapsed="false">
      <c r="A72" s="32"/>
      <c r="B72" s="33"/>
      <c r="C72" s="34"/>
      <c r="D72" s="35"/>
      <c r="E72" s="35"/>
      <c r="F72" s="35"/>
      <c r="G72" s="36"/>
      <c r="H72" s="34"/>
      <c r="I72" s="34"/>
      <c r="J72" s="33"/>
      <c r="K72" s="37" t="str">
        <f aca="false">IF($A72="","",IF(AND(G72&lt;45%,H72&gt;=0.9),"A",IF(AND(G72&lt;60%,H72&gt;0.8),"B","C")))</f>
        <v/>
      </c>
      <c r="L72" s="37" t="str">
        <f aca="false">IF($A72="","",IF(AND(G72&lt;60%,H72&gt;0.8,I72="True"),"是","否"))</f>
        <v/>
      </c>
      <c r="M72" s="37" t="str">
        <f aca="false">IF($A72="","",IF(AND(D72&gt;0,E72&gt;0,D72&lt;=E72*1.02),"是","否"))</f>
        <v/>
      </c>
      <c r="N72" s="38" t="n">
        <f aca="false">IFERROR(INDEX(账户总表!$O:$O,MATCH($A72,账户总表!$A:$A,0)),0)</f>
        <v>0</v>
      </c>
      <c r="O72" s="39" t="n">
        <f aca="false">IFERROR(INDEX(账户总表!$B:$B,MATCH($A72,账户总表!$A:$A,0))*N72,0)</f>
        <v>0</v>
      </c>
      <c r="P72" s="40" t="n">
        <f aca="false">IFERROR(O72/D72,0)</f>
        <v>0</v>
      </c>
      <c r="Q72" s="40" t="n">
        <f aca="false">IFERROR(FLOOR(P72,100),0)</f>
        <v>0</v>
      </c>
      <c r="R72" s="40" t="n">
        <f aca="false">IFERROR(CEILING(800/(100*D72),1)*100,0)</f>
        <v>0</v>
      </c>
      <c r="S72" s="41"/>
      <c r="T72" s="39" t="n">
        <f aca="false">IFERROR(S72*D72,0)</f>
        <v>0</v>
      </c>
      <c r="U72" s="38" t="n">
        <f aca="false">IFERROR(T72/INDEX(账户总表!$B:$B,MATCH($A72,账户总表!$A:$A,0)),0)</f>
        <v>0</v>
      </c>
      <c r="V72" s="38" t="n">
        <f aca="false">IFERROR(INDEX(账户总表!$E:$E,MATCH($A72,账户总表!$A:$A,0))+U72,0)</f>
        <v>0</v>
      </c>
      <c r="W72" s="37" t="str">
        <f aca="false">IF($A72="","",IFERROR(IF(V72&lt;=INDEX(账户总表!$N:$N,MATCH($A72,账户总表!$A:$A,0)),"是","否"),"否"))</f>
        <v/>
      </c>
      <c r="X72" s="39" t="str">
        <f aca="false">IF($A72="","",MAX(F72*0.98,D72*0.92))</f>
        <v/>
      </c>
      <c r="Y72" s="34"/>
      <c r="Z72" s="37" t="str">
        <f aca="false">IF($A72="","",IFERROR(IF(AND(T72&gt;INDEX(账户总表!$C:$C,MATCH($A72,账户总表!$A:$A,0)),L72="是"),"是","否"),"否"))</f>
        <v/>
      </c>
      <c r="AA72" s="39" t="str">
        <f aca="false">IF($A72="","",IFERROR(IF(Z72="是",MAX(0,T72-INDEX(账户总表!$C:$C,MATCH($A72,账户总表!$A:$A,0)),IF(N72&gt;0,T72/N72-INDEX(账户总表!$B:$B,MATCH($A72,账户总表!$A:$A,0)),0)),0),0))</f>
        <v/>
      </c>
      <c r="AB72" s="39" t="str">
        <f aca="false">IF($A72="","",IF(AND(Z72="是",INDEX(账户总表!$U:$U,MATCH($A72,账户总表!$A:$A,0))="是"),IF(INDEX(账户总表!$L:$L,MATCH($A72,账户总表!$A:$A,0))&gt;=4,AA72*1.5,AA72),0))</f>
        <v/>
      </c>
      <c r="AC72" s="42" t="str">
        <f aca="false">IF($A72="","",IF(AND(L72="是",Q72&gt;=R72,S72&lt;=Q72,S72&gt;=R72,W72="是",X72&gt;0,M72="是",INDEX(账户总表!$M:$M,MATCH($A72,账户总表!$A:$A,0))&lt;=2,INDEX(账户总表!$V:$V,MATCH($A72,账户总表!$A:$A,0))="是",OR(T72&lt;=INDEX(账户总表!$C:$C,MATCH($A72,账户总表!$A:$A,0)),AND(Z72="是",INDEX(账户总表!$U:$U,MATCH($A72,账户总表!$A:$A,0))="是",AB72&gt;0))),"是","否"))</f>
        <v/>
      </c>
      <c r="AD72" s="37" t="str">
        <f aca="false">IF($A72="","",IF(L72&lt;&gt;"是","信号未确认",IF(X72&lt;=0,"止损价未定义",IF(Q72&lt;R72,"100股约束不满足",IF(S72&gt;Q72,"计划股数超单股上限",IF(S72&lt;R72,"计划股数低于最小门槛",IF(W72&lt;&gt;"是","总仓位超限",IF(M72&lt;&gt;"是","追价",IF(INDEX(账户总表!$M:$M,MATCH($A72,账户总表!$A:$A,0))&gt;2,"亏钱效应偏高",IF(INDEX(账户总表!$V:$V,MATCH($A72,账户总表!$A:$A,0))&lt;&gt;"是","账户不允许新开仓",IF(AND(T72&gt;INDEX(账户总表!$C:$C,MATCH($A72,账户总表!$A:$A,0)),INDEX(账户总表!$U:$U,MATCH($A72,账户总表!$A:$A,0))&lt;&gt;"是"),"现金不足且不允许转入",IF(AND(Z72="是",AB72&lt;=0),"转入金额未满足",""))))))))))))</f>
        <v/>
      </c>
      <c r="AE72" s="33"/>
    </row>
    <row r="73" customFormat="false" ht="15" hidden="false" customHeight="true" outlineLevel="0" collapsed="false">
      <c r="A73" s="32"/>
      <c r="B73" s="33"/>
      <c r="C73" s="34"/>
      <c r="D73" s="35"/>
      <c r="E73" s="35"/>
      <c r="F73" s="35"/>
      <c r="G73" s="36"/>
      <c r="H73" s="34"/>
      <c r="I73" s="34"/>
      <c r="J73" s="33"/>
      <c r="K73" s="37" t="str">
        <f aca="false">IF($A73="","",IF(AND(G73&lt;45%,H73&gt;=0.9),"A",IF(AND(G73&lt;60%,H73&gt;0.8),"B","C")))</f>
        <v/>
      </c>
      <c r="L73" s="37" t="str">
        <f aca="false">IF($A73="","",IF(AND(G73&lt;60%,H73&gt;0.8,I73="True"),"是","否"))</f>
        <v/>
      </c>
      <c r="M73" s="37" t="str">
        <f aca="false">IF($A73="","",IF(AND(D73&gt;0,E73&gt;0,D73&lt;=E73*1.02),"是","否"))</f>
        <v/>
      </c>
      <c r="N73" s="38" t="n">
        <f aca="false">IFERROR(INDEX(账户总表!$O:$O,MATCH($A73,账户总表!$A:$A,0)),0)</f>
        <v>0</v>
      </c>
      <c r="O73" s="39" t="n">
        <f aca="false">IFERROR(INDEX(账户总表!$B:$B,MATCH($A73,账户总表!$A:$A,0))*N73,0)</f>
        <v>0</v>
      </c>
      <c r="P73" s="40" t="n">
        <f aca="false">IFERROR(O73/D73,0)</f>
        <v>0</v>
      </c>
      <c r="Q73" s="40" t="n">
        <f aca="false">IFERROR(FLOOR(P73,100),0)</f>
        <v>0</v>
      </c>
      <c r="R73" s="40" t="n">
        <f aca="false">IFERROR(CEILING(800/(100*D73),1)*100,0)</f>
        <v>0</v>
      </c>
      <c r="S73" s="41"/>
      <c r="T73" s="39" t="n">
        <f aca="false">IFERROR(S73*D73,0)</f>
        <v>0</v>
      </c>
      <c r="U73" s="38" t="n">
        <f aca="false">IFERROR(T73/INDEX(账户总表!$B:$B,MATCH($A73,账户总表!$A:$A,0)),0)</f>
        <v>0</v>
      </c>
      <c r="V73" s="38" t="n">
        <f aca="false">IFERROR(INDEX(账户总表!$E:$E,MATCH($A73,账户总表!$A:$A,0))+U73,0)</f>
        <v>0</v>
      </c>
      <c r="W73" s="37" t="str">
        <f aca="false">IF($A73="","",IFERROR(IF(V73&lt;=INDEX(账户总表!$N:$N,MATCH($A73,账户总表!$A:$A,0)),"是","否"),"否"))</f>
        <v/>
      </c>
      <c r="X73" s="39" t="str">
        <f aca="false">IF($A73="","",MAX(F73*0.98,D73*0.92))</f>
        <v/>
      </c>
      <c r="Y73" s="34"/>
      <c r="Z73" s="37" t="str">
        <f aca="false">IF($A73="","",IFERROR(IF(AND(T73&gt;INDEX(账户总表!$C:$C,MATCH($A73,账户总表!$A:$A,0)),L73="是"),"是","否"),"否"))</f>
        <v/>
      </c>
      <c r="AA73" s="39" t="str">
        <f aca="false">IF($A73="","",IFERROR(IF(Z73="是",MAX(0,T73-INDEX(账户总表!$C:$C,MATCH($A73,账户总表!$A:$A,0)),IF(N73&gt;0,T73/N73-INDEX(账户总表!$B:$B,MATCH($A73,账户总表!$A:$A,0)),0)),0),0))</f>
        <v/>
      </c>
      <c r="AB73" s="39" t="str">
        <f aca="false">IF($A73="","",IF(AND(Z73="是",INDEX(账户总表!$U:$U,MATCH($A73,账户总表!$A:$A,0))="是"),IF(INDEX(账户总表!$L:$L,MATCH($A73,账户总表!$A:$A,0))&gt;=4,AA73*1.5,AA73),0))</f>
        <v/>
      </c>
      <c r="AC73" s="42" t="str">
        <f aca="false">IF($A73="","",IF(AND(L73="是",Q73&gt;=R73,S73&lt;=Q73,S73&gt;=R73,W73="是",X73&gt;0,M73="是",INDEX(账户总表!$M:$M,MATCH($A73,账户总表!$A:$A,0))&lt;=2,INDEX(账户总表!$V:$V,MATCH($A73,账户总表!$A:$A,0))="是",OR(T73&lt;=INDEX(账户总表!$C:$C,MATCH($A73,账户总表!$A:$A,0)),AND(Z73="是",INDEX(账户总表!$U:$U,MATCH($A73,账户总表!$A:$A,0))="是",AB73&gt;0))),"是","否"))</f>
        <v/>
      </c>
      <c r="AD73" s="37" t="str">
        <f aca="false">IF($A73="","",IF(L73&lt;&gt;"是","信号未确认",IF(X73&lt;=0,"止损价未定义",IF(Q73&lt;R73,"100股约束不满足",IF(S73&gt;Q73,"计划股数超单股上限",IF(S73&lt;R73,"计划股数低于最小门槛",IF(W73&lt;&gt;"是","总仓位超限",IF(M73&lt;&gt;"是","追价",IF(INDEX(账户总表!$M:$M,MATCH($A73,账户总表!$A:$A,0))&gt;2,"亏钱效应偏高",IF(INDEX(账户总表!$V:$V,MATCH($A73,账户总表!$A:$A,0))&lt;&gt;"是","账户不允许新开仓",IF(AND(T73&gt;INDEX(账户总表!$C:$C,MATCH($A73,账户总表!$A:$A,0)),INDEX(账户总表!$U:$U,MATCH($A73,账户总表!$A:$A,0))&lt;&gt;"是"),"现金不足且不允许转入",IF(AND(Z73="是",AB73&lt;=0),"转入金额未满足",""))))))))))))</f>
        <v/>
      </c>
      <c r="AE73" s="33"/>
    </row>
    <row r="74" customFormat="false" ht="15" hidden="false" customHeight="true" outlineLevel="0" collapsed="false">
      <c r="A74" s="32"/>
      <c r="B74" s="33"/>
      <c r="C74" s="34"/>
      <c r="D74" s="35"/>
      <c r="E74" s="35"/>
      <c r="F74" s="35"/>
      <c r="G74" s="36"/>
      <c r="H74" s="34"/>
      <c r="I74" s="34"/>
      <c r="J74" s="33"/>
      <c r="K74" s="37" t="str">
        <f aca="false">IF($A74="","",IF(AND(G74&lt;45%,H74&gt;=0.9),"A",IF(AND(G74&lt;60%,H74&gt;0.8),"B","C")))</f>
        <v/>
      </c>
      <c r="L74" s="37" t="str">
        <f aca="false">IF($A74="","",IF(AND(G74&lt;60%,H74&gt;0.8,I74="True"),"是","否"))</f>
        <v/>
      </c>
      <c r="M74" s="37" t="str">
        <f aca="false">IF($A74="","",IF(AND(D74&gt;0,E74&gt;0,D74&lt;=E74*1.02),"是","否"))</f>
        <v/>
      </c>
      <c r="N74" s="38" t="n">
        <f aca="false">IFERROR(INDEX(账户总表!$O:$O,MATCH($A74,账户总表!$A:$A,0)),0)</f>
        <v>0</v>
      </c>
      <c r="O74" s="39" t="n">
        <f aca="false">IFERROR(INDEX(账户总表!$B:$B,MATCH($A74,账户总表!$A:$A,0))*N74,0)</f>
        <v>0</v>
      </c>
      <c r="P74" s="40" t="n">
        <f aca="false">IFERROR(O74/D74,0)</f>
        <v>0</v>
      </c>
      <c r="Q74" s="40" t="n">
        <f aca="false">IFERROR(FLOOR(P74,100),0)</f>
        <v>0</v>
      </c>
      <c r="R74" s="40" t="n">
        <f aca="false">IFERROR(CEILING(800/(100*D74),1)*100,0)</f>
        <v>0</v>
      </c>
      <c r="S74" s="41"/>
      <c r="T74" s="39" t="n">
        <f aca="false">IFERROR(S74*D74,0)</f>
        <v>0</v>
      </c>
      <c r="U74" s="38" t="n">
        <f aca="false">IFERROR(T74/INDEX(账户总表!$B:$B,MATCH($A74,账户总表!$A:$A,0)),0)</f>
        <v>0</v>
      </c>
      <c r="V74" s="38" t="n">
        <f aca="false">IFERROR(INDEX(账户总表!$E:$E,MATCH($A74,账户总表!$A:$A,0))+U74,0)</f>
        <v>0</v>
      </c>
      <c r="W74" s="37" t="str">
        <f aca="false">IF($A74="","",IFERROR(IF(V74&lt;=INDEX(账户总表!$N:$N,MATCH($A74,账户总表!$A:$A,0)),"是","否"),"否"))</f>
        <v/>
      </c>
      <c r="X74" s="39" t="str">
        <f aca="false">IF($A74="","",MAX(F74*0.98,D74*0.92))</f>
        <v/>
      </c>
      <c r="Y74" s="34"/>
      <c r="Z74" s="37" t="str">
        <f aca="false">IF($A74="","",IFERROR(IF(AND(T74&gt;INDEX(账户总表!$C:$C,MATCH($A74,账户总表!$A:$A,0)),L74="是"),"是","否"),"否"))</f>
        <v/>
      </c>
      <c r="AA74" s="39" t="str">
        <f aca="false">IF($A74="","",IFERROR(IF(Z74="是",MAX(0,T74-INDEX(账户总表!$C:$C,MATCH($A74,账户总表!$A:$A,0)),IF(N74&gt;0,T74/N74-INDEX(账户总表!$B:$B,MATCH($A74,账户总表!$A:$A,0)),0)),0),0))</f>
        <v/>
      </c>
      <c r="AB74" s="39" t="str">
        <f aca="false">IF($A74="","",IF(AND(Z74="是",INDEX(账户总表!$U:$U,MATCH($A74,账户总表!$A:$A,0))="是"),IF(INDEX(账户总表!$L:$L,MATCH($A74,账户总表!$A:$A,0))&gt;=4,AA74*1.5,AA74),0))</f>
        <v/>
      </c>
      <c r="AC74" s="42" t="str">
        <f aca="false">IF($A74="","",IF(AND(L74="是",Q74&gt;=R74,S74&lt;=Q74,S74&gt;=R74,W74="是",X74&gt;0,M74="是",INDEX(账户总表!$M:$M,MATCH($A74,账户总表!$A:$A,0))&lt;=2,INDEX(账户总表!$V:$V,MATCH($A74,账户总表!$A:$A,0))="是",OR(T74&lt;=INDEX(账户总表!$C:$C,MATCH($A74,账户总表!$A:$A,0)),AND(Z74="是",INDEX(账户总表!$U:$U,MATCH($A74,账户总表!$A:$A,0))="是",AB74&gt;0))),"是","否"))</f>
        <v/>
      </c>
      <c r="AD74" s="37" t="str">
        <f aca="false">IF($A74="","",IF(L74&lt;&gt;"是","信号未确认",IF(X74&lt;=0,"止损价未定义",IF(Q74&lt;R74,"100股约束不满足",IF(S74&gt;Q74,"计划股数超单股上限",IF(S74&lt;R74,"计划股数低于最小门槛",IF(W74&lt;&gt;"是","总仓位超限",IF(M74&lt;&gt;"是","追价",IF(INDEX(账户总表!$M:$M,MATCH($A74,账户总表!$A:$A,0))&gt;2,"亏钱效应偏高",IF(INDEX(账户总表!$V:$V,MATCH($A74,账户总表!$A:$A,0))&lt;&gt;"是","账户不允许新开仓",IF(AND(T74&gt;INDEX(账户总表!$C:$C,MATCH($A74,账户总表!$A:$A,0)),INDEX(账户总表!$U:$U,MATCH($A74,账户总表!$A:$A,0))&lt;&gt;"是"),"现金不足且不允许转入",IF(AND(Z74="是",AB74&lt;=0),"转入金额未满足",""))))))))))))</f>
        <v/>
      </c>
      <c r="AE74" s="33"/>
    </row>
    <row r="75" customFormat="false" ht="15" hidden="false" customHeight="true" outlineLevel="0" collapsed="false">
      <c r="A75" s="32"/>
      <c r="B75" s="33"/>
      <c r="C75" s="34"/>
      <c r="D75" s="35"/>
      <c r="E75" s="35"/>
      <c r="F75" s="35"/>
      <c r="G75" s="36"/>
      <c r="H75" s="34"/>
      <c r="I75" s="34"/>
      <c r="J75" s="33"/>
      <c r="K75" s="37" t="str">
        <f aca="false">IF($A75="","",IF(AND(G75&lt;45%,H75&gt;=0.9),"A",IF(AND(G75&lt;60%,H75&gt;0.8),"B","C")))</f>
        <v/>
      </c>
      <c r="L75" s="37" t="str">
        <f aca="false">IF($A75="","",IF(AND(G75&lt;60%,H75&gt;0.8,I75="True"),"是","否"))</f>
        <v/>
      </c>
      <c r="M75" s="37" t="str">
        <f aca="false">IF($A75="","",IF(AND(D75&gt;0,E75&gt;0,D75&lt;=E75*1.02),"是","否"))</f>
        <v/>
      </c>
      <c r="N75" s="38" t="n">
        <f aca="false">IFERROR(INDEX(账户总表!$O:$O,MATCH($A75,账户总表!$A:$A,0)),0)</f>
        <v>0</v>
      </c>
      <c r="O75" s="39" t="n">
        <f aca="false">IFERROR(INDEX(账户总表!$B:$B,MATCH($A75,账户总表!$A:$A,0))*N75,0)</f>
        <v>0</v>
      </c>
      <c r="P75" s="40" t="n">
        <f aca="false">IFERROR(O75/D75,0)</f>
        <v>0</v>
      </c>
      <c r="Q75" s="40" t="n">
        <f aca="false">IFERROR(FLOOR(P75,100),0)</f>
        <v>0</v>
      </c>
      <c r="R75" s="40" t="n">
        <f aca="false">IFERROR(CEILING(800/(100*D75),1)*100,0)</f>
        <v>0</v>
      </c>
      <c r="S75" s="41"/>
      <c r="T75" s="39" t="n">
        <f aca="false">IFERROR(S75*D75,0)</f>
        <v>0</v>
      </c>
      <c r="U75" s="38" t="n">
        <f aca="false">IFERROR(T75/INDEX(账户总表!$B:$B,MATCH($A75,账户总表!$A:$A,0)),0)</f>
        <v>0</v>
      </c>
      <c r="V75" s="38" t="n">
        <f aca="false">IFERROR(INDEX(账户总表!$E:$E,MATCH($A75,账户总表!$A:$A,0))+U75,0)</f>
        <v>0</v>
      </c>
      <c r="W75" s="37" t="str">
        <f aca="false">IF($A75="","",IFERROR(IF(V75&lt;=INDEX(账户总表!$N:$N,MATCH($A75,账户总表!$A:$A,0)),"是","否"),"否"))</f>
        <v/>
      </c>
      <c r="X75" s="39" t="str">
        <f aca="false">IF($A75="","",MAX(F75*0.98,D75*0.92))</f>
        <v/>
      </c>
      <c r="Y75" s="34"/>
      <c r="Z75" s="37" t="str">
        <f aca="false">IF($A75="","",IFERROR(IF(AND(T75&gt;INDEX(账户总表!$C:$C,MATCH($A75,账户总表!$A:$A,0)),L75="是"),"是","否"),"否"))</f>
        <v/>
      </c>
      <c r="AA75" s="39" t="str">
        <f aca="false">IF($A75="","",IFERROR(IF(Z75="是",MAX(0,T75-INDEX(账户总表!$C:$C,MATCH($A75,账户总表!$A:$A,0)),IF(N75&gt;0,T75/N75-INDEX(账户总表!$B:$B,MATCH($A75,账户总表!$A:$A,0)),0)),0),0))</f>
        <v/>
      </c>
      <c r="AB75" s="39" t="str">
        <f aca="false">IF($A75="","",IF(AND(Z75="是",INDEX(账户总表!$U:$U,MATCH($A75,账户总表!$A:$A,0))="是"),IF(INDEX(账户总表!$L:$L,MATCH($A75,账户总表!$A:$A,0))&gt;=4,AA75*1.5,AA75),0))</f>
        <v/>
      </c>
      <c r="AC75" s="42" t="str">
        <f aca="false">IF($A75="","",IF(AND(L75="是",Q75&gt;=R75,S75&lt;=Q75,S75&gt;=R75,W75="是",X75&gt;0,M75="是",INDEX(账户总表!$M:$M,MATCH($A75,账户总表!$A:$A,0))&lt;=2,INDEX(账户总表!$V:$V,MATCH($A75,账户总表!$A:$A,0))="是",OR(T75&lt;=INDEX(账户总表!$C:$C,MATCH($A75,账户总表!$A:$A,0)),AND(Z75="是",INDEX(账户总表!$U:$U,MATCH($A75,账户总表!$A:$A,0))="是",AB75&gt;0))),"是","否"))</f>
        <v/>
      </c>
      <c r="AD75" s="37" t="str">
        <f aca="false">IF($A75="","",IF(L75&lt;&gt;"是","信号未确认",IF(X75&lt;=0,"止损价未定义",IF(Q75&lt;R75,"100股约束不满足",IF(S75&gt;Q75,"计划股数超单股上限",IF(S75&lt;R75,"计划股数低于最小门槛",IF(W75&lt;&gt;"是","总仓位超限",IF(M75&lt;&gt;"是","追价",IF(INDEX(账户总表!$M:$M,MATCH($A75,账户总表!$A:$A,0))&gt;2,"亏钱效应偏高",IF(INDEX(账户总表!$V:$V,MATCH($A75,账户总表!$A:$A,0))&lt;&gt;"是","账户不允许新开仓",IF(AND(T75&gt;INDEX(账户总表!$C:$C,MATCH($A75,账户总表!$A:$A,0)),INDEX(账户总表!$U:$U,MATCH($A75,账户总表!$A:$A,0))&lt;&gt;"是"),"现金不足且不允许转入",IF(AND(Z75="是",AB75&lt;=0),"转入金额未满足",""))))))))))))</f>
        <v/>
      </c>
      <c r="AE75" s="33"/>
    </row>
    <row r="76" customFormat="false" ht="15" hidden="false" customHeight="true" outlineLevel="0" collapsed="false">
      <c r="A76" s="32"/>
      <c r="B76" s="33"/>
      <c r="C76" s="34"/>
      <c r="D76" s="35"/>
      <c r="E76" s="35"/>
      <c r="F76" s="35"/>
      <c r="G76" s="36"/>
      <c r="H76" s="34"/>
      <c r="I76" s="34"/>
      <c r="J76" s="33"/>
      <c r="K76" s="37" t="str">
        <f aca="false">IF($A76="","",IF(AND(G76&lt;45%,H76&gt;=0.9),"A",IF(AND(G76&lt;60%,H76&gt;0.8),"B","C")))</f>
        <v/>
      </c>
      <c r="L76" s="37" t="str">
        <f aca="false">IF($A76="","",IF(AND(G76&lt;60%,H76&gt;0.8,I76="True"),"是","否"))</f>
        <v/>
      </c>
      <c r="M76" s="37" t="str">
        <f aca="false">IF($A76="","",IF(AND(D76&gt;0,E76&gt;0,D76&lt;=E76*1.02),"是","否"))</f>
        <v/>
      </c>
      <c r="N76" s="38" t="n">
        <f aca="false">IFERROR(INDEX(账户总表!$O:$O,MATCH($A76,账户总表!$A:$A,0)),0)</f>
        <v>0</v>
      </c>
      <c r="O76" s="39" t="n">
        <f aca="false">IFERROR(INDEX(账户总表!$B:$B,MATCH($A76,账户总表!$A:$A,0))*N76,0)</f>
        <v>0</v>
      </c>
      <c r="P76" s="40" t="n">
        <f aca="false">IFERROR(O76/D76,0)</f>
        <v>0</v>
      </c>
      <c r="Q76" s="40" t="n">
        <f aca="false">IFERROR(FLOOR(P76,100),0)</f>
        <v>0</v>
      </c>
      <c r="R76" s="40" t="n">
        <f aca="false">IFERROR(CEILING(800/(100*D76),1)*100,0)</f>
        <v>0</v>
      </c>
      <c r="S76" s="41"/>
      <c r="T76" s="39" t="n">
        <f aca="false">IFERROR(S76*D76,0)</f>
        <v>0</v>
      </c>
      <c r="U76" s="38" t="n">
        <f aca="false">IFERROR(T76/INDEX(账户总表!$B:$B,MATCH($A76,账户总表!$A:$A,0)),0)</f>
        <v>0</v>
      </c>
      <c r="V76" s="38" t="n">
        <f aca="false">IFERROR(INDEX(账户总表!$E:$E,MATCH($A76,账户总表!$A:$A,0))+U76,0)</f>
        <v>0</v>
      </c>
      <c r="W76" s="37" t="str">
        <f aca="false">IF($A76="","",IFERROR(IF(V76&lt;=INDEX(账户总表!$N:$N,MATCH($A76,账户总表!$A:$A,0)),"是","否"),"否"))</f>
        <v/>
      </c>
      <c r="X76" s="39" t="str">
        <f aca="false">IF($A76="","",MAX(F76*0.98,D76*0.92))</f>
        <v/>
      </c>
      <c r="Y76" s="34"/>
      <c r="Z76" s="37" t="str">
        <f aca="false">IF($A76="","",IFERROR(IF(AND(T76&gt;INDEX(账户总表!$C:$C,MATCH($A76,账户总表!$A:$A,0)),L76="是"),"是","否"),"否"))</f>
        <v/>
      </c>
      <c r="AA76" s="39" t="str">
        <f aca="false">IF($A76="","",IFERROR(IF(Z76="是",MAX(0,T76-INDEX(账户总表!$C:$C,MATCH($A76,账户总表!$A:$A,0)),IF(N76&gt;0,T76/N76-INDEX(账户总表!$B:$B,MATCH($A76,账户总表!$A:$A,0)),0)),0),0))</f>
        <v/>
      </c>
      <c r="AB76" s="39" t="str">
        <f aca="false">IF($A76="","",IF(AND(Z76="是",INDEX(账户总表!$U:$U,MATCH($A76,账户总表!$A:$A,0))="是"),IF(INDEX(账户总表!$L:$L,MATCH($A76,账户总表!$A:$A,0))&gt;=4,AA76*1.5,AA76),0))</f>
        <v/>
      </c>
      <c r="AC76" s="42" t="str">
        <f aca="false">IF($A76="","",IF(AND(L76="是",Q76&gt;=R76,S76&lt;=Q76,S76&gt;=R76,W76="是",X76&gt;0,M76="是",INDEX(账户总表!$M:$M,MATCH($A76,账户总表!$A:$A,0))&lt;=2,INDEX(账户总表!$V:$V,MATCH($A76,账户总表!$A:$A,0))="是",OR(T76&lt;=INDEX(账户总表!$C:$C,MATCH($A76,账户总表!$A:$A,0)),AND(Z76="是",INDEX(账户总表!$U:$U,MATCH($A76,账户总表!$A:$A,0))="是",AB76&gt;0))),"是","否"))</f>
        <v/>
      </c>
      <c r="AD76" s="37" t="str">
        <f aca="false">IF($A76="","",IF(L76&lt;&gt;"是","信号未确认",IF(X76&lt;=0,"止损价未定义",IF(Q76&lt;R76,"100股约束不满足",IF(S76&gt;Q76,"计划股数超单股上限",IF(S76&lt;R76,"计划股数低于最小门槛",IF(W76&lt;&gt;"是","总仓位超限",IF(M76&lt;&gt;"是","追价",IF(INDEX(账户总表!$M:$M,MATCH($A76,账户总表!$A:$A,0))&gt;2,"亏钱效应偏高",IF(INDEX(账户总表!$V:$V,MATCH($A76,账户总表!$A:$A,0))&lt;&gt;"是","账户不允许新开仓",IF(AND(T76&gt;INDEX(账户总表!$C:$C,MATCH($A76,账户总表!$A:$A,0)),INDEX(账户总表!$U:$U,MATCH($A76,账户总表!$A:$A,0))&lt;&gt;"是"),"现金不足且不允许转入",IF(AND(Z76="是",AB76&lt;=0),"转入金额未满足",""))))))))))))</f>
        <v/>
      </c>
      <c r="AE76" s="33"/>
    </row>
    <row r="77" customFormat="false" ht="15" hidden="false" customHeight="true" outlineLevel="0" collapsed="false">
      <c r="A77" s="32"/>
      <c r="B77" s="33"/>
      <c r="C77" s="34"/>
      <c r="D77" s="35"/>
      <c r="E77" s="35"/>
      <c r="F77" s="35"/>
      <c r="G77" s="36"/>
      <c r="H77" s="34"/>
      <c r="I77" s="34"/>
      <c r="J77" s="33"/>
      <c r="K77" s="37" t="str">
        <f aca="false">IF($A77="","",IF(AND(G77&lt;45%,H77&gt;=0.9),"A",IF(AND(G77&lt;60%,H77&gt;0.8),"B","C")))</f>
        <v/>
      </c>
      <c r="L77" s="37" t="str">
        <f aca="false">IF($A77="","",IF(AND(G77&lt;60%,H77&gt;0.8,I77="True"),"是","否"))</f>
        <v/>
      </c>
      <c r="M77" s="37" t="str">
        <f aca="false">IF($A77="","",IF(AND(D77&gt;0,E77&gt;0,D77&lt;=E77*1.02),"是","否"))</f>
        <v/>
      </c>
      <c r="N77" s="38" t="n">
        <f aca="false">IFERROR(INDEX(账户总表!$O:$O,MATCH($A77,账户总表!$A:$A,0)),0)</f>
        <v>0</v>
      </c>
      <c r="O77" s="39" t="n">
        <f aca="false">IFERROR(INDEX(账户总表!$B:$B,MATCH($A77,账户总表!$A:$A,0))*N77,0)</f>
        <v>0</v>
      </c>
      <c r="P77" s="40" t="n">
        <f aca="false">IFERROR(O77/D77,0)</f>
        <v>0</v>
      </c>
      <c r="Q77" s="40" t="n">
        <f aca="false">IFERROR(FLOOR(P77,100),0)</f>
        <v>0</v>
      </c>
      <c r="R77" s="40" t="n">
        <f aca="false">IFERROR(CEILING(800/(100*D77),1)*100,0)</f>
        <v>0</v>
      </c>
      <c r="S77" s="41"/>
      <c r="T77" s="39" t="n">
        <f aca="false">IFERROR(S77*D77,0)</f>
        <v>0</v>
      </c>
      <c r="U77" s="38" t="n">
        <f aca="false">IFERROR(T77/INDEX(账户总表!$B:$B,MATCH($A77,账户总表!$A:$A,0)),0)</f>
        <v>0</v>
      </c>
      <c r="V77" s="38" t="n">
        <f aca="false">IFERROR(INDEX(账户总表!$E:$E,MATCH($A77,账户总表!$A:$A,0))+U77,0)</f>
        <v>0</v>
      </c>
      <c r="W77" s="37" t="str">
        <f aca="false">IF($A77="","",IFERROR(IF(V77&lt;=INDEX(账户总表!$N:$N,MATCH($A77,账户总表!$A:$A,0)),"是","否"),"否"))</f>
        <v/>
      </c>
      <c r="X77" s="39" t="str">
        <f aca="false">IF($A77="","",MAX(F77*0.98,D77*0.92))</f>
        <v/>
      </c>
      <c r="Y77" s="34"/>
      <c r="Z77" s="37" t="str">
        <f aca="false">IF($A77="","",IFERROR(IF(AND(T77&gt;INDEX(账户总表!$C:$C,MATCH($A77,账户总表!$A:$A,0)),L77="是"),"是","否"),"否"))</f>
        <v/>
      </c>
      <c r="AA77" s="39" t="str">
        <f aca="false">IF($A77="","",IFERROR(IF(Z77="是",MAX(0,T77-INDEX(账户总表!$C:$C,MATCH($A77,账户总表!$A:$A,0)),IF(N77&gt;0,T77/N77-INDEX(账户总表!$B:$B,MATCH($A77,账户总表!$A:$A,0)),0)),0),0))</f>
        <v/>
      </c>
      <c r="AB77" s="39" t="str">
        <f aca="false">IF($A77="","",IF(AND(Z77="是",INDEX(账户总表!$U:$U,MATCH($A77,账户总表!$A:$A,0))="是"),IF(INDEX(账户总表!$L:$L,MATCH($A77,账户总表!$A:$A,0))&gt;=4,AA77*1.5,AA77),0))</f>
        <v/>
      </c>
      <c r="AC77" s="42" t="str">
        <f aca="false">IF($A77="","",IF(AND(L77="是",Q77&gt;=R77,S77&lt;=Q77,S77&gt;=R77,W77="是",X77&gt;0,M77="是",INDEX(账户总表!$M:$M,MATCH($A77,账户总表!$A:$A,0))&lt;=2,INDEX(账户总表!$V:$V,MATCH($A77,账户总表!$A:$A,0))="是",OR(T77&lt;=INDEX(账户总表!$C:$C,MATCH($A77,账户总表!$A:$A,0)),AND(Z77="是",INDEX(账户总表!$U:$U,MATCH($A77,账户总表!$A:$A,0))="是",AB77&gt;0))),"是","否"))</f>
        <v/>
      </c>
      <c r="AD77" s="37" t="str">
        <f aca="false">IF($A77="","",IF(L77&lt;&gt;"是","信号未确认",IF(X77&lt;=0,"止损价未定义",IF(Q77&lt;R77,"100股约束不满足",IF(S77&gt;Q77,"计划股数超单股上限",IF(S77&lt;R77,"计划股数低于最小门槛",IF(W77&lt;&gt;"是","总仓位超限",IF(M77&lt;&gt;"是","追价",IF(INDEX(账户总表!$M:$M,MATCH($A77,账户总表!$A:$A,0))&gt;2,"亏钱效应偏高",IF(INDEX(账户总表!$V:$V,MATCH($A77,账户总表!$A:$A,0))&lt;&gt;"是","账户不允许新开仓",IF(AND(T77&gt;INDEX(账户总表!$C:$C,MATCH($A77,账户总表!$A:$A,0)),INDEX(账户总表!$U:$U,MATCH($A77,账户总表!$A:$A,0))&lt;&gt;"是"),"现金不足且不允许转入",IF(AND(Z77="是",AB77&lt;=0),"转入金额未满足",""))))))))))))</f>
        <v/>
      </c>
      <c r="AE77" s="33"/>
    </row>
    <row r="78" customFormat="false" ht="15" hidden="false" customHeight="true" outlineLevel="0" collapsed="false">
      <c r="A78" s="32"/>
      <c r="B78" s="33"/>
      <c r="C78" s="34"/>
      <c r="D78" s="35"/>
      <c r="E78" s="35"/>
      <c r="F78" s="35"/>
      <c r="G78" s="36"/>
      <c r="H78" s="34"/>
      <c r="I78" s="34"/>
      <c r="J78" s="33"/>
      <c r="K78" s="37" t="str">
        <f aca="false">IF($A78="","",IF(AND(G78&lt;45%,H78&gt;=0.9),"A",IF(AND(G78&lt;60%,H78&gt;0.8),"B","C")))</f>
        <v/>
      </c>
      <c r="L78" s="37" t="str">
        <f aca="false">IF($A78="","",IF(AND(G78&lt;60%,H78&gt;0.8,I78="True"),"是","否"))</f>
        <v/>
      </c>
      <c r="M78" s="37" t="str">
        <f aca="false">IF($A78="","",IF(AND(D78&gt;0,E78&gt;0,D78&lt;=E78*1.02),"是","否"))</f>
        <v/>
      </c>
      <c r="N78" s="38" t="n">
        <f aca="false">IFERROR(INDEX(账户总表!$O:$O,MATCH($A78,账户总表!$A:$A,0)),0)</f>
        <v>0</v>
      </c>
      <c r="O78" s="39" t="n">
        <f aca="false">IFERROR(INDEX(账户总表!$B:$B,MATCH($A78,账户总表!$A:$A,0))*N78,0)</f>
        <v>0</v>
      </c>
      <c r="P78" s="40" t="n">
        <f aca="false">IFERROR(O78/D78,0)</f>
        <v>0</v>
      </c>
      <c r="Q78" s="40" t="n">
        <f aca="false">IFERROR(FLOOR(P78,100),0)</f>
        <v>0</v>
      </c>
      <c r="R78" s="40" t="n">
        <f aca="false">IFERROR(CEILING(800/(100*D78),1)*100,0)</f>
        <v>0</v>
      </c>
      <c r="S78" s="41"/>
      <c r="T78" s="39" t="n">
        <f aca="false">IFERROR(S78*D78,0)</f>
        <v>0</v>
      </c>
      <c r="U78" s="38" t="n">
        <f aca="false">IFERROR(T78/INDEX(账户总表!$B:$B,MATCH($A78,账户总表!$A:$A,0)),0)</f>
        <v>0</v>
      </c>
      <c r="V78" s="38" t="n">
        <f aca="false">IFERROR(INDEX(账户总表!$E:$E,MATCH($A78,账户总表!$A:$A,0))+U78,0)</f>
        <v>0</v>
      </c>
      <c r="W78" s="37" t="str">
        <f aca="false">IF($A78="","",IFERROR(IF(V78&lt;=INDEX(账户总表!$N:$N,MATCH($A78,账户总表!$A:$A,0)),"是","否"),"否"))</f>
        <v/>
      </c>
      <c r="X78" s="39" t="str">
        <f aca="false">IF($A78="","",MAX(F78*0.98,D78*0.92))</f>
        <v/>
      </c>
      <c r="Y78" s="34"/>
      <c r="Z78" s="37" t="str">
        <f aca="false">IF($A78="","",IFERROR(IF(AND(T78&gt;INDEX(账户总表!$C:$C,MATCH($A78,账户总表!$A:$A,0)),L78="是"),"是","否"),"否"))</f>
        <v/>
      </c>
      <c r="AA78" s="39" t="str">
        <f aca="false">IF($A78="","",IFERROR(IF(Z78="是",MAX(0,T78-INDEX(账户总表!$C:$C,MATCH($A78,账户总表!$A:$A,0)),IF(N78&gt;0,T78/N78-INDEX(账户总表!$B:$B,MATCH($A78,账户总表!$A:$A,0)),0)),0),0))</f>
        <v/>
      </c>
      <c r="AB78" s="39" t="str">
        <f aca="false">IF($A78="","",IF(AND(Z78="是",INDEX(账户总表!$U:$U,MATCH($A78,账户总表!$A:$A,0))="是"),IF(INDEX(账户总表!$L:$L,MATCH($A78,账户总表!$A:$A,0))&gt;=4,AA78*1.5,AA78),0))</f>
        <v/>
      </c>
      <c r="AC78" s="42" t="str">
        <f aca="false">IF($A78="","",IF(AND(L78="是",Q78&gt;=R78,S78&lt;=Q78,S78&gt;=R78,W78="是",X78&gt;0,M78="是",INDEX(账户总表!$M:$M,MATCH($A78,账户总表!$A:$A,0))&lt;=2,INDEX(账户总表!$V:$V,MATCH($A78,账户总表!$A:$A,0))="是",OR(T78&lt;=INDEX(账户总表!$C:$C,MATCH($A78,账户总表!$A:$A,0)),AND(Z78="是",INDEX(账户总表!$U:$U,MATCH($A78,账户总表!$A:$A,0))="是",AB78&gt;0))),"是","否"))</f>
        <v/>
      </c>
      <c r="AD78" s="37" t="str">
        <f aca="false">IF($A78="","",IF(L78&lt;&gt;"是","信号未确认",IF(X78&lt;=0,"止损价未定义",IF(Q78&lt;R78,"100股约束不满足",IF(S78&gt;Q78,"计划股数超单股上限",IF(S78&lt;R78,"计划股数低于最小门槛",IF(W78&lt;&gt;"是","总仓位超限",IF(M78&lt;&gt;"是","追价",IF(INDEX(账户总表!$M:$M,MATCH($A78,账户总表!$A:$A,0))&gt;2,"亏钱效应偏高",IF(INDEX(账户总表!$V:$V,MATCH($A78,账户总表!$A:$A,0))&lt;&gt;"是","账户不允许新开仓",IF(AND(T78&gt;INDEX(账户总表!$C:$C,MATCH($A78,账户总表!$A:$A,0)),INDEX(账户总表!$U:$U,MATCH($A78,账户总表!$A:$A,0))&lt;&gt;"是"),"现金不足且不允许转入",IF(AND(Z78="是",AB78&lt;=0),"转入金额未满足",""))))))))))))</f>
        <v/>
      </c>
      <c r="AE78" s="33"/>
    </row>
    <row r="79" customFormat="false" ht="15" hidden="false" customHeight="true" outlineLevel="0" collapsed="false">
      <c r="A79" s="32"/>
      <c r="B79" s="33"/>
      <c r="C79" s="34"/>
      <c r="D79" s="35"/>
      <c r="E79" s="35"/>
      <c r="F79" s="35"/>
      <c r="G79" s="36"/>
      <c r="H79" s="34"/>
      <c r="I79" s="34"/>
      <c r="J79" s="33"/>
      <c r="K79" s="37" t="str">
        <f aca="false">IF($A79="","",IF(AND(G79&lt;45%,H79&gt;=0.9),"A",IF(AND(G79&lt;60%,H79&gt;0.8),"B","C")))</f>
        <v/>
      </c>
      <c r="L79" s="37" t="str">
        <f aca="false">IF($A79="","",IF(AND(G79&lt;60%,H79&gt;0.8,I79="True"),"是","否"))</f>
        <v/>
      </c>
      <c r="M79" s="37" t="str">
        <f aca="false">IF($A79="","",IF(AND(D79&gt;0,E79&gt;0,D79&lt;=E79*1.02),"是","否"))</f>
        <v/>
      </c>
      <c r="N79" s="38" t="n">
        <f aca="false">IFERROR(INDEX(账户总表!$O:$O,MATCH($A79,账户总表!$A:$A,0)),0)</f>
        <v>0</v>
      </c>
      <c r="O79" s="39" t="n">
        <f aca="false">IFERROR(INDEX(账户总表!$B:$B,MATCH($A79,账户总表!$A:$A,0))*N79,0)</f>
        <v>0</v>
      </c>
      <c r="P79" s="40" t="n">
        <f aca="false">IFERROR(O79/D79,0)</f>
        <v>0</v>
      </c>
      <c r="Q79" s="40" t="n">
        <f aca="false">IFERROR(FLOOR(P79,100),0)</f>
        <v>0</v>
      </c>
      <c r="R79" s="40" t="n">
        <f aca="false">IFERROR(CEILING(800/(100*D79),1)*100,0)</f>
        <v>0</v>
      </c>
      <c r="S79" s="41"/>
      <c r="T79" s="39" t="n">
        <f aca="false">IFERROR(S79*D79,0)</f>
        <v>0</v>
      </c>
      <c r="U79" s="38" t="n">
        <f aca="false">IFERROR(T79/INDEX(账户总表!$B:$B,MATCH($A79,账户总表!$A:$A,0)),0)</f>
        <v>0</v>
      </c>
      <c r="V79" s="38" t="n">
        <f aca="false">IFERROR(INDEX(账户总表!$E:$E,MATCH($A79,账户总表!$A:$A,0))+U79,0)</f>
        <v>0</v>
      </c>
      <c r="W79" s="37" t="str">
        <f aca="false">IF($A79="","",IFERROR(IF(V79&lt;=INDEX(账户总表!$N:$N,MATCH($A79,账户总表!$A:$A,0)),"是","否"),"否"))</f>
        <v/>
      </c>
      <c r="X79" s="39" t="str">
        <f aca="false">IF($A79="","",MAX(F79*0.98,D79*0.92))</f>
        <v/>
      </c>
      <c r="Y79" s="34"/>
      <c r="Z79" s="37" t="str">
        <f aca="false">IF($A79="","",IFERROR(IF(AND(T79&gt;INDEX(账户总表!$C:$C,MATCH($A79,账户总表!$A:$A,0)),L79="是"),"是","否"),"否"))</f>
        <v/>
      </c>
      <c r="AA79" s="39" t="str">
        <f aca="false">IF($A79="","",IFERROR(IF(Z79="是",MAX(0,T79-INDEX(账户总表!$C:$C,MATCH($A79,账户总表!$A:$A,0)),IF(N79&gt;0,T79/N79-INDEX(账户总表!$B:$B,MATCH($A79,账户总表!$A:$A,0)),0)),0),0))</f>
        <v/>
      </c>
      <c r="AB79" s="39" t="str">
        <f aca="false">IF($A79="","",IF(AND(Z79="是",INDEX(账户总表!$U:$U,MATCH($A79,账户总表!$A:$A,0))="是"),IF(INDEX(账户总表!$L:$L,MATCH($A79,账户总表!$A:$A,0))&gt;=4,AA79*1.5,AA79),0))</f>
        <v/>
      </c>
      <c r="AC79" s="42" t="str">
        <f aca="false">IF($A79="","",IF(AND(L79="是",Q79&gt;=R79,S79&lt;=Q79,S79&gt;=R79,W79="是",X79&gt;0,M79="是",INDEX(账户总表!$M:$M,MATCH($A79,账户总表!$A:$A,0))&lt;=2,INDEX(账户总表!$V:$V,MATCH($A79,账户总表!$A:$A,0))="是",OR(T79&lt;=INDEX(账户总表!$C:$C,MATCH($A79,账户总表!$A:$A,0)),AND(Z79="是",INDEX(账户总表!$U:$U,MATCH($A79,账户总表!$A:$A,0))="是",AB79&gt;0))),"是","否"))</f>
        <v/>
      </c>
      <c r="AD79" s="37" t="str">
        <f aca="false">IF($A79="","",IF(L79&lt;&gt;"是","信号未确认",IF(X79&lt;=0,"止损价未定义",IF(Q79&lt;R79,"100股约束不满足",IF(S79&gt;Q79,"计划股数超单股上限",IF(S79&lt;R79,"计划股数低于最小门槛",IF(W79&lt;&gt;"是","总仓位超限",IF(M79&lt;&gt;"是","追价",IF(INDEX(账户总表!$M:$M,MATCH($A79,账户总表!$A:$A,0))&gt;2,"亏钱效应偏高",IF(INDEX(账户总表!$V:$V,MATCH($A79,账户总表!$A:$A,0))&lt;&gt;"是","账户不允许新开仓",IF(AND(T79&gt;INDEX(账户总表!$C:$C,MATCH($A79,账户总表!$A:$A,0)),INDEX(账户总表!$U:$U,MATCH($A79,账户总表!$A:$A,0))&lt;&gt;"是"),"现金不足且不允许转入",IF(AND(Z79="是",AB79&lt;=0),"转入金额未满足",""))))))))))))</f>
        <v/>
      </c>
      <c r="AE79" s="33"/>
    </row>
    <row r="80" customFormat="false" ht="15" hidden="false" customHeight="true" outlineLevel="0" collapsed="false">
      <c r="A80" s="32"/>
      <c r="B80" s="33"/>
      <c r="C80" s="34"/>
      <c r="D80" s="35"/>
      <c r="E80" s="35"/>
      <c r="F80" s="35"/>
      <c r="G80" s="36"/>
      <c r="H80" s="34"/>
      <c r="I80" s="34"/>
      <c r="J80" s="33"/>
      <c r="K80" s="37" t="str">
        <f aca="false">IF($A80="","",IF(AND(G80&lt;45%,H80&gt;=0.9),"A",IF(AND(G80&lt;60%,H80&gt;0.8),"B","C")))</f>
        <v/>
      </c>
      <c r="L80" s="37" t="str">
        <f aca="false">IF($A80="","",IF(AND(G80&lt;60%,H80&gt;0.8,I80="True"),"是","否"))</f>
        <v/>
      </c>
      <c r="M80" s="37" t="str">
        <f aca="false">IF($A80="","",IF(AND(D80&gt;0,E80&gt;0,D80&lt;=E80*1.02),"是","否"))</f>
        <v/>
      </c>
      <c r="N80" s="38" t="n">
        <f aca="false">IFERROR(INDEX(账户总表!$O:$O,MATCH($A80,账户总表!$A:$A,0)),0)</f>
        <v>0</v>
      </c>
      <c r="O80" s="39" t="n">
        <f aca="false">IFERROR(INDEX(账户总表!$B:$B,MATCH($A80,账户总表!$A:$A,0))*N80,0)</f>
        <v>0</v>
      </c>
      <c r="P80" s="40" t="n">
        <f aca="false">IFERROR(O80/D80,0)</f>
        <v>0</v>
      </c>
      <c r="Q80" s="40" t="n">
        <f aca="false">IFERROR(FLOOR(P80,100),0)</f>
        <v>0</v>
      </c>
      <c r="R80" s="40" t="n">
        <f aca="false">IFERROR(CEILING(800/(100*D80),1)*100,0)</f>
        <v>0</v>
      </c>
      <c r="S80" s="41"/>
      <c r="T80" s="39" t="n">
        <f aca="false">IFERROR(S80*D80,0)</f>
        <v>0</v>
      </c>
      <c r="U80" s="38" t="n">
        <f aca="false">IFERROR(T80/INDEX(账户总表!$B:$B,MATCH($A80,账户总表!$A:$A,0)),0)</f>
        <v>0</v>
      </c>
      <c r="V80" s="38" t="n">
        <f aca="false">IFERROR(INDEX(账户总表!$E:$E,MATCH($A80,账户总表!$A:$A,0))+U80,0)</f>
        <v>0</v>
      </c>
      <c r="W80" s="37" t="str">
        <f aca="false">IF($A80="","",IFERROR(IF(V80&lt;=INDEX(账户总表!$N:$N,MATCH($A80,账户总表!$A:$A,0)),"是","否"),"否"))</f>
        <v/>
      </c>
      <c r="X80" s="39" t="str">
        <f aca="false">IF($A80="","",MAX(F80*0.98,D80*0.92))</f>
        <v/>
      </c>
      <c r="Y80" s="34"/>
      <c r="Z80" s="37" t="str">
        <f aca="false">IF($A80="","",IFERROR(IF(AND(T80&gt;INDEX(账户总表!$C:$C,MATCH($A80,账户总表!$A:$A,0)),L80="是"),"是","否"),"否"))</f>
        <v/>
      </c>
      <c r="AA80" s="39" t="str">
        <f aca="false">IF($A80="","",IFERROR(IF(Z80="是",MAX(0,T80-INDEX(账户总表!$C:$C,MATCH($A80,账户总表!$A:$A,0)),IF(N80&gt;0,T80/N80-INDEX(账户总表!$B:$B,MATCH($A80,账户总表!$A:$A,0)),0)),0),0))</f>
        <v/>
      </c>
      <c r="AB80" s="39" t="str">
        <f aca="false">IF($A80="","",IF(AND(Z80="是",INDEX(账户总表!$U:$U,MATCH($A80,账户总表!$A:$A,0))="是"),IF(INDEX(账户总表!$L:$L,MATCH($A80,账户总表!$A:$A,0))&gt;=4,AA80*1.5,AA80),0))</f>
        <v/>
      </c>
      <c r="AC80" s="42" t="str">
        <f aca="false">IF($A80="","",IF(AND(L80="是",Q80&gt;=R80,S80&lt;=Q80,S80&gt;=R80,W80="是",X80&gt;0,M80="是",INDEX(账户总表!$M:$M,MATCH($A80,账户总表!$A:$A,0))&lt;=2,INDEX(账户总表!$V:$V,MATCH($A80,账户总表!$A:$A,0))="是",OR(T80&lt;=INDEX(账户总表!$C:$C,MATCH($A80,账户总表!$A:$A,0)),AND(Z80="是",INDEX(账户总表!$U:$U,MATCH($A80,账户总表!$A:$A,0))="是",AB80&gt;0))),"是","否"))</f>
        <v/>
      </c>
      <c r="AD80" s="37" t="str">
        <f aca="false">IF($A80="","",IF(L80&lt;&gt;"是","信号未确认",IF(X80&lt;=0,"止损价未定义",IF(Q80&lt;R80,"100股约束不满足",IF(S80&gt;Q80,"计划股数超单股上限",IF(S80&lt;R80,"计划股数低于最小门槛",IF(W80&lt;&gt;"是","总仓位超限",IF(M80&lt;&gt;"是","追价",IF(INDEX(账户总表!$M:$M,MATCH($A80,账户总表!$A:$A,0))&gt;2,"亏钱效应偏高",IF(INDEX(账户总表!$V:$V,MATCH($A80,账户总表!$A:$A,0))&lt;&gt;"是","账户不允许新开仓",IF(AND(T80&gt;INDEX(账户总表!$C:$C,MATCH($A80,账户总表!$A:$A,0)),INDEX(账户总表!$U:$U,MATCH($A80,账户总表!$A:$A,0))&lt;&gt;"是"),"现金不足且不允许转入",IF(AND(Z80="是",AB80&lt;=0),"转入金额未满足",""))))))))))))</f>
        <v/>
      </c>
      <c r="AE80" s="33"/>
    </row>
    <row r="81" customFormat="false" ht="15" hidden="false" customHeight="true" outlineLevel="0" collapsed="false">
      <c r="A81" s="32"/>
      <c r="B81" s="33"/>
      <c r="C81" s="34"/>
      <c r="D81" s="35"/>
      <c r="E81" s="35"/>
      <c r="F81" s="35"/>
      <c r="G81" s="36"/>
      <c r="H81" s="34"/>
      <c r="I81" s="34"/>
      <c r="J81" s="33"/>
      <c r="K81" s="37" t="str">
        <f aca="false">IF($A81="","",IF(AND(G81&lt;45%,H81&gt;=0.9),"A",IF(AND(G81&lt;60%,H81&gt;0.8),"B","C")))</f>
        <v/>
      </c>
      <c r="L81" s="37" t="str">
        <f aca="false">IF($A81="","",IF(AND(G81&lt;60%,H81&gt;0.8,I81="True"),"是","否"))</f>
        <v/>
      </c>
      <c r="M81" s="37" t="str">
        <f aca="false">IF($A81="","",IF(AND(D81&gt;0,E81&gt;0,D81&lt;=E81*1.02),"是","否"))</f>
        <v/>
      </c>
      <c r="N81" s="38" t="n">
        <f aca="false">IFERROR(INDEX(账户总表!$O:$O,MATCH($A81,账户总表!$A:$A,0)),0)</f>
        <v>0</v>
      </c>
      <c r="O81" s="39" t="n">
        <f aca="false">IFERROR(INDEX(账户总表!$B:$B,MATCH($A81,账户总表!$A:$A,0))*N81,0)</f>
        <v>0</v>
      </c>
      <c r="P81" s="40" t="n">
        <f aca="false">IFERROR(O81/D81,0)</f>
        <v>0</v>
      </c>
      <c r="Q81" s="40" t="n">
        <f aca="false">IFERROR(FLOOR(P81,100),0)</f>
        <v>0</v>
      </c>
      <c r="R81" s="40" t="n">
        <f aca="false">IFERROR(CEILING(800/(100*D81),1)*100,0)</f>
        <v>0</v>
      </c>
      <c r="S81" s="41"/>
      <c r="T81" s="39" t="n">
        <f aca="false">IFERROR(S81*D81,0)</f>
        <v>0</v>
      </c>
      <c r="U81" s="38" t="n">
        <f aca="false">IFERROR(T81/INDEX(账户总表!$B:$B,MATCH($A81,账户总表!$A:$A,0)),0)</f>
        <v>0</v>
      </c>
      <c r="V81" s="38" t="n">
        <f aca="false">IFERROR(INDEX(账户总表!$E:$E,MATCH($A81,账户总表!$A:$A,0))+U81,0)</f>
        <v>0</v>
      </c>
      <c r="W81" s="37" t="str">
        <f aca="false">IF($A81="","",IFERROR(IF(V81&lt;=INDEX(账户总表!$N:$N,MATCH($A81,账户总表!$A:$A,0)),"是","否"),"否"))</f>
        <v/>
      </c>
      <c r="X81" s="39" t="str">
        <f aca="false">IF($A81="","",MAX(F81*0.98,D81*0.92))</f>
        <v/>
      </c>
      <c r="Y81" s="34"/>
      <c r="Z81" s="37" t="str">
        <f aca="false">IF($A81="","",IFERROR(IF(AND(T81&gt;INDEX(账户总表!$C:$C,MATCH($A81,账户总表!$A:$A,0)),L81="是"),"是","否"),"否"))</f>
        <v/>
      </c>
      <c r="AA81" s="39" t="str">
        <f aca="false">IF($A81="","",IFERROR(IF(Z81="是",MAX(0,T81-INDEX(账户总表!$C:$C,MATCH($A81,账户总表!$A:$A,0)),IF(N81&gt;0,T81/N81-INDEX(账户总表!$B:$B,MATCH($A81,账户总表!$A:$A,0)),0)),0),0))</f>
        <v/>
      </c>
      <c r="AB81" s="39" t="str">
        <f aca="false">IF($A81="","",IF(AND(Z81="是",INDEX(账户总表!$U:$U,MATCH($A81,账户总表!$A:$A,0))="是"),IF(INDEX(账户总表!$L:$L,MATCH($A81,账户总表!$A:$A,0))&gt;=4,AA81*1.5,AA81),0))</f>
        <v/>
      </c>
      <c r="AC81" s="42" t="str">
        <f aca="false">IF($A81="","",IF(AND(L81="是",Q81&gt;=R81,S81&lt;=Q81,S81&gt;=R81,W81="是",X81&gt;0,M81="是",INDEX(账户总表!$M:$M,MATCH($A81,账户总表!$A:$A,0))&lt;=2,INDEX(账户总表!$V:$V,MATCH($A81,账户总表!$A:$A,0))="是",OR(T81&lt;=INDEX(账户总表!$C:$C,MATCH($A81,账户总表!$A:$A,0)),AND(Z81="是",INDEX(账户总表!$U:$U,MATCH($A81,账户总表!$A:$A,0))="是",AB81&gt;0))),"是","否"))</f>
        <v/>
      </c>
      <c r="AD81" s="37" t="str">
        <f aca="false">IF($A81="","",IF(L81&lt;&gt;"是","信号未确认",IF(X81&lt;=0,"止损价未定义",IF(Q81&lt;R81,"100股约束不满足",IF(S81&gt;Q81,"计划股数超单股上限",IF(S81&lt;R81,"计划股数低于最小门槛",IF(W81&lt;&gt;"是","总仓位超限",IF(M81&lt;&gt;"是","追价",IF(INDEX(账户总表!$M:$M,MATCH($A81,账户总表!$A:$A,0))&gt;2,"亏钱效应偏高",IF(INDEX(账户总表!$V:$V,MATCH($A81,账户总表!$A:$A,0))&lt;&gt;"是","账户不允许新开仓",IF(AND(T81&gt;INDEX(账户总表!$C:$C,MATCH($A81,账户总表!$A:$A,0)),INDEX(账户总表!$U:$U,MATCH($A81,账户总表!$A:$A,0))&lt;&gt;"是"),"现金不足且不允许转入",IF(AND(Z81="是",AB81&lt;=0),"转入金额未满足",""))))))))))))</f>
        <v/>
      </c>
      <c r="AE81" s="33"/>
    </row>
    <row r="82" customFormat="false" ht="15" hidden="false" customHeight="true" outlineLevel="0" collapsed="false">
      <c r="A82" s="32"/>
      <c r="B82" s="33"/>
      <c r="C82" s="34"/>
      <c r="D82" s="35"/>
      <c r="E82" s="35"/>
      <c r="F82" s="35"/>
      <c r="G82" s="36"/>
      <c r="H82" s="34"/>
      <c r="I82" s="34"/>
      <c r="J82" s="33"/>
      <c r="K82" s="37" t="str">
        <f aca="false">IF($A82="","",IF(AND(G82&lt;45%,H82&gt;=0.9),"A",IF(AND(G82&lt;60%,H82&gt;0.8),"B","C")))</f>
        <v/>
      </c>
      <c r="L82" s="37" t="str">
        <f aca="false">IF($A82="","",IF(AND(G82&lt;60%,H82&gt;0.8,I82="True"),"是","否"))</f>
        <v/>
      </c>
      <c r="M82" s="37" t="str">
        <f aca="false">IF($A82="","",IF(AND(D82&gt;0,E82&gt;0,D82&lt;=E82*1.02),"是","否"))</f>
        <v/>
      </c>
      <c r="N82" s="38" t="n">
        <f aca="false">IFERROR(INDEX(账户总表!$O:$O,MATCH($A82,账户总表!$A:$A,0)),0)</f>
        <v>0</v>
      </c>
      <c r="O82" s="39" t="n">
        <f aca="false">IFERROR(INDEX(账户总表!$B:$B,MATCH($A82,账户总表!$A:$A,0))*N82,0)</f>
        <v>0</v>
      </c>
      <c r="P82" s="40" t="n">
        <f aca="false">IFERROR(O82/D82,0)</f>
        <v>0</v>
      </c>
      <c r="Q82" s="40" t="n">
        <f aca="false">IFERROR(FLOOR(P82,100),0)</f>
        <v>0</v>
      </c>
      <c r="R82" s="40" t="n">
        <f aca="false">IFERROR(CEILING(800/(100*D82),1)*100,0)</f>
        <v>0</v>
      </c>
      <c r="S82" s="41"/>
      <c r="T82" s="39" t="n">
        <f aca="false">IFERROR(S82*D82,0)</f>
        <v>0</v>
      </c>
      <c r="U82" s="38" t="n">
        <f aca="false">IFERROR(T82/INDEX(账户总表!$B:$B,MATCH($A82,账户总表!$A:$A,0)),0)</f>
        <v>0</v>
      </c>
      <c r="V82" s="38" t="n">
        <f aca="false">IFERROR(INDEX(账户总表!$E:$E,MATCH($A82,账户总表!$A:$A,0))+U82,0)</f>
        <v>0</v>
      </c>
      <c r="W82" s="37" t="str">
        <f aca="false">IF($A82="","",IFERROR(IF(V82&lt;=INDEX(账户总表!$N:$N,MATCH($A82,账户总表!$A:$A,0)),"是","否"),"否"))</f>
        <v/>
      </c>
      <c r="X82" s="39" t="str">
        <f aca="false">IF($A82="","",MAX(F82*0.98,D82*0.92))</f>
        <v/>
      </c>
      <c r="Y82" s="34"/>
      <c r="Z82" s="37" t="str">
        <f aca="false">IF($A82="","",IFERROR(IF(AND(T82&gt;INDEX(账户总表!$C:$C,MATCH($A82,账户总表!$A:$A,0)),L82="是"),"是","否"),"否"))</f>
        <v/>
      </c>
      <c r="AA82" s="39" t="str">
        <f aca="false">IF($A82="","",IFERROR(IF(Z82="是",MAX(0,T82-INDEX(账户总表!$C:$C,MATCH($A82,账户总表!$A:$A,0)),IF(N82&gt;0,T82/N82-INDEX(账户总表!$B:$B,MATCH($A82,账户总表!$A:$A,0)),0)),0),0))</f>
        <v/>
      </c>
      <c r="AB82" s="39" t="str">
        <f aca="false">IF($A82="","",IF(AND(Z82="是",INDEX(账户总表!$U:$U,MATCH($A82,账户总表!$A:$A,0))="是"),IF(INDEX(账户总表!$L:$L,MATCH($A82,账户总表!$A:$A,0))&gt;=4,AA82*1.5,AA82),0))</f>
        <v/>
      </c>
      <c r="AC82" s="42" t="str">
        <f aca="false">IF($A82="","",IF(AND(L82="是",Q82&gt;=R82,S82&lt;=Q82,S82&gt;=R82,W82="是",X82&gt;0,M82="是",INDEX(账户总表!$M:$M,MATCH($A82,账户总表!$A:$A,0))&lt;=2,INDEX(账户总表!$V:$V,MATCH($A82,账户总表!$A:$A,0))="是",OR(T82&lt;=INDEX(账户总表!$C:$C,MATCH($A82,账户总表!$A:$A,0)),AND(Z82="是",INDEX(账户总表!$U:$U,MATCH($A82,账户总表!$A:$A,0))="是",AB82&gt;0))),"是","否"))</f>
        <v/>
      </c>
      <c r="AD82" s="37" t="str">
        <f aca="false">IF($A82="","",IF(L82&lt;&gt;"是","信号未确认",IF(X82&lt;=0,"止损价未定义",IF(Q82&lt;R82,"100股约束不满足",IF(S82&gt;Q82,"计划股数超单股上限",IF(S82&lt;R82,"计划股数低于最小门槛",IF(W82&lt;&gt;"是","总仓位超限",IF(M82&lt;&gt;"是","追价",IF(INDEX(账户总表!$M:$M,MATCH($A82,账户总表!$A:$A,0))&gt;2,"亏钱效应偏高",IF(INDEX(账户总表!$V:$V,MATCH($A82,账户总表!$A:$A,0))&lt;&gt;"是","账户不允许新开仓",IF(AND(T82&gt;INDEX(账户总表!$C:$C,MATCH($A82,账户总表!$A:$A,0)),INDEX(账户总表!$U:$U,MATCH($A82,账户总表!$A:$A,0))&lt;&gt;"是"),"现金不足且不允许转入",IF(AND(Z82="是",AB82&lt;=0),"转入金额未满足",""))))))))))))</f>
        <v/>
      </c>
      <c r="AE82" s="33"/>
    </row>
    <row r="83" customFormat="false" ht="15" hidden="false" customHeight="true" outlineLevel="0" collapsed="false">
      <c r="A83" s="32"/>
      <c r="B83" s="33"/>
      <c r="C83" s="34"/>
      <c r="D83" s="35"/>
      <c r="E83" s="35"/>
      <c r="F83" s="35"/>
      <c r="G83" s="36"/>
      <c r="H83" s="34"/>
      <c r="I83" s="34"/>
      <c r="J83" s="33"/>
      <c r="K83" s="37" t="str">
        <f aca="false">IF($A83="","",IF(AND(G83&lt;45%,H83&gt;=0.9),"A",IF(AND(G83&lt;60%,H83&gt;0.8),"B","C")))</f>
        <v/>
      </c>
      <c r="L83" s="37" t="str">
        <f aca="false">IF($A83="","",IF(AND(G83&lt;60%,H83&gt;0.8,I83="True"),"是","否"))</f>
        <v/>
      </c>
      <c r="M83" s="37" t="str">
        <f aca="false">IF($A83="","",IF(AND(D83&gt;0,E83&gt;0,D83&lt;=E83*1.02),"是","否"))</f>
        <v/>
      </c>
      <c r="N83" s="38" t="n">
        <f aca="false">IFERROR(INDEX(账户总表!$O:$O,MATCH($A83,账户总表!$A:$A,0)),0)</f>
        <v>0</v>
      </c>
      <c r="O83" s="39" t="n">
        <f aca="false">IFERROR(INDEX(账户总表!$B:$B,MATCH($A83,账户总表!$A:$A,0))*N83,0)</f>
        <v>0</v>
      </c>
      <c r="P83" s="40" t="n">
        <f aca="false">IFERROR(O83/D83,0)</f>
        <v>0</v>
      </c>
      <c r="Q83" s="40" t="n">
        <f aca="false">IFERROR(FLOOR(P83,100),0)</f>
        <v>0</v>
      </c>
      <c r="R83" s="40" t="n">
        <f aca="false">IFERROR(CEILING(800/(100*D83),1)*100,0)</f>
        <v>0</v>
      </c>
      <c r="S83" s="41"/>
      <c r="T83" s="39" t="n">
        <f aca="false">IFERROR(S83*D83,0)</f>
        <v>0</v>
      </c>
      <c r="U83" s="38" t="n">
        <f aca="false">IFERROR(T83/INDEX(账户总表!$B:$B,MATCH($A83,账户总表!$A:$A,0)),0)</f>
        <v>0</v>
      </c>
      <c r="V83" s="38" t="n">
        <f aca="false">IFERROR(INDEX(账户总表!$E:$E,MATCH($A83,账户总表!$A:$A,0))+U83,0)</f>
        <v>0</v>
      </c>
      <c r="W83" s="37" t="str">
        <f aca="false">IF($A83="","",IFERROR(IF(V83&lt;=INDEX(账户总表!$N:$N,MATCH($A83,账户总表!$A:$A,0)),"是","否"),"否"))</f>
        <v/>
      </c>
      <c r="X83" s="39" t="str">
        <f aca="false">IF($A83="","",MAX(F83*0.98,D83*0.92))</f>
        <v/>
      </c>
      <c r="Y83" s="34"/>
      <c r="Z83" s="37" t="str">
        <f aca="false">IF($A83="","",IFERROR(IF(AND(T83&gt;INDEX(账户总表!$C:$C,MATCH($A83,账户总表!$A:$A,0)),L83="是"),"是","否"),"否"))</f>
        <v/>
      </c>
      <c r="AA83" s="39" t="str">
        <f aca="false">IF($A83="","",IFERROR(IF(Z83="是",MAX(0,T83-INDEX(账户总表!$C:$C,MATCH($A83,账户总表!$A:$A,0)),IF(N83&gt;0,T83/N83-INDEX(账户总表!$B:$B,MATCH($A83,账户总表!$A:$A,0)),0)),0),0))</f>
        <v/>
      </c>
      <c r="AB83" s="39" t="str">
        <f aca="false">IF($A83="","",IF(AND(Z83="是",INDEX(账户总表!$U:$U,MATCH($A83,账户总表!$A:$A,0))="是"),IF(INDEX(账户总表!$L:$L,MATCH($A83,账户总表!$A:$A,0))&gt;=4,AA83*1.5,AA83),0))</f>
        <v/>
      </c>
      <c r="AC83" s="42" t="str">
        <f aca="false">IF($A83="","",IF(AND(L83="是",Q83&gt;=R83,S83&lt;=Q83,S83&gt;=R83,W83="是",X83&gt;0,M83="是",INDEX(账户总表!$M:$M,MATCH($A83,账户总表!$A:$A,0))&lt;=2,INDEX(账户总表!$V:$V,MATCH($A83,账户总表!$A:$A,0))="是",OR(T83&lt;=INDEX(账户总表!$C:$C,MATCH($A83,账户总表!$A:$A,0)),AND(Z83="是",INDEX(账户总表!$U:$U,MATCH($A83,账户总表!$A:$A,0))="是",AB83&gt;0))),"是","否"))</f>
        <v/>
      </c>
      <c r="AD83" s="37" t="str">
        <f aca="false">IF($A83="","",IF(L83&lt;&gt;"是","信号未确认",IF(X83&lt;=0,"止损价未定义",IF(Q83&lt;R83,"100股约束不满足",IF(S83&gt;Q83,"计划股数超单股上限",IF(S83&lt;R83,"计划股数低于最小门槛",IF(W83&lt;&gt;"是","总仓位超限",IF(M83&lt;&gt;"是","追价",IF(INDEX(账户总表!$M:$M,MATCH($A83,账户总表!$A:$A,0))&gt;2,"亏钱效应偏高",IF(INDEX(账户总表!$V:$V,MATCH($A83,账户总表!$A:$A,0))&lt;&gt;"是","账户不允许新开仓",IF(AND(T83&gt;INDEX(账户总表!$C:$C,MATCH($A83,账户总表!$A:$A,0)),INDEX(账户总表!$U:$U,MATCH($A83,账户总表!$A:$A,0))&lt;&gt;"是"),"现金不足且不允许转入",IF(AND(Z83="是",AB83&lt;=0),"转入金额未满足",""))))))))))))</f>
        <v/>
      </c>
      <c r="AE83" s="33"/>
    </row>
    <row r="84" customFormat="false" ht="15" hidden="false" customHeight="true" outlineLevel="0" collapsed="false">
      <c r="A84" s="32"/>
      <c r="B84" s="33"/>
      <c r="C84" s="34"/>
      <c r="D84" s="35"/>
      <c r="E84" s="35"/>
      <c r="F84" s="35"/>
      <c r="G84" s="36"/>
      <c r="H84" s="34"/>
      <c r="I84" s="34"/>
      <c r="J84" s="33"/>
      <c r="K84" s="37" t="str">
        <f aca="false">IF($A84="","",IF(AND(G84&lt;45%,H84&gt;=0.9),"A",IF(AND(G84&lt;60%,H84&gt;0.8),"B","C")))</f>
        <v/>
      </c>
      <c r="L84" s="37" t="str">
        <f aca="false">IF($A84="","",IF(AND(G84&lt;60%,H84&gt;0.8,I84="True"),"是","否"))</f>
        <v/>
      </c>
      <c r="M84" s="37" t="str">
        <f aca="false">IF($A84="","",IF(AND(D84&gt;0,E84&gt;0,D84&lt;=E84*1.02),"是","否"))</f>
        <v/>
      </c>
      <c r="N84" s="38" t="n">
        <f aca="false">IFERROR(INDEX(账户总表!$O:$O,MATCH($A84,账户总表!$A:$A,0)),0)</f>
        <v>0</v>
      </c>
      <c r="O84" s="39" t="n">
        <f aca="false">IFERROR(INDEX(账户总表!$B:$B,MATCH($A84,账户总表!$A:$A,0))*N84,0)</f>
        <v>0</v>
      </c>
      <c r="P84" s="40" t="n">
        <f aca="false">IFERROR(O84/D84,0)</f>
        <v>0</v>
      </c>
      <c r="Q84" s="40" t="n">
        <f aca="false">IFERROR(FLOOR(P84,100),0)</f>
        <v>0</v>
      </c>
      <c r="R84" s="40" t="n">
        <f aca="false">IFERROR(CEILING(800/(100*D84),1)*100,0)</f>
        <v>0</v>
      </c>
      <c r="S84" s="41"/>
      <c r="T84" s="39" t="n">
        <f aca="false">IFERROR(S84*D84,0)</f>
        <v>0</v>
      </c>
      <c r="U84" s="38" t="n">
        <f aca="false">IFERROR(T84/INDEX(账户总表!$B:$B,MATCH($A84,账户总表!$A:$A,0)),0)</f>
        <v>0</v>
      </c>
      <c r="V84" s="38" t="n">
        <f aca="false">IFERROR(INDEX(账户总表!$E:$E,MATCH($A84,账户总表!$A:$A,0))+U84,0)</f>
        <v>0</v>
      </c>
      <c r="W84" s="37" t="str">
        <f aca="false">IF($A84="","",IFERROR(IF(V84&lt;=INDEX(账户总表!$N:$N,MATCH($A84,账户总表!$A:$A,0)),"是","否"),"否"))</f>
        <v/>
      </c>
      <c r="X84" s="39" t="str">
        <f aca="false">IF($A84="","",MAX(F84*0.98,D84*0.92))</f>
        <v/>
      </c>
      <c r="Y84" s="34"/>
      <c r="Z84" s="37" t="str">
        <f aca="false">IF($A84="","",IFERROR(IF(AND(T84&gt;INDEX(账户总表!$C:$C,MATCH($A84,账户总表!$A:$A,0)),L84="是"),"是","否"),"否"))</f>
        <v/>
      </c>
      <c r="AA84" s="39" t="str">
        <f aca="false">IF($A84="","",IFERROR(IF(Z84="是",MAX(0,T84-INDEX(账户总表!$C:$C,MATCH($A84,账户总表!$A:$A,0)),IF(N84&gt;0,T84/N84-INDEX(账户总表!$B:$B,MATCH($A84,账户总表!$A:$A,0)),0)),0),0))</f>
        <v/>
      </c>
      <c r="AB84" s="39" t="str">
        <f aca="false">IF($A84="","",IF(AND(Z84="是",INDEX(账户总表!$U:$U,MATCH($A84,账户总表!$A:$A,0))="是"),IF(INDEX(账户总表!$L:$L,MATCH($A84,账户总表!$A:$A,0))&gt;=4,AA84*1.5,AA84),0))</f>
        <v/>
      </c>
      <c r="AC84" s="42" t="str">
        <f aca="false">IF($A84="","",IF(AND(L84="是",Q84&gt;=R84,S84&lt;=Q84,S84&gt;=R84,W84="是",X84&gt;0,M84="是",INDEX(账户总表!$M:$M,MATCH($A84,账户总表!$A:$A,0))&lt;=2,INDEX(账户总表!$V:$V,MATCH($A84,账户总表!$A:$A,0))="是",OR(T84&lt;=INDEX(账户总表!$C:$C,MATCH($A84,账户总表!$A:$A,0)),AND(Z84="是",INDEX(账户总表!$U:$U,MATCH($A84,账户总表!$A:$A,0))="是",AB84&gt;0))),"是","否"))</f>
        <v/>
      </c>
      <c r="AD84" s="37" t="str">
        <f aca="false">IF($A84="","",IF(L84&lt;&gt;"是","信号未确认",IF(X84&lt;=0,"止损价未定义",IF(Q84&lt;R84,"100股约束不满足",IF(S84&gt;Q84,"计划股数超单股上限",IF(S84&lt;R84,"计划股数低于最小门槛",IF(W84&lt;&gt;"是","总仓位超限",IF(M84&lt;&gt;"是","追价",IF(INDEX(账户总表!$M:$M,MATCH($A84,账户总表!$A:$A,0))&gt;2,"亏钱效应偏高",IF(INDEX(账户总表!$V:$V,MATCH($A84,账户总表!$A:$A,0))&lt;&gt;"是","账户不允许新开仓",IF(AND(T84&gt;INDEX(账户总表!$C:$C,MATCH($A84,账户总表!$A:$A,0)),INDEX(账户总表!$U:$U,MATCH($A84,账户总表!$A:$A,0))&lt;&gt;"是"),"现金不足且不允许转入",IF(AND(Z84="是",AB84&lt;=0),"转入金额未满足",""))))))))))))</f>
        <v/>
      </c>
      <c r="AE84" s="33"/>
    </row>
    <row r="85" customFormat="false" ht="15" hidden="false" customHeight="true" outlineLevel="0" collapsed="false">
      <c r="A85" s="32"/>
      <c r="B85" s="33"/>
      <c r="C85" s="34"/>
      <c r="D85" s="35"/>
      <c r="E85" s="35"/>
      <c r="F85" s="35"/>
      <c r="G85" s="36"/>
      <c r="H85" s="34"/>
      <c r="I85" s="34"/>
      <c r="J85" s="33"/>
      <c r="K85" s="37" t="str">
        <f aca="false">IF($A85="","",IF(AND(G85&lt;45%,H85&gt;=0.9),"A",IF(AND(G85&lt;60%,H85&gt;0.8),"B","C")))</f>
        <v/>
      </c>
      <c r="L85" s="37" t="str">
        <f aca="false">IF($A85="","",IF(AND(G85&lt;60%,H85&gt;0.8,I85="True"),"是","否"))</f>
        <v/>
      </c>
      <c r="M85" s="37" t="str">
        <f aca="false">IF($A85="","",IF(AND(D85&gt;0,E85&gt;0,D85&lt;=E85*1.02),"是","否"))</f>
        <v/>
      </c>
      <c r="N85" s="38" t="n">
        <f aca="false">IFERROR(INDEX(账户总表!$O:$O,MATCH($A85,账户总表!$A:$A,0)),0)</f>
        <v>0</v>
      </c>
      <c r="O85" s="39" t="n">
        <f aca="false">IFERROR(INDEX(账户总表!$B:$B,MATCH($A85,账户总表!$A:$A,0))*N85,0)</f>
        <v>0</v>
      </c>
      <c r="P85" s="40" t="n">
        <f aca="false">IFERROR(O85/D85,0)</f>
        <v>0</v>
      </c>
      <c r="Q85" s="40" t="n">
        <f aca="false">IFERROR(FLOOR(P85,100),0)</f>
        <v>0</v>
      </c>
      <c r="R85" s="40" t="n">
        <f aca="false">IFERROR(CEILING(800/(100*D85),1)*100,0)</f>
        <v>0</v>
      </c>
      <c r="S85" s="41"/>
      <c r="T85" s="39" t="n">
        <f aca="false">IFERROR(S85*D85,0)</f>
        <v>0</v>
      </c>
      <c r="U85" s="38" t="n">
        <f aca="false">IFERROR(T85/INDEX(账户总表!$B:$B,MATCH($A85,账户总表!$A:$A,0)),0)</f>
        <v>0</v>
      </c>
      <c r="V85" s="38" t="n">
        <f aca="false">IFERROR(INDEX(账户总表!$E:$E,MATCH($A85,账户总表!$A:$A,0))+U85,0)</f>
        <v>0</v>
      </c>
      <c r="W85" s="37" t="str">
        <f aca="false">IF($A85="","",IFERROR(IF(V85&lt;=INDEX(账户总表!$N:$N,MATCH($A85,账户总表!$A:$A,0)),"是","否"),"否"))</f>
        <v/>
      </c>
      <c r="X85" s="39" t="str">
        <f aca="false">IF($A85="","",MAX(F85*0.98,D85*0.92))</f>
        <v/>
      </c>
      <c r="Y85" s="34"/>
      <c r="Z85" s="37" t="str">
        <f aca="false">IF($A85="","",IFERROR(IF(AND(T85&gt;INDEX(账户总表!$C:$C,MATCH($A85,账户总表!$A:$A,0)),L85="是"),"是","否"),"否"))</f>
        <v/>
      </c>
      <c r="AA85" s="39" t="str">
        <f aca="false">IF($A85="","",IFERROR(IF(Z85="是",MAX(0,T85-INDEX(账户总表!$C:$C,MATCH($A85,账户总表!$A:$A,0)),IF(N85&gt;0,T85/N85-INDEX(账户总表!$B:$B,MATCH($A85,账户总表!$A:$A,0)),0)),0),0))</f>
        <v/>
      </c>
      <c r="AB85" s="39" t="str">
        <f aca="false">IF($A85="","",IF(AND(Z85="是",INDEX(账户总表!$U:$U,MATCH($A85,账户总表!$A:$A,0))="是"),IF(INDEX(账户总表!$L:$L,MATCH($A85,账户总表!$A:$A,0))&gt;=4,AA85*1.5,AA85),0))</f>
        <v/>
      </c>
      <c r="AC85" s="42" t="str">
        <f aca="false">IF($A85="","",IF(AND(L85="是",Q85&gt;=R85,S85&lt;=Q85,S85&gt;=R85,W85="是",X85&gt;0,M85="是",INDEX(账户总表!$M:$M,MATCH($A85,账户总表!$A:$A,0))&lt;=2,INDEX(账户总表!$V:$V,MATCH($A85,账户总表!$A:$A,0))="是",OR(T85&lt;=INDEX(账户总表!$C:$C,MATCH($A85,账户总表!$A:$A,0)),AND(Z85="是",INDEX(账户总表!$U:$U,MATCH($A85,账户总表!$A:$A,0))="是",AB85&gt;0))),"是","否"))</f>
        <v/>
      </c>
      <c r="AD85" s="37" t="str">
        <f aca="false">IF($A85="","",IF(L85&lt;&gt;"是","信号未确认",IF(X85&lt;=0,"止损价未定义",IF(Q85&lt;R85,"100股约束不满足",IF(S85&gt;Q85,"计划股数超单股上限",IF(S85&lt;R85,"计划股数低于最小门槛",IF(W85&lt;&gt;"是","总仓位超限",IF(M85&lt;&gt;"是","追价",IF(INDEX(账户总表!$M:$M,MATCH($A85,账户总表!$A:$A,0))&gt;2,"亏钱效应偏高",IF(INDEX(账户总表!$V:$V,MATCH($A85,账户总表!$A:$A,0))&lt;&gt;"是","账户不允许新开仓",IF(AND(T85&gt;INDEX(账户总表!$C:$C,MATCH($A85,账户总表!$A:$A,0)),INDEX(账户总表!$U:$U,MATCH($A85,账户总表!$A:$A,0))&lt;&gt;"是"),"现金不足且不允许转入",IF(AND(Z85="是",AB85&lt;=0),"转入金额未满足",""))))))))))))</f>
        <v/>
      </c>
      <c r="AE85" s="33"/>
    </row>
    <row r="86" customFormat="false" ht="15" hidden="false" customHeight="true" outlineLevel="0" collapsed="false">
      <c r="A86" s="32"/>
      <c r="B86" s="33"/>
      <c r="C86" s="34"/>
      <c r="D86" s="35"/>
      <c r="E86" s="35"/>
      <c r="F86" s="35"/>
      <c r="G86" s="36"/>
      <c r="H86" s="34"/>
      <c r="I86" s="34"/>
      <c r="J86" s="33"/>
      <c r="K86" s="37" t="str">
        <f aca="false">IF($A86="","",IF(AND(G86&lt;45%,H86&gt;=0.9),"A",IF(AND(G86&lt;60%,H86&gt;0.8),"B","C")))</f>
        <v/>
      </c>
      <c r="L86" s="37" t="str">
        <f aca="false">IF($A86="","",IF(AND(G86&lt;60%,H86&gt;0.8,I86="True"),"是","否"))</f>
        <v/>
      </c>
      <c r="M86" s="37" t="str">
        <f aca="false">IF($A86="","",IF(AND(D86&gt;0,E86&gt;0,D86&lt;=E86*1.02),"是","否"))</f>
        <v/>
      </c>
      <c r="N86" s="38" t="n">
        <f aca="false">IFERROR(INDEX(账户总表!$O:$O,MATCH($A86,账户总表!$A:$A,0)),0)</f>
        <v>0</v>
      </c>
      <c r="O86" s="39" t="n">
        <f aca="false">IFERROR(INDEX(账户总表!$B:$B,MATCH($A86,账户总表!$A:$A,0))*N86,0)</f>
        <v>0</v>
      </c>
      <c r="P86" s="40" t="n">
        <f aca="false">IFERROR(O86/D86,0)</f>
        <v>0</v>
      </c>
      <c r="Q86" s="40" t="n">
        <f aca="false">IFERROR(FLOOR(P86,100),0)</f>
        <v>0</v>
      </c>
      <c r="R86" s="40" t="n">
        <f aca="false">IFERROR(CEILING(800/(100*D86),1)*100,0)</f>
        <v>0</v>
      </c>
      <c r="S86" s="41"/>
      <c r="T86" s="39" t="n">
        <f aca="false">IFERROR(S86*D86,0)</f>
        <v>0</v>
      </c>
      <c r="U86" s="38" t="n">
        <f aca="false">IFERROR(T86/INDEX(账户总表!$B:$B,MATCH($A86,账户总表!$A:$A,0)),0)</f>
        <v>0</v>
      </c>
      <c r="V86" s="38" t="n">
        <f aca="false">IFERROR(INDEX(账户总表!$E:$E,MATCH($A86,账户总表!$A:$A,0))+U86,0)</f>
        <v>0</v>
      </c>
      <c r="W86" s="37" t="str">
        <f aca="false">IF($A86="","",IFERROR(IF(V86&lt;=INDEX(账户总表!$N:$N,MATCH($A86,账户总表!$A:$A,0)),"是","否"),"否"))</f>
        <v/>
      </c>
      <c r="X86" s="39" t="str">
        <f aca="false">IF($A86="","",MAX(F86*0.98,D86*0.92))</f>
        <v/>
      </c>
      <c r="Y86" s="34"/>
      <c r="Z86" s="37" t="str">
        <f aca="false">IF($A86="","",IFERROR(IF(AND(T86&gt;INDEX(账户总表!$C:$C,MATCH($A86,账户总表!$A:$A,0)),L86="是"),"是","否"),"否"))</f>
        <v/>
      </c>
      <c r="AA86" s="39" t="str">
        <f aca="false">IF($A86="","",IFERROR(IF(Z86="是",MAX(0,T86-INDEX(账户总表!$C:$C,MATCH($A86,账户总表!$A:$A,0)),IF(N86&gt;0,T86/N86-INDEX(账户总表!$B:$B,MATCH($A86,账户总表!$A:$A,0)),0)),0),0))</f>
        <v/>
      </c>
      <c r="AB86" s="39" t="str">
        <f aca="false">IF($A86="","",IF(AND(Z86="是",INDEX(账户总表!$U:$U,MATCH($A86,账户总表!$A:$A,0))="是"),IF(INDEX(账户总表!$L:$L,MATCH($A86,账户总表!$A:$A,0))&gt;=4,AA86*1.5,AA86),0))</f>
        <v/>
      </c>
      <c r="AC86" s="42" t="str">
        <f aca="false">IF($A86="","",IF(AND(L86="是",Q86&gt;=R86,S86&lt;=Q86,S86&gt;=R86,W86="是",X86&gt;0,M86="是",INDEX(账户总表!$M:$M,MATCH($A86,账户总表!$A:$A,0))&lt;=2,INDEX(账户总表!$V:$V,MATCH($A86,账户总表!$A:$A,0))="是",OR(T86&lt;=INDEX(账户总表!$C:$C,MATCH($A86,账户总表!$A:$A,0)),AND(Z86="是",INDEX(账户总表!$U:$U,MATCH($A86,账户总表!$A:$A,0))="是",AB86&gt;0))),"是","否"))</f>
        <v/>
      </c>
      <c r="AD86" s="37" t="str">
        <f aca="false">IF($A86="","",IF(L86&lt;&gt;"是","信号未确认",IF(X86&lt;=0,"止损价未定义",IF(Q86&lt;R86,"100股约束不满足",IF(S86&gt;Q86,"计划股数超单股上限",IF(S86&lt;R86,"计划股数低于最小门槛",IF(W86&lt;&gt;"是","总仓位超限",IF(M86&lt;&gt;"是","追价",IF(INDEX(账户总表!$M:$M,MATCH($A86,账户总表!$A:$A,0))&gt;2,"亏钱效应偏高",IF(INDEX(账户总表!$V:$V,MATCH($A86,账户总表!$A:$A,0))&lt;&gt;"是","账户不允许新开仓",IF(AND(T86&gt;INDEX(账户总表!$C:$C,MATCH($A86,账户总表!$A:$A,0)),INDEX(账户总表!$U:$U,MATCH($A86,账户总表!$A:$A,0))&lt;&gt;"是"),"现金不足且不允许转入",IF(AND(Z86="是",AB86&lt;=0),"转入金额未满足",""))))))))))))</f>
        <v/>
      </c>
      <c r="AE86" s="33"/>
    </row>
    <row r="87" customFormat="false" ht="15" hidden="false" customHeight="true" outlineLevel="0" collapsed="false">
      <c r="A87" s="32"/>
      <c r="B87" s="33"/>
      <c r="C87" s="34"/>
      <c r="D87" s="35"/>
      <c r="E87" s="35"/>
      <c r="F87" s="35"/>
      <c r="G87" s="36"/>
      <c r="H87" s="34"/>
      <c r="I87" s="34"/>
      <c r="J87" s="33"/>
      <c r="K87" s="37" t="str">
        <f aca="false">IF($A87="","",IF(AND(G87&lt;45%,H87&gt;=0.9),"A",IF(AND(G87&lt;60%,H87&gt;0.8),"B","C")))</f>
        <v/>
      </c>
      <c r="L87" s="37" t="str">
        <f aca="false">IF($A87="","",IF(AND(G87&lt;60%,H87&gt;0.8,I87="True"),"是","否"))</f>
        <v/>
      </c>
      <c r="M87" s="37" t="str">
        <f aca="false">IF($A87="","",IF(AND(D87&gt;0,E87&gt;0,D87&lt;=E87*1.02),"是","否"))</f>
        <v/>
      </c>
      <c r="N87" s="38" t="n">
        <f aca="false">IFERROR(INDEX(账户总表!$O:$O,MATCH($A87,账户总表!$A:$A,0)),0)</f>
        <v>0</v>
      </c>
      <c r="O87" s="39" t="n">
        <f aca="false">IFERROR(INDEX(账户总表!$B:$B,MATCH($A87,账户总表!$A:$A,0))*N87,0)</f>
        <v>0</v>
      </c>
      <c r="P87" s="40" t="n">
        <f aca="false">IFERROR(O87/D87,0)</f>
        <v>0</v>
      </c>
      <c r="Q87" s="40" t="n">
        <f aca="false">IFERROR(FLOOR(P87,100),0)</f>
        <v>0</v>
      </c>
      <c r="R87" s="40" t="n">
        <f aca="false">IFERROR(CEILING(800/(100*D87),1)*100,0)</f>
        <v>0</v>
      </c>
      <c r="S87" s="41"/>
      <c r="T87" s="39" t="n">
        <f aca="false">IFERROR(S87*D87,0)</f>
        <v>0</v>
      </c>
      <c r="U87" s="38" t="n">
        <f aca="false">IFERROR(T87/INDEX(账户总表!$B:$B,MATCH($A87,账户总表!$A:$A,0)),0)</f>
        <v>0</v>
      </c>
      <c r="V87" s="38" t="n">
        <f aca="false">IFERROR(INDEX(账户总表!$E:$E,MATCH($A87,账户总表!$A:$A,0))+U87,0)</f>
        <v>0</v>
      </c>
      <c r="W87" s="37" t="str">
        <f aca="false">IF($A87="","",IFERROR(IF(V87&lt;=INDEX(账户总表!$N:$N,MATCH($A87,账户总表!$A:$A,0)),"是","否"),"否"))</f>
        <v/>
      </c>
      <c r="X87" s="39" t="str">
        <f aca="false">IF($A87="","",MAX(F87*0.98,D87*0.92))</f>
        <v/>
      </c>
      <c r="Y87" s="34"/>
      <c r="Z87" s="37" t="str">
        <f aca="false">IF($A87="","",IFERROR(IF(AND(T87&gt;INDEX(账户总表!$C:$C,MATCH($A87,账户总表!$A:$A,0)),L87="是"),"是","否"),"否"))</f>
        <v/>
      </c>
      <c r="AA87" s="39" t="str">
        <f aca="false">IF($A87="","",IFERROR(IF(Z87="是",MAX(0,T87-INDEX(账户总表!$C:$C,MATCH($A87,账户总表!$A:$A,0)),IF(N87&gt;0,T87/N87-INDEX(账户总表!$B:$B,MATCH($A87,账户总表!$A:$A,0)),0)),0),0))</f>
        <v/>
      </c>
      <c r="AB87" s="39" t="str">
        <f aca="false">IF($A87="","",IF(AND(Z87="是",INDEX(账户总表!$U:$U,MATCH($A87,账户总表!$A:$A,0))="是"),IF(INDEX(账户总表!$L:$L,MATCH($A87,账户总表!$A:$A,0))&gt;=4,AA87*1.5,AA87),0))</f>
        <v/>
      </c>
      <c r="AC87" s="42" t="str">
        <f aca="false">IF($A87="","",IF(AND(L87="是",Q87&gt;=R87,S87&lt;=Q87,S87&gt;=R87,W87="是",X87&gt;0,M87="是",INDEX(账户总表!$M:$M,MATCH($A87,账户总表!$A:$A,0))&lt;=2,INDEX(账户总表!$V:$V,MATCH($A87,账户总表!$A:$A,0))="是",OR(T87&lt;=INDEX(账户总表!$C:$C,MATCH($A87,账户总表!$A:$A,0)),AND(Z87="是",INDEX(账户总表!$U:$U,MATCH($A87,账户总表!$A:$A,0))="是",AB87&gt;0))),"是","否"))</f>
        <v/>
      </c>
      <c r="AD87" s="37" t="str">
        <f aca="false">IF($A87="","",IF(L87&lt;&gt;"是","信号未确认",IF(X87&lt;=0,"止损价未定义",IF(Q87&lt;R87,"100股约束不满足",IF(S87&gt;Q87,"计划股数超单股上限",IF(S87&lt;R87,"计划股数低于最小门槛",IF(W87&lt;&gt;"是","总仓位超限",IF(M87&lt;&gt;"是","追价",IF(INDEX(账户总表!$M:$M,MATCH($A87,账户总表!$A:$A,0))&gt;2,"亏钱效应偏高",IF(INDEX(账户总表!$V:$V,MATCH($A87,账户总表!$A:$A,0))&lt;&gt;"是","账户不允许新开仓",IF(AND(T87&gt;INDEX(账户总表!$C:$C,MATCH($A87,账户总表!$A:$A,0)),INDEX(账户总表!$U:$U,MATCH($A87,账户总表!$A:$A,0))&lt;&gt;"是"),"现金不足且不允许转入",IF(AND(Z87="是",AB87&lt;=0),"转入金额未满足",""))))))))))))</f>
        <v/>
      </c>
      <c r="AE87" s="33"/>
    </row>
    <row r="88" customFormat="false" ht="15" hidden="false" customHeight="true" outlineLevel="0" collapsed="false">
      <c r="A88" s="32"/>
      <c r="B88" s="33"/>
      <c r="C88" s="34"/>
      <c r="D88" s="35"/>
      <c r="E88" s="35"/>
      <c r="F88" s="35"/>
      <c r="G88" s="36"/>
      <c r="H88" s="34"/>
      <c r="I88" s="34"/>
      <c r="J88" s="33"/>
      <c r="K88" s="37" t="str">
        <f aca="false">IF($A88="","",IF(AND(G88&lt;45%,H88&gt;=0.9),"A",IF(AND(G88&lt;60%,H88&gt;0.8),"B","C")))</f>
        <v/>
      </c>
      <c r="L88" s="37" t="str">
        <f aca="false">IF($A88="","",IF(AND(G88&lt;60%,H88&gt;0.8,I88="True"),"是","否"))</f>
        <v/>
      </c>
      <c r="M88" s="37" t="str">
        <f aca="false">IF($A88="","",IF(AND(D88&gt;0,E88&gt;0,D88&lt;=E88*1.02),"是","否"))</f>
        <v/>
      </c>
      <c r="N88" s="38" t="n">
        <f aca="false">IFERROR(INDEX(账户总表!$O:$O,MATCH($A88,账户总表!$A:$A,0)),0)</f>
        <v>0</v>
      </c>
      <c r="O88" s="39" t="n">
        <f aca="false">IFERROR(INDEX(账户总表!$B:$B,MATCH($A88,账户总表!$A:$A,0))*N88,0)</f>
        <v>0</v>
      </c>
      <c r="P88" s="40" t="n">
        <f aca="false">IFERROR(O88/D88,0)</f>
        <v>0</v>
      </c>
      <c r="Q88" s="40" t="n">
        <f aca="false">IFERROR(FLOOR(P88,100),0)</f>
        <v>0</v>
      </c>
      <c r="R88" s="40" t="n">
        <f aca="false">IFERROR(CEILING(800/(100*D88),1)*100,0)</f>
        <v>0</v>
      </c>
      <c r="S88" s="41"/>
      <c r="T88" s="39" t="n">
        <f aca="false">IFERROR(S88*D88,0)</f>
        <v>0</v>
      </c>
      <c r="U88" s="38" t="n">
        <f aca="false">IFERROR(T88/INDEX(账户总表!$B:$B,MATCH($A88,账户总表!$A:$A,0)),0)</f>
        <v>0</v>
      </c>
      <c r="V88" s="38" t="n">
        <f aca="false">IFERROR(INDEX(账户总表!$E:$E,MATCH($A88,账户总表!$A:$A,0))+U88,0)</f>
        <v>0</v>
      </c>
      <c r="W88" s="37" t="str">
        <f aca="false">IF($A88="","",IFERROR(IF(V88&lt;=INDEX(账户总表!$N:$N,MATCH($A88,账户总表!$A:$A,0)),"是","否"),"否"))</f>
        <v/>
      </c>
      <c r="X88" s="39" t="str">
        <f aca="false">IF($A88="","",MAX(F88*0.98,D88*0.92))</f>
        <v/>
      </c>
      <c r="Y88" s="34"/>
      <c r="Z88" s="37" t="str">
        <f aca="false">IF($A88="","",IFERROR(IF(AND(T88&gt;INDEX(账户总表!$C:$C,MATCH($A88,账户总表!$A:$A,0)),L88="是"),"是","否"),"否"))</f>
        <v/>
      </c>
      <c r="AA88" s="39" t="str">
        <f aca="false">IF($A88="","",IFERROR(IF(Z88="是",MAX(0,T88-INDEX(账户总表!$C:$C,MATCH($A88,账户总表!$A:$A,0)),IF(N88&gt;0,T88/N88-INDEX(账户总表!$B:$B,MATCH($A88,账户总表!$A:$A,0)),0)),0),0))</f>
        <v/>
      </c>
      <c r="AB88" s="39" t="str">
        <f aca="false">IF($A88="","",IF(AND(Z88="是",INDEX(账户总表!$U:$U,MATCH($A88,账户总表!$A:$A,0))="是"),IF(INDEX(账户总表!$L:$L,MATCH($A88,账户总表!$A:$A,0))&gt;=4,AA88*1.5,AA88),0))</f>
        <v/>
      </c>
      <c r="AC88" s="42" t="str">
        <f aca="false">IF($A88="","",IF(AND(L88="是",Q88&gt;=R88,S88&lt;=Q88,S88&gt;=R88,W88="是",X88&gt;0,M88="是",INDEX(账户总表!$M:$M,MATCH($A88,账户总表!$A:$A,0))&lt;=2,INDEX(账户总表!$V:$V,MATCH($A88,账户总表!$A:$A,0))="是",OR(T88&lt;=INDEX(账户总表!$C:$C,MATCH($A88,账户总表!$A:$A,0)),AND(Z88="是",INDEX(账户总表!$U:$U,MATCH($A88,账户总表!$A:$A,0))="是",AB88&gt;0))),"是","否"))</f>
        <v/>
      </c>
      <c r="AD88" s="37" t="str">
        <f aca="false">IF($A88="","",IF(L88&lt;&gt;"是","信号未确认",IF(X88&lt;=0,"止损价未定义",IF(Q88&lt;R88,"100股约束不满足",IF(S88&gt;Q88,"计划股数超单股上限",IF(S88&lt;R88,"计划股数低于最小门槛",IF(W88&lt;&gt;"是","总仓位超限",IF(M88&lt;&gt;"是","追价",IF(INDEX(账户总表!$M:$M,MATCH($A88,账户总表!$A:$A,0))&gt;2,"亏钱效应偏高",IF(INDEX(账户总表!$V:$V,MATCH($A88,账户总表!$A:$A,0))&lt;&gt;"是","账户不允许新开仓",IF(AND(T88&gt;INDEX(账户总表!$C:$C,MATCH($A88,账户总表!$A:$A,0)),INDEX(账户总表!$U:$U,MATCH($A88,账户总表!$A:$A,0))&lt;&gt;"是"),"现金不足且不允许转入",IF(AND(Z88="是",AB88&lt;=0),"转入金额未满足",""))))))))))))</f>
        <v/>
      </c>
      <c r="AE88" s="33"/>
    </row>
    <row r="89" customFormat="false" ht="15" hidden="false" customHeight="true" outlineLevel="0" collapsed="false">
      <c r="A89" s="32"/>
      <c r="B89" s="33"/>
      <c r="C89" s="34"/>
      <c r="D89" s="35"/>
      <c r="E89" s="35"/>
      <c r="F89" s="35"/>
      <c r="G89" s="36"/>
      <c r="H89" s="34"/>
      <c r="I89" s="34"/>
      <c r="J89" s="33"/>
      <c r="K89" s="37" t="str">
        <f aca="false">IF($A89="","",IF(AND(G89&lt;45%,H89&gt;=0.9),"A",IF(AND(G89&lt;60%,H89&gt;0.8),"B","C")))</f>
        <v/>
      </c>
      <c r="L89" s="37" t="str">
        <f aca="false">IF($A89="","",IF(AND(G89&lt;60%,H89&gt;0.8,I89="True"),"是","否"))</f>
        <v/>
      </c>
      <c r="M89" s="37" t="str">
        <f aca="false">IF($A89="","",IF(AND(D89&gt;0,E89&gt;0,D89&lt;=E89*1.02),"是","否"))</f>
        <v/>
      </c>
      <c r="N89" s="38" t="n">
        <f aca="false">IFERROR(INDEX(账户总表!$O:$O,MATCH($A89,账户总表!$A:$A,0)),0)</f>
        <v>0</v>
      </c>
      <c r="O89" s="39" t="n">
        <f aca="false">IFERROR(INDEX(账户总表!$B:$B,MATCH($A89,账户总表!$A:$A,0))*N89,0)</f>
        <v>0</v>
      </c>
      <c r="P89" s="40" t="n">
        <f aca="false">IFERROR(O89/D89,0)</f>
        <v>0</v>
      </c>
      <c r="Q89" s="40" t="n">
        <f aca="false">IFERROR(FLOOR(P89,100),0)</f>
        <v>0</v>
      </c>
      <c r="R89" s="40" t="n">
        <f aca="false">IFERROR(CEILING(800/(100*D89),1)*100,0)</f>
        <v>0</v>
      </c>
      <c r="S89" s="41"/>
      <c r="T89" s="39" t="n">
        <f aca="false">IFERROR(S89*D89,0)</f>
        <v>0</v>
      </c>
      <c r="U89" s="38" t="n">
        <f aca="false">IFERROR(T89/INDEX(账户总表!$B:$B,MATCH($A89,账户总表!$A:$A,0)),0)</f>
        <v>0</v>
      </c>
      <c r="V89" s="38" t="n">
        <f aca="false">IFERROR(INDEX(账户总表!$E:$E,MATCH($A89,账户总表!$A:$A,0))+U89,0)</f>
        <v>0</v>
      </c>
      <c r="W89" s="37" t="str">
        <f aca="false">IF($A89="","",IFERROR(IF(V89&lt;=INDEX(账户总表!$N:$N,MATCH($A89,账户总表!$A:$A,0)),"是","否"),"否"))</f>
        <v/>
      </c>
      <c r="X89" s="39" t="str">
        <f aca="false">IF($A89="","",MAX(F89*0.98,D89*0.92))</f>
        <v/>
      </c>
      <c r="Y89" s="34"/>
      <c r="Z89" s="37" t="str">
        <f aca="false">IF($A89="","",IFERROR(IF(AND(T89&gt;INDEX(账户总表!$C:$C,MATCH($A89,账户总表!$A:$A,0)),L89="是"),"是","否"),"否"))</f>
        <v/>
      </c>
      <c r="AA89" s="39" t="str">
        <f aca="false">IF($A89="","",IFERROR(IF(Z89="是",MAX(0,T89-INDEX(账户总表!$C:$C,MATCH($A89,账户总表!$A:$A,0)),IF(N89&gt;0,T89/N89-INDEX(账户总表!$B:$B,MATCH($A89,账户总表!$A:$A,0)),0)),0),0))</f>
        <v/>
      </c>
      <c r="AB89" s="39" t="str">
        <f aca="false">IF($A89="","",IF(AND(Z89="是",INDEX(账户总表!$U:$U,MATCH($A89,账户总表!$A:$A,0))="是"),IF(INDEX(账户总表!$L:$L,MATCH($A89,账户总表!$A:$A,0))&gt;=4,AA89*1.5,AA89),0))</f>
        <v/>
      </c>
      <c r="AC89" s="42" t="str">
        <f aca="false">IF($A89="","",IF(AND(L89="是",Q89&gt;=R89,S89&lt;=Q89,S89&gt;=R89,W89="是",X89&gt;0,M89="是",INDEX(账户总表!$M:$M,MATCH($A89,账户总表!$A:$A,0))&lt;=2,INDEX(账户总表!$V:$V,MATCH($A89,账户总表!$A:$A,0))="是",OR(T89&lt;=INDEX(账户总表!$C:$C,MATCH($A89,账户总表!$A:$A,0)),AND(Z89="是",INDEX(账户总表!$U:$U,MATCH($A89,账户总表!$A:$A,0))="是",AB89&gt;0))),"是","否"))</f>
        <v/>
      </c>
      <c r="AD89" s="37" t="str">
        <f aca="false">IF($A89="","",IF(L89&lt;&gt;"是","信号未确认",IF(X89&lt;=0,"止损价未定义",IF(Q89&lt;R89,"100股约束不满足",IF(S89&gt;Q89,"计划股数超单股上限",IF(S89&lt;R89,"计划股数低于最小门槛",IF(W89&lt;&gt;"是","总仓位超限",IF(M89&lt;&gt;"是","追价",IF(INDEX(账户总表!$M:$M,MATCH($A89,账户总表!$A:$A,0))&gt;2,"亏钱效应偏高",IF(INDEX(账户总表!$V:$V,MATCH($A89,账户总表!$A:$A,0))&lt;&gt;"是","账户不允许新开仓",IF(AND(T89&gt;INDEX(账户总表!$C:$C,MATCH($A89,账户总表!$A:$A,0)),INDEX(账户总表!$U:$U,MATCH($A89,账户总表!$A:$A,0))&lt;&gt;"是"),"现金不足且不允许转入",IF(AND(Z89="是",AB89&lt;=0),"转入金额未满足",""))))))))))))</f>
        <v/>
      </c>
      <c r="AE89" s="33"/>
    </row>
    <row r="90" customFormat="false" ht="15" hidden="false" customHeight="true" outlineLevel="0" collapsed="false">
      <c r="A90" s="32"/>
      <c r="B90" s="33"/>
      <c r="C90" s="34"/>
      <c r="D90" s="35"/>
      <c r="E90" s="35"/>
      <c r="F90" s="35"/>
      <c r="G90" s="36"/>
      <c r="H90" s="34"/>
      <c r="I90" s="34"/>
      <c r="J90" s="33"/>
      <c r="K90" s="37" t="str">
        <f aca="false">IF($A90="","",IF(AND(G90&lt;45%,H90&gt;=0.9),"A",IF(AND(G90&lt;60%,H90&gt;0.8),"B","C")))</f>
        <v/>
      </c>
      <c r="L90" s="37" t="str">
        <f aca="false">IF($A90="","",IF(AND(G90&lt;60%,H90&gt;0.8,I90="True"),"是","否"))</f>
        <v/>
      </c>
      <c r="M90" s="37" t="str">
        <f aca="false">IF($A90="","",IF(AND(D90&gt;0,E90&gt;0,D90&lt;=E90*1.02),"是","否"))</f>
        <v/>
      </c>
      <c r="N90" s="38" t="n">
        <f aca="false">IFERROR(INDEX(账户总表!$O:$O,MATCH($A90,账户总表!$A:$A,0)),0)</f>
        <v>0</v>
      </c>
      <c r="O90" s="39" t="n">
        <f aca="false">IFERROR(INDEX(账户总表!$B:$B,MATCH($A90,账户总表!$A:$A,0))*N90,0)</f>
        <v>0</v>
      </c>
      <c r="P90" s="40" t="n">
        <f aca="false">IFERROR(O90/D90,0)</f>
        <v>0</v>
      </c>
      <c r="Q90" s="40" t="n">
        <f aca="false">IFERROR(FLOOR(P90,100),0)</f>
        <v>0</v>
      </c>
      <c r="R90" s="40" t="n">
        <f aca="false">IFERROR(CEILING(800/(100*D90),1)*100,0)</f>
        <v>0</v>
      </c>
      <c r="S90" s="41"/>
      <c r="T90" s="39" t="n">
        <f aca="false">IFERROR(S90*D90,0)</f>
        <v>0</v>
      </c>
      <c r="U90" s="38" t="n">
        <f aca="false">IFERROR(T90/INDEX(账户总表!$B:$B,MATCH($A90,账户总表!$A:$A,0)),0)</f>
        <v>0</v>
      </c>
      <c r="V90" s="38" t="n">
        <f aca="false">IFERROR(INDEX(账户总表!$E:$E,MATCH($A90,账户总表!$A:$A,0))+U90,0)</f>
        <v>0</v>
      </c>
      <c r="W90" s="37" t="str">
        <f aca="false">IF($A90="","",IFERROR(IF(V90&lt;=INDEX(账户总表!$N:$N,MATCH($A90,账户总表!$A:$A,0)),"是","否"),"否"))</f>
        <v/>
      </c>
      <c r="X90" s="39" t="str">
        <f aca="false">IF($A90="","",MAX(F90*0.98,D90*0.92))</f>
        <v/>
      </c>
      <c r="Y90" s="34"/>
      <c r="Z90" s="37" t="str">
        <f aca="false">IF($A90="","",IFERROR(IF(AND(T90&gt;INDEX(账户总表!$C:$C,MATCH($A90,账户总表!$A:$A,0)),L90="是"),"是","否"),"否"))</f>
        <v/>
      </c>
      <c r="AA90" s="39" t="str">
        <f aca="false">IF($A90="","",IFERROR(IF(Z90="是",MAX(0,T90-INDEX(账户总表!$C:$C,MATCH($A90,账户总表!$A:$A,0)),IF(N90&gt;0,T90/N90-INDEX(账户总表!$B:$B,MATCH($A90,账户总表!$A:$A,0)),0)),0),0))</f>
        <v/>
      </c>
      <c r="AB90" s="39" t="str">
        <f aca="false">IF($A90="","",IF(AND(Z90="是",INDEX(账户总表!$U:$U,MATCH($A90,账户总表!$A:$A,0))="是"),IF(INDEX(账户总表!$L:$L,MATCH($A90,账户总表!$A:$A,0))&gt;=4,AA90*1.5,AA90),0))</f>
        <v/>
      </c>
      <c r="AC90" s="42" t="str">
        <f aca="false">IF($A90="","",IF(AND(L90="是",Q90&gt;=R90,S90&lt;=Q90,S90&gt;=R90,W90="是",X90&gt;0,M90="是",INDEX(账户总表!$M:$M,MATCH($A90,账户总表!$A:$A,0))&lt;=2,INDEX(账户总表!$V:$V,MATCH($A90,账户总表!$A:$A,0))="是",OR(T90&lt;=INDEX(账户总表!$C:$C,MATCH($A90,账户总表!$A:$A,0)),AND(Z90="是",INDEX(账户总表!$U:$U,MATCH($A90,账户总表!$A:$A,0))="是",AB90&gt;0))),"是","否"))</f>
        <v/>
      </c>
      <c r="AD90" s="37" t="str">
        <f aca="false">IF($A90="","",IF(L90&lt;&gt;"是","信号未确认",IF(X90&lt;=0,"止损价未定义",IF(Q90&lt;R90,"100股约束不满足",IF(S90&gt;Q90,"计划股数超单股上限",IF(S90&lt;R90,"计划股数低于最小门槛",IF(W90&lt;&gt;"是","总仓位超限",IF(M90&lt;&gt;"是","追价",IF(INDEX(账户总表!$M:$M,MATCH($A90,账户总表!$A:$A,0))&gt;2,"亏钱效应偏高",IF(INDEX(账户总表!$V:$V,MATCH($A90,账户总表!$A:$A,0))&lt;&gt;"是","账户不允许新开仓",IF(AND(T90&gt;INDEX(账户总表!$C:$C,MATCH($A90,账户总表!$A:$A,0)),INDEX(账户总表!$U:$U,MATCH($A90,账户总表!$A:$A,0))&lt;&gt;"是"),"现金不足且不允许转入",IF(AND(Z90="是",AB90&lt;=0),"转入金额未满足",""))))))))))))</f>
        <v/>
      </c>
      <c r="AE90" s="33"/>
    </row>
    <row r="91" customFormat="false" ht="15" hidden="false" customHeight="true" outlineLevel="0" collapsed="false">
      <c r="A91" s="32"/>
      <c r="B91" s="33"/>
      <c r="C91" s="34"/>
      <c r="D91" s="35"/>
      <c r="E91" s="35"/>
      <c r="F91" s="35"/>
      <c r="G91" s="36"/>
      <c r="H91" s="34"/>
      <c r="I91" s="34"/>
      <c r="J91" s="33"/>
      <c r="K91" s="37" t="str">
        <f aca="false">IF($A91="","",IF(AND(G91&lt;45%,H91&gt;=0.9),"A",IF(AND(G91&lt;60%,H91&gt;0.8),"B","C")))</f>
        <v/>
      </c>
      <c r="L91" s="37" t="str">
        <f aca="false">IF($A91="","",IF(AND(G91&lt;60%,H91&gt;0.8,I91="True"),"是","否"))</f>
        <v/>
      </c>
      <c r="M91" s="37" t="str">
        <f aca="false">IF($A91="","",IF(AND(D91&gt;0,E91&gt;0,D91&lt;=E91*1.02),"是","否"))</f>
        <v/>
      </c>
      <c r="N91" s="38" t="n">
        <f aca="false">IFERROR(INDEX(账户总表!$O:$O,MATCH($A91,账户总表!$A:$A,0)),0)</f>
        <v>0</v>
      </c>
      <c r="O91" s="39" t="n">
        <f aca="false">IFERROR(INDEX(账户总表!$B:$B,MATCH($A91,账户总表!$A:$A,0))*N91,0)</f>
        <v>0</v>
      </c>
      <c r="P91" s="40" t="n">
        <f aca="false">IFERROR(O91/D91,0)</f>
        <v>0</v>
      </c>
      <c r="Q91" s="40" t="n">
        <f aca="false">IFERROR(FLOOR(P91,100),0)</f>
        <v>0</v>
      </c>
      <c r="R91" s="40" t="n">
        <f aca="false">IFERROR(CEILING(800/(100*D91),1)*100,0)</f>
        <v>0</v>
      </c>
      <c r="S91" s="41"/>
      <c r="T91" s="39" t="n">
        <f aca="false">IFERROR(S91*D91,0)</f>
        <v>0</v>
      </c>
      <c r="U91" s="38" t="n">
        <f aca="false">IFERROR(T91/INDEX(账户总表!$B:$B,MATCH($A91,账户总表!$A:$A,0)),0)</f>
        <v>0</v>
      </c>
      <c r="V91" s="38" t="n">
        <f aca="false">IFERROR(INDEX(账户总表!$E:$E,MATCH($A91,账户总表!$A:$A,0))+U91,0)</f>
        <v>0</v>
      </c>
      <c r="W91" s="37" t="str">
        <f aca="false">IF($A91="","",IFERROR(IF(V91&lt;=INDEX(账户总表!$N:$N,MATCH($A91,账户总表!$A:$A,0)),"是","否"),"否"))</f>
        <v/>
      </c>
      <c r="X91" s="39" t="str">
        <f aca="false">IF($A91="","",MAX(F91*0.98,D91*0.92))</f>
        <v/>
      </c>
      <c r="Y91" s="34"/>
      <c r="Z91" s="37" t="str">
        <f aca="false">IF($A91="","",IFERROR(IF(AND(T91&gt;INDEX(账户总表!$C:$C,MATCH($A91,账户总表!$A:$A,0)),L91="是"),"是","否"),"否"))</f>
        <v/>
      </c>
      <c r="AA91" s="39" t="str">
        <f aca="false">IF($A91="","",IFERROR(IF(Z91="是",MAX(0,T91-INDEX(账户总表!$C:$C,MATCH($A91,账户总表!$A:$A,0)),IF(N91&gt;0,T91/N91-INDEX(账户总表!$B:$B,MATCH($A91,账户总表!$A:$A,0)),0)),0),0))</f>
        <v/>
      </c>
      <c r="AB91" s="39" t="str">
        <f aca="false">IF($A91="","",IF(AND(Z91="是",INDEX(账户总表!$U:$U,MATCH($A91,账户总表!$A:$A,0))="是"),IF(INDEX(账户总表!$L:$L,MATCH($A91,账户总表!$A:$A,0))&gt;=4,AA91*1.5,AA91),0))</f>
        <v/>
      </c>
      <c r="AC91" s="42" t="str">
        <f aca="false">IF($A91="","",IF(AND(L91="是",Q91&gt;=R91,S91&lt;=Q91,S91&gt;=R91,W91="是",X91&gt;0,M91="是",INDEX(账户总表!$M:$M,MATCH($A91,账户总表!$A:$A,0))&lt;=2,INDEX(账户总表!$V:$V,MATCH($A91,账户总表!$A:$A,0))="是",OR(T91&lt;=INDEX(账户总表!$C:$C,MATCH($A91,账户总表!$A:$A,0)),AND(Z91="是",INDEX(账户总表!$U:$U,MATCH($A91,账户总表!$A:$A,0))="是",AB91&gt;0))),"是","否"))</f>
        <v/>
      </c>
      <c r="AD91" s="37" t="str">
        <f aca="false">IF($A91="","",IF(L91&lt;&gt;"是","信号未确认",IF(X91&lt;=0,"止损价未定义",IF(Q91&lt;R91,"100股约束不满足",IF(S91&gt;Q91,"计划股数超单股上限",IF(S91&lt;R91,"计划股数低于最小门槛",IF(W91&lt;&gt;"是","总仓位超限",IF(M91&lt;&gt;"是","追价",IF(INDEX(账户总表!$M:$M,MATCH($A91,账户总表!$A:$A,0))&gt;2,"亏钱效应偏高",IF(INDEX(账户总表!$V:$V,MATCH($A91,账户总表!$A:$A,0))&lt;&gt;"是","账户不允许新开仓",IF(AND(T91&gt;INDEX(账户总表!$C:$C,MATCH($A91,账户总表!$A:$A,0)),INDEX(账户总表!$U:$U,MATCH($A91,账户总表!$A:$A,0))&lt;&gt;"是"),"现金不足且不允许转入",IF(AND(Z91="是",AB91&lt;=0),"转入金额未满足",""))))))))))))</f>
        <v/>
      </c>
      <c r="AE91" s="33"/>
    </row>
    <row r="92" customFormat="false" ht="15" hidden="false" customHeight="true" outlineLevel="0" collapsed="false">
      <c r="A92" s="32"/>
      <c r="B92" s="33"/>
      <c r="C92" s="34"/>
      <c r="D92" s="35"/>
      <c r="E92" s="35"/>
      <c r="F92" s="35"/>
      <c r="G92" s="36"/>
      <c r="H92" s="34"/>
      <c r="I92" s="34"/>
      <c r="J92" s="33"/>
      <c r="K92" s="37" t="str">
        <f aca="false">IF($A92="","",IF(AND(G92&lt;45%,H92&gt;=0.9),"A",IF(AND(G92&lt;60%,H92&gt;0.8),"B","C")))</f>
        <v/>
      </c>
      <c r="L92" s="37" t="str">
        <f aca="false">IF($A92="","",IF(AND(G92&lt;60%,H92&gt;0.8,I92="True"),"是","否"))</f>
        <v/>
      </c>
      <c r="M92" s="37" t="str">
        <f aca="false">IF($A92="","",IF(AND(D92&gt;0,E92&gt;0,D92&lt;=E92*1.02),"是","否"))</f>
        <v/>
      </c>
      <c r="N92" s="38" t="n">
        <f aca="false">IFERROR(INDEX(账户总表!$O:$O,MATCH($A92,账户总表!$A:$A,0)),0)</f>
        <v>0</v>
      </c>
      <c r="O92" s="39" t="n">
        <f aca="false">IFERROR(INDEX(账户总表!$B:$B,MATCH($A92,账户总表!$A:$A,0))*N92,0)</f>
        <v>0</v>
      </c>
      <c r="P92" s="40" t="n">
        <f aca="false">IFERROR(O92/D92,0)</f>
        <v>0</v>
      </c>
      <c r="Q92" s="40" t="n">
        <f aca="false">IFERROR(FLOOR(P92,100),0)</f>
        <v>0</v>
      </c>
      <c r="R92" s="40" t="n">
        <f aca="false">IFERROR(CEILING(800/(100*D92),1)*100,0)</f>
        <v>0</v>
      </c>
      <c r="S92" s="41"/>
      <c r="T92" s="39" t="n">
        <f aca="false">IFERROR(S92*D92,0)</f>
        <v>0</v>
      </c>
      <c r="U92" s="38" t="n">
        <f aca="false">IFERROR(T92/INDEX(账户总表!$B:$B,MATCH($A92,账户总表!$A:$A,0)),0)</f>
        <v>0</v>
      </c>
      <c r="V92" s="38" t="n">
        <f aca="false">IFERROR(INDEX(账户总表!$E:$E,MATCH($A92,账户总表!$A:$A,0))+U92,0)</f>
        <v>0</v>
      </c>
      <c r="W92" s="37" t="str">
        <f aca="false">IF($A92="","",IFERROR(IF(V92&lt;=INDEX(账户总表!$N:$N,MATCH($A92,账户总表!$A:$A,0)),"是","否"),"否"))</f>
        <v/>
      </c>
      <c r="X92" s="39" t="str">
        <f aca="false">IF($A92="","",MAX(F92*0.98,D92*0.92))</f>
        <v/>
      </c>
      <c r="Y92" s="34"/>
      <c r="Z92" s="37" t="str">
        <f aca="false">IF($A92="","",IFERROR(IF(AND(T92&gt;INDEX(账户总表!$C:$C,MATCH($A92,账户总表!$A:$A,0)),L92="是"),"是","否"),"否"))</f>
        <v/>
      </c>
      <c r="AA92" s="39" t="str">
        <f aca="false">IF($A92="","",IFERROR(IF(Z92="是",MAX(0,T92-INDEX(账户总表!$C:$C,MATCH($A92,账户总表!$A:$A,0)),IF(N92&gt;0,T92/N92-INDEX(账户总表!$B:$B,MATCH($A92,账户总表!$A:$A,0)),0)),0),0))</f>
        <v/>
      </c>
      <c r="AB92" s="39" t="str">
        <f aca="false">IF($A92="","",IF(AND(Z92="是",INDEX(账户总表!$U:$U,MATCH($A92,账户总表!$A:$A,0))="是"),IF(INDEX(账户总表!$L:$L,MATCH($A92,账户总表!$A:$A,0))&gt;=4,AA92*1.5,AA92),0))</f>
        <v/>
      </c>
      <c r="AC92" s="42" t="str">
        <f aca="false">IF($A92="","",IF(AND(L92="是",Q92&gt;=R92,S92&lt;=Q92,S92&gt;=R92,W92="是",X92&gt;0,M92="是",INDEX(账户总表!$M:$M,MATCH($A92,账户总表!$A:$A,0))&lt;=2,INDEX(账户总表!$V:$V,MATCH($A92,账户总表!$A:$A,0))="是",OR(T92&lt;=INDEX(账户总表!$C:$C,MATCH($A92,账户总表!$A:$A,0)),AND(Z92="是",INDEX(账户总表!$U:$U,MATCH($A92,账户总表!$A:$A,0))="是",AB92&gt;0))),"是","否"))</f>
        <v/>
      </c>
      <c r="AD92" s="37" t="str">
        <f aca="false">IF($A92="","",IF(L92&lt;&gt;"是","信号未确认",IF(X92&lt;=0,"止损价未定义",IF(Q92&lt;R92,"100股约束不满足",IF(S92&gt;Q92,"计划股数超单股上限",IF(S92&lt;R92,"计划股数低于最小门槛",IF(W92&lt;&gt;"是","总仓位超限",IF(M92&lt;&gt;"是","追价",IF(INDEX(账户总表!$M:$M,MATCH($A92,账户总表!$A:$A,0))&gt;2,"亏钱效应偏高",IF(INDEX(账户总表!$V:$V,MATCH($A92,账户总表!$A:$A,0))&lt;&gt;"是","账户不允许新开仓",IF(AND(T92&gt;INDEX(账户总表!$C:$C,MATCH($A92,账户总表!$A:$A,0)),INDEX(账户总表!$U:$U,MATCH($A92,账户总表!$A:$A,0))&lt;&gt;"是"),"现金不足且不允许转入",IF(AND(Z92="是",AB92&lt;=0),"转入金额未满足",""))))))))))))</f>
        <v/>
      </c>
      <c r="AE92" s="33"/>
    </row>
    <row r="93" customFormat="false" ht="15" hidden="false" customHeight="true" outlineLevel="0" collapsed="false">
      <c r="A93" s="32"/>
      <c r="B93" s="33"/>
      <c r="C93" s="34"/>
      <c r="D93" s="35"/>
      <c r="E93" s="35"/>
      <c r="F93" s="35"/>
      <c r="G93" s="36"/>
      <c r="H93" s="34"/>
      <c r="I93" s="34"/>
      <c r="J93" s="33"/>
      <c r="K93" s="37" t="str">
        <f aca="false">IF($A93="","",IF(AND(G93&lt;45%,H93&gt;=0.9),"A",IF(AND(G93&lt;60%,H93&gt;0.8),"B","C")))</f>
        <v/>
      </c>
      <c r="L93" s="37" t="str">
        <f aca="false">IF($A93="","",IF(AND(G93&lt;60%,H93&gt;0.8,I93="True"),"是","否"))</f>
        <v/>
      </c>
      <c r="M93" s="37" t="str">
        <f aca="false">IF($A93="","",IF(AND(D93&gt;0,E93&gt;0,D93&lt;=E93*1.02),"是","否"))</f>
        <v/>
      </c>
      <c r="N93" s="38" t="n">
        <f aca="false">IFERROR(INDEX(账户总表!$O:$O,MATCH($A93,账户总表!$A:$A,0)),0)</f>
        <v>0</v>
      </c>
      <c r="O93" s="39" t="n">
        <f aca="false">IFERROR(INDEX(账户总表!$B:$B,MATCH($A93,账户总表!$A:$A,0))*N93,0)</f>
        <v>0</v>
      </c>
      <c r="P93" s="40" t="n">
        <f aca="false">IFERROR(O93/D93,0)</f>
        <v>0</v>
      </c>
      <c r="Q93" s="40" t="n">
        <f aca="false">IFERROR(FLOOR(P93,100),0)</f>
        <v>0</v>
      </c>
      <c r="R93" s="40" t="n">
        <f aca="false">IFERROR(CEILING(800/(100*D93),1)*100,0)</f>
        <v>0</v>
      </c>
      <c r="S93" s="41"/>
      <c r="T93" s="39" t="n">
        <f aca="false">IFERROR(S93*D93,0)</f>
        <v>0</v>
      </c>
      <c r="U93" s="38" t="n">
        <f aca="false">IFERROR(T93/INDEX(账户总表!$B:$B,MATCH($A93,账户总表!$A:$A,0)),0)</f>
        <v>0</v>
      </c>
      <c r="V93" s="38" t="n">
        <f aca="false">IFERROR(INDEX(账户总表!$E:$E,MATCH($A93,账户总表!$A:$A,0))+U93,0)</f>
        <v>0</v>
      </c>
      <c r="W93" s="37" t="str">
        <f aca="false">IF($A93="","",IFERROR(IF(V93&lt;=INDEX(账户总表!$N:$N,MATCH($A93,账户总表!$A:$A,0)),"是","否"),"否"))</f>
        <v/>
      </c>
      <c r="X93" s="39" t="str">
        <f aca="false">IF($A93="","",MAX(F93*0.98,D93*0.92))</f>
        <v/>
      </c>
      <c r="Y93" s="34"/>
      <c r="Z93" s="37" t="str">
        <f aca="false">IF($A93="","",IFERROR(IF(AND(T93&gt;INDEX(账户总表!$C:$C,MATCH($A93,账户总表!$A:$A,0)),L93="是"),"是","否"),"否"))</f>
        <v/>
      </c>
      <c r="AA93" s="39" t="str">
        <f aca="false">IF($A93="","",IFERROR(IF(Z93="是",MAX(0,T93-INDEX(账户总表!$C:$C,MATCH($A93,账户总表!$A:$A,0)),IF(N93&gt;0,T93/N93-INDEX(账户总表!$B:$B,MATCH($A93,账户总表!$A:$A,0)),0)),0),0))</f>
        <v/>
      </c>
      <c r="AB93" s="39" t="str">
        <f aca="false">IF($A93="","",IF(AND(Z93="是",INDEX(账户总表!$U:$U,MATCH($A93,账户总表!$A:$A,0))="是"),IF(INDEX(账户总表!$L:$L,MATCH($A93,账户总表!$A:$A,0))&gt;=4,AA93*1.5,AA93),0))</f>
        <v/>
      </c>
      <c r="AC93" s="42" t="str">
        <f aca="false">IF($A93="","",IF(AND(L93="是",Q93&gt;=R93,S93&lt;=Q93,S93&gt;=R93,W93="是",X93&gt;0,M93="是",INDEX(账户总表!$M:$M,MATCH($A93,账户总表!$A:$A,0))&lt;=2,INDEX(账户总表!$V:$V,MATCH($A93,账户总表!$A:$A,0))="是",OR(T93&lt;=INDEX(账户总表!$C:$C,MATCH($A93,账户总表!$A:$A,0)),AND(Z93="是",INDEX(账户总表!$U:$U,MATCH($A93,账户总表!$A:$A,0))="是",AB93&gt;0))),"是","否"))</f>
        <v/>
      </c>
      <c r="AD93" s="37" t="str">
        <f aca="false">IF($A93="","",IF(L93&lt;&gt;"是","信号未确认",IF(X93&lt;=0,"止损价未定义",IF(Q93&lt;R93,"100股约束不满足",IF(S93&gt;Q93,"计划股数超单股上限",IF(S93&lt;R93,"计划股数低于最小门槛",IF(W93&lt;&gt;"是","总仓位超限",IF(M93&lt;&gt;"是","追价",IF(INDEX(账户总表!$M:$M,MATCH($A93,账户总表!$A:$A,0))&gt;2,"亏钱效应偏高",IF(INDEX(账户总表!$V:$V,MATCH($A93,账户总表!$A:$A,0))&lt;&gt;"是","账户不允许新开仓",IF(AND(T93&gt;INDEX(账户总表!$C:$C,MATCH($A93,账户总表!$A:$A,0)),INDEX(账户总表!$U:$U,MATCH($A93,账户总表!$A:$A,0))&lt;&gt;"是"),"现金不足且不允许转入",IF(AND(Z93="是",AB93&lt;=0),"转入金额未满足",""))))))))))))</f>
        <v/>
      </c>
      <c r="AE93" s="33"/>
    </row>
    <row r="94" customFormat="false" ht="15" hidden="false" customHeight="true" outlineLevel="0" collapsed="false">
      <c r="A94" s="32"/>
      <c r="B94" s="33"/>
      <c r="C94" s="34"/>
      <c r="D94" s="35"/>
      <c r="E94" s="35"/>
      <c r="F94" s="35"/>
      <c r="G94" s="36"/>
      <c r="H94" s="34"/>
      <c r="I94" s="34"/>
      <c r="J94" s="33"/>
      <c r="K94" s="37" t="str">
        <f aca="false">IF($A94="","",IF(AND(G94&lt;45%,H94&gt;=0.9),"A",IF(AND(G94&lt;60%,H94&gt;0.8),"B","C")))</f>
        <v/>
      </c>
      <c r="L94" s="37" t="str">
        <f aca="false">IF($A94="","",IF(AND(G94&lt;60%,H94&gt;0.8,I94="True"),"是","否"))</f>
        <v/>
      </c>
      <c r="M94" s="37" t="str">
        <f aca="false">IF($A94="","",IF(AND(D94&gt;0,E94&gt;0,D94&lt;=E94*1.02),"是","否"))</f>
        <v/>
      </c>
      <c r="N94" s="38" t="n">
        <f aca="false">IFERROR(INDEX(账户总表!$O:$O,MATCH($A94,账户总表!$A:$A,0)),0)</f>
        <v>0</v>
      </c>
      <c r="O94" s="39" t="n">
        <f aca="false">IFERROR(INDEX(账户总表!$B:$B,MATCH($A94,账户总表!$A:$A,0))*N94,0)</f>
        <v>0</v>
      </c>
      <c r="P94" s="40" t="n">
        <f aca="false">IFERROR(O94/D94,0)</f>
        <v>0</v>
      </c>
      <c r="Q94" s="40" t="n">
        <f aca="false">IFERROR(FLOOR(P94,100),0)</f>
        <v>0</v>
      </c>
      <c r="R94" s="40" t="n">
        <f aca="false">IFERROR(CEILING(800/(100*D94),1)*100,0)</f>
        <v>0</v>
      </c>
      <c r="S94" s="41"/>
      <c r="T94" s="39" t="n">
        <f aca="false">IFERROR(S94*D94,0)</f>
        <v>0</v>
      </c>
      <c r="U94" s="38" t="n">
        <f aca="false">IFERROR(T94/INDEX(账户总表!$B:$B,MATCH($A94,账户总表!$A:$A,0)),0)</f>
        <v>0</v>
      </c>
      <c r="V94" s="38" t="n">
        <f aca="false">IFERROR(INDEX(账户总表!$E:$E,MATCH($A94,账户总表!$A:$A,0))+U94,0)</f>
        <v>0</v>
      </c>
      <c r="W94" s="37" t="str">
        <f aca="false">IF($A94="","",IFERROR(IF(V94&lt;=INDEX(账户总表!$N:$N,MATCH($A94,账户总表!$A:$A,0)),"是","否"),"否"))</f>
        <v/>
      </c>
      <c r="X94" s="39" t="str">
        <f aca="false">IF($A94="","",MAX(F94*0.98,D94*0.92))</f>
        <v/>
      </c>
      <c r="Y94" s="34"/>
      <c r="Z94" s="37" t="str">
        <f aca="false">IF($A94="","",IFERROR(IF(AND(T94&gt;INDEX(账户总表!$C:$C,MATCH($A94,账户总表!$A:$A,0)),L94="是"),"是","否"),"否"))</f>
        <v/>
      </c>
      <c r="AA94" s="39" t="str">
        <f aca="false">IF($A94="","",IFERROR(IF(Z94="是",MAX(0,T94-INDEX(账户总表!$C:$C,MATCH($A94,账户总表!$A:$A,0)),IF(N94&gt;0,T94/N94-INDEX(账户总表!$B:$B,MATCH($A94,账户总表!$A:$A,0)),0)),0),0))</f>
        <v/>
      </c>
      <c r="AB94" s="39" t="str">
        <f aca="false">IF($A94="","",IF(AND(Z94="是",INDEX(账户总表!$U:$U,MATCH($A94,账户总表!$A:$A,0))="是"),IF(INDEX(账户总表!$L:$L,MATCH($A94,账户总表!$A:$A,0))&gt;=4,AA94*1.5,AA94),0))</f>
        <v/>
      </c>
      <c r="AC94" s="42" t="str">
        <f aca="false">IF($A94="","",IF(AND(L94="是",Q94&gt;=R94,S94&lt;=Q94,S94&gt;=R94,W94="是",X94&gt;0,M94="是",INDEX(账户总表!$M:$M,MATCH($A94,账户总表!$A:$A,0))&lt;=2,INDEX(账户总表!$V:$V,MATCH($A94,账户总表!$A:$A,0))="是",OR(T94&lt;=INDEX(账户总表!$C:$C,MATCH($A94,账户总表!$A:$A,0)),AND(Z94="是",INDEX(账户总表!$U:$U,MATCH($A94,账户总表!$A:$A,0))="是",AB94&gt;0))),"是","否"))</f>
        <v/>
      </c>
      <c r="AD94" s="37" t="str">
        <f aca="false">IF($A94="","",IF(L94&lt;&gt;"是","信号未确认",IF(X94&lt;=0,"止损价未定义",IF(Q94&lt;R94,"100股约束不满足",IF(S94&gt;Q94,"计划股数超单股上限",IF(S94&lt;R94,"计划股数低于最小门槛",IF(W94&lt;&gt;"是","总仓位超限",IF(M94&lt;&gt;"是","追价",IF(INDEX(账户总表!$M:$M,MATCH($A94,账户总表!$A:$A,0))&gt;2,"亏钱效应偏高",IF(INDEX(账户总表!$V:$V,MATCH($A94,账户总表!$A:$A,0))&lt;&gt;"是","账户不允许新开仓",IF(AND(T94&gt;INDEX(账户总表!$C:$C,MATCH($A94,账户总表!$A:$A,0)),INDEX(账户总表!$U:$U,MATCH($A94,账户总表!$A:$A,0))&lt;&gt;"是"),"现金不足且不允许转入",IF(AND(Z94="是",AB94&lt;=0),"转入金额未满足",""))))))))))))</f>
        <v/>
      </c>
      <c r="AE94" s="33"/>
    </row>
    <row r="95" customFormat="false" ht="15" hidden="false" customHeight="true" outlineLevel="0" collapsed="false">
      <c r="A95" s="32"/>
      <c r="B95" s="33"/>
      <c r="C95" s="34"/>
      <c r="D95" s="35"/>
      <c r="E95" s="35"/>
      <c r="F95" s="35"/>
      <c r="G95" s="36"/>
      <c r="H95" s="34"/>
      <c r="I95" s="34"/>
      <c r="J95" s="33"/>
      <c r="K95" s="37" t="str">
        <f aca="false">IF($A95="","",IF(AND(G95&lt;45%,H95&gt;=0.9),"A",IF(AND(G95&lt;60%,H95&gt;0.8),"B","C")))</f>
        <v/>
      </c>
      <c r="L95" s="37" t="str">
        <f aca="false">IF($A95="","",IF(AND(G95&lt;60%,H95&gt;0.8,I95="True"),"是","否"))</f>
        <v/>
      </c>
      <c r="M95" s="37" t="str">
        <f aca="false">IF($A95="","",IF(AND(D95&gt;0,E95&gt;0,D95&lt;=E95*1.02),"是","否"))</f>
        <v/>
      </c>
      <c r="N95" s="38" t="n">
        <f aca="false">IFERROR(INDEX(账户总表!$O:$O,MATCH($A95,账户总表!$A:$A,0)),0)</f>
        <v>0</v>
      </c>
      <c r="O95" s="39" t="n">
        <f aca="false">IFERROR(INDEX(账户总表!$B:$B,MATCH($A95,账户总表!$A:$A,0))*N95,0)</f>
        <v>0</v>
      </c>
      <c r="P95" s="40" t="n">
        <f aca="false">IFERROR(O95/D95,0)</f>
        <v>0</v>
      </c>
      <c r="Q95" s="40" t="n">
        <f aca="false">IFERROR(FLOOR(P95,100),0)</f>
        <v>0</v>
      </c>
      <c r="R95" s="40" t="n">
        <f aca="false">IFERROR(CEILING(800/(100*D95),1)*100,0)</f>
        <v>0</v>
      </c>
      <c r="S95" s="41"/>
      <c r="T95" s="39" t="n">
        <f aca="false">IFERROR(S95*D95,0)</f>
        <v>0</v>
      </c>
      <c r="U95" s="38" t="n">
        <f aca="false">IFERROR(T95/INDEX(账户总表!$B:$B,MATCH($A95,账户总表!$A:$A,0)),0)</f>
        <v>0</v>
      </c>
      <c r="V95" s="38" t="n">
        <f aca="false">IFERROR(INDEX(账户总表!$E:$E,MATCH($A95,账户总表!$A:$A,0))+U95,0)</f>
        <v>0</v>
      </c>
      <c r="W95" s="37" t="str">
        <f aca="false">IF($A95="","",IFERROR(IF(V95&lt;=INDEX(账户总表!$N:$N,MATCH($A95,账户总表!$A:$A,0)),"是","否"),"否"))</f>
        <v/>
      </c>
      <c r="X95" s="39" t="str">
        <f aca="false">IF($A95="","",MAX(F95*0.98,D95*0.92))</f>
        <v/>
      </c>
      <c r="Y95" s="34"/>
      <c r="Z95" s="37" t="str">
        <f aca="false">IF($A95="","",IFERROR(IF(AND(T95&gt;INDEX(账户总表!$C:$C,MATCH($A95,账户总表!$A:$A,0)),L95="是"),"是","否"),"否"))</f>
        <v/>
      </c>
      <c r="AA95" s="39" t="str">
        <f aca="false">IF($A95="","",IFERROR(IF(Z95="是",MAX(0,T95-INDEX(账户总表!$C:$C,MATCH($A95,账户总表!$A:$A,0)),IF(N95&gt;0,T95/N95-INDEX(账户总表!$B:$B,MATCH($A95,账户总表!$A:$A,0)),0)),0),0))</f>
        <v/>
      </c>
      <c r="AB95" s="39" t="str">
        <f aca="false">IF($A95="","",IF(AND(Z95="是",INDEX(账户总表!$U:$U,MATCH($A95,账户总表!$A:$A,0))="是"),IF(INDEX(账户总表!$L:$L,MATCH($A95,账户总表!$A:$A,0))&gt;=4,AA95*1.5,AA95),0))</f>
        <v/>
      </c>
      <c r="AC95" s="42" t="str">
        <f aca="false">IF($A95="","",IF(AND(L95="是",Q95&gt;=R95,S95&lt;=Q95,S95&gt;=R95,W95="是",X95&gt;0,M95="是",INDEX(账户总表!$M:$M,MATCH($A95,账户总表!$A:$A,0))&lt;=2,INDEX(账户总表!$V:$V,MATCH($A95,账户总表!$A:$A,0))="是",OR(T95&lt;=INDEX(账户总表!$C:$C,MATCH($A95,账户总表!$A:$A,0)),AND(Z95="是",INDEX(账户总表!$U:$U,MATCH($A95,账户总表!$A:$A,0))="是",AB95&gt;0))),"是","否"))</f>
        <v/>
      </c>
      <c r="AD95" s="37" t="str">
        <f aca="false">IF($A95="","",IF(L95&lt;&gt;"是","信号未确认",IF(X95&lt;=0,"止损价未定义",IF(Q95&lt;R95,"100股约束不满足",IF(S95&gt;Q95,"计划股数超单股上限",IF(S95&lt;R95,"计划股数低于最小门槛",IF(W95&lt;&gt;"是","总仓位超限",IF(M95&lt;&gt;"是","追价",IF(INDEX(账户总表!$M:$M,MATCH($A95,账户总表!$A:$A,0))&gt;2,"亏钱效应偏高",IF(INDEX(账户总表!$V:$V,MATCH($A95,账户总表!$A:$A,0))&lt;&gt;"是","账户不允许新开仓",IF(AND(T95&gt;INDEX(账户总表!$C:$C,MATCH($A95,账户总表!$A:$A,0)),INDEX(账户总表!$U:$U,MATCH($A95,账户总表!$A:$A,0))&lt;&gt;"是"),"现金不足且不允许转入",IF(AND(Z95="是",AB95&lt;=0),"转入金额未满足",""))))))))))))</f>
        <v/>
      </c>
      <c r="AE95" s="33"/>
    </row>
    <row r="96" customFormat="false" ht="15" hidden="false" customHeight="true" outlineLevel="0" collapsed="false">
      <c r="A96" s="32"/>
      <c r="B96" s="33"/>
      <c r="C96" s="34"/>
      <c r="D96" s="35"/>
      <c r="E96" s="35"/>
      <c r="F96" s="35"/>
      <c r="G96" s="36"/>
      <c r="H96" s="34"/>
      <c r="I96" s="34"/>
      <c r="J96" s="33"/>
      <c r="K96" s="37" t="str">
        <f aca="false">IF($A96="","",IF(AND(G96&lt;45%,H96&gt;=0.9),"A",IF(AND(G96&lt;60%,H96&gt;0.8),"B","C")))</f>
        <v/>
      </c>
      <c r="L96" s="37" t="str">
        <f aca="false">IF($A96="","",IF(AND(G96&lt;60%,H96&gt;0.8,I96="True"),"是","否"))</f>
        <v/>
      </c>
      <c r="M96" s="37" t="str">
        <f aca="false">IF($A96="","",IF(AND(D96&gt;0,E96&gt;0,D96&lt;=E96*1.02),"是","否"))</f>
        <v/>
      </c>
      <c r="N96" s="38" t="n">
        <f aca="false">IFERROR(INDEX(账户总表!$O:$O,MATCH($A96,账户总表!$A:$A,0)),0)</f>
        <v>0</v>
      </c>
      <c r="O96" s="39" t="n">
        <f aca="false">IFERROR(INDEX(账户总表!$B:$B,MATCH($A96,账户总表!$A:$A,0))*N96,0)</f>
        <v>0</v>
      </c>
      <c r="P96" s="40" t="n">
        <f aca="false">IFERROR(O96/D96,0)</f>
        <v>0</v>
      </c>
      <c r="Q96" s="40" t="n">
        <f aca="false">IFERROR(FLOOR(P96,100),0)</f>
        <v>0</v>
      </c>
      <c r="R96" s="40" t="n">
        <f aca="false">IFERROR(CEILING(800/(100*D96),1)*100,0)</f>
        <v>0</v>
      </c>
      <c r="S96" s="41"/>
      <c r="T96" s="39" t="n">
        <f aca="false">IFERROR(S96*D96,0)</f>
        <v>0</v>
      </c>
      <c r="U96" s="38" t="n">
        <f aca="false">IFERROR(T96/INDEX(账户总表!$B:$B,MATCH($A96,账户总表!$A:$A,0)),0)</f>
        <v>0</v>
      </c>
      <c r="V96" s="38" t="n">
        <f aca="false">IFERROR(INDEX(账户总表!$E:$E,MATCH($A96,账户总表!$A:$A,0))+U96,0)</f>
        <v>0</v>
      </c>
      <c r="W96" s="37" t="str">
        <f aca="false">IF($A96="","",IFERROR(IF(V96&lt;=INDEX(账户总表!$N:$N,MATCH($A96,账户总表!$A:$A,0)),"是","否"),"否"))</f>
        <v/>
      </c>
      <c r="X96" s="39" t="str">
        <f aca="false">IF($A96="","",MAX(F96*0.98,D96*0.92))</f>
        <v/>
      </c>
      <c r="Y96" s="34"/>
      <c r="Z96" s="37" t="str">
        <f aca="false">IF($A96="","",IFERROR(IF(AND(T96&gt;INDEX(账户总表!$C:$C,MATCH($A96,账户总表!$A:$A,0)),L96="是"),"是","否"),"否"))</f>
        <v/>
      </c>
      <c r="AA96" s="39" t="str">
        <f aca="false">IF($A96="","",IFERROR(IF(Z96="是",MAX(0,T96-INDEX(账户总表!$C:$C,MATCH($A96,账户总表!$A:$A,0)),IF(N96&gt;0,T96/N96-INDEX(账户总表!$B:$B,MATCH($A96,账户总表!$A:$A,0)),0)),0),0))</f>
        <v/>
      </c>
      <c r="AB96" s="39" t="str">
        <f aca="false">IF($A96="","",IF(AND(Z96="是",INDEX(账户总表!$U:$U,MATCH($A96,账户总表!$A:$A,0))="是"),IF(INDEX(账户总表!$L:$L,MATCH($A96,账户总表!$A:$A,0))&gt;=4,AA96*1.5,AA96),0))</f>
        <v/>
      </c>
      <c r="AC96" s="42" t="str">
        <f aca="false">IF($A96="","",IF(AND(L96="是",Q96&gt;=R96,S96&lt;=Q96,S96&gt;=R96,W96="是",X96&gt;0,M96="是",INDEX(账户总表!$M:$M,MATCH($A96,账户总表!$A:$A,0))&lt;=2,INDEX(账户总表!$V:$V,MATCH($A96,账户总表!$A:$A,0))="是",OR(T96&lt;=INDEX(账户总表!$C:$C,MATCH($A96,账户总表!$A:$A,0)),AND(Z96="是",INDEX(账户总表!$U:$U,MATCH($A96,账户总表!$A:$A,0))="是",AB96&gt;0))),"是","否"))</f>
        <v/>
      </c>
      <c r="AD96" s="37" t="str">
        <f aca="false">IF($A96="","",IF(L96&lt;&gt;"是","信号未确认",IF(X96&lt;=0,"止损价未定义",IF(Q96&lt;R96,"100股约束不满足",IF(S96&gt;Q96,"计划股数超单股上限",IF(S96&lt;R96,"计划股数低于最小门槛",IF(W96&lt;&gt;"是","总仓位超限",IF(M96&lt;&gt;"是","追价",IF(INDEX(账户总表!$M:$M,MATCH($A96,账户总表!$A:$A,0))&gt;2,"亏钱效应偏高",IF(INDEX(账户总表!$V:$V,MATCH($A96,账户总表!$A:$A,0))&lt;&gt;"是","账户不允许新开仓",IF(AND(T96&gt;INDEX(账户总表!$C:$C,MATCH($A96,账户总表!$A:$A,0)),INDEX(账户总表!$U:$U,MATCH($A96,账户总表!$A:$A,0))&lt;&gt;"是"),"现金不足且不允许转入",IF(AND(Z96="是",AB96&lt;=0),"转入金额未满足",""))))))))))))</f>
        <v/>
      </c>
      <c r="AE96" s="33"/>
    </row>
    <row r="97" customFormat="false" ht="15" hidden="false" customHeight="true" outlineLevel="0" collapsed="false">
      <c r="A97" s="32"/>
      <c r="B97" s="33"/>
      <c r="C97" s="34"/>
      <c r="D97" s="35"/>
      <c r="E97" s="35"/>
      <c r="F97" s="35"/>
      <c r="G97" s="36"/>
      <c r="H97" s="34"/>
      <c r="I97" s="34"/>
      <c r="J97" s="33"/>
      <c r="K97" s="37" t="str">
        <f aca="false">IF($A97="","",IF(AND(G97&lt;45%,H97&gt;=0.9),"A",IF(AND(G97&lt;60%,H97&gt;0.8),"B","C")))</f>
        <v/>
      </c>
      <c r="L97" s="37" t="str">
        <f aca="false">IF($A97="","",IF(AND(G97&lt;60%,H97&gt;0.8,I97="True"),"是","否"))</f>
        <v/>
      </c>
      <c r="M97" s="37" t="str">
        <f aca="false">IF($A97="","",IF(AND(D97&gt;0,E97&gt;0,D97&lt;=E97*1.02),"是","否"))</f>
        <v/>
      </c>
      <c r="N97" s="38" t="n">
        <f aca="false">IFERROR(INDEX(账户总表!$O:$O,MATCH($A97,账户总表!$A:$A,0)),0)</f>
        <v>0</v>
      </c>
      <c r="O97" s="39" t="n">
        <f aca="false">IFERROR(INDEX(账户总表!$B:$B,MATCH($A97,账户总表!$A:$A,0))*N97,0)</f>
        <v>0</v>
      </c>
      <c r="P97" s="40" t="n">
        <f aca="false">IFERROR(O97/D97,0)</f>
        <v>0</v>
      </c>
      <c r="Q97" s="40" t="n">
        <f aca="false">IFERROR(FLOOR(P97,100),0)</f>
        <v>0</v>
      </c>
      <c r="R97" s="40" t="n">
        <f aca="false">IFERROR(CEILING(800/(100*D97),1)*100,0)</f>
        <v>0</v>
      </c>
      <c r="S97" s="41"/>
      <c r="T97" s="39" t="n">
        <f aca="false">IFERROR(S97*D97,0)</f>
        <v>0</v>
      </c>
      <c r="U97" s="38" t="n">
        <f aca="false">IFERROR(T97/INDEX(账户总表!$B:$B,MATCH($A97,账户总表!$A:$A,0)),0)</f>
        <v>0</v>
      </c>
      <c r="V97" s="38" t="n">
        <f aca="false">IFERROR(INDEX(账户总表!$E:$E,MATCH($A97,账户总表!$A:$A,0))+U97,0)</f>
        <v>0</v>
      </c>
      <c r="W97" s="37" t="str">
        <f aca="false">IF($A97="","",IFERROR(IF(V97&lt;=INDEX(账户总表!$N:$N,MATCH($A97,账户总表!$A:$A,0)),"是","否"),"否"))</f>
        <v/>
      </c>
      <c r="X97" s="39" t="str">
        <f aca="false">IF($A97="","",MAX(F97*0.98,D97*0.92))</f>
        <v/>
      </c>
      <c r="Y97" s="34"/>
      <c r="Z97" s="37" t="str">
        <f aca="false">IF($A97="","",IFERROR(IF(AND(T97&gt;INDEX(账户总表!$C:$C,MATCH($A97,账户总表!$A:$A,0)),L97="是"),"是","否"),"否"))</f>
        <v/>
      </c>
      <c r="AA97" s="39" t="str">
        <f aca="false">IF($A97="","",IFERROR(IF(Z97="是",MAX(0,T97-INDEX(账户总表!$C:$C,MATCH($A97,账户总表!$A:$A,0)),IF(N97&gt;0,T97/N97-INDEX(账户总表!$B:$B,MATCH($A97,账户总表!$A:$A,0)),0)),0),0))</f>
        <v/>
      </c>
      <c r="AB97" s="39" t="str">
        <f aca="false">IF($A97="","",IF(AND(Z97="是",INDEX(账户总表!$U:$U,MATCH($A97,账户总表!$A:$A,0))="是"),IF(INDEX(账户总表!$L:$L,MATCH($A97,账户总表!$A:$A,0))&gt;=4,AA97*1.5,AA97),0))</f>
        <v/>
      </c>
      <c r="AC97" s="42" t="str">
        <f aca="false">IF($A97="","",IF(AND(L97="是",Q97&gt;=R97,S97&lt;=Q97,S97&gt;=R97,W97="是",X97&gt;0,M97="是",INDEX(账户总表!$M:$M,MATCH($A97,账户总表!$A:$A,0))&lt;=2,INDEX(账户总表!$V:$V,MATCH($A97,账户总表!$A:$A,0))="是",OR(T97&lt;=INDEX(账户总表!$C:$C,MATCH($A97,账户总表!$A:$A,0)),AND(Z97="是",INDEX(账户总表!$U:$U,MATCH($A97,账户总表!$A:$A,0))="是",AB97&gt;0))),"是","否"))</f>
        <v/>
      </c>
      <c r="AD97" s="37" t="str">
        <f aca="false">IF($A97="","",IF(L97&lt;&gt;"是","信号未确认",IF(X97&lt;=0,"止损价未定义",IF(Q97&lt;R97,"100股约束不满足",IF(S97&gt;Q97,"计划股数超单股上限",IF(S97&lt;R97,"计划股数低于最小门槛",IF(W97&lt;&gt;"是","总仓位超限",IF(M97&lt;&gt;"是","追价",IF(INDEX(账户总表!$M:$M,MATCH($A97,账户总表!$A:$A,0))&gt;2,"亏钱效应偏高",IF(INDEX(账户总表!$V:$V,MATCH($A97,账户总表!$A:$A,0))&lt;&gt;"是","账户不允许新开仓",IF(AND(T97&gt;INDEX(账户总表!$C:$C,MATCH($A97,账户总表!$A:$A,0)),INDEX(账户总表!$U:$U,MATCH($A97,账户总表!$A:$A,0))&lt;&gt;"是"),"现金不足且不允许转入",IF(AND(Z97="是",AB97&lt;=0),"转入金额未满足",""))))))))))))</f>
        <v/>
      </c>
      <c r="AE97" s="33"/>
    </row>
    <row r="98" customFormat="false" ht="15" hidden="false" customHeight="true" outlineLevel="0" collapsed="false">
      <c r="A98" s="32"/>
      <c r="B98" s="33"/>
      <c r="C98" s="34"/>
      <c r="D98" s="35"/>
      <c r="E98" s="35"/>
      <c r="F98" s="35"/>
      <c r="G98" s="36"/>
      <c r="H98" s="34"/>
      <c r="I98" s="34"/>
      <c r="J98" s="33"/>
      <c r="K98" s="37" t="str">
        <f aca="false">IF($A98="","",IF(AND(G98&lt;45%,H98&gt;=0.9),"A",IF(AND(G98&lt;60%,H98&gt;0.8),"B","C")))</f>
        <v/>
      </c>
      <c r="L98" s="37" t="str">
        <f aca="false">IF($A98="","",IF(AND(G98&lt;60%,H98&gt;0.8,I98="True"),"是","否"))</f>
        <v/>
      </c>
      <c r="M98" s="37" t="str">
        <f aca="false">IF($A98="","",IF(AND(D98&gt;0,E98&gt;0,D98&lt;=E98*1.02),"是","否"))</f>
        <v/>
      </c>
      <c r="N98" s="38" t="n">
        <f aca="false">IFERROR(INDEX(账户总表!$O:$O,MATCH($A98,账户总表!$A:$A,0)),0)</f>
        <v>0</v>
      </c>
      <c r="O98" s="39" t="n">
        <f aca="false">IFERROR(INDEX(账户总表!$B:$B,MATCH($A98,账户总表!$A:$A,0))*N98,0)</f>
        <v>0</v>
      </c>
      <c r="P98" s="40" t="n">
        <f aca="false">IFERROR(O98/D98,0)</f>
        <v>0</v>
      </c>
      <c r="Q98" s="40" t="n">
        <f aca="false">IFERROR(FLOOR(P98,100),0)</f>
        <v>0</v>
      </c>
      <c r="R98" s="40" t="n">
        <f aca="false">IFERROR(CEILING(800/(100*D98),1)*100,0)</f>
        <v>0</v>
      </c>
      <c r="S98" s="41"/>
      <c r="T98" s="39" t="n">
        <f aca="false">IFERROR(S98*D98,0)</f>
        <v>0</v>
      </c>
      <c r="U98" s="38" t="n">
        <f aca="false">IFERROR(T98/INDEX(账户总表!$B:$B,MATCH($A98,账户总表!$A:$A,0)),0)</f>
        <v>0</v>
      </c>
      <c r="V98" s="38" t="n">
        <f aca="false">IFERROR(INDEX(账户总表!$E:$E,MATCH($A98,账户总表!$A:$A,0))+U98,0)</f>
        <v>0</v>
      </c>
      <c r="W98" s="37" t="str">
        <f aca="false">IF($A98="","",IFERROR(IF(V98&lt;=INDEX(账户总表!$N:$N,MATCH($A98,账户总表!$A:$A,0)),"是","否"),"否"))</f>
        <v/>
      </c>
      <c r="X98" s="39" t="str">
        <f aca="false">IF($A98="","",MAX(F98*0.98,D98*0.92))</f>
        <v/>
      </c>
      <c r="Y98" s="34"/>
      <c r="Z98" s="37" t="str">
        <f aca="false">IF($A98="","",IFERROR(IF(AND(T98&gt;INDEX(账户总表!$C:$C,MATCH($A98,账户总表!$A:$A,0)),L98="是"),"是","否"),"否"))</f>
        <v/>
      </c>
      <c r="AA98" s="39" t="str">
        <f aca="false">IF($A98="","",IFERROR(IF(Z98="是",MAX(0,T98-INDEX(账户总表!$C:$C,MATCH($A98,账户总表!$A:$A,0)),IF(N98&gt;0,T98/N98-INDEX(账户总表!$B:$B,MATCH($A98,账户总表!$A:$A,0)),0)),0),0))</f>
        <v/>
      </c>
      <c r="AB98" s="39" t="str">
        <f aca="false">IF($A98="","",IF(AND(Z98="是",INDEX(账户总表!$U:$U,MATCH($A98,账户总表!$A:$A,0))="是"),IF(INDEX(账户总表!$L:$L,MATCH($A98,账户总表!$A:$A,0))&gt;=4,AA98*1.5,AA98),0))</f>
        <v/>
      </c>
      <c r="AC98" s="42" t="str">
        <f aca="false">IF($A98="","",IF(AND(L98="是",Q98&gt;=R98,S98&lt;=Q98,S98&gt;=R98,W98="是",X98&gt;0,M98="是",INDEX(账户总表!$M:$M,MATCH($A98,账户总表!$A:$A,0))&lt;=2,INDEX(账户总表!$V:$V,MATCH($A98,账户总表!$A:$A,0))="是",OR(T98&lt;=INDEX(账户总表!$C:$C,MATCH($A98,账户总表!$A:$A,0)),AND(Z98="是",INDEX(账户总表!$U:$U,MATCH($A98,账户总表!$A:$A,0))="是",AB98&gt;0))),"是","否"))</f>
        <v/>
      </c>
      <c r="AD98" s="37" t="str">
        <f aca="false">IF($A98="","",IF(L98&lt;&gt;"是","信号未确认",IF(X98&lt;=0,"止损价未定义",IF(Q98&lt;R98,"100股约束不满足",IF(S98&gt;Q98,"计划股数超单股上限",IF(S98&lt;R98,"计划股数低于最小门槛",IF(W98&lt;&gt;"是","总仓位超限",IF(M98&lt;&gt;"是","追价",IF(INDEX(账户总表!$M:$M,MATCH($A98,账户总表!$A:$A,0))&gt;2,"亏钱效应偏高",IF(INDEX(账户总表!$V:$V,MATCH($A98,账户总表!$A:$A,0))&lt;&gt;"是","账户不允许新开仓",IF(AND(T98&gt;INDEX(账户总表!$C:$C,MATCH($A98,账户总表!$A:$A,0)),INDEX(账户总表!$U:$U,MATCH($A98,账户总表!$A:$A,0))&lt;&gt;"是"),"现金不足且不允许转入",IF(AND(Z98="是",AB98&lt;=0),"转入金额未满足",""))))))))))))</f>
        <v/>
      </c>
      <c r="AE98" s="33"/>
    </row>
    <row r="99" customFormat="false" ht="15" hidden="false" customHeight="true" outlineLevel="0" collapsed="false">
      <c r="A99" s="32"/>
      <c r="B99" s="33"/>
      <c r="C99" s="34"/>
      <c r="D99" s="35"/>
      <c r="E99" s="35"/>
      <c r="F99" s="35"/>
      <c r="G99" s="36"/>
      <c r="H99" s="34"/>
      <c r="I99" s="34"/>
      <c r="J99" s="33"/>
      <c r="K99" s="37" t="str">
        <f aca="false">IF($A99="","",IF(AND(G99&lt;45%,H99&gt;=0.9),"A",IF(AND(G99&lt;60%,H99&gt;0.8),"B","C")))</f>
        <v/>
      </c>
      <c r="L99" s="37" t="str">
        <f aca="false">IF($A99="","",IF(AND(G99&lt;60%,H99&gt;0.8,I99="True"),"是","否"))</f>
        <v/>
      </c>
      <c r="M99" s="37" t="str">
        <f aca="false">IF($A99="","",IF(AND(D99&gt;0,E99&gt;0,D99&lt;=E99*1.02),"是","否"))</f>
        <v/>
      </c>
      <c r="N99" s="38" t="n">
        <f aca="false">IFERROR(INDEX(账户总表!$O:$O,MATCH($A99,账户总表!$A:$A,0)),0)</f>
        <v>0</v>
      </c>
      <c r="O99" s="39" t="n">
        <f aca="false">IFERROR(INDEX(账户总表!$B:$B,MATCH($A99,账户总表!$A:$A,0))*N99,0)</f>
        <v>0</v>
      </c>
      <c r="P99" s="40" t="n">
        <f aca="false">IFERROR(O99/D99,0)</f>
        <v>0</v>
      </c>
      <c r="Q99" s="40" t="n">
        <f aca="false">IFERROR(FLOOR(P99,100),0)</f>
        <v>0</v>
      </c>
      <c r="R99" s="40" t="n">
        <f aca="false">IFERROR(CEILING(800/(100*D99),1)*100,0)</f>
        <v>0</v>
      </c>
      <c r="S99" s="41"/>
      <c r="T99" s="39" t="n">
        <f aca="false">IFERROR(S99*D99,0)</f>
        <v>0</v>
      </c>
      <c r="U99" s="38" t="n">
        <f aca="false">IFERROR(T99/INDEX(账户总表!$B:$B,MATCH($A99,账户总表!$A:$A,0)),0)</f>
        <v>0</v>
      </c>
      <c r="V99" s="38" t="n">
        <f aca="false">IFERROR(INDEX(账户总表!$E:$E,MATCH($A99,账户总表!$A:$A,0))+U99,0)</f>
        <v>0</v>
      </c>
      <c r="W99" s="37" t="str">
        <f aca="false">IF($A99="","",IFERROR(IF(V99&lt;=INDEX(账户总表!$N:$N,MATCH($A99,账户总表!$A:$A,0)),"是","否"),"否"))</f>
        <v/>
      </c>
      <c r="X99" s="39" t="str">
        <f aca="false">IF($A99="","",MAX(F99*0.98,D99*0.92))</f>
        <v/>
      </c>
      <c r="Y99" s="34"/>
      <c r="Z99" s="37" t="str">
        <f aca="false">IF($A99="","",IFERROR(IF(AND(T99&gt;INDEX(账户总表!$C:$C,MATCH($A99,账户总表!$A:$A,0)),L99="是"),"是","否"),"否"))</f>
        <v/>
      </c>
      <c r="AA99" s="39" t="str">
        <f aca="false">IF($A99="","",IFERROR(IF(Z99="是",MAX(0,T99-INDEX(账户总表!$C:$C,MATCH($A99,账户总表!$A:$A,0)),IF(N99&gt;0,T99/N99-INDEX(账户总表!$B:$B,MATCH($A99,账户总表!$A:$A,0)),0)),0),0))</f>
        <v/>
      </c>
      <c r="AB99" s="39" t="str">
        <f aca="false">IF($A99="","",IF(AND(Z99="是",INDEX(账户总表!$U:$U,MATCH($A99,账户总表!$A:$A,0))="是"),IF(INDEX(账户总表!$L:$L,MATCH($A99,账户总表!$A:$A,0))&gt;=4,AA99*1.5,AA99),0))</f>
        <v/>
      </c>
      <c r="AC99" s="42" t="str">
        <f aca="false">IF($A99="","",IF(AND(L99="是",Q99&gt;=R99,S99&lt;=Q99,S99&gt;=R99,W99="是",X99&gt;0,M99="是",INDEX(账户总表!$M:$M,MATCH($A99,账户总表!$A:$A,0))&lt;=2,INDEX(账户总表!$V:$V,MATCH($A99,账户总表!$A:$A,0))="是",OR(T99&lt;=INDEX(账户总表!$C:$C,MATCH($A99,账户总表!$A:$A,0)),AND(Z99="是",INDEX(账户总表!$U:$U,MATCH($A99,账户总表!$A:$A,0))="是",AB99&gt;0))),"是","否"))</f>
        <v/>
      </c>
      <c r="AD99" s="37" t="str">
        <f aca="false">IF($A99="","",IF(L99&lt;&gt;"是","信号未确认",IF(X99&lt;=0,"止损价未定义",IF(Q99&lt;R99,"100股约束不满足",IF(S99&gt;Q99,"计划股数超单股上限",IF(S99&lt;R99,"计划股数低于最小门槛",IF(W99&lt;&gt;"是","总仓位超限",IF(M99&lt;&gt;"是","追价",IF(INDEX(账户总表!$M:$M,MATCH($A99,账户总表!$A:$A,0))&gt;2,"亏钱效应偏高",IF(INDEX(账户总表!$V:$V,MATCH($A99,账户总表!$A:$A,0))&lt;&gt;"是","账户不允许新开仓",IF(AND(T99&gt;INDEX(账户总表!$C:$C,MATCH($A99,账户总表!$A:$A,0)),INDEX(账户总表!$U:$U,MATCH($A99,账户总表!$A:$A,0))&lt;&gt;"是"),"现金不足且不允许转入",IF(AND(Z99="是",AB99&lt;=0),"转入金额未满足",""))))))))))))</f>
        <v/>
      </c>
      <c r="AE99" s="33"/>
    </row>
    <row r="100" customFormat="false" ht="15" hidden="false" customHeight="true" outlineLevel="0" collapsed="false">
      <c r="A100" s="32"/>
      <c r="B100" s="33"/>
      <c r="C100" s="34"/>
      <c r="D100" s="35"/>
      <c r="E100" s="35"/>
      <c r="F100" s="35"/>
      <c r="G100" s="36"/>
      <c r="H100" s="34"/>
      <c r="I100" s="34"/>
      <c r="J100" s="33"/>
      <c r="K100" s="37" t="str">
        <f aca="false">IF($A100="","",IF(AND(G100&lt;45%,H100&gt;=0.9),"A",IF(AND(G100&lt;60%,H100&gt;0.8),"B","C")))</f>
        <v/>
      </c>
      <c r="L100" s="37" t="str">
        <f aca="false">IF($A100="","",IF(AND(G100&lt;60%,H100&gt;0.8,I100="True"),"是","否"))</f>
        <v/>
      </c>
      <c r="M100" s="37" t="str">
        <f aca="false">IF($A100="","",IF(AND(D100&gt;0,E100&gt;0,D100&lt;=E100*1.02),"是","否"))</f>
        <v/>
      </c>
      <c r="N100" s="38" t="n">
        <f aca="false">IFERROR(INDEX(账户总表!$O:$O,MATCH($A100,账户总表!$A:$A,0)),0)</f>
        <v>0</v>
      </c>
      <c r="O100" s="39" t="n">
        <f aca="false">IFERROR(INDEX(账户总表!$B:$B,MATCH($A100,账户总表!$A:$A,0))*N100,0)</f>
        <v>0</v>
      </c>
      <c r="P100" s="40" t="n">
        <f aca="false">IFERROR(O100/D100,0)</f>
        <v>0</v>
      </c>
      <c r="Q100" s="40" t="n">
        <f aca="false">IFERROR(FLOOR(P100,100),0)</f>
        <v>0</v>
      </c>
      <c r="R100" s="40" t="n">
        <f aca="false">IFERROR(CEILING(800/(100*D100),1)*100,0)</f>
        <v>0</v>
      </c>
      <c r="S100" s="41"/>
      <c r="T100" s="39" t="n">
        <f aca="false">IFERROR(S100*D100,0)</f>
        <v>0</v>
      </c>
      <c r="U100" s="38" t="n">
        <f aca="false">IFERROR(T100/INDEX(账户总表!$B:$B,MATCH($A100,账户总表!$A:$A,0)),0)</f>
        <v>0</v>
      </c>
      <c r="V100" s="38" t="n">
        <f aca="false">IFERROR(INDEX(账户总表!$E:$E,MATCH($A100,账户总表!$A:$A,0))+U100,0)</f>
        <v>0</v>
      </c>
      <c r="W100" s="37" t="str">
        <f aca="false">IF($A100="","",IFERROR(IF(V100&lt;=INDEX(账户总表!$N:$N,MATCH($A100,账户总表!$A:$A,0)),"是","否"),"否"))</f>
        <v/>
      </c>
      <c r="X100" s="39" t="str">
        <f aca="false">IF($A100="","",MAX(F100*0.98,D100*0.92))</f>
        <v/>
      </c>
      <c r="Y100" s="34"/>
      <c r="Z100" s="37" t="str">
        <f aca="false">IF($A100="","",IFERROR(IF(AND(T100&gt;INDEX(账户总表!$C:$C,MATCH($A100,账户总表!$A:$A,0)),L100="是"),"是","否"),"否"))</f>
        <v/>
      </c>
      <c r="AA100" s="39" t="str">
        <f aca="false">IF($A100="","",IFERROR(IF(Z100="是",MAX(0,T100-INDEX(账户总表!$C:$C,MATCH($A100,账户总表!$A:$A,0)),IF(N100&gt;0,T100/N100-INDEX(账户总表!$B:$B,MATCH($A100,账户总表!$A:$A,0)),0)),0),0))</f>
        <v/>
      </c>
      <c r="AB100" s="39" t="str">
        <f aca="false">IF($A100="","",IF(AND(Z100="是",INDEX(账户总表!$U:$U,MATCH($A100,账户总表!$A:$A,0))="是"),IF(INDEX(账户总表!$L:$L,MATCH($A100,账户总表!$A:$A,0))&gt;=4,AA100*1.5,AA100),0))</f>
        <v/>
      </c>
      <c r="AC100" s="42" t="str">
        <f aca="false">IF($A100="","",IF(AND(L100="是",Q100&gt;=R100,S100&lt;=Q100,S100&gt;=R100,W100="是",X100&gt;0,M100="是",INDEX(账户总表!$M:$M,MATCH($A100,账户总表!$A:$A,0))&lt;=2,INDEX(账户总表!$V:$V,MATCH($A100,账户总表!$A:$A,0))="是",OR(T100&lt;=INDEX(账户总表!$C:$C,MATCH($A100,账户总表!$A:$A,0)),AND(Z100="是",INDEX(账户总表!$U:$U,MATCH($A100,账户总表!$A:$A,0))="是",AB100&gt;0))),"是","否"))</f>
        <v/>
      </c>
      <c r="AD100" s="37" t="str">
        <f aca="false">IF($A100="","",IF(L100&lt;&gt;"是","信号未确认",IF(X100&lt;=0,"止损价未定义",IF(Q100&lt;R100,"100股约束不满足",IF(S100&gt;Q100,"计划股数超单股上限",IF(S100&lt;R100,"计划股数低于最小门槛",IF(W100&lt;&gt;"是","总仓位超限",IF(M100&lt;&gt;"是","追价",IF(INDEX(账户总表!$M:$M,MATCH($A100,账户总表!$A:$A,0))&gt;2,"亏钱效应偏高",IF(INDEX(账户总表!$V:$V,MATCH($A100,账户总表!$A:$A,0))&lt;&gt;"是","账户不允许新开仓",IF(AND(T100&gt;INDEX(账户总表!$C:$C,MATCH($A100,账户总表!$A:$A,0)),INDEX(账户总表!$U:$U,MATCH($A100,账户总表!$A:$A,0))&lt;&gt;"是"),"现金不足且不允许转入",IF(AND(Z100="是",AB100&lt;=0),"转入金额未满足",""))))))))))))</f>
        <v/>
      </c>
      <c r="AE100" s="33"/>
    </row>
    <row r="101" customFormat="false" ht="15" hidden="false" customHeight="true" outlineLevel="0" collapsed="false">
      <c r="A101" s="32"/>
      <c r="B101" s="33"/>
      <c r="C101" s="34"/>
      <c r="D101" s="35"/>
      <c r="E101" s="35"/>
      <c r="F101" s="35"/>
      <c r="G101" s="36"/>
      <c r="H101" s="34"/>
      <c r="I101" s="34"/>
      <c r="J101" s="33"/>
      <c r="K101" s="37" t="str">
        <f aca="false">IF($A101="","",IF(AND(G101&lt;45%,H101&gt;=0.9),"A",IF(AND(G101&lt;60%,H101&gt;0.8),"B","C")))</f>
        <v/>
      </c>
      <c r="L101" s="37" t="str">
        <f aca="false">IF($A101="","",IF(AND(G101&lt;60%,H101&gt;0.8,I101="True"),"是","否"))</f>
        <v/>
      </c>
      <c r="M101" s="37" t="str">
        <f aca="false">IF($A101="","",IF(AND(D101&gt;0,E101&gt;0,D101&lt;=E101*1.02),"是","否"))</f>
        <v/>
      </c>
      <c r="N101" s="38" t="n">
        <f aca="false">IFERROR(INDEX(账户总表!$O:$O,MATCH($A101,账户总表!$A:$A,0)),0)</f>
        <v>0</v>
      </c>
      <c r="O101" s="39" t="n">
        <f aca="false">IFERROR(INDEX(账户总表!$B:$B,MATCH($A101,账户总表!$A:$A,0))*N101,0)</f>
        <v>0</v>
      </c>
      <c r="P101" s="40" t="n">
        <f aca="false">IFERROR(O101/D101,0)</f>
        <v>0</v>
      </c>
      <c r="Q101" s="40" t="n">
        <f aca="false">IFERROR(FLOOR(P101,100),0)</f>
        <v>0</v>
      </c>
      <c r="R101" s="40" t="n">
        <f aca="false">IFERROR(CEILING(800/(100*D101),1)*100,0)</f>
        <v>0</v>
      </c>
      <c r="S101" s="41"/>
      <c r="T101" s="39" t="n">
        <f aca="false">IFERROR(S101*D101,0)</f>
        <v>0</v>
      </c>
      <c r="U101" s="38" t="n">
        <f aca="false">IFERROR(T101/INDEX(账户总表!$B:$B,MATCH($A101,账户总表!$A:$A,0)),0)</f>
        <v>0</v>
      </c>
      <c r="V101" s="38" t="n">
        <f aca="false">IFERROR(INDEX(账户总表!$E:$E,MATCH($A101,账户总表!$A:$A,0))+U101,0)</f>
        <v>0</v>
      </c>
      <c r="W101" s="37" t="str">
        <f aca="false">IF($A101="","",IFERROR(IF(V101&lt;=INDEX(账户总表!$N:$N,MATCH($A101,账户总表!$A:$A,0)),"是","否"),"否"))</f>
        <v/>
      </c>
      <c r="X101" s="39" t="str">
        <f aca="false">IF($A101="","",MAX(F101*0.98,D101*0.92))</f>
        <v/>
      </c>
      <c r="Y101" s="34"/>
      <c r="Z101" s="37" t="str">
        <f aca="false">IF($A101="","",IFERROR(IF(AND(T101&gt;INDEX(账户总表!$C:$C,MATCH($A101,账户总表!$A:$A,0)),L101="是"),"是","否"),"否"))</f>
        <v/>
      </c>
      <c r="AA101" s="39" t="str">
        <f aca="false">IF($A101="","",IFERROR(IF(Z101="是",MAX(0,T101-INDEX(账户总表!$C:$C,MATCH($A101,账户总表!$A:$A,0)),IF(N101&gt;0,T101/N101-INDEX(账户总表!$B:$B,MATCH($A101,账户总表!$A:$A,0)),0)),0),0))</f>
        <v/>
      </c>
      <c r="AB101" s="39" t="str">
        <f aca="false">IF($A101="","",IF(AND(Z101="是",INDEX(账户总表!$U:$U,MATCH($A101,账户总表!$A:$A,0))="是"),IF(INDEX(账户总表!$L:$L,MATCH($A101,账户总表!$A:$A,0))&gt;=4,AA101*1.5,AA101),0))</f>
        <v/>
      </c>
      <c r="AC101" s="42" t="str">
        <f aca="false">IF($A101="","",IF(AND(L101="是",Q101&gt;=R101,S101&lt;=Q101,S101&gt;=R101,W101="是",X101&gt;0,M101="是",INDEX(账户总表!$M:$M,MATCH($A101,账户总表!$A:$A,0))&lt;=2,INDEX(账户总表!$V:$V,MATCH($A101,账户总表!$A:$A,0))="是",OR(T101&lt;=INDEX(账户总表!$C:$C,MATCH($A101,账户总表!$A:$A,0)),AND(Z101="是",INDEX(账户总表!$U:$U,MATCH($A101,账户总表!$A:$A,0))="是",AB101&gt;0))),"是","否"))</f>
        <v/>
      </c>
      <c r="AD101" s="37" t="str">
        <f aca="false">IF($A101="","",IF(L101&lt;&gt;"是","信号未确认",IF(X101&lt;=0,"止损价未定义",IF(Q101&lt;R101,"100股约束不满足",IF(S101&gt;Q101,"计划股数超单股上限",IF(S101&lt;R101,"计划股数低于最小门槛",IF(W101&lt;&gt;"是","总仓位超限",IF(M101&lt;&gt;"是","追价",IF(INDEX(账户总表!$M:$M,MATCH($A101,账户总表!$A:$A,0))&gt;2,"亏钱效应偏高",IF(INDEX(账户总表!$V:$V,MATCH($A101,账户总表!$A:$A,0))&lt;&gt;"是","账户不允许新开仓",IF(AND(T101&gt;INDEX(账户总表!$C:$C,MATCH($A101,账户总表!$A:$A,0)),INDEX(账户总表!$U:$U,MATCH($A101,账户总表!$A:$A,0))&lt;&gt;"是"),"现金不足且不允许转入",IF(AND(Z101="是",AB101&lt;=0),"转入金额未满足",""))))))))))))</f>
        <v/>
      </c>
      <c r="AE101" s="33"/>
    </row>
    <row r="102" customFormat="false" ht="15" hidden="false" customHeight="true" outlineLevel="0" collapsed="false">
      <c r="A102" s="32"/>
      <c r="B102" s="33"/>
      <c r="C102" s="34"/>
      <c r="D102" s="35"/>
      <c r="E102" s="35"/>
      <c r="F102" s="35"/>
      <c r="G102" s="36"/>
      <c r="H102" s="34"/>
      <c r="I102" s="34"/>
      <c r="J102" s="33"/>
      <c r="K102" s="37" t="str">
        <f aca="false">IF($A102="","",IF(AND(G102&lt;45%,H102&gt;=0.9),"A",IF(AND(G102&lt;60%,H102&gt;0.8),"B","C")))</f>
        <v/>
      </c>
      <c r="L102" s="37" t="str">
        <f aca="false">IF($A102="","",IF(AND(G102&lt;60%,H102&gt;0.8,I102="True"),"是","否"))</f>
        <v/>
      </c>
      <c r="M102" s="37" t="str">
        <f aca="false">IF($A102="","",IF(AND(D102&gt;0,E102&gt;0,D102&lt;=E102*1.02),"是","否"))</f>
        <v/>
      </c>
      <c r="N102" s="38" t="n">
        <f aca="false">IFERROR(INDEX(账户总表!$O:$O,MATCH($A102,账户总表!$A:$A,0)),0)</f>
        <v>0</v>
      </c>
      <c r="O102" s="39" t="n">
        <f aca="false">IFERROR(INDEX(账户总表!$B:$B,MATCH($A102,账户总表!$A:$A,0))*N102,0)</f>
        <v>0</v>
      </c>
      <c r="P102" s="40" t="n">
        <f aca="false">IFERROR(O102/D102,0)</f>
        <v>0</v>
      </c>
      <c r="Q102" s="40" t="n">
        <f aca="false">IFERROR(FLOOR(P102,100),0)</f>
        <v>0</v>
      </c>
      <c r="R102" s="40" t="n">
        <f aca="false">IFERROR(CEILING(800/(100*D102),1)*100,0)</f>
        <v>0</v>
      </c>
      <c r="S102" s="41"/>
      <c r="T102" s="39" t="n">
        <f aca="false">IFERROR(S102*D102,0)</f>
        <v>0</v>
      </c>
      <c r="U102" s="38" t="n">
        <f aca="false">IFERROR(T102/INDEX(账户总表!$B:$B,MATCH($A102,账户总表!$A:$A,0)),0)</f>
        <v>0</v>
      </c>
      <c r="V102" s="38" t="n">
        <f aca="false">IFERROR(INDEX(账户总表!$E:$E,MATCH($A102,账户总表!$A:$A,0))+U102,0)</f>
        <v>0</v>
      </c>
      <c r="W102" s="37" t="str">
        <f aca="false">IF($A102="","",IFERROR(IF(V102&lt;=INDEX(账户总表!$N:$N,MATCH($A102,账户总表!$A:$A,0)),"是","否"),"否"))</f>
        <v/>
      </c>
      <c r="X102" s="39" t="str">
        <f aca="false">IF($A102="","",MAX(F102*0.98,D102*0.92))</f>
        <v/>
      </c>
      <c r="Y102" s="34"/>
      <c r="Z102" s="37" t="str">
        <f aca="false">IF($A102="","",IFERROR(IF(AND(T102&gt;INDEX(账户总表!$C:$C,MATCH($A102,账户总表!$A:$A,0)),L102="是"),"是","否"),"否"))</f>
        <v/>
      </c>
      <c r="AA102" s="39" t="str">
        <f aca="false">IF($A102="","",IFERROR(IF(Z102="是",MAX(0,T102-INDEX(账户总表!$C:$C,MATCH($A102,账户总表!$A:$A,0)),IF(N102&gt;0,T102/N102-INDEX(账户总表!$B:$B,MATCH($A102,账户总表!$A:$A,0)),0)),0),0))</f>
        <v/>
      </c>
      <c r="AB102" s="39" t="str">
        <f aca="false">IF($A102="","",IF(AND(Z102="是",INDEX(账户总表!$U:$U,MATCH($A102,账户总表!$A:$A,0))="是"),IF(INDEX(账户总表!$L:$L,MATCH($A102,账户总表!$A:$A,0))&gt;=4,AA102*1.5,AA102),0))</f>
        <v/>
      </c>
      <c r="AC102" s="42" t="str">
        <f aca="false">IF($A102="","",IF(AND(L102="是",Q102&gt;=R102,S102&lt;=Q102,S102&gt;=R102,W102="是",X102&gt;0,M102="是",INDEX(账户总表!$M:$M,MATCH($A102,账户总表!$A:$A,0))&lt;=2,INDEX(账户总表!$V:$V,MATCH($A102,账户总表!$A:$A,0))="是",OR(T102&lt;=INDEX(账户总表!$C:$C,MATCH($A102,账户总表!$A:$A,0)),AND(Z102="是",INDEX(账户总表!$U:$U,MATCH($A102,账户总表!$A:$A,0))="是",AB102&gt;0))),"是","否"))</f>
        <v/>
      </c>
      <c r="AD102" s="37" t="str">
        <f aca="false">IF($A102="","",IF(L102&lt;&gt;"是","信号未确认",IF(X102&lt;=0,"止损价未定义",IF(Q102&lt;R102,"100股约束不满足",IF(S102&gt;Q102,"计划股数超单股上限",IF(S102&lt;R102,"计划股数低于最小门槛",IF(W102&lt;&gt;"是","总仓位超限",IF(M102&lt;&gt;"是","追价",IF(INDEX(账户总表!$M:$M,MATCH($A102,账户总表!$A:$A,0))&gt;2,"亏钱效应偏高",IF(INDEX(账户总表!$V:$V,MATCH($A102,账户总表!$A:$A,0))&lt;&gt;"是","账户不允许新开仓",IF(AND(T102&gt;INDEX(账户总表!$C:$C,MATCH($A102,账户总表!$A:$A,0)),INDEX(账户总表!$U:$U,MATCH($A102,账户总表!$A:$A,0))&lt;&gt;"是"),"现金不足且不允许转入",IF(AND(Z102="是",AB102&lt;=0),"转入金额未满足",""))))))))))))</f>
        <v/>
      </c>
      <c r="AE102" s="33"/>
    </row>
    <row r="103" customFormat="false" ht="15" hidden="false" customHeight="true" outlineLevel="0" collapsed="false">
      <c r="A103" s="32"/>
      <c r="B103" s="33"/>
      <c r="C103" s="34"/>
      <c r="D103" s="35"/>
      <c r="E103" s="35"/>
      <c r="F103" s="35"/>
      <c r="G103" s="36"/>
      <c r="H103" s="34"/>
      <c r="I103" s="34"/>
      <c r="J103" s="33"/>
      <c r="K103" s="37" t="str">
        <f aca="false">IF($A103="","",IF(AND(G103&lt;45%,H103&gt;=0.9),"A",IF(AND(G103&lt;60%,H103&gt;0.8),"B","C")))</f>
        <v/>
      </c>
      <c r="L103" s="37" t="str">
        <f aca="false">IF($A103="","",IF(AND(G103&lt;60%,H103&gt;0.8,I103="True"),"是","否"))</f>
        <v/>
      </c>
      <c r="M103" s="37" t="str">
        <f aca="false">IF($A103="","",IF(AND(D103&gt;0,E103&gt;0,D103&lt;=E103*1.02),"是","否"))</f>
        <v/>
      </c>
      <c r="N103" s="38" t="n">
        <f aca="false">IFERROR(INDEX(账户总表!$O:$O,MATCH($A103,账户总表!$A:$A,0)),0)</f>
        <v>0</v>
      </c>
      <c r="O103" s="39" t="n">
        <f aca="false">IFERROR(INDEX(账户总表!$B:$B,MATCH($A103,账户总表!$A:$A,0))*N103,0)</f>
        <v>0</v>
      </c>
      <c r="P103" s="40" t="n">
        <f aca="false">IFERROR(O103/D103,0)</f>
        <v>0</v>
      </c>
      <c r="Q103" s="40" t="n">
        <f aca="false">IFERROR(FLOOR(P103,100),0)</f>
        <v>0</v>
      </c>
      <c r="R103" s="40" t="n">
        <f aca="false">IFERROR(CEILING(800/(100*D103),1)*100,0)</f>
        <v>0</v>
      </c>
      <c r="S103" s="41"/>
      <c r="T103" s="39" t="n">
        <f aca="false">IFERROR(S103*D103,0)</f>
        <v>0</v>
      </c>
      <c r="U103" s="38" t="n">
        <f aca="false">IFERROR(T103/INDEX(账户总表!$B:$B,MATCH($A103,账户总表!$A:$A,0)),0)</f>
        <v>0</v>
      </c>
      <c r="V103" s="38" t="n">
        <f aca="false">IFERROR(INDEX(账户总表!$E:$E,MATCH($A103,账户总表!$A:$A,0))+U103,0)</f>
        <v>0</v>
      </c>
      <c r="W103" s="37" t="str">
        <f aca="false">IF($A103="","",IFERROR(IF(V103&lt;=INDEX(账户总表!$N:$N,MATCH($A103,账户总表!$A:$A,0)),"是","否"),"否"))</f>
        <v/>
      </c>
      <c r="X103" s="39" t="str">
        <f aca="false">IF($A103="","",MAX(F103*0.98,D103*0.92))</f>
        <v/>
      </c>
      <c r="Y103" s="34"/>
      <c r="Z103" s="37" t="str">
        <f aca="false">IF($A103="","",IFERROR(IF(AND(T103&gt;INDEX(账户总表!$C:$C,MATCH($A103,账户总表!$A:$A,0)),L103="是"),"是","否"),"否"))</f>
        <v/>
      </c>
      <c r="AA103" s="39" t="str">
        <f aca="false">IF($A103="","",IFERROR(IF(Z103="是",MAX(0,T103-INDEX(账户总表!$C:$C,MATCH($A103,账户总表!$A:$A,0)),IF(N103&gt;0,T103/N103-INDEX(账户总表!$B:$B,MATCH($A103,账户总表!$A:$A,0)),0)),0),0))</f>
        <v/>
      </c>
      <c r="AB103" s="39" t="str">
        <f aca="false">IF($A103="","",IF(AND(Z103="是",INDEX(账户总表!$U:$U,MATCH($A103,账户总表!$A:$A,0))="是"),IF(INDEX(账户总表!$L:$L,MATCH($A103,账户总表!$A:$A,0))&gt;=4,AA103*1.5,AA103),0))</f>
        <v/>
      </c>
      <c r="AC103" s="42" t="str">
        <f aca="false">IF($A103="","",IF(AND(L103="是",Q103&gt;=R103,S103&lt;=Q103,S103&gt;=R103,W103="是",X103&gt;0,M103="是",INDEX(账户总表!$M:$M,MATCH($A103,账户总表!$A:$A,0))&lt;=2,INDEX(账户总表!$V:$V,MATCH($A103,账户总表!$A:$A,0))="是",OR(T103&lt;=INDEX(账户总表!$C:$C,MATCH($A103,账户总表!$A:$A,0)),AND(Z103="是",INDEX(账户总表!$U:$U,MATCH($A103,账户总表!$A:$A,0))="是",AB103&gt;0))),"是","否"))</f>
        <v/>
      </c>
      <c r="AD103" s="37" t="str">
        <f aca="false">IF($A103="","",IF(L103&lt;&gt;"是","信号未确认",IF(X103&lt;=0,"止损价未定义",IF(Q103&lt;R103,"100股约束不满足",IF(S103&gt;Q103,"计划股数超单股上限",IF(S103&lt;R103,"计划股数低于最小门槛",IF(W103&lt;&gt;"是","总仓位超限",IF(M103&lt;&gt;"是","追价",IF(INDEX(账户总表!$M:$M,MATCH($A103,账户总表!$A:$A,0))&gt;2,"亏钱效应偏高",IF(INDEX(账户总表!$V:$V,MATCH($A103,账户总表!$A:$A,0))&lt;&gt;"是","账户不允许新开仓",IF(AND(T103&gt;INDEX(账户总表!$C:$C,MATCH($A103,账户总表!$A:$A,0)),INDEX(账户总表!$U:$U,MATCH($A103,账户总表!$A:$A,0))&lt;&gt;"是"),"现金不足且不允许转入",IF(AND(Z103="是",AB103&lt;=0),"转入金额未满足",""))))))))))))</f>
        <v/>
      </c>
      <c r="AE103" s="33"/>
    </row>
    <row r="104" customFormat="false" ht="15" hidden="false" customHeight="true" outlineLevel="0" collapsed="false">
      <c r="A104" s="32"/>
      <c r="B104" s="33"/>
      <c r="C104" s="34"/>
      <c r="D104" s="35"/>
      <c r="E104" s="35"/>
      <c r="F104" s="35"/>
      <c r="G104" s="36"/>
      <c r="H104" s="34"/>
      <c r="I104" s="34"/>
      <c r="J104" s="33"/>
      <c r="K104" s="37" t="str">
        <f aca="false">IF($A104="","",IF(AND(G104&lt;45%,H104&gt;=0.9),"A",IF(AND(G104&lt;60%,H104&gt;0.8),"B","C")))</f>
        <v/>
      </c>
      <c r="L104" s="37" t="str">
        <f aca="false">IF($A104="","",IF(AND(G104&lt;60%,H104&gt;0.8,I104="True"),"是","否"))</f>
        <v/>
      </c>
      <c r="M104" s="37" t="str">
        <f aca="false">IF($A104="","",IF(AND(D104&gt;0,E104&gt;0,D104&lt;=E104*1.02),"是","否"))</f>
        <v/>
      </c>
      <c r="N104" s="38" t="n">
        <f aca="false">IFERROR(INDEX(账户总表!$O:$O,MATCH($A104,账户总表!$A:$A,0)),0)</f>
        <v>0</v>
      </c>
      <c r="O104" s="39" t="n">
        <f aca="false">IFERROR(INDEX(账户总表!$B:$B,MATCH($A104,账户总表!$A:$A,0))*N104,0)</f>
        <v>0</v>
      </c>
      <c r="P104" s="40" t="n">
        <f aca="false">IFERROR(O104/D104,0)</f>
        <v>0</v>
      </c>
      <c r="Q104" s="40" t="n">
        <f aca="false">IFERROR(FLOOR(P104,100),0)</f>
        <v>0</v>
      </c>
      <c r="R104" s="40" t="n">
        <f aca="false">IFERROR(CEILING(800/(100*D104),1)*100,0)</f>
        <v>0</v>
      </c>
      <c r="S104" s="41"/>
      <c r="T104" s="39" t="n">
        <f aca="false">IFERROR(S104*D104,0)</f>
        <v>0</v>
      </c>
      <c r="U104" s="38" t="n">
        <f aca="false">IFERROR(T104/INDEX(账户总表!$B:$B,MATCH($A104,账户总表!$A:$A,0)),0)</f>
        <v>0</v>
      </c>
      <c r="V104" s="38" t="n">
        <f aca="false">IFERROR(INDEX(账户总表!$E:$E,MATCH($A104,账户总表!$A:$A,0))+U104,0)</f>
        <v>0</v>
      </c>
      <c r="W104" s="37" t="str">
        <f aca="false">IF($A104="","",IFERROR(IF(V104&lt;=INDEX(账户总表!$N:$N,MATCH($A104,账户总表!$A:$A,0)),"是","否"),"否"))</f>
        <v/>
      </c>
      <c r="X104" s="39" t="str">
        <f aca="false">IF($A104="","",MAX(F104*0.98,D104*0.92))</f>
        <v/>
      </c>
      <c r="Y104" s="34"/>
      <c r="Z104" s="37" t="str">
        <f aca="false">IF($A104="","",IFERROR(IF(AND(T104&gt;INDEX(账户总表!$C:$C,MATCH($A104,账户总表!$A:$A,0)),L104="是"),"是","否"),"否"))</f>
        <v/>
      </c>
      <c r="AA104" s="39" t="str">
        <f aca="false">IF($A104="","",IFERROR(IF(Z104="是",MAX(0,T104-INDEX(账户总表!$C:$C,MATCH($A104,账户总表!$A:$A,0)),IF(N104&gt;0,T104/N104-INDEX(账户总表!$B:$B,MATCH($A104,账户总表!$A:$A,0)),0)),0),0))</f>
        <v/>
      </c>
      <c r="AB104" s="39" t="str">
        <f aca="false">IF($A104="","",IF(AND(Z104="是",INDEX(账户总表!$U:$U,MATCH($A104,账户总表!$A:$A,0))="是"),IF(INDEX(账户总表!$L:$L,MATCH($A104,账户总表!$A:$A,0))&gt;=4,AA104*1.5,AA104),0))</f>
        <v/>
      </c>
      <c r="AC104" s="42" t="str">
        <f aca="false">IF($A104="","",IF(AND(L104="是",Q104&gt;=R104,S104&lt;=Q104,S104&gt;=R104,W104="是",X104&gt;0,M104="是",INDEX(账户总表!$M:$M,MATCH($A104,账户总表!$A:$A,0))&lt;=2,INDEX(账户总表!$V:$V,MATCH($A104,账户总表!$A:$A,0))="是",OR(T104&lt;=INDEX(账户总表!$C:$C,MATCH($A104,账户总表!$A:$A,0)),AND(Z104="是",INDEX(账户总表!$U:$U,MATCH($A104,账户总表!$A:$A,0))="是",AB104&gt;0))),"是","否"))</f>
        <v/>
      </c>
      <c r="AD104" s="37" t="str">
        <f aca="false">IF($A104="","",IF(L104&lt;&gt;"是","信号未确认",IF(X104&lt;=0,"止损价未定义",IF(Q104&lt;R104,"100股约束不满足",IF(S104&gt;Q104,"计划股数超单股上限",IF(S104&lt;R104,"计划股数低于最小门槛",IF(W104&lt;&gt;"是","总仓位超限",IF(M104&lt;&gt;"是","追价",IF(INDEX(账户总表!$M:$M,MATCH($A104,账户总表!$A:$A,0))&gt;2,"亏钱效应偏高",IF(INDEX(账户总表!$V:$V,MATCH($A104,账户总表!$A:$A,0))&lt;&gt;"是","账户不允许新开仓",IF(AND(T104&gt;INDEX(账户总表!$C:$C,MATCH($A104,账户总表!$A:$A,0)),INDEX(账户总表!$U:$U,MATCH($A104,账户总表!$A:$A,0))&lt;&gt;"是"),"现金不足且不允许转入",IF(AND(Z104="是",AB104&lt;=0),"转入金额未满足",""))))))))))))</f>
        <v/>
      </c>
      <c r="AE104" s="33"/>
    </row>
    <row r="105" customFormat="false" ht="15" hidden="false" customHeight="true" outlineLevel="0" collapsed="false">
      <c r="A105" s="32"/>
      <c r="B105" s="33"/>
      <c r="C105" s="34"/>
      <c r="D105" s="35"/>
      <c r="E105" s="35"/>
      <c r="F105" s="35"/>
      <c r="G105" s="36"/>
      <c r="H105" s="34"/>
      <c r="I105" s="34"/>
      <c r="J105" s="33"/>
      <c r="K105" s="37" t="str">
        <f aca="false">IF($A105="","",IF(AND(G105&lt;45%,H105&gt;=0.9),"A",IF(AND(G105&lt;60%,H105&gt;0.8),"B","C")))</f>
        <v/>
      </c>
      <c r="L105" s="37" t="str">
        <f aca="false">IF($A105="","",IF(AND(G105&lt;60%,H105&gt;0.8,I105="True"),"是","否"))</f>
        <v/>
      </c>
      <c r="M105" s="37" t="str">
        <f aca="false">IF($A105="","",IF(AND(D105&gt;0,E105&gt;0,D105&lt;=E105*1.02),"是","否"))</f>
        <v/>
      </c>
      <c r="N105" s="38" t="n">
        <f aca="false">IFERROR(INDEX(账户总表!$O:$O,MATCH($A105,账户总表!$A:$A,0)),0)</f>
        <v>0</v>
      </c>
      <c r="O105" s="39" t="n">
        <f aca="false">IFERROR(INDEX(账户总表!$B:$B,MATCH($A105,账户总表!$A:$A,0))*N105,0)</f>
        <v>0</v>
      </c>
      <c r="P105" s="40" t="n">
        <f aca="false">IFERROR(O105/D105,0)</f>
        <v>0</v>
      </c>
      <c r="Q105" s="40" t="n">
        <f aca="false">IFERROR(FLOOR(P105,100),0)</f>
        <v>0</v>
      </c>
      <c r="R105" s="40" t="n">
        <f aca="false">IFERROR(CEILING(800/(100*D105),1)*100,0)</f>
        <v>0</v>
      </c>
      <c r="S105" s="41"/>
      <c r="T105" s="39" t="n">
        <f aca="false">IFERROR(S105*D105,0)</f>
        <v>0</v>
      </c>
      <c r="U105" s="38" t="n">
        <f aca="false">IFERROR(T105/INDEX(账户总表!$B:$B,MATCH($A105,账户总表!$A:$A,0)),0)</f>
        <v>0</v>
      </c>
      <c r="V105" s="38" t="n">
        <f aca="false">IFERROR(INDEX(账户总表!$E:$E,MATCH($A105,账户总表!$A:$A,0))+U105,0)</f>
        <v>0</v>
      </c>
      <c r="W105" s="37" t="str">
        <f aca="false">IF($A105="","",IFERROR(IF(V105&lt;=INDEX(账户总表!$N:$N,MATCH($A105,账户总表!$A:$A,0)),"是","否"),"否"))</f>
        <v/>
      </c>
      <c r="X105" s="39" t="str">
        <f aca="false">IF($A105="","",MAX(F105*0.98,D105*0.92))</f>
        <v/>
      </c>
      <c r="Y105" s="34"/>
      <c r="Z105" s="37" t="str">
        <f aca="false">IF($A105="","",IFERROR(IF(AND(T105&gt;INDEX(账户总表!$C:$C,MATCH($A105,账户总表!$A:$A,0)),L105="是"),"是","否"),"否"))</f>
        <v/>
      </c>
      <c r="AA105" s="39" t="str">
        <f aca="false">IF($A105="","",IFERROR(IF(Z105="是",MAX(0,T105-INDEX(账户总表!$C:$C,MATCH($A105,账户总表!$A:$A,0)),IF(N105&gt;0,T105/N105-INDEX(账户总表!$B:$B,MATCH($A105,账户总表!$A:$A,0)),0)),0),0))</f>
        <v/>
      </c>
      <c r="AB105" s="39" t="str">
        <f aca="false">IF($A105="","",IF(AND(Z105="是",INDEX(账户总表!$U:$U,MATCH($A105,账户总表!$A:$A,0))="是"),IF(INDEX(账户总表!$L:$L,MATCH($A105,账户总表!$A:$A,0))&gt;=4,AA105*1.5,AA105),0))</f>
        <v/>
      </c>
      <c r="AC105" s="42" t="str">
        <f aca="false">IF($A105="","",IF(AND(L105="是",Q105&gt;=R105,S105&lt;=Q105,S105&gt;=R105,W105="是",X105&gt;0,M105="是",INDEX(账户总表!$M:$M,MATCH($A105,账户总表!$A:$A,0))&lt;=2,INDEX(账户总表!$V:$V,MATCH($A105,账户总表!$A:$A,0))="是",OR(T105&lt;=INDEX(账户总表!$C:$C,MATCH($A105,账户总表!$A:$A,0)),AND(Z105="是",INDEX(账户总表!$U:$U,MATCH($A105,账户总表!$A:$A,0))="是",AB105&gt;0))),"是","否"))</f>
        <v/>
      </c>
      <c r="AD105" s="37" t="str">
        <f aca="false">IF($A105="","",IF(L105&lt;&gt;"是","信号未确认",IF(X105&lt;=0,"止损价未定义",IF(Q105&lt;R105,"100股约束不满足",IF(S105&gt;Q105,"计划股数超单股上限",IF(S105&lt;R105,"计划股数低于最小门槛",IF(W105&lt;&gt;"是","总仓位超限",IF(M105&lt;&gt;"是","追价",IF(INDEX(账户总表!$M:$M,MATCH($A105,账户总表!$A:$A,0))&gt;2,"亏钱效应偏高",IF(INDEX(账户总表!$V:$V,MATCH($A105,账户总表!$A:$A,0))&lt;&gt;"是","账户不允许新开仓",IF(AND(T105&gt;INDEX(账户总表!$C:$C,MATCH($A105,账户总表!$A:$A,0)),INDEX(账户总表!$U:$U,MATCH($A105,账户总表!$A:$A,0))&lt;&gt;"是"),"现金不足且不允许转入",IF(AND(Z105="是",AB105&lt;=0),"转入金额未满足",""))))))))))))</f>
        <v/>
      </c>
      <c r="AE105" s="33"/>
    </row>
    <row r="106" customFormat="false" ht="15" hidden="false" customHeight="true" outlineLevel="0" collapsed="false">
      <c r="A106" s="32"/>
      <c r="B106" s="33"/>
      <c r="C106" s="34"/>
      <c r="D106" s="35"/>
      <c r="E106" s="35"/>
      <c r="F106" s="35"/>
      <c r="G106" s="36"/>
      <c r="H106" s="34"/>
      <c r="I106" s="34"/>
      <c r="J106" s="33"/>
      <c r="K106" s="37" t="str">
        <f aca="false">IF($A106="","",IF(AND(G106&lt;45%,H106&gt;=0.9),"A",IF(AND(G106&lt;60%,H106&gt;0.8),"B","C")))</f>
        <v/>
      </c>
      <c r="L106" s="37" t="str">
        <f aca="false">IF($A106="","",IF(AND(G106&lt;60%,H106&gt;0.8,I106="True"),"是","否"))</f>
        <v/>
      </c>
      <c r="M106" s="37" t="str">
        <f aca="false">IF($A106="","",IF(AND(D106&gt;0,E106&gt;0,D106&lt;=E106*1.02),"是","否"))</f>
        <v/>
      </c>
      <c r="N106" s="38" t="n">
        <f aca="false">IFERROR(INDEX(账户总表!$O:$O,MATCH($A106,账户总表!$A:$A,0)),0)</f>
        <v>0</v>
      </c>
      <c r="O106" s="39" t="n">
        <f aca="false">IFERROR(INDEX(账户总表!$B:$B,MATCH($A106,账户总表!$A:$A,0))*N106,0)</f>
        <v>0</v>
      </c>
      <c r="P106" s="40" t="n">
        <f aca="false">IFERROR(O106/D106,0)</f>
        <v>0</v>
      </c>
      <c r="Q106" s="40" t="n">
        <f aca="false">IFERROR(FLOOR(P106,100),0)</f>
        <v>0</v>
      </c>
      <c r="R106" s="40" t="n">
        <f aca="false">IFERROR(CEILING(800/(100*D106),1)*100,0)</f>
        <v>0</v>
      </c>
      <c r="S106" s="41"/>
      <c r="T106" s="39" t="n">
        <f aca="false">IFERROR(S106*D106,0)</f>
        <v>0</v>
      </c>
      <c r="U106" s="38" t="n">
        <f aca="false">IFERROR(T106/INDEX(账户总表!$B:$B,MATCH($A106,账户总表!$A:$A,0)),0)</f>
        <v>0</v>
      </c>
      <c r="V106" s="38" t="n">
        <f aca="false">IFERROR(INDEX(账户总表!$E:$E,MATCH($A106,账户总表!$A:$A,0))+U106,0)</f>
        <v>0</v>
      </c>
      <c r="W106" s="37" t="str">
        <f aca="false">IF($A106="","",IFERROR(IF(V106&lt;=INDEX(账户总表!$N:$N,MATCH($A106,账户总表!$A:$A,0)),"是","否"),"否"))</f>
        <v/>
      </c>
      <c r="X106" s="39" t="str">
        <f aca="false">IF($A106="","",MAX(F106*0.98,D106*0.92))</f>
        <v/>
      </c>
      <c r="Y106" s="34"/>
      <c r="Z106" s="37" t="str">
        <f aca="false">IF($A106="","",IFERROR(IF(AND(T106&gt;INDEX(账户总表!$C:$C,MATCH($A106,账户总表!$A:$A,0)),L106="是"),"是","否"),"否"))</f>
        <v/>
      </c>
      <c r="AA106" s="39" t="str">
        <f aca="false">IF($A106="","",IFERROR(IF(Z106="是",MAX(0,T106-INDEX(账户总表!$C:$C,MATCH($A106,账户总表!$A:$A,0)),IF(N106&gt;0,T106/N106-INDEX(账户总表!$B:$B,MATCH($A106,账户总表!$A:$A,0)),0)),0),0))</f>
        <v/>
      </c>
      <c r="AB106" s="39" t="str">
        <f aca="false">IF($A106="","",IF(AND(Z106="是",INDEX(账户总表!$U:$U,MATCH($A106,账户总表!$A:$A,0))="是"),IF(INDEX(账户总表!$L:$L,MATCH($A106,账户总表!$A:$A,0))&gt;=4,AA106*1.5,AA106),0))</f>
        <v/>
      </c>
      <c r="AC106" s="42" t="str">
        <f aca="false">IF($A106="","",IF(AND(L106="是",Q106&gt;=R106,S106&lt;=Q106,S106&gt;=R106,W106="是",X106&gt;0,M106="是",INDEX(账户总表!$M:$M,MATCH($A106,账户总表!$A:$A,0))&lt;=2,INDEX(账户总表!$V:$V,MATCH($A106,账户总表!$A:$A,0))="是",OR(T106&lt;=INDEX(账户总表!$C:$C,MATCH($A106,账户总表!$A:$A,0)),AND(Z106="是",INDEX(账户总表!$U:$U,MATCH($A106,账户总表!$A:$A,0))="是",AB106&gt;0))),"是","否"))</f>
        <v/>
      </c>
      <c r="AD106" s="37" t="str">
        <f aca="false">IF($A106="","",IF(L106&lt;&gt;"是","信号未确认",IF(X106&lt;=0,"止损价未定义",IF(Q106&lt;R106,"100股约束不满足",IF(S106&gt;Q106,"计划股数超单股上限",IF(S106&lt;R106,"计划股数低于最小门槛",IF(W106&lt;&gt;"是","总仓位超限",IF(M106&lt;&gt;"是","追价",IF(INDEX(账户总表!$M:$M,MATCH($A106,账户总表!$A:$A,0))&gt;2,"亏钱效应偏高",IF(INDEX(账户总表!$V:$V,MATCH($A106,账户总表!$A:$A,0))&lt;&gt;"是","账户不允许新开仓",IF(AND(T106&gt;INDEX(账户总表!$C:$C,MATCH($A106,账户总表!$A:$A,0)),INDEX(账户总表!$U:$U,MATCH($A106,账户总表!$A:$A,0))&lt;&gt;"是"),"现金不足且不允许转入",IF(AND(Z106="是",AB106&lt;=0),"转入金额未满足",""))))))))))))</f>
        <v/>
      </c>
      <c r="AE106" s="33"/>
    </row>
    <row r="107" customFormat="false" ht="15" hidden="false" customHeight="true" outlineLevel="0" collapsed="false">
      <c r="A107" s="32"/>
      <c r="B107" s="33"/>
      <c r="C107" s="34"/>
      <c r="D107" s="35"/>
      <c r="E107" s="35"/>
      <c r="F107" s="35"/>
      <c r="G107" s="36"/>
      <c r="H107" s="34"/>
      <c r="I107" s="34"/>
      <c r="J107" s="33"/>
      <c r="K107" s="37" t="str">
        <f aca="false">IF($A107="","",IF(AND(G107&lt;45%,H107&gt;=0.9),"A",IF(AND(G107&lt;60%,H107&gt;0.8),"B","C")))</f>
        <v/>
      </c>
      <c r="L107" s="37" t="str">
        <f aca="false">IF($A107="","",IF(AND(G107&lt;60%,H107&gt;0.8,I107="True"),"是","否"))</f>
        <v/>
      </c>
      <c r="M107" s="37" t="str">
        <f aca="false">IF($A107="","",IF(AND(D107&gt;0,E107&gt;0,D107&lt;=E107*1.02),"是","否"))</f>
        <v/>
      </c>
      <c r="N107" s="38" t="n">
        <f aca="false">IFERROR(INDEX(账户总表!$O:$O,MATCH($A107,账户总表!$A:$A,0)),0)</f>
        <v>0</v>
      </c>
      <c r="O107" s="39" t="n">
        <f aca="false">IFERROR(INDEX(账户总表!$B:$B,MATCH($A107,账户总表!$A:$A,0))*N107,0)</f>
        <v>0</v>
      </c>
      <c r="P107" s="40" t="n">
        <f aca="false">IFERROR(O107/D107,0)</f>
        <v>0</v>
      </c>
      <c r="Q107" s="40" t="n">
        <f aca="false">IFERROR(FLOOR(P107,100),0)</f>
        <v>0</v>
      </c>
      <c r="R107" s="40" t="n">
        <f aca="false">IFERROR(CEILING(800/(100*D107),1)*100,0)</f>
        <v>0</v>
      </c>
      <c r="S107" s="41"/>
      <c r="T107" s="39" t="n">
        <f aca="false">IFERROR(S107*D107,0)</f>
        <v>0</v>
      </c>
      <c r="U107" s="38" t="n">
        <f aca="false">IFERROR(T107/INDEX(账户总表!$B:$B,MATCH($A107,账户总表!$A:$A,0)),0)</f>
        <v>0</v>
      </c>
      <c r="V107" s="38" t="n">
        <f aca="false">IFERROR(INDEX(账户总表!$E:$E,MATCH($A107,账户总表!$A:$A,0))+U107,0)</f>
        <v>0</v>
      </c>
      <c r="W107" s="37" t="str">
        <f aca="false">IF($A107="","",IFERROR(IF(V107&lt;=INDEX(账户总表!$N:$N,MATCH($A107,账户总表!$A:$A,0)),"是","否"),"否"))</f>
        <v/>
      </c>
      <c r="X107" s="39" t="str">
        <f aca="false">IF($A107="","",MAX(F107*0.98,D107*0.92))</f>
        <v/>
      </c>
      <c r="Y107" s="34"/>
      <c r="Z107" s="37" t="str">
        <f aca="false">IF($A107="","",IFERROR(IF(AND(T107&gt;INDEX(账户总表!$C:$C,MATCH($A107,账户总表!$A:$A,0)),L107="是"),"是","否"),"否"))</f>
        <v/>
      </c>
      <c r="AA107" s="39" t="str">
        <f aca="false">IF($A107="","",IFERROR(IF(Z107="是",MAX(0,T107-INDEX(账户总表!$C:$C,MATCH($A107,账户总表!$A:$A,0)),IF(N107&gt;0,T107/N107-INDEX(账户总表!$B:$B,MATCH($A107,账户总表!$A:$A,0)),0)),0),0))</f>
        <v/>
      </c>
      <c r="AB107" s="39" t="str">
        <f aca="false">IF($A107="","",IF(AND(Z107="是",INDEX(账户总表!$U:$U,MATCH($A107,账户总表!$A:$A,0))="是"),IF(INDEX(账户总表!$L:$L,MATCH($A107,账户总表!$A:$A,0))&gt;=4,AA107*1.5,AA107),0))</f>
        <v/>
      </c>
      <c r="AC107" s="42" t="str">
        <f aca="false">IF($A107="","",IF(AND(L107="是",Q107&gt;=R107,S107&lt;=Q107,S107&gt;=R107,W107="是",X107&gt;0,M107="是",INDEX(账户总表!$M:$M,MATCH($A107,账户总表!$A:$A,0))&lt;=2,INDEX(账户总表!$V:$V,MATCH($A107,账户总表!$A:$A,0))="是",OR(T107&lt;=INDEX(账户总表!$C:$C,MATCH($A107,账户总表!$A:$A,0)),AND(Z107="是",INDEX(账户总表!$U:$U,MATCH($A107,账户总表!$A:$A,0))="是",AB107&gt;0))),"是","否"))</f>
        <v/>
      </c>
      <c r="AD107" s="37" t="str">
        <f aca="false">IF($A107="","",IF(L107&lt;&gt;"是","信号未确认",IF(X107&lt;=0,"止损价未定义",IF(Q107&lt;R107,"100股约束不满足",IF(S107&gt;Q107,"计划股数超单股上限",IF(S107&lt;R107,"计划股数低于最小门槛",IF(W107&lt;&gt;"是","总仓位超限",IF(M107&lt;&gt;"是","追价",IF(INDEX(账户总表!$M:$M,MATCH($A107,账户总表!$A:$A,0))&gt;2,"亏钱效应偏高",IF(INDEX(账户总表!$V:$V,MATCH($A107,账户总表!$A:$A,0))&lt;&gt;"是","账户不允许新开仓",IF(AND(T107&gt;INDEX(账户总表!$C:$C,MATCH($A107,账户总表!$A:$A,0)),INDEX(账户总表!$U:$U,MATCH($A107,账户总表!$A:$A,0))&lt;&gt;"是"),"现金不足且不允许转入",IF(AND(Z107="是",AB107&lt;=0),"转入金额未满足",""))))))))))))</f>
        <v/>
      </c>
      <c r="AE107" s="33"/>
    </row>
    <row r="108" customFormat="false" ht="15" hidden="false" customHeight="true" outlineLevel="0" collapsed="false">
      <c r="A108" s="32"/>
      <c r="B108" s="33"/>
      <c r="C108" s="34"/>
      <c r="D108" s="35"/>
      <c r="E108" s="35"/>
      <c r="F108" s="35"/>
      <c r="G108" s="36"/>
      <c r="H108" s="34"/>
      <c r="I108" s="34"/>
      <c r="J108" s="33"/>
      <c r="K108" s="37" t="str">
        <f aca="false">IF($A108="","",IF(AND(G108&lt;45%,H108&gt;=0.9),"A",IF(AND(G108&lt;60%,H108&gt;0.8),"B","C")))</f>
        <v/>
      </c>
      <c r="L108" s="37" t="str">
        <f aca="false">IF($A108="","",IF(AND(G108&lt;60%,H108&gt;0.8,I108="True"),"是","否"))</f>
        <v/>
      </c>
      <c r="M108" s="37" t="str">
        <f aca="false">IF($A108="","",IF(AND(D108&gt;0,E108&gt;0,D108&lt;=E108*1.02),"是","否"))</f>
        <v/>
      </c>
      <c r="N108" s="38" t="n">
        <f aca="false">IFERROR(INDEX(账户总表!$O:$O,MATCH($A108,账户总表!$A:$A,0)),0)</f>
        <v>0</v>
      </c>
      <c r="O108" s="39" t="n">
        <f aca="false">IFERROR(INDEX(账户总表!$B:$B,MATCH($A108,账户总表!$A:$A,0))*N108,0)</f>
        <v>0</v>
      </c>
      <c r="P108" s="40" t="n">
        <f aca="false">IFERROR(O108/D108,0)</f>
        <v>0</v>
      </c>
      <c r="Q108" s="40" t="n">
        <f aca="false">IFERROR(FLOOR(P108,100),0)</f>
        <v>0</v>
      </c>
      <c r="R108" s="40" t="n">
        <f aca="false">IFERROR(CEILING(800/(100*D108),1)*100,0)</f>
        <v>0</v>
      </c>
      <c r="S108" s="41"/>
      <c r="T108" s="39" t="n">
        <f aca="false">IFERROR(S108*D108,0)</f>
        <v>0</v>
      </c>
      <c r="U108" s="38" t="n">
        <f aca="false">IFERROR(T108/INDEX(账户总表!$B:$B,MATCH($A108,账户总表!$A:$A,0)),0)</f>
        <v>0</v>
      </c>
      <c r="V108" s="38" t="n">
        <f aca="false">IFERROR(INDEX(账户总表!$E:$E,MATCH($A108,账户总表!$A:$A,0))+U108,0)</f>
        <v>0</v>
      </c>
      <c r="W108" s="37" t="str">
        <f aca="false">IF($A108="","",IFERROR(IF(V108&lt;=INDEX(账户总表!$N:$N,MATCH($A108,账户总表!$A:$A,0)),"是","否"),"否"))</f>
        <v/>
      </c>
      <c r="X108" s="39" t="str">
        <f aca="false">IF($A108="","",MAX(F108*0.98,D108*0.92))</f>
        <v/>
      </c>
      <c r="Y108" s="34"/>
      <c r="Z108" s="37" t="str">
        <f aca="false">IF($A108="","",IFERROR(IF(AND(T108&gt;INDEX(账户总表!$C:$C,MATCH($A108,账户总表!$A:$A,0)),L108="是"),"是","否"),"否"))</f>
        <v/>
      </c>
      <c r="AA108" s="39" t="str">
        <f aca="false">IF($A108="","",IFERROR(IF(Z108="是",MAX(0,T108-INDEX(账户总表!$C:$C,MATCH($A108,账户总表!$A:$A,0)),IF(N108&gt;0,T108/N108-INDEX(账户总表!$B:$B,MATCH($A108,账户总表!$A:$A,0)),0)),0),0))</f>
        <v/>
      </c>
      <c r="AB108" s="39" t="str">
        <f aca="false">IF($A108="","",IF(AND(Z108="是",INDEX(账户总表!$U:$U,MATCH($A108,账户总表!$A:$A,0))="是"),IF(INDEX(账户总表!$L:$L,MATCH($A108,账户总表!$A:$A,0))&gt;=4,AA108*1.5,AA108),0))</f>
        <v/>
      </c>
      <c r="AC108" s="42" t="str">
        <f aca="false">IF($A108="","",IF(AND(L108="是",Q108&gt;=R108,S108&lt;=Q108,S108&gt;=R108,W108="是",X108&gt;0,M108="是",INDEX(账户总表!$M:$M,MATCH($A108,账户总表!$A:$A,0))&lt;=2,INDEX(账户总表!$V:$V,MATCH($A108,账户总表!$A:$A,0))="是",OR(T108&lt;=INDEX(账户总表!$C:$C,MATCH($A108,账户总表!$A:$A,0)),AND(Z108="是",INDEX(账户总表!$U:$U,MATCH($A108,账户总表!$A:$A,0))="是",AB108&gt;0))),"是","否"))</f>
        <v/>
      </c>
      <c r="AD108" s="37" t="str">
        <f aca="false">IF($A108="","",IF(L108&lt;&gt;"是","信号未确认",IF(X108&lt;=0,"止损价未定义",IF(Q108&lt;R108,"100股约束不满足",IF(S108&gt;Q108,"计划股数超单股上限",IF(S108&lt;R108,"计划股数低于最小门槛",IF(W108&lt;&gt;"是","总仓位超限",IF(M108&lt;&gt;"是","追价",IF(INDEX(账户总表!$M:$M,MATCH($A108,账户总表!$A:$A,0))&gt;2,"亏钱效应偏高",IF(INDEX(账户总表!$V:$V,MATCH($A108,账户总表!$A:$A,0))&lt;&gt;"是","账户不允许新开仓",IF(AND(T108&gt;INDEX(账户总表!$C:$C,MATCH($A108,账户总表!$A:$A,0)),INDEX(账户总表!$U:$U,MATCH($A108,账户总表!$A:$A,0))&lt;&gt;"是"),"现金不足且不允许转入",IF(AND(Z108="是",AB108&lt;=0),"转入金额未满足",""))))))))))))</f>
        <v/>
      </c>
      <c r="AE108" s="33"/>
    </row>
    <row r="109" customFormat="false" ht="15" hidden="false" customHeight="true" outlineLevel="0" collapsed="false">
      <c r="A109" s="32"/>
      <c r="B109" s="33"/>
      <c r="C109" s="34"/>
      <c r="D109" s="35"/>
      <c r="E109" s="35"/>
      <c r="F109" s="35"/>
      <c r="G109" s="36"/>
      <c r="H109" s="34"/>
      <c r="I109" s="34"/>
      <c r="J109" s="33"/>
      <c r="K109" s="37" t="str">
        <f aca="false">IF($A109="","",IF(AND(G109&lt;45%,H109&gt;=0.9),"A",IF(AND(G109&lt;60%,H109&gt;0.8),"B","C")))</f>
        <v/>
      </c>
      <c r="L109" s="37" t="str">
        <f aca="false">IF($A109="","",IF(AND(G109&lt;60%,H109&gt;0.8,I109="True"),"是","否"))</f>
        <v/>
      </c>
      <c r="M109" s="37" t="str">
        <f aca="false">IF($A109="","",IF(AND(D109&gt;0,E109&gt;0,D109&lt;=E109*1.02),"是","否"))</f>
        <v/>
      </c>
      <c r="N109" s="38" t="n">
        <f aca="false">IFERROR(INDEX(账户总表!$O:$O,MATCH($A109,账户总表!$A:$A,0)),0)</f>
        <v>0</v>
      </c>
      <c r="O109" s="39" t="n">
        <f aca="false">IFERROR(INDEX(账户总表!$B:$B,MATCH($A109,账户总表!$A:$A,0))*N109,0)</f>
        <v>0</v>
      </c>
      <c r="P109" s="40" t="n">
        <f aca="false">IFERROR(O109/D109,0)</f>
        <v>0</v>
      </c>
      <c r="Q109" s="40" t="n">
        <f aca="false">IFERROR(FLOOR(P109,100),0)</f>
        <v>0</v>
      </c>
      <c r="R109" s="40" t="n">
        <f aca="false">IFERROR(CEILING(800/(100*D109),1)*100,0)</f>
        <v>0</v>
      </c>
      <c r="S109" s="41"/>
      <c r="T109" s="39" t="n">
        <f aca="false">IFERROR(S109*D109,0)</f>
        <v>0</v>
      </c>
      <c r="U109" s="38" t="n">
        <f aca="false">IFERROR(T109/INDEX(账户总表!$B:$B,MATCH($A109,账户总表!$A:$A,0)),0)</f>
        <v>0</v>
      </c>
      <c r="V109" s="38" t="n">
        <f aca="false">IFERROR(INDEX(账户总表!$E:$E,MATCH($A109,账户总表!$A:$A,0))+U109,0)</f>
        <v>0</v>
      </c>
      <c r="W109" s="37" t="str">
        <f aca="false">IF($A109="","",IFERROR(IF(V109&lt;=INDEX(账户总表!$N:$N,MATCH($A109,账户总表!$A:$A,0)),"是","否"),"否"))</f>
        <v/>
      </c>
      <c r="X109" s="39" t="str">
        <f aca="false">IF($A109="","",MAX(F109*0.98,D109*0.92))</f>
        <v/>
      </c>
      <c r="Y109" s="34"/>
      <c r="Z109" s="37" t="str">
        <f aca="false">IF($A109="","",IFERROR(IF(AND(T109&gt;INDEX(账户总表!$C:$C,MATCH($A109,账户总表!$A:$A,0)),L109="是"),"是","否"),"否"))</f>
        <v/>
      </c>
      <c r="AA109" s="39" t="str">
        <f aca="false">IF($A109="","",IFERROR(IF(Z109="是",MAX(0,T109-INDEX(账户总表!$C:$C,MATCH($A109,账户总表!$A:$A,0)),IF(N109&gt;0,T109/N109-INDEX(账户总表!$B:$B,MATCH($A109,账户总表!$A:$A,0)),0)),0),0))</f>
        <v/>
      </c>
      <c r="AB109" s="39" t="str">
        <f aca="false">IF($A109="","",IF(AND(Z109="是",INDEX(账户总表!$U:$U,MATCH($A109,账户总表!$A:$A,0))="是"),IF(INDEX(账户总表!$L:$L,MATCH($A109,账户总表!$A:$A,0))&gt;=4,AA109*1.5,AA109),0))</f>
        <v/>
      </c>
      <c r="AC109" s="42" t="str">
        <f aca="false">IF($A109="","",IF(AND(L109="是",Q109&gt;=R109,S109&lt;=Q109,S109&gt;=R109,W109="是",X109&gt;0,M109="是",INDEX(账户总表!$M:$M,MATCH($A109,账户总表!$A:$A,0))&lt;=2,INDEX(账户总表!$V:$V,MATCH($A109,账户总表!$A:$A,0))="是",OR(T109&lt;=INDEX(账户总表!$C:$C,MATCH($A109,账户总表!$A:$A,0)),AND(Z109="是",INDEX(账户总表!$U:$U,MATCH($A109,账户总表!$A:$A,0))="是",AB109&gt;0))),"是","否"))</f>
        <v/>
      </c>
      <c r="AD109" s="37" t="str">
        <f aca="false">IF($A109="","",IF(L109&lt;&gt;"是","信号未确认",IF(X109&lt;=0,"止损价未定义",IF(Q109&lt;R109,"100股约束不满足",IF(S109&gt;Q109,"计划股数超单股上限",IF(S109&lt;R109,"计划股数低于最小门槛",IF(W109&lt;&gt;"是","总仓位超限",IF(M109&lt;&gt;"是","追价",IF(INDEX(账户总表!$M:$M,MATCH($A109,账户总表!$A:$A,0))&gt;2,"亏钱效应偏高",IF(INDEX(账户总表!$V:$V,MATCH($A109,账户总表!$A:$A,0))&lt;&gt;"是","账户不允许新开仓",IF(AND(T109&gt;INDEX(账户总表!$C:$C,MATCH($A109,账户总表!$A:$A,0)),INDEX(账户总表!$U:$U,MATCH($A109,账户总表!$A:$A,0))&lt;&gt;"是"),"现金不足且不允许转入",IF(AND(Z109="是",AB109&lt;=0),"转入金额未满足",""))))))))))))</f>
        <v/>
      </c>
      <c r="AE109" s="33"/>
    </row>
    <row r="110" customFormat="false" ht="15" hidden="false" customHeight="true" outlineLevel="0" collapsed="false">
      <c r="A110" s="32"/>
      <c r="B110" s="33"/>
      <c r="C110" s="34"/>
      <c r="D110" s="35"/>
      <c r="E110" s="35"/>
      <c r="F110" s="35"/>
      <c r="G110" s="36"/>
      <c r="H110" s="34"/>
      <c r="I110" s="34"/>
      <c r="J110" s="33"/>
      <c r="K110" s="37" t="str">
        <f aca="false">IF($A110="","",IF(AND(G110&lt;45%,H110&gt;=0.9),"A",IF(AND(G110&lt;60%,H110&gt;0.8),"B","C")))</f>
        <v/>
      </c>
      <c r="L110" s="37" t="str">
        <f aca="false">IF($A110="","",IF(AND(G110&lt;60%,H110&gt;0.8,I110="True"),"是","否"))</f>
        <v/>
      </c>
      <c r="M110" s="37" t="str">
        <f aca="false">IF($A110="","",IF(AND(D110&gt;0,E110&gt;0,D110&lt;=E110*1.02),"是","否"))</f>
        <v/>
      </c>
      <c r="N110" s="38" t="n">
        <f aca="false">IFERROR(INDEX(账户总表!$O:$O,MATCH($A110,账户总表!$A:$A,0)),0)</f>
        <v>0</v>
      </c>
      <c r="O110" s="39" t="n">
        <f aca="false">IFERROR(INDEX(账户总表!$B:$B,MATCH($A110,账户总表!$A:$A,0))*N110,0)</f>
        <v>0</v>
      </c>
      <c r="P110" s="40" t="n">
        <f aca="false">IFERROR(O110/D110,0)</f>
        <v>0</v>
      </c>
      <c r="Q110" s="40" t="n">
        <f aca="false">IFERROR(FLOOR(P110,100),0)</f>
        <v>0</v>
      </c>
      <c r="R110" s="40" t="n">
        <f aca="false">IFERROR(CEILING(800/(100*D110),1)*100,0)</f>
        <v>0</v>
      </c>
      <c r="S110" s="41"/>
      <c r="T110" s="39" t="n">
        <f aca="false">IFERROR(S110*D110,0)</f>
        <v>0</v>
      </c>
      <c r="U110" s="38" t="n">
        <f aca="false">IFERROR(T110/INDEX(账户总表!$B:$B,MATCH($A110,账户总表!$A:$A,0)),0)</f>
        <v>0</v>
      </c>
      <c r="V110" s="38" t="n">
        <f aca="false">IFERROR(INDEX(账户总表!$E:$E,MATCH($A110,账户总表!$A:$A,0))+U110,0)</f>
        <v>0</v>
      </c>
      <c r="W110" s="37" t="str">
        <f aca="false">IF($A110="","",IFERROR(IF(V110&lt;=INDEX(账户总表!$N:$N,MATCH($A110,账户总表!$A:$A,0)),"是","否"),"否"))</f>
        <v/>
      </c>
      <c r="X110" s="39" t="str">
        <f aca="false">IF($A110="","",MAX(F110*0.98,D110*0.92))</f>
        <v/>
      </c>
      <c r="Y110" s="34"/>
      <c r="Z110" s="37" t="str">
        <f aca="false">IF($A110="","",IFERROR(IF(AND(T110&gt;INDEX(账户总表!$C:$C,MATCH($A110,账户总表!$A:$A,0)),L110="是"),"是","否"),"否"))</f>
        <v/>
      </c>
      <c r="AA110" s="39" t="str">
        <f aca="false">IF($A110="","",IFERROR(IF(Z110="是",MAX(0,T110-INDEX(账户总表!$C:$C,MATCH($A110,账户总表!$A:$A,0)),IF(N110&gt;0,T110/N110-INDEX(账户总表!$B:$B,MATCH($A110,账户总表!$A:$A,0)),0)),0),0))</f>
        <v/>
      </c>
      <c r="AB110" s="39" t="str">
        <f aca="false">IF($A110="","",IF(AND(Z110="是",INDEX(账户总表!$U:$U,MATCH($A110,账户总表!$A:$A,0))="是"),IF(INDEX(账户总表!$L:$L,MATCH($A110,账户总表!$A:$A,0))&gt;=4,AA110*1.5,AA110),0))</f>
        <v/>
      </c>
      <c r="AC110" s="42" t="str">
        <f aca="false">IF($A110="","",IF(AND(L110="是",Q110&gt;=R110,S110&lt;=Q110,S110&gt;=R110,W110="是",X110&gt;0,M110="是",INDEX(账户总表!$M:$M,MATCH($A110,账户总表!$A:$A,0))&lt;=2,INDEX(账户总表!$V:$V,MATCH($A110,账户总表!$A:$A,0))="是",OR(T110&lt;=INDEX(账户总表!$C:$C,MATCH($A110,账户总表!$A:$A,0)),AND(Z110="是",INDEX(账户总表!$U:$U,MATCH($A110,账户总表!$A:$A,0))="是",AB110&gt;0))),"是","否"))</f>
        <v/>
      </c>
      <c r="AD110" s="37" t="str">
        <f aca="false">IF($A110="","",IF(L110&lt;&gt;"是","信号未确认",IF(X110&lt;=0,"止损价未定义",IF(Q110&lt;R110,"100股约束不满足",IF(S110&gt;Q110,"计划股数超单股上限",IF(S110&lt;R110,"计划股数低于最小门槛",IF(W110&lt;&gt;"是","总仓位超限",IF(M110&lt;&gt;"是","追价",IF(INDEX(账户总表!$M:$M,MATCH($A110,账户总表!$A:$A,0))&gt;2,"亏钱效应偏高",IF(INDEX(账户总表!$V:$V,MATCH($A110,账户总表!$A:$A,0))&lt;&gt;"是","账户不允许新开仓",IF(AND(T110&gt;INDEX(账户总表!$C:$C,MATCH($A110,账户总表!$A:$A,0)),INDEX(账户总表!$U:$U,MATCH($A110,账户总表!$A:$A,0))&lt;&gt;"是"),"现金不足且不允许转入",IF(AND(Z110="是",AB110&lt;=0),"转入金额未满足",""))))))))))))</f>
        <v/>
      </c>
      <c r="AE110" s="33"/>
    </row>
    <row r="111" customFormat="false" ht="15" hidden="false" customHeight="true" outlineLevel="0" collapsed="false">
      <c r="A111" s="32"/>
      <c r="B111" s="33"/>
      <c r="C111" s="34"/>
      <c r="D111" s="35"/>
      <c r="E111" s="35"/>
      <c r="F111" s="35"/>
      <c r="G111" s="36"/>
      <c r="H111" s="34"/>
      <c r="I111" s="34"/>
      <c r="J111" s="33"/>
      <c r="K111" s="37" t="str">
        <f aca="false">IF($A111="","",IF(AND(G111&lt;45%,H111&gt;=0.9),"A",IF(AND(G111&lt;60%,H111&gt;0.8),"B","C")))</f>
        <v/>
      </c>
      <c r="L111" s="37" t="str">
        <f aca="false">IF($A111="","",IF(AND(G111&lt;60%,H111&gt;0.8,I111="True"),"是","否"))</f>
        <v/>
      </c>
      <c r="M111" s="37" t="str">
        <f aca="false">IF($A111="","",IF(AND(D111&gt;0,E111&gt;0,D111&lt;=E111*1.02),"是","否"))</f>
        <v/>
      </c>
      <c r="N111" s="38" t="n">
        <f aca="false">IFERROR(INDEX(账户总表!$O:$O,MATCH($A111,账户总表!$A:$A,0)),0)</f>
        <v>0</v>
      </c>
      <c r="O111" s="39" t="n">
        <f aca="false">IFERROR(INDEX(账户总表!$B:$B,MATCH($A111,账户总表!$A:$A,0))*N111,0)</f>
        <v>0</v>
      </c>
      <c r="P111" s="40" t="n">
        <f aca="false">IFERROR(O111/D111,0)</f>
        <v>0</v>
      </c>
      <c r="Q111" s="40" t="n">
        <f aca="false">IFERROR(FLOOR(P111,100),0)</f>
        <v>0</v>
      </c>
      <c r="R111" s="40" t="n">
        <f aca="false">IFERROR(CEILING(800/(100*D111),1)*100,0)</f>
        <v>0</v>
      </c>
      <c r="S111" s="41"/>
      <c r="T111" s="39" t="n">
        <f aca="false">IFERROR(S111*D111,0)</f>
        <v>0</v>
      </c>
      <c r="U111" s="38" t="n">
        <f aca="false">IFERROR(T111/INDEX(账户总表!$B:$B,MATCH($A111,账户总表!$A:$A,0)),0)</f>
        <v>0</v>
      </c>
      <c r="V111" s="38" t="n">
        <f aca="false">IFERROR(INDEX(账户总表!$E:$E,MATCH($A111,账户总表!$A:$A,0))+U111,0)</f>
        <v>0</v>
      </c>
      <c r="W111" s="37" t="str">
        <f aca="false">IF($A111="","",IFERROR(IF(V111&lt;=INDEX(账户总表!$N:$N,MATCH($A111,账户总表!$A:$A,0)),"是","否"),"否"))</f>
        <v/>
      </c>
      <c r="X111" s="39" t="str">
        <f aca="false">IF($A111="","",MAX(F111*0.98,D111*0.92))</f>
        <v/>
      </c>
      <c r="Y111" s="34"/>
      <c r="Z111" s="37" t="str">
        <f aca="false">IF($A111="","",IFERROR(IF(AND(T111&gt;INDEX(账户总表!$C:$C,MATCH($A111,账户总表!$A:$A,0)),L111="是"),"是","否"),"否"))</f>
        <v/>
      </c>
      <c r="AA111" s="39" t="str">
        <f aca="false">IF($A111="","",IFERROR(IF(Z111="是",MAX(0,T111-INDEX(账户总表!$C:$C,MATCH($A111,账户总表!$A:$A,0)),IF(N111&gt;0,T111/N111-INDEX(账户总表!$B:$B,MATCH($A111,账户总表!$A:$A,0)),0)),0),0))</f>
        <v/>
      </c>
      <c r="AB111" s="39" t="str">
        <f aca="false">IF($A111="","",IF(AND(Z111="是",INDEX(账户总表!$U:$U,MATCH($A111,账户总表!$A:$A,0))="是"),IF(INDEX(账户总表!$L:$L,MATCH($A111,账户总表!$A:$A,0))&gt;=4,AA111*1.5,AA111),0))</f>
        <v/>
      </c>
      <c r="AC111" s="42" t="str">
        <f aca="false">IF($A111="","",IF(AND(L111="是",Q111&gt;=R111,S111&lt;=Q111,S111&gt;=R111,W111="是",X111&gt;0,M111="是",INDEX(账户总表!$M:$M,MATCH($A111,账户总表!$A:$A,0))&lt;=2,INDEX(账户总表!$V:$V,MATCH($A111,账户总表!$A:$A,0))="是",OR(T111&lt;=INDEX(账户总表!$C:$C,MATCH($A111,账户总表!$A:$A,0)),AND(Z111="是",INDEX(账户总表!$U:$U,MATCH($A111,账户总表!$A:$A,0))="是",AB111&gt;0))),"是","否"))</f>
        <v/>
      </c>
      <c r="AD111" s="37" t="str">
        <f aca="false">IF($A111="","",IF(L111&lt;&gt;"是","信号未确认",IF(X111&lt;=0,"止损价未定义",IF(Q111&lt;R111,"100股约束不满足",IF(S111&gt;Q111,"计划股数超单股上限",IF(S111&lt;R111,"计划股数低于最小门槛",IF(W111&lt;&gt;"是","总仓位超限",IF(M111&lt;&gt;"是","追价",IF(INDEX(账户总表!$M:$M,MATCH($A111,账户总表!$A:$A,0))&gt;2,"亏钱效应偏高",IF(INDEX(账户总表!$V:$V,MATCH($A111,账户总表!$A:$A,0))&lt;&gt;"是","账户不允许新开仓",IF(AND(T111&gt;INDEX(账户总表!$C:$C,MATCH($A111,账户总表!$A:$A,0)),INDEX(账户总表!$U:$U,MATCH($A111,账户总表!$A:$A,0))&lt;&gt;"是"),"现金不足且不允许转入",IF(AND(Z111="是",AB111&lt;=0),"转入金额未满足",""))))))))))))</f>
        <v/>
      </c>
      <c r="AE111" s="33"/>
    </row>
    <row r="112" customFormat="false" ht="15" hidden="false" customHeight="true" outlineLevel="0" collapsed="false">
      <c r="A112" s="32"/>
      <c r="B112" s="33"/>
      <c r="C112" s="34"/>
      <c r="D112" s="35"/>
      <c r="E112" s="35"/>
      <c r="F112" s="35"/>
      <c r="G112" s="36"/>
      <c r="H112" s="34"/>
      <c r="I112" s="34"/>
      <c r="J112" s="33"/>
      <c r="K112" s="37" t="str">
        <f aca="false">IF($A112="","",IF(AND(G112&lt;45%,H112&gt;=0.9),"A",IF(AND(G112&lt;60%,H112&gt;0.8),"B","C")))</f>
        <v/>
      </c>
      <c r="L112" s="37" t="str">
        <f aca="false">IF($A112="","",IF(AND(G112&lt;60%,H112&gt;0.8,I112="True"),"是","否"))</f>
        <v/>
      </c>
      <c r="M112" s="37" t="str">
        <f aca="false">IF($A112="","",IF(AND(D112&gt;0,E112&gt;0,D112&lt;=E112*1.02),"是","否"))</f>
        <v/>
      </c>
      <c r="N112" s="38" t="n">
        <f aca="false">IFERROR(INDEX(账户总表!$O:$O,MATCH($A112,账户总表!$A:$A,0)),0)</f>
        <v>0</v>
      </c>
      <c r="O112" s="39" t="n">
        <f aca="false">IFERROR(INDEX(账户总表!$B:$B,MATCH($A112,账户总表!$A:$A,0))*N112,0)</f>
        <v>0</v>
      </c>
      <c r="P112" s="40" t="n">
        <f aca="false">IFERROR(O112/D112,0)</f>
        <v>0</v>
      </c>
      <c r="Q112" s="40" t="n">
        <f aca="false">IFERROR(FLOOR(P112,100),0)</f>
        <v>0</v>
      </c>
      <c r="R112" s="40" t="n">
        <f aca="false">IFERROR(CEILING(800/(100*D112),1)*100,0)</f>
        <v>0</v>
      </c>
      <c r="S112" s="41"/>
      <c r="T112" s="39" t="n">
        <f aca="false">IFERROR(S112*D112,0)</f>
        <v>0</v>
      </c>
      <c r="U112" s="38" t="n">
        <f aca="false">IFERROR(T112/INDEX(账户总表!$B:$B,MATCH($A112,账户总表!$A:$A,0)),0)</f>
        <v>0</v>
      </c>
      <c r="V112" s="38" t="n">
        <f aca="false">IFERROR(INDEX(账户总表!$E:$E,MATCH($A112,账户总表!$A:$A,0))+U112,0)</f>
        <v>0</v>
      </c>
      <c r="W112" s="37" t="str">
        <f aca="false">IF($A112="","",IFERROR(IF(V112&lt;=INDEX(账户总表!$N:$N,MATCH($A112,账户总表!$A:$A,0)),"是","否"),"否"))</f>
        <v/>
      </c>
      <c r="X112" s="39" t="str">
        <f aca="false">IF($A112="","",MAX(F112*0.98,D112*0.92))</f>
        <v/>
      </c>
      <c r="Y112" s="34"/>
      <c r="Z112" s="37" t="str">
        <f aca="false">IF($A112="","",IFERROR(IF(AND(T112&gt;INDEX(账户总表!$C:$C,MATCH($A112,账户总表!$A:$A,0)),L112="是"),"是","否"),"否"))</f>
        <v/>
      </c>
      <c r="AA112" s="39" t="str">
        <f aca="false">IF($A112="","",IFERROR(IF(Z112="是",MAX(0,T112-INDEX(账户总表!$C:$C,MATCH($A112,账户总表!$A:$A,0)),IF(N112&gt;0,T112/N112-INDEX(账户总表!$B:$B,MATCH($A112,账户总表!$A:$A,0)),0)),0),0))</f>
        <v/>
      </c>
      <c r="AB112" s="39" t="str">
        <f aca="false">IF($A112="","",IF(AND(Z112="是",INDEX(账户总表!$U:$U,MATCH($A112,账户总表!$A:$A,0))="是"),IF(INDEX(账户总表!$L:$L,MATCH($A112,账户总表!$A:$A,0))&gt;=4,AA112*1.5,AA112),0))</f>
        <v/>
      </c>
      <c r="AC112" s="42" t="str">
        <f aca="false">IF($A112="","",IF(AND(L112="是",Q112&gt;=R112,S112&lt;=Q112,S112&gt;=R112,W112="是",X112&gt;0,M112="是",INDEX(账户总表!$M:$M,MATCH($A112,账户总表!$A:$A,0))&lt;=2,INDEX(账户总表!$V:$V,MATCH($A112,账户总表!$A:$A,0))="是",OR(T112&lt;=INDEX(账户总表!$C:$C,MATCH($A112,账户总表!$A:$A,0)),AND(Z112="是",INDEX(账户总表!$U:$U,MATCH($A112,账户总表!$A:$A,0))="是",AB112&gt;0))),"是","否"))</f>
        <v/>
      </c>
      <c r="AD112" s="37" t="str">
        <f aca="false">IF($A112="","",IF(L112&lt;&gt;"是","信号未确认",IF(X112&lt;=0,"止损价未定义",IF(Q112&lt;R112,"100股约束不满足",IF(S112&gt;Q112,"计划股数超单股上限",IF(S112&lt;R112,"计划股数低于最小门槛",IF(W112&lt;&gt;"是","总仓位超限",IF(M112&lt;&gt;"是","追价",IF(INDEX(账户总表!$M:$M,MATCH($A112,账户总表!$A:$A,0))&gt;2,"亏钱效应偏高",IF(INDEX(账户总表!$V:$V,MATCH($A112,账户总表!$A:$A,0))&lt;&gt;"是","账户不允许新开仓",IF(AND(T112&gt;INDEX(账户总表!$C:$C,MATCH($A112,账户总表!$A:$A,0)),INDEX(账户总表!$U:$U,MATCH($A112,账户总表!$A:$A,0))&lt;&gt;"是"),"现金不足且不允许转入",IF(AND(Z112="是",AB112&lt;=0),"转入金额未满足",""))))))))))))</f>
        <v/>
      </c>
      <c r="AE112" s="33"/>
    </row>
    <row r="113" customFormat="false" ht="15" hidden="false" customHeight="true" outlineLevel="0" collapsed="false">
      <c r="A113" s="32"/>
      <c r="B113" s="33"/>
      <c r="C113" s="34"/>
      <c r="D113" s="35"/>
      <c r="E113" s="35"/>
      <c r="F113" s="35"/>
      <c r="G113" s="36"/>
      <c r="H113" s="34"/>
      <c r="I113" s="34"/>
      <c r="J113" s="33"/>
      <c r="K113" s="37" t="str">
        <f aca="false">IF($A113="","",IF(AND(G113&lt;45%,H113&gt;=0.9),"A",IF(AND(G113&lt;60%,H113&gt;0.8),"B","C")))</f>
        <v/>
      </c>
      <c r="L113" s="37" t="str">
        <f aca="false">IF($A113="","",IF(AND(G113&lt;60%,H113&gt;0.8,I113="True"),"是","否"))</f>
        <v/>
      </c>
      <c r="M113" s="37" t="str">
        <f aca="false">IF($A113="","",IF(AND(D113&gt;0,E113&gt;0,D113&lt;=E113*1.02),"是","否"))</f>
        <v/>
      </c>
      <c r="N113" s="38" t="n">
        <f aca="false">IFERROR(INDEX(账户总表!$O:$O,MATCH($A113,账户总表!$A:$A,0)),0)</f>
        <v>0</v>
      </c>
      <c r="O113" s="39" t="n">
        <f aca="false">IFERROR(INDEX(账户总表!$B:$B,MATCH($A113,账户总表!$A:$A,0))*N113,0)</f>
        <v>0</v>
      </c>
      <c r="P113" s="40" t="n">
        <f aca="false">IFERROR(O113/D113,0)</f>
        <v>0</v>
      </c>
      <c r="Q113" s="40" t="n">
        <f aca="false">IFERROR(FLOOR(P113,100),0)</f>
        <v>0</v>
      </c>
      <c r="R113" s="40" t="n">
        <f aca="false">IFERROR(CEILING(800/(100*D113),1)*100,0)</f>
        <v>0</v>
      </c>
      <c r="S113" s="41"/>
      <c r="T113" s="39" t="n">
        <f aca="false">IFERROR(S113*D113,0)</f>
        <v>0</v>
      </c>
      <c r="U113" s="38" t="n">
        <f aca="false">IFERROR(T113/INDEX(账户总表!$B:$B,MATCH($A113,账户总表!$A:$A,0)),0)</f>
        <v>0</v>
      </c>
      <c r="V113" s="38" t="n">
        <f aca="false">IFERROR(INDEX(账户总表!$E:$E,MATCH($A113,账户总表!$A:$A,0))+U113,0)</f>
        <v>0</v>
      </c>
      <c r="W113" s="37" t="str">
        <f aca="false">IF($A113="","",IFERROR(IF(V113&lt;=INDEX(账户总表!$N:$N,MATCH($A113,账户总表!$A:$A,0)),"是","否"),"否"))</f>
        <v/>
      </c>
      <c r="X113" s="39" t="str">
        <f aca="false">IF($A113="","",MAX(F113*0.98,D113*0.92))</f>
        <v/>
      </c>
      <c r="Y113" s="34"/>
      <c r="Z113" s="37" t="str">
        <f aca="false">IF($A113="","",IFERROR(IF(AND(T113&gt;INDEX(账户总表!$C:$C,MATCH($A113,账户总表!$A:$A,0)),L113="是"),"是","否"),"否"))</f>
        <v/>
      </c>
      <c r="AA113" s="39" t="str">
        <f aca="false">IF($A113="","",IFERROR(IF(Z113="是",MAX(0,T113-INDEX(账户总表!$C:$C,MATCH($A113,账户总表!$A:$A,0)),IF(N113&gt;0,T113/N113-INDEX(账户总表!$B:$B,MATCH($A113,账户总表!$A:$A,0)),0)),0),0))</f>
        <v/>
      </c>
      <c r="AB113" s="39" t="str">
        <f aca="false">IF($A113="","",IF(AND(Z113="是",INDEX(账户总表!$U:$U,MATCH($A113,账户总表!$A:$A,0))="是"),IF(INDEX(账户总表!$L:$L,MATCH($A113,账户总表!$A:$A,0))&gt;=4,AA113*1.5,AA113),0))</f>
        <v/>
      </c>
      <c r="AC113" s="42" t="str">
        <f aca="false">IF($A113="","",IF(AND(L113="是",Q113&gt;=R113,S113&lt;=Q113,S113&gt;=R113,W113="是",X113&gt;0,M113="是",INDEX(账户总表!$M:$M,MATCH($A113,账户总表!$A:$A,0))&lt;=2,INDEX(账户总表!$V:$V,MATCH($A113,账户总表!$A:$A,0))="是",OR(T113&lt;=INDEX(账户总表!$C:$C,MATCH($A113,账户总表!$A:$A,0)),AND(Z113="是",INDEX(账户总表!$U:$U,MATCH($A113,账户总表!$A:$A,0))="是",AB113&gt;0))),"是","否"))</f>
        <v/>
      </c>
      <c r="AD113" s="37" t="str">
        <f aca="false">IF($A113="","",IF(L113&lt;&gt;"是","信号未确认",IF(X113&lt;=0,"止损价未定义",IF(Q113&lt;R113,"100股约束不满足",IF(S113&gt;Q113,"计划股数超单股上限",IF(S113&lt;R113,"计划股数低于最小门槛",IF(W113&lt;&gt;"是","总仓位超限",IF(M113&lt;&gt;"是","追价",IF(INDEX(账户总表!$M:$M,MATCH($A113,账户总表!$A:$A,0))&gt;2,"亏钱效应偏高",IF(INDEX(账户总表!$V:$V,MATCH($A113,账户总表!$A:$A,0))&lt;&gt;"是","账户不允许新开仓",IF(AND(T113&gt;INDEX(账户总表!$C:$C,MATCH($A113,账户总表!$A:$A,0)),INDEX(账户总表!$U:$U,MATCH($A113,账户总表!$A:$A,0))&lt;&gt;"是"),"现金不足且不允许转入",IF(AND(Z113="是",AB113&lt;=0),"转入金额未满足",""))))))))))))</f>
        <v/>
      </c>
      <c r="AE113" s="33"/>
    </row>
    <row r="114" customFormat="false" ht="15" hidden="false" customHeight="true" outlineLevel="0" collapsed="false">
      <c r="A114" s="32"/>
      <c r="B114" s="33"/>
      <c r="C114" s="34"/>
      <c r="D114" s="35"/>
      <c r="E114" s="35"/>
      <c r="F114" s="35"/>
      <c r="G114" s="36"/>
      <c r="H114" s="34"/>
      <c r="I114" s="34"/>
      <c r="J114" s="33"/>
      <c r="K114" s="37" t="str">
        <f aca="false">IF($A114="","",IF(AND(G114&lt;45%,H114&gt;=0.9),"A",IF(AND(G114&lt;60%,H114&gt;0.8),"B","C")))</f>
        <v/>
      </c>
      <c r="L114" s="37" t="str">
        <f aca="false">IF($A114="","",IF(AND(G114&lt;60%,H114&gt;0.8,I114="True"),"是","否"))</f>
        <v/>
      </c>
      <c r="M114" s="37" t="str">
        <f aca="false">IF($A114="","",IF(AND(D114&gt;0,E114&gt;0,D114&lt;=E114*1.02),"是","否"))</f>
        <v/>
      </c>
      <c r="N114" s="38" t="n">
        <f aca="false">IFERROR(INDEX(账户总表!$O:$O,MATCH($A114,账户总表!$A:$A,0)),0)</f>
        <v>0</v>
      </c>
      <c r="O114" s="39" t="n">
        <f aca="false">IFERROR(INDEX(账户总表!$B:$B,MATCH($A114,账户总表!$A:$A,0))*N114,0)</f>
        <v>0</v>
      </c>
      <c r="P114" s="40" t="n">
        <f aca="false">IFERROR(O114/D114,0)</f>
        <v>0</v>
      </c>
      <c r="Q114" s="40" t="n">
        <f aca="false">IFERROR(FLOOR(P114,100),0)</f>
        <v>0</v>
      </c>
      <c r="R114" s="40" t="n">
        <f aca="false">IFERROR(CEILING(800/(100*D114),1)*100,0)</f>
        <v>0</v>
      </c>
      <c r="S114" s="41"/>
      <c r="T114" s="39" t="n">
        <f aca="false">IFERROR(S114*D114,0)</f>
        <v>0</v>
      </c>
      <c r="U114" s="38" t="n">
        <f aca="false">IFERROR(T114/INDEX(账户总表!$B:$B,MATCH($A114,账户总表!$A:$A,0)),0)</f>
        <v>0</v>
      </c>
      <c r="V114" s="38" t="n">
        <f aca="false">IFERROR(INDEX(账户总表!$E:$E,MATCH($A114,账户总表!$A:$A,0))+U114,0)</f>
        <v>0</v>
      </c>
      <c r="W114" s="37" t="str">
        <f aca="false">IF($A114="","",IFERROR(IF(V114&lt;=INDEX(账户总表!$N:$N,MATCH($A114,账户总表!$A:$A,0)),"是","否"),"否"))</f>
        <v/>
      </c>
      <c r="X114" s="39" t="str">
        <f aca="false">IF($A114="","",MAX(F114*0.98,D114*0.92))</f>
        <v/>
      </c>
      <c r="Y114" s="34"/>
      <c r="Z114" s="37" t="str">
        <f aca="false">IF($A114="","",IFERROR(IF(AND(T114&gt;INDEX(账户总表!$C:$C,MATCH($A114,账户总表!$A:$A,0)),L114="是"),"是","否"),"否"))</f>
        <v/>
      </c>
      <c r="AA114" s="39" t="str">
        <f aca="false">IF($A114="","",IFERROR(IF(Z114="是",MAX(0,T114-INDEX(账户总表!$C:$C,MATCH($A114,账户总表!$A:$A,0)),IF(N114&gt;0,T114/N114-INDEX(账户总表!$B:$B,MATCH($A114,账户总表!$A:$A,0)),0)),0),0))</f>
        <v/>
      </c>
      <c r="AB114" s="39" t="str">
        <f aca="false">IF($A114="","",IF(AND(Z114="是",INDEX(账户总表!$U:$U,MATCH($A114,账户总表!$A:$A,0))="是"),IF(INDEX(账户总表!$L:$L,MATCH($A114,账户总表!$A:$A,0))&gt;=4,AA114*1.5,AA114),0))</f>
        <v/>
      </c>
      <c r="AC114" s="42" t="str">
        <f aca="false">IF($A114="","",IF(AND(L114="是",Q114&gt;=R114,S114&lt;=Q114,S114&gt;=R114,W114="是",X114&gt;0,M114="是",INDEX(账户总表!$M:$M,MATCH($A114,账户总表!$A:$A,0))&lt;=2,INDEX(账户总表!$V:$V,MATCH($A114,账户总表!$A:$A,0))="是",OR(T114&lt;=INDEX(账户总表!$C:$C,MATCH($A114,账户总表!$A:$A,0)),AND(Z114="是",INDEX(账户总表!$U:$U,MATCH($A114,账户总表!$A:$A,0))="是",AB114&gt;0))),"是","否"))</f>
        <v/>
      </c>
      <c r="AD114" s="37" t="str">
        <f aca="false">IF($A114="","",IF(L114&lt;&gt;"是","信号未确认",IF(X114&lt;=0,"止损价未定义",IF(Q114&lt;R114,"100股约束不满足",IF(S114&gt;Q114,"计划股数超单股上限",IF(S114&lt;R114,"计划股数低于最小门槛",IF(W114&lt;&gt;"是","总仓位超限",IF(M114&lt;&gt;"是","追价",IF(INDEX(账户总表!$M:$M,MATCH($A114,账户总表!$A:$A,0))&gt;2,"亏钱效应偏高",IF(INDEX(账户总表!$V:$V,MATCH($A114,账户总表!$A:$A,0))&lt;&gt;"是","账户不允许新开仓",IF(AND(T114&gt;INDEX(账户总表!$C:$C,MATCH($A114,账户总表!$A:$A,0)),INDEX(账户总表!$U:$U,MATCH($A114,账户总表!$A:$A,0))&lt;&gt;"是"),"现金不足且不允许转入",IF(AND(Z114="是",AB114&lt;=0),"转入金额未满足",""))))))))))))</f>
        <v/>
      </c>
      <c r="AE114" s="33"/>
    </row>
    <row r="115" customFormat="false" ht="15" hidden="false" customHeight="true" outlineLevel="0" collapsed="false">
      <c r="A115" s="32"/>
      <c r="B115" s="33"/>
      <c r="C115" s="34"/>
      <c r="D115" s="35"/>
      <c r="E115" s="35"/>
      <c r="F115" s="35"/>
      <c r="G115" s="36"/>
      <c r="H115" s="34"/>
      <c r="I115" s="34"/>
      <c r="J115" s="33"/>
      <c r="K115" s="37" t="str">
        <f aca="false">IF($A115="","",IF(AND(G115&lt;45%,H115&gt;=0.9),"A",IF(AND(G115&lt;60%,H115&gt;0.8),"B","C")))</f>
        <v/>
      </c>
      <c r="L115" s="37" t="str">
        <f aca="false">IF($A115="","",IF(AND(G115&lt;60%,H115&gt;0.8,I115="True"),"是","否"))</f>
        <v/>
      </c>
      <c r="M115" s="37" t="str">
        <f aca="false">IF($A115="","",IF(AND(D115&gt;0,E115&gt;0,D115&lt;=E115*1.02),"是","否"))</f>
        <v/>
      </c>
      <c r="N115" s="38" t="n">
        <f aca="false">IFERROR(INDEX(账户总表!$O:$O,MATCH($A115,账户总表!$A:$A,0)),0)</f>
        <v>0</v>
      </c>
      <c r="O115" s="39" t="n">
        <f aca="false">IFERROR(INDEX(账户总表!$B:$B,MATCH($A115,账户总表!$A:$A,0))*N115,0)</f>
        <v>0</v>
      </c>
      <c r="P115" s="40" t="n">
        <f aca="false">IFERROR(O115/D115,0)</f>
        <v>0</v>
      </c>
      <c r="Q115" s="40" t="n">
        <f aca="false">IFERROR(FLOOR(P115,100),0)</f>
        <v>0</v>
      </c>
      <c r="R115" s="40" t="n">
        <f aca="false">IFERROR(CEILING(800/(100*D115),1)*100,0)</f>
        <v>0</v>
      </c>
      <c r="S115" s="41"/>
      <c r="T115" s="39" t="n">
        <f aca="false">IFERROR(S115*D115,0)</f>
        <v>0</v>
      </c>
      <c r="U115" s="38" t="n">
        <f aca="false">IFERROR(T115/INDEX(账户总表!$B:$B,MATCH($A115,账户总表!$A:$A,0)),0)</f>
        <v>0</v>
      </c>
      <c r="V115" s="38" t="n">
        <f aca="false">IFERROR(INDEX(账户总表!$E:$E,MATCH($A115,账户总表!$A:$A,0))+U115,0)</f>
        <v>0</v>
      </c>
      <c r="W115" s="37" t="str">
        <f aca="false">IF($A115="","",IFERROR(IF(V115&lt;=INDEX(账户总表!$N:$N,MATCH($A115,账户总表!$A:$A,0)),"是","否"),"否"))</f>
        <v/>
      </c>
      <c r="X115" s="39" t="str">
        <f aca="false">IF($A115="","",MAX(F115*0.98,D115*0.92))</f>
        <v/>
      </c>
      <c r="Y115" s="34"/>
      <c r="Z115" s="37" t="str">
        <f aca="false">IF($A115="","",IFERROR(IF(AND(T115&gt;INDEX(账户总表!$C:$C,MATCH($A115,账户总表!$A:$A,0)),L115="是"),"是","否"),"否"))</f>
        <v/>
      </c>
      <c r="AA115" s="39" t="str">
        <f aca="false">IF($A115="","",IFERROR(IF(Z115="是",MAX(0,T115-INDEX(账户总表!$C:$C,MATCH($A115,账户总表!$A:$A,0)),IF(N115&gt;0,T115/N115-INDEX(账户总表!$B:$B,MATCH($A115,账户总表!$A:$A,0)),0)),0),0))</f>
        <v/>
      </c>
      <c r="AB115" s="39" t="str">
        <f aca="false">IF($A115="","",IF(AND(Z115="是",INDEX(账户总表!$U:$U,MATCH($A115,账户总表!$A:$A,0))="是"),IF(INDEX(账户总表!$L:$L,MATCH($A115,账户总表!$A:$A,0))&gt;=4,AA115*1.5,AA115),0))</f>
        <v/>
      </c>
      <c r="AC115" s="42" t="str">
        <f aca="false">IF($A115="","",IF(AND(L115="是",Q115&gt;=R115,S115&lt;=Q115,S115&gt;=R115,W115="是",X115&gt;0,M115="是",INDEX(账户总表!$M:$M,MATCH($A115,账户总表!$A:$A,0))&lt;=2,INDEX(账户总表!$V:$V,MATCH($A115,账户总表!$A:$A,0))="是",OR(T115&lt;=INDEX(账户总表!$C:$C,MATCH($A115,账户总表!$A:$A,0)),AND(Z115="是",INDEX(账户总表!$U:$U,MATCH($A115,账户总表!$A:$A,0))="是",AB115&gt;0))),"是","否"))</f>
        <v/>
      </c>
      <c r="AD115" s="37" t="str">
        <f aca="false">IF($A115="","",IF(L115&lt;&gt;"是","信号未确认",IF(X115&lt;=0,"止损价未定义",IF(Q115&lt;R115,"100股约束不满足",IF(S115&gt;Q115,"计划股数超单股上限",IF(S115&lt;R115,"计划股数低于最小门槛",IF(W115&lt;&gt;"是","总仓位超限",IF(M115&lt;&gt;"是","追价",IF(INDEX(账户总表!$M:$M,MATCH($A115,账户总表!$A:$A,0))&gt;2,"亏钱效应偏高",IF(INDEX(账户总表!$V:$V,MATCH($A115,账户总表!$A:$A,0))&lt;&gt;"是","账户不允许新开仓",IF(AND(T115&gt;INDEX(账户总表!$C:$C,MATCH($A115,账户总表!$A:$A,0)),INDEX(账户总表!$U:$U,MATCH($A115,账户总表!$A:$A,0))&lt;&gt;"是"),"现金不足且不允许转入",IF(AND(Z115="是",AB115&lt;=0),"转入金额未满足",""))))))))))))</f>
        <v/>
      </c>
      <c r="AE115" s="33"/>
    </row>
    <row r="116" customFormat="false" ht="15" hidden="false" customHeight="true" outlineLevel="0" collapsed="false">
      <c r="A116" s="32"/>
      <c r="B116" s="33"/>
      <c r="C116" s="34"/>
      <c r="D116" s="35"/>
      <c r="E116" s="35"/>
      <c r="F116" s="35"/>
      <c r="G116" s="36"/>
      <c r="H116" s="34"/>
      <c r="I116" s="34"/>
      <c r="J116" s="33"/>
      <c r="K116" s="37" t="str">
        <f aca="false">IF($A116="","",IF(AND(G116&lt;45%,H116&gt;=0.9),"A",IF(AND(G116&lt;60%,H116&gt;0.8),"B","C")))</f>
        <v/>
      </c>
      <c r="L116" s="37" t="str">
        <f aca="false">IF($A116="","",IF(AND(G116&lt;60%,H116&gt;0.8,I116="True"),"是","否"))</f>
        <v/>
      </c>
      <c r="M116" s="37" t="str">
        <f aca="false">IF($A116="","",IF(AND(D116&gt;0,E116&gt;0,D116&lt;=E116*1.02),"是","否"))</f>
        <v/>
      </c>
      <c r="N116" s="38" t="n">
        <f aca="false">IFERROR(INDEX(账户总表!$O:$O,MATCH($A116,账户总表!$A:$A,0)),0)</f>
        <v>0</v>
      </c>
      <c r="O116" s="39" t="n">
        <f aca="false">IFERROR(INDEX(账户总表!$B:$B,MATCH($A116,账户总表!$A:$A,0))*N116,0)</f>
        <v>0</v>
      </c>
      <c r="P116" s="40" t="n">
        <f aca="false">IFERROR(O116/D116,0)</f>
        <v>0</v>
      </c>
      <c r="Q116" s="40" t="n">
        <f aca="false">IFERROR(FLOOR(P116,100),0)</f>
        <v>0</v>
      </c>
      <c r="R116" s="40" t="n">
        <f aca="false">IFERROR(CEILING(800/(100*D116),1)*100,0)</f>
        <v>0</v>
      </c>
      <c r="S116" s="41"/>
      <c r="T116" s="39" t="n">
        <f aca="false">IFERROR(S116*D116,0)</f>
        <v>0</v>
      </c>
      <c r="U116" s="38" t="n">
        <f aca="false">IFERROR(T116/INDEX(账户总表!$B:$B,MATCH($A116,账户总表!$A:$A,0)),0)</f>
        <v>0</v>
      </c>
      <c r="V116" s="38" t="n">
        <f aca="false">IFERROR(INDEX(账户总表!$E:$E,MATCH($A116,账户总表!$A:$A,0))+U116,0)</f>
        <v>0</v>
      </c>
      <c r="W116" s="37" t="str">
        <f aca="false">IF($A116="","",IFERROR(IF(V116&lt;=INDEX(账户总表!$N:$N,MATCH($A116,账户总表!$A:$A,0)),"是","否"),"否"))</f>
        <v/>
      </c>
      <c r="X116" s="39" t="str">
        <f aca="false">IF($A116="","",MAX(F116*0.98,D116*0.92))</f>
        <v/>
      </c>
      <c r="Y116" s="34"/>
      <c r="Z116" s="37" t="str">
        <f aca="false">IF($A116="","",IFERROR(IF(AND(T116&gt;INDEX(账户总表!$C:$C,MATCH($A116,账户总表!$A:$A,0)),L116="是"),"是","否"),"否"))</f>
        <v/>
      </c>
      <c r="AA116" s="39" t="str">
        <f aca="false">IF($A116="","",IFERROR(IF(Z116="是",MAX(0,T116-INDEX(账户总表!$C:$C,MATCH($A116,账户总表!$A:$A,0)),IF(N116&gt;0,T116/N116-INDEX(账户总表!$B:$B,MATCH($A116,账户总表!$A:$A,0)),0)),0),0))</f>
        <v/>
      </c>
      <c r="AB116" s="39" t="str">
        <f aca="false">IF($A116="","",IF(AND(Z116="是",INDEX(账户总表!$U:$U,MATCH($A116,账户总表!$A:$A,0))="是"),IF(INDEX(账户总表!$L:$L,MATCH($A116,账户总表!$A:$A,0))&gt;=4,AA116*1.5,AA116),0))</f>
        <v/>
      </c>
      <c r="AC116" s="42" t="str">
        <f aca="false">IF($A116="","",IF(AND(L116="是",Q116&gt;=R116,S116&lt;=Q116,S116&gt;=R116,W116="是",X116&gt;0,M116="是",INDEX(账户总表!$M:$M,MATCH($A116,账户总表!$A:$A,0))&lt;=2,INDEX(账户总表!$V:$V,MATCH($A116,账户总表!$A:$A,0))="是",OR(T116&lt;=INDEX(账户总表!$C:$C,MATCH($A116,账户总表!$A:$A,0)),AND(Z116="是",INDEX(账户总表!$U:$U,MATCH($A116,账户总表!$A:$A,0))="是",AB116&gt;0))),"是","否"))</f>
        <v/>
      </c>
      <c r="AD116" s="37" t="str">
        <f aca="false">IF($A116="","",IF(L116&lt;&gt;"是","信号未确认",IF(X116&lt;=0,"止损价未定义",IF(Q116&lt;R116,"100股约束不满足",IF(S116&gt;Q116,"计划股数超单股上限",IF(S116&lt;R116,"计划股数低于最小门槛",IF(W116&lt;&gt;"是","总仓位超限",IF(M116&lt;&gt;"是","追价",IF(INDEX(账户总表!$M:$M,MATCH($A116,账户总表!$A:$A,0))&gt;2,"亏钱效应偏高",IF(INDEX(账户总表!$V:$V,MATCH($A116,账户总表!$A:$A,0))&lt;&gt;"是","账户不允许新开仓",IF(AND(T116&gt;INDEX(账户总表!$C:$C,MATCH($A116,账户总表!$A:$A,0)),INDEX(账户总表!$U:$U,MATCH($A116,账户总表!$A:$A,0))&lt;&gt;"是"),"现金不足且不允许转入",IF(AND(Z116="是",AB116&lt;=0),"转入金额未满足",""))))))))))))</f>
        <v/>
      </c>
      <c r="AE116" s="33"/>
    </row>
    <row r="117" customFormat="false" ht="15" hidden="false" customHeight="true" outlineLevel="0" collapsed="false">
      <c r="A117" s="32"/>
      <c r="B117" s="33"/>
      <c r="C117" s="34"/>
      <c r="D117" s="35"/>
      <c r="E117" s="35"/>
      <c r="F117" s="35"/>
      <c r="G117" s="36"/>
      <c r="H117" s="34"/>
      <c r="I117" s="34"/>
      <c r="J117" s="33"/>
      <c r="K117" s="37" t="str">
        <f aca="false">IF($A117="","",IF(AND(G117&lt;45%,H117&gt;=0.9),"A",IF(AND(G117&lt;60%,H117&gt;0.8),"B","C")))</f>
        <v/>
      </c>
      <c r="L117" s="37" t="str">
        <f aca="false">IF($A117="","",IF(AND(G117&lt;60%,H117&gt;0.8,I117="True"),"是","否"))</f>
        <v/>
      </c>
      <c r="M117" s="37" t="str">
        <f aca="false">IF($A117="","",IF(AND(D117&gt;0,E117&gt;0,D117&lt;=E117*1.02),"是","否"))</f>
        <v/>
      </c>
      <c r="N117" s="38" t="n">
        <f aca="false">IFERROR(INDEX(账户总表!$O:$O,MATCH($A117,账户总表!$A:$A,0)),0)</f>
        <v>0</v>
      </c>
      <c r="O117" s="39" t="n">
        <f aca="false">IFERROR(INDEX(账户总表!$B:$B,MATCH($A117,账户总表!$A:$A,0))*N117,0)</f>
        <v>0</v>
      </c>
      <c r="P117" s="40" t="n">
        <f aca="false">IFERROR(O117/D117,0)</f>
        <v>0</v>
      </c>
      <c r="Q117" s="40" t="n">
        <f aca="false">IFERROR(FLOOR(P117,100),0)</f>
        <v>0</v>
      </c>
      <c r="R117" s="40" t="n">
        <f aca="false">IFERROR(CEILING(800/(100*D117),1)*100,0)</f>
        <v>0</v>
      </c>
      <c r="S117" s="41"/>
      <c r="T117" s="39" t="n">
        <f aca="false">IFERROR(S117*D117,0)</f>
        <v>0</v>
      </c>
      <c r="U117" s="38" t="n">
        <f aca="false">IFERROR(T117/INDEX(账户总表!$B:$B,MATCH($A117,账户总表!$A:$A,0)),0)</f>
        <v>0</v>
      </c>
      <c r="V117" s="38" t="n">
        <f aca="false">IFERROR(INDEX(账户总表!$E:$E,MATCH($A117,账户总表!$A:$A,0))+U117,0)</f>
        <v>0</v>
      </c>
      <c r="W117" s="37" t="str">
        <f aca="false">IF($A117="","",IFERROR(IF(V117&lt;=INDEX(账户总表!$N:$N,MATCH($A117,账户总表!$A:$A,0)),"是","否"),"否"))</f>
        <v/>
      </c>
      <c r="X117" s="39" t="str">
        <f aca="false">IF($A117="","",MAX(F117*0.98,D117*0.92))</f>
        <v/>
      </c>
      <c r="Y117" s="34"/>
      <c r="Z117" s="37" t="str">
        <f aca="false">IF($A117="","",IFERROR(IF(AND(T117&gt;INDEX(账户总表!$C:$C,MATCH($A117,账户总表!$A:$A,0)),L117="是"),"是","否"),"否"))</f>
        <v/>
      </c>
      <c r="AA117" s="39" t="str">
        <f aca="false">IF($A117="","",IFERROR(IF(Z117="是",MAX(0,T117-INDEX(账户总表!$C:$C,MATCH($A117,账户总表!$A:$A,0)),IF(N117&gt;0,T117/N117-INDEX(账户总表!$B:$B,MATCH($A117,账户总表!$A:$A,0)),0)),0),0))</f>
        <v/>
      </c>
      <c r="AB117" s="39" t="str">
        <f aca="false">IF($A117="","",IF(AND(Z117="是",INDEX(账户总表!$U:$U,MATCH($A117,账户总表!$A:$A,0))="是"),IF(INDEX(账户总表!$L:$L,MATCH($A117,账户总表!$A:$A,0))&gt;=4,AA117*1.5,AA117),0))</f>
        <v/>
      </c>
      <c r="AC117" s="42" t="str">
        <f aca="false">IF($A117="","",IF(AND(L117="是",Q117&gt;=R117,S117&lt;=Q117,S117&gt;=R117,W117="是",X117&gt;0,M117="是",INDEX(账户总表!$M:$M,MATCH($A117,账户总表!$A:$A,0))&lt;=2,INDEX(账户总表!$V:$V,MATCH($A117,账户总表!$A:$A,0))="是",OR(T117&lt;=INDEX(账户总表!$C:$C,MATCH($A117,账户总表!$A:$A,0)),AND(Z117="是",INDEX(账户总表!$U:$U,MATCH($A117,账户总表!$A:$A,0))="是",AB117&gt;0))),"是","否"))</f>
        <v/>
      </c>
      <c r="AD117" s="37" t="str">
        <f aca="false">IF($A117="","",IF(L117&lt;&gt;"是","信号未确认",IF(X117&lt;=0,"止损价未定义",IF(Q117&lt;R117,"100股约束不满足",IF(S117&gt;Q117,"计划股数超单股上限",IF(S117&lt;R117,"计划股数低于最小门槛",IF(W117&lt;&gt;"是","总仓位超限",IF(M117&lt;&gt;"是","追价",IF(INDEX(账户总表!$M:$M,MATCH($A117,账户总表!$A:$A,0))&gt;2,"亏钱效应偏高",IF(INDEX(账户总表!$V:$V,MATCH($A117,账户总表!$A:$A,0))&lt;&gt;"是","账户不允许新开仓",IF(AND(T117&gt;INDEX(账户总表!$C:$C,MATCH($A117,账户总表!$A:$A,0)),INDEX(账户总表!$U:$U,MATCH($A117,账户总表!$A:$A,0))&lt;&gt;"是"),"现金不足且不允许转入",IF(AND(Z117="是",AB117&lt;=0),"转入金额未满足",""))))))))))))</f>
        <v/>
      </c>
      <c r="AE117" s="33"/>
    </row>
    <row r="118" customFormat="false" ht="15" hidden="false" customHeight="true" outlineLevel="0" collapsed="false">
      <c r="A118" s="32"/>
      <c r="B118" s="33"/>
      <c r="C118" s="34"/>
      <c r="D118" s="35"/>
      <c r="E118" s="35"/>
      <c r="F118" s="35"/>
      <c r="G118" s="36"/>
      <c r="H118" s="34"/>
      <c r="I118" s="34"/>
      <c r="J118" s="33"/>
      <c r="K118" s="37" t="str">
        <f aca="false">IF($A118="","",IF(AND(G118&lt;45%,H118&gt;=0.9),"A",IF(AND(G118&lt;60%,H118&gt;0.8),"B","C")))</f>
        <v/>
      </c>
      <c r="L118" s="37" t="str">
        <f aca="false">IF($A118="","",IF(AND(G118&lt;60%,H118&gt;0.8,I118="True"),"是","否"))</f>
        <v/>
      </c>
      <c r="M118" s="37" t="str">
        <f aca="false">IF($A118="","",IF(AND(D118&gt;0,E118&gt;0,D118&lt;=E118*1.02),"是","否"))</f>
        <v/>
      </c>
      <c r="N118" s="38" t="n">
        <f aca="false">IFERROR(INDEX(账户总表!$O:$O,MATCH($A118,账户总表!$A:$A,0)),0)</f>
        <v>0</v>
      </c>
      <c r="O118" s="39" t="n">
        <f aca="false">IFERROR(INDEX(账户总表!$B:$B,MATCH($A118,账户总表!$A:$A,0))*N118,0)</f>
        <v>0</v>
      </c>
      <c r="P118" s="40" t="n">
        <f aca="false">IFERROR(O118/D118,0)</f>
        <v>0</v>
      </c>
      <c r="Q118" s="40" t="n">
        <f aca="false">IFERROR(FLOOR(P118,100),0)</f>
        <v>0</v>
      </c>
      <c r="R118" s="40" t="n">
        <f aca="false">IFERROR(CEILING(800/(100*D118),1)*100,0)</f>
        <v>0</v>
      </c>
      <c r="S118" s="41"/>
      <c r="T118" s="39" t="n">
        <f aca="false">IFERROR(S118*D118,0)</f>
        <v>0</v>
      </c>
      <c r="U118" s="38" t="n">
        <f aca="false">IFERROR(T118/INDEX(账户总表!$B:$B,MATCH($A118,账户总表!$A:$A,0)),0)</f>
        <v>0</v>
      </c>
      <c r="V118" s="38" t="n">
        <f aca="false">IFERROR(INDEX(账户总表!$E:$E,MATCH($A118,账户总表!$A:$A,0))+U118,0)</f>
        <v>0</v>
      </c>
      <c r="W118" s="37" t="str">
        <f aca="false">IF($A118="","",IFERROR(IF(V118&lt;=INDEX(账户总表!$N:$N,MATCH($A118,账户总表!$A:$A,0)),"是","否"),"否"))</f>
        <v/>
      </c>
      <c r="X118" s="39" t="str">
        <f aca="false">IF($A118="","",MAX(F118*0.98,D118*0.92))</f>
        <v/>
      </c>
      <c r="Y118" s="34"/>
      <c r="Z118" s="37" t="str">
        <f aca="false">IF($A118="","",IFERROR(IF(AND(T118&gt;INDEX(账户总表!$C:$C,MATCH($A118,账户总表!$A:$A,0)),L118="是"),"是","否"),"否"))</f>
        <v/>
      </c>
      <c r="AA118" s="39" t="str">
        <f aca="false">IF($A118="","",IFERROR(IF(Z118="是",MAX(0,T118-INDEX(账户总表!$C:$C,MATCH($A118,账户总表!$A:$A,0)),IF(N118&gt;0,T118/N118-INDEX(账户总表!$B:$B,MATCH($A118,账户总表!$A:$A,0)),0)),0),0))</f>
        <v/>
      </c>
      <c r="AB118" s="39" t="str">
        <f aca="false">IF($A118="","",IF(AND(Z118="是",INDEX(账户总表!$U:$U,MATCH($A118,账户总表!$A:$A,0))="是"),IF(INDEX(账户总表!$L:$L,MATCH($A118,账户总表!$A:$A,0))&gt;=4,AA118*1.5,AA118),0))</f>
        <v/>
      </c>
      <c r="AC118" s="42" t="str">
        <f aca="false">IF($A118="","",IF(AND(L118="是",Q118&gt;=R118,S118&lt;=Q118,S118&gt;=R118,W118="是",X118&gt;0,M118="是",INDEX(账户总表!$M:$M,MATCH($A118,账户总表!$A:$A,0))&lt;=2,INDEX(账户总表!$V:$V,MATCH($A118,账户总表!$A:$A,0))="是",OR(T118&lt;=INDEX(账户总表!$C:$C,MATCH($A118,账户总表!$A:$A,0)),AND(Z118="是",INDEX(账户总表!$U:$U,MATCH($A118,账户总表!$A:$A,0))="是",AB118&gt;0))),"是","否"))</f>
        <v/>
      </c>
      <c r="AD118" s="37" t="str">
        <f aca="false">IF($A118="","",IF(L118&lt;&gt;"是","信号未确认",IF(X118&lt;=0,"止损价未定义",IF(Q118&lt;R118,"100股约束不满足",IF(S118&gt;Q118,"计划股数超单股上限",IF(S118&lt;R118,"计划股数低于最小门槛",IF(W118&lt;&gt;"是","总仓位超限",IF(M118&lt;&gt;"是","追价",IF(INDEX(账户总表!$M:$M,MATCH($A118,账户总表!$A:$A,0))&gt;2,"亏钱效应偏高",IF(INDEX(账户总表!$V:$V,MATCH($A118,账户总表!$A:$A,0))&lt;&gt;"是","账户不允许新开仓",IF(AND(T118&gt;INDEX(账户总表!$C:$C,MATCH($A118,账户总表!$A:$A,0)),INDEX(账户总表!$U:$U,MATCH($A118,账户总表!$A:$A,0))&lt;&gt;"是"),"现金不足且不允许转入",IF(AND(Z118="是",AB118&lt;=0),"转入金额未满足",""))))))))))))</f>
        <v/>
      </c>
      <c r="AE118" s="33"/>
    </row>
    <row r="119" customFormat="false" ht="15" hidden="false" customHeight="true" outlineLevel="0" collapsed="false">
      <c r="A119" s="32"/>
      <c r="B119" s="33"/>
      <c r="C119" s="34"/>
      <c r="D119" s="35"/>
      <c r="E119" s="35"/>
      <c r="F119" s="35"/>
      <c r="G119" s="36"/>
      <c r="H119" s="34"/>
      <c r="I119" s="34"/>
      <c r="J119" s="33"/>
      <c r="K119" s="37" t="str">
        <f aca="false">IF($A119="","",IF(AND(G119&lt;45%,H119&gt;=0.9),"A",IF(AND(G119&lt;60%,H119&gt;0.8),"B","C")))</f>
        <v/>
      </c>
      <c r="L119" s="37" t="str">
        <f aca="false">IF($A119="","",IF(AND(G119&lt;60%,H119&gt;0.8,I119="True"),"是","否"))</f>
        <v/>
      </c>
      <c r="M119" s="37" t="str">
        <f aca="false">IF($A119="","",IF(AND(D119&gt;0,E119&gt;0,D119&lt;=E119*1.02),"是","否"))</f>
        <v/>
      </c>
      <c r="N119" s="38" t="n">
        <f aca="false">IFERROR(INDEX(账户总表!$O:$O,MATCH($A119,账户总表!$A:$A,0)),0)</f>
        <v>0</v>
      </c>
      <c r="O119" s="39" t="n">
        <f aca="false">IFERROR(INDEX(账户总表!$B:$B,MATCH($A119,账户总表!$A:$A,0))*N119,0)</f>
        <v>0</v>
      </c>
      <c r="P119" s="40" t="n">
        <f aca="false">IFERROR(O119/D119,0)</f>
        <v>0</v>
      </c>
      <c r="Q119" s="40" t="n">
        <f aca="false">IFERROR(FLOOR(P119,100),0)</f>
        <v>0</v>
      </c>
      <c r="R119" s="40" t="n">
        <f aca="false">IFERROR(CEILING(800/(100*D119),1)*100,0)</f>
        <v>0</v>
      </c>
      <c r="S119" s="41"/>
      <c r="T119" s="39" t="n">
        <f aca="false">IFERROR(S119*D119,0)</f>
        <v>0</v>
      </c>
      <c r="U119" s="38" t="n">
        <f aca="false">IFERROR(T119/INDEX(账户总表!$B:$B,MATCH($A119,账户总表!$A:$A,0)),0)</f>
        <v>0</v>
      </c>
      <c r="V119" s="38" t="n">
        <f aca="false">IFERROR(INDEX(账户总表!$E:$E,MATCH($A119,账户总表!$A:$A,0))+U119,0)</f>
        <v>0</v>
      </c>
      <c r="W119" s="37" t="str">
        <f aca="false">IF($A119="","",IFERROR(IF(V119&lt;=INDEX(账户总表!$N:$N,MATCH($A119,账户总表!$A:$A,0)),"是","否"),"否"))</f>
        <v/>
      </c>
      <c r="X119" s="39" t="str">
        <f aca="false">IF($A119="","",MAX(F119*0.98,D119*0.92))</f>
        <v/>
      </c>
      <c r="Y119" s="34"/>
      <c r="Z119" s="37" t="str">
        <f aca="false">IF($A119="","",IFERROR(IF(AND(T119&gt;INDEX(账户总表!$C:$C,MATCH($A119,账户总表!$A:$A,0)),L119="是"),"是","否"),"否"))</f>
        <v/>
      </c>
      <c r="AA119" s="39" t="str">
        <f aca="false">IF($A119="","",IFERROR(IF(Z119="是",MAX(0,T119-INDEX(账户总表!$C:$C,MATCH($A119,账户总表!$A:$A,0)),IF(N119&gt;0,T119/N119-INDEX(账户总表!$B:$B,MATCH($A119,账户总表!$A:$A,0)),0)),0),0))</f>
        <v/>
      </c>
      <c r="AB119" s="39" t="str">
        <f aca="false">IF($A119="","",IF(AND(Z119="是",INDEX(账户总表!$U:$U,MATCH($A119,账户总表!$A:$A,0))="是"),IF(INDEX(账户总表!$L:$L,MATCH($A119,账户总表!$A:$A,0))&gt;=4,AA119*1.5,AA119),0))</f>
        <v/>
      </c>
      <c r="AC119" s="42" t="str">
        <f aca="false">IF($A119="","",IF(AND(L119="是",Q119&gt;=R119,S119&lt;=Q119,S119&gt;=R119,W119="是",X119&gt;0,M119="是",INDEX(账户总表!$M:$M,MATCH($A119,账户总表!$A:$A,0))&lt;=2,INDEX(账户总表!$V:$V,MATCH($A119,账户总表!$A:$A,0))="是",OR(T119&lt;=INDEX(账户总表!$C:$C,MATCH($A119,账户总表!$A:$A,0)),AND(Z119="是",INDEX(账户总表!$U:$U,MATCH($A119,账户总表!$A:$A,0))="是",AB119&gt;0))),"是","否"))</f>
        <v/>
      </c>
      <c r="AD119" s="37" t="str">
        <f aca="false">IF($A119="","",IF(L119&lt;&gt;"是","信号未确认",IF(X119&lt;=0,"止损价未定义",IF(Q119&lt;R119,"100股约束不满足",IF(S119&gt;Q119,"计划股数超单股上限",IF(S119&lt;R119,"计划股数低于最小门槛",IF(W119&lt;&gt;"是","总仓位超限",IF(M119&lt;&gt;"是","追价",IF(INDEX(账户总表!$M:$M,MATCH($A119,账户总表!$A:$A,0))&gt;2,"亏钱效应偏高",IF(INDEX(账户总表!$V:$V,MATCH($A119,账户总表!$A:$A,0))&lt;&gt;"是","账户不允许新开仓",IF(AND(T119&gt;INDEX(账户总表!$C:$C,MATCH($A119,账户总表!$A:$A,0)),INDEX(账户总表!$U:$U,MATCH($A119,账户总表!$A:$A,0))&lt;&gt;"是"),"现金不足且不允许转入",IF(AND(Z119="是",AB119&lt;=0),"转入金额未满足",""))))))))))))</f>
        <v/>
      </c>
      <c r="AE119" s="33"/>
    </row>
    <row r="120" customFormat="false" ht="15" hidden="false" customHeight="true" outlineLevel="0" collapsed="false">
      <c r="A120" s="32"/>
      <c r="B120" s="33"/>
      <c r="C120" s="34"/>
      <c r="D120" s="35"/>
      <c r="E120" s="35"/>
      <c r="F120" s="35"/>
      <c r="G120" s="36"/>
      <c r="H120" s="34"/>
      <c r="I120" s="34"/>
      <c r="J120" s="33"/>
      <c r="K120" s="37" t="str">
        <f aca="false">IF($A120="","",IF(AND(G120&lt;45%,H120&gt;=0.9),"A",IF(AND(G120&lt;60%,H120&gt;0.8),"B","C")))</f>
        <v/>
      </c>
      <c r="L120" s="37" t="str">
        <f aca="false">IF($A120="","",IF(AND(G120&lt;60%,H120&gt;0.8,I120="True"),"是","否"))</f>
        <v/>
      </c>
      <c r="M120" s="37" t="str">
        <f aca="false">IF($A120="","",IF(AND(D120&gt;0,E120&gt;0,D120&lt;=E120*1.02),"是","否"))</f>
        <v/>
      </c>
      <c r="N120" s="38" t="n">
        <f aca="false">IFERROR(INDEX(账户总表!$O:$O,MATCH($A120,账户总表!$A:$A,0)),0)</f>
        <v>0</v>
      </c>
      <c r="O120" s="39" t="n">
        <f aca="false">IFERROR(INDEX(账户总表!$B:$B,MATCH($A120,账户总表!$A:$A,0))*N120,0)</f>
        <v>0</v>
      </c>
      <c r="P120" s="40" t="n">
        <f aca="false">IFERROR(O120/D120,0)</f>
        <v>0</v>
      </c>
      <c r="Q120" s="40" t="n">
        <f aca="false">IFERROR(FLOOR(P120,100),0)</f>
        <v>0</v>
      </c>
      <c r="R120" s="40" t="n">
        <f aca="false">IFERROR(CEILING(800/(100*D120),1)*100,0)</f>
        <v>0</v>
      </c>
      <c r="S120" s="41"/>
      <c r="T120" s="39" t="n">
        <f aca="false">IFERROR(S120*D120,0)</f>
        <v>0</v>
      </c>
      <c r="U120" s="38" t="n">
        <f aca="false">IFERROR(T120/INDEX(账户总表!$B:$B,MATCH($A120,账户总表!$A:$A,0)),0)</f>
        <v>0</v>
      </c>
      <c r="V120" s="38" t="n">
        <f aca="false">IFERROR(INDEX(账户总表!$E:$E,MATCH($A120,账户总表!$A:$A,0))+U120,0)</f>
        <v>0</v>
      </c>
      <c r="W120" s="37" t="str">
        <f aca="false">IF($A120="","",IFERROR(IF(V120&lt;=INDEX(账户总表!$N:$N,MATCH($A120,账户总表!$A:$A,0)),"是","否"),"否"))</f>
        <v/>
      </c>
      <c r="X120" s="39" t="str">
        <f aca="false">IF($A120="","",MAX(F120*0.98,D120*0.92))</f>
        <v/>
      </c>
      <c r="Y120" s="34"/>
      <c r="Z120" s="37" t="str">
        <f aca="false">IF($A120="","",IFERROR(IF(AND(T120&gt;INDEX(账户总表!$C:$C,MATCH($A120,账户总表!$A:$A,0)),L120="是"),"是","否"),"否"))</f>
        <v/>
      </c>
      <c r="AA120" s="39" t="str">
        <f aca="false">IF($A120="","",IFERROR(IF(Z120="是",MAX(0,T120-INDEX(账户总表!$C:$C,MATCH($A120,账户总表!$A:$A,0)),IF(N120&gt;0,T120/N120-INDEX(账户总表!$B:$B,MATCH($A120,账户总表!$A:$A,0)),0)),0),0))</f>
        <v/>
      </c>
      <c r="AB120" s="39" t="str">
        <f aca="false">IF($A120="","",IF(AND(Z120="是",INDEX(账户总表!$U:$U,MATCH($A120,账户总表!$A:$A,0))="是"),IF(INDEX(账户总表!$L:$L,MATCH($A120,账户总表!$A:$A,0))&gt;=4,AA120*1.5,AA120),0))</f>
        <v/>
      </c>
      <c r="AC120" s="42" t="str">
        <f aca="false">IF($A120="","",IF(AND(L120="是",Q120&gt;=R120,S120&lt;=Q120,S120&gt;=R120,W120="是",X120&gt;0,M120="是",INDEX(账户总表!$M:$M,MATCH($A120,账户总表!$A:$A,0))&lt;=2,INDEX(账户总表!$V:$V,MATCH($A120,账户总表!$A:$A,0))="是",OR(T120&lt;=INDEX(账户总表!$C:$C,MATCH($A120,账户总表!$A:$A,0)),AND(Z120="是",INDEX(账户总表!$U:$U,MATCH($A120,账户总表!$A:$A,0))="是",AB120&gt;0))),"是","否"))</f>
        <v/>
      </c>
      <c r="AD120" s="37" t="str">
        <f aca="false">IF($A120="","",IF(L120&lt;&gt;"是","信号未确认",IF(X120&lt;=0,"止损价未定义",IF(Q120&lt;R120,"100股约束不满足",IF(S120&gt;Q120,"计划股数超单股上限",IF(S120&lt;R120,"计划股数低于最小门槛",IF(W120&lt;&gt;"是","总仓位超限",IF(M120&lt;&gt;"是","追价",IF(INDEX(账户总表!$M:$M,MATCH($A120,账户总表!$A:$A,0))&gt;2,"亏钱效应偏高",IF(INDEX(账户总表!$V:$V,MATCH($A120,账户总表!$A:$A,0))&lt;&gt;"是","账户不允许新开仓",IF(AND(T120&gt;INDEX(账户总表!$C:$C,MATCH($A120,账户总表!$A:$A,0)),INDEX(账户总表!$U:$U,MATCH($A120,账户总表!$A:$A,0))&lt;&gt;"是"),"现金不足且不允许转入",IF(AND(Z120="是",AB120&lt;=0),"转入金额未满足",""))))))))))))</f>
        <v/>
      </c>
      <c r="AE120" s="33"/>
    </row>
    <row r="121" customFormat="false" ht="15" hidden="false" customHeight="true" outlineLevel="0" collapsed="false">
      <c r="A121" s="32"/>
      <c r="B121" s="33"/>
      <c r="C121" s="34"/>
      <c r="D121" s="35"/>
      <c r="E121" s="35"/>
      <c r="F121" s="35"/>
      <c r="G121" s="36"/>
      <c r="H121" s="34"/>
      <c r="I121" s="34"/>
      <c r="J121" s="33"/>
      <c r="K121" s="37" t="str">
        <f aca="false">IF($A121="","",IF(AND(G121&lt;45%,H121&gt;=0.9),"A",IF(AND(G121&lt;60%,H121&gt;0.8),"B","C")))</f>
        <v/>
      </c>
      <c r="L121" s="37" t="str">
        <f aca="false">IF($A121="","",IF(AND(G121&lt;60%,H121&gt;0.8,I121="True"),"是","否"))</f>
        <v/>
      </c>
      <c r="M121" s="37" t="str">
        <f aca="false">IF($A121="","",IF(AND(D121&gt;0,E121&gt;0,D121&lt;=E121*1.02),"是","否"))</f>
        <v/>
      </c>
      <c r="N121" s="38" t="n">
        <f aca="false">IFERROR(INDEX(账户总表!$O:$O,MATCH($A121,账户总表!$A:$A,0)),0)</f>
        <v>0</v>
      </c>
      <c r="O121" s="39" t="n">
        <f aca="false">IFERROR(INDEX(账户总表!$B:$B,MATCH($A121,账户总表!$A:$A,0))*N121,0)</f>
        <v>0</v>
      </c>
      <c r="P121" s="40" t="n">
        <f aca="false">IFERROR(O121/D121,0)</f>
        <v>0</v>
      </c>
      <c r="Q121" s="40" t="n">
        <f aca="false">IFERROR(FLOOR(P121,100),0)</f>
        <v>0</v>
      </c>
      <c r="R121" s="40" t="n">
        <f aca="false">IFERROR(CEILING(800/(100*D121),1)*100,0)</f>
        <v>0</v>
      </c>
      <c r="S121" s="41"/>
      <c r="T121" s="39" t="n">
        <f aca="false">IFERROR(S121*D121,0)</f>
        <v>0</v>
      </c>
      <c r="U121" s="38" t="n">
        <f aca="false">IFERROR(T121/INDEX(账户总表!$B:$B,MATCH($A121,账户总表!$A:$A,0)),0)</f>
        <v>0</v>
      </c>
      <c r="V121" s="38" t="n">
        <f aca="false">IFERROR(INDEX(账户总表!$E:$E,MATCH($A121,账户总表!$A:$A,0))+U121,0)</f>
        <v>0</v>
      </c>
      <c r="W121" s="37" t="str">
        <f aca="false">IF($A121="","",IFERROR(IF(V121&lt;=INDEX(账户总表!$N:$N,MATCH($A121,账户总表!$A:$A,0)),"是","否"),"否"))</f>
        <v/>
      </c>
      <c r="X121" s="39" t="str">
        <f aca="false">IF($A121="","",MAX(F121*0.98,D121*0.92))</f>
        <v/>
      </c>
      <c r="Y121" s="34"/>
      <c r="Z121" s="37" t="str">
        <f aca="false">IF($A121="","",IFERROR(IF(AND(T121&gt;INDEX(账户总表!$C:$C,MATCH($A121,账户总表!$A:$A,0)),L121="是"),"是","否"),"否"))</f>
        <v/>
      </c>
      <c r="AA121" s="39" t="str">
        <f aca="false">IF($A121="","",IFERROR(IF(Z121="是",MAX(0,T121-INDEX(账户总表!$C:$C,MATCH($A121,账户总表!$A:$A,0)),IF(N121&gt;0,T121/N121-INDEX(账户总表!$B:$B,MATCH($A121,账户总表!$A:$A,0)),0)),0),0))</f>
        <v/>
      </c>
      <c r="AB121" s="39" t="str">
        <f aca="false">IF($A121="","",IF(AND(Z121="是",INDEX(账户总表!$U:$U,MATCH($A121,账户总表!$A:$A,0))="是"),IF(INDEX(账户总表!$L:$L,MATCH($A121,账户总表!$A:$A,0))&gt;=4,AA121*1.5,AA121),0))</f>
        <v/>
      </c>
      <c r="AC121" s="42" t="str">
        <f aca="false">IF($A121="","",IF(AND(L121="是",Q121&gt;=R121,S121&lt;=Q121,S121&gt;=R121,W121="是",X121&gt;0,M121="是",INDEX(账户总表!$M:$M,MATCH($A121,账户总表!$A:$A,0))&lt;=2,INDEX(账户总表!$V:$V,MATCH($A121,账户总表!$A:$A,0))="是",OR(T121&lt;=INDEX(账户总表!$C:$C,MATCH($A121,账户总表!$A:$A,0)),AND(Z121="是",INDEX(账户总表!$U:$U,MATCH($A121,账户总表!$A:$A,0))="是",AB121&gt;0))),"是","否"))</f>
        <v/>
      </c>
      <c r="AD121" s="37" t="str">
        <f aca="false">IF($A121="","",IF(L121&lt;&gt;"是","信号未确认",IF(X121&lt;=0,"止损价未定义",IF(Q121&lt;R121,"100股约束不满足",IF(S121&gt;Q121,"计划股数超单股上限",IF(S121&lt;R121,"计划股数低于最小门槛",IF(W121&lt;&gt;"是","总仓位超限",IF(M121&lt;&gt;"是","追价",IF(INDEX(账户总表!$M:$M,MATCH($A121,账户总表!$A:$A,0))&gt;2,"亏钱效应偏高",IF(INDEX(账户总表!$V:$V,MATCH($A121,账户总表!$A:$A,0))&lt;&gt;"是","账户不允许新开仓",IF(AND(T121&gt;INDEX(账户总表!$C:$C,MATCH($A121,账户总表!$A:$A,0)),INDEX(账户总表!$U:$U,MATCH($A121,账户总表!$A:$A,0))&lt;&gt;"是"),"现金不足且不允许转入",IF(AND(Z121="是",AB121&lt;=0),"转入金额未满足",""))))))))))))</f>
        <v/>
      </c>
      <c r="AE121" s="33"/>
    </row>
    <row r="122" customFormat="false" ht="15" hidden="false" customHeight="true" outlineLevel="0" collapsed="false">
      <c r="A122" s="32"/>
      <c r="B122" s="33"/>
      <c r="C122" s="34"/>
      <c r="D122" s="35"/>
      <c r="E122" s="35"/>
      <c r="F122" s="35"/>
      <c r="G122" s="36"/>
      <c r="H122" s="34"/>
      <c r="I122" s="34"/>
      <c r="J122" s="33"/>
      <c r="K122" s="37" t="str">
        <f aca="false">IF($A122="","",IF(AND(G122&lt;45%,H122&gt;=0.9),"A",IF(AND(G122&lt;60%,H122&gt;0.8),"B","C")))</f>
        <v/>
      </c>
      <c r="L122" s="37" t="str">
        <f aca="false">IF($A122="","",IF(AND(G122&lt;60%,H122&gt;0.8,I122="True"),"是","否"))</f>
        <v/>
      </c>
      <c r="M122" s="37" t="str">
        <f aca="false">IF($A122="","",IF(AND(D122&gt;0,E122&gt;0,D122&lt;=E122*1.02),"是","否"))</f>
        <v/>
      </c>
      <c r="N122" s="38" t="n">
        <f aca="false">IFERROR(INDEX(账户总表!$O:$O,MATCH($A122,账户总表!$A:$A,0)),0)</f>
        <v>0</v>
      </c>
      <c r="O122" s="39" t="n">
        <f aca="false">IFERROR(INDEX(账户总表!$B:$B,MATCH($A122,账户总表!$A:$A,0))*N122,0)</f>
        <v>0</v>
      </c>
      <c r="P122" s="40" t="n">
        <f aca="false">IFERROR(O122/D122,0)</f>
        <v>0</v>
      </c>
      <c r="Q122" s="40" t="n">
        <f aca="false">IFERROR(FLOOR(P122,100),0)</f>
        <v>0</v>
      </c>
      <c r="R122" s="40" t="n">
        <f aca="false">IFERROR(CEILING(800/(100*D122),1)*100,0)</f>
        <v>0</v>
      </c>
      <c r="S122" s="41"/>
      <c r="T122" s="39" t="n">
        <f aca="false">IFERROR(S122*D122,0)</f>
        <v>0</v>
      </c>
      <c r="U122" s="38" t="n">
        <f aca="false">IFERROR(T122/INDEX(账户总表!$B:$B,MATCH($A122,账户总表!$A:$A,0)),0)</f>
        <v>0</v>
      </c>
      <c r="V122" s="38" t="n">
        <f aca="false">IFERROR(INDEX(账户总表!$E:$E,MATCH($A122,账户总表!$A:$A,0))+U122,0)</f>
        <v>0</v>
      </c>
      <c r="W122" s="37" t="str">
        <f aca="false">IF($A122="","",IFERROR(IF(V122&lt;=INDEX(账户总表!$N:$N,MATCH($A122,账户总表!$A:$A,0)),"是","否"),"否"))</f>
        <v/>
      </c>
      <c r="X122" s="39" t="str">
        <f aca="false">IF($A122="","",MAX(F122*0.98,D122*0.92))</f>
        <v/>
      </c>
      <c r="Y122" s="34"/>
      <c r="Z122" s="37" t="str">
        <f aca="false">IF($A122="","",IFERROR(IF(AND(T122&gt;INDEX(账户总表!$C:$C,MATCH($A122,账户总表!$A:$A,0)),L122="是"),"是","否"),"否"))</f>
        <v/>
      </c>
      <c r="AA122" s="39" t="str">
        <f aca="false">IF($A122="","",IFERROR(IF(Z122="是",MAX(0,T122-INDEX(账户总表!$C:$C,MATCH($A122,账户总表!$A:$A,0)),IF(N122&gt;0,T122/N122-INDEX(账户总表!$B:$B,MATCH($A122,账户总表!$A:$A,0)),0)),0),0))</f>
        <v/>
      </c>
      <c r="AB122" s="39" t="str">
        <f aca="false">IF($A122="","",IF(AND(Z122="是",INDEX(账户总表!$U:$U,MATCH($A122,账户总表!$A:$A,0))="是"),IF(INDEX(账户总表!$L:$L,MATCH($A122,账户总表!$A:$A,0))&gt;=4,AA122*1.5,AA122),0))</f>
        <v/>
      </c>
      <c r="AC122" s="42" t="str">
        <f aca="false">IF($A122="","",IF(AND(L122="是",Q122&gt;=R122,S122&lt;=Q122,S122&gt;=R122,W122="是",X122&gt;0,M122="是",INDEX(账户总表!$M:$M,MATCH($A122,账户总表!$A:$A,0))&lt;=2,INDEX(账户总表!$V:$V,MATCH($A122,账户总表!$A:$A,0))="是",OR(T122&lt;=INDEX(账户总表!$C:$C,MATCH($A122,账户总表!$A:$A,0)),AND(Z122="是",INDEX(账户总表!$U:$U,MATCH($A122,账户总表!$A:$A,0))="是",AB122&gt;0))),"是","否"))</f>
        <v/>
      </c>
      <c r="AD122" s="37" t="str">
        <f aca="false">IF($A122="","",IF(L122&lt;&gt;"是","信号未确认",IF(X122&lt;=0,"止损价未定义",IF(Q122&lt;R122,"100股约束不满足",IF(S122&gt;Q122,"计划股数超单股上限",IF(S122&lt;R122,"计划股数低于最小门槛",IF(W122&lt;&gt;"是","总仓位超限",IF(M122&lt;&gt;"是","追价",IF(INDEX(账户总表!$M:$M,MATCH($A122,账户总表!$A:$A,0))&gt;2,"亏钱效应偏高",IF(INDEX(账户总表!$V:$V,MATCH($A122,账户总表!$A:$A,0))&lt;&gt;"是","账户不允许新开仓",IF(AND(T122&gt;INDEX(账户总表!$C:$C,MATCH($A122,账户总表!$A:$A,0)),INDEX(账户总表!$U:$U,MATCH($A122,账户总表!$A:$A,0))&lt;&gt;"是"),"现金不足且不允许转入",IF(AND(Z122="是",AB122&lt;=0),"转入金额未满足",""))))))))))))</f>
        <v/>
      </c>
      <c r="AE122" s="33"/>
    </row>
    <row r="123" customFormat="false" ht="15" hidden="false" customHeight="true" outlineLevel="0" collapsed="false">
      <c r="A123" s="32"/>
      <c r="B123" s="33"/>
      <c r="C123" s="34"/>
      <c r="D123" s="35"/>
      <c r="E123" s="35"/>
      <c r="F123" s="35"/>
      <c r="G123" s="36"/>
      <c r="H123" s="34"/>
      <c r="I123" s="34"/>
      <c r="J123" s="33"/>
      <c r="K123" s="37" t="str">
        <f aca="false">IF($A123="","",IF(AND(G123&lt;45%,H123&gt;=0.9),"A",IF(AND(G123&lt;60%,H123&gt;0.8),"B","C")))</f>
        <v/>
      </c>
      <c r="L123" s="37" t="str">
        <f aca="false">IF($A123="","",IF(AND(G123&lt;60%,H123&gt;0.8,I123="True"),"是","否"))</f>
        <v/>
      </c>
      <c r="M123" s="37" t="str">
        <f aca="false">IF($A123="","",IF(AND(D123&gt;0,E123&gt;0,D123&lt;=E123*1.02),"是","否"))</f>
        <v/>
      </c>
      <c r="N123" s="38" t="n">
        <f aca="false">IFERROR(INDEX(账户总表!$O:$O,MATCH($A123,账户总表!$A:$A,0)),0)</f>
        <v>0</v>
      </c>
      <c r="O123" s="39" t="n">
        <f aca="false">IFERROR(INDEX(账户总表!$B:$B,MATCH($A123,账户总表!$A:$A,0))*N123,0)</f>
        <v>0</v>
      </c>
      <c r="P123" s="40" t="n">
        <f aca="false">IFERROR(O123/D123,0)</f>
        <v>0</v>
      </c>
      <c r="Q123" s="40" t="n">
        <f aca="false">IFERROR(FLOOR(P123,100),0)</f>
        <v>0</v>
      </c>
      <c r="R123" s="40" t="n">
        <f aca="false">IFERROR(CEILING(800/(100*D123),1)*100,0)</f>
        <v>0</v>
      </c>
      <c r="S123" s="41"/>
      <c r="T123" s="39" t="n">
        <f aca="false">IFERROR(S123*D123,0)</f>
        <v>0</v>
      </c>
      <c r="U123" s="38" t="n">
        <f aca="false">IFERROR(T123/INDEX(账户总表!$B:$B,MATCH($A123,账户总表!$A:$A,0)),0)</f>
        <v>0</v>
      </c>
      <c r="V123" s="38" t="n">
        <f aca="false">IFERROR(INDEX(账户总表!$E:$E,MATCH($A123,账户总表!$A:$A,0))+U123,0)</f>
        <v>0</v>
      </c>
      <c r="W123" s="37" t="str">
        <f aca="false">IF($A123="","",IFERROR(IF(V123&lt;=INDEX(账户总表!$N:$N,MATCH($A123,账户总表!$A:$A,0)),"是","否"),"否"))</f>
        <v/>
      </c>
      <c r="X123" s="39" t="str">
        <f aca="false">IF($A123="","",MAX(F123*0.98,D123*0.92))</f>
        <v/>
      </c>
      <c r="Y123" s="34"/>
      <c r="Z123" s="37" t="str">
        <f aca="false">IF($A123="","",IFERROR(IF(AND(T123&gt;INDEX(账户总表!$C:$C,MATCH($A123,账户总表!$A:$A,0)),L123="是"),"是","否"),"否"))</f>
        <v/>
      </c>
      <c r="AA123" s="39" t="str">
        <f aca="false">IF($A123="","",IFERROR(IF(Z123="是",MAX(0,T123-INDEX(账户总表!$C:$C,MATCH($A123,账户总表!$A:$A,0)),IF(N123&gt;0,T123/N123-INDEX(账户总表!$B:$B,MATCH($A123,账户总表!$A:$A,0)),0)),0),0))</f>
        <v/>
      </c>
      <c r="AB123" s="39" t="str">
        <f aca="false">IF($A123="","",IF(AND(Z123="是",INDEX(账户总表!$U:$U,MATCH($A123,账户总表!$A:$A,0))="是"),IF(INDEX(账户总表!$L:$L,MATCH($A123,账户总表!$A:$A,0))&gt;=4,AA123*1.5,AA123),0))</f>
        <v/>
      </c>
      <c r="AC123" s="42" t="str">
        <f aca="false">IF($A123="","",IF(AND(L123="是",Q123&gt;=R123,S123&lt;=Q123,S123&gt;=R123,W123="是",X123&gt;0,M123="是",INDEX(账户总表!$M:$M,MATCH($A123,账户总表!$A:$A,0))&lt;=2,INDEX(账户总表!$V:$V,MATCH($A123,账户总表!$A:$A,0))="是",OR(T123&lt;=INDEX(账户总表!$C:$C,MATCH($A123,账户总表!$A:$A,0)),AND(Z123="是",INDEX(账户总表!$U:$U,MATCH($A123,账户总表!$A:$A,0))="是",AB123&gt;0))),"是","否"))</f>
        <v/>
      </c>
      <c r="AD123" s="37" t="str">
        <f aca="false">IF($A123="","",IF(L123&lt;&gt;"是","信号未确认",IF(X123&lt;=0,"止损价未定义",IF(Q123&lt;R123,"100股约束不满足",IF(S123&gt;Q123,"计划股数超单股上限",IF(S123&lt;R123,"计划股数低于最小门槛",IF(W123&lt;&gt;"是","总仓位超限",IF(M123&lt;&gt;"是","追价",IF(INDEX(账户总表!$M:$M,MATCH($A123,账户总表!$A:$A,0))&gt;2,"亏钱效应偏高",IF(INDEX(账户总表!$V:$V,MATCH($A123,账户总表!$A:$A,0))&lt;&gt;"是","账户不允许新开仓",IF(AND(T123&gt;INDEX(账户总表!$C:$C,MATCH($A123,账户总表!$A:$A,0)),INDEX(账户总表!$U:$U,MATCH($A123,账户总表!$A:$A,0))&lt;&gt;"是"),"现金不足且不允许转入",IF(AND(Z123="是",AB123&lt;=0),"转入金额未满足",""))))))))))))</f>
        <v/>
      </c>
      <c r="AE123" s="33"/>
    </row>
    <row r="124" customFormat="false" ht="15" hidden="false" customHeight="true" outlineLevel="0" collapsed="false">
      <c r="A124" s="32"/>
      <c r="B124" s="33"/>
      <c r="C124" s="34"/>
      <c r="D124" s="35"/>
      <c r="E124" s="35"/>
      <c r="F124" s="35"/>
      <c r="G124" s="36"/>
      <c r="H124" s="34"/>
      <c r="I124" s="34"/>
      <c r="J124" s="33"/>
      <c r="K124" s="37" t="str">
        <f aca="false">IF($A124="","",IF(AND(G124&lt;45%,H124&gt;=0.9),"A",IF(AND(G124&lt;60%,H124&gt;0.8),"B","C")))</f>
        <v/>
      </c>
      <c r="L124" s="37" t="str">
        <f aca="false">IF($A124="","",IF(AND(G124&lt;60%,H124&gt;0.8,I124="True"),"是","否"))</f>
        <v/>
      </c>
      <c r="M124" s="37" t="str">
        <f aca="false">IF($A124="","",IF(AND(D124&gt;0,E124&gt;0,D124&lt;=E124*1.02),"是","否"))</f>
        <v/>
      </c>
      <c r="N124" s="38" t="n">
        <f aca="false">IFERROR(INDEX(账户总表!$O:$O,MATCH($A124,账户总表!$A:$A,0)),0)</f>
        <v>0</v>
      </c>
      <c r="O124" s="39" t="n">
        <f aca="false">IFERROR(INDEX(账户总表!$B:$B,MATCH($A124,账户总表!$A:$A,0))*N124,0)</f>
        <v>0</v>
      </c>
      <c r="P124" s="40" t="n">
        <f aca="false">IFERROR(O124/D124,0)</f>
        <v>0</v>
      </c>
      <c r="Q124" s="40" t="n">
        <f aca="false">IFERROR(FLOOR(P124,100),0)</f>
        <v>0</v>
      </c>
      <c r="R124" s="40" t="n">
        <f aca="false">IFERROR(CEILING(800/(100*D124),1)*100,0)</f>
        <v>0</v>
      </c>
      <c r="S124" s="41"/>
      <c r="T124" s="39" t="n">
        <f aca="false">IFERROR(S124*D124,0)</f>
        <v>0</v>
      </c>
      <c r="U124" s="38" t="n">
        <f aca="false">IFERROR(T124/INDEX(账户总表!$B:$B,MATCH($A124,账户总表!$A:$A,0)),0)</f>
        <v>0</v>
      </c>
      <c r="V124" s="38" t="n">
        <f aca="false">IFERROR(INDEX(账户总表!$E:$E,MATCH($A124,账户总表!$A:$A,0))+U124,0)</f>
        <v>0</v>
      </c>
      <c r="W124" s="37" t="str">
        <f aca="false">IF($A124="","",IFERROR(IF(V124&lt;=INDEX(账户总表!$N:$N,MATCH($A124,账户总表!$A:$A,0)),"是","否"),"否"))</f>
        <v/>
      </c>
      <c r="X124" s="39" t="str">
        <f aca="false">IF($A124="","",MAX(F124*0.98,D124*0.92))</f>
        <v/>
      </c>
      <c r="Y124" s="34"/>
      <c r="Z124" s="37" t="str">
        <f aca="false">IF($A124="","",IFERROR(IF(AND(T124&gt;INDEX(账户总表!$C:$C,MATCH($A124,账户总表!$A:$A,0)),L124="是"),"是","否"),"否"))</f>
        <v/>
      </c>
      <c r="AA124" s="39" t="str">
        <f aca="false">IF($A124="","",IFERROR(IF(Z124="是",MAX(0,T124-INDEX(账户总表!$C:$C,MATCH($A124,账户总表!$A:$A,0)),IF(N124&gt;0,T124/N124-INDEX(账户总表!$B:$B,MATCH($A124,账户总表!$A:$A,0)),0)),0),0))</f>
        <v/>
      </c>
      <c r="AB124" s="39" t="str">
        <f aca="false">IF($A124="","",IF(AND(Z124="是",INDEX(账户总表!$U:$U,MATCH($A124,账户总表!$A:$A,0))="是"),IF(INDEX(账户总表!$L:$L,MATCH($A124,账户总表!$A:$A,0))&gt;=4,AA124*1.5,AA124),0))</f>
        <v/>
      </c>
      <c r="AC124" s="42" t="str">
        <f aca="false">IF($A124="","",IF(AND(L124="是",Q124&gt;=R124,S124&lt;=Q124,S124&gt;=R124,W124="是",X124&gt;0,M124="是",INDEX(账户总表!$M:$M,MATCH($A124,账户总表!$A:$A,0))&lt;=2,INDEX(账户总表!$V:$V,MATCH($A124,账户总表!$A:$A,0))="是",OR(T124&lt;=INDEX(账户总表!$C:$C,MATCH($A124,账户总表!$A:$A,0)),AND(Z124="是",INDEX(账户总表!$U:$U,MATCH($A124,账户总表!$A:$A,0))="是",AB124&gt;0))),"是","否"))</f>
        <v/>
      </c>
      <c r="AD124" s="37" t="str">
        <f aca="false">IF($A124="","",IF(L124&lt;&gt;"是","信号未确认",IF(X124&lt;=0,"止损价未定义",IF(Q124&lt;R124,"100股约束不满足",IF(S124&gt;Q124,"计划股数超单股上限",IF(S124&lt;R124,"计划股数低于最小门槛",IF(W124&lt;&gt;"是","总仓位超限",IF(M124&lt;&gt;"是","追价",IF(INDEX(账户总表!$M:$M,MATCH($A124,账户总表!$A:$A,0))&gt;2,"亏钱效应偏高",IF(INDEX(账户总表!$V:$V,MATCH($A124,账户总表!$A:$A,0))&lt;&gt;"是","账户不允许新开仓",IF(AND(T124&gt;INDEX(账户总表!$C:$C,MATCH($A124,账户总表!$A:$A,0)),INDEX(账户总表!$U:$U,MATCH($A124,账户总表!$A:$A,0))&lt;&gt;"是"),"现金不足且不允许转入",IF(AND(Z124="是",AB124&lt;=0),"转入金额未满足",""))))))))))))</f>
        <v/>
      </c>
      <c r="AE124" s="33"/>
    </row>
    <row r="125" customFormat="false" ht="15" hidden="false" customHeight="true" outlineLevel="0" collapsed="false">
      <c r="A125" s="32"/>
      <c r="B125" s="33"/>
      <c r="C125" s="34"/>
      <c r="D125" s="35"/>
      <c r="E125" s="35"/>
      <c r="F125" s="35"/>
      <c r="G125" s="36"/>
      <c r="H125" s="34"/>
      <c r="I125" s="34"/>
      <c r="J125" s="33"/>
      <c r="K125" s="37" t="str">
        <f aca="false">IF($A125="","",IF(AND(G125&lt;45%,H125&gt;=0.9),"A",IF(AND(G125&lt;60%,H125&gt;0.8),"B","C")))</f>
        <v/>
      </c>
      <c r="L125" s="37" t="str">
        <f aca="false">IF($A125="","",IF(AND(G125&lt;60%,H125&gt;0.8,I125="True"),"是","否"))</f>
        <v/>
      </c>
      <c r="M125" s="37" t="str">
        <f aca="false">IF($A125="","",IF(AND(D125&gt;0,E125&gt;0,D125&lt;=E125*1.02),"是","否"))</f>
        <v/>
      </c>
      <c r="N125" s="38" t="n">
        <f aca="false">IFERROR(INDEX(账户总表!$O:$O,MATCH($A125,账户总表!$A:$A,0)),0)</f>
        <v>0</v>
      </c>
      <c r="O125" s="39" t="n">
        <f aca="false">IFERROR(INDEX(账户总表!$B:$B,MATCH($A125,账户总表!$A:$A,0))*N125,0)</f>
        <v>0</v>
      </c>
      <c r="P125" s="40" t="n">
        <f aca="false">IFERROR(O125/D125,0)</f>
        <v>0</v>
      </c>
      <c r="Q125" s="40" t="n">
        <f aca="false">IFERROR(FLOOR(P125,100),0)</f>
        <v>0</v>
      </c>
      <c r="R125" s="40" t="n">
        <f aca="false">IFERROR(CEILING(800/(100*D125),1)*100,0)</f>
        <v>0</v>
      </c>
      <c r="S125" s="41"/>
      <c r="T125" s="39" t="n">
        <f aca="false">IFERROR(S125*D125,0)</f>
        <v>0</v>
      </c>
      <c r="U125" s="38" t="n">
        <f aca="false">IFERROR(T125/INDEX(账户总表!$B:$B,MATCH($A125,账户总表!$A:$A,0)),0)</f>
        <v>0</v>
      </c>
      <c r="V125" s="38" t="n">
        <f aca="false">IFERROR(INDEX(账户总表!$E:$E,MATCH($A125,账户总表!$A:$A,0))+U125,0)</f>
        <v>0</v>
      </c>
      <c r="W125" s="37" t="str">
        <f aca="false">IF($A125="","",IFERROR(IF(V125&lt;=INDEX(账户总表!$N:$N,MATCH($A125,账户总表!$A:$A,0)),"是","否"),"否"))</f>
        <v/>
      </c>
      <c r="X125" s="39" t="str">
        <f aca="false">IF($A125="","",MAX(F125*0.98,D125*0.92))</f>
        <v/>
      </c>
      <c r="Y125" s="34"/>
      <c r="Z125" s="37" t="str">
        <f aca="false">IF($A125="","",IFERROR(IF(AND(T125&gt;INDEX(账户总表!$C:$C,MATCH($A125,账户总表!$A:$A,0)),L125="是"),"是","否"),"否"))</f>
        <v/>
      </c>
      <c r="AA125" s="39" t="str">
        <f aca="false">IF($A125="","",IFERROR(IF(Z125="是",MAX(0,T125-INDEX(账户总表!$C:$C,MATCH($A125,账户总表!$A:$A,0)),IF(N125&gt;0,T125/N125-INDEX(账户总表!$B:$B,MATCH($A125,账户总表!$A:$A,0)),0)),0),0))</f>
        <v/>
      </c>
      <c r="AB125" s="39" t="str">
        <f aca="false">IF($A125="","",IF(AND(Z125="是",INDEX(账户总表!$U:$U,MATCH($A125,账户总表!$A:$A,0))="是"),IF(INDEX(账户总表!$L:$L,MATCH($A125,账户总表!$A:$A,0))&gt;=4,AA125*1.5,AA125),0))</f>
        <v/>
      </c>
      <c r="AC125" s="42" t="str">
        <f aca="false">IF($A125="","",IF(AND(L125="是",Q125&gt;=R125,S125&lt;=Q125,S125&gt;=R125,W125="是",X125&gt;0,M125="是",INDEX(账户总表!$M:$M,MATCH($A125,账户总表!$A:$A,0))&lt;=2,INDEX(账户总表!$V:$V,MATCH($A125,账户总表!$A:$A,0))="是",OR(T125&lt;=INDEX(账户总表!$C:$C,MATCH($A125,账户总表!$A:$A,0)),AND(Z125="是",INDEX(账户总表!$U:$U,MATCH($A125,账户总表!$A:$A,0))="是",AB125&gt;0))),"是","否"))</f>
        <v/>
      </c>
      <c r="AD125" s="37" t="str">
        <f aca="false">IF($A125="","",IF(L125&lt;&gt;"是","信号未确认",IF(X125&lt;=0,"止损价未定义",IF(Q125&lt;R125,"100股约束不满足",IF(S125&gt;Q125,"计划股数超单股上限",IF(S125&lt;R125,"计划股数低于最小门槛",IF(W125&lt;&gt;"是","总仓位超限",IF(M125&lt;&gt;"是","追价",IF(INDEX(账户总表!$M:$M,MATCH($A125,账户总表!$A:$A,0))&gt;2,"亏钱效应偏高",IF(INDEX(账户总表!$V:$V,MATCH($A125,账户总表!$A:$A,0))&lt;&gt;"是","账户不允许新开仓",IF(AND(T125&gt;INDEX(账户总表!$C:$C,MATCH($A125,账户总表!$A:$A,0)),INDEX(账户总表!$U:$U,MATCH($A125,账户总表!$A:$A,0))&lt;&gt;"是"),"现金不足且不允许转入",IF(AND(Z125="是",AB125&lt;=0),"转入金额未满足",""))))))))))))</f>
        <v/>
      </c>
      <c r="AE125" s="33"/>
    </row>
    <row r="126" customFormat="false" ht="15" hidden="false" customHeight="true" outlineLevel="0" collapsed="false">
      <c r="A126" s="32"/>
      <c r="B126" s="33"/>
      <c r="C126" s="34"/>
      <c r="D126" s="35"/>
      <c r="E126" s="35"/>
      <c r="F126" s="35"/>
      <c r="G126" s="36"/>
      <c r="H126" s="34"/>
      <c r="I126" s="34"/>
      <c r="J126" s="33"/>
      <c r="K126" s="37" t="str">
        <f aca="false">IF($A126="","",IF(AND(G126&lt;45%,H126&gt;=0.9),"A",IF(AND(G126&lt;60%,H126&gt;0.8),"B","C")))</f>
        <v/>
      </c>
      <c r="L126" s="37" t="str">
        <f aca="false">IF($A126="","",IF(AND(G126&lt;60%,H126&gt;0.8,I126="True"),"是","否"))</f>
        <v/>
      </c>
      <c r="M126" s="37" t="str">
        <f aca="false">IF($A126="","",IF(AND(D126&gt;0,E126&gt;0,D126&lt;=E126*1.02),"是","否"))</f>
        <v/>
      </c>
      <c r="N126" s="38" t="n">
        <f aca="false">IFERROR(INDEX(账户总表!$O:$O,MATCH($A126,账户总表!$A:$A,0)),0)</f>
        <v>0</v>
      </c>
      <c r="O126" s="39" t="n">
        <f aca="false">IFERROR(INDEX(账户总表!$B:$B,MATCH($A126,账户总表!$A:$A,0))*N126,0)</f>
        <v>0</v>
      </c>
      <c r="P126" s="40" t="n">
        <f aca="false">IFERROR(O126/D126,0)</f>
        <v>0</v>
      </c>
      <c r="Q126" s="40" t="n">
        <f aca="false">IFERROR(FLOOR(P126,100),0)</f>
        <v>0</v>
      </c>
      <c r="R126" s="40" t="n">
        <f aca="false">IFERROR(CEILING(800/(100*D126),1)*100,0)</f>
        <v>0</v>
      </c>
      <c r="S126" s="41"/>
      <c r="T126" s="39" t="n">
        <f aca="false">IFERROR(S126*D126,0)</f>
        <v>0</v>
      </c>
      <c r="U126" s="38" t="n">
        <f aca="false">IFERROR(T126/INDEX(账户总表!$B:$B,MATCH($A126,账户总表!$A:$A,0)),0)</f>
        <v>0</v>
      </c>
      <c r="V126" s="38" t="n">
        <f aca="false">IFERROR(INDEX(账户总表!$E:$E,MATCH($A126,账户总表!$A:$A,0))+U126,0)</f>
        <v>0</v>
      </c>
      <c r="W126" s="37" t="str">
        <f aca="false">IF($A126="","",IFERROR(IF(V126&lt;=INDEX(账户总表!$N:$N,MATCH($A126,账户总表!$A:$A,0)),"是","否"),"否"))</f>
        <v/>
      </c>
      <c r="X126" s="39" t="str">
        <f aca="false">IF($A126="","",MAX(F126*0.98,D126*0.92))</f>
        <v/>
      </c>
      <c r="Y126" s="34"/>
      <c r="Z126" s="37" t="str">
        <f aca="false">IF($A126="","",IFERROR(IF(AND(T126&gt;INDEX(账户总表!$C:$C,MATCH($A126,账户总表!$A:$A,0)),L126="是"),"是","否"),"否"))</f>
        <v/>
      </c>
      <c r="AA126" s="39" t="str">
        <f aca="false">IF($A126="","",IFERROR(IF(Z126="是",MAX(0,T126-INDEX(账户总表!$C:$C,MATCH($A126,账户总表!$A:$A,0)),IF(N126&gt;0,T126/N126-INDEX(账户总表!$B:$B,MATCH($A126,账户总表!$A:$A,0)),0)),0),0))</f>
        <v/>
      </c>
      <c r="AB126" s="39" t="str">
        <f aca="false">IF($A126="","",IF(AND(Z126="是",INDEX(账户总表!$U:$U,MATCH($A126,账户总表!$A:$A,0))="是"),IF(INDEX(账户总表!$L:$L,MATCH($A126,账户总表!$A:$A,0))&gt;=4,AA126*1.5,AA126),0))</f>
        <v/>
      </c>
      <c r="AC126" s="42" t="str">
        <f aca="false">IF($A126="","",IF(AND(L126="是",Q126&gt;=R126,S126&lt;=Q126,S126&gt;=R126,W126="是",X126&gt;0,M126="是",INDEX(账户总表!$M:$M,MATCH($A126,账户总表!$A:$A,0))&lt;=2,INDEX(账户总表!$V:$V,MATCH($A126,账户总表!$A:$A,0))="是",OR(T126&lt;=INDEX(账户总表!$C:$C,MATCH($A126,账户总表!$A:$A,0)),AND(Z126="是",INDEX(账户总表!$U:$U,MATCH($A126,账户总表!$A:$A,0))="是",AB126&gt;0))),"是","否"))</f>
        <v/>
      </c>
      <c r="AD126" s="37" t="str">
        <f aca="false">IF($A126="","",IF(L126&lt;&gt;"是","信号未确认",IF(X126&lt;=0,"止损价未定义",IF(Q126&lt;R126,"100股约束不满足",IF(S126&gt;Q126,"计划股数超单股上限",IF(S126&lt;R126,"计划股数低于最小门槛",IF(W126&lt;&gt;"是","总仓位超限",IF(M126&lt;&gt;"是","追价",IF(INDEX(账户总表!$M:$M,MATCH($A126,账户总表!$A:$A,0))&gt;2,"亏钱效应偏高",IF(INDEX(账户总表!$V:$V,MATCH($A126,账户总表!$A:$A,0))&lt;&gt;"是","账户不允许新开仓",IF(AND(T126&gt;INDEX(账户总表!$C:$C,MATCH($A126,账户总表!$A:$A,0)),INDEX(账户总表!$U:$U,MATCH($A126,账户总表!$A:$A,0))&lt;&gt;"是"),"现金不足且不允许转入",IF(AND(Z126="是",AB126&lt;=0),"转入金额未满足",""))))))))))))</f>
        <v/>
      </c>
      <c r="AE126" s="33"/>
    </row>
    <row r="127" customFormat="false" ht="15" hidden="false" customHeight="true" outlineLevel="0" collapsed="false">
      <c r="A127" s="32"/>
      <c r="B127" s="33"/>
      <c r="C127" s="34"/>
      <c r="D127" s="35"/>
      <c r="E127" s="35"/>
      <c r="F127" s="35"/>
      <c r="G127" s="36"/>
      <c r="H127" s="34"/>
      <c r="I127" s="34"/>
      <c r="J127" s="33"/>
      <c r="K127" s="37" t="str">
        <f aca="false">IF($A127="","",IF(AND(G127&lt;45%,H127&gt;=0.9),"A",IF(AND(G127&lt;60%,H127&gt;0.8),"B","C")))</f>
        <v/>
      </c>
      <c r="L127" s="37" t="str">
        <f aca="false">IF($A127="","",IF(AND(G127&lt;60%,H127&gt;0.8,I127="True"),"是","否"))</f>
        <v/>
      </c>
      <c r="M127" s="37" t="str">
        <f aca="false">IF($A127="","",IF(AND(D127&gt;0,E127&gt;0,D127&lt;=E127*1.02),"是","否"))</f>
        <v/>
      </c>
      <c r="N127" s="38" t="n">
        <f aca="false">IFERROR(INDEX(账户总表!$O:$O,MATCH($A127,账户总表!$A:$A,0)),0)</f>
        <v>0</v>
      </c>
      <c r="O127" s="39" t="n">
        <f aca="false">IFERROR(INDEX(账户总表!$B:$B,MATCH($A127,账户总表!$A:$A,0))*N127,0)</f>
        <v>0</v>
      </c>
      <c r="P127" s="40" t="n">
        <f aca="false">IFERROR(O127/D127,0)</f>
        <v>0</v>
      </c>
      <c r="Q127" s="40" t="n">
        <f aca="false">IFERROR(FLOOR(P127,100),0)</f>
        <v>0</v>
      </c>
      <c r="R127" s="40" t="n">
        <f aca="false">IFERROR(CEILING(800/(100*D127),1)*100,0)</f>
        <v>0</v>
      </c>
      <c r="S127" s="41"/>
      <c r="T127" s="39" t="n">
        <f aca="false">IFERROR(S127*D127,0)</f>
        <v>0</v>
      </c>
      <c r="U127" s="38" t="n">
        <f aca="false">IFERROR(T127/INDEX(账户总表!$B:$B,MATCH($A127,账户总表!$A:$A,0)),0)</f>
        <v>0</v>
      </c>
      <c r="V127" s="38" t="n">
        <f aca="false">IFERROR(INDEX(账户总表!$E:$E,MATCH($A127,账户总表!$A:$A,0))+U127,0)</f>
        <v>0</v>
      </c>
      <c r="W127" s="37" t="str">
        <f aca="false">IF($A127="","",IFERROR(IF(V127&lt;=INDEX(账户总表!$N:$N,MATCH($A127,账户总表!$A:$A,0)),"是","否"),"否"))</f>
        <v/>
      </c>
      <c r="X127" s="39" t="str">
        <f aca="false">IF($A127="","",MAX(F127*0.98,D127*0.92))</f>
        <v/>
      </c>
      <c r="Y127" s="34"/>
      <c r="Z127" s="37" t="str">
        <f aca="false">IF($A127="","",IFERROR(IF(AND(T127&gt;INDEX(账户总表!$C:$C,MATCH($A127,账户总表!$A:$A,0)),L127="是"),"是","否"),"否"))</f>
        <v/>
      </c>
      <c r="AA127" s="39" t="str">
        <f aca="false">IF($A127="","",IFERROR(IF(Z127="是",MAX(0,T127-INDEX(账户总表!$C:$C,MATCH($A127,账户总表!$A:$A,0)),IF(N127&gt;0,T127/N127-INDEX(账户总表!$B:$B,MATCH($A127,账户总表!$A:$A,0)),0)),0),0))</f>
        <v/>
      </c>
      <c r="AB127" s="39" t="str">
        <f aca="false">IF($A127="","",IF(AND(Z127="是",INDEX(账户总表!$U:$U,MATCH($A127,账户总表!$A:$A,0))="是"),IF(INDEX(账户总表!$L:$L,MATCH($A127,账户总表!$A:$A,0))&gt;=4,AA127*1.5,AA127),0))</f>
        <v/>
      </c>
      <c r="AC127" s="42" t="str">
        <f aca="false">IF($A127="","",IF(AND(L127="是",Q127&gt;=R127,S127&lt;=Q127,S127&gt;=R127,W127="是",X127&gt;0,M127="是",INDEX(账户总表!$M:$M,MATCH($A127,账户总表!$A:$A,0))&lt;=2,INDEX(账户总表!$V:$V,MATCH($A127,账户总表!$A:$A,0))="是",OR(T127&lt;=INDEX(账户总表!$C:$C,MATCH($A127,账户总表!$A:$A,0)),AND(Z127="是",INDEX(账户总表!$U:$U,MATCH($A127,账户总表!$A:$A,0))="是",AB127&gt;0))),"是","否"))</f>
        <v/>
      </c>
      <c r="AD127" s="37" t="str">
        <f aca="false">IF($A127="","",IF(L127&lt;&gt;"是","信号未确认",IF(X127&lt;=0,"止损价未定义",IF(Q127&lt;R127,"100股约束不满足",IF(S127&gt;Q127,"计划股数超单股上限",IF(S127&lt;R127,"计划股数低于最小门槛",IF(W127&lt;&gt;"是","总仓位超限",IF(M127&lt;&gt;"是","追价",IF(INDEX(账户总表!$M:$M,MATCH($A127,账户总表!$A:$A,0))&gt;2,"亏钱效应偏高",IF(INDEX(账户总表!$V:$V,MATCH($A127,账户总表!$A:$A,0))&lt;&gt;"是","账户不允许新开仓",IF(AND(T127&gt;INDEX(账户总表!$C:$C,MATCH($A127,账户总表!$A:$A,0)),INDEX(账户总表!$U:$U,MATCH($A127,账户总表!$A:$A,0))&lt;&gt;"是"),"现金不足且不允许转入",IF(AND(Z127="是",AB127&lt;=0),"转入金额未满足",""))))))))))))</f>
        <v/>
      </c>
      <c r="AE127" s="33"/>
    </row>
    <row r="128" customFormat="false" ht="15" hidden="false" customHeight="true" outlineLevel="0" collapsed="false">
      <c r="A128" s="32"/>
      <c r="B128" s="33"/>
      <c r="C128" s="34"/>
      <c r="D128" s="35"/>
      <c r="E128" s="35"/>
      <c r="F128" s="35"/>
      <c r="G128" s="36"/>
      <c r="H128" s="34"/>
      <c r="I128" s="34"/>
      <c r="J128" s="33"/>
      <c r="K128" s="37" t="str">
        <f aca="false">IF($A128="","",IF(AND(G128&lt;45%,H128&gt;=0.9),"A",IF(AND(G128&lt;60%,H128&gt;0.8),"B","C")))</f>
        <v/>
      </c>
      <c r="L128" s="37" t="str">
        <f aca="false">IF($A128="","",IF(AND(G128&lt;60%,H128&gt;0.8,I128="True"),"是","否"))</f>
        <v/>
      </c>
      <c r="M128" s="37" t="str">
        <f aca="false">IF($A128="","",IF(AND(D128&gt;0,E128&gt;0,D128&lt;=E128*1.02),"是","否"))</f>
        <v/>
      </c>
      <c r="N128" s="38" t="n">
        <f aca="false">IFERROR(INDEX(账户总表!$O:$O,MATCH($A128,账户总表!$A:$A,0)),0)</f>
        <v>0</v>
      </c>
      <c r="O128" s="39" t="n">
        <f aca="false">IFERROR(INDEX(账户总表!$B:$B,MATCH($A128,账户总表!$A:$A,0))*N128,0)</f>
        <v>0</v>
      </c>
      <c r="P128" s="40" t="n">
        <f aca="false">IFERROR(O128/D128,0)</f>
        <v>0</v>
      </c>
      <c r="Q128" s="40" t="n">
        <f aca="false">IFERROR(FLOOR(P128,100),0)</f>
        <v>0</v>
      </c>
      <c r="R128" s="40" t="n">
        <f aca="false">IFERROR(CEILING(800/(100*D128),1)*100,0)</f>
        <v>0</v>
      </c>
      <c r="S128" s="41"/>
      <c r="T128" s="39" t="n">
        <f aca="false">IFERROR(S128*D128,0)</f>
        <v>0</v>
      </c>
      <c r="U128" s="38" t="n">
        <f aca="false">IFERROR(T128/INDEX(账户总表!$B:$B,MATCH($A128,账户总表!$A:$A,0)),0)</f>
        <v>0</v>
      </c>
      <c r="V128" s="38" t="n">
        <f aca="false">IFERROR(INDEX(账户总表!$E:$E,MATCH($A128,账户总表!$A:$A,0))+U128,0)</f>
        <v>0</v>
      </c>
      <c r="W128" s="37" t="str">
        <f aca="false">IF($A128="","",IFERROR(IF(V128&lt;=INDEX(账户总表!$N:$N,MATCH($A128,账户总表!$A:$A,0)),"是","否"),"否"))</f>
        <v/>
      </c>
      <c r="X128" s="39" t="str">
        <f aca="false">IF($A128="","",MAX(F128*0.98,D128*0.92))</f>
        <v/>
      </c>
      <c r="Y128" s="34"/>
      <c r="Z128" s="37" t="str">
        <f aca="false">IF($A128="","",IFERROR(IF(AND(T128&gt;INDEX(账户总表!$C:$C,MATCH($A128,账户总表!$A:$A,0)),L128="是"),"是","否"),"否"))</f>
        <v/>
      </c>
      <c r="AA128" s="39" t="str">
        <f aca="false">IF($A128="","",IFERROR(IF(Z128="是",MAX(0,T128-INDEX(账户总表!$C:$C,MATCH($A128,账户总表!$A:$A,0)),IF(N128&gt;0,T128/N128-INDEX(账户总表!$B:$B,MATCH($A128,账户总表!$A:$A,0)),0)),0),0))</f>
        <v/>
      </c>
      <c r="AB128" s="39" t="str">
        <f aca="false">IF($A128="","",IF(AND(Z128="是",INDEX(账户总表!$U:$U,MATCH($A128,账户总表!$A:$A,0))="是"),IF(INDEX(账户总表!$L:$L,MATCH($A128,账户总表!$A:$A,0))&gt;=4,AA128*1.5,AA128),0))</f>
        <v/>
      </c>
      <c r="AC128" s="42" t="str">
        <f aca="false">IF($A128="","",IF(AND(L128="是",Q128&gt;=R128,S128&lt;=Q128,S128&gt;=R128,W128="是",X128&gt;0,M128="是",INDEX(账户总表!$M:$M,MATCH($A128,账户总表!$A:$A,0))&lt;=2,INDEX(账户总表!$V:$V,MATCH($A128,账户总表!$A:$A,0))="是",OR(T128&lt;=INDEX(账户总表!$C:$C,MATCH($A128,账户总表!$A:$A,0)),AND(Z128="是",INDEX(账户总表!$U:$U,MATCH($A128,账户总表!$A:$A,0))="是",AB128&gt;0))),"是","否"))</f>
        <v/>
      </c>
      <c r="AD128" s="37" t="str">
        <f aca="false">IF($A128="","",IF(L128&lt;&gt;"是","信号未确认",IF(X128&lt;=0,"止损价未定义",IF(Q128&lt;R128,"100股约束不满足",IF(S128&gt;Q128,"计划股数超单股上限",IF(S128&lt;R128,"计划股数低于最小门槛",IF(W128&lt;&gt;"是","总仓位超限",IF(M128&lt;&gt;"是","追价",IF(INDEX(账户总表!$M:$M,MATCH($A128,账户总表!$A:$A,0))&gt;2,"亏钱效应偏高",IF(INDEX(账户总表!$V:$V,MATCH($A128,账户总表!$A:$A,0))&lt;&gt;"是","账户不允许新开仓",IF(AND(T128&gt;INDEX(账户总表!$C:$C,MATCH($A128,账户总表!$A:$A,0)),INDEX(账户总表!$U:$U,MATCH($A128,账户总表!$A:$A,0))&lt;&gt;"是"),"现金不足且不允许转入",IF(AND(Z128="是",AB128&lt;=0),"转入金额未满足",""))))))))))))</f>
        <v/>
      </c>
      <c r="AE128" s="33"/>
    </row>
    <row r="129" customFormat="false" ht="15" hidden="false" customHeight="true" outlineLevel="0" collapsed="false">
      <c r="A129" s="32"/>
      <c r="B129" s="33"/>
      <c r="C129" s="34"/>
      <c r="D129" s="35"/>
      <c r="E129" s="35"/>
      <c r="F129" s="35"/>
      <c r="G129" s="36"/>
      <c r="H129" s="34"/>
      <c r="I129" s="34"/>
      <c r="J129" s="33"/>
      <c r="K129" s="37" t="str">
        <f aca="false">IF($A129="","",IF(AND(G129&lt;45%,H129&gt;=0.9),"A",IF(AND(G129&lt;60%,H129&gt;0.8),"B","C")))</f>
        <v/>
      </c>
      <c r="L129" s="37" t="str">
        <f aca="false">IF($A129="","",IF(AND(G129&lt;60%,H129&gt;0.8,I129="True"),"是","否"))</f>
        <v/>
      </c>
      <c r="M129" s="37" t="str">
        <f aca="false">IF($A129="","",IF(AND(D129&gt;0,E129&gt;0,D129&lt;=E129*1.02),"是","否"))</f>
        <v/>
      </c>
      <c r="N129" s="38" t="n">
        <f aca="false">IFERROR(INDEX(账户总表!$O:$O,MATCH($A129,账户总表!$A:$A,0)),0)</f>
        <v>0</v>
      </c>
      <c r="O129" s="39" t="n">
        <f aca="false">IFERROR(INDEX(账户总表!$B:$B,MATCH($A129,账户总表!$A:$A,0))*N129,0)</f>
        <v>0</v>
      </c>
      <c r="P129" s="40" t="n">
        <f aca="false">IFERROR(O129/D129,0)</f>
        <v>0</v>
      </c>
      <c r="Q129" s="40" t="n">
        <f aca="false">IFERROR(FLOOR(P129,100),0)</f>
        <v>0</v>
      </c>
      <c r="R129" s="40" t="n">
        <f aca="false">IFERROR(CEILING(800/(100*D129),1)*100,0)</f>
        <v>0</v>
      </c>
      <c r="S129" s="41"/>
      <c r="T129" s="39" t="n">
        <f aca="false">IFERROR(S129*D129,0)</f>
        <v>0</v>
      </c>
      <c r="U129" s="38" t="n">
        <f aca="false">IFERROR(T129/INDEX(账户总表!$B:$B,MATCH($A129,账户总表!$A:$A,0)),0)</f>
        <v>0</v>
      </c>
      <c r="V129" s="38" t="n">
        <f aca="false">IFERROR(INDEX(账户总表!$E:$E,MATCH($A129,账户总表!$A:$A,0))+U129,0)</f>
        <v>0</v>
      </c>
      <c r="W129" s="37" t="str">
        <f aca="false">IF($A129="","",IFERROR(IF(V129&lt;=INDEX(账户总表!$N:$N,MATCH($A129,账户总表!$A:$A,0)),"是","否"),"否"))</f>
        <v/>
      </c>
      <c r="X129" s="39" t="str">
        <f aca="false">IF($A129="","",MAX(F129*0.98,D129*0.92))</f>
        <v/>
      </c>
      <c r="Y129" s="34"/>
      <c r="Z129" s="37" t="str">
        <f aca="false">IF($A129="","",IFERROR(IF(AND(T129&gt;INDEX(账户总表!$C:$C,MATCH($A129,账户总表!$A:$A,0)),L129="是"),"是","否"),"否"))</f>
        <v/>
      </c>
      <c r="AA129" s="39" t="str">
        <f aca="false">IF($A129="","",IFERROR(IF(Z129="是",MAX(0,T129-INDEX(账户总表!$C:$C,MATCH($A129,账户总表!$A:$A,0)),IF(N129&gt;0,T129/N129-INDEX(账户总表!$B:$B,MATCH($A129,账户总表!$A:$A,0)),0)),0),0))</f>
        <v/>
      </c>
      <c r="AB129" s="39" t="str">
        <f aca="false">IF($A129="","",IF(AND(Z129="是",INDEX(账户总表!$U:$U,MATCH($A129,账户总表!$A:$A,0))="是"),IF(INDEX(账户总表!$L:$L,MATCH($A129,账户总表!$A:$A,0))&gt;=4,AA129*1.5,AA129),0))</f>
        <v/>
      </c>
      <c r="AC129" s="42" t="str">
        <f aca="false">IF($A129="","",IF(AND(L129="是",Q129&gt;=R129,S129&lt;=Q129,S129&gt;=R129,W129="是",X129&gt;0,M129="是",INDEX(账户总表!$M:$M,MATCH($A129,账户总表!$A:$A,0))&lt;=2,INDEX(账户总表!$V:$V,MATCH($A129,账户总表!$A:$A,0))="是",OR(T129&lt;=INDEX(账户总表!$C:$C,MATCH($A129,账户总表!$A:$A,0)),AND(Z129="是",INDEX(账户总表!$U:$U,MATCH($A129,账户总表!$A:$A,0))="是",AB129&gt;0))),"是","否"))</f>
        <v/>
      </c>
      <c r="AD129" s="37" t="str">
        <f aca="false">IF($A129="","",IF(L129&lt;&gt;"是","信号未确认",IF(X129&lt;=0,"止损价未定义",IF(Q129&lt;R129,"100股约束不满足",IF(S129&gt;Q129,"计划股数超单股上限",IF(S129&lt;R129,"计划股数低于最小门槛",IF(W129&lt;&gt;"是","总仓位超限",IF(M129&lt;&gt;"是","追价",IF(INDEX(账户总表!$M:$M,MATCH($A129,账户总表!$A:$A,0))&gt;2,"亏钱效应偏高",IF(INDEX(账户总表!$V:$V,MATCH($A129,账户总表!$A:$A,0))&lt;&gt;"是","账户不允许新开仓",IF(AND(T129&gt;INDEX(账户总表!$C:$C,MATCH($A129,账户总表!$A:$A,0)),INDEX(账户总表!$U:$U,MATCH($A129,账户总表!$A:$A,0))&lt;&gt;"是"),"现金不足且不允许转入",IF(AND(Z129="是",AB129&lt;=0),"转入金额未满足",""))))))))))))</f>
        <v/>
      </c>
      <c r="AE129" s="33"/>
    </row>
    <row r="130" customFormat="false" ht="15" hidden="false" customHeight="true" outlineLevel="0" collapsed="false">
      <c r="A130" s="32"/>
      <c r="B130" s="33"/>
      <c r="C130" s="34"/>
      <c r="D130" s="35"/>
      <c r="E130" s="35"/>
      <c r="F130" s="35"/>
      <c r="G130" s="36"/>
      <c r="H130" s="34"/>
      <c r="I130" s="34"/>
      <c r="J130" s="33"/>
      <c r="K130" s="37" t="str">
        <f aca="false">IF($A130="","",IF(AND(G130&lt;45%,H130&gt;=0.9),"A",IF(AND(G130&lt;60%,H130&gt;0.8),"B","C")))</f>
        <v/>
      </c>
      <c r="L130" s="37" t="str">
        <f aca="false">IF($A130="","",IF(AND(G130&lt;60%,H130&gt;0.8,I130="True"),"是","否"))</f>
        <v/>
      </c>
      <c r="M130" s="37" t="str">
        <f aca="false">IF($A130="","",IF(AND(D130&gt;0,E130&gt;0,D130&lt;=E130*1.02),"是","否"))</f>
        <v/>
      </c>
      <c r="N130" s="38" t="n">
        <f aca="false">IFERROR(INDEX(账户总表!$O:$O,MATCH($A130,账户总表!$A:$A,0)),0)</f>
        <v>0</v>
      </c>
      <c r="O130" s="39" t="n">
        <f aca="false">IFERROR(INDEX(账户总表!$B:$B,MATCH($A130,账户总表!$A:$A,0))*N130,0)</f>
        <v>0</v>
      </c>
      <c r="P130" s="40" t="n">
        <f aca="false">IFERROR(O130/D130,0)</f>
        <v>0</v>
      </c>
      <c r="Q130" s="40" t="n">
        <f aca="false">IFERROR(FLOOR(P130,100),0)</f>
        <v>0</v>
      </c>
      <c r="R130" s="40" t="n">
        <f aca="false">IFERROR(CEILING(800/(100*D130),1)*100,0)</f>
        <v>0</v>
      </c>
      <c r="S130" s="41"/>
      <c r="T130" s="39" t="n">
        <f aca="false">IFERROR(S130*D130,0)</f>
        <v>0</v>
      </c>
      <c r="U130" s="38" t="n">
        <f aca="false">IFERROR(T130/INDEX(账户总表!$B:$B,MATCH($A130,账户总表!$A:$A,0)),0)</f>
        <v>0</v>
      </c>
      <c r="V130" s="38" t="n">
        <f aca="false">IFERROR(INDEX(账户总表!$E:$E,MATCH($A130,账户总表!$A:$A,0))+U130,0)</f>
        <v>0</v>
      </c>
      <c r="W130" s="37" t="str">
        <f aca="false">IF($A130="","",IFERROR(IF(V130&lt;=INDEX(账户总表!$N:$N,MATCH($A130,账户总表!$A:$A,0)),"是","否"),"否"))</f>
        <v/>
      </c>
      <c r="X130" s="39" t="str">
        <f aca="false">IF($A130="","",MAX(F130*0.98,D130*0.92))</f>
        <v/>
      </c>
      <c r="Y130" s="34"/>
      <c r="Z130" s="37" t="str">
        <f aca="false">IF($A130="","",IFERROR(IF(AND(T130&gt;INDEX(账户总表!$C:$C,MATCH($A130,账户总表!$A:$A,0)),L130="是"),"是","否"),"否"))</f>
        <v/>
      </c>
      <c r="AA130" s="39" t="str">
        <f aca="false">IF($A130="","",IFERROR(IF(Z130="是",MAX(0,T130-INDEX(账户总表!$C:$C,MATCH($A130,账户总表!$A:$A,0)),IF(N130&gt;0,T130/N130-INDEX(账户总表!$B:$B,MATCH($A130,账户总表!$A:$A,0)),0)),0),0))</f>
        <v/>
      </c>
      <c r="AB130" s="39" t="str">
        <f aca="false">IF($A130="","",IF(AND(Z130="是",INDEX(账户总表!$U:$U,MATCH($A130,账户总表!$A:$A,0))="是"),IF(INDEX(账户总表!$L:$L,MATCH($A130,账户总表!$A:$A,0))&gt;=4,AA130*1.5,AA130),0))</f>
        <v/>
      </c>
      <c r="AC130" s="42" t="str">
        <f aca="false">IF($A130="","",IF(AND(L130="是",Q130&gt;=R130,S130&lt;=Q130,S130&gt;=R130,W130="是",X130&gt;0,M130="是",INDEX(账户总表!$M:$M,MATCH($A130,账户总表!$A:$A,0))&lt;=2,INDEX(账户总表!$V:$V,MATCH($A130,账户总表!$A:$A,0))="是",OR(T130&lt;=INDEX(账户总表!$C:$C,MATCH($A130,账户总表!$A:$A,0)),AND(Z130="是",INDEX(账户总表!$U:$U,MATCH($A130,账户总表!$A:$A,0))="是",AB130&gt;0))),"是","否"))</f>
        <v/>
      </c>
      <c r="AD130" s="37" t="str">
        <f aca="false">IF($A130="","",IF(L130&lt;&gt;"是","信号未确认",IF(X130&lt;=0,"止损价未定义",IF(Q130&lt;R130,"100股约束不满足",IF(S130&gt;Q130,"计划股数超单股上限",IF(S130&lt;R130,"计划股数低于最小门槛",IF(W130&lt;&gt;"是","总仓位超限",IF(M130&lt;&gt;"是","追价",IF(INDEX(账户总表!$M:$M,MATCH($A130,账户总表!$A:$A,0))&gt;2,"亏钱效应偏高",IF(INDEX(账户总表!$V:$V,MATCH($A130,账户总表!$A:$A,0))&lt;&gt;"是","账户不允许新开仓",IF(AND(T130&gt;INDEX(账户总表!$C:$C,MATCH($A130,账户总表!$A:$A,0)),INDEX(账户总表!$U:$U,MATCH($A130,账户总表!$A:$A,0))&lt;&gt;"是"),"现金不足且不允许转入",IF(AND(Z130="是",AB130&lt;=0),"转入金额未满足",""))))))))))))</f>
        <v/>
      </c>
      <c r="AE130" s="33"/>
    </row>
    <row r="131" customFormat="false" ht="15" hidden="false" customHeight="true" outlineLevel="0" collapsed="false">
      <c r="A131" s="32"/>
      <c r="B131" s="33"/>
      <c r="C131" s="34"/>
      <c r="D131" s="35"/>
      <c r="E131" s="35"/>
      <c r="F131" s="35"/>
      <c r="G131" s="36"/>
      <c r="H131" s="34"/>
      <c r="I131" s="34"/>
      <c r="J131" s="33"/>
      <c r="K131" s="37" t="str">
        <f aca="false">IF($A131="","",IF(AND(G131&lt;45%,H131&gt;=0.9),"A",IF(AND(G131&lt;60%,H131&gt;0.8),"B","C")))</f>
        <v/>
      </c>
      <c r="L131" s="37" t="str">
        <f aca="false">IF($A131="","",IF(AND(G131&lt;60%,H131&gt;0.8,I131="True"),"是","否"))</f>
        <v/>
      </c>
      <c r="M131" s="37" t="str">
        <f aca="false">IF($A131="","",IF(AND(D131&gt;0,E131&gt;0,D131&lt;=E131*1.02),"是","否"))</f>
        <v/>
      </c>
      <c r="N131" s="38" t="n">
        <f aca="false">IFERROR(INDEX(账户总表!$O:$O,MATCH($A131,账户总表!$A:$A,0)),0)</f>
        <v>0</v>
      </c>
      <c r="O131" s="39" t="n">
        <f aca="false">IFERROR(INDEX(账户总表!$B:$B,MATCH($A131,账户总表!$A:$A,0))*N131,0)</f>
        <v>0</v>
      </c>
      <c r="P131" s="40" t="n">
        <f aca="false">IFERROR(O131/D131,0)</f>
        <v>0</v>
      </c>
      <c r="Q131" s="40" t="n">
        <f aca="false">IFERROR(FLOOR(P131,100),0)</f>
        <v>0</v>
      </c>
      <c r="R131" s="40" t="n">
        <f aca="false">IFERROR(CEILING(800/(100*D131),1)*100,0)</f>
        <v>0</v>
      </c>
      <c r="S131" s="41"/>
      <c r="T131" s="39" t="n">
        <f aca="false">IFERROR(S131*D131,0)</f>
        <v>0</v>
      </c>
      <c r="U131" s="38" t="n">
        <f aca="false">IFERROR(T131/INDEX(账户总表!$B:$B,MATCH($A131,账户总表!$A:$A,0)),0)</f>
        <v>0</v>
      </c>
      <c r="V131" s="38" t="n">
        <f aca="false">IFERROR(INDEX(账户总表!$E:$E,MATCH($A131,账户总表!$A:$A,0))+U131,0)</f>
        <v>0</v>
      </c>
      <c r="W131" s="37" t="str">
        <f aca="false">IF($A131="","",IFERROR(IF(V131&lt;=INDEX(账户总表!$N:$N,MATCH($A131,账户总表!$A:$A,0)),"是","否"),"否"))</f>
        <v/>
      </c>
      <c r="X131" s="39" t="str">
        <f aca="false">IF($A131="","",MAX(F131*0.98,D131*0.92))</f>
        <v/>
      </c>
      <c r="Y131" s="34"/>
      <c r="Z131" s="37" t="str">
        <f aca="false">IF($A131="","",IFERROR(IF(AND(T131&gt;INDEX(账户总表!$C:$C,MATCH($A131,账户总表!$A:$A,0)),L131="是"),"是","否"),"否"))</f>
        <v/>
      </c>
      <c r="AA131" s="39" t="str">
        <f aca="false">IF($A131="","",IFERROR(IF(Z131="是",MAX(0,T131-INDEX(账户总表!$C:$C,MATCH($A131,账户总表!$A:$A,0)),IF(N131&gt;0,T131/N131-INDEX(账户总表!$B:$B,MATCH($A131,账户总表!$A:$A,0)),0)),0),0))</f>
        <v/>
      </c>
      <c r="AB131" s="39" t="str">
        <f aca="false">IF($A131="","",IF(AND(Z131="是",INDEX(账户总表!$U:$U,MATCH($A131,账户总表!$A:$A,0))="是"),IF(INDEX(账户总表!$L:$L,MATCH($A131,账户总表!$A:$A,0))&gt;=4,AA131*1.5,AA131),0))</f>
        <v/>
      </c>
      <c r="AC131" s="42" t="str">
        <f aca="false">IF($A131="","",IF(AND(L131="是",Q131&gt;=R131,S131&lt;=Q131,S131&gt;=R131,W131="是",X131&gt;0,M131="是",INDEX(账户总表!$M:$M,MATCH($A131,账户总表!$A:$A,0))&lt;=2,INDEX(账户总表!$V:$V,MATCH($A131,账户总表!$A:$A,0))="是",OR(T131&lt;=INDEX(账户总表!$C:$C,MATCH($A131,账户总表!$A:$A,0)),AND(Z131="是",INDEX(账户总表!$U:$U,MATCH($A131,账户总表!$A:$A,0))="是",AB131&gt;0))),"是","否"))</f>
        <v/>
      </c>
      <c r="AD131" s="37" t="str">
        <f aca="false">IF($A131="","",IF(L131&lt;&gt;"是","信号未确认",IF(X131&lt;=0,"止损价未定义",IF(Q131&lt;R131,"100股约束不满足",IF(S131&gt;Q131,"计划股数超单股上限",IF(S131&lt;R131,"计划股数低于最小门槛",IF(W131&lt;&gt;"是","总仓位超限",IF(M131&lt;&gt;"是","追价",IF(INDEX(账户总表!$M:$M,MATCH($A131,账户总表!$A:$A,0))&gt;2,"亏钱效应偏高",IF(INDEX(账户总表!$V:$V,MATCH($A131,账户总表!$A:$A,0))&lt;&gt;"是","账户不允许新开仓",IF(AND(T131&gt;INDEX(账户总表!$C:$C,MATCH($A131,账户总表!$A:$A,0)),INDEX(账户总表!$U:$U,MATCH($A131,账户总表!$A:$A,0))&lt;&gt;"是"),"现金不足且不允许转入",IF(AND(Z131="是",AB131&lt;=0),"转入金额未满足",""))))))))))))</f>
        <v/>
      </c>
      <c r="AE131" s="33"/>
    </row>
    <row r="132" customFormat="false" ht="15" hidden="false" customHeight="true" outlineLevel="0" collapsed="false">
      <c r="A132" s="32"/>
      <c r="B132" s="33"/>
      <c r="C132" s="34"/>
      <c r="D132" s="35"/>
      <c r="E132" s="35"/>
      <c r="F132" s="35"/>
      <c r="G132" s="36"/>
      <c r="H132" s="34"/>
      <c r="I132" s="34"/>
      <c r="J132" s="33"/>
      <c r="K132" s="37" t="str">
        <f aca="false">IF($A132="","",IF(AND(G132&lt;45%,H132&gt;=0.9),"A",IF(AND(G132&lt;60%,H132&gt;0.8),"B","C")))</f>
        <v/>
      </c>
      <c r="L132" s="37" t="str">
        <f aca="false">IF($A132="","",IF(AND(G132&lt;60%,H132&gt;0.8,I132="True"),"是","否"))</f>
        <v/>
      </c>
      <c r="M132" s="37" t="str">
        <f aca="false">IF($A132="","",IF(AND(D132&gt;0,E132&gt;0,D132&lt;=E132*1.02),"是","否"))</f>
        <v/>
      </c>
      <c r="N132" s="38" t="n">
        <f aca="false">IFERROR(INDEX(账户总表!$O:$O,MATCH($A132,账户总表!$A:$A,0)),0)</f>
        <v>0</v>
      </c>
      <c r="O132" s="39" t="n">
        <f aca="false">IFERROR(INDEX(账户总表!$B:$B,MATCH($A132,账户总表!$A:$A,0))*N132,0)</f>
        <v>0</v>
      </c>
      <c r="P132" s="40" t="n">
        <f aca="false">IFERROR(O132/D132,0)</f>
        <v>0</v>
      </c>
      <c r="Q132" s="40" t="n">
        <f aca="false">IFERROR(FLOOR(P132,100),0)</f>
        <v>0</v>
      </c>
      <c r="R132" s="40" t="n">
        <f aca="false">IFERROR(CEILING(800/(100*D132),1)*100,0)</f>
        <v>0</v>
      </c>
      <c r="S132" s="41"/>
      <c r="T132" s="39" t="n">
        <f aca="false">IFERROR(S132*D132,0)</f>
        <v>0</v>
      </c>
      <c r="U132" s="38" t="n">
        <f aca="false">IFERROR(T132/INDEX(账户总表!$B:$B,MATCH($A132,账户总表!$A:$A,0)),0)</f>
        <v>0</v>
      </c>
      <c r="V132" s="38" t="n">
        <f aca="false">IFERROR(INDEX(账户总表!$E:$E,MATCH($A132,账户总表!$A:$A,0))+U132,0)</f>
        <v>0</v>
      </c>
      <c r="W132" s="37" t="str">
        <f aca="false">IF($A132="","",IFERROR(IF(V132&lt;=INDEX(账户总表!$N:$N,MATCH($A132,账户总表!$A:$A,0)),"是","否"),"否"))</f>
        <v/>
      </c>
      <c r="X132" s="39" t="str">
        <f aca="false">IF($A132="","",MAX(F132*0.98,D132*0.92))</f>
        <v/>
      </c>
      <c r="Y132" s="34"/>
      <c r="Z132" s="37" t="str">
        <f aca="false">IF($A132="","",IFERROR(IF(AND(T132&gt;INDEX(账户总表!$C:$C,MATCH($A132,账户总表!$A:$A,0)),L132="是"),"是","否"),"否"))</f>
        <v/>
      </c>
      <c r="AA132" s="39" t="str">
        <f aca="false">IF($A132="","",IFERROR(IF(Z132="是",MAX(0,T132-INDEX(账户总表!$C:$C,MATCH($A132,账户总表!$A:$A,0)),IF(N132&gt;0,T132/N132-INDEX(账户总表!$B:$B,MATCH($A132,账户总表!$A:$A,0)),0)),0),0))</f>
        <v/>
      </c>
      <c r="AB132" s="39" t="str">
        <f aca="false">IF($A132="","",IF(AND(Z132="是",INDEX(账户总表!$U:$U,MATCH($A132,账户总表!$A:$A,0))="是"),IF(INDEX(账户总表!$L:$L,MATCH($A132,账户总表!$A:$A,0))&gt;=4,AA132*1.5,AA132),0))</f>
        <v/>
      </c>
      <c r="AC132" s="42" t="str">
        <f aca="false">IF($A132="","",IF(AND(L132="是",Q132&gt;=R132,S132&lt;=Q132,S132&gt;=R132,W132="是",X132&gt;0,M132="是",INDEX(账户总表!$M:$M,MATCH($A132,账户总表!$A:$A,0))&lt;=2,INDEX(账户总表!$V:$V,MATCH($A132,账户总表!$A:$A,0))="是",OR(T132&lt;=INDEX(账户总表!$C:$C,MATCH($A132,账户总表!$A:$A,0)),AND(Z132="是",INDEX(账户总表!$U:$U,MATCH($A132,账户总表!$A:$A,0))="是",AB132&gt;0))),"是","否"))</f>
        <v/>
      </c>
      <c r="AD132" s="37" t="str">
        <f aca="false">IF($A132="","",IF(L132&lt;&gt;"是","信号未确认",IF(X132&lt;=0,"止损价未定义",IF(Q132&lt;R132,"100股约束不满足",IF(S132&gt;Q132,"计划股数超单股上限",IF(S132&lt;R132,"计划股数低于最小门槛",IF(W132&lt;&gt;"是","总仓位超限",IF(M132&lt;&gt;"是","追价",IF(INDEX(账户总表!$M:$M,MATCH($A132,账户总表!$A:$A,0))&gt;2,"亏钱效应偏高",IF(INDEX(账户总表!$V:$V,MATCH($A132,账户总表!$A:$A,0))&lt;&gt;"是","账户不允许新开仓",IF(AND(T132&gt;INDEX(账户总表!$C:$C,MATCH($A132,账户总表!$A:$A,0)),INDEX(账户总表!$U:$U,MATCH($A132,账户总表!$A:$A,0))&lt;&gt;"是"),"现金不足且不允许转入",IF(AND(Z132="是",AB132&lt;=0),"转入金额未满足",""))))))))))))</f>
        <v/>
      </c>
      <c r="AE132" s="33"/>
    </row>
    <row r="133" customFormat="false" ht="15" hidden="false" customHeight="true" outlineLevel="0" collapsed="false">
      <c r="A133" s="32"/>
      <c r="B133" s="33"/>
      <c r="C133" s="34"/>
      <c r="D133" s="35"/>
      <c r="E133" s="35"/>
      <c r="F133" s="35"/>
      <c r="G133" s="36"/>
      <c r="H133" s="34"/>
      <c r="I133" s="34"/>
      <c r="J133" s="33"/>
      <c r="K133" s="37" t="str">
        <f aca="false">IF($A133="","",IF(AND(G133&lt;45%,H133&gt;=0.9),"A",IF(AND(G133&lt;60%,H133&gt;0.8),"B","C")))</f>
        <v/>
      </c>
      <c r="L133" s="37" t="str">
        <f aca="false">IF($A133="","",IF(AND(G133&lt;60%,H133&gt;0.8,I133="True"),"是","否"))</f>
        <v/>
      </c>
      <c r="M133" s="37" t="str">
        <f aca="false">IF($A133="","",IF(AND(D133&gt;0,E133&gt;0,D133&lt;=E133*1.02),"是","否"))</f>
        <v/>
      </c>
      <c r="N133" s="38" t="n">
        <f aca="false">IFERROR(INDEX(账户总表!$O:$O,MATCH($A133,账户总表!$A:$A,0)),0)</f>
        <v>0</v>
      </c>
      <c r="O133" s="39" t="n">
        <f aca="false">IFERROR(INDEX(账户总表!$B:$B,MATCH($A133,账户总表!$A:$A,0))*N133,0)</f>
        <v>0</v>
      </c>
      <c r="P133" s="40" t="n">
        <f aca="false">IFERROR(O133/D133,0)</f>
        <v>0</v>
      </c>
      <c r="Q133" s="40" t="n">
        <f aca="false">IFERROR(FLOOR(P133,100),0)</f>
        <v>0</v>
      </c>
      <c r="R133" s="40" t="n">
        <f aca="false">IFERROR(CEILING(800/(100*D133),1)*100,0)</f>
        <v>0</v>
      </c>
      <c r="S133" s="41"/>
      <c r="T133" s="39" t="n">
        <f aca="false">IFERROR(S133*D133,0)</f>
        <v>0</v>
      </c>
      <c r="U133" s="38" t="n">
        <f aca="false">IFERROR(T133/INDEX(账户总表!$B:$B,MATCH($A133,账户总表!$A:$A,0)),0)</f>
        <v>0</v>
      </c>
      <c r="V133" s="38" t="n">
        <f aca="false">IFERROR(INDEX(账户总表!$E:$E,MATCH($A133,账户总表!$A:$A,0))+U133,0)</f>
        <v>0</v>
      </c>
      <c r="W133" s="37" t="str">
        <f aca="false">IF($A133="","",IFERROR(IF(V133&lt;=INDEX(账户总表!$N:$N,MATCH($A133,账户总表!$A:$A,0)),"是","否"),"否"))</f>
        <v/>
      </c>
      <c r="X133" s="39" t="str">
        <f aca="false">IF($A133="","",MAX(F133*0.98,D133*0.92))</f>
        <v/>
      </c>
      <c r="Y133" s="34"/>
      <c r="Z133" s="37" t="str">
        <f aca="false">IF($A133="","",IFERROR(IF(AND(T133&gt;INDEX(账户总表!$C:$C,MATCH($A133,账户总表!$A:$A,0)),L133="是"),"是","否"),"否"))</f>
        <v/>
      </c>
      <c r="AA133" s="39" t="str">
        <f aca="false">IF($A133="","",IFERROR(IF(Z133="是",MAX(0,T133-INDEX(账户总表!$C:$C,MATCH($A133,账户总表!$A:$A,0)),IF(N133&gt;0,T133/N133-INDEX(账户总表!$B:$B,MATCH($A133,账户总表!$A:$A,0)),0)),0),0))</f>
        <v/>
      </c>
      <c r="AB133" s="39" t="str">
        <f aca="false">IF($A133="","",IF(AND(Z133="是",INDEX(账户总表!$U:$U,MATCH($A133,账户总表!$A:$A,0))="是"),IF(INDEX(账户总表!$L:$L,MATCH($A133,账户总表!$A:$A,0))&gt;=4,AA133*1.5,AA133),0))</f>
        <v/>
      </c>
      <c r="AC133" s="42" t="str">
        <f aca="false">IF($A133="","",IF(AND(L133="是",Q133&gt;=R133,S133&lt;=Q133,S133&gt;=R133,W133="是",X133&gt;0,M133="是",INDEX(账户总表!$M:$M,MATCH($A133,账户总表!$A:$A,0))&lt;=2,INDEX(账户总表!$V:$V,MATCH($A133,账户总表!$A:$A,0))="是",OR(T133&lt;=INDEX(账户总表!$C:$C,MATCH($A133,账户总表!$A:$A,0)),AND(Z133="是",INDEX(账户总表!$U:$U,MATCH($A133,账户总表!$A:$A,0))="是",AB133&gt;0))),"是","否"))</f>
        <v/>
      </c>
      <c r="AD133" s="37" t="str">
        <f aca="false">IF($A133="","",IF(L133&lt;&gt;"是","信号未确认",IF(X133&lt;=0,"止损价未定义",IF(Q133&lt;R133,"100股约束不满足",IF(S133&gt;Q133,"计划股数超单股上限",IF(S133&lt;R133,"计划股数低于最小门槛",IF(W133&lt;&gt;"是","总仓位超限",IF(M133&lt;&gt;"是","追价",IF(INDEX(账户总表!$M:$M,MATCH($A133,账户总表!$A:$A,0))&gt;2,"亏钱效应偏高",IF(INDEX(账户总表!$V:$V,MATCH($A133,账户总表!$A:$A,0))&lt;&gt;"是","账户不允许新开仓",IF(AND(T133&gt;INDEX(账户总表!$C:$C,MATCH($A133,账户总表!$A:$A,0)),INDEX(账户总表!$U:$U,MATCH($A133,账户总表!$A:$A,0))&lt;&gt;"是"),"现金不足且不允许转入",IF(AND(Z133="是",AB133&lt;=0),"转入金额未满足",""))))))))))))</f>
        <v/>
      </c>
      <c r="AE133" s="33"/>
    </row>
    <row r="134" customFormat="false" ht="15" hidden="false" customHeight="true" outlineLevel="0" collapsed="false">
      <c r="A134" s="32"/>
      <c r="B134" s="33"/>
      <c r="C134" s="34"/>
      <c r="D134" s="35"/>
      <c r="E134" s="35"/>
      <c r="F134" s="35"/>
      <c r="G134" s="36"/>
      <c r="H134" s="34"/>
      <c r="I134" s="34"/>
      <c r="J134" s="33"/>
      <c r="K134" s="37" t="str">
        <f aca="false">IF($A134="","",IF(AND(G134&lt;45%,H134&gt;=0.9),"A",IF(AND(G134&lt;60%,H134&gt;0.8),"B","C")))</f>
        <v/>
      </c>
      <c r="L134" s="37" t="str">
        <f aca="false">IF($A134="","",IF(AND(G134&lt;60%,H134&gt;0.8,I134="True"),"是","否"))</f>
        <v/>
      </c>
      <c r="M134" s="37" t="str">
        <f aca="false">IF($A134="","",IF(AND(D134&gt;0,E134&gt;0,D134&lt;=E134*1.02),"是","否"))</f>
        <v/>
      </c>
      <c r="N134" s="38" t="n">
        <f aca="false">IFERROR(INDEX(账户总表!$O:$O,MATCH($A134,账户总表!$A:$A,0)),0)</f>
        <v>0</v>
      </c>
      <c r="O134" s="39" t="n">
        <f aca="false">IFERROR(INDEX(账户总表!$B:$B,MATCH($A134,账户总表!$A:$A,0))*N134,0)</f>
        <v>0</v>
      </c>
      <c r="P134" s="40" t="n">
        <f aca="false">IFERROR(O134/D134,0)</f>
        <v>0</v>
      </c>
      <c r="Q134" s="40" t="n">
        <f aca="false">IFERROR(FLOOR(P134,100),0)</f>
        <v>0</v>
      </c>
      <c r="R134" s="40" t="n">
        <f aca="false">IFERROR(CEILING(800/(100*D134),1)*100,0)</f>
        <v>0</v>
      </c>
      <c r="S134" s="41"/>
      <c r="T134" s="39" t="n">
        <f aca="false">IFERROR(S134*D134,0)</f>
        <v>0</v>
      </c>
      <c r="U134" s="38" t="n">
        <f aca="false">IFERROR(T134/INDEX(账户总表!$B:$B,MATCH($A134,账户总表!$A:$A,0)),0)</f>
        <v>0</v>
      </c>
      <c r="V134" s="38" t="n">
        <f aca="false">IFERROR(INDEX(账户总表!$E:$E,MATCH($A134,账户总表!$A:$A,0))+U134,0)</f>
        <v>0</v>
      </c>
      <c r="W134" s="37" t="str">
        <f aca="false">IF($A134="","",IFERROR(IF(V134&lt;=INDEX(账户总表!$N:$N,MATCH($A134,账户总表!$A:$A,0)),"是","否"),"否"))</f>
        <v/>
      </c>
      <c r="X134" s="39" t="str">
        <f aca="false">IF($A134="","",MAX(F134*0.98,D134*0.92))</f>
        <v/>
      </c>
      <c r="Y134" s="34"/>
      <c r="Z134" s="37" t="str">
        <f aca="false">IF($A134="","",IFERROR(IF(AND(T134&gt;INDEX(账户总表!$C:$C,MATCH($A134,账户总表!$A:$A,0)),L134="是"),"是","否"),"否"))</f>
        <v/>
      </c>
      <c r="AA134" s="39" t="str">
        <f aca="false">IF($A134="","",IFERROR(IF(Z134="是",MAX(0,T134-INDEX(账户总表!$C:$C,MATCH($A134,账户总表!$A:$A,0)),IF(N134&gt;0,T134/N134-INDEX(账户总表!$B:$B,MATCH($A134,账户总表!$A:$A,0)),0)),0),0))</f>
        <v/>
      </c>
      <c r="AB134" s="39" t="str">
        <f aca="false">IF($A134="","",IF(AND(Z134="是",INDEX(账户总表!$U:$U,MATCH($A134,账户总表!$A:$A,0))="是"),IF(INDEX(账户总表!$L:$L,MATCH($A134,账户总表!$A:$A,0))&gt;=4,AA134*1.5,AA134),0))</f>
        <v/>
      </c>
      <c r="AC134" s="42" t="str">
        <f aca="false">IF($A134="","",IF(AND(L134="是",Q134&gt;=R134,S134&lt;=Q134,S134&gt;=R134,W134="是",X134&gt;0,M134="是",INDEX(账户总表!$M:$M,MATCH($A134,账户总表!$A:$A,0))&lt;=2,INDEX(账户总表!$V:$V,MATCH($A134,账户总表!$A:$A,0))="是",OR(T134&lt;=INDEX(账户总表!$C:$C,MATCH($A134,账户总表!$A:$A,0)),AND(Z134="是",INDEX(账户总表!$U:$U,MATCH($A134,账户总表!$A:$A,0))="是",AB134&gt;0))),"是","否"))</f>
        <v/>
      </c>
      <c r="AD134" s="37" t="str">
        <f aca="false">IF($A134="","",IF(L134&lt;&gt;"是","信号未确认",IF(X134&lt;=0,"止损价未定义",IF(Q134&lt;R134,"100股约束不满足",IF(S134&gt;Q134,"计划股数超单股上限",IF(S134&lt;R134,"计划股数低于最小门槛",IF(W134&lt;&gt;"是","总仓位超限",IF(M134&lt;&gt;"是","追价",IF(INDEX(账户总表!$M:$M,MATCH($A134,账户总表!$A:$A,0))&gt;2,"亏钱效应偏高",IF(INDEX(账户总表!$V:$V,MATCH($A134,账户总表!$A:$A,0))&lt;&gt;"是","账户不允许新开仓",IF(AND(T134&gt;INDEX(账户总表!$C:$C,MATCH($A134,账户总表!$A:$A,0)),INDEX(账户总表!$U:$U,MATCH($A134,账户总表!$A:$A,0))&lt;&gt;"是"),"现金不足且不允许转入",IF(AND(Z134="是",AB134&lt;=0),"转入金额未满足",""))))))))))))</f>
        <v/>
      </c>
      <c r="AE134" s="33"/>
    </row>
    <row r="135" customFormat="false" ht="15" hidden="false" customHeight="true" outlineLevel="0" collapsed="false">
      <c r="A135" s="32"/>
      <c r="B135" s="33"/>
      <c r="C135" s="34"/>
      <c r="D135" s="35"/>
      <c r="E135" s="35"/>
      <c r="F135" s="35"/>
      <c r="G135" s="36"/>
      <c r="H135" s="34"/>
      <c r="I135" s="34"/>
      <c r="J135" s="33"/>
      <c r="K135" s="37" t="str">
        <f aca="false">IF($A135="","",IF(AND(G135&lt;45%,H135&gt;=0.9),"A",IF(AND(G135&lt;60%,H135&gt;0.8),"B","C")))</f>
        <v/>
      </c>
      <c r="L135" s="37" t="str">
        <f aca="false">IF($A135="","",IF(AND(G135&lt;60%,H135&gt;0.8,I135="True"),"是","否"))</f>
        <v/>
      </c>
      <c r="M135" s="37" t="str">
        <f aca="false">IF($A135="","",IF(AND(D135&gt;0,E135&gt;0,D135&lt;=E135*1.02),"是","否"))</f>
        <v/>
      </c>
      <c r="N135" s="38" t="n">
        <f aca="false">IFERROR(INDEX(账户总表!$O:$O,MATCH($A135,账户总表!$A:$A,0)),0)</f>
        <v>0</v>
      </c>
      <c r="O135" s="39" t="n">
        <f aca="false">IFERROR(INDEX(账户总表!$B:$B,MATCH($A135,账户总表!$A:$A,0))*N135,0)</f>
        <v>0</v>
      </c>
      <c r="P135" s="40" t="n">
        <f aca="false">IFERROR(O135/D135,0)</f>
        <v>0</v>
      </c>
      <c r="Q135" s="40" t="n">
        <f aca="false">IFERROR(FLOOR(P135,100),0)</f>
        <v>0</v>
      </c>
      <c r="R135" s="40" t="n">
        <f aca="false">IFERROR(CEILING(800/(100*D135),1)*100,0)</f>
        <v>0</v>
      </c>
      <c r="S135" s="41"/>
      <c r="T135" s="39" t="n">
        <f aca="false">IFERROR(S135*D135,0)</f>
        <v>0</v>
      </c>
      <c r="U135" s="38" t="n">
        <f aca="false">IFERROR(T135/INDEX(账户总表!$B:$B,MATCH($A135,账户总表!$A:$A,0)),0)</f>
        <v>0</v>
      </c>
      <c r="V135" s="38" t="n">
        <f aca="false">IFERROR(INDEX(账户总表!$E:$E,MATCH($A135,账户总表!$A:$A,0))+U135,0)</f>
        <v>0</v>
      </c>
      <c r="W135" s="37" t="str">
        <f aca="false">IF($A135="","",IFERROR(IF(V135&lt;=INDEX(账户总表!$N:$N,MATCH($A135,账户总表!$A:$A,0)),"是","否"),"否"))</f>
        <v/>
      </c>
      <c r="X135" s="39" t="str">
        <f aca="false">IF($A135="","",MAX(F135*0.98,D135*0.92))</f>
        <v/>
      </c>
      <c r="Y135" s="34"/>
      <c r="Z135" s="37" t="str">
        <f aca="false">IF($A135="","",IFERROR(IF(AND(T135&gt;INDEX(账户总表!$C:$C,MATCH($A135,账户总表!$A:$A,0)),L135="是"),"是","否"),"否"))</f>
        <v/>
      </c>
      <c r="AA135" s="39" t="str">
        <f aca="false">IF($A135="","",IFERROR(IF(Z135="是",MAX(0,T135-INDEX(账户总表!$C:$C,MATCH($A135,账户总表!$A:$A,0)),IF(N135&gt;0,T135/N135-INDEX(账户总表!$B:$B,MATCH($A135,账户总表!$A:$A,0)),0)),0),0))</f>
        <v/>
      </c>
      <c r="AB135" s="39" t="str">
        <f aca="false">IF($A135="","",IF(AND(Z135="是",INDEX(账户总表!$U:$U,MATCH($A135,账户总表!$A:$A,0))="是"),IF(INDEX(账户总表!$L:$L,MATCH($A135,账户总表!$A:$A,0))&gt;=4,AA135*1.5,AA135),0))</f>
        <v/>
      </c>
      <c r="AC135" s="42" t="str">
        <f aca="false">IF($A135="","",IF(AND(L135="是",Q135&gt;=R135,S135&lt;=Q135,S135&gt;=R135,W135="是",X135&gt;0,M135="是",INDEX(账户总表!$M:$M,MATCH($A135,账户总表!$A:$A,0))&lt;=2,INDEX(账户总表!$V:$V,MATCH($A135,账户总表!$A:$A,0))="是",OR(T135&lt;=INDEX(账户总表!$C:$C,MATCH($A135,账户总表!$A:$A,0)),AND(Z135="是",INDEX(账户总表!$U:$U,MATCH($A135,账户总表!$A:$A,0))="是",AB135&gt;0))),"是","否"))</f>
        <v/>
      </c>
      <c r="AD135" s="37" t="str">
        <f aca="false">IF($A135="","",IF(L135&lt;&gt;"是","信号未确认",IF(X135&lt;=0,"止损价未定义",IF(Q135&lt;R135,"100股约束不满足",IF(S135&gt;Q135,"计划股数超单股上限",IF(S135&lt;R135,"计划股数低于最小门槛",IF(W135&lt;&gt;"是","总仓位超限",IF(M135&lt;&gt;"是","追价",IF(INDEX(账户总表!$M:$M,MATCH($A135,账户总表!$A:$A,0))&gt;2,"亏钱效应偏高",IF(INDEX(账户总表!$V:$V,MATCH($A135,账户总表!$A:$A,0))&lt;&gt;"是","账户不允许新开仓",IF(AND(T135&gt;INDEX(账户总表!$C:$C,MATCH($A135,账户总表!$A:$A,0)),INDEX(账户总表!$U:$U,MATCH($A135,账户总表!$A:$A,0))&lt;&gt;"是"),"现金不足且不允许转入",IF(AND(Z135="是",AB135&lt;=0),"转入金额未满足",""))))))))))))</f>
        <v/>
      </c>
      <c r="AE135" s="33"/>
    </row>
    <row r="136" customFormat="false" ht="15" hidden="false" customHeight="true" outlineLevel="0" collapsed="false">
      <c r="A136" s="32"/>
      <c r="B136" s="33"/>
      <c r="C136" s="34"/>
      <c r="D136" s="35"/>
      <c r="E136" s="35"/>
      <c r="F136" s="35"/>
      <c r="G136" s="36"/>
      <c r="H136" s="34"/>
      <c r="I136" s="34"/>
      <c r="J136" s="33"/>
      <c r="K136" s="37" t="str">
        <f aca="false">IF($A136="","",IF(AND(G136&lt;45%,H136&gt;=0.9),"A",IF(AND(G136&lt;60%,H136&gt;0.8),"B","C")))</f>
        <v/>
      </c>
      <c r="L136" s="37" t="str">
        <f aca="false">IF($A136="","",IF(AND(G136&lt;60%,H136&gt;0.8,I136="True"),"是","否"))</f>
        <v/>
      </c>
      <c r="M136" s="37" t="str">
        <f aca="false">IF($A136="","",IF(AND(D136&gt;0,E136&gt;0,D136&lt;=E136*1.02),"是","否"))</f>
        <v/>
      </c>
      <c r="N136" s="38" t="n">
        <f aca="false">IFERROR(INDEX(账户总表!$O:$O,MATCH($A136,账户总表!$A:$A,0)),0)</f>
        <v>0</v>
      </c>
      <c r="O136" s="39" t="n">
        <f aca="false">IFERROR(INDEX(账户总表!$B:$B,MATCH($A136,账户总表!$A:$A,0))*N136,0)</f>
        <v>0</v>
      </c>
      <c r="P136" s="40" t="n">
        <f aca="false">IFERROR(O136/D136,0)</f>
        <v>0</v>
      </c>
      <c r="Q136" s="40" t="n">
        <f aca="false">IFERROR(FLOOR(P136,100),0)</f>
        <v>0</v>
      </c>
      <c r="R136" s="40" t="n">
        <f aca="false">IFERROR(CEILING(800/(100*D136),1)*100,0)</f>
        <v>0</v>
      </c>
      <c r="S136" s="41"/>
      <c r="T136" s="39" t="n">
        <f aca="false">IFERROR(S136*D136,0)</f>
        <v>0</v>
      </c>
      <c r="U136" s="38" t="n">
        <f aca="false">IFERROR(T136/INDEX(账户总表!$B:$B,MATCH($A136,账户总表!$A:$A,0)),0)</f>
        <v>0</v>
      </c>
      <c r="V136" s="38" t="n">
        <f aca="false">IFERROR(INDEX(账户总表!$E:$E,MATCH($A136,账户总表!$A:$A,0))+U136,0)</f>
        <v>0</v>
      </c>
      <c r="W136" s="37" t="str">
        <f aca="false">IF($A136="","",IFERROR(IF(V136&lt;=INDEX(账户总表!$N:$N,MATCH($A136,账户总表!$A:$A,0)),"是","否"),"否"))</f>
        <v/>
      </c>
      <c r="X136" s="39" t="str">
        <f aca="false">IF($A136="","",MAX(F136*0.98,D136*0.92))</f>
        <v/>
      </c>
      <c r="Y136" s="34"/>
      <c r="Z136" s="37" t="str">
        <f aca="false">IF($A136="","",IFERROR(IF(AND(T136&gt;INDEX(账户总表!$C:$C,MATCH($A136,账户总表!$A:$A,0)),L136="是"),"是","否"),"否"))</f>
        <v/>
      </c>
      <c r="AA136" s="39" t="str">
        <f aca="false">IF($A136="","",IFERROR(IF(Z136="是",MAX(0,T136-INDEX(账户总表!$C:$C,MATCH($A136,账户总表!$A:$A,0)),IF(N136&gt;0,T136/N136-INDEX(账户总表!$B:$B,MATCH($A136,账户总表!$A:$A,0)),0)),0),0))</f>
        <v/>
      </c>
      <c r="AB136" s="39" t="str">
        <f aca="false">IF($A136="","",IF(AND(Z136="是",INDEX(账户总表!$U:$U,MATCH($A136,账户总表!$A:$A,0))="是"),IF(INDEX(账户总表!$L:$L,MATCH($A136,账户总表!$A:$A,0))&gt;=4,AA136*1.5,AA136),0))</f>
        <v/>
      </c>
      <c r="AC136" s="42" t="str">
        <f aca="false">IF($A136="","",IF(AND(L136="是",Q136&gt;=R136,S136&lt;=Q136,S136&gt;=R136,W136="是",X136&gt;0,M136="是",INDEX(账户总表!$M:$M,MATCH($A136,账户总表!$A:$A,0))&lt;=2,INDEX(账户总表!$V:$V,MATCH($A136,账户总表!$A:$A,0))="是",OR(T136&lt;=INDEX(账户总表!$C:$C,MATCH($A136,账户总表!$A:$A,0)),AND(Z136="是",INDEX(账户总表!$U:$U,MATCH($A136,账户总表!$A:$A,0))="是",AB136&gt;0))),"是","否"))</f>
        <v/>
      </c>
      <c r="AD136" s="37" t="str">
        <f aca="false">IF($A136="","",IF(L136&lt;&gt;"是","信号未确认",IF(X136&lt;=0,"止损价未定义",IF(Q136&lt;R136,"100股约束不满足",IF(S136&gt;Q136,"计划股数超单股上限",IF(S136&lt;R136,"计划股数低于最小门槛",IF(W136&lt;&gt;"是","总仓位超限",IF(M136&lt;&gt;"是","追价",IF(INDEX(账户总表!$M:$M,MATCH($A136,账户总表!$A:$A,0))&gt;2,"亏钱效应偏高",IF(INDEX(账户总表!$V:$V,MATCH($A136,账户总表!$A:$A,0))&lt;&gt;"是","账户不允许新开仓",IF(AND(T136&gt;INDEX(账户总表!$C:$C,MATCH($A136,账户总表!$A:$A,0)),INDEX(账户总表!$U:$U,MATCH($A136,账户总表!$A:$A,0))&lt;&gt;"是"),"现金不足且不允许转入",IF(AND(Z136="是",AB136&lt;=0),"转入金额未满足",""))))))))))))</f>
        <v/>
      </c>
      <c r="AE136" s="33"/>
    </row>
    <row r="137" customFormat="false" ht="15" hidden="false" customHeight="true" outlineLevel="0" collapsed="false">
      <c r="A137" s="32"/>
      <c r="B137" s="33"/>
      <c r="C137" s="34"/>
      <c r="D137" s="35"/>
      <c r="E137" s="35"/>
      <c r="F137" s="35"/>
      <c r="G137" s="36"/>
      <c r="H137" s="34"/>
      <c r="I137" s="34"/>
      <c r="J137" s="33"/>
      <c r="K137" s="37" t="str">
        <f aca="false">IF($A137="","",IF(AND(G137&lt;45%,H137&gt;=0.9),"A",IF(AND(G137&lt;60%,H137&gt;0.8),"B","C")))</f>
        <v/>
      </c>
      <c r="L137" s="37" t="str">
        <f aca="false">IF($A137="","",IF(AND(G137&lt;60%,H137&gt;0.8,I137="True"),"是","否"))</f>
        <v/>
      </c>
      <c r="M137" s="37" t="str">
        <f aca="false">IF($A137="","",IF(AND(D137&gt;0,E137&gt;0,D137&lt;=E137*1.02),"是","否"))</f>
        <v/>
      </c>
      <c r="N137" s="38" t="n">
        <f aca="false">IFERROR(INDEX(账户总表!$O:$O,MATCH($A137,账户总表!$A:$A,0)),0)</f>
        <v>0</v>
      </c>
      <c r="O137" s="39" t="n">
        <f aca="false">IFERROR(INDEX(账户总表!$B:$B,MATCH($A137,账户总表!$A:$A,0))*N137,0)</f>
        <v>0</v>
      </c>
      <c r="P137" s="40" t="n">
        <f aca="false">IFERROR(O137/D137,0)</f>
        <v>0</v>
      </c>
      <c r="Q137" s="40" t="n">
        <f aca="false">IFERROR(FLOOR(P137,100),0)</f>
        <v>0</v>
      </c>
      <c r="R137" s="40" t="n">
        <f aca="false">IFERROR(CEILING(800/(100*D137),1)*100,0)</f>
        <v>0</v>
      </c>
      <c r="S137" s="41"/>
      <c r="T137" s="39" t="n">
        <f aca="false">IFERROR(S137*D137,0)</f>
        <v>0</v>
      </c>
      <c r="U137" s="38" t="n">
        <f aca="false">IFERROR(T137/INDEX(账户总表!$B:$B,MATCH($A137,账户总表!$A:$A,0)),0)</f>
        <v>0</v>
      </c>
      <c r="V137" s="38" t="n">
        <f aca="false">IFERROR(INDEX(账户总表!$E:$E,MATCH($A137,账户总表!$A:$A,0))+U137,0)</f>
        <v>0</v>
      </c>
      <c r="W137" s="37" t="str">
        <f aca="false">IF($A137="","",IFERROR(IF(V137&lt;=INDEX(账户总表!$N:$N,MATCH($A137,账户总表!$A:$A,0)),"是","否"),"否"))</f>
        <v/>
      </c>
      <c r="X137" s="39" t="str">
        <f aca="false">IF($A137="","",MAX(F137*0.98,D137*0.92))</f>
        <v/>
      </c>
      <c r="Y137" s="34"/>
      <c r="Z137" s="37" t="str">
        <f aca="false">IF($A137="","",IFERROR(IF(AND(T137&gt;INDEX(账户总表!$C:$C,MATCH($A137,账户总表!$A:$A,0)),L137="是"),"是","否"),"否"))</f>
        <v/>
      </c>
      <c r="AA137" s="39" t="str">
        <f aca="false">IF($A137="","",IFERROR(IF(Z137="是",MAX(0,T137-INDEX(账户总表!$C:$C,MATCH($A137,账户总表!$A:$A,0)),IF(N137&gt;0,T137/N137-INDEX(账户总表!$B:$B,MATCH($A137,账户总表!$A:$A,0)),0)),0),0))</f>
        <v/>
      </c>
      <c r="AB137" s="39" t="str">
        <f aca="false">IF($A137="","",IF(AND(Z137="是",INDEX(账户总表!$U:$U,MATCH($A137,账户总表!$A:$A,0))="是"),IF(INDEX(账户总表!$L:$L,MATCH($A137,账户总表!$A:$A,0))&gt;=4,AA137*1.5,AA137),0))</f>
        <v/>
      </c>
      <c r="AC137" s="42" t="str">
        <f aca="false">IF($A137="","",IF(AND(L137="是",Q137&gt;=R137,S137&lt;=Q137,S137&gt;=R137,W137="是",X137&gt;0,M137="是",INDEX(账户总表!$M:$M,MATCH($A137,账户总表!$A:$A,0))&lt;=2,INDEX(账户总表!$V:$V,MATCH($A137,账户总表!$A:$A,0))="是",OR(T137&lt;=INDEX(账户总表!$C:$C,MATCH($A137,账户总表!$A:$A,0)),AND(Z137="是",INDEX(账户总表!$U:$U,MATCH($A137,账户总表!$A:$A,0))="是",AB137&gt;0))),"是","否"))</f>
        <v/>
      </c>
      <c r="AD137" s="37" t="str">
        <f aca="false">IF($A137="","",IF(L137&lt;&gt;"是","信号未确认",IF(X137&lt;=0,"止损价未定义",IF(Q137&lt;R137,"100股约束不满足",IF(S137&gt;Q137,"计划股数超单股上限",IF(S137&lt;R137,"计划股数低于最小门槛",IF(W137&lt;&gt;"是","总仓位超限",IF(M137&lt;&gt;"是","追价",IF(INDEX(账户总表!$M:$M,MATCH($A137,账户总表!$A:$A,0))&gt;2,"亏钱效应偏高",IF(INDEX(账户总表!$V:$V,MATCH($A137,账户总表!$A:$A,0))&lt;&gt;"是","账户不允许新开仓",IF(AND(T137&gt;INDEX(账户总表!$C:$C,MATCH($A137,账户总表!$A:$A,0)),INDEX(账户总表!$U:$U,MATCH($A137,账户总表!$A:$A,0))&lt;&gt;"是"),"现金不足且不允许转入",IF(AND(Z137="是",AB137&lt;=0),"转入金额未满足",""))))))))))))</f>
        <v/>
      </c>
      <c r="AE137" s="33"/>
    </row>
    <row r="138" customFormat="false" ht="15" hidden="false" customHeight="true" outlineLevel="0" collapsed="false">
      <c r="A138" s="32"/>
      <c r="B138" s="33"/>
      <c r="C138" s="34"/>
      <c r="D138" s="35"/>
      <c r="E138" s="35"/>
      <c r="F138" s="35"/>
      <c r="G138" s="36"/>
      <c r="H138" s="34"/>
      <c r="I138" s="34"/>
      <c r="J138" s="33"/>
      <c r="K138" s="37" t="str">
        <f aca="false">IF($A138="","",IF(AND(G138&lt;45%,H138&gt;=0.9),"A",IF(AND(G138&lt;60%,H138&gt;0.8),"B","C")))</f>
        <v/>
      </c>
      <c r="L138" s="37" t="str">
        <f aca="false">IF($A138="","",IF(AND(G138&lt;60%,H138&gt;0.8,I138="True"),"是","否"))</f>
        <v/>
      </c>
      <c r="M138" s="37" t="str">
        <f aca="false">IF($A138="","",IF(AND(D138&gt;0,E138&gt;0,D138&lt;=E138*1.02),"是","否"))</f>
        <v/>
      </c>
      <c r="N138" s="38" t="n">
        <f aca="false">IFERROR(INDEX(账户总表!$O:$O,MATCH($A138,账户总表!$A:$A,0)),0)</f>
        <v>0</v>
      </c>
      <c r="O138" s="39" t="n">
        <f aca="false">IFERROR(INDEX(账户总表!$B:$B,MATCH($A138,账户总表!$A:$A,0))*N138,0)</f>
        <v>0</v>
      </c>
      <c r="P138" s="40" t="n">
        <f aca="false">IFERROR(O138/D138,0)</f>
        <v>0</v>
      </c>
      <c r="Q138" s="40" t="n">
        <f aca="false">IFERROR(FLOOR(P138,100),0)</f>
        <v>0</v>
      </c>
      <c r="R138" s="40" t="n">
        <f aca="false">IFERROR(CEILING(800/(100*D138),1)*100,0)</f>
        <v>0</v>
      </c>
      <c r="S138" s="41"/>
      <c r="T138" s="39" t="n">
        <f aca="false">IFERROR(S138*D138,0)</f>
        <v>0</v>
      </c>
      <c r="U138" s="38" t="n">
        <f aca="false">IFERROR(T138/INDEX(账户总表!$B:$B,MATCH($A138,账户总表!$A:$A,0)),0)</f>
        <v>0</v>
      </c>
      <c r="V138" s="38" t="n">
        <f aca="false">IFERROR(INDEX(账户总表!$E:$E,MATCH($A138,账户总表!$A:$A,0))+U138,0)</f>
        <v>0</v>
      </c>
      <c r="W138" s="37" t="str">
        <f aca="false">IF($A138="","",IFERROR(IF(V138&lt;=INDEX(账户总表!$N:$N,MATCH($A138,账户总表!$A:$A,0)),"是","否"),"否"))</f>
        <v/>
      </c>
      <c r="X138" s="39" t="str">
        <f aca="false">IF($A138="","",MAX(F138*0.98,D138*0.92))</f>
        <v/>
      </c>
      <c r="Y138" s="34"/>
      <c r="Z138" s="37" t="str">
        <f aca="false">IF($A138="","",IFERROR(IF(AND(T138&gt;INDEX(账户总表!$C:$C,MATCH($A138,账户总表!$A:$A,0)),L138="是"),"是","否"),"否"))</f>
        <v/>
      </c>
      <c r="AA138" s="39" t="str">
        <f aca="false">IF($A138="","",IFERROR(IF(Z138="是",MAX(0,T138-INDEX(账户总表!$C:$C,MATCH($A138,账户总表!$A:$A,0)),IF(N138&gt;0,T138/N138-INDEX(账户总表!$B:$B,MATCH($A138,账户总表!$A:$A,0)),0)),0),0))</f>
        <v/>
      </c>
      <c r="AB138" s="39" t="str">
        <f aca="false">IF($A138="","",IF(AND(Z138="是",INDEX(账户总表!$U:$U,MATCH($A138,账户总表!$A:$A,0))="是"),IF(INDEX(账户总表!$L:$L,MATCH($A138,账户总表!$A:$A,0))&gt;=4,AA138*1.5,AA138),0))</f>
        <v/>
      </c>
      <c r="AC138" s="42" t="str">
        <f aca="false">IF($A138="","",IF(AND(L138="是",Q138&gt;=R138,S138&lt;=Q138,S138&gt;=R138,W138="是",X138&gt;0,M138="是",INDEX(账户总表!$M:$M,MATCH($A138,账户总表!$A:$A,0))&lt;=2,INDEX(账户总表!$V:$V,MATCH($A138,账户总表!$A:$A,0))="是",OR(T138&lt;=INDEX(账户总表!$C:$C,MATCH($A138,账户总表!$A:$A,0)),AND(Z138="是",INDEX(账户总表!$U:$U,MATCH($A138,账户总表!$A:$A,0))="是",AB138&gt;0))),"是","否"))</f>
        <v/>
      </c>
      <c r="AD138" s="37" t="str">
        <f aca="false">IF($A138="","",IF(L138&lt;&gt;"是","信号未确认",IF(X138&lt;=0,"止损价未定义",IF(Q138&lt;R138,"100股约束不满足",IF(S138&gt;Q138,"计划股数超单股上限",IF(S138&lt;R138,"计划股数低于最小门槛",IF(W138&lt;&gt;"是","总仓位超限",IF(M138&lt;&gt;"是","追价",IF(INDEX(账户总表!$M:$M,MATCH($A138,账户总表!$A:$A,0))&gt;2,"亏钱效应偏高",IF(INDEX(账户总表!$V:$V,MATCH($A138,账户总表!$A:$A,0))&lt;&gt;"是","账户不允许新开仓",IF(AND(T138&gt;INDEX(账户总表!$C:$C,MATCH($A138,账户总表!$A:$A,0)),INDEX(账户总表!$U:$U,MATCH($A138,账户总表!$A:$A,0))&lt;&gt;"是"),"现金不足且不允许转入",IF(AND(Z138="是",AB138&lt;=0),"转入金额未满足",""))))))))))))</f>
        <v/>
      </c>
      <c r="AE138" s="33"/>
    </row>
    <row r="139" customFormat="false" ht="15" hidden="false" customHeight="true" outlineLevel="0" collapsed="false">
      <c r="A139" s="32"/>
      <c r="B139" s="33"/>
      <c r="C139" s="34"/>
      <c r="D139" s="35"/>
      <c r="E139" s="35"/>
      <c r="F139" s="35"/>
      <c r="G139" s="36"/>
      <c r="H139" s="34"/>
      <c r="I139" s="34"/>
      <c r="J139" s="33"/>
      <c r="K139" s="37" t="str">
        <f aca="false">IF($A139="","",IF(AND(G139&lt;45%,H139&gt;=0.9),"A",IF(AND(G139&lt;60%,H139&gt;0.8),"B","C")))</f>
        <v/>
      </c>
      <c r="L139" s="37" t="str">
        <f aca="false">IF($A139="","",IF(AND(G139&lt;60%,H139&gt;0.8,I139="True"),"是","否"))</f>
        <v/>
      </c>
      <c r="M139" s="37" t="str">
        <f aca="false">IF($A139="","",IF(AND(D139&gt;0,E139&gt;0,D139&lt;=E139*1.02),"是","否"))</f>
        <v/>
      </c>
      <c r="N139" s="38" t="n">
        <f aca="false">IFERROR(INDEX(账户总表!$O:$O,MATCH($A139,账户总表!$A:$A,0)),0)</f>
        <v>0</v>
      </c>
      <c r="O139" s="39" t="n">
        <f aca="false">IFERROR(INDEX(账户总表!$B:$B,MATCH($A139,账户总表!$A:$A,0))*N139,0)</f>
        <v>0</v>
      </c>
      <c r="P139" s="40" t="n">
        <f aca="false">IFERROR(O139/D139,0)</f>
        <v>0</v>
      </c>
      <c r="Q139" s="40" t="n">
        <f aca="false">IFERROR(FLOOR(P139,100),0)</f>
        <v>0</v>
      </c>
      <c r="R139" s="40" t="n">
        <f aca="false">IFERROR(CEILING(800/(100*D139),1)*100,0)</f>
        <v>0</v>
      </c>
      <c r="S139" s="41"/>
      <c r="T139" s="39" t="n">
        <f aca="false">IFERROR(S139*D139,0)</f>
        <v>0</v>
      </c>
      <c r="U139" s="38" t="n">
        <f aca="false">IFERROR(T139/INDEX(账户总表!$B:$B,MATCH($A139,账户总表!$A:$A,0)),0)</f>
        <v>0</v>
      </c>
      <c r="V139" s="38" t="n">
        <f aca="false">IFERROR(INDEX(账户总表!$E:$E,MATCH($A139,账户总表!$A:$A,0))+U139,0)</f>
        <v>0</v>
      </c>
      <c r="W139" s="37" t="str">
        <f aca="false">IF($A139="","",IFERROR(IF(V139&lt;=INDEX(账户总表!$N:$N,MATCH($A139,账户总表!$A:$A,0)),"是","否"),"否"))</f>
        <v/>
      </c>
      <c r="X139" s="39" t="str">
        <f aca="false">IF($A139="","",MAX(F139*0.98,D139*0.92))</f>
        <v/>
      </c>
      <c r="Y139" s="34"/>
      <c r="Z139" s="37" t="str">
        <f aca="false">IF($A139="","",IFERROR(IF(AND(T139&gt;INDEX(账户总表!$C:$C,MATCH($A139,账户总表!$A:$A,0)),L139="是"),"是","否"),"否"))</f>
        <v/>
      </c>
      <c r="AA139" s="39" t="str">
        <f aca="false">IF($A139="","",IFERROR(IF(Z139="是",MAX(0,T139-INDEX(账户总表!$C:$C,MATCH($A139,账户总表!$A:$A,0)),IF(N139&gt;0,T139/N139-INDEX(账户总表!$B:$B,MATCH($A139,账户总表!$A:$A,0)),0)),0),0))</f>
        <v/>
      </c>
      <c r="AB139" s="39" t="str">
        <f aca="false">IF($A139="","",IF(AND(Z139="是",INDEX(账户总表!$U:$U,MATCH($A139,账户总表!$A:$A,0))="是"),IF(INDEX(账户总表!$L:$L,MATCH($A139,账户总表!$A:$A,0))&gt;=4,AA139*1.5,AA139),0))</f>
        <v/>
      </c>
      <c r="AC139" s="42" t="str">
        <f aca="false">IF($A139="","",IF(AND(L139="是",Q139&gt;=R139,S139&lt;=Q139,S139&gt;=R139,W139="是",X139&gt;0,M139="是",INDEX(账户总表!$M:$M,MATCH($A139,账户总表!$A:$A,0))&lt;=2,INDEX(账户总表!$V:$V,MATCH($A139,账户总表!$A:$A,0))="是",OR(T139&lt;=INDEX(账户总表!$C:$C,MATCH($A139,账户总表!$A:$A,0)),AND(Z139="是",INDEX(账户总表!$U:$U,MATCH($A139,账户总表!$A:$A,0))="是",AB139&gt;0))),"是","否"))</f>
        <v/>
      </c>
      <c r="AD139" s="37" t="str">
        <f aca="false">IF($A139="","",IF(L139&lt;&gt;"是","信号未确认",IF(X139&lt;=0,"止损价未定义",IF(Q139&lt;R139,"100股约束不满足",IF(S139&gt;Q139,"计划股数超单股上限",IF(S139&lt;R139,"计划股数低于最小门槛",IF(W139&lt;&gt;"是","总仓位超限",IF(M139&lt;&gt;"是","追价",IF(INDEX(账户总表!$M:$M,MATCH($A139,账户总表!$A:$A,0))&gt;2,"亏钱效应偏高",IF(INDEX(账户总表!$V:$V,MATCH($A139,账户总表!$A:$A,0))&lt;&gt;"是","账户不允许新开仓",IF(AND(T139&gt;INDEX(账户总表!$C:$C,MATCH($A139,账户总表!$A:$A,0)),INDEX(账户总表!$U:$U,MATCH($A139,账户总表!$A:$A,0))&lt;&gt;"是"),"现金不足且不允许转入",IF(AND(Z139="是",AB139&lt;=0),"转入金额未满足",""))))))))))))</f>
        <v/>
      </c>
      <c r="AE139" s="33"/>
    </row>
    <row r="140" customFormat="false" ht="15" hidden="false" customHeight="true" outlineLevel="0" collapsed="false">
      <c r="A140" s="32"/>
      <c r="B140" s="33"/>
      <c r="C140" s="34"/>
      <c r="D140" s="35"/>
      <c r="E140" s="35"/>
      <c r="F140" s="35"/>
      <c r="G140" s="36"/>
      <c r="H140" s="34"/>
      <c r="I140" s="34"/>
      <c r="J140" s="33"/>
      <c r="K140" s="37" t="str">
        <f aca="false">IF($A140="","",IF(AND(G140&lt;45%,H140&gt;=0.9),"A",IF(AND(G140&lt;60%,H140&gt;0.8),"B","C")))</f>
        <v/>
      </c>
      <c r="L140" s="37" t="str">
        <f aca="false">IF($A140="","",IF(AND(G140&lt;60%,H140&gt;0.8,I140="True"),"是","否"))</f>
        <v/>
      </c>
      <c r="M140" s="37" t="str">
        <f aca="false">IF($A140="","",IF(AND(D140&gt;0,E140&gt;0,D140&lt;=E140*1.02),"是","否"))</f>
        <v/>
      </c>
      <c r="N140" s="38" t="n">
        <f aca="false">IFERROR(INDEX(账户总表!$O:$O,MATCH($A140,账户总表!$A:$A,0)),0)</f>
        <v>0</v>
      </c>
      <c r="O140" s="39" t="n">
        <f aca="false">IFERROR(INDEX(账户总表!$B:$B,MATCH($A140,账户总表!$A:$A,0))*N140,0)</f>
        <v>0</v>
      </c>
      <c r="P140" s="40" t="n">
        <f aca="false">IFERROR(O140/D140,0)</f>
        <v>0</v>
      </c>
      <c r="Q140" s="40" t="n">
        <f aca="false">IFERROR(FLOOR(P140,100),0)</f>
        <v>0</v>
      </c>
      <c r="R140" s="40" t="n">
        <f aca="false">IFERROR(CEILING(800/(100*D140),1)*100,0)</f>
        <v>0</v>
      </c>
      <c r="S140" s="41"/>
      <c r="T140" s="39" t="n">
        <f aca="false">IFERROR(S140*D140,0)</f>
        <v>0</v>
      </c>
      <c r="U140" s="38" t="n">
        <f aca="false">IFERROR(T140/INDEX(账户总表!$B:$B,MATCH($A140,账户总表!$A:$A,0)),0)</f>
        <v>0</v>
      </c>
      <c r="V140" s="38" t="n">
        <f aca="false">IFERROR(INDEX(账户总表!$E:$E,MATCH($A140,账户总表!$A:$A,0))+U140,0)</f>
        <v>0</v>
      </c>
      <c r="W140" s="37" t="str">
        <f aca="false">IF($A140="","",IFERROR(IF(V140&lt;=INDEX(账户总表!$N:$N,MATCH($A140,账户总表!$A:$A,0)),"是","否"),"否"))</f>
        <v/>
      </c>
      <c r="X140" s="39" t="str">
        <f aca="false">IF($A140="","",MAX(F140*0.98,D140*0.92))</f>
        <v/>
      </c>
      <c r="Y140" s="34"/>
      <c r="Z140" s="37" t="str">
        <f aca="false">IF($A140="","",IFERROR(IF(AND(T140&gt;INDEX(账户总表!$C:$C,MATCH($A140,账户总表!$A:$A,0)),L140="是"),"是","否"),"否"))</f>
        <v/>
      </c>
      <c r="AA140" s="39" t="str">
        <f aca="false">IF($A140="","",IFERROR(IF(Z140="是",MAX(0,T140-INDEX(账户总表!$C:$C,MATCH($A140,账户总表!$A:$A,0)),IF(N140&gt;0,T140/N140-INDEX(账户总表!$B:$B,MATCH($A140,账户总表!$A:$A,0)),0)),0),0))</f>
        <v/>
      </c>
      <c r="AB140" s="39" t="str">
        <f aca="false">IF($A140="","",IF(AND(Z140="是",INDEX(账户总表!$U:$U,MATCH($A140,账户总表!$A:$A,0))="是"),IF(INDEX(账户总表!$L:$L,MATCH($A140,账户总表!$A:$A,0))&gt;=4,AA140*1.5,AA140),0))</f>
        <v/>
      </c>
      <c r="AC140" s="42" t="str">
        <f aca="false">IF($A140="","",IF(AND(L140="是",Q140&gt;=R140,S140&lt;=Q140,S140&gt;=R140,W140="是",X140&gt;0,M140="是",INDEX(账户总表!$M:$M,MATCH($A140,账户总表!$A:$A,0))&lt;=2,INDEX(账户总表!$V:$V,MATCH($A140,账户总表!$A:$A,0))="是",OR(T140&lt;=INDEX(账户总表!$C:$C,MATCH($A140,账户总表!$A:$A,0)),AND(Z140="是",INDEX(账户总表!$U:$U,MATCH($A140,账户总表!$A:$A,0))="是",AB140&gt;0))),"是","否"))</f>
        <v/>
      </c>
      <c r="AD140" s="37" t="str">
        <f aca="false">IF($A140="","",IF(L140&lt;&gt;"是","信号未确认",IF(X140&lt;=0,"止损价未定义",IF(Q140&lt;R140,"100股约束不满足",IF(S140&gt;Q140,"计划股数超单股上限",IF(S140&lt;R140,"计划股数低于最小门槛",IF(W140&lt;&gt;"是","总仓位超限",IF(M140&lt;&gt;"是","追价",IF(INDEX(账户总表!$M:$M,MATCH($A140,账户总表!$A:$A,0))&gt;2,"亏钱效应偏高",IF(INDEX(账户总表!$V:$V,MATCH($A140,账户总表!$A:$A,0))&lt;&gt;"是","账户不允许新开仓",IF(AND(T140&gt;INDEX(账户总表!$C:$C,MATCH($A140,账户总表!$A:$A,0)),INDEX(账户总表!$U:$U,MATCH($A140,账户总表!$A:$A,0))&lt;&gt;"是"),"现金不足且不允许转入",IF(AND(Z140="是",AB140&lt;=0),"转入金额未满足",""))))))))))))</f>
        <v/>
      </c>
      <c r="AE140" s="33"/>
    </row>
    <row r="141" customFormat="false" ht="15" hidden="false" customHeight="true" outlineLevel="0" collapsed="false">
      <c r="A141" s="32"/>
      <c r="B141" s="33"/>
      <c r="C141" s="34"/>
      <c r="D141" s="35"/>
      <c r="E141" s="35"/>
      <c r="F141" s="35"/>
      <c r="G141" s="36"/>
      <c r="H141" s="34"/>
      <c r="I141" s="34"/>
      <c r="J141" s="33"/>
      <c r="K141" s="37" t="str">
        <f aca="false">IF($A141="","",IF(AND(G141&lt;45%,H141&gt;=0.9),"A",IF(AND(G141&lt;60%,H141&gt;0.8),"B","C")))</f>
        <v/>
      </c>
      <c r="L141" s="37" t="str">
        <f aca="false">IF($A141="","",IF(AND(G141&lt;60%,H141&gt;0.8,I141="True"),"是","否"))</f>
        <v/>
      </c>
      <c r="M141" s="37" t="str">
        <f aca="false">IF($A141="","",IF(AND(D141&gt;0,E141&gt;0,D141&lt;=E141*1.02),"是","否"))</f>
        <v/>
      </c>
      <c r="N141" s="38" t="n">
        <f aca="false">IFERROR(INDEX(账户总表!$O:$O,MATCH($A141,账户总表!$A:$A,0)),0)</f>
        <v>0</v>
      </c>
      <c r="O141" s="39" t="n">
        <f aca="false">IFERROR(INDEX(账户总表!$B:$B,MATCH($A141,账户总表!$A:$A,0))*N141,0)</f>
        <v>0</v>
      </c>
      <c r="P141" s="40" t="n">
        <f aca="false">IFERROR(O141/D141,0)</f>
        <v>0</v>
      </c>
      <c r="Q141" s="40" t="n">
        <f aca="false">IFERROR(FLOOR(P141,100),0)</f>
        <v>0</v>
      </c>
      <c r="R141" s="40" t="n">
        <f aca="false">IFERROR(CEILING(800/(100*D141),1)*100,0)</f>
        <v>0</v>
      </c>
      <c r="S141" s="41"/>
      <c r="T141" s="39" t="n">
        <f aca="false">IFERROR(S141*D141,0)</f>
        <v>0</v>
      </c>
      <c r="U141" s="38" t="n">
        <f aca="false">IFERROR(T141/INDEX(账户总表!$B:$B,MATCH($A141,账户总表!$A:$A,0)),0)</f>
        <v>0</v>
      </c>
      <c r="V141" s="38" t="n">
        <f aca="false">IFERROR(INDEX(账户总表!$E:$E,MATCH($A141,账户总表!$A:$A,0))+U141,0)</f>
        <v>0</v>
      </c>
      <c r="W141" s="37" t="str">
        <f aca="false">IF($A141="","",IFERROR(IF(V141&lt;=INDEX(账户总表!$N:$N,MATCH($A141,账户总表!$A:$A,0)),"是","否"),"否"))</f>
        <v/>
      </c>
      <c r="X141" s="39" t="str">
        <f aca="false">IF($A141="","",MAX(F141*0.98,D141*0.92))</f>
        <v/>
      </c>
      <c r="Y141" s="34"/>
      <c r="Z141" s="37" t="str">
        <f aca="false">IF($A141="","",IFERROR(IF(AND(T141&gt;INDEX(账户总表!$C:$C,MATCH($A141,账户总表!$A:$A,0)),L141="是"),"是","否"),"否"))</f>
        <v/>
      </c>
      <c r="AA141" s="39" t="str">
        <f aca="false">IF($A141="","",IFERROR(IF(Z141="是",MAX(0,T141-INDEX(账户总表!$C:$C,MATCH($A141,账户总表!$A:$A,0)),IF(N141&gt;0,T141/N141-INDEX(账户总表!$B:$B,MATCH($A141,账户总表!$A:$A,0)),0)),0),0))</f>
        <v/>
      </c>
      <c r="AB141" s="39" t="str">
        <f aca="false">IF($A141="","",IF(AND(Z141="是",INDEX(账户总表!$U:$U,MATCH($A141,账户总表!$A:$A,0))="是"),IF(INDEX(账户总表!$L:$L,MATCH($A141,账户总表!$A:$A,0))&gt;=4,AA141*1.5,AA141),0))</f>
        <v/>
      </c>
      <c r="AC141" s="42" t="str">
        <f aca="false">IF($A141="","",IF(AND(L141="是",Q141&gt;=R141,S141&lt;=Q141,S141&gt;=R141,W141="是",X141&gt;0,M141="是",INDEX(账户总表!$M:$M,MATCH($A141,账户总表!$A:$A,0))&lt;=2,INDEX(账户总表!$V:$V,MATCH($A141,账户总表!$A:$A,0))="是",OR(T141&lt;=INDEX(账户总表!$C:$C,MATCH($A141,账户总表!$A:$A,0)),AND(Z141="是",INDEX(账户总表!$U:$U,MATCH($A141,账户总表!$A:$A,0))="是",AB141&gt;0))),"是","否"))</f>
        <v/>
      </c>
      <c r="AD141" s="37" t="str">
        <f aca="false">IF($A141="","",IF(L141&lt;&gt;"是","信号未确认",IF(X141&lt;=0,"止损价未定义",IF(Q141&lt;R141,"100股约束不满足",IF(S141&gt;Q141,"计划股数超单股上限",IF(S141&lt;R141,"计划股数低于最小门槛",IF(W141&lt;&gt;"是","总仓位超限",IF(M141&lt;&gt;"是","追价",IF(INDEX(账户总表!$M:$M,MATCH($A141,账户总表!$A:$A,0))&gt;2,"亏钱效应偏高",IF(INDEX(账户总表!$V:$V,MATCH($A141,账户总表!$A:$A,0))&lt;&gt;"是","账户不允许新开仓",IF(AND(T141&gt;INDEX(账户总表!$C:$C,MATCH($A141,账户总表!$A:$A,0)),INDEX(账户总表!$U:$U,MATCH($A141,账户总表!$A:$A,0))&lt;&gt;"是"),"现金不足且不允许转入",IF(AND(Z141="是",AB141&lt;=0),"转入金额未满足",""))))))))))))</f>
        <v/>
      </c>
      <c r="AE141" s="33"/>
    </row>
    <row r="142" customFormat="false" ht="15" hidden="false" customHeight="true" outlineLevel="0" collapsed="false">
      <c r="A142" s="32"/>
      <c r="B142" s="33"/>
      <c r="C142" s="34"/>
      <c r="D142" s="35"/>
      <c r="E142" s="35"/>
      <c r="F142" s="35"/>
      <c r="G142" s="36"/>
      <c r="H142" s="34"/>
      <c r="I142" s="34"/>
      <c r="J142" s="33"/>
      <c r="K142" s="37" t="str">
        <f aca="false">IF($A142="","",IF(AND(G142&lt;45%,H142&gt;=0.9),"A",IF(AND(G142&lt;60%,H142&gt;0.8),"B","C")))</f>
        <v/>
      </c>
      <c r="L142" s="37" t="str">
        <f aca="false">IF($A142="","",IF(AND(G142&lt;60%,H142&gt;0.8,I142="True"),"是","否"))</f>
        <v/>
      </c>
      <c r="M142" s="37" t="str">
        <f aca="false">IF($A142="","",IF(AND(D142&gt;0,E142&gt;0,D142&lt;=E142*1.02),"是","否"))</f>
        <v/>
      </c>
      <c r="N142" s="38" t="n">
        <f aca="false">IFERROR(INDEX(账户总表!$O:$O,MATCH($A142,账户总表!$A:$A,0)),0)</f>
        <v>0</v>
      </c>
      <c r="O142" s="39" t="n">
        <f aca="false">IFERROR(INDEX(账户总表!$B:$B,MATCH($A142,账户总表!$A:$A,0))*N142,0)</f>
        <v>0</v>
      </c>
      <c r="P142" s="40" t="n">
        <f aca="false">IFERROR(O142/D142,0)</f>
        <v>0</v>
      </c>
      <c r="Q142" s="40" t="n">
        <f aca="false">IFERROR(FLOOR(P142,100),0)</f>
        <v>0</v>
      </c>
      <c r="R142" s="40" t="n">
        <f aca="false">IFERROR(CEILING(800/(100*D142),1)*100,0)</f>
        <v>0</v>
      </c>
      <c r="S142" s="41"/>
      <c r="T142" s="39" t="n">
        <f aca="false">IFERROR(S142*D142,0)</f>
        <v>0</v>
      </c>
      <c r="U142" s="38" t="n">
        <f aca="false">IFERROR(T142/INDEX(账户总表!$B:$B,MATCH($A142,账户总表!$A:$A,0)),0)</f>
        <v>0</v>
      </c>
      <c r="V142" s="38" t="n">
        <f aca="false">IFERROR(INDEX(账户总表!$E:$E,MATCH($A142,账户总表!$A:$A,0))+U142,0)</f>
        <v>0</v>
      </c>
      <c r="W142" s="37" t="str">
        <f aca="false">IF($A142="","",IFERROR(IF(V142&lt;=INDEX(账户总表!$N:$N,MATCH($A142,账户总表!$A:$A,0)),"是","否"),"否"))</f>
        <v/>
      </c>
      <c r="X142" s="39" t="str">
        <f aca="false">IF($A142="","",MAX(F142*0.98,D142*0.92))</f>
        <v/>
      </c>
      <c r="Y142" s="34"/>
      <c r="Z142" s="37" t="str">
        <f aca="false">IF($A142="","",IFERROR(IF(AND(T142&gt;INDEX(账户总表!$C:$C,MATCH($A142,账户总表!$A:$A,0)),L142="是"),"是","否"),"否"))</f>
        <v/>
      </c>
      <c r="AA142" s="39" t="str">
        <f aca="false">IF($A142="","",IFERROR(IF(Z142="是",MAX(0,T142-INDEX(账户总表!$C:$C,MATCH($A142,账户总表!$A:$A,0)),IF(N142&gt;0,T142/N142-INDEX(账户总表!$B:$B,MATCH($A142,账户总表!$A:$A,0)),0)),0),0))</f>
        <v/>
      </c>
      <c r="AB142" s="39" t="str">
        <f aca="false">IF($A142="","",IF(AND(Z142="是",INDEX(账户总表!$U:$U,MATCH($A142,账户总表!$A:$A,0))="是"),IF(INDEX(账户总表!$L:$L,MATCH($A142,账户总表!$A:$A,0))&gt;=4,AA142*1.5,AA142),0))</f>
        <v/>
      </c>
      <c r="AC142" s="42" t="str">
        <f aca="false">IF($A142="","",IF(AND(L142="是",Q142&gt;=R142,S142&lt;=Q142,S142&gt;=R142,W142="是",X142&gt;0,M142="是",INDEX(账户总表!$M:$M,MATCH($A142,账户总表!$A:$A,0))&lt;=2,INDEX(账户总表!$V:$V,MATCH($A142,账户总表!$A:$A,0))="是",OR(T142&lt;=INDEX(账户总表!$C:$C,MATCH($A142,账户总表!$A:$A,0)),AND(Z142="是",INDEX(账户总表!$U:$U,MATCH($A142,账户总表!$A:$A,0))="是",AB142&gt;0))),"是","否"))</f>
        <v/>
      </c>
      <c r="AD142" s="37" t="str">
        <f aca="false">IF($A142="","",IF(L142&lt;&gt;"是","信号未确认",IF(X142&lt;=0,"止损价未定义",IF(Q142&lt;R142,"100股约束不满足",IF(S142&gt;Q142,"计划股数超单股上限",IF(S142&lt;R142,"计划股数低于最小门槛",IF(W142&lt;&gt;"是","总仓位超限",IF(M142&lt;&gt;"是","追价",IF(INDEX(账户总表!$M:$M,MATCH($A142,账户总表!$A:$A,0))&gt;2,"亏钱效应偏高",IF(INDEX(账户总表!$V:$V,MATCH($A142,账户总表!$A:$A,0))&lt;&gt;"是","账户不允许新开仓",IF(AND(T142&gt;INDEX(账户总表!$C:$C,MATCH($A142,账户总表!$A:$A,0)),INDEX(账户总表!$U:$U,MATCH($A142,账户总表!$A:$A,0))&lt;&gt;"是"),"现金不足且不允许转入",IF(AND(Z142="是",AB142&lt;=0),"转入金额未满足",""))))))))))))</f>
        <v/>
      </c>
      <c r="AE142" s="33"/>
    </row>
    <row r="143" customFormat="false" ht="15" hidden="false" customHeight="true" outlineLevel="0" collapsed="false">
      <c r="A143" s="32"/>
      <c r="B143" s="33"/>
      <c r="C143" s="34"/>
      <c r="D143" s="35"/>
      <c r="E143" s="35"/>
      <c r="F143" s="35"/>
      <c r="G143" s="36"/>
      <c r="H143" s="34"/>
      <c r="I143" s="34"/>
      <c r="J143" s="33"/>
      <c r="K143" s="37" t="str">
        <f aca="false">IF($A143="","",IF(AND(G143&lt;45%,H143&gt;=0.9),"A",IF(AND(G143&lt;60%,H143&gt;0.8),"B","C")))</f>
        <v/>
      </c>
      <c r="L143" s="37" t="str">
        <f aca="false">IF($A143="","",IF(AND(G143&lt;60%,H143&gt;0.8,I143="True"),"是","否"))</f>
        <v/>
      </c>
      <c r="M143" s="37" t="str">
        <f aca="false">IF($A143="","",IF(AND(D143&gt;0,E143&gt;0,D143&lt;=E143*1.02),"是","否"))</f>
        <v/>
      </c>
      <c r="N143" s="38" t="n">
        <f aca="false">IFERROR(INDEX(账户总表!$O:$O,MATCH($A143,账户总表!$A:$A,0)),0)</f>
        <v>0</v>
      </c>
      <c r="O143" s="39" t="n">
        <f aca="false">IFERROR(INDEX(账户总表!$B:$B,MATCH($A143,账户总表!$A:$A,0))*N143,0)</f>
        <v>0</v>
      </c>
      <c r="P143" s="40" t="n">
        <f aca="false">IFERROR(O143/D143,0)</f>
        <v>0</v>
      </c>
      <c r="Q143" s="40" t="n">
        <f aca="false">IFERROR(FLOOR(P143,100),0)</f>
        <v>0</v>
      </c>
      <c r="R143" s="40" t="n">
        <f aca="false">IFERROR(CEILING(800/(100*D143),1)*100,0)</f>
        <v>0</v>
      </c>
      <c r="S143" s="41"/>
      <c r="T143" s="39" t="n">
        <f aca="false">IFERROR(S143*D143,0)</f>
        <v>0</v>
      </c>
      <c r="U143" s="38" t="n">
        <f aca="false">IFERROR(T143/INDEX(账户总表!$B:$B,MATCH($A143,账户总表!$A:$A,0)),0)</f>
        <v>0</v>
      </c>
      <c r="V143" s="38" t="n">
        <f aca="false">IFERROR(INDEX(账户总表!$E:$E,MATCH($A143,账户总表!$A:$A,0))+U143,0)</f>
        <v>0</v>
      </c>
      <c r="W143" s="37" t="str">
        <f aca="false">IF($A143="","",IFERROR(IF(V143&lt;=INDEX(账户总表!$N:$N,MATCH($A143,账户总表!$A:$A,0)),"是","否"),"否"))</f>
        <v/>
      </c>
      <c r="X143" s="39" t="str">
        <f aca="false">IF($A143="","",MAX(F143*0.98,D143*0.92))</f>
        <v/>
      </c>
      <c r="Y143" s="34"/>
      <c r="Z143" s="37" t="str">
        <f aca="false">IF($A143="","",IFERROR(IF(AND(T143&gt;INDEX(账户总表!$C:$C,MATCH($A143,账户总表!$A:$A,0)),L143="是"),"是","否"),"否"))</f>
        <v/>
      </c>
      <c r="AA143" s="39" t="str">
        <f aca="false">IF($A143="","",IFERROR(IF(Z143="是",MAX(0,T143-INDEX(账户总表!$C:$C,MATCH($A143,账户总表!$A:$A,0)),IF(N143&gt;0,T143/N143-INDEX(账户总表!$B:$B,MATCH($A143,账户总表!$A:$A,0)),0)),0),0))</f>
        <v/>
      </c>
      <c r="AB143" s="39" t="str">
        <f aca="false">IF($A143="","",IF(AND(Z143="是",INDEX(账户总表!$U:$U,MATCH($A143,账户总表!$A:$A,0))="是"),IF(INDEX(账户总表!$L:$L,MATCH($A143,账户总表!$A:$A,0))&gt;=4,AA143*1.5,AA143),0))</f>
        <v/>
      </c>
      <c r="AC143" s="42" t="str">
        <f aca="false">IF($A143="","",IF(AND(L143="是",Q143&gt;=R143,S143&lt;=Q143,S143&gt;=R143,W143="是",X143&gt;0,M143="是",INDEX(账户总表!$M:$M,MATCH($A143,账户总表!$A:$A,0))&lt;=2,INDEX(账户总表!$V:$V,MATCH($A143,账户总表!$A:$A,0))="是",OR(T143&lt;=INDEX(账户总表!$C:$C,MATCH($A143,账户总表!$A:$A,0)),AND(Z143="是",INDEX(账户总表!$U:$U,MATCH($A143,账户总表!$A:$A,0))="是",AB143&gt;0))),"是","否"))</f>
        <v/>
      </c>
      <c r="AD143" s="37" t="str">
        <f aca="false">IF($A143="","",IF(L143&lt;&gt;"是","信号未确认",IF(X143&lt;=0,"止损价未定义",IF(Q143&lt;R143,"100股约束不满足",IF(S143&gt;Q143,"计划股数超单股上限",IF(S143&lt;R143,"计划股数低于最小门槛",IF(W143&lt;&gt;"是","总仓位超限",IF(M143&lt;&gt;"是","追价",IF(INDEX(账户总表!$M:$M,MATCH($A143,账户总表!$A:$A,0))&gt;2,"亏钱效应偏高",IF(INDEX(账户总表!$V:$V,MATCH($A143,账户总表!$A:$A,0))&lt;&gt;"是","账户不允许新开仓",IF(AND(T143&gt;INDEX(账户总表!$C:$C,MATCH($A143,账户总表!$A:$A,0)),INDEX(账户总表!$U:$U,MATCH($A143,账户总表!$A:$A,0))&lt;&gt;"是"),"现金不足且不允许转入",IF(AND(Z143="是",AB143&lt;=0),"转入金额未满足",""))))))))))))</f>
        <v/>
      </c>
      <c r="AE143" s="33"/>
    </row>
    <row r="144" customFormat="false" ht="15" hidden="false" customHeight="true" outlineLevel="0" collapsed="false">
      <c r="A144" s="32"/>
      <c r="B144" s="33"/>
      <c r="C144" s="34"/>
      <c r="D144" s="35"/>
      <c r="E144" s="35"/>
      <c r="F144" s="35"/>
      <c r="G144" s="36"/>
      <c r="H144" s="34"/>
      <c r="I144" s="34"/>
      <c r="J144" s="33"/>
      <c r="K144" s="37" t="str">
        <f aca="false">IF($A144="","",IF(AND(G144&lt;45%,H144&gt;=0.9),"A",IF(AND(G144&lt;60%,H144&gt;0.8),"B","C")))</f>
        <v/>
      </c>
      <c r="L144" s="37" t="str">
        <f aca="false">IF($A144="","",IF(AND(G144&lt;60%,H144&gt;0.8,I144="True"),"是","否"))</f>
        <v/>
      </c>
      <c r="M144" s="37" t="str">
        <f aca="false">IF($A144="","",IF(AND(D144&gt;0,E144&gt;0,D144&lt;=E144*1.02),"是","否"))</f>
        <v/>
      </c>
      <c r="N144" s="38" t="n">
        <f aca="false">IFERROR(INDEX(账户总表!$O:$O,MATCH($A144,账户总表!$A:$A,0)),0)</f>
        <v>0</v>
      </c>
      <c r="O144" s="39" t="n">
        <f aca="false">IFERROR(INDEX(账户总表!$B:$B,MATCH($A144,账户总表!$A:$A,0))*N144,0)</f>
        <v>0</v>
      </c>
      <c r="P144" s="40" t="n">
        <f aca="false">IFERROR(O144/D144,0)</f>
        <v>0</v>
      </c>
      <c r="Q144" s="40" t="n">
        <f aca="false">IFERROR(FLOOR(P144,100),0)</f>
        <v>0</v>
      </c>
      <c r="R144" s="40" t="n">
        <f aca="false">IFERROR(CEILING(800/(100*D144),1)*100,0)</f>
        <v>0</v>
      </c>
      <c r="S144" s="41"/>
      <c r="T144" s="39" t="n">
        <f aca="false">IFERROR(S144*D144,0)</f>
        <v>0</v>
      </c>
      <c r="U144" s="38" t="n">
        <f aca="false">IFERROR(T144/INDEX(账户总表!$B:$B,MATCH($A144,账户总表!$A:$A,0)),0)</f>
        <v>0</v>
      </c>
      <c r="V144" s="38" t="n">
        <f aca="false">IFERROR(INDEX(账户总表!$E:$E,MATCH($A144,账户总表!$A:$A,0))+U144,0)</f>
        <v>0</v>
      </c>
      <c r="W144" s="37" t="str">
        <f aca="false">IF($A144="","",IFERROR(IF(V144&lt;=INDEX(账户总表!$N:$N,MATCH($A144,账户总表!$A:$A,0)),"是","否"),"否"))</f>
        <v/>
      </c>
      <c r="X144" s="39" t="str">
        <f aca="false">IF($A144="","",MAX(F144*0.98,D144*0.92))</f>
        <v/>
      </c>
      <c r="Y144" s="34"/>
      <c r="Z144" s="37" t="str">
        <f aca="false">IF($A144="","",IFERROR(IF(AND(T144&gt;INDEX(账户总表!$C:$C,MATCH($A144,账户总表!$A:$A,0)),L144="是"),"是","否"),"否"))</f>
        <v/>
      </c>
      <c r="AA144" s="39" t="str">
        <f aca="false">IF($A144="","",IFERROR(IF(Z144="是",MAX(0,T144-INDEX(账户总表!$C:$C,MATCH($A144,账户总表!$A:$A,0)),IF(N144&gt;0,T144/N144-INDEX(账户总表!$B:$B,MATCH($A144,账户总表!$A:$A,0)),0)),0),0))</f>
        <v/>
      </c>
      <c r="AB144" s="39" t="str">
        <f aca="false">IF($A144="","",IF(AND(Z144="是",INDEX(账户总表!$U:$U,MATCH($A144,账户总表!$A:$A,0))="是"),IF(INDEX(账户总表!$L:$L,MATCH($A144,账户总表!$A:$A,0))&gt;=4,AA144*1.5,AA144),0))</f>
        <v/>
      </c>
      <c r="AC144" s="42" t="str">
        <f aca="false">IF($A144="","",IF(AND(L144="是",Q144&gt;=R144,S144&lt;=Q144,S144&gt;=R144,W144="是",X144&gt;0,M144="是",INDEX(账户总表!$M:$M,MATCH($A144,账户总表!$A:$A,0))&lt;=2,INDEX(账户总表!$V:$V,MATCH($A144,账户总表!$A:$A,0))="是",OR(T144&lt;=INDEX(账户总表!$C:$C,MATCH($A144,账户总表!$A:$A,0)),AND(Z144="是",INDEX(账户总表!$U:$U,MATCH($A144,账户总表!$A:$A,0))="是",AB144&gt;0))),"是","否"))</f>
        <v/>
      </c>
      <c r="AD144" s="37" t="str">
        <f aca="false">IF($A144="","",IF(L144&lt;&gt;"是","信号未确认",IF(X144&lt;=0,"止损价未定义",IF(Q144&lt;R144,"100股约束不满足",IF(S144&gt;Q144,"计划股数超单股上限",IF(S144&lt;R144,"计划股数低于最小门槛",IF(W144&lt;&gt;"是","总仓位超限",IF(M144&lt;&gt;"是","追价",IF(INDEX(账户总表!$M:$M,MATCH($A144,账户总表!$A:$A,0))&gt;2,"亏钱效应偏高",IF(INDEX(账户总表!$V:$V,MATCH($A144,账户总表!$A:$A,0))&lt;&gt;"是","账户不允许新开仓",IF(AND(T144&gt;INDEX(账户总表!$C:$C,MATCH($A144,账户总表!$A:$A,0)),INDEX(账户总表!$U:$U,MATCH($A144,账户总表!$A:$A,0))&lt;&gt;"是"),"现金不足且不允许转入",IF(AND(Z144="是",AB144&lt;=0),"转入金额未满足",""))))))))))))</f>
        <v/>
      </c>
      <c r="AE144" s="33"/>
    </row>
    <row r="145" customFormat="false" ht="15" hidden="false" customHeight="true" outlineLevel="0" collapsed="false">
      <c r="A145" s="32"/>
      <c r="B145" s="33"/>
      <c r="C145" s="34"/>
      <c r="D145" s="35"/>
      <c r="E145" s="35"/>
      <c r="F145" s="35"/>
      <c r="G145" s="36"/>
      <c r="H145" s="34"/>
      <c r="I145" s="34"/>
      <c r="J145" s="33"/>
      <c r="K145" s="37" t="str">
        <f aca="false">IF($A145="","",IF(AND(G145&lt;45%,H145&gt;=0.9),"A",IF(AND(G145&lt;60%,H145&gt;0.8),"B","C")))</f>
        <v/>
      </c>
      <c r="L145" s="37" t="str">
        <f aca="false">IF($A145="","",IF(AND(G145&lt;60%,H145&gt;0.8,I145="True"),"是","否"))</f>
        <v/>
      </c>
      <c r="M145" s="37" t="str">
        <f aca="false">IF($A145="","",IF(AND(D145&gt;0,E145&gt;0,D145&lt;=E145*1.02),"是","否"))</f>
        <v/>
      </c>
      <c r="N145" s="38" t="n">
        <f aca="false">IFERROR(INDEX(账户总表!$O:$O,MATCH($A145,账户总表!$A:$A,0)),0)</f>
        <v>0</v>
      </c>
      <c r="O145" s="39" t="n">
        <f aca="false">IFERROR(INDEX(账户总表!$B:$B,MATCH($A145,账户总表!$A:$A,0))*N145,0)</f>
        <v>0</v>
      </c>
      <c r="P145" s="40" t="n">
        <f aca="false">IFERROR(O145/D145,0)</f>
        <v>0</v>
      </c>
      <c r="Q145" s="40" t="n">
        <f aca="false">IFERROR(FLOOR(P145,100),0)</f>
        <v>0</v>
      </c>
      <c r="R145" s="40" t="n">
        <f aca="false">IFERROR(CEILING(800/(100*D145),1)*100,0)</f>
        <v>0</v>
      </c>
      <c r="S145" s="41"/>
      <c r="T145" s="39" t="n">
        <f aca="false">IFERROR(S145*D145,0)</f>
        <v>0</v>
      </c>
      <c r="U145" s="38" t="n">
        <f aca="false">IFERROR(T145/INDEX(账户总表!$B:$B,MATCH($A145,账户总表!$A:$A,0)),0)</f>
        <v>0</v>
      </c>
      <c r="V145" s="38" t="n">
        <f aca="false">IFERROR(INDEX(账户总表!$E:$E,MATCH($A145,账户总表!$A:$A,0))+U145,0)</f>
        <v>0</v>
      </c>
      <c r="W145" s="37" t="str">
        <f aca="false">IF($A145="","",IFERROR(IF(V145&lt;=INDEX(账户总表!$N:$N,MATCH($A145,账户总表!$A:$A,0)),"是","否"),"否"))</f>
        <v/>
      </c>
      <c r="X145" s="39" t="str">
        <f aca="false">IF($A145="","",MAX(F145*0.98,D145*0.92))</f>
        <v/>
      </c>
      <c r="Y145" s="34"/>
      <c r="Z145" s="37" t="str">
        <f aca="false">IF($A145="","",IFERROR(IF(AND(T145&gt;INDEX(账户总表!$C:$C,MATCH($A145,账户总表!$A:$A,0)),L145="是"),"是","否"),"否"))</f>
        <v/>
      </c>
      <c r="AA145" s="39" t="str">
        <f aca="false">IF($A145="","",IFERROR(IF(Z145="是",MAX(0,T145-INDEX(账户总表!$C:$C,MATCH($A145,账户总表!$A:$A,0)),IF(N145&gt;0,T145/N145-INDEX(账户总表!$B:$B,MATCH($A145,账户总表!$A:$A,0)),0)),0),0))</f>
        <v/>
      </c>
      <c r="AB145" s="39" t="str">
        <f aca="false">IF($A145="","",IF(AND(Z145="是",INDEX(账户总表!$U:$U,MATCH($A145,账户总表!$A:$A,0))="是"),IF(INDEX(账户总表!$L:$L,MATCH($A145,账户总表!$A:$A,0))&gt;=4,AA145*1.5,AA145),0))</f>
        <v/>
      </c>
      <c r="AC145" s="42" t="str">
        <f aca="false">IF($A145="","",IF(AND(L145="是",Q145&gt;=R145,S145&lt;=Q145,S145&gt;=R145,W145="是",X145&gt;0,M145="是",INDEX(账户总表!$M:$M,MATCH($A145,账户总表!$A:$A,0))&lt;=2,INDEX(账户总表!$V:$V,MATCH($A145,账户总表!$A:$A,0))="是",OR(T145&lt;=INDEX(账户总表!$C:$C,MATCH($A145,账户总表!$A:$A,0)),AND(Z145="是",INDEX(账户总表!$U:$U,MATCH($A145,账户总表!$A:$A,0))="是",AB145&gt;0))),"是","否"))</f>
        <v/>
      </c>
      <c r="AD145" s="37" t="str">
        <f aca="false">IF($A145="","",IF(L145&lt;&gt;"是","信号未确认",IF(X145&lt;=0,"止损价未定义",IF(Q145&lt;R145,"100股约束不满足",IF(S145&gt;Q145,"计划股数超单股上限",IF(S145&lt;R145,"计划股数低于最小门槛",IF(W145&lt;&gt;"是","总仓位超限",IF(M145&lt;&gt;"是","追价",IF(INDEX(账户总表!$M:$M,MATCH($A145,账户总表!$A:$A,0))&gt;2,"亏钱效应偏高",IF(INDEX(账户总表!$V:$V,MATCH($A145,账户总表!$A:$A,0))&lt;&gt;"是","账户不允许新开仓",IF(AND(T145&gt;INDEX(账户总表!$C:$C,MATCH($A145,账户总表!$A:$A,0)),INDEX(账户总表!$U:$U,MATCH($A145,账户总表!$A:$A,0))&lt;&gt;"是"),"现金不足且不允许转入",IF(AND(Z145="是",AB145&lt;=0),"转入金额未满足",""))))))))))))</f>
        <v/>
      </c>
      <c r="AE145" s="33"/>
    </row>
    <row r="146" customFormat="false" ht="15" hidden="false" customHeight="true" outlineLevel="0" collapsed="false">
      <c r="A146" s="32"/>
      <c r="B146" s="33"/>
      <c r="C146" s="34"/>
      <c r="D146" s="35"/>
      <c r="E146" s="35"/>
      <c r="F146" s="35"/>
      <c r="G146" s="36"/>
      <c r="H146" s="34"/>
      <c r="I146" s="34"/>
      <c r="J146" s="33"/>
      <c r="K146" s="37" t="str">
        <f aca="false">IF($A146="","",IF(AND(G146&lt;45%,H146&gt;=0.9),"A",IF(AND(G146&lt;60%,H146&gt;0.8),"B","C")))</f>
        <v/>
      </c>
      <c r="L146" s="37" t="str">
        <f aca="false">IF($A146="","",IF(AND(G146&lt;60%,H146&gt;0.8,I146="True"),"是","否"))</f>
        <v/>
      </c>
      <c r="M146" s="37" t="str">
        <f aca="false">IF($A146="","",IF(AND(D146&gt;0,E146&gt;0,D146&lt;=E146*1.02),"是","否"))</f>
        <v/>
      </c>
      <c r="N146" s="38" t="n">
        <f aca="false">IFERROR(INDEX(账户总表!$O:$O,MATCH($A146,账户总表!$A:$A,0)),0)</f>
        <v>0</v>
      </c>
      <c r="O146" s="39" t="n">
        <f aca="false">IFERROR(INDEX(账户总表!$B:$B,MATCH($A146,账户总表!$A:$A,0))*N146,0)</f>
        <v>0</v>
      </c>
      <c r="P146" s="40" t="n">
        <f aca="false">IFERROR(O146/D146,0)</f>
        <v>0</v>
      </c>
      <c r="Q146" s="40" t="n">
        <f aca="false">IFERROR(FLOOR(P146,100),0)</f>
        <v>0</v>
      </c>
      <c r="R146" s="40" t="n">
        <f aca="false">IFERROR(CEILING(800/(100*D146),1)*100,0)</f>
        <v>0</v>
      </c>
      <c r="S146" s="41"/>
      <c r="T146" s="39" t="n">
        <f aca="false">IFERROR(S146*D146,0)</f>
        <v>0</v>
      </c>
      <c r="U146" s="38" t="n">
        <f aca="false">IFERROR(T146/INDEX(账户总表!$B:$B,MATCH($A146,账户总表!$A:$A,0)),0)</f>
        <v>0</v>
      </c>
      <c r="V146" s="38" t="n">
        <f aca="false">IFERROR(INDEX(账户总表!$E:$E,MATCH($A146,账户总表!$A:$A,0))+U146,0)</f>
        <v>0</v>
      </c>
      <c r="W146" s="37" t="str">
        <f aca="false">IF($A146="","",IFERROR(IF(V146&lt;=INDEX(账户总表!$N:$N,MATCH($A146,账户总表!$A:$A,0)),"是","否"),"否"))</f>
        <v/>
      </c>
      <c r="X146" s="39" t="str">
        <f aca="false">IF($A146="","",MAX(F146*0.98,D146*0.92))</f>
        <v/>
      </c>
      <c r="Y146" s="34"/>
      <c r="Z146" s="37" t="str">
        <f aca="false">IF($A146="","",IFERROR(IF(AND(T146&gt;INDEX(账户总表!$C:$C,MATCH($A146,账户总表!$A:$A,0)),L146="是"),"是","否"),"否"))</f>
        <v/>
      </c>
      <c r="AA146" s="39" t="str">
        <f aca="false">IF($A146="","",IFERROR(IF(Z146="是",MAX(0,T146-INDEX(账户总表!$C:$C,MATCH($A146,账户总表!$A:$A,0)),IF(N146&gt;0,T146/N146-INDEX(账户总表!$B:$B,MATCH($A146,账户总表!$A:$A,0)),0)),0),0))</f>
        <v/>
      </c>
      <c r="AB146" s="39" t="str">
        <f aca="false">IF($A146="","",IF(AND(Z146="是",INDEX(账户总表!$U:$U,MATCH($A146,账户总表!$A:$A,0))="是"),IF(INDEX(账户总表!$L:$L,MATCH($A146,账户总表!$A:$A,0))&gt;=4,AA146*1.5,AA146),0))</f>
        <v/>
      </c>
      <c r="AC146" s="42" t="str">
        <f aca="false">IF($A146="","",IF(AND(L146="是",Q146&gt;=R146,S146&lt;=Q146,S146&gt;=R146,W146="是",X146&gt;0,M146="是",INDEX(账户总表!$M:$M,MATCH($A146,账户总表!$A:$A,0))&lt;=2,INDEX(账户总表!$V:$V,MATCH($A146,账户总表!$A:$A,0))="是",OR(T146&lt;=INDEX(账户总表!$C:$C,MATCH($A146,账户总表!$A:$A,0)),AND(Z146="是",INDEX(账户总表!$U:$U,MATCH($A146,账户总表!$A:$A,0))="是",AB146&gt;0))),"是","否"))</f>
        <v/>
      </c>
      <c r="AD146" s="37" t="str">
        <f aca="false">IF($A146="","",IF(L146&lt;&gt;"是","信号未确认",IF(X146&lt;=0,"止损价未定义",IF(Q146&lt;R146,"100股约束不满足",IF(S146&gt;Q146,"计划股数超单股上限",IF(S146&lt;R146,"计划股数低于最小门槛",IF(W146&lt;&gt;"是","总仓位超限",IF(M146&lt;&gt;"是","追价",IF(INDEX(账户总表!$M:$M,MATCH($A146,账户总表!$A:$A,0))&gt;2,"亏钱效应偏高",IF(INDEX(账户总表!$V:$V,MATCH($A146,账户总表!$A:$A,0))&lt;&gt;"是","账户不允许新开仓",IF(AND(T146&gt;INDEX(账户总表!$C:$C,MATCH($A146,账户总表!$A:$A,0)),INDEX(账户总表!$U:$U,MATCH($A146,账户总表!$A:$A,0))&lt;&gt;"是"),"现金不足且不允许转入",IF(AND(Z146="是",AB146&lt;=0),"转入金额未满足",""))))))))))))</f>
        <v/>
      </c>
      <c r="AE146" s="33"/>
    </row>
    <row r="147" customFormat="false" ht="15" hidden="false" customHeight="true" outlineLevel="0" collapsed="false">
      <c r="A147" s="32"/>
      <c r="B147" s="33"/>
      <c r="C147" s="34"/>
      <c r="D147" s="35"/>
      <c r="E147" s="35"/>
      <c r="F147" s="35"/>
      <c r="G147" s="36"/>
      <c r="H147" s="34"/>
      <c r="I147" s="34"/>
      <c r="J147" s="33"/>
      <c r="K147" s="37" t="str">
        <f aca="false">IF($A147="","",IF(AND(G147&lt;45%,H147&gt;=0.9),"A",IF(AND(G147&lt;60%,H147&gt;0.8),"B","C")))</f>
        <v/>
      </c>
      <c r="L147" s="37" t="str">
        <f aca="false">IF($A147="","",IF(AND(G147&lt;60%,H147&gt;0.8,I147="True"),"是","否"))</f>
        <v/>
      </c>
      <c r="M147" s="37" t="str">
        <f aca="false">IF($A147="","",IF(AND(D147&gt;0,E147&gt;0,D147&lt;=E147*1.02),"是","否"))</f>
        <v/>
      </c>
      <c r="N147" s="38" t="n">
        <f aca="false">IFERROR(INDEX(账户总表!$O:$O,MATCH($A147,账户总表!$A:$A,0)),0)</f>
        <v>0</v>
      </c>
      <c r="O147" s="39" t="n">
        <f aca="false">IFERROR(INDEX(账户总表!$B:$B,MATCH($A147,账户总表!$A:$A,0))*N147,0)</f>
        <v>0</v>
      </c>
      <c r="P147" s="40" t="n">
        <f aca="false">IFERROR(O147/D147,0)</f>
        <v>0</v>
      </c>
      <c r="Q147" s="40" t="n">
        <f aca="false">IFERROR(FLOOR(P147,100),0)</f>
        <v>0</v>
      </c>
      <c r="R147" s="40" t="n">
        <f aca="false">IFERROR(CEILING(800/(100*D147),1)*100,0)</f>
        <v>0</v>
      </c>
      <c r="S147" s="41"/>
      <c r="T147" s="39" t="n">
        <f aca="false">IFERROR(S147*D147,0)</f>
        <v>0</v>
      </c>
      <c r="U147" s="38" t="n">
        <f aca="false">IFERROR(T147/INDEX(账户总表!$B:$B,MATCH($A147,账户总表!$A:$A,0)),0)</f>
        <v>0</v>
      </c>
      <c r="V147" s="38" t="n">
        <f aca="false">IFERROR(INDEX(账户总表!$E:$E,MATCH($A147,账户总表!$A:$A,0))+U147,0)</f>
        <v>0</v>
      </c>
      <c r="W147" s="37" t="str">
        <f aca="false">IF($A147="","",IFERROR(IF(V147&lt;=INDEX(账户总表!$N:$N,MATCH($A147,账户总表!$A:$A,0)),"是","否"),"否"))</f>
        <v/>
      </c>
      <c r="X147" s="39" t="str">
        <f aca="false">IF($A147="","",MAX(F147*0.98,D147*0.92))</f>
        <v/>
      </c>
      <c r="Y147" s="34"/>
      <c r="Z147" s="37" t="str">
        <f aca="false">IF($A147="","",IFERROR(IF(AND(T147&gt;INDEX(账户总表!$C:$C,MATCH($A147,账户总表!$A:$A,0)),L147="是"),"是","否"),"否"))</f>
        <v/>
      </c>
      <c r="AA147" s="39" t="str">
        <f aca="false">IF($A147="","",IFERROR(IF(Z147="是",MAX(0,T147-INDEX(账户总表!$C:$C,MATCH($A147,账户总表!$A:$A,0)),IF(N147&gt;0,T147/N147-INDEX(账户总表!$B:$B,MATCH($A147,账户总表!$A:$A,0)),0)),0),0))</f>
        <v/>
      </c>
      <c r="AB147" s="39" t="str">
        <f aca="false">IF($A147="","",IF(AND(Z147="是",INDEX(账户总表!$U:$U,MATCH($A147,账户总表!$A:$A,0))="是"),IF(INDEX(账户总表!$L:$L,MATCH($A147,账户总表!$A:$A,0))&gt;=4,AA147*1.5,AA147),0))</f>
        <v/>
      </c>
      <c r="AC147" s="42" t="str">
        <f aca="false">IF($A147="","",IF(AND(L147="是",Q147&gt;=R147,S147&lt;=Q147,S147&gt;=R147,W147="是",X147&gt;0,M147="是",INDEX(账户总表!$M:$M,MATCH($A147,账户总表!$A:$A,0))&lt;=2,INDEX(账户总表!$V:$V,MATCH($A147,账户总表!$A:$A,0))="是",OR(T147&lt;=INDEX(账户总表!$C:$C,MATCH($A147,账户总表!$A:$A,0)),AND(Z147="是",INDEX(账户总表!$U:$U,MATCH($A147,账户总表!$A:$A,0))="是",AB147&gt;0))),"是","否"))</f>
        <v/>
      </c>
      <c r="AD147" s="37" t="str">
        <f aca="false">IF($A147="","",IF(L147&lt;&gt;"是","信号未确认",IF(X147&lt;=0,"止损价未定义",IF(Q147&lt;R147,"100股约束不满足",IF(S147&gt;Q147,"计划股数超单股上限",IF(S147&lt;R147,"计划股数低于最小门槛",IF(W147&lt;&gt;"是","总仓位超限",IF(M147&lt;&gt;"是","追价",IF(INDEX(账户总表!$M:$M,MATCH($A147,账户总表!$A:$A,0))&gt;2,"亏钱效应偏高",IF(INDEX(账户总表!$V:$V,MATCH($A147,账户总表!$A:$A,0))&lt;&gt;"是","账户不允许新开仓",IF(AND(T147&gt;INDEX(账户总表!$C:$C,MATCH($A147,账户总表!$A:$A,0)),INDEX(账户总表!$U:$U,MATCH($A147,账户总表!$A:$A,0))&lt;&gt;"是"),"现金不足且不允许转入",IF(AND(Z147="是",AB147&lt;=0),"转入金额未满足",""))))))))))))</f>
        <v/>
      </c>
      <c r="AE147" s="33"/>
    </row>
    <row r="148" customFormat="false" ht="15" hidden="false" customHeight="true" outlineLevel="0" collapsed="false">
      <c r="A148" s="32"/>
      <c r="B148" s="33"/>
      <c r="C148" s="34"/>
      <c r="D148" s="35"/>
      <c r="E148" s="35"/>
      <c r="F148" s="35"/>
      <c r="G148" s="36"/>
      <c r="H148" s="34"/>
      <c r="I148" s="34"/>
      <c r="J148" s="33"/>
      <c r="K148" s="37" t="str">
        <f aca="false">IF($A148="","",IF(AND(G148&lt;45%,H148&gt;=0.9),"A",IF(AND(G148&lt;60%,H148&gt;0.8),"B","C")))</f>
        <v/>
      </c>
      <c r="L148" s="37" t="str">
        <f aca="false">IF($A148="","",IF(AND(G148&lt;60%,H148&gt;0.8,I148="True"),"是","否"))</f>
        <v/>
      </c>
      <c r="M148" s="37" t="str">
        <f aca="false">IF($A148="","",IF(AND(D148&gt;0,E148&gt;0,D148&lt;=E148*1.02),"是","否"))</f>
        <v/>
      </c>
      <c r="N148" s="38" t="n">
        <f aca="false">IFERROR(INDEX(账户总表!$O:$O,MATCH($A148,账户总表!$A:$A,0)),0)</f>
        <v>0</v>
      </c>
      <c r="O148" s="39" t="n">
        <f aca="false">IFERROR(INDEX(账户总表!$B:$B,MATCH($A148,账户总表!$A:$A,0))*N148,0)</f>
        <v>0</v>
      </c>
      <c r="P148" s="40" t="n">
        <f aca="false">IFERROR(O148/D148,0)</f>
        <v>0</v>
      </c>
      <c r="Q148" s="40" t="n">
        <f aca="false">IFERROR(FLOOR(P148,100),0)</f>
        <v>0</v>
      </c>
      <c r="R148" s="40" t="n">
        <f aca="false">IFERROR(CEILING(800/(100*D148),1)*100,0)</f>
        <v>0</v>
      </c>
      <c r="S148" s="41"/>
      <c r="T148" s="39" t="n">
        <f aca="false">IFERROR(S148*D148,0)</f>
        <v>0</v>
      </c>
      <c r="U148" s="38" t="n">
        <f aca="false">IFERROR(T148/INDEX(账户总表!$B:$B,MATCH($A148,账户总表!$A:$A,0)),0)</f>
        <v>0</v>
      </c>
      <c r="V148" s="38" t="n">
        <f aca="false">IFERROR(INDEX(账户总表!$E:$E,MATCH($A148,账户总表!$A:$A,0))+U148,0)</f>
        <v>0</v>
      </c>
      <c r="W148" s="37" t="str">
        <f aca="false">IF($A148="","",IFERROR(IF(V148&lt;=INDEX(账户总表!$N:$N,MATCH($A148,账户总表!$A:$A,0)),"是","否"),"否"))</f>
        <v/>
      </c>
      <c r="X148" s="39" t="str">
        <f aca="false">IF($A148="","",MAX(F148*0.98,D148*0.92))</f>
        <v/>
      </c>
      <c r="Y148" s="34"/>
      <c r="Z148" s="37" t="str">
        <f aca="false">IF($A148="","",IFERROR(IF(AND(T148&gt;INDEX(账户总表!$C:$C,MATCH($A148,账户总表!$A:$A,0)),L148="是"),"是","否"),"否"))</f>
        <v/>
      </c>
      <c r="AA148" s="39" t="str">
        <f aca="false">IF($A148="","",IFERROR(IF(Z148="是",MAX(0,T148-INDEX(账户总表!$C:$C,MATCH($A148,账户总表!$A:$A,0)),IF(N148&gt;0,T148/N148-INDEX(账户总表!$B:$B,MATCH($A148,账户总表!$A:$A,0)),0)),0),0))</f>
        <v/>
      </c>
      <c r="AB148" s="39" t="str">
        <f aca="false">IF($A148="","",IF(AND(Z148="是",INDEX(账户总表!$U:$U,MATCH($A148,账户总表!$A:$A,0))="是"),IF(INDEX(账户总表!$L:$L,MATCH($A148,账户总表!$A:$A,0))&gt;=4,AA148*1.5,AA148),0))</f>
        <v/>
      </c>
      <c r="AC148" s="42" t="str">
        <f aca="false">IF($A148="","",IF(AND(L148="是",Q148&gt;=R148,S148&lt;=Q148,S148&gt;=R148,W148="是",X148&gt;0,M148="是",INDEX(账户总表!$M:$M,MATCH($A148,账户总表!$A:$A,0))&lt;=2,INDEX(账户总表!$V:$V,MATCH($A148,账户总表!$A:$A,0))="是",OR(T148&lt;=INDEX(账户总表!$C:$C,MATCH($A148,账户总表!$A:$A,0)),AND(Z148="是",INDEX(账户总表!$U:$U,MATCH($A148,账户总表!$A:$A,0))="是",AB148&gt;0))),"是","否"))</f>
        <v/>
      </c>
      <c r="AD148" s="37" t="str">
        <f aca="false">IF($A148="","",IF(L148&lt;&gt;"是","信号未确认",IF(X148&lt;=0,"止损价未定义",IF(Q148&lt;R148,"100股约束不满足",IF(S148&gt;Q148,"计划股数超单股上限",IF(S148&lt;R148,"计划股数低于最小门槛",IF(W148&lt;&gt;"是","总仓位超限",IF(M148&lt;&gt;"是","追价",IF(INDEX(账户总表!$M:$M,MATCH($A148,账户总表!$A:$A,0))&gt;2,"亏钱效应偏高",IF(INDEX(账户总表!$V:$V,MATCH($A148,账户总表!$A:$A,0))&lt;&gt;"是","账户不允许新开仓",IF(AND(T148&gt;INDEX(账户总表!$C:$C,MATCH($A148,账户总表!$A:$A,0)),INDEX(账户总表!$U:$U,MATCH($A148,账户总表!$A:$A,0))&lt;&gt;"是"),"现金不足且不允许转入",IF(AND(Z148="是",AB148&lt;=0),"转入金额未满足",""))))))))))))</f>
        <v/>
      </c>
      <c r="AE148" s="33"/>
    </row>
    <row r="149" customFormat="false" ht="15" hidden="false" customHeight="true" outlineLevel="0" collapsed="false">
      <c r="A149" s="32"/>
      <c r="B149" s="34"/>
      <c r="C149" s="34"/>
      <c r="D149" s="35"/>
      <c r="E149" s="35"/>
      <c r="F149" s="35"/>
      <c r="G149" s="36"/>
      <c r="H149" s="34"/>
      <c r="I149" s="34"/>
      <c r="J149" s="33"/>
      <c r="K149" s="37" t="str">
        <f aca="false">IF($A149="","",IF(AND(G149&lt;45%,H149&gt;=0.9),"A",IF(AND(G149&lt;60%,H149&gt;0.8),"B","C")))</f>
        <v/>
      </c>
      <c r="L149" s="37" t="str">
        <f aca="false">IF($A149="","",IF(AND(G149&lt;60%,H149&gt;0.8,I149="True"),"是","否"))</f>
        <v/>
      </c>
      <c r="M149" s="37" t="str">
        <f aca="false">IF($A149="","",IF(AND(D149&gt;0,E149&gt;0,D149&lt;=E149*1.02),"是","否"))</f>
        <v/>
      </c>
      <c r="N149" s="38" t="n">
        <f aca="false">IFERROR(INDEX(账户总表!$O:$O,MATCH($A149,账户总表!$A:$A,0)),0)</f>
        <v>0</v>
      </c>
      <c r="O149" s="39" t="n">
        <f aca="false">IFERROR(INDEX(账户总表!$B:$B,MATCH($A149,账户总表!$A:$A,0))*N149,0)</f>
        <v>0</v>
      </c>
      <c r="P149" s="40" t="n">
        <f aca="false">IFERROR(O149/D149,0)</f>
        <v>0</v>
      </c>
      <c r="Q149" s="40" t="n">
        <f aca="false">IFERROR(FLOOR(P149,100),0)</f>
        <v>0</v>
      </c>
      <c r="R149" s="40" t="n">
        <f aca="false">IFERROR(CEILING(800/(100*D149),1)*100,0)</f>
        <v>0</v>
      </c>
      <c r="S149" s="41"/>
      <c r="T149" s="39" t="n">
        <f aca="false">IFERROR(S149*D149,0)</f>
        <v>0</v>
      </c>
      <c r="U149" s="38" t="n">
        <f aca="false">IFERROR(T149/INDEX(账户总表!$B:$B,MATCH($A149,账户总表!$A:$A,0)),0)</f>
        <v>0</v>
      </c>
      <c r="V149" s="38" t="n">
        <f aca="false">IFERROR(INDEX(账户总表!$E:$E,MATCH($A149,账户总表!$A:$A,0))+U149,0)</f>
        <v>0</v>
      </c>
      <c r="W149" s="37" t="str">
        <f aca="false">IF($A149="","",IFERROR(IF(V149&lt;=INDEX(账户总表!$N:$N,MATCH($A149,账户总表!$A:$A,0)),"是","否"),"否"))</f>
        <v/>
      </c>
      <c r="X149" s="39" t="str">
        <f aca="false">IF($A149="","",MAX(F149*0.98,D149*0.92))</f>
        <v/>
      </c>
      <c r="Y149" s="34"/>
      <c r="Z149" s="37" t="str">
        <f aca="false">IF($A149="","",IFERROR(IF(AND(T149&gt;INDEX(账户总表!$C:$C,MATCH($A149,账户总表!$A:$A,0)),L149="是"),"是","否"),"否"))</f>
        <v/>
      </c>
      <c r="AA149" s="39" t="str">
        <f aca="false">IF($A149="","",IFERROR(IF(Z149="是",MAX(0,T149-INDEX(账户总表!$C:$C,MATCH($A149,账户总表!$A:$A,0)),IF(N149&gt;0,T149/N149-INDEX(账户总表!$B:$B,MATCH($A149,账户总表!$A:$A,0)),0)),0),0))</f>
        <v/>
      </c>
      <c r="AB149" s="39" t="str">
        <f aca="false">IF($A149="","",IF(AND(Z149="是",INDEX(账户总表!$U:$U,MATCH($A149,账户总表!$A:$A,0))="是"),IF(INDEX(账户总表!$L:$L,MATCH($A149,账户总表!$A:$A,0))&gt;=4,AA149*1.5,AA149),0))</f>
        <v/>
      </c>
      <c r="AC149" s="42" t="str">
        <f aca="false">IF($A149="","",IF(AND(L149="是",Q149&gt;=R149,S149&lt;=Q149,S149&gt;=R149,W149="是",X149&gt;0,M149="是",INDEX(账户总表!$M:$M,MATCH($A149,账户总表!$A:$A,0))&lt;=2,INDEX(账户总表!$V:$V,MATCH($A149,账户总表!$A:$A,0))="是",OR(T149&lt;=INDEX(账户总表!$C:$C,MATCH($A149,账户总表!$A:$A,0)),AND(Z149="是",INDEX(账户总表!$U:$U,MATCH($A149,账户总表!$A:$A,0))="是",AB149&gt;0))),"是","否"))</f>
        <v/>
      </c>
      <c r="AD149" s="37" t="str">
        <f aca="false">IF($A149="","",IF(L149&lt;&gt;"是","信号未确认",IF(X149&lt;=0,"止损价未定义",IF(Q149&lt;R149,"100股约束不满足",IF(S149&gt;Q149,"计划股数超单股上限",IF(S149&lt;R149,"计划股数低于最小门槛",IF(W149&lt;&gt;"是","总仓位超限",IF(M149&lt;&gt;"是","追价",IF(INDEX(账户总表!$M:$M,MATCH($A149,账户总表!$A:$A,0))&gt;2,"亏钱效应偏高",IF(INDEX(账户总表!$V:$V,MATCH($A149,账户总表!$A:$A,0))&lt;&gt;"是","账户不允许新开仓",IF(AND(T149&gt;INDEX(账户总表!$C:$C,MATCH($A149,账户总表!$A:$A,0)),INDEX(账户总表!$U:$U,MATCH($A149,账户总表!$A:$A,0))&lt;&gt;"是"),"现金不足且不允许转入",IF(AND(Z149="是",AB149&lt;=0),"转入金额未满足",""))))))))))))</f>
        <v/>
      </c>
      <c r="AE149" s="33"/>
    </row>
    <row r="150" customFormat="false" ht="15" hidden="false" customHeight="true" outlineLevel="0" collapsed="false">
      <c r="A150" s="32"/>
      <c r="B150" s="33"/>
      <c r="C150" s="34"/>
      <c r="D150" s="35"/>
      <c r="E150" s="35"/>
      <c r="F150" s="35"/>
      <c r="G150" s="36"/>
      <c r="H150" s="34"/>
      <c r="I150" s="34"/>
      <c r="J150" s="33"/>
      <c r="K150" s="37" t="str">
        <f aca="false">IF($A150="","",IF(AND(G150&lt;45%,H150&gt;=0.9),"A",IF(AND(G150&lt;60%,H150&gt;0.8),"B","C")))</f>
        <v/>
      </c>
      <c r="L150" s="37" t="str">
        <f aca="false">IF($A150="","",IF(AND(G150&lt;60%,H150&gt;0.8,I150="True"),"是","否"))</f>
        <v/>
      </c>
      <c r="M150" s="37" t="str">
        <f aca="false">IF($A150="","",IF(AND(D150&gt;0,E150&gt;0,D150&lt;=E150*1.02),"是","否"))</f>
        <v/>
      </c>
      <c r="N150" s="38" t="n">
        <f aca="false">IFERROR(INDEX(账户总表!$O:$O,MATCH($A150,账户总表!$A:$A,0)),0)</f>
        <v>0</v>
      </c>
      <c r="O150" s="39" t="n">
        <f aca="false">IFERROR(INDEX(账户总表!$B:$B,MATCH($A150,账户总表!$A:$A,0))*N150,0)</f>
        <v>0</v>
      </c>
      <c r="P150" s="40" t="n">
        <f aca="false">IFERROR(O150/D150,0)</f>
        <v>0</v>
      </c>
      <c r="Q150" s="40" t="n">
        <f aca="false">IFERROR(FLOOR(P150,100),0)</f>
        <v>0</v>
      </c>
      <c r="R150" s="40" t="n">
        <f aca="false">IFERROR(CEILING(800/(100*D150),1)*100,0)</f>
        <v>0</v>
      </c>
      <c r="S150" s="41"/>
      <c r="T150" s="39" t="n">
        <f aca="false">IFERROR(S150*D150,0)</f>
        <v>0</v>
      </c>
      <c r="U150" s="38" t="n">
        <f aca="false">IFERROR(T150/INDEX(账户总表!$B:$B,MATCH($A150,账户总表!$A:$A,0)),0)</f>
        <v>0</v>
      </c>
      <c r="V150" s="38" t="n">
        <f aca="false">IFERROR(INDEX(账户总表!$E:$E,MATCH($A150,账户总表!$A:$A,0))+U150,0)</f>
        <v>0</v>
      </c>
      <c r="W150" s="37" t="str">
        <f aca="false">IF($A150="","",IFERROR(IF(V150&lt;=INDEX(账户总表!$N:$N,MATCH($A150,账户总表!$A:$A,0)),"是","否"),"否"))</f>
        <v/>
      </c>
      <c r="X150" s="39" t="str">
        <f aca="false">IF($A150="","",MAX(F150*0.98,D150*0.92))</f>
        <v/>
      </c>
      <c r="Y150" s="34"/>
      <c r="Z150" s="37" t="str">
        <f aca="false">IF($A150="","",IFERROR(IF(AND(T150&gt;INDEX(账户总表!$C:$C,MATCH($A150,账户总表!$A:$A,0)),L150="是"),"是","否"),"否"))</f>
        <v/>
      </c>
      <c r="AA150" s="39" t="str">
        <f aca="false">IF($A150="","",IFERROR(IF(Z150="是",MAX(0,T150-INDEX(账户总表!$C:$C,MATCH($A150,账户总表!$A:$A,0)),IF(N150&gt;0,T150/N150-INDEX(账户总表!$B:$B,MATCH($A150,账户总表!$A:$A,0)),0)),0),0))</f>
        <v/>
      </c>
      <c r="AB150" s="39" t="str">
        <f aca="false">IF($A150="","",IF(AND(Z150="是",INDEX(账户总表!$U:$U,MATCH($A150,账户总表!$A:$A,0))="是"),IF(INDEX(账户总表!$L:$L,MATCH($A150,账户总表!$A:$A,0))&gt;=4,AA150*1.5,AA150),0))</f>
        <v/>
      </c>
      <c r="AC150" s="42" t="str">
        <f aca="false">IF($A150="","",IF(AND(L150="是",Q150&gt;=R150,S150&lt;=Q150,S150&gt;=R150,W150="是",X150&gt;0,M150="是",INDEX(账户总表!$M:$M,MATCH($A150,账户总表!$A:$A,0))&lt;=2,INDEX(账户总表!$V:$V,MATCH($A150,账户总表!$A:$A,0))="是",OR(T150&lt;=INDEX(账户总表!$C:$C,MATCH($A150,账户总表!$A:$A,0)),AND(Z150="是",INDEX(账户总表!$U:$U,MATCH($A150,账户总表!$A:$A,0))="是",AB150&gt;0))),"是","否"))</f>
        <v/>
      </c>
      <c r="AD150" s="37" t="str">
        <f aca="false">IF($A150="","",IF(L150&lt;&gt;"是","信号未确认",IF(X150&lt;=0,"止损价未定义",IF(Q150&lt;R150,"100股约束不满足",IF(S150&gt;Q150,"计划股数超单股上限",IF(S150&lt;R150,"计划股数低于最小门槛",IF(W150&lt;&gt;"是","总仓位超限",IF(M150&lt;&gt;"是","追价",IF(INDEX(账户总表!$M:$M,MATCH($A150,账户总表!$A:$A,0))&gt;2,"亏钱效应偏高",IF(INDEX(账户总表!$V:$V,MATCH($A150,账户总表!$A:$A,0))&lt;&gt;"是","账户不允许新开仓",IF(AND(T150&gt;INDEX(账户总表!$C:$C,MATCH($A150,账户总表!$A:$A,0)),INDEX(账户总表!$U:$U,MATCH($A150,账户总表!$A:$A,0))&lt;&gt;"是"),"现金不足且不允许转入",IF(AND(Z150="是",AB150&lt;=0),"转入金额未满足",""))))))))))))</f>
        <v/>
      </c>
      <c r="AE150" s="33"/>
    </row>
    <row r="151" customFormat="false" ht="15" hidden="false" customHeight="true" outlineLevel="0" collapsed="false">
      <c r="A151" s="29"/>
      <c r="B151" s="12"/>
      <c r="C151" s="7"/>
      <c r="D151" s="24"/>
      <c r="E151" s="24"/>
      <c r="F151" s="24"/>
      <c r="G151" s="26"/>
      <c r="H151" s="7"/>
      <c r="I151" s="7"/>
      <c r="J151" s="12"/>
      <c r="K151" s="19" t="str">
        <f aca="false">IF($A151="","",IF(AND(G151&lt;45%,H151&gt;=0.9),"A",IF(AND(G151&lt;60%,H151&gt;0.8),"B","C")))</f>
        <v/>
      </c>
      <c r="L151" s="4" t="str">
        <f aca="false">IF($A151="","",IF(AND(G151&lt;60%,H151&gt;0.8,I151="True"),"是","否"))</f>
        <v/>
      </c>
      <c r="M151" s="19" t="str">
        <f aca="false">IF($A151="","",IF(AND(D151&gt;0,E151&gt;0,D151&lt;=E151*1.02),"是","否"))</f>
        <v/>
      </c>
      <c r="N151" s="16" t="n">
        <f aca="false">IFERROR(INDEX(账户总表!$O:$O,MATCH($A151,账户总表!$A:$A,0)),0)</f>
        <v>0</v>
      </c>
      <c r="O151" s="15" t="n">
        <f aca="false">IFERROR(INDEX(账户总表!$B:$B,MATCH($A151,账户总表!$A:$A,0))*N151,0)</f>
        <v>0</v>
      </c>
      <c r="P151" s="18" t="n">
        <f aca="false">IFERROR(O151/D151,0)</f>
        <v>0</v>
      </c>
      <c r="Q151" s="18" t="n">
        <f aca="false">IFERROR(FLOOR(P151,100),0)</f>
        <v>0</v>
      </c>
      <c r="R151" s="18" t="n">
        <f aca="false">IFERROR(CEILING(800/(100*D151),1)*100,0)</f>
        <v>0</v>
      </c>
      <c r="S151" s="25"/>
      <c r="T151" s="15" t="n">
        <f aca="false">IFERROR(S151*D151,0)</f>
        <v>0</v>
      </c>
      <c r="U151" s="16" t="n">
        <f aca="false">IFERROR(T151/INDEX(账户总表!$B:$B,MATCH($A151,账户总表!$A:$A,0)),0)</f>
        <v>0</v>
      </c>
      <c r="V151" s="16" t="n">
        <f aca="false">IFERROR(INDEX(账户总表!$E:$E,MATCH($A151,账户总表!$A:$A,0))+U151,0)</f>
        <v>0</v>
      </c>
      <c r="W151" s="19" t="str">
        <f aca="false">IF($A151="","",IFERROR(IF(V151&lt;=INDEX(账户总表!$N:$N,MATCH($A151,账户总表!$A:$A,0)),"是","否"),"否"))</f>
        <v/>
      </c>
      <c r="X151" s="15" t="str">
        <f aca="false">IF($A151="","",MAX(F151*0.98,D151*0.92))</f>
        <v/>
      </c>
      <c r="Y151" s="7"/>
      <c r="Z151" s="19" t="str">
        <f aca="false">IF($A151="","",IFERROR(IF(AND(T151&gt;INDEX(账户总表!$C:$C,MATCH($A151,账户总表!$A:$A,0)),L151="是"),"是","否"),"否"))</f>
        <v/>
      </c>
      <c r="AA151" s="15" t="str">
        <f aca="false">IF($A151="","",IFERROR(IF(Z151="是",MAX(0,T151-INDEX(账户总表!$C:$C,MATCH($A151,账户总表!$A:$A,0)),IF(N151&gt;0,T151/N151-INDEX(账户总表!$B:$B,MATCH($A151,账户总表!$A:$A,0)),0)),0),0))</f>
        <v/>
      </c>
      <c r="AB151" s="15" t="str">
        <f aca="false">IF($A151="","",IF(AND(Z151="是",INDEX(账户总表!$U:$U,MATCH($A151,账户总表!$A:$A,0))="是"),IF(INDEX(账户总表!$L:$L,MATCH($A151,账户总表!$A:$A,0))&gt;=4,AA151*1.5,AA151),0))</f>
        <v/>
      </c>
      <c r="AC151" s="19" t="str">
        <f aca="false">IF($A151="","",IF(AND(L151="是",Q151&gt;=R151,S151&lt;=Q151,S151&gt;=R151,W151="是",X151&gt;0,M151="是",INDEX(账户总表!$M:$M,MATCH($A151,账户总表!$A:$A,0))&lt;=2,INDEX(账户总表!$V:$V,MATCH($A151,账户总表!$A:$A,0))="是",OR(T151&lt;=INDEX(账户总表!$C:$C,MATCH($A151,账户总表!$A:$A,0)),AND(Z151="是",INDEX(账户总表!$U:$U,MATCH($A151,账户总表!$A:$A,0))="是",AB151&gt;0))),"是","否"))</f>
        <v/>
      </c>
      <c r="AD151" s="19" t="str">
        <f aca="false">IF($A151="","",IF(L151&lt;&gt;"是","信号未确认",IF(X151&lt;=0,"止损价未定义",IF(Q151&lt;R151,"100股约束不满足",IF(S151&gt;Q151,"计划股数超单股上限",IF(S151&lt;R151,"计划股数低于最小门槛",IF(W151&lt;&gt;"是","总仓位超限",IF(M151&lt;&gt;"是","追价",IF(INDEX(账户总表!$M:$M,MATCH($A151,账户总表!$A:$A,0))&gt;2,"亏钱效应偏高",IF(INDEX(账户总表!$V:$V,MATCH($A151,账户总表!$A:$A,0))&lt;&gt;"是","账户不允许新开仓",IF(AND(T151&gt;INDEX(账户总表!$C:$C,MATCH($A151,账户总表!$A:$A,0)),INDEX(账户总表!$U:$U,MATCH($A151,账户总表!$A:$A,0))&lt;&gt;"是"),"现金不足且不允许转入",IF(AND(Z151="是",AB151&lt;=0),"转入金额未满足",""))))))))))))</f>
        <v/>
      </c>
      <c r="AE151" s="12"/>
    </row>
    <row r="152" customFormat="false" ht="15" hidden="false" customHeight="true" outlineLevel="0" collapsed="false">
      <c r="A152" s="30"/>
      <c r="B152" s="11"/>
      <c r="C152" s="5"/>
      <c r="D152" s="14"/>
      <c r="E152" s="14"/>
      <c r="F152" s="14"/>
      <c r="G152" s="20"/>
      <c r="H152" s="5"/>
      <c r="I152" s="5"/>
      <c r="J152" s="11"/>
      <c r="K152" s="19" t="str">
        <f aca="false">IF($A152="","",IF(AND(G152&lt;45%,H152&gt;=0.9),"A",IF(AND(G152&lt;60%,H152&gt;0.8),"B","C")))</f>
        <v/>
      </c>
      <c r="L152" s="4" t="str">
        <f aca="false">IF($A152="","",IF(AND(G152&lt;60%,H152&gt;0.8,I152="True"),"是","否"))</f>
        <v/>
      </c>
      <c r="M152" s="19" t="str">
        <f aca="false">IF($A152="","",IF(AND(D152&gt;0,E152&gt;0,D152&lt;=E152*1.02),"是","否"))</f>
        <v/>
      </c>
      <c r="N152" s="16" t="n">
        <f aca="false">IFERROR(INDEX(账户总表!$O:$O,MATCH($A152,账户总表!$A:$A,0)),0)</f>
        <v>0</v>
      </c>
      <c r="O152" s="15" t="n">
        <f aca="false">IFERROR(INDEX(账户总表!$B:$B,MATCH($A152,账户总表!$A:$A,0))*N152,0)</f>
        <v>0</v>
      </c>
      <c r="P152" s="18" t="n">
        <f aca="false">IFERROR(O152/D152,0)</f>
        <v>0</v>
      </c>
      <c r="Q152" s="18" t="n">
        <f aca="false">IFERROR(FLOOR(P152,100),0)</f>
        <v>0</v>
      </c>
      <c r="R152" s="18" t="n">
        <f aca="false">IFERROR(CEILING(800/(100*D152),1)*100,0)</f>
        <v>0</v>
      </c>
      <c r="S152" s="17"/>
      <c r="T152" s="15" t="n">
        <f aca="false">IFERROR(S152*D152,0)</f>
        <v>0</v>
      </c>
      <c r="U152" s="16" t="n">
        <f aca="false">IFERROR(T152/INDEX(账户总表!$B:$B,MATCH($A152,账户总表!$A:$A,0)),0)</f>
        <v>0</v>
      </c>
      <c r="V152" s="16" t="n">
        <f aca="false">IFERROR(INDEX(账户总表!$E:$E,MATCH($A152,账户总表!$A:$A,0))+U152,0)</f>
        <v>0</v>
      </c>
      <c r="W152" s="19" t="str">
        <f aca="false">IF($A152="","",IFERROR(IF(V152&lt;=INDEX(账户总表!$N:$N,MATCH($A152,账户总表!$A:$A,0)),"是","否"),"否"))</f>
        <v/>
      </c>
      <c r="X152" s="15" t="str">
        <f aca="false">IF($A152="","",MAX(F152*0.98,D152*0.92))</f>
        <v/>
      </c>
      <c r="Y152" s="5"/>
      <c r="Z152" s="19" t="str">
        <f aca="false">IF($A152="","",IFERROR(IF(AND(T152&gt;INDEX(账户总表!$C:$C,MATCH($A152,账户总表!$A:$A,0)),L152="是"),"是","否"),"否"))</f>
        <v/>
      </c>
      <c r="AA152" s="15" t="str">
        <f aca="false">IF($A152="","",IFERROR(IF(Z152="是",MAX(0,T152-INDEX(账户总表!$C:$C,MATCH($A152,账户总表!$A:$A,0)),IF(N152&gt;0,T152/N152-INDEX(账户总表!$B:$B,MATCH($A152,账户总表!$A:$A,0)),0)),0),0))</f>
        <v/>
      </c>
      <c r="AB152" s="15" t="str">
        <f aca="false">IF($A152="","",IF(AND(Z152="是",INDEX(账户总表!$U:$U,MATCH($A152,账户总表!$A:$A,0))="是"),IF(INDEX(账户总表!$L:$L,MATCH($A152,账户总表!$A:$A,0))&gt;=4,AA152*1.5,AA152),0))</f>
        <v/>
      </c>
      <c r="AC152" s="19" t="str">
        <f aca="false">IF($A152="","",IF(AND(L152="是",Q152&gt;=R152,S152&lt;=Q152,S152&gt;=R152,W152="是",X152&gt;0,M152="是",INDEX(账户总表!$M:$M,MATCH($A152,账户总表!$A:$A,0))&lt;=2,INDEX(账户总表!$V:$V,MATCH($A152,账户总表!$A:$A,0))="是",OR(T152&lt;=INDEX(账户总表!$C:$C,MATCH($A152,账户总表!$A:$A,0)),AND(Z152="是",INDEX(账户总表!$U:$U,MATCH($A152,账户总表!$A:$A,0))="是",AB152&gt;0))),"是","否"))</f>
        <v/>
      </c>
      <c r="AD152" s="19" t="str">
        <f aca="false">IF($A152="","",IF(L152&lt;&gt;"是","信号未确认",IF(X152&lt;=0,"止损价未定义",IF(Q152&lt;R152,"100股约束不满足",IF(S152&gt;Q152,"计划股数超单股上限",IF(S152&lt;R152,"计划股数低于最小门槛",IF(W152&lt;&gt;"是","总仓位超限",IF(M152&lt;&gt;"是","追价",IF(INDEX(账户总表!$M:$M,MATCH($A152,账户总表!$A:$A,0))&gt;2,"亏钱效应偏高",IF(INDEX(账户总表!$V:$V,MATCH($A152,账户总表!$A:$A,0))&lt;&gt;"是","账户不允许新开仓",IF(AND(T152&gt;INDEX(账户总表!$C:$C,MATCH($A152,账户总表!$A:$A,0)),INDEX(账户总表!$U:$U,MATCH($A152,账户总表!$A:$A,0))&lt;&gt;"是"),"现金不足且不允许转入",IF(AND(Z152="是",AB152&lt;=0),"转入金额未满足",""))))))))))))</f>
        <v/>
      </c>
      <c r="AE152" s="11"/>
    </row>
    <row r="153" customFormat="false" ht="15" hidden="false" customHeight="true" outlineLevel="0" collapsed="false">
      <c r="A153" s="29"/>
      <c r="B153" s="12"/>
      <c r="C153" s="7"/>
      <c r="D153" s="24"/>
      <c r="E153" s="24"/>
      <c r="F153" s="24"/>
      <c r="G153" s="26"/>
      <c r="H153" s="7"/>
      <c r="I153" s="7"/>
      <c r="J153" s="12"/>
      <c r="K153" s="19" t="str">
        <f aca="false">IF($A153="","",IF(AND(G153&lt;45%,H153&gt;=0.9),"A",IF(AND(G153&lt;60%,H153&gt;0.8),"B","C")))</f>
        <v/>
      </c>
      <c r="L153" s="4" t="str">
        <f aca="false">IF($A153="","",IF(AND(G153&lt;60%,H153&gt;0.8,I153="True"),"是","否"))</f>
        <v/>
      </c>
      <c r="M153" s="19" t="str">
        <f aca="false">IF($A153="","",IF(AND(D153&gt;0,E153&gt;0,D153&lt;=E153*1.02),"是","否"))</f>
        <v/>
      </c>
      <c r="N153" s="16" t="n">
        <f aca="false">IFERROR(INDEX(账户总表!$O:$O,MATCH($A153,账户总表!$A:$A,0)),0)</f>
        <v>0</v>
      </c>
      <c r="O153" s="15" t="n">
        <f aca="false">IFERROR(INDEX(账户总表!$B:$B,MATCH($A153,账户总表!$A:$A,0))*N153,0)</f>
        <v>0</v>
      </c>
      <c r="P153" s="18" t="n">
        <f aca="false">IFERROR(O153/D153,0)</f>
        <v>0</v>
      </c>
      <c r="Q153" s="18" t="n">
        <f aca="false">IFERROR(FLOOR(P153,100),0)</f>
        <v>0</v>
      </c>
      <c r="R153" s="18" t="n">
        <f aca="false">IFERROR(CEILING(800/(100*D153),1)*100,0)</f>
        <v>0</v>
      </c>
      <c r="S153" s="25"/>
      <c r="T153" s="15" t="n">
        <f aca="false">IFERROR(S153*D153,0)</f>
        <v>0</v>
      </c>
      <c r="U153" s="16" t="n">
        <f aca="false">IFERROR(T153/INDEX(账户总表!$B:$B,MATCH($A153,账户总表!$A:$A,0)),0)</f>
        <v>0</v>
      </c>
      <c r="V153" s="16" t="n">
        <f aca="false">IFERROR(INDEX(账户总表!$E:$E,MATCH($A153,账户总表!$A:$A,0))+U153,0)</f>
        <v>0</v>
      </c>
      <c r="W153" s="19" t="str">
        <f aca="false">IF($A153="","",IFERROR(IF(V153&lt;=INDEX(账户总表!$N:$N,MATCH($A153,账户总表!$A:$A,0)),"是","否"),"否"))</f>
        <v/>
      </c>
      <c r="X153" s="15" t="str">
        <f aca="false">IF($A153="","",MAX(F153*0.98,D153*0.92))</f>
        <v/>
      </c>
      <c r="Y153" s="7"/>
      <c r="Z153" s="19" t="str">
        <f aca="false">IF($A153="","",IFERROR(IF(AND(T153&gt;INDEX(账户总表!$C:$C,MATCH($A153,账户总表!$A:$A,0)),L153="是"),"是","否"),"否"))</f>
        <v/>
      </c>
      <c r="AA153" s="15" t="str">
        <f aca="false">IF($A153="","",IFERROR(IF(Z153="是",MAX(0,T153-INDEX(账户总表!$C:$C,MATCH($A153,账户总表!$A:$A,0)),IF(N153&gt;0,T153/N153-INDEX(账户总表!$B:$B,MATCH($A153,账户总表!$A:$A,0)),0)),0),0))</f>
        <v/>
      </c>
      <c r="AB153" s="15" t="str">
        <f aca="false">IF($A153="","",IF(AND(Z153="是",INDEX(账户总表!$U:$U,MATCH($A153,账户总表!$A:$A,0))="是"),IF(INDEX(账户总表!$L:$L,MATCH($A153,账户总表!$A:$A,0))&gt;=4,AA153*1.5,AA153),0))</f>
        <v/>
      </c>
      <c r="AC153" s="19" t="str">
        <f aca="false">IF($A153="","",IF(AND(L153="是",Q153&gt;=R153,S153&lt;=Q153,S153&gt;=R153,W153="是",X153&gt;0,M153="是",INDEX(账户总表!$M:$M,MATCH($A153,账户总表!$A:$A,0))&lt;=2,INDEX(账户总表!$V:$V,MATCH($A153,账户总表!$A:$A,0))="是",OR(T153&lt;=INDEX(账户总表!$C:$C,MATCH($A153,账户总表!$A:$A,0)),AND(Z153="是",INDEX(账户总表!$U:$U,MATCH($A153,账户总表!$A:$A,0))="是",AB153&gt;0))),"是","否"))</f>
        <v/>
      </c>
      <c r="AD153" s="19" t="str">
        <f aca="false">IF($A153="","",IF(L153&lt;&gt;"是","信号未确认",IF(X153&lt;=0,"止损价未定义",IF(Q153&lt;R153,"100股约束不满足",IF(S153&gt;Q153,"计划股数超单股上限",IF(S153&lt;R153,"计划股数低于最小门槛",IF(W153&lt;&gt;"是","总仓位超限",IF(M153&lt;&gt;"是","追价",IF(INDEX(账户总表!$M:$M,MATCH($A153,账户总表!$A:$A,0))&gt;2,"亏钱效应偏高",IF(INDEX(账户总表!$V:$V,MATCH($A153,账户总表!$A:$A,0))&lt;&gt;"是","账户不允许新开仓",IF(AND(T153&gt;INDEX(账户总表!$C:$C,MATCH($A153,账户总表!$A:$A,0)),INDEX(账户总表!$U:$U,MATCH($A153,账户总表!$A:$A,0))&lt;&gt;"是"),"现金不足且不允许转入",IF(AND(Z153="是",AB153&lt;=0),"转入金额未满足",""))))))))))))</f>
        <v/>
      </c>
      <c r="AE153" s="12"/>
    </row>
    <row r="154" customFormat="false" ht="15" hidden="false" customHeight="true" outlineLevel="0" collapsed="false">
      <c r="A154" s="30"/>
      <c r="B154" s="11"/>
      <c r="C154" s="5"/>
      <c r="D154" s="14"/>
      <c r="E154" s="14"/>
      <c r="F154" s="14"/>
      <c r="G154" s="20"/>
      <c r="H154" s="5"/>
      <c r="I154" s="5"/>
      <c r="J154" s="11"/>
      <c r="K154" s="19" t="str">
        <f aca="false">IF($A154="","",IF(AND(G154&lt;45%,H154&gt;=0.9),"A",IF(AND(G154&lt;60%,H154&gt;0.8),"B","C")))</f>
        <v/>
      </c>
      <c r="L154" s="4" t="str">
        <f aca="false">IF($A154="","",IF(AND(G154&lt;60%,H154&gt;0.8,I154="True"),"是","否"))</f>
        <v/>
      </c>
      <c r="M154" s="19" t="str">
        <f aca="false">IF($A154="","",IF(AND(D154&gt;0,E154&gt;0,D154&lt;=E154*1.02),"是","否"))</f>
        <v/>
      </c>
      <c r="N154" s="16" t="n">
        <f aca="false">IFERROR(INDEX(账户总表!$O:$O,MATCH($A154,账户总表!$A:$A,0)),0)</f>
        <v>0</v>
      </c>
      <c r="O154" s="15" t="n">
        <f aca="false">IFERROR(INDEX(账户总表!$B:$B,MATCH($A154,账户总表!$A:$A,0))*N154,0)</f>
        <v>0</v>
      </c>
      <c r="P154" s="18" t="n">
        <f aca="false">IFERROR(O154/D154,0)</f>
        <v>0</v>
      </c>
      <c r="Q154" s="18" t="n">
        <f aca="false">IFERROR(FLOOR(P154,100),0)</f>
        <v>0</v>
      </c>
      <c r="R154" s="18" t="n">
        <f aca="false">IFERROR(CEILING(800/(100*D154),1)*100,0)</f>
        <v>0</v>
      </c>
      <c r="S154" s="17"/>
      <c r="T154" s="15" t="n">
        <f aca="false">IFERROR(S154*D154,0)</f>
        <v>0</v>
      </c>
      <c r="U154" s="16" t="n">
        <f aca="false">IFERROR(T154/INDEX(账户总表!$B:$B,MATCH($A154,账户总表!$A:$A,0)),0)</f>
        <v>0</v>
      </c>
      <c r="V154" s="16" t="n">
        <f aca="false">IFERROR(INDEX(账户总表!$E:$E,MATCH($A154,账户总表!$A:$A,0))+U154,0)</f>
        <v>0</v>
      </c>
      <c r="W154" s="19" t="str">
        <f aca="false">IF($A154="","",IFERROR(IF(V154&lt;=INDEX(账户总表!$N:$N,MATCH($A154,账户总表!$A:$A,0)),"是","否"),"否"))</f>
        <v/>
      </c>
      <c r="X154" s="15" t="str">
        <f aca="false">IF($A154="","",MAX(F154*0.98,D154*0.92))</f>
        <v/>
      </c>
      <c r="Y154" s="5"/>
      <c r="Z154" s="19" t="str">
        <f aca="false">IF($A154="","",IFERROR(IF(AND(T154&gt;INDEX(账户总表!$C:$C,MATCH($A154,账户总表!$A:$A,0)),L154="是"),"是","否"),"否"))</f>
        <v/>
      </c>
      <c r="AA154" s="15" t="str">
        <f aca="false">IF($A154="","",IFERROR(IF(Z154="是",MAX(0,T154-INDEX(账户总表!$C:$C,MATCH($A154,账户总表!$A:$A,0)),IF(N154&gt;0,T154/N154-INDEX(账户总表!$B:$B,MATCH($A154,账户总表!$A:$A,0)),0)),0),0))</f>
        <v/>
      </c>
      <c r="AB154" s="15" t="str">
        <f aca="false">IF($A154="","",IF(AND(Z154="是",INDEX(账户总表!$U:$U,MATCH($A154,账户总表!$A:$A,0))="是"),IF(INDEX(账户总表!$L:$L,MATCH($A154,账户总表!$A:$A,0))&gt;=4,AA154*1.5,AA154),0))</f>
        <v/>
      </c>
      <c r="AC154" s="19" t="str">
        <f aca="false">IF($A154="","",IF(AND(L154="是",Q154&gt;=R154,S154&lt;=Q154,S154&gt;=R154,W154="是",X154&gt;0,M154="是",INDEX(账户总表!$M:$M,MATCH($A154,账户总表!$A:$A,0))&lt;=2,INDEX(账户总表!$V:$V,MATCH($A154,账户总表!$A:$A,0))="是",OR(T154&lt;=INDEX(账户总表!$C:$C,MATCH($A154,账户总表!$A:$A,0)),AND(Z154="是",INDEX(账户总表!$U:$U,MATCH($A154,账户总表!$A:$A,0))="是",AB154&gt;0))),"是","否"))</f>
        <v/>
      </c>
      <c r="AD154" s="19" t="str">
        <f aca="false">IF($A154="","",IF(L154&lt;&gt;"是","信号未确认",IF(X154&lt;=0,"止损价未定义",IF(Q154&lt;R154,"100股约束不满足",IF(S154&gt;Q154,"计划股数超单股上限",IF(S154&lt;R154,"计划股数低于最小门槛",IF(W154&lt;&gt;"是","总仓位超限",IF(M154&lt;&gt;"是","追价",IF(INDEX(账户总表!$M:$M,MATCH($A154,账户总表!$A:$A,0))&gt;2,"亏钱效应偏高",IF(INDEX(账户总表!$V:$V,MATCH($A154,账户总表!$A:$A,0))&lt;&gt;"是","账户不允许新开仓",IF(AND(T154&gt;INDEX(账户总表!$C:$C,MATCH($A154,账户总表!$A:$A,0)),INDEX(账户总表!$U:$U,MATCH($A154,账户总表!$A:$A,0))&lt;&gt;"是"),"现金不足且不允许转入",IF(AND(Z154="是",AB154&lt;=0),"转入金额未满足",""))))))))))))</f>
        <v/>
      </c>
      <c r="AE154" s="11"/>
    </row>
    <row r="155" customFormat="false" ht="15" hidden="false" customHeight="true" outlineLevel="0" collapsed="false">
      <c r="A155" s="29"/>
      <c r="B155" s="12"/>
      <c r="C155" s="7"/>
      <c r="D155" s="24"/>
      <c r="E155" s="24"/>
      <c r="F155" s="24"/>
      <c r="G155" s="26"/>
      <c r="H155" s="7"/>
      <c r="I155" s="7"/>
      <c r="J155" s="12"/>
      <c r="K155" s="19" t="str">
        <f aca="false">IF($A155="","",IF(AND(G155&lt;45%,H155&gt;=0.9),"A",IF(AND(G155&lt;60%,H155&gt;0.8),"B","C")))</f>
        <v/>
      </c>
      <c r="L155" s="4" t="str">
        <f aca="false">IF($A155="","",IF(AND(G155&lt;60%,H155&gt;0.8,I155="True"),"是","否"))</f>
        <v/>
      </c>
      <c r="M155" s="19" t="str">
        <f aca="false">IF($A155="","",IF(AND(D155&gt;0,E155&gt;0,D155&lt;=E155*1.02),"是","否"))</f>
        <v/>
      </c>
      <c r="N155" s="16" t="n">
        <f aca="false">IFERROR(INDEX(账户总表!$O:$O,MATCH($A155,账户总表!$A:$A,0)),0)</f>
        <v>0</v>
      </c>
      <c r="O155" s="15" t="n">
        <f aca="false">IFERROR(INDEX(账户总表!$B:$B,MATCH($A155,账户总表!$A:$A,0))*N155,0)</f>
        <v>0</v>
      </c>
      <c r="P155" s="18" t="n">
        <f aca="false">IFERROR(O155/D155,0)</f>
        <v>0</v>
      </c>
      <c r="Q155" s="18" t="n">
        <f aca="false">IFERROR(FLOOR(P155,100),0)</f>
        <v>0</v>
      </c>
      <c r="R155" s="18" t="n">
        <f aca="false">IFERROR(CEILING(800/(100*D155),1)*100,0)</f>
        <v>0</v>
      </c>
      <c r="S155" s="25"/>
      <c r="T155" s="15" t="n">
        <f aca="false">IFERROR(S155*D155,0)</f>
        <v>0</v>
      </c>
      <c r="U155" s="16" t="n">
        <f aca="false">IFERROR(T155/INDEX(账户总表!$B:$B,MATCH($A155,账户总表!$A:$A,0)),0)</f>
        <v>0</v>
      </c>
      <c r="V155" s="16" t="n">
        <f aca="false">IFERROR(INDEX(账户总表!$E:$E,MATCH($A155,账户总表!$A:$A,0))+U155,0)</f>
        <v>0</v>
      </c>
      <c r="W155" s="19" t="str">
        <f aca="false">IF($A155="","",IFERROR(IF(V155&lt;=INDEX(账户总表!$N:$N,MATCH($A155,账户总表!$A:$A,0)),"是","否"),"否"))</f>
        <v/>
      </c>
      <c r="X155" s="15" t="str">
        <f aca="false">IF($A155="","",MAX(F155*0.98,D155*0.92))</f>
        <v/>
      </c>
      <c r="Y155" s="7"/>
      <c r="Z155" s="19" t="str">
        <f aca="false">IF($A155="","",IFERROR(IF(AND(T155&gt;INDEX(账户总表!$C:$C,MATCH($A155,账户总表!$A:$A,0)),L155="是"),"是","否"),"否"))</f>
        <v/>
      </c>
      <c r="AA155" s="15" t="str">
        <f aca="false">IF($A155="","",IFERROR(IF(Z155="是",MAX(0,T155-INDEX(账户总表!$C:$C,MATCH($A155,账户总表!$A:$A,0)),IF(N155&gt;0,T155/N155-INDEX(账户总表!$B:$B,MATCH($A155,账户总表!$A:$A,0)),0)),0),0))</f>
        <v/>
      </c>
      <c r="AB155" s="15" t="str">
        <f aca="false">IF($A155="","",IF(AND(Z155="是",INDEX(账户总表!$U:$U,MATCH($A155,账户总表!$A:$A,0))="是"),IF(INDEX(账户总表!$L:$L,MATCH($A155,账户总表!$A:$A,0))&gt;=4,AA155*1.5,AA155),0))</f>
        <v/>
      </c>
      <c r="AC155" s="19" t="str">
        <f aca="false">IF($A155="","",IF(AND(L155="是",Q155&gt;=R155,S155&lt;=Q155,S155&gt;=R155,W155="是",X155&gt;0,M155="是",INDEX(账户总表!$M:$M,MATCH($A155,账户总表!$A:$A,0))&lt;=2,INDEX(账户总表!$V:$V,MATCH($A155,账户总表!$A:$A,0))="是",OR(T155&lt;=INDEX(账户总表!$C:$C,MATCH($A155,账户总表!$A:$A,0)),AND(Z155="是",INDEX(账户总表!$U:$U,MATCH($A155,账户总表!$A:$A,0))="是",AB155&gt;0))),"是","否"))</f>
        <v/>
      </c>
      <c r="AD155" s="19" t="str">
        <f aca="false">IF($A155="","",IF(L155&lt;&gt;"是","信号未确认",IF(X155&lt;=0,"止损价未定义",IF(Q155&lt;R155,"100股约束不满足",IF(S155&gt;Q155,"计划股数超单股上限",IF(S155&lt;R155,"计划股数低于最小门槛",IF(W155&lt;&gt;"是","总仓位超限",IF(M155&lt;&gt;"是","追价",IF(INDEX(账户总表!$M:$M,MATCH($A155,账户总表!$A:$A,0))&gt;2,"亏钱效应偏高",IF(INDEX(账户总表!$V:$V,MATCH($A155,账户总表!$A:$A,0))&lt;&gt;"是","账户不允许新开仓",IF(AND(T155&gt;INDEX(账户总表!$C:$C,MATCH($A155,账户总表!$A:$A,0)),INDEX(账户总表!$U:$U,MATCH($A155,账户总表!$A:$A,0))&lt;&gt;"是"),"现金不足且不允许转入",IF(AND(Z155="是",AB155&lt;=0),"转入金额未满足",""))))))))))))</f>
        <v/>
      </c>
      <c r="AE155" s="12"/>
    </row>
    <row r="156" customFormat="false" ht="15" hidden="false" customHeight="true" outlineLevel="0" collapsed="false">
      <c r="A156" s="30"/>
      <c r="B156" s="11"/>
      <c r="C156" s="5"/>
      <c r="D156" s="14"/>
      <c r="E156" s="14"/>
      <c r="F156" s="14"/>
      <c r="G156" s="20"/>
      <c r="H156" s="5"/>
      <c r="I156" s="5"/>
      <c r="J156" s="11"/>
      <c r="K156" s="19" t="str">
        <f aca="false">IF($A156="","",IF(AND(G156&lt;45%,H156&gt;=0.9),"A",IF(AND(G156&lt;60%,H156&gt;0.8),"B","C")))</f>
        <v/>
      </c>
      <c r="L156" s="4" t="str">
        <f aca="false">IF($A156="","",IF(AND(G156&lt;60%,H156&gt;0.8,I156="True"),"是","否"))</f>
        <v/>
      </c>
      <c r="M156" s="19" t="str">
        <f aca="false">IF($A156="","",IF(AND(D156&gt;0,E156&gt;0,D156&lt;=E156*1.02),"是","否"))</f>
        <v/>
      </c>
      <c r="N156" s="16" t="n">
        <f aca="false">IFERROR(INDEX(账户总表!$O:$O,MATCH($A156,账户总表!$A:$A,0)),0)</f>
        <v>0</v>
      </c>
      <c r="O156" s="15" t="n">
        <f aca="false">IFERROR(INDEX(账户总表!$B:$B,MATCH($A156,账户总表!$A:$A,0))*N156,0)</f>
        <v>0</v>
      </c>
      <c r="P156" s="18" t="n">
        <f aca="false">IFERROR(O156/D156,0)</f>
        <v>0</v>
      </c>
      <c r="Q156" s="18" t="n">
        <f aca="false">IFERROR(FLOOR(P156,100),0)</f>
        <v>0</v>
      </c>
      <c r="R156" s="18" t="n">
        <f aca="false">IFERROR(CEILING(800/(100*D156),1)*100,0)</f>
        <v>0</v>
      </c>
      <c r="S156" s="17"/>
      <c r="T156" s="15" t="n">
        <f aca="false">IFERROR(S156*D156,0)</f>
        <v>0</v>
      </c>
      <c r="U156" s="16" t="n">
        <f aca="false">IFERROR(T156/INDEX(账户总表!$B:$B,MATCH($A156,账户总表!$A:$A,0)),0)</f>
        <v>0</v>
      </c>
      <c r="V156" s="16" t="n">
        <f aca="false">IFERROR(INDEX(账户总表!$E:$E,MATCH($A156,账户总表!$A:$A,0))+U156,0)</f>
        <v>0</v>
      </c>
      <c r="W156" s="19" t="str">
        <f aca="false">IF($A156="","",IFERROR(IF(V156&lt;=INDEX(账户总表!$N:$N,MATCH($A156,账户总表!$A:$A,0)),"是","否"),"否"))</f>
        <v/>
      </c>
      <c r="X156" s="15" t="str">
        <f aca="false">IF($A156="","",MAX(F156*0.98,D156*0.92))</f>
        <v/>
      </c>
      <c r="Y156" s="5"/>
      <c r="Z156" s="19" t="str">
        <f aca="false">IF($A156="","",IFERROR(IF(AND(T156&gt;INDEX(账户总表!$C:$C,MATCH($A156,账户总表!$A:$A,0)),L156="是"),"是","否"),"否"))</f>
        <v/>
      </c>
      <c r="AA156" s="15" t="str">
        <f aca="false">IF($A156="","",IFERROR(IF(Z156="是",MAX(0,T156-INDEX(账户总表!$C:$C,MATCH($A156,账户总表!$A:$A,0)),IF(N156&gt;0,T156/N156-INDEX(账户总表!$B:$B,MATCH($A156,账户总表!$A:$A,0)),0)),0),0))</f>
        <v/>
      </c>
      <c r="AB156" s="15" t="str">
        <f aca="false">IF($A156="","",IF(AND(Z156="是",INDEX(账户总表!$U:$U,MATCH($A156,账户总表!$A:$A,0))="是"),IF(INDEX(账户总表!$L:$L,MATCH($A156,账户总表!$A:$A,0))&gt;=4,AA156*1.5,AA156),0))</f>
        <v/>
      </c>
      <c r="AC156" s="19" t="str">
        <f aca="false">IF($A156="","",IF(AND(L156="是",Q156&gt;=R156,S156&lt;=Q156,S156&gt;=R156,W156="是",X156&gt;0,M156="是",INDEX(账户总表!$M:$M,MATCH($A156,账户总表!$A:$A,0))&lt;=2,INDEX(账户总表!$V:$V,MATCH($A156,账户总表!$A:$A,0))="是",OR(T156&lt;=INDEX(账户总表!$C:$C,MATCH($A156,账户总表!$A:$A,0)),AND(Z156="是",INDEX(账户总表!$U:$U,MATCH($A156,账户总表!$A:$A,0))="是",AB156&gt;0))),"是","否"))</f>
        <v/>
      </c>
      <c r="AD156" s="19" t="str">
        <f aca="false">IF($A156="","",IF(L156&lt;&gt;"是","信号未确认",IF(X156&lt;=0,"止损价未定义",IF(Q156&lt;R156,"100股约束不满足",IF(S156&gt;Q156,"计划股数超单股上限",IF(S156&lt;R156,"计划股数低于最小门槛",IF(W156&lt;&gt;"是","总仓位超限",IF(M156&lt;&gt;"是","追价",IF(INDEX(账户总表!$M:$M,MATCH($A156,账户总表!$A:$A,0))&gt;2,"亏钱效应偏高",IF(INDEX(账户总表!$V:$V,MATCH($A156,账户总表!$A:$A,0))&lt;&gt;"是","账户不允许新开仓",IF(AND(T156&gt;INDEX(账户总表!$C:$C,MATCH($A156,账户总表!$A:$A,0)),INDEX(账户总表!$U:$U,MATCH($A156,账户总表!$A:$A,0))&lt;&gt;"是"),"现金不足且不允许转入",IF(AND(Z156="是",AB156&lt;=0),"转入金额未满足",""))))))))))))</f>
        <v/>
      </c>
      <c r="AE156" s="11"/>
    </row>
    <row r="157" customFormat="false" ht="15" hidden="false" customHeight="true" outlineLevel="0" collapsed="false">
      <c r="A157" s="29"/>
      <c r="B157" s="12"/>
      <c r="C157" s="7"/>
      <c r="D157" s="24"/>
      <c r="E157" s="24"/>
      <c r="F157" s="24"/>
      <c r="G157" s="26"/>
      <c r="H157" s="7"/>
      <c r="I157" s="7"/>
      <c r="J157" s="12"/>
      <c r="K157" s="19" t="str">
        <f aca="false">IF($A157="","",IF(AND(G157&lt;45%,H157&gt;=0.9),"A",IF(AND(G157&lt;60%,H157&gt;0.8),"B","C")))</f>
        <v/>
      </c>
      <c r="L157" s="4" t="str">
        <f aca="false">IF($A157="","",IF(AND(G157&lt;60%,H157&gt;0.8,I157="True"),"是","否"))</f>
        <v/>
      </c>
      <c r="M157" s="19" t="str">
        <f aca="false">IF($A157="","",IF(AND(D157&gt;0,E157&gt;0,D157&lt;=E157*1.02),"是","否"))</f>
        <v/>
      </c>
      <c r="N157" s="16" t="n">
        <f aca="false">IFERROR(INDEX(账户总表!$O:$O,MATCH($A157,账户总表!$A:$A,0)),0)</f>
        <v>0</v>
      </c>
      <c r="O157" s="15" t="n">
        <f aca="false">IFERROR(INDEX(账户总表!$B:$B,MATCH($A157,账户总表!$A:$A,0))*N157,0)</f>
        <v>0</v>
      </c>
      <c r="P157" s="18" t="n">
        <f aca="false">IFERROR(O157/D157,0)</f>
        <v>0</v>
      </c>
      <c r="Q157" s="18" t="n">
        <f aca="false">IFERROR(FLOOR(P157,100),0)</f>
        <v>0</v>
      </c>
      <c r="R157" s="18" t="n">
        <f aca="false">IFERROR(CEILING(800/(100*D157),1)*100,0)</f>
        <v>0</v>
      </c>
      <c r="S157" s="25"/>
      <c r="T157" s="15" t="n">
        <f aca="false">IFERROR(S157*D157,0)</f>
        <v>0</v>
      </c>
      <c r="U157" s="16" t="n">
        <f aca="false">IFERROR(T157/INDEX(账户总表!$B:$B,MATCH($A157,账户总表!$A:$A,0)),0)</f>
        <v>0</v>
      </c>
      <c r="V157" s="16" t="n">
        <f aca="false">IFERROR(INDEX(账户总表!$E:$E,MATCH($A157,账户总表!$A:$A,0))+U157,0)</f>
        <v>0</v>
      </c>
      <c r="W157" s="19" t="str">
        <f aca="false">IF($A157="","",IFERROR(IF(V157&lt;=INDEX(账户总表!$N:$N,MATCH($A157,账户总表!$A:$A,0)),"是","否"),"否"))</f>
        <v/>
      </c>
      <c r="X157" s="15" t="str">
        <f aca="false">IF($A157="","",MAX(F157*0.98,D157*0.92))</f>
        <v/>
      </c>
      <c r="Y157" s="7"/>
      <c r="Z157" s="19" t="str">
        <f aca="false">IF($A157="","",IFERROR(IF(AND(T157&gt;INDEX(账户总表!$C:$C,MATCH($A157,账户总表!$A:$A,0)),L157="是"),"是","否"),"否"))</f>
        <v/>
      </c>
      <c r="AA157" s="15" t="str">
        <f aca="false">IF($A157="","",IFERROR(IF(Z157="是",MAX(0,T157-INDEX(账户总表!$C:$C,MATCH($A157,账户总表!$A:$A,0)),IF(N157&gt;0,T157/N157-INDEX(账户总表!$B:$B,MATCH($A157,账户总表!$A:$A,0)),0)),0),0))</f>
        <v/>
      </c>
      <c r="AB157" s="15" t="str">
        <f aca="false">IF($A157="","",IF(AND(Z157="是",INDEX(账户总表!$U:$U,MATCH($A157,账户总表!$A:$A,0))="是"),IF(INDEX(账户总表!$L:$L,MATCH($A157,账户总表!$A:$A,0))&gt;=4,AA157*1.5,AA157),0))</f>
        <v/>
      </c>
      <c r="AC157" s="19" t="str">
        <f aca="false">IF($A157="","",IF(AND(L157="是",Q157&gt;=R157,S157&lt;=Q157,S157&gt;=R157,W157="是",X157&gt;0,M157="是",INDEX(账户总表!$M:$M,MATCH($A157,账户总表!$A:$A,0))&lt;=2,INDEX(账户总表!$V:$V,MATCH($A157,账户总表!$A:$A,0))="是",OR(T157&lt;=INDEX(账户总表!$C:$C,MATCH($A157,账户总表!$A:$A,0)),AND(Z157="是",INDEX(账户总表!$U:$U,MATCH($A157,账户总表!$A:$A,0))="是",AB157&gt;0))),"是","否"))</f>
        <v/>
      </c>
      <c r="AD157" s="19" t="str">
        <f aca="false">IF($A157="","",IF(L157&lt;&gt;"是","信号未确认",IF(X157&lt;=0,"止损价未定义",IF(Q157&lt;R157,"100股约束不满足",IF(S157&gt;Q157,"计划股数超单股上限",IF(S157&lt;R157,"计划股数低于最小门槛",IF(W157&lt;&gt;"是","总仓位超限",IF(M157&lt;&gt;"是","追价",IF(INDEX(账户总表!$M:$M,MATCH($A157,账户总表!$A:$A,0))&gt;2,"亏钱效应偏高",IF(INDEX(账户总表!$V:$V,MATCH($A157,账户总表!$A:$A,0))&lt;&gt;"是","账户不允许新开仓",IF(AND(T157&gt;INDEX(账户总表!$C:$C,MATCH($A157,账户总表!$A:$A,0)),INDEX(账户总表!$U:$U,MATCH($A157,账户总表!$A:$A,0))&lt;&gt;"是"),"现金不足且不允许转入",IF(AND(Z157="是",AB157&lt;=0),"转入金额未满足",""))))))))))))</f>
        <v/>
      </c>
      <c r="AE157" s="12"/>
    </row>
    <row r="158" customFormat="false" ht="15" hidden="false" customHeight="true" outlineLevel="0" collapsed="false">
      <c r="A158" s="30"/>
      <c r="B158" s="11"/>
      <c r="C158" s="5"/>
      <c r="D158" s="14"/>
      <c r="E158" s="14"/>
      <c r="F158" s="14"/>
      <c r="G158" s="20"/>
      <c r="H158" s="5"/>
      <c r="I158" s="5"/>
      <c r="J158" s="11"/>
      <c r="K158" s="19" t="str">
        <f aca="false">IF($A158="","",IF(AND(G158&lt;45%,H158&gt;=0.9),"A",IF(AND(G158&lt;60%,H158&gt;0.8),"B","C")))</f>
        <v/>
      </c>
      <c r="L158" s="4" t="str">
        <f aca="false">IF($A158="","",IF(AND(G158&lt;60%,H158&gt;0.8,I158="True"),"是","否"))</f>
        <v/>
      </c>
      <c r="M158" s="19" t="str">
        <f aca="false">IF($A158="","",IF(AND(D158&gt;0,E158&gt;0,D158&lt;=E158*1.02),"是","否"))</f>
        <v/>
      </c>
      <c r="N158" s="16" t="n">
        <f aca="false">IFERROR(INDEX(账户总表!$O:$O,MATCH($A158,账户总表!$A:$A,0)),0)</f>
        <v>0</v>
      </c>
      <c r="O158" s="15" t="n">
        <f aca="false">IFERROR(INDEX(账户总表!$B:$B,MATCH($A158,账户总表!$A:$A,0))*N158,0)</f>
        <v>0</v>
      </c>
      <c r="P158" s="18" t="n">
        <f aca="false">IFERROR(O158/D158,0)</f>
        <v>0</v>
      </c>
      <c r="Q158" s="18" t="n">
        <f aca="false">IFERROR(FLOOR(P158,100),0)</f>
        <v>0</v>
      </c>
      <c r="R158" s="18" t="n">
        <f aca="false">IFERROR(CEILING(800/(100*D158),1)*100,0)</f>
        <v>0</v>
      </c>
      <c r="S158" s="17"/>
      <c r="T158" s="15" t="n">
        <f aca="false">IFERROR(S158*D158,0)</f>
        <v>0</v>
      </c>
      <c r="U158" s="16" t="n">
        <f aca="false">IFERROR(T158/INDEX(账户总表!$B:$B,MATCH($A158,账户总表!$A:$A,0)),0)</f>
        <v>0</v>
      </c>
      <c r="V158" s="16" t="n">
        <f aca="false">IFERROR(INDEX(账户总表!$E:$E,MATCH($A158,账户总表!$A:$A,0))+U158,0)</f>
        <v>0</v>
      </c>
      <c r="W158" s="19" t="str">
        <f aca="false">IF($A158="","",IFERROR(IF(V158&lt;=INDEX(账户总表!$N:$N,MATCH($A158,账户总表!$A:$A,0)),"是","否"),"否"))</f>
        <v/>
      </c>
      <c r="X158" s="15" t="str">
        <f aca="false">IF($A158="","",MAX(F158*0.98,D158*0.92))</f>
        <v/>
      </c>
      <c r="Y158" s="5"/>
      <c r="Z158" s="19" t="str">
        <f aca="false">IF($A158="","",IFERROR(IF(AND(T158&gt;INDEX(账户总表!$C:$C,MATCH($A158,账户总表!$A:$A,0)),L158="是"),"是","否"),"否"))</f>
        <v/>
      </c>
      <c r="AA158" s="15" t="str">
        <f aca="false">IF($A158="","",IFERROR(IF(Z158="是",MAX(0,T158-INDEX(账户总表!$C:$C,MATCH($A158,账户总表!$A:$A,0)),IF(N158&gt;0,T158/N158-INDEX(账户总表!$B:$B,MATCH($A158,账户总表!$A:$A,0)),0)),0),0))</f>
        <v/>
      </c>
      <c r="AB158" s="15" t="str">
        <f aca="false">IF($A158="","",IF(AND(Z158="是",INDEX(账户总表!$U:$U,MATCH($A158,账户总表!$A:$A,0))="是"),IF(INDEX(账户总表!$L:$L,MATCH($A158,账户总表!$A:$A,0))&gt;=4,AA158*1.5,AA158),0))</f>
        <v/>
      </c>
      <c r="AC158" s="19" t="str">
        <f aca="false">IF($A158="","",IF(AND(L158="是",Q158&gt;=R158,S158&lt;=Q158,S158&gt;=R158,W158="是",X158&gt;0,M158="是",INDEX(账户总表!$M:$M,MATCH($A158,账户总表!$A:$A,0))&lt;=2,INDEX(账户总表!$V:$V,MATCH($A158,账户总表!$A:$A,0))="是",OR(T158&lt;=INDEX(账户总表!$C:$C,MATCH($A158,账户总表!$A:$A,0)),AND(Z158="是",INDEX(账户总表!$U:$U,MATCH($A158,账户总表!$A:$A,0))="是",AB158&gt;0))),"是","否"))</f>
        <v/>
      </c>
      <c r="AD158" s="19" t="str">
        <f aca="false">IF($A158="","",IF(L158&lt;&gt;"是","信号未确认",IF(X158&lt;=0,"止损价未定义",IF(Q158&lt;R158,"100股约束不满足",IF(S158&gt;Q158,"计划股数超单股上限",IF(S158&lt;R158,"计划股数低于最小门槛",IF(W158&lt;&gt;"是","总仓位超限",IF(M158&lt;&gt;"是","追价",IF(INDEX(账户总表!$M:$M,MATCH($A158,账户总表!$A:$A,0))&gt;2,"亏钱效应偏高",IF(INDEX(账户总表!$V:$V,MATCH($A158,账户总表!$A:$A,0))&lt;&gt;"是","账户不允许新开仓",IF(AND(T158&gt;INDEX(账户总表!$C:$C,MATCH($A158,账户总表!$A:$A,0)),INDEX(账户总表!$U:$U,MATCH($A158,账户总表!$A:$A,0))&lt;&gt;"是"),"现金不足且不允许转入",IF(AND(Z158="是",AB158&lt;=0),"转入金额未满足",""))))))))))))</f>
        <v/>
      </c>
      <c r="AE158" s="11"/>
    </row>
    <row r="159" customFormat="false" ht="15" hidden="false" customHeight="true" outlineLevel="0" collapsed="false">
      <c r="A159" s="29"/>
      <c r="B159" s="12"/>
      <c r="C159" s="7"/>
      <c r="D159" s="24"/>
      <c r="E159" s="24"/>
      <c r="F159" s="24"/>
      <c r="G159" s="26"/>
      <c r="H159" s="7"/>
      <c r="I159" s="7"/>
      <c r="J159" s="12"/>
      <c r="K159" s="19" t="str">
        <f aca="false">IF($A159="","",IF(AND(G159&lt;45%,H159&gt;=0.9),"A",IF(AND(G159&lt;60%,H159&gt;0.8),"B","C")))</f>
        <v/>
      </c>
      <c r="L159" s="4" t="str">
        <f aca="false">IF($A159="","",IF(AND(G159&lt;60%,H159&gt;0.8,I159="True"),"是","否"))</f>
        <v/>
      </c>
      <c r="M159" s="19" t="str">
        <f aca="false">IF($A159="","",IF(AND(D159&gt;0,E159&gt;0,D159&lt;=E159*1.02),"是","否"))</f>
        <v/>
      </c>
      <c r="N159" s="16" t="n">
        <f aca="false">IFERROR(INDEX(账户总表!$O:$O,MATCH($A159,账户总表!$A:$A,0)),0)</f>
        <v>0</v>
      </c>
      <c r="O159" s="15" t="n">
        <f aca="false">IFERROR(INDEX(账户总表!$B:$B,MATCH($A159,账户总表!$A:$A,0))*N159,0)</f>
        <v>0</v>
      </c>
      <c r="P159" s="18" t="n">
        <f aca="false">IFERROR(O159/D159,0)</f>
        <v>0</v>
      </c>
      <c r="Q159" s="18" t="n">
        <f aca="false">IFERROR(FLOOR(P159,100),0)</f>
        <v>0</v>
      </c>
      <c r="R159" s="18" t="n">
        <f aca="false">IFERROR(CEILING(800/(100*D159),1)*100,0)</f>
        <v>0</v>
      </c>
      <c r="S159" s="25"/>
      <c r="T159" s="15" t="n">
        <f aca="false">IFERROR(S159*D159,0)</f>
        <v>0</v>
      </c>
      <c r="U159" s="16" t="n">
        <f aca="false">IFERROR(T159/INDEX(账户总表!$B:$B,MATCH($A159,账户总表!$A:$A,0)),0)</f>
        <v>0</v>
      </c>
      <c r="V159" s="16" t="n">
        <f aca="false">IFERROR(INDEX(账户总表!$E:$E,MATCH($A159,账户总表!$A:$A,0))+U159,0)</f>
        <v>0</v>
      </c>
      <c r="W159" s="19" t="str">
        <f aca="false">IF($A159="","",IFERROR(IF(V159&lt;=INDEX(账户总表!$N:$N,MATCH($A159,账户总表!$A:$A,0)),"是","否"),"否"))</f>
        <v/>
      </c>
      <c r="X159" s="15" t="str">
        <f aca="false">IF($A159="","",MAX(F159*0.98,D159*0.92))</f>
        <v/>
      </c>
      <c r="Y159" s="7"/>
      <c r="Z159" s="19" t="str">
        <f aca="false">IF($A159="","",IFERROR(IF(AND(T159&gt;INDEX(账户总表!$C:$C,MATCH($A159,账户总表!$A:$A,0)),L159="是"),"是","否"),"否"))</f>
        <v/>
      </c>
      <c r="AA159" s="15" t="str">
        <f aca="false">IF($A159="","",IFERROR(IF(Z159="是",MAX(0,T159-INDEX(账户总表!$C:$C,MATCH($A159,账户总表!$A:$A,0)),IF(N159&gt;0,T159/N159-INDEX(账户总表!$B:$B,MATCH($A159,账户总表!$A:$A,0)),0)),0),0))</f>
        <v/>
      </c>
      <c r="AB159" s="15" t="str">
        <f aca="false">IF($A159="","",IF(AND(Z159="是",INDEX(账户总表!$U:$U,MATCH($A159,账户总表!$A:$A,0))="是"),IF(INDEX(账户总表!$L:$L,MATCH($A159,账户总表!$A:$A,0))&gt;=4,AA159*1.5,AA159),0))</f>
        <v/>
      </c>
      <c r="AC159" s="19" t="str">
        <f aca="false">IF($A159="","",IF(AND(L159="是",Q159&gt;=R159,S159&lt;=Q159,S159&gt;=R159,W159="是",X159&gt;0,M159="是",INDEX(账户总表!$M:$M,MATCH($A159,账户总表!$A:$A,0))&lt;=2,INDEX(账户总表!$V:$V,MATCH($A159,账户总表!$A:$A,0))="是",OR(T159&lt;=INDEX(账户总表!$C:$C,MATCH($A159,账户总表!$A:$A,0)),AND(Z159="是",INDEX(账户总表!$U:$U,MATCH($A159,账户总表!$A:$A,0))="是",AB159&gt;0))),"是","否"))</f>
        <v/>
      </c>
      <c r="AD159" s="19" t="str">
        <f aca="false">IF($A159="","",IF(L159&lt;&gt;"是","信号未确认",IF(X159&lt;=0,"止损价未定义",IF(Q159&lt;R159,"100股约束不满足",IF(S159&gt;Q159,"计划股数超单股上限",IF(S159&lt;R159,"计划股数低于最小门槛",IF(W159&lt;&gt;"是","总仓位超限",IF(M159&lt;&gt;"是","追价",IF(INDEX(账户总表!$M:$M,MATCH($A159,账户总表!$A:$A,0))&gt;2,"亏钱效应偏高",IF(INDEX(账户总表!$V:$V,MATCH($A159,账户总表!$A:$A,0))&lt;&gt;"是","账户不允许新开仓",IF(AND(T159&gt;INDEX(账户总表!$C:$C,MATCH($A159,账户总表!$A:$A,0)),INDEX(账户总表!$U:$U,MATCH($A159,账户总表!$A:$A,0))&lt;&gt;"是"),"现金不足且不允许转入",IF(AND(Z159="是",AB159&lt;=0),"转入金额未满足",""))))))))))))</f>
        <v/>
      </c>
      <c r="AE159" s="12"/>
    </row>
    <row r="160" customFormat="false" ht="15" hidden="false" customHeight="true" outlineLevel="0" collapsed="false">
      <c r="A160" s="30"/>
      <c r="B160" s="11"/>
      <c r="C160" s="5"/>
      <c r="D160" s="14"/>
      <c r="E160" s="14"/>
      <c r="F160" s="14"/>
      <c r="G160" s="20"/>
      <c r="H160" s="5"/>
      <c r="I160" s="5"/>
      <c r="J160" s="11"/>
      <c r="K160" s="19" t="str">
        <f aca="false">IF($A160="","",IF(AND(G160&lt;45%,H160&gt;=0.9),"A",IF(AND(G160&lt;60%,H160&gt;0.8),"B","C")))</f>
        <v/>
      </c>
      <c r="L160" s="4" t="str">
        <f aca="false">IF($A160="","",IF(AND(G160&lt;60%,H160&gt;0.8,I160="True"),"是","否"))</f>
        <v/>
      </c>
      <c r="M160" s="19" t="str">
        <f aca="false">IF($A160="","",IF(AND(D160&gt;0,E160&gt;0,D160&lt;=E160*1.02),"是","否"))</f>
        <v/>
      </c>
      <c r="N160" s="16" t="n">
        <f aca="false">IFERROR(INDEX(账户总表!$O:$O,MATCH($A160,账户总表!$A:$A,0)),0)</f>
        <v>0</v>
      </c>
      <c r="O160" s="15" t="n">
        <f aca="false">IFERROR(INDEX(账户总表!$B:$B,MATCH($A160,账户总表!$A:$A,0))*N160,0)</f>
        <v>0</v>
      </c>
      <c r="P160" s="18" t="n">
        <f aca="false">IFERROR(O160/D160,0)</f>
        <v>0</v>
      </c>
      <c r="Q160" s="18" t="n">
        <f aca="false">IFERROR(FLOOR(P160,100),0)</f>
        <v>0</v>
      </c>
      <c r="R160" s="18" t="n">
        <f aca="false">IFERROR(CEILING(800/(100*D160),1)*100,0)</f>
        <v>0</v>
      </c>
      <c r="S160" s="17"/>
      <c r="T160" s="15" t="n">
        <f aca="false">IFERROR(S160*D160,0)</f>
        <v>0</v>
      </c>
      <c r="U160" s="16" t="n">
        <f aca="false">IFERROR(T160/INDEX(账户总表!$B:$B,MATCH($A160,账户总表!$A:$A,0)),0)</f>
        <v>0</v>
      </c>
      <c r="V160" s="16" t="n">
        <f aca="false">IFERROR(INDEX(账户总表!$E:$E,MATCH($A160,账户总表!$A:$A,0))+U160,0)</f>
        <v>0</v>
      </c>
      <c r="W160" s="19" t="str">
        <f aca="false">IF($A160="","",IFERROR(IF(V160&lt;=INDEX(账户总表!$N:$N,MATCH($A160,账户总表!$A:$A,0)),"是","否"),"否"))</f>
        <v/>
      </c>
      <c r="X160" s="15" t="str">
        <f aca="false">IF($A160="","",MAX(F160*0.98,D160*0.92))</f>
        <v/>
      </c>
      <c r="Y160" s="5"/>
      <c r="Z160" s="19" t="str">
        <f aca="false">IF($A160="","",IFERROR(IF(AND(T160&gt;INDEX(账户总表!$C:$C,MATCH($A160,账户总表!$A:$A,0)),L160="是"),"是","否"),"否"))</f>
        <v/>
      </c>
      <c r="AA160" s="15" t="str">
        <f aca="false">IF($A160="","",IFERROR(IF(Z160="是",MAX(0,T160-INDEX(账户总表!$C:$C,MATCH($A160,账户总表!$A:$A,0)),IF(N160&gt;0,T160/N160-INDEX(账户总表!$B:$B,MATCH($A160,账户总表!$A:$A,0)),0)),0),0))</f>
        <v/>
      </c>
      <c r="AB160" s="15" t="str">
        <f aca="false">IF($A160="","",IF(AND(Z160="是",INDEX(账户总表!$U:$U,MATCH($A160,账户总表!$A:$A,0))="是"),IF(INDEX(账户总表!$L:$L,MATCH($A160,账户总表!$A:$A,0))&gt;=4,AA160*1.5,AA160),0))</f>
        <v/>
      </c>
      <c r="AC160" s="19" t="str">
        <f aca="false">IF($A160="","",IF(AND(L160="是",Q160&gt;=R160,S160&lt;=Q160,S160&gt;=R160,W160="是",X160&gt;0,M160="是",INDEX(账户总表!$M:$M,MATCH($A160,账户总表!$A:$A,0))&lt;=2,INDEX(账户总表!$V:$V,MATCH($A160,账户总表!$A:$A,0))="是",OR(T160&lt;=INDEX(账户总表!$C:$C,MATCH($A160,账户总表!$A:$A,0)),AND(Z160="是",INDEX(账户总表!$U:$U,MATCH($A160,账户总表!$A:$A,0))="是",AB160&gt;0))),"是","否"))</f>
        <v/>
      </c>
      <c r="AD160" s="19" t="str">
        <f aca="false">IF($A160="","",IF(L160&lt;&gt;"是","信号未确认",IF(X160&lt;=0,"止损价未定义",IF(Q160&lt;R160,"100股约束不满足",IF(S160&gt;Q160,"计划股数超单股上限",IF(S160&lt;R160,"计划股数低于最小门槛",IF(W160&lt;&gt;"是","总仓位超限",IF(M160&lt;&gt;"是","追价",IF(INDEX(账户总表!$M:$M,MATCH($A160,账户总表!$A:$A,0))&gt;2,"亏钱效应偏高",IF(INDEX(账户总表!$V:$V,MATCH($A160,账户总表!$A:$A,0))&lt;&gt;"是","账户不允许新开仓",IF(AND(T160&gt;INDEX(账户总表!$C:$C,MATCH($A160,账户总表!$A:$A,0)),INDEX(账户总表!$U:$U,MATCH($A160,账户总表!$A:$A,0))&lt;&gt;"是"),"现金不足且不允许转入",IF(AND(Z160="是",AB160&lt;=0),"转入金额未满足",""))))))))))))</f>
        <v/>
      </c>
      <c r="AE160" s="11"/>
    </row>
    <row r="161" customFormat="false" ht="15" hidden="false" customHeight="true" outlineLevel="0" collapsed="false">
      <c r="A161" s="29"/>
      <c r="B161" s="12"/>
      <c r="C161" s="7"/>
      <c r="D161" s="24"/>
      <c r="E161" s="24"/>
      <c r="F161" s="24"/>
      <c r="G161" s="26"/>
      <c r="H161" s="7"/>
      <c r="I161" s="7"/>
      <c r="J161" s="12"/>
      <c r="K161" s="19" t="str">
        <f aca="false">IF($A161="","",IF(AND(G161&lt;45%,H161&gt;=0.9),"A",IF(AND(G161&lt;60%,H161&gt;0.8),"B","C")))</f>
        <v/>
      </c>
      <c r="L161" s="4" t="str">
        <f aca="false">IF($A161="","",IF(AND(G161&lt;60%,H161&gt;0.8,I161="True"),"是","否"))</f>
        <v/>
      </c>
      <c r="M161" s="19" t="str">
        <f aca="false">IF($A161="","",IF(AND(D161&gt;0,E161&gt;0,D161&lt;=E161*1.02),"是","否"))</f>
        <v/>
      </c>
      <c r="N161" s="16" t="n">
        <f aca="false">IFERROR(INDEX(账户总表!$O:$O,MATCH($A161,账户总表!$A:$A,0)),0)</f>
        <v>0</v>
      </c>
      <c r="O161" s="15" t="n">
        <f aca="false">IFERROR(INDEX(账户总表!$B:$B,MATCH($A161,账户总表!$A:$A,0))*N161,0)</f>
        <v>0</v>
      </c>
      <c r="P161" s="18" t="n">
        <f aca="false">IFERROR(O161/D161,0)</f>
        <v>0</v>
      </c>
      <c r="Q161" s="18" t="n">
        <f aca="false">IFERROR(FLOOR(P161,100),0)</f>
        <v>0</v>
      </c>
      <c r="R161" s="18" t="n">
        <f aca="false">IFERROR(CEILING(800/(100*D161),1)*100,0)</f>
        <v>0</v>
      </c>
      <c r="S161" s="25"/>
      <c r="T161" s="15" t="n">
        <f aca="false">IFERROR(S161*D161,0)</f>
        <v>0</v>
      </c>
      <c r="U161" s="16" t="n">
        <f aca="false">IFERROR(T161/INDEX(账户总表!$B:$B,MATCH($A161,账户总表!$A:$A,0)),0)</f>
        <v>0</v>
      </c>
      <c r="V161" s="16" t="n">
        <f aca="false">IFERROR(INDEX(账户总表!$E:$E,MATCH($A161,账户总表!$A:$A,0))+U161,0)</f>
        <v>0</v>
      </c>
      <c r="W161" s="19" t="str">
        <f aca="false">IF($A161="","",IFERROR(IF(V161&lt;=INDEX(账户总表!$N:$N,MATCH($A161,账户总表!$A:$A,0)),"是","否"),"否"))</f>
        <v/>
      </c>
      <c r="X161" s="15" t="str">
        <f aca="false">IF($A161="","",MAX(F161*0.98,D161*0.92))</f>
        <v/>
      </c>
      <c r="Y161" s="7"/>
      <c r="Z161" s="19" t="str">
        <f aca="false">IF($A161="","",IFERROR(IF(AND(T161&gt;INDEX(账户总表!$C:$C,MATCH($A161,账户总表!$A:$A,0)),L161="是"),"是","否"),"否"))</f>
        <v/>
      </c>
      <c r="AA161" s="15" t="str">
        <f aca="false">IF($A161="","",IFERROR(IF(Z161="是",MAX(0,T161-INDEX(账户总表!$C:$C,MATCH($A161,账户总表!$A:$A,0)),IF(N161&gt;0,T161/N161-INDEX(账户总表!$B:$B,MATCH($A161,账户总表!$A:$A,0)),0)),0),0))</f>
        <v/>
      </c>
      <c r="AB161" s="15" t="str">
        <f aca="false">IF($A161="","",IF(AND(Z161="是",INDEX(账户总表!$U:$U,MATCH($A161,账户总表!$A:$A,0))="是"),IF(INDEX(账户总表!$L:$L,MATCH($A161,账户总表!$A:$A,0))&gt;=4,AA161*1.5,AA161),0))</f>
        <v/>
      </c>
      <c r="AC161" s="19" t="str">
        <f aca="false">IF($A161="","",IF(AND(L161="是",Q161&gt;=R161,S161&lt;=Q161,S161&gt;=R161,W161="是",X161&gt;0,M161="是",INDEX(账户总表!$M:$M,MATCH($A161,账户总表!$A:$A,0))&lt;=2,INDEX(账户总表!$V:$V,MATCH($A161,账户总表!$A:$A,0))="是",OR(T161&lt;=INDEX(账户总表!$C:$C,MATCH($A161,账户总表!$A:$A,0)),AND(Z161="是",INDEX(账户总表!$U:$U,MATCH($A161,账户总表!$A:$A,0))="是",AB161&gt;0))),"是","否"))</f>
        <v/>
      </c>
      <c r="AD161" s="19" t="str">
        <f aca="false">IF($A161="","",IF(L161&lt;&gt;"是","信号未确认",IF(X161&lt;=0,"止损价未定义",IF(Q161&lt;R161,"100股约束不满足",IF(S161&gt;Q161,"计划股数超单股上限",IF(S161&lt;R161,"计划股数低于最小门槛",IF(W161&lt;&gt;"是","总仓位超限",IF(M161&lt;&gt;"是","追价",IF(INDEX(账户总表!$M:$M,MATCH($A161,账户总表!$A:$A,0))&gt;2,"亏钱效应偏高",IF(INDEX(账户总表!$V:$V,MATCH($A161,账户总表!$A:$A,0))&lt;&gt;"是","账户不允许新开仓",IF(AND(T161&gt;INDEX(账户总表!$C:$C,MATCH($A161,账户总表!$A:$A,0)),INDEX(账户总表!$U:$U,MATCH($A161,账户总表!$A:$A,0))&lt;&gt;"是"),"现金不足且不允许转入",IF(AND(Z161="是",AB161&lt;=0),"转入金额未满足",""))))))))))))</f>
        <v/>
      </c>
      <c r="AE161" s="12"/>
    </row>
    <row r="162" customFormat="false" ht="15" hidden="false" customHeight="true" outlineLevel="0" collapsed="false">
      <c r="A162" s="30"/>
      <c r="B162" s="11"/>
      <c r="C162" s="5"/>
      <c r="D162" s="14"/>
      <c r="E162" s="14"/>
      <c r="F162" s="14"/>
      <c r="G162" s="20"/>
      <c r="H162" s="5"/>
      <c r="I162" s="5"/>
      <c r="J162" s="11"/>
      <c r="K162" s="19" t="str">
        <f aca="false">IF($A162="","",IF(AND(G162&lt;45%,H162&gt;=0.9),"A",IF(AND(G162&lt;60%,H162&gt;0.8),"B","C")))</f>
        <v/>
      </c>
      <c r="L162" s="4" t="str">
        <f aca="false">IF($A162="","",IF(AND(G162&lt;60%,H162&gt;0.8,I162="True"),"是","否"))</f>
        <v/>
      </c>
      <c r="M162" s="19" t="str">
        <f aca="false">IF($A162="","",IF(AND(D162&gt;0,E162&gt;0,D162&lt;=E162*1.02),"是","否"))</f>
        <v/>
      </c>
      <c r="N162" s="16" t="n">
        <f aca="false">IFERROR(INDEX(账户总表!$O:$O,MATCH($A162,账户总表!$A:$A,0)),0)</f>
        <v>0</v>
      </c>
      <c r="O162" s="15" t="n">
        <f aca="false">IFERROR(INDEX(账户总表!$B:$B,MATCH($A162,账户总表!$A:$A,0))*N162,0)</f>
        <v>0</v>
      </c>
      <c r="P162" s="18" t="n">
        <f aca="false">IFERROR(O162/D162,0)</f>
        <v>0</v>
      </c>
      <c r="Q162" s="18" t="n">
        <f aca="false">IFERROR(FLOOR(P162,100),0)</f>
        <v>0</v>
      </c>
      <c r="R162" s="18" t="n">
        <f aca="false">IFERROR(CEILING(800/(100*D162),1)*100,0)</f>
        <v>0</v>
      </c>
      <c r="S162" s="17"/>
      <c r="T162" s="15" t="n">
        <f aca="false">IFERROR(S162*D162,0)</f>
        <v>0</v>
      </c>
      <c r="U162" s="16" t="n">
        <f aca="false">IFERROR(T162/INDEX(账户总表!$B:$B,MATCH($A162,账户总表!$A:$A,0)),0)</f>
        <v>0</v>
      </c>
      <c r="V162" s="16" t="n">
        <f aca="false">IFERROR(INDEX(账户总表!$E:$E,MATCH($A162,账户总表!$A:$A,0))+U162,0)</f>
        <v>0</v>
      </c>
      <c r="W162" s="19" t="str">
        <f aca="false">IF($A162="","",IFERROR(IF(V162&lt;=INDEX(账户总表!$N:$N,MATCH($A162,账户总表!$A:$A,0)),"是","否"),"否"))</f>
        <v/>
      </c>
      <c r="X162" s="15" t="str">
        <f aca="false">IF($A162="","",MAX(F162*0.98,D162*0.92))</f>
        <v/>
      </c>
      <c r="Y162" s="5"/>
      <c r="Z162" s="19" t="str">
        <f aca="false">IF($A162="","",IFERROR(IF(AND(T162&gt;INDEX(账户总表!$C:$C,MATCH($A162,账户总表!$A:$A,0)),L162="是"),"是","否"),"否"))</f>
        <v/>
      </c>
      <c r="AA162" s="15" t="str">
        <f aca="false">IF($A162="","",IFERROR(IF(Z162="是",MAX(0,T162-INDEX(账户总表!$C:$C,MATCH($A162,账户总表!$A:$A,0)),IF(N162&gt;0,T162/N162-INDEX(账户总表!$B:$B,MATCH($A162,账户总表!$A:$A,0)),0)),0),0))</f>
        <v/>
      </c>
      <c r="AB162" s="15" t="str">
        <f aca="false">IF($A162="","",IF(AND(Z162="是",INDEX(账户总表!$U:$U,MATCH($A162,账户总表!$A:$A,0))="是"),IF(INDEX(账户总表!$L:$L,MATCH($A162,账户总表!$A:$A,0))&gt;=4,AA162*1.5,AA162),0))</f>
        <v/>
      </c>
      <c r="AC162" s="19" t="str">
        <f aca="false">IF($A162="","",IF(AND(L162="是",Q162&gt;=R162,S162&lt;=Q162,S162&gt;=R162,W162="是",X162&gt;0,M162="是",INDEX(账户总表!$M:$M,MATCH($A162,账户总表!$A:$A,0))&lt;=2,INDEX(账户总表!$V:$V,MATCH($A162,账户总表!$A:$A,0))="是",OR(T162&lt;=INDEX(账户总表!$C:$C,MATCH($A162,账户总表!$A:$A,0)),AND(Z162="是",INDEX(账户总表!$U:$U,MATCH($A162,账户总表!$A:$A,0))="是",AB162&gt;0))),"是","否"))</f>
        <v/>
      </c>
      <c r="AD162" s="19" t="str">
        <f aca="false">IF($A162="","",IF(L162&lt;&gt;"是","信号未确认",IF(X162&lt;=0,"止损价未定义",IF(Q162&lt;R162,"100股约束不满足",IF(S162&gt;Q162,"计划股数超单股上限",IF(S162&lt;R162,"计划股数低于最小门槛",IF(W162&lt;&gt;"是","总仓位超限",IF(M162&lt;&gt;"是","追价",IF(INDEX(账户总表!$M:$M,MATCH($A162,账户总表!$A:$A,0))&gt;2,"亏钱效应偏高",IF(INDEX(账户总表!$V:$V,MATCH($A162,账户总表!$A:$A,0))&lt;&gt;"是","账户不允许新开仓",IF(AND(T162&gt;INDEX(账户总表!$C:$C,MATCH($A162,账户总表!$A:$A,0)),INDEX(账户总表!$U:$U,MATCH($A162,账户总表!$A:$A,0))&lt;&gt;"是"),"现金不足且不允许转入",IF(AND(Z162="是",AB162&lt;=0),"转入金额未满足",""))))))))))))</f>
        <v/>
      </c>
      <c r="AE162" s="11"/>
    </row>
    <row r="163" customFormat="false" ht="15" hidden="false" customHeight="true" outlineLevel="0" collapsed="false">
      <c r="A163" s="29"/>
      <c r="B163" s="12"/>
      <c r="C163" s="7"/>
      <c r="D163" s="24"/>
      <c r="E163" s="24"/>
      <c r="F163" s="24"/>
      <c r="G163" s="26"/>
      <c r="H163" s="7"/>
      <c r="I163" s="7"/>
      <c r="J163" s="12"/>
      <c r="K163" s="19" t="str">
        <f aca="false">IF($A163="","",IF(AND(G163&lt;45%,H163&gt;=0.9),"A",IF(AND(G163&lt;60%,H163&gt;0.8),"B","C")))</f>
        <v/>
      </c>
      <c r="L163" s="4" t="str">
        <f aca="false">IF($A163="","",IF(AND(G163&lt;60%,H163&gt;0.8,I163="True"),"是","否"))</f>
        <v/>
      </c>
      <c r="M163" s="19" t="str">
        <f aca="false">IF($A163="","",IF(AND(D163&gt;0,E163&gt;0,D163&lt;=E163*1.02),"是","否"))</f>
        <v/>
      </c>
      <c r="N163" s="16" t="n">
        <f aca="false">IFERROR(INDEX(账户总表!$O:$O,MATCH($A163,账户总表!$A:$A,0)),0)</f>
        <v>0</v>
      </c>
      <c r="O163" s="15" t="n">
        <f aca="false">IFERROR(INDEX(账户总表!$B:$B,MATCH($A163,账户总表!$A:$A,0))*N163,0)</f>
        <v>0</v>
      </c>
      <c r="P163" s="18" t="n">
        <f aca="false">IFERROR(O163/D163,0)</f>
        <v>0</v>
      </c>
      <c r="Q163" s="18" t="n">
        <f aca="false">IFERROR(FLOOR(P163,100),0)</f>
        <v>0</v>
      </c>
      <c r="R163" s="18" t="n">
        <f aca="false">IFERROR(CEILING(800/(100*D163),1)*100,0)</f>
        <v>0</v>
      </c>
      <c r="S163" s="25"/>
      <c r="T163" s="15" t="n">
        <f aca="false">IFERROR(S163*D163,0)</f>
        <v>0</v>
      </c>
      <c r="U163" s="16" t="n">
        <f aca="false">IFERROR(T163/INDEX(账户总表!$B:$B,MATCH($A163,账户总表!$A:$A,0)),0)</f>
        <v>0</v>
      </c>
      <c r="V163" s="16" t="n">
        <f aca="false">IFERROR(INDEX(账户总表!$E:$E,MATCH($A163,账户总表!$A:$A,0))+U163,0)</f>
        <v>0</v>
      </c>
      <c r="W163" s="19" t="str">
        <f aca="false">IF($A163="","",IFERROR(IF(V163&lt;=INDEX(账户总表!$N:$N,MATCH($A163,账户总表!$A:$A,0)),"是","否"),"否"))</f>
        <v/>
      </c>
      <c r="X163" s="15" t="str">
        <f aca="false">IF($A163="","",MAX(F163*0.98,D163*0.92))</f>
        <v/>
      </c>
      <c r="Y163" s="7"/>
      <c r="Z163" s="19" t="str">
        <f aca="false">IF($A163="","",IFERROR(IF(AND(T163&gt;INDEX(账户总表!$C:$C,MATCH($A163,账户总表!$A:$A,0)),L163="是"),"是","否"),"否"))</f>
        <v/>
      </c>
      <c r="AA163" s="15" t="str">
        <f aca="false">IF($A163="","",IFERROR(IF(Z163="是",MAX(0,T163-INDEX(账户总表!$C:$C,MATCH($A163,账户总表!$A:$A,0)),IF(N163&gt;0,T163/N163-INDEX(账户总表!$B:$B,MATCH($A163,账户总表!$A:$A,0)),0)),0),0))</f>
        <v/>
      </c>
      <c r="AB163" s="15" t="str">
        <f aca="false">IF($A163="","",IF(AND(Z163="是",INDEX(账户总表!$U:$U,MATCH($A163,账户总表!$A:$A,0))="是"),IF(INDEX(账户总表!$L:$L,MATCH($A163,账户总表!$A:$A,0))&gt;=4,AA163*1.5,AA163),0))</f>
        <v/>
      </c>
      <c r="AC163" s="19" t="str">
        <f aca="false">IF($A163="","",IF(AND(L163="是",Q163&gt;=R163,S163&lt;=Q163,S163&gt;=R163,W163="是",X163&gt;0,M163="是",INDEX(账户总表!$M:$M,MATCH($A163,账户总表!$A:$A,0))&lt;=2,INDEX(账户总表!$V:$V,MATCH($A163,账户总表!$A:$A,0))="是",OR(T163&lt;=INDEX(账户总表!$C:$C,MATCH($A163,账户总表!$A:$A,0)),AND(Z163="是",INDEX(账户总表!$U:$U,MATCH($A163,账户总表!$A:$A,0))="是",AB163&gt;0))),"是","否"))</f>
        <v/>
      </c>
      <c r="AD163" s="19" t="str">
        <f aca="false">IF($A163="","",IF(L163&lt;&gt;"是","信号未确认",IF(X163&lt;=0,"止损价未定义",IF(Q163&lt;R163,"100股约束不满足",IF(S163&gt;Q163,"计划股数超单股上限",IF(S163&lt;R163,"计划股数低于最小门槛",IF(W163&lt;&gt;"是","总仓位超限",IF(M163&lt;&gt;"是","追价",IF(INDEX(账户总表!$M:$M,MATCH($A163,账户总表!$A:$A,0))&gt;2,"亏钱效应偏高",IF(INDEX(账户总表!$V:$V,MATCH($A163,账户总表!$A:$A,0))&lt;&gt;"是","账户不允许新开仓",IF(AND(T163&gt;INDEX(账户总表!$C:$C,MATCH($A163,账户总表!$A:$A,0)),INDEX(账户总表!$U:$U,MATCH($A163,账户总表!$A:$A,0))&lt;&gt;"是"),"现金不足且不允许转入",IF(AND(Z163="是",AB163&lt;=0),"转入金额未满足",""))))))))))))</f>
        <v/>
      </c>
      <c r="AE163" s="12"/>
    </row>
    <row r="164" customFormat="false" ht="15" hidden="false" customHeight="true" outlineLevel="0" collapsed="false">
      <c r="A164" s="30"/>
      <c r="B164" s="5"/>
      <c r="C164" s="5"/>
      <c r="D164" s="14"/>
      <c r="E164" s="14"/>
      <c r="F164" s="14"/>
      <c r="G164" s="20"/>
      <c r="H164" s="5"/>
      <c r="I164" s="5"/>
      <c r="J164" s="11"/>
      <c r="K164" s="19" t="str">
        <f aca="false">IF($A164="","",IF(AND(G164&lt;45%,H164&gt;=0.9),"A",IF(AND(G164&lt;60%,H164&gt;0.8),"B","C")))</f>
        <v/>
      </c>
      <c r="L164" s="4" t="str">
        <f aca="false">IF($A164="","",IF(AND(G164&lt;60%,H164&gt;0.8,I164="True"),"是","否"))</f>
        <v/>
      </c>
      <c r="M164" s="19" t="str">
        <f aca="false">IF($A164="","",IF(AND(D164&gt;0,E164&gt;0,D164&lt;=E164*1.02),"是","否"))</f>
        <v/>
      </c>
      <c r="N164" s="16" t="n">
        <f aca="false">IFERROR(INDEX(账户总表!$O:$O,MATCH($A164,账户总表!$A:$A,0)),0)</f>
        <v>0</v>
      </c>
      <c r="O164" s="15" t="n">
        <f aca="false">IFERROR(INDEX(账户总表!$B:$B,MATCH($A164,账户总表!$A:$A,0))*N164,0)</f>
        <v>0</v>
      </c>
      <c r="P164" s="18" t="n">
        <f aca="false">IFERROR(O164/D164,0)</f>
        <v>0</v>
      </c>
      <c r="Q164" s="18" t="n">
        <f aca="false">IFERROR(FLOOR(P164,100),0)</f>
        <v>0</v>
      </c>
      <c r="R164" s="18" t="n">
        <f aca="false">IFERROR(CEILING(800/(100*D164),1)*100,0)</f>
        <v>0</v>
      </c>
      <c r="S164" s="17"/>
      <c r="T164" s="15" t="n">
        <f aca="false">IFERROR(S164*D164,0)</f>
        <v>0</v>
      </c>
      <c r="U164" s="16" t="n">
        <f aca="false">IFERROR(T164/INDEX(账户总表!$B:$B,MATCH($A164,账户总表!$A:$A,0)),0)</f>
        <v>0</v>
      </c>
      <c r="V164" s="16" t="n">
        <f aca="false">IFERROR(INDEX(账户总表!$E:$E,MATCH($A164,账户总表!$A:$A,0))+U164,0)</f>
        <v>0</v>
      </c>
      <c r="W164" s="19" t="str">
        <f aca="false">IF($A164="","",IFERROR(IF(V164&lt;=INDEX(账户总表!$N:$N,MATCH($A164,账户总表!$A:$A,0)),"是","否"),"否"))</f>
        <v/>
      </c>
      <c r="X164" s="15" t="str">
        <f aca="false">IF($A164="","",MAX(F164*0.98,D164*0.92))</f>
        <v/>
      </c>
      <c r="Y164" s="5"/>
      <c r="Z164" s="19" t="str">
        <f aca="false">IF($A164="","",IFERROR(IF(AND(T164&gt;INDEX(账户总表!$C:$C,MATCH($A164,账户总表!$A:$A,0)),L164="是"),"是","否"),"否"))</f>
        <v/>
      </c>
      <c r="AA164" s="15" t="str">
        <f aca="false">IF($A164="","",IFERROR(IF(Z164="是",MAX(0,T164-INDEX(账户总表!$C:$C,MATCH($A164,账户总表!$A:$A,0)),IF(N164&gt;0,T164/N164-INDEX(账户总表!$B:$B,MATCH($A164,账户总表!$A:$A,0)),0)),0),0))</f>
        <v/>
      </c>
      <c r="AB164" s="15" t="str">
        <f aca="false">IF($A164="","",IF(AND(Z164="是",INDEX(账户总表!$U:$U,MATCH($A164,账户总表!$A:$A,0))="是"),IF(INDEX(账户总表!$L:$L,MATCH($A164,账户总表!$A:$A,0))&gt;=4,AA164*1.5,AA164),0))</f>
        <v/>
      </c>
      <c r="AC164" s="19" t="str">
        <f aca="false">IF($A164="","",IF(AND(L164="是",Q164&gt;=R164,S164&lt;=Q164,S164&gt;=R164,W164="是",X164&gt;0,M164="是",INDEX(账户总表!$M:$M,MATCH($A164,账户总表!$A:$A,0))&lt;=2,INDEX(账户总表!$V:$V,MATCH($A164,账户总表!$A:$A,0))="是",OR(T164&lt;=INDEX(账户总表!$C:$C,MATCH($A164,账户总表!$A:$A,0)),AND(Z164="是",INDEX(账户总表!$U:$U,MATCH($A164,账户总表!$A:$A,0))="是",AB164&gt;0))),"是","否"))</f>
        <v/>
      </c>
      <c r="AD164" s="19" t="str">
        <f aca="false">IF($A164="","",IF(L164&lt;&gt;"是","信号未确认",IF(X164&lt;=0,"止损价未定义",IF(Q164&lt;R164,"100股约束不满足",IF(S164&gt;Q164,"计划股数超单股上限",IF(S164&lt;R164,"计划股数低于最小门槛",IF(W164&lt;&gt;"是","总仓位超限",IF(M164&lt;&gt;"是","追价",IF(INDEX(账户总表!$M:$M,MATCH($A164,账户总表!$A:$A,0))&gt;2,"亏钱效应偏高",IF(INDEX(账户总表!$V:$V,MATCH($A164,账户总表!$A:$A,0))&lt;&gt;"是","账户不允许新开仓",IF(AND(T164&gt;INDEX(账户总表!$C:$C,MATCH($A164,账户总表!$A:$A,0)),INDEX(账户总表!$U:$U,MATCH($A164,账户总表!$A:$A,0))&lt;&gt;"是"),"现金不足且不允许转入",IF(AND(Z164="是",AB164&lt;=0),"转入金额未满足",""))))))))))))</f>
        <v/>
      </c>
      <c r="AE164" s="11"/>
    </row>
    <row r="165" customFormat="false" ht="15" hidden="false" customHeight="true" outlineLevel="0" collapsed="false">
      <c r="A165" s="29"/>
      <c r="B165" s="12"/>
      <c r="C165" s="7"/>
      <c r="D165" s="24"/>
      <c r="E165" s="24"/>
      <c r="F165" s="24"/>
      <c r="G165" s="26"/>
      <c r="H165" s="7"/>
      <c r="I165" s="7"/>
      <c r="J165" s="12"/>
      <c r="K165" s="19" t="str">
        <f aca="false">IF($A165="","",IF(AND(G165&lt;45%,H165&gt;=0.9),"A",IF(AND(G165&lt;60%,H165&gt;0.8),"B","C")))</f>
        <v/>
      </c>
      <c r="L165" s="4" t="str">
        <f aca="false">IF($A165="","",IF(AND(G165&lt;60%,H165&gt;0.8,I165="True"),"是","否"))</f>
        <v/>
      </c>
      <c r="M165" s="19" t="str">
        <f aca="false">IF($A165="","",IF(AND(D165&gt;0,E165&gt;0,D165&lt;=E165*1.02),"是","否"))</f>
        <v/>
      </c>
      <c r="N165" s="16" t="n">
        <f aca="false">IFERROR(INDEX(账户总表!$O:$O,MATCH($A165,账户总表!$A:$A,0)),0)</f>
        <v>0</v>
      </c>
      <c r="O165" s="15" t="n">
        <f aca="false">IFERROR(INDEX(账户总表!$B:$B,MATCH($A165,账户总表!$A:$A,0))*N165,0)</f>
        <v>0</v>
      </c>
      <c r="P165" s="18" t="n">
        <f aca="false">IFERROR(O165/D165,0)</f>
        <v>0</v>
      </c>
      <c r="Q165" s="18" t="n">
        <f aca="false">IFERROR(FLOOR(P165,100),0)</f>
        <v>0</v>
      </c>
      <c r="R165" s="18" t="n">
        <f aca="false">IFERROR(CEILING(800/(100*D165),1)*100,0)</f>
        <v>0</v>
      </c>
      <c r="S165" s="25"/>
      <c r="T165" s="15" t="n">
        <f aca="false">IFERROR(S165*D165,0)</f>
        <v>0</v>
      </c>
      <c r="U165" s="16" t="n">
        <f aca="false">IFERROR(T165/INDEX(账户总表!$B:$B,MATCH($A165,账户总表!$A:$A,0)),0)</f>
        <v>0</v>
      </c>
      <c r="V165" s="16" t="n">
        <f aca="false">IFERROR(INDEX(账户总表!$E:$E,MATCH($A165,账户总表!$A:$A,0))+U165,0)</f>
        <v>0</v>
      </c>
      <c r="W165" s="19" t="str">
        <f aca="false">IF($A165="","",IFERROR(IF(V165&lt;=INDEX(账户总表!$N:$N,MATCH($A165,账户总表!$A:$A,0)),"是","否"),"否"))</f>
        <v/>
      </c>
      <c r="X165" s="15" t="str">
        <f aca="false">IF($A165="","",MAX(F165*0.98,D165*0.92))</f>
        <v/>
      </c>
      <c r="Y165" s="7"/>
      <c r="Z165" s="19" t="str">
        <f aca="false">IF($A165="","",IFERROR(IF(AND(T165&gt;INDEX(账户总表!$C:$C,MATCH($A165,账户总表!$A:$A,0)),L165="是"),"是","否"),"否"))</f>
        <v/>
      </c>
      <c r="AA165" s="15" t="str">
        <f aca="false">IF($A165="","",IFERROR(IF(Z165="是",MAX(0,T165-INDEX(账户总表!$C:$C,MATCH($A165,账户总表!$A:$A,0)),IF(N165&gt;0,T165/N165-INDEX(账户总表!$B:$B,MATCH($A165,账户总表!$A:$A,0)),0)),0),0))</f>
        <v/>
      </c>
      <c r="AB165" s="15" t="str">
        <f aca="false">IF($A165="","",IF(AND(Z165="是",INDEX(账户总表!$U:$U,MATCH($A165,账户总表!$A:$A,0))="是"),IF(INDEX(账户总表!$L:$L,MATCH($A165,账户总表!$A:$A,0))&gt;=4,AA165*1.5,AA165),0))</f>
        <v/>
      </c>
      <c r="AC165" s="19" t="str">
        <f aca="false">IF($A165="","",IF(AND(L165="是",Q165&gt;=R165,S165&lt;=Q165,S165&gt;=R165,W165="是",X165&gt;0,M165="是",INDEX(账户总表!$M:$M,MATCH($A165,账户总表!$A:$A,0))&lt;=2,INDEX(账户总表!$V:$V,MATCH($A165,账户总表!$A:$A,0))="是",OR(T165&lt;=INDEX(账户总表!$C:$C,MATCH($A165,账户总表!$A:$A,0)),AND(Z165="是",INDEX(账户总表!$U:$U,MATCH($A165,账户总表!$A:$A,0))="是",AB165&gt;0))),"是","否"))</f>
        <v/>
      </c>
      <c r="AD165" s="19" t="str">
        <f aca="false">IF($A165="","",IF(L165&lt;&gt;"是","信号未确认",IF(X165&lt;=0,"止损价未定义",IF(Q165&lt;R165,"100股约束不满足",IF(S165&gt;Q165,"计划股数超单股上限",IF(S165&lt;R165,"计划股数低于最小门槛",IF(W165&lt;&gt;"是","总仓位超限",IF(M165&lt;&gt;"是","追价",IF(INDEX(账户总表!$M:$M,MATCH($A165,账户总表!$A:$A,0))&gt;2,"亏钱效应偏高",IF(INDEX(账户总表!$V:$V,MATCH($A165,账户总表!$A:$A,0))&lt;&gt;"是","账户不允许新开仓",IF(AND(T165&gt;INDEX(账户总表!$C:$C,MATCH($A165,账户总表!$A:$A,0)),INDEX(账户总表!$U:$U,MATCH($A165,账户总表!$A:$A,0))&lt;&gt;"是"),"现金不足且不允许转入",IF(AND(Z165="是",AB165&lt;=0),"转入金额未满足",""))))))))))))</f>
        <v/>
      </c>
      <c r="AE165" s="12"/>
    </row>
    <row r="166" customFormat="false" ht="15" hidden="false" customHeight="true" outlineLevel="0" collapsed="false">
      <c r="A166" s="30"/>
      <c r="B166" s="11"/>
      <c r="C166" s="5"/>
      <c r="D166" s="14"/>
      <c r="E166" s="14"/>
      <c r="F166" s="14"/>
      <c r="G166" s="20"/>
      <c r="H166" s="5"/>
      <c r="I166" s="5"/>
      <c r="J166" s="11"/>
      <c r="K166" s="19" t="str">
        <f aca="false">IF($A166="","",IF(AND(G166&lt;45%,H166&gt;=0.9),"A",IF(AND(G166&lt;60%,H166&gt;0.8),"B","C")))</f>
        <v/>
      </c>
      <c r="L166" s="4" t="str">
        <f aca="false">IF($A166="","",IF(AND(G166&lt;60%,H166&gt;0.8,I166="True"),"是","否"))</f>
        <v/>
      </c>
      <c r="M166" s="19" t="str">
        <f aca="false">IF($A166="","",IF(AND(D166&gt;0,E166&gt;0,D166&lt;=E166*1.02),"是","否"))</f>
        <v/>
      </c>
      <c r="N166" s="16" t="n">
        <f aca="false">IFERROR(INDEX(账户总表!$O:$O,MATCH($A166,账户总表!$A:$A,0)),0)</f>
        <v>0</v>
      </c>
      <c r="O166" s="15" t="n">
        <f aca="false">IFERROR(INDEX(账户总表!$B:$B,MATCH($A166,账户总表!$A:$A,0))*N166,0)</f>
        <v>0</v>
      </c>
      <c r="P166" s="18" t="n">
        <f aca="false">IFERROR(O166/D166,0)</f>
        <v>0</v>
      </c>
      <c r="Q166" s="18" t="n">
        <f aca="false">IFERROR(FLOOR(P166,100),0)</f>
        <v>0</v>
      </c>
      <c r="R166" s="18" t="n">
        <f aca="false">IFERROR(CEILING(800/(100*D166),1)*100,0)</f>
        <v>0</v>
      </c>
      <c r="S166" s="17"/>
      <c r="T166" s="15" t="n">
        <f aca="false">IFERROR(S166*D166,0)</f>
        <v>0</v>
      </c>
      <c r="U166" s="16" t="n">
        <f aca="false">IFERROR(T166/INDEX(账户总表!$B:$B,MATCH($A166,账户总表!$A:$A,0)),0)</f>
        <v>0</v>
      </c>
      <c r="V166" s="16" t="n">
        <f aca="false">IFERROR(INDEX(账户总表!$E:$E,MATCH($A166,账户总表!$A:$A,0))+U166,0)</f>
        <v>0</v>
      </c>
      <c r="W166" s="19" t="str">
        <f aca="false">IF($A166="","",IFERROR(IF(V166&lt;=INDEX(账户总表!$N:$N,MATCH($A166,账户总表!$A:$A,0)),"是","否"),"否"))</f>
        <v/>
      </c>
      <c r="X166" s="15" t="str">
        <f aca="false">IF($A166="","",MAX(F166*0.98,D166*0.92))</f>
        <v/>
      </c>
      <c r="Y166" s="5"/>
      <c r="Z166" s="19" t="str">
        <f aca="false">IF($A166="","",IFERROR(IF(AND(T166&gt;INDEX(账户总表!$C:$C,MATCH($A166,账户总表!$A:$A,0)),L166="是"),"是","否"),"否"))</f>
        <v/>
      </c>
      <c r="AA166" s="15" t="str">
        <f aca="false">IF($A166="","",IFERROR(IF(Z166="是",MAX(0,T166-INDEX(账户总表!$C:$C,MATCH($A166,账户总表!$A:$A,0)),IF(N166&gt;0,T166/N166-INDEX(账户总表!$B:$B,MATCH($A166,账户总表!$A:$A,0)),0)),0),0))</f>
        <v/>
      </c>
      <c r="AB166" s="15" t="str">
        <f aca="false">IF($A166="","",IF(AND(Z166="是",INDEX(账户总表!$U:$U,MATCH($A166,账户总表!$A:$A,0))="是"),IF(INDEX(账户总表!$L:$L,MATCH($A166,账户总表!$A:$A,0))&gt;=4,AA166*1.5,AA166),0))</f>
        <v/>
      </c>
      <c r="AC166" s="19" t="str">
        <f aca="false">IF($A166="","",IF(AND(L166="是",Q166&gt;=R166,S166&lt;=Q166,S166&gt;=R166,W166="是",X166&gt;0,M166="是",INDEX(账户总表!$M:$M,MATCH($A166,账户总表!$A:$A,0))&lt;=2,INDEX(账户总表!$V:$V,MATCH($A166,账户总表!$A:$A,0))="是",OR(T166&lt;=INDEX(账户总表!$C:$C,MATCH($A166,账户总表!$A:$A,0)),AND(Z166="是",INDEX(账户总表!$U:$U,MATCH($A166,账户总表!$A:$A,0))="是",AB166&gt;0))),"是","否"))</f>
        <v/>
      </c>
      <c r="AD166" s="19" t="str">
        <f aca="false">IF($A166="","",IF(L166&lt;&gt;"是","信号未确认",IF(X166&lt;=0,"止损价未定义",IF(Q166&lt;R166,"100股约束不满足",IF(S166&gt;Q166,"计划股数超单股上限",IF(S166&lt;R166,"计划股数低于最小门槛",IF(W166&lt;&gt;"是","总仓位超限",IF(M166&lt;&gt;"是","追价",IF(INDEX(账户总表!$M:$M,MATCH($A166,账户总表!$A:$A,0))&gt;2,"亏钱效应偏高",IF(INDEX(账户总表!$V:$V,MATCH($A166,账户总表!$A:$A,0))&lt;&gt;"是","账户不允许新开仓",IF(AND(T166&gt;INDEX(账户总表!$C:$C,MATCH($A166,账户总表!$A:$A,0)),INDEX(账户总表!$U:$U,MATCH($A166,账户总表!$A:$A,0))&lt;&gt;"是"),"现金不足且不允许转入",IF(AND(Z166="是",AB166&lt;=0),"转入金额未满足",""))))))))))))</f>
        <v/>
      </c>
      <c r="AE166" s="11"/>
    </row>
    <row r="167" customFormat="false" ht="15" hidden="false" customHeight="true" outlineLevel="0" collapsed="false">
      <c r="A167" s="29"/>
      <c r="B167" s="12"/>
      <c r="C167" s="7"/>
      <c r="D167" s="24"/>
      <c r="E167" s="24"/>
      <c r="F167" s="24"/>
      <c r="G167" s="26"/>
      <c r="H167" s="7"/>
      <c r="I167" s="7"/>
      <c r="J167" s="12"/>
      <c r="K167" s="19" t="str">
        <f aca="false">IF($A167="","",IF(AND(G167&lt;45%,H167&gt;=0.9),"A",IF(AND(G167&lt;60%,H167&gt;0.8),"B","C")))</f>
        <v/>
      </c>
      <c r="L167" s="4" t="str">
        <f aca="false">IF($A167="","",IF(AND(G167&lt;60%,H167&gt;0.8,I167="True"),"是","否"))</f>
        <v/>
      </c>
      <c r="M167" s="19" t="str">
        <f aca="false">IF($A167="","",IF(AND(D167&gt;0,E167&gt;0,D167&lt;=E167*1.02),"是","否"))</f>
        <v/>
      </c>
      <c r="N167" s="16" t="n">
        <f aca="false">IFERROR(INDEX(账户总表!$O:$O,MATCH($A167,账户总表!$A:$A,0)),0)</f>
        <v>0</v>
      </c>
      <c r="O167" s="15" t="n">
        <f aca="false">IFERROR(INDEX(账户总表!$B:$B,MATCH($A167,账户总表!$A:$A,0))*N167,0)</f>
        <v>0</v>
      </c>
      <c r="P167" s="18" t="n">
        <f aca="false">IFERROR(O167/D167,0)</f>
        <v>0</v>
      </c>
      <c r="Q167" s="18" t="n">
        <f aca="false">IFERROR(FLOOR(P167,100),0)</f>
        <v>0</v>
      </c>
      <c r="R167" s="18" t="n">
        <f aca="false">IFERROR(CEILING(800/(100*D167),1)*100,0)</f>
        <v>0</v>
      </c>
      <c r="S167" s="25"/>
      <c r="T167" s="15" t="n">
        <f aca="false">IFERROR(S167*D167,0)</f>
        <v>0</v>
      </c>
      <c r="U167" s="16" t="n">
        <f aca="false">IFERROR(T167/INDEX(账户总表!$B:$B,MATCH($A167,账户总表!$A:$A,0)),0)</f>
        <v>0</v>
      </c>
      <c r="V167" s="16" t="n">
        <f aca="false">IFERROR(INDEX(账户总表!$E:$E,MATCH($A167,账户总表!$A:$A,0))+U167,0)</f>
        <v>0</v>
      </c>
      <c r="W167" s="19" t="str">
        <f aca="false">IF($A167="","",IFERROR(IF(V167&lt;=INDEX(账户总表!$N:$N,MATCH($A167,账户总表!$A:$A,0)),"是","否"),"否"))</f>
        <v/>
      </c>
      <c r="X167" s="15" t="str">
        <f aca="false">IF($A167="","",MAX(F167*0.98,D167*0.92))</f>
        <v/>
      </c>
      <c r="Y167" s="7"/>
      <c r="Z167" s="19" t="str">
        <f aca="false">IF($A167="","",IFERROR(IF(AND(T167&gt;INDEX(账户总表!$C:$C,MATCH($A167,账户总表!$A:$A,0)),L167="是"),"是","否"),"否"))</f>
        <v/>
      </c>
      <c r="AA167" s="15" t="str">
        <f aca="false">IF($A167="","",IFERROR(IF(Z167="是",MAX(0,T167-INDEX(账户总表!$C:$C,MATCH($A167,账户总表!$A:$A,0)),IF(N167&gt;0,T167/N167-INDEX(账户总表!$B:$B,MATCH($A167,账户总表!$A:$A,0)),0)),0),0))</f>
        <v/>
      </c>
      <c r="AB167" s="15" t="str">
        <f aca="false">IF($A167="","",IF(AND(Z167="是",INDEX(账户总表!$U:$U,MATCH($A167,账户总表!$A:$A,0))="是"),IF(INDEX(账户总表!$L:$L,MATCH($A167,账户总表!$A:$A,0))&gt;=4,AA167*1.5,AA167),0))</f>
        <v/>
      </c>
      <c r="AC167" s="19" t="str">
        <f aca="false">IF($A167="","",IF(AND(L167="是",Q167&gt;=R167,S167&lt;=Q167,S167&gt;=R167,W167="是",X167&gt;0,M167="是",INDEX(账户总表!$M:$M,MATCH($A167,账户总表!$A:$A,0))&lt;=2,INDEX(账户总表!$V:$V,MATCH($A167,账户总表!$A:$A,0))="是",OR(T167&lt;=INDEX(账户总表!$C:$C,MATCH($A167,账户总表!$A:$A,0)),AND(Z167="是",INDEX(账户总表!$U:$U,MATCH($A167,账户总表!$A:$A,0))="是",AB167&gt;0))),"是","否"))</f>
        <v/>
      </c>
      <c r="AD167" s="19" t="str">
        <f aca="false">IF($A167="","",IF(L167&lt;&gt;"是","信号未确认",IF(X167&lt;=0,"止损价未定义",IF(Q167&lt;R167,"100股约束不满足",IF(S167&gt;Q167,"计划股数超单股上限",IF(S167&lt;R167,"计划股数低于最小门槛",IF(W167&lt;&gt;"是","总仓位超限",IF(M167&lt;&gt;"是","追价",IF(INDEX(账户总表!$M:$M,MATCH($A167,账户总表!$A:$A,0))&gt;2,"亏钱效应偏高",IF(INDEX(账户总表!$V:$V,MATCH($A167,账户总表!$A:$A,0))&lt;&gt;"是","账户不允许新开仓",IF(AND(T167&gt;INDEX(账户总表!$C:$C,MATCH($A167,账户总表!$A:$A,0)),INDEX(账户总表!$U:$U,MATCH($A167,账户总表!$A:$A,0))&lt;&gt;"是"),"现金不足且不允许转入",IF(AND(Z167="是",AB167&lt;=0),"转入金额未满足",""))))))))))))</f>
        <v/>
      </c>
      <c r="AE167" s="12"/>
    </row>
    <row r="168" customFormat="false" ht="15" hidden="false" customHeight="true" outlineLevel="0" collapsed="false">
      <c r="A168" s="5"/>
      <c r="B168" s="5"/>
      <c r="C168" s="5"/>
      <c r="D168" s="14"/>
      <c r="E168" s="14"/>
      <c r="F168" s="14"/>
      <c r="G168" s="20"/>
      <c r="H168" s="5"/>
      <c r="I168" s="5"/>
      <c r="J168" s="11"/>
      <c r="K168" s="19" t="str">
        <f aca="false">IF($A168="","",IF(AND(G168&lt;45%,H168&gt;=0.9),"A",IF(AND(G168&lt;60%,H168&gt;0.8),"B","C")))</f>
        <v/>
      </c>
      <c r="L168" s="4" t="str">
        <f aca="false">IF($A168="","",IF(AND(G168&lt;60%,H168&gt;0.8,I168="True"),"是","否"))</f>
        <v/>
      </c>
      <c r="M168" s="19" t="str">
        <f aca="false">IF($A168="","",IF(AND(D168&gt;0,E168&gt;0,D168&lt;=E168*1.02),"是","否"))</f>
        <v/>
      </c>
      <c r="N168" s="16" t="n">
        <f aca="false">IFERROR(INDEX(账户总表!$O:$O,MATCH($A168,账户总表!$A:$A,0)),0)</f>
        <v>0</v>
      </c>
      <c r="O168" s="15" t="n">
        <f aca="false">IFERROR(INDEX(账户总表!$B:$B,MATCH($A168,账户总表!$A:$A,0))*N168,0)</f>
        <v>0</v>
      </c>
      <c r="P168" s="18" t="n">
        <f aca="false">IFERROR(O168/D168,0)</f>
        <v>0</v>
      </c>
      <c r="Q168" s="18" t="n">
        <f aca="false">IFERROR(FLOOR(P168,100),0)</f>
        <v>0</v>
      </c>
      <c r="R168" s="18" t="n">
        <f aca="false">IFERROR(CEILING(800/(100*D168),1)*100,0)</f>
        <v>0</v>
      </c>
      <c r="S168" s="17"/>
      <c r="T168" s="15" t="n">
        <f aca="false">IFERROR(S168*D168,0)</f>
        <v>0</v>
      </c>
      <c r="U168" s="16" t="n">
        <f aca="false">IFERROR(T168/INDEX(账户总表!$B:$B,MATCH($A168,账户总表!$A:$A,0)),0)</f>
        <v>0</v>
      </c>
      <c r="V168" s="16" t="n">
        <f aca="false">IFERROR(INDEX(账户总表!$E:$E,MATCH($A168,账户总表!$A:$A,0))+U168,0)</f>
        <v>0</v>
      </c>
      <c r="W168" s="19" t="str">
        <f aca="false">IF($A168="","",IFERROR(IF(V168&lt;=INDEX(账户总表!$N:$N,MATCH($A168,账户总表!$A:$A,0)),"是","否"),"否"))</f>
        <v/>
      </c>
      <c r="X168" s="15" t="str">
        <f aca="false">IF($A168="","",MAX(F168*0.98,D168*0.92))</f>
        <v/>
      </c>
      <c r="Y168" s="5"/>
      <c r="Z168" s="19" t="str">
        <f aca="false">IF($A168="","",IFERROR(IF(AND(T168&gt;INDEX(账户总表!$C:$C,MATCH($A168,账户总表!$A:$A,0)),L168="是"),"是","否"),"否"))</f>
        <v/>
      </c>
      <c r="AA168" s="15" t="str">
        <f aca="false">IF($A168="","",IFERROR(IF(Z168="是",MAX(0,T168-INDEX(账户总表!$C:$C,MATCH($A168,账户总表!$A:$A,0)),IF(N168&gt;0,T168/N168-INDEX(账户总表!$B:$B,MATCH($A168,账户总表!$A:$A,0)),0)),0),0))</f>
        <v/>
      </c>
      <c r="AB168" s="15" t="str">
        <f aca="false">IF($A168="","",IF(AND(Z168="是",INDEX(账户总表!$U:$U,MATCH($A168,账户总表!$A:$A,0))="是"),IF(INDEX(账户总表!$L:$L,MATCH($A168,账户总表!$A:$A,0))&gt;=4,AA168*1.5,AA168),0))</f>
        <v/>
      </c>
      <c r="AC168" s="19" t="str">
        <f aca="false">IF($A168="","",IF(AND(L168="是",Q168&gt;=R168,S168&lt;=Q168,S168&gt;=R168,W168="是",X168&gt;0,M168="是",INDEX(账户总表!$M:$M,MATCH($A168,账户总表!$A:$A,0))&lt;=2,INDEX(账户总表!$V:$V,MATCH($A168,账户总表!$A:$A,0))="是",OR(T168&lt;=INDEX(账户总表!$C:$C,MATCH($A168,账户总表!$A:$A,0)),AND(Z168="是",INDEX(账户总表!$U:$U,MATCH($A168,账户总表!$A:$A,0))="是",AB168&gt;0))),"是","否"))</f>
        <v/>
      </c>
      <c r="AD168" s="19" t="str">
        <f aca="false">IF($A168="","",IF(L168&lt;&gt;"是","信号未确认",IF(X168&lt;=0,"止损价未定义",IF(Q168&lt;R168,"100股约束不满足",IF(S168&gt;Q168,"计划股数超单股上限",IF(S168&lt;R168,"计划股数低于最小门槛",IF(W168&lt;&gt;"是","总仓位超限",IF(M168&lt;&gt;"是","追价",IF(INDEX(账户总表!$M:$M,MATCH($A168,账户总表!$A:$A,0))&gt;2,"亏钱效应偏高",IF(INDEX(账户总表!$V:$V,MATCH($A168,账户总表!$A:$A,0))&lt;&gt;"是","账户不允许新开仓",IF(AND(T168&gt;INDEX(账户总表!$C:$C,MATCH($A168,账户总表!$A:$A,0)),INDEX(账户总表!$U:$U,MATCH($A168,账户总表!$A:$A,0))&lt;&gt;"是"),"现金不足且不允许转入",IF(AND(Z168="是",AB168&lt;=0),"转入金额未满足",""))))))))))))</f>
        <v/>
      </c>
      <c r="AE168" s="5"/>
    </row>
    <row r="169" customFormat="false" ht="15" hidden="false" customHeight="true" outlineLevel="0" collapsed="false">
      <c r="A169" s="7"/>
      <c r="B169" s="7"/>
      <c r="C169" s="7"/>
      <c r="D169" s="24"/>
      <c r="E169" s="24"/>
      <c r="F169" s="24"/>
      <c r="G169" s="26"/>
      <c r="H169" s="7"/>
      <c r="I169" s="7"/>
      <c r="J169" s="12"/>
      <c r="K169" s="19" t="str">
        <f aca="false">IF($A169="","",IF(AND(G169&lt;45%,H169&gt;=0.9),"A",IF(AND(G169&lt;60%,H169&gt;0.8),"B","C")))</f>
        <v/>
      </c>
      <c r="L169" s="4" t="str">
        <f aca="false">IF($A169="","",IF(AND(G169&lt;60%,H169&gt;0.8,I169="True"),"是","否"))</f>
        <v/>
      </c>
      <c r="M169" s="19" t="str">
        <f aca="false">IF($A169="","",IF(AND(D169&gt;0,E169&gt;0,D169&lt;=E169*1.02),"是","否"))</f>
        <v/>
      </c>
      <c r="N169" s="16" t="n">
        <f aca="false">IFERROR(INDEX(账户总表!$O:$O,MATCH($A169,账户总表!$A:$A,0)),0)</f>
        <v>0</v>
      </c>
      <c r="O169" s="15" t="n">
        <f aca="false">IFERROR(INDEX(账户总表!$B:$B,MATCH($A169,账户总表!$A:$A,0))*N169,0)</f>
        <v>0</v>
      </c>
      <c r="P169" s="18" t="n">
        <f aca="false">IFERROR(O169/D169,0)</f>
        <v>0</v>
      </c>
      <c r="Q169" s="18" t="n">
        <f aca="false">IFERROR(FLOOR(P169,100),0)</f>
        <v>0</v>
      </c>
      <c r="R169" s="18" t="n">
        <f aca="false">IFERROR(CEILING(800/(100*D169),1)*100,0)</f>
        <v>0</v>
      </c>
      <c r="S169" s="25"/>
      <c r="T169" s="15" t="n">
        <f aca="false">IFERROR(S169*D169,0)</f>
        <v>0</v>
      </c>
      <c r="U169" s="16" t="n">
        <f aca="false">IFERROR(T169/INDEX(账户总表!$B:$B,MATCH($A169,账户总表!$A:$A,0)),0)</f>
        <v>0</v>
      </c>
      <c r="V169" s="16" t="n">
        <f aca="false">IFERROR(INDEX(账户总表!$E:$E,MATCH($A169,账户总表!$A:$A,0))+U169,0)</f>
        <v>0</v>
      </c>
      <c r="W169" s="19" t="str">
        <f aca="false">IF($A169="","",IFERROR(IF(V169&lt;=INDEX(账户总表!$N:$N,MATCH($A169,账户总表!$A:$A,0)),"是","否"),"否"))</f>
        <v/>
      </c>
      <c r="X169" s="15" t="str">
        <f aca="false">IF($A169="","",MAX(F169*0.98,D169*0.92))</f>
        <v/>
      </c>
      <c r="Y169" s="7"/>
      <c r="Z169" s="19" t="str">
        <f aca="false">IF($A169="","",IFERROR(IF(AND(T169&gt;INDEX(账户总表!$C:$C,MATCH($A169,账户总表!$A:$A,0)),L169="是"),"是","否"),"否"))</f>
        <v/>
      </c>
      <c r="AA169" s="15" t="str">
        <f aca="false">IF($A169="","",IFERROR(IF(Z169="是",MAX(0,T169-INDEX(账户总表!$C:$C,MATCH($A169,账户总表!$A:$A,0)),IF(N169&gt;0,T169/N169-INDEX(账户总表!$B:$B,MATCH($A169,账户总表!$A:$A,0)),0)),0),0))</f>
        <v/>
      </c>
      <c r="AB169" s="15" t="str">
        <f aca="false">IF($A169="","",IF(AND(Z169="是",INDEX(账户总表!$U:$U,MATCH($A169,账户总表!$A:$A,0))="是"),IF(INDEX(账户总表!$L:$L,MATCH($A169,账户总表!$A:$A,0))&gt;=4,AA169*1.5,AA169),0))</f>
        <v/>
      </c>
      <c r="AC169" s="19" t="str">
        <f aca="false">IF($A169="","",IF(AND(L169="是",Q169&gt;=R169,S169&lt;=Q169,S169&gt;=R169,W169="是",X169&gt;0,M169="是",INDEX(账户总表!$M:$M,MATCH($A169,账户总表!$A:$A,0))&lt;=2,INDEX(账户总表!$V:$V,MATCH($A169,账户总表!$A:$A,0))="是",OR(T169&lt;=INDEX(账户总表!$C:$C,MATCH($A169,账户总表!$A:$A,0)),AND(Z169="是",INDEX(账户总表!$U:$U,MATCH($A169,账户总表!$A:$A,0))="是",AB169&gt;0))),"是","否"))</f>
        <v/>
      </c>
      <c r="AD169" s="19" t="str">
        <f aca="false">IF($A169="","",IF(L169&lt;&gt;"是","信号未确认",IF(X169&lt;=0,"止损价未定义",IF(Q169&lt;R169,"100股约束不满足",IF(S169&gt;Q169,"计划股数超单股上限",IF(S169&lt;R169,"计划股数低于最小门槛",IF(W169&lt;&gt;"是","总仓位超限",IF(M169&lt;&gt;"是","追价",IF(INDEX(账户总表!$M:$M,MATCH($A169,账户总表!$A:$A,0))&gt;2,"亏钱效应偏高",IF(INDEX(账户总表!$V:$V,MATCH($A169,账户总表!$A:$A,0))&lt;&gt;"是","账户不允许新开仓",IF(AND(T169&gt;INDEX(账户总表!$C:$C,MATCH($A169,账户总表!$A:$A,0)),INDEX(账户总表!$U:$U,MATCH($A169,账户总表!$A:$A,0))&lt;&gt;"是"),"现金不足且不允许转入",IF(AND(Z169="是",AB169&lt;=0),"转入金额未满足",""))))))))))))</f>
        <v/>
      </c>
      <c r="AE169" s="7"/>
    </row>
    <row r="170" customFormat="false" ht="15" hidden="false" customHeight="true" outlineLevel="0" collapsed="false">
      <c r="A170" s="5"/>
      <c r="B170" s="5"/>
      <c r="C170" s="5"/>
      <c r="D170" s="14"/>
      <c r="E170" s="14"/>
      <c r="F170" s="14"/>
      <c r="G170" s="20"/>
      <c r="H170" s="5"/>
      <c r="I170" s="5"/>
      <c r="J170" s="11"/>
      <c r="K170" s="19" t="str">
        <f aca="false">IF($A170="","",IF(AND(G170&lt;45%,H170&gt;=0.9),"A",IF(AND(G170&lt;60%,H170&gt;0.8),"B","C")))</f>
        <v/>
      </c>
      <c r="L170" s="4" t="str">
        <f aca="false">IF($A170="","",IF(AND(G170&lt;60%,H170&gt;0.8,I170="True"),"是","否"))</f>
        <v/>
      </c>
      <c r="M170" s="19" t="str">
        <f aca="false">IF($A170="","",IF(AND(D170&gt;0,E170&gt;0,D170&lt;=E170*1.02),"是","否"))</f>
        <v/>
      </c>
      <c r="N170" s="16" t="n">
        <f aca="false">IFERROR(INDEX(账户总表!$O:$O,MATCH($A170,账户总表!$A:$A,0)),0)</f>
        <v>0</v>
      </c>
      <c r="O170" s="15" t="n">
        <f aca="false">IFERROR(INDEX(账户总表!$B:$B,MATCH($A170,账户总表!$A:$A,0))*N170,0)</f>
        <v>0</v>
      </c>
      <c r="P170" s="18" t="n">
        <f aca="false">IFERROR(O170/D170,0)</f>
        <v>0</v>
      </c>
      <c r="Q170" s="18" t="n">
        <f aca="false">IFERROR(FLOOR(P170,100),0)</f>
        <v>0</v>
      </c>
      <c r="R170" s="18" t="n">
        <f aca="false">IFERROR(CEILING(800/(100*D170),1)*100,0)</f>
        <v>0</v>
      </c>
      <c r="S170" s="17"/>
      <c r="T170" s="15" t="n">
        <f aca="false">IFERROR(S170*D170,0)</f>
        <v>0</v>
      </c>
      <c r="U170" s="16" t="n">
        <f aca="false">IFERROR(T170/INDEX(账户总表!$B:$B,MATCH($A170,账户总表!$A:$A,0)),0)</f>
        <v>0</v>
      </c>
      <c r="V170" s="16" t="n">
        <f aca="false">IFERROR(INDEX(账户总表!$E:$E,MATCH($A170,账户总表!$A:$A,0))+U170,0)</f>
        <v>0</v>
      </c>
      <c r="W170" s="19" t="str">
        <f aca="false">IF($A170="","",IFERROR(IF(V170&lt;=INDEX(账户总表!$N:$N,MATCH($A170,账户总表!$A:$A,0)),"是","否"),"否"))</f>
        <v/>
      </c>
      <c r="X170" s="15" t="str">
        <f aca="false">IF($A170="","",MAX(F170*0.98,D170*0.92))</f>
        <v/>
      </c>
      <c r="Y170" s="5"/>
      <c r="Z170" s="19" t="str">
        <f aca="false">IF($A170="","",IFERROR(IF(AND(T170&gt;INDEX(账户总表!$C:$C,MATCH($A170,账户总表!$A:$A,0)),L170="是"),"是","否"),"否"))</f>
        <v/>
      </c>
      <c r="AA170" s="15" t="str">
        <f aca="false">IF($A170="","",IFERROR(IF(Z170="是",MAX(0,T170-INDEX(账户总表!$C:$C,MATCH($A170,账户总表!$A:$A,0)),IF(N170&gt;0,T170/N170-INDEX(账户总表!$B:$B,MATCH($A170,账户总表!$A:$A,0)),0)),0),0))</f>
        <v/>
      </c>
      <c r="AB170" s="15" t="str">
        <f aca="false">IF($A170="","",IF(AND(Z170="是",INDEX(账户总表!$U:$U,MATCH($A170,账户总表!$A:$A,0))="是"),IF(INDEX(账户总表!$L:$L,MATCH($A170,账户总表!$A:$A,0))&gt;=4,AA170*1.5,AA170),0))</f>
        <v/>
      </c>
      <c r="AC170" s="19" t="str">
        <f aca="false">IF($A170="","",IF(AND(L170="是",Q170&gt;=R170,S170&lt;=Q170,S170&gt;=R170,W170="是",X170&gt;0,M170="是",INDEX(账户总表!$M:$M,MATCH($A170,账户总表!$A:$A,0))&lt;=2,INDEX(账户总表!$V:$V,MATCH($A170,账户总表!$A:$A,0))="是",OR(T170&lt;=INDEX(账户总表!$C:$C,MATCH($A170,账户总表!$A:$A,0)),AND(Z170="是",INDEX(账户总表!$U:$U,MATCH($A170,账户总表!$A:$A,0))="是",AB170&gt;0))),"是","否"))</f>
        <v/>
      </c>
      <c r="AD170" s="19" t="str">
        <f aca="false">IF($A170="","",IF(L170&lt;&gt;"是","信号未确认",IF(X170&lt;=0,"止损价未定义",IF(Q170&lt;R170,"100股约束不满足",IF(S170&gt;Q170,"计划股数超单股上限",IF(S170&lt;R170,"计划股数低于最小门槛",IF(W170&lt;&gt;"是","总仓位超限",IF(M170&lt;&gt;"是","追价",IF(INDEX(账户总表!$M:$M,MATCH($A170,账户总表!$A:$A,0))&gt;2,"亏钱效应偏高",IF(INDEX(账户总表!$V:$V,MATCH($A170,账户总表!$A:$A,0))&lt;&gt;"是","账户不允许新开仓",IF(AND(T170&gt;INDEX(账户总表!$C:$C,MATCH($A170,账户总表!$A:$A,0)),INDEX(账户总表!$U:$U,MATCH($A170,账户总表!$A:$A,0))&lt;&gt;"是"),"现金不足且不允许转入",IF(AND(Z170="是",AB170&lt;=0),"转入金额未满足",""))))))))))))</f>
        <v/>
      </c>
      <c r="AE170" s="5"/>
    </row>
    <row r="171" customFormat="false" ht="15" hidden="false" customHeight="true" outlineLevel="0" collapsed="false">
      <c r="A171" s="7"/>
      <c r="B171" s="7"/>
      <c r="C171" s="7"/>
      <c r="D171" s="24"/>
      <c r="E171" s="24"/>
      <c r="F171" s="24"/>
      <c r="G171" s="26"/>
      <c r="H171" s="7"/>
      <c r="I171" s="7"/>
      <c r="J171" s="12"/>
      <c r="K171" s="19" t="str">
        <f aca="false">IF($A171="","",IF(AND(G171&lt;45%,H171&gt;=0.9),"A",IF(AND(G171&lt;60%,H171&gt;0.8),"B","C")))</f>
        <v/>
      </c>
      <c r="L171" s="4" t="str">
        <f aca="false">IF($A171="","",IF(AND(G171&lt;60%,H171&gt;0.8,I171="True"),"是","否"))</f>
        <v/>
      </c>
      <c r="M171" s="19" t="str">
        <f aca="false">IF($A171="","",IF(AND(D171&gt;0,E171&gt;0,D171&lt;=E171*1.02),"是","否"))</f>
        <v/>
      </c>
      <c r="N171" s="16" t="n">
        <f aca="false">IFERROR(INDEX(账户总表!$O:$O,MATCH($A171,账户总表!$A:$A,0)),0)</f>
        <v>0</v>
      </c>
      <c r="O171" s="15" t="n">
        <f aca="false">IFERROR(INDEX(账户总表!$B:$B,MATCH($A171,账户总表!$A:$A,0))*N171,0)</f>
        <v>0</v>
      </c>
      <c r="P171" s="18" t="n">
        <f aca="false">IFERROR(O171/D171,0)</f>
        <v>0</v>
      </c>
      <c r="Q171" s="18" t="n">
        <f aca="false">IFERROR(FLOOR(P171,100),0)</f>
        <v>0</v>
      </c>
      <c r="R171" s="18" t="n">
        <f aca="false">IFERROR(CEILING(800/(100*D171),1)*100,0)</f>
        <v>0</v>
      </c>
      <c r="S171" s="25"/>
      <c r="T171" s="15" t="n">
        <f aca="false">IFERROR(S171*D171,0)</f>
        <v>0</v>
      </c>
      <c r="U171" s="16" t="n">
        <f aca="false">IFERROR(T171/INDEX(账户总表!$B:$B,MATCH($A171,账户总表!$A:$A,0)),0)</f>
        <v>0</v>
      </c>
      <c r="V171" s="16" t="n">
        <f aca="false">IFERROR(INDEX(账户总表!$E:$E,MATCH($A171,账户总表!$A:$A,0))+U171,0)</f>
        <v>0</v>
      </c>
      <c r="W171" s="19" t="str">
        <f aca="false">IF($A171="","",IFERROR(IF(V171&lt;=INDEX(账户总表!$N:$N,MATCH($A171,账户总表!$A:$A,0)),"是","否"),"否"))</f>
        <v/>
      </c>
      <c r="X171" s="15" t="str">
        <f aca="false">IF($A171="","",MAX(F171*0.98,D171*0.92))</f>
        <v/>
      </c>
      <c r="Y171" s="7"/>
      <c r="Z171" s="19" t="str">
        <f aca="false">IF($A171="","",IFERROR(IF(AND(T171&gt;INDEX(账户总表!$C:$C,MATCH($A171,账户总表!$A:$A,0)),L171="是"),"是","否"),"否"))</f>
        <v/>
      </c>
      <c r="AA171" s="15" t="str">
        <f aca="false">IF($A171="","",IFERROR(IF(Z171="是",MAX(0,T171-INDEX(账户总表!$C:$C,MATCH($A171,账户总表!$A:$A,0)),IF(N171&gt;0,T171/N171-INDEX(账户总表!$B:$B,MATCH($A171,账户总表!$A:$A,0)),0)),0),0))</f>
        <v/>
      </c>
      <c r="AB171" s="15" t="str">
        <f aca="false">IF($A171="","",IF(AND(Z171="是",INDEX(账户总表!$U:$U,MATCH($A171,账户总表!$A:$A,0))="是"),IF(INDEX(账户总表!$L:$L,MATCH($A171,账户总表!$A:$A,0))&gt;=4,AA171*1.5,AA171),0))</f>
        <v/>
      </c>
      <c r="AC171" s="19" t="str">
        <f aca="false">IF($A171="","",IF(AND(L171="是",Q171&gt;=R171,S171&lt;=Q171,S171&gt;=R171,W171="是",X171&gt;0,M171="是",INDEX(账户总表!$M:$M,MATCH($A171,账户总表!$A:$A,0))&lt;=2,INDEX(账户总表!$V:$V,MATCH($A171,账户总表!$A:$A,0))="是",OR(T171&lt;=INDEX(账户总表!$C:$C,MATCH($A171,账户总表!$A:$A,0)),AND(Z171="是",INDEX(账户总表!$U:$U,MATCH($A171,账户总表!$A:$A,0))="是",AB171&gt;0))),"是","否"))</f>
        <v/>
      </c>
      <c r="AD171" s="19" t="str">
        <f aca="false">IF($A171="","",IF(L171&lt;&gt;"是","信号未确认",IF(X171&lt;=0,"止损价未定义",IF(Q171&lt;R171,"100股约束不满足",IF(S171&gt;Q171,"计划股数超单股上限",IF(S171&lt;R171,"计划股数低于最小门槛",IF(W171&lt;&gt;"是","总仓位超限",IF(M171&lt;&gt;"是","追价",IF(INDEX(账户总表!$M:$M,MATCH($A171,账户总表!$A:$A,0))&gt;2,"亏钱效应偏高",IF(INDEX(账户总表!$V:$V,MATCH($A171,账户总表!$A:$A,0))&lt;&gt;"是","账户不允许新开仓",IF(AND(T171&gt;INDEX(账户总表!$C:$C,MATCH($A171,账户总表!$A:$A,0)),INDEX(账户总表!$U:$U,MATCH($A171,账户总表!$A:$A,0))&lt;&gt;"是"),"现金不足且不允许转入",IF(AND(Z171="是",AB171&lt;=0),"转入金额未满足",""))))))))))))</f>
        <v/>
      </c>
      <c r="AE171" s="7"/>
    </row>
    <row r="172" customFormat="false" ht="15" hidden="false" customHeight="true" outlineLevel="0" collapsed="false">
      <c r="A172" s="5"/>
      <c r="B172" s="5"/>
      <c r="C172" s="5"/>
      <c r="D172" s="14"/>
      <c r="E172" s="14"/>
      <c r="F172" s="14"/>
      <c r="G172" s="20"/>
      <c r="H172" s="5"/>
      <c r="I172" s="5"/>
      <c r="J172" s="11"/>
      <c r="K172" s="19" t="str">
        <f aca="false">IF($A172="","",IF(AND(G172&lt;45%,H172&gt;=0.9),"A",IF(AND(G172&lt;60%,H172&gt;0.8),"B","C")))</f>
        <v/>
      </c>
      <c r="L172" s="4" t="str">
        <f aca="false">IF($A172="","",IF(AND(G172&lt;60%,H172&gt;0.8,I172="True"),"是","否"))</f>
        <v/>
      </c>
      <c r="M172" s="19" t="str">
        <f aca="false">IF($A172="","",IF(AND(D172&gt;0,E172&gt;0,D172&lt;=E172*1.02),"是","否"))</f>
        <v/>
      </c>
      <c r="N172" s="16" t="n">
        <f aca="false">IFERROR(INDEX(账户总表!$O:$O,MATCH($A172,账户总表!$A:$A,0)),0)</f>
        <v>0</v>
      </c>
      <c r="O172" s="15" t="n">
        <f aca="false">IFERROR(INDEX(账户总表!$B:$B,MATCH($A172,账户总表!$A:$A,0))*N172,0)</f>
        <v>0</v>
      </c>
      <c r="P172" s="18" t="n">
        <f aca="false">IFERROR(O172/D172,0)</f>
        <v>0</v>
      </c>
      <c r="Q172" s="18" t="n">
        <f aca="false">IFERROR(FLOOR(P172,100),0)</f>
        <v>0</v>
      </c>
      <c r="R172" s="18" t="n">
        <f aca="false">IFERROR(CEILING(800/(100*D172),1)*100,0)</f>
        <v>0</v>
      </c>
      <c r="S172" s="17"/>
      <c r="T172" s="15" t="n">
        <f aca="false">IFERROR(S172*D172,0)</f>
        <v>0</v>
      </c>
      <c r="U172" s="16" t="n">
        <f aca="false">IFERROR(T172/INDEX(账户总表!$B:$B,MATCH($A172,账户总表!$A:$A,0)),0)</f>
        <v>0</v>
      </c>
      <c r="V172" s="16" t="n">
        <f aca="false">IFERROR(INDEX(账户总表!$E:$E,MATCH($A172,账户总表!$A:$A,0))+U172,0)</f>
        <v>0</v>
      </c>
      <c r="W172" s="19" t="str">
        <f aca="false">IF($A172="","",IFERROR(IF(V172&lt;=INDEX(账户总表!$N:$N,MATCH($A172,账户总表!$A:$A,0)),"是","否"),"否"))</f>
        <v/>
      </c>
      <c r="X172" s="15" t="str">
        <f aca="false">IF($A172="","",MAX(F172*0.98,D172*0.92))</f>
        <v/>
      </c>
      <c r="Y172" s="5"/>
      <c r="Z172" s="19" t="str">
        <f aca="false">IF($A172="","",IFERROR(IF(AND(T172&gt;INDEX(账户总表!$C:$C,MATCH($A172,账户总表!$A:$A,0)),L172="是"),"是","否"),"否"))</f>
        <v/>
      </c>
      <c r="AA172" s="15" t="str">
        <f aca="false">IF($A172="","",IFERROR(IF(Z172="是",MAX(0,T172-INDEX(账户总表!$C:$C,MATCH($A172,账户总表!$A:$A,0)),IF(N172&gt;0,T172/N172-INDEX(账户总表!$B:$B,MATCH($A172,账户总表!$A:$A,0)),0)),0),0))</f>
        <v/>
      </c>
      <c r="AB172" s="15" t="str">
        <f aca="false">IF($A172="","",IF(AND(Z172="是",INDEX(账户总表!$U:$U,MATCH($A172,账户总表!$A:$A,0))="是"),IF(INDEX(账户总表!$L:$L,MATCH($A172,账户总表!$A:$A,0))&gt;=4,AA172*1.5,AA172),0))</f>
        <v/>
      </c>
      <c r="AC172" s="19" t="str">
        <f aca="false">IF($A172="","",IF(AND(L172="是",Q172&gt;=R172,S172&lt;=Q172,S172&gt;=R172,W172="是",X172&gt;0,M172="是",INDEX(账户总表!$M:$M,MATCH($A172,账户总表!$A:$A,0))&lt;=2,INDEX(账户总表!$V:$V,MATCH($A172,账户总表!$A:$A,0))="是",OR(T172&lt;=INDEX(账户总表!$C:$C,MATCH($A172,账户总表!$A:$A,0)),AND(Z172="是",INDEX(账户总表!$U:$U,MATCH($A172,账户总表!$A:$A,0))="是",AB172&gt;0))),"是","否"))</f>
        <v/>
      </c>
      <c r="AD172" s="19" t="str">
        <f aca="false">IF($A172="","",IF(L172&lt;&gt;"是","信号未确认",IF(X172&lt;=0,"止损价未定义",IF(Q172&lt;R172,"100股约束不满足",IF(S172&gt;Q172,"计划股数超单股上限",IF(S172&lt;R172,"计划股数低于最小门槛",IF(W172&lt;&gt;"是","总仓位超限",IF(M172&lt;&gt;"是","追价",IF(INDEX(账户总表!$M:$M,MATCH($A172,账户总表!$A:$A,0))&gt;2,"亏钱效应偏高",IF(INDEX(账户总表!$V:$V,MATCH($A172,账户总表!$A:$A,0))&lt;&gt;"是","账户不允许新开仓",IF(AND(T172&gt;INDEX(账户总表!$C:$C,MATCH($A172,账户总表!$A:$A,0)),INDEX(账户总表!$U:$U,MATCH($A172,账户总表!$A:$A,0))&lt;&gt;"是"),"现金不足且不允许转入",IF(AND(Z172="是",AB172&lt;=0),"转入金额未满足",""))))))))))))</f>
        <v/>
      </c>
      <c r="AE172" s="5"/>
    </row>
    <row r="173" customFormat="false" ht="15" hidden="false" customHeight="true" outlineLevel="0" collapsed="false">
      <c r="A173" s="7"/>
      <c r="B173" s="7"/>
      <c r="C173" s="7"/>
      <c r="D173" s="24"/>
      <c r="E173" s="24"/>
      <c r="F173" s="24"/>
      <c r="G173" s="26"/>
      <c r="H173" s="7"/>
      <c r="I173" s="7"/>
      <c r="J173" s="12"/>
      <c r="K173" s="19" t="str">
        <f aca="false">IF($A173="","",IF(AND(G173&lt;45%,H173&gt;=0.9),"A",IF(AND(G173&lt;60%,H173&gt;0.8),"B","C")))</f>
        <v/>
      </c>
      <c r="L173" s="4" t="str">
        <f aca="false">IF($A173="","",IF(AND(G173&lt;60%,H173&gt;0.8,I173="True"),"是","否"))</f>
        <v/>
      </c>
      <c r="M173" s="19" t="str">
        <f aca="false">IF($A173="","",IF(AND(D173&gt;0,E173&gt;0,D173&lt;=E173*1.02),"是","否"))</f>
        <v/>
      </c>
      <c r="N173" s="16" t="n">
        <f aca="false">IFERROR(INDEX(账户总表!$O:$O,MATCH($A173,账户总表!$A:$A,0)),0)</f>
        <v>0</v>
      </c>
      <c r="O173" s="15" t="n">
        <f aca="false">IFERROR(INDEX(账户总表!$B:$B,MATCH($A173,账户总表!$A:$A,0))*N173,0)</f>
        <v>0</v>
      </c>
      <c r="P173" s="18" t="n">
        <f aca="false">IFERROR(O173/D173,0)</f>
        <v>0</v>
      </c>
      <c r="Q173" s="18" t="n">
        <f aca="false">IFERROR(FLOOR(P173,100),0)</f>
        <v>0</v>
      </c>
      <c r="R173" s="18" t="n">
        <f aca="false">IFERROR(CEILING(800/(100*D173),1)*100,0)</f>
        <v>0</v>
      </c>
      <c r="S173" s="25"/>
      <c r="T173" s="15" t="n">
        <f aca="false">IFERROR(S173*D173,0)</f>
        <v>0</v>
      </c>
      <c r="U173" s="16" t="n">
        <f aca="false">IFERROR(T173/INDEX(账户总表!$B:$B,MATCH($A173,账户总表!$A:$A,0)),0)</f>
        <v>0</v>
      </c>
      <c r="V173" s="16" t="n">
        <f aca="false">IFERROR(INDEX(账户总表!$E:$E,MATCH($A173,账户总表!$A:$A,0))+U173,0)</f>
        <v>0</v>
      </c>
      <c r="W173" s="19" t="str">
        <f aca="false">IF($A173="","",IFERROR(IF(V173&lt;=INDEX(账户总表!$N:$N,MATCH($A173,账户总表!$A:$A,0)),"是","否"),"否"))</f>
        <v/>
      </c>
      <c r="X173" s="15" t="str">
        <f aca="false">IF($A173="","",MAX(F173*0.98,D173*0.92))</f>
        <v/>
      </c>
      <c r="Y173" s="7"/>
      <c r="Z173" s="19" t="str">
        <f aca="false">IF($A173="","",IFERROR(IF(AND(T173&gt;INDEX(账户总表!$C:$C,MATCH($A173,账户总表!$A:$A,0)),L173="是"),"是","否"),"否"))</f>
        <v/>
      </c>
      <c r="AA173" s="15" t="str">
        <f aca="false">IF($A173="","",IFERROR(IF(Z173="是",MAX(0,T173-INDEX(账户总表!$C:$C,MATCH($A173,账户总表!$A:$A,0)),IF(N173&gt;0,T173/N173-INDEX(账户总表!$B:$B,MATCH($A173,账户总表!$A:$A,0)),0)),0),0))</f>
        <v/>
      </c>
      <c r="AB173" s="15" t="str">
        <f aca="false">IF($A173="","",IF(AND(Z173="是",INDEX(账户总表!$U:$U,MATCH($A173,账户总表!$A:$A,0))="是"),IF(INDEX(账户总表!$L:$L,MATCH($A173,账户总表!$A:$A,0))&gt;=4,AA173*1.5,AA173),0))</f>
        <v/>
      </c>
      <c r="AC173" s="19" t="str">
        <f aca="false">IF($A173="","",IF(AND(L173="是",Q173&gt;=R173,S173&lt;=Q173,S173&gt;=R173,W173="是",X173&gt;0,M173="是",INDEX(账户总表!$M:$M,MATCH($A173,账户总表!$A:$A,0))&lt;=2,INDEX(账户总表!$V:$V,MATCH($A173,账户总表!$A:$A,0))="是",OR(T173&lt;=INDEX(账户总表!$C:$C,MATCH($A173,账户总表!$A:$A,0)),AND(Z173="是",INDEX(账户总表!$U:$U,MATCH($A173,账户总表!$A:$A,0))="是",AB173&gt;0))),"是","否"))</f>
        <v/>
      </c>
      <c r="AD173" s="19" t="str">
        <f aca="false">IF($A173="","",IF(L173&lt;&gt;"是","信号未确认",IF(X173&lt;=0,"止损价未定义",IF(Q173&lt;R173,"100股约束不满足",IF(S173&gt;Q173,"计划股数超单股上限",IF(S173&lt;R173,"计划股数低于最小门槛",IF(W173&lt;&gt;"是","总仓位超限",IF(M173&lt;&gt;"是","追价",IF(INDEX(账户总表!$M:$M,MATCH($A173,账户总表!$A:$A,0))&gt;2,"亏钱效应偏高",IF(INDEX(账户总表!$V:$V,MATCH($A173,账户总表!$A:$A,0))&lt;&gt;"是","账户不允许新开仓",IF(AND(T173&gt;INDEX(账户总表!$C:$C,MATCH($A173,账户总表!$A:$A,0)),INDEX(账户总表!$U:$U,MATCH($A173,账户总表!$A:$A,0))&lt;&gt;"是"),"现金不足且不允许转入",IF(AND(Z173="是",AB173&lt;=0),"转入金额未满足",""))))))))))))</f>
        <v/>
      </c>
      <c r="AE173" s="7"/>
    </row>
    <row r="174" customFormat="false" ht="15" hidden="false" customHeight="true" outlineLevel="0" collapsed="false">
      <c r="A174" s="5"/>
      <c r="B174" s="5"/>
      <c r="C174" s="5"/>
      <c r="D174" s="14"/>
      <c r="E174" s="14"/>
      <c r="F174" s="14"/>
      <c r="G174" s="20"/>
      <c r="H174" s="5"/>
      <c r="I174" s="5"/>
      <c r="J174" s="11"/>
      <c r="K174" s="19" t="str">
        <f aca="false">IF($A174="","",IF(AND(G174&lt;45%,H174&gt;=0.9),"A",IF(AND(G174&lt;60%,H174&gt;0.8),"B","C")))</f>
        <v/>
      </c>
      <c r="L174" s="4" t="str">
        <f aca="false">IF($A174="","",IF(AND(G174&lt;60%,H174&gt;0.8,I174="True"),"是","否"))</f>
        <v/>
      </c>
      <c r="M174" s="19" t="str">
        <f aca="false">IF($A174="","",IF(AND(D174&gt;0,E174&gt;0,D174&lt;=E174*1.02),"是","否"))</f>
        <v/>
      </c>
      <c r="N174" s="16" t="n">
        <f aca="false">IFERROR(INDEX(账户总表!$O:$O,MATCH($A174,账户总表!$A:$A,0)),0)</f>
        <v>0</v>
      </c>
      <c r="O174" s="15" t="n">
        <f aca="false">IFERROR(INDEX(账户总表!$B:$B,MATCH($A174,账户总表!$A:$A,0))*N174,0)</f>
        <v>0</v>
      </c>
      <c r="P174" s="18" t="n">
        <f aca="false">IFERROR(O174/D174,0)</f>
        <v>0</v>
      </c>
      <c r="Q174" s="18" t="n">
        <f aca="false">IFERROR(FLOOR(P174,100),0)</f>
        <v>0</v>
      </c>
      <c r="R174" s="18" t="n">
        <f aca="false">IFERROR(CEILING(800/(100*D174),1)*100,0)</f>
        <v>0</v>
      </c>
      <c r="S174" s="17"/>
      <c r="T174" s="15" t="n">
        <f aca="false">IFERROR(S174*D174,0)</f>
        <v>0</v>
      </c>
      <c r="U174" s="16" t="n">
        <f aca="false">IFERROR(T174/INDEX(账户总表!$B:$B,MATCH($A174,账户总表!$A:$A,0)),0)</f>
        <v>0</v>
      </c>
      <c r="V174" s="16" t="n">
        <f aca="false">IFERROR(INDEX(账户总表!$E:$E,MATCH($A174,账户总表!$A:$A,0))+U174,0)</f>
        <v>0</v>
      </c>
      <c r="W174" s="19" t="str">
        <f aca="false">IF($A174="","",IFERROR(IF(V174&lt;=INDEX(账户总表!$N:$N,MATCH($A174,账户总表!$A:$A,0)),"是","否"),"否"))</f>
        <v/>
      </c>
      <c r="X174" s="15" t="str">
        <f aca="false">IF($A174="","",MAX(F174*0.98,D174*0.92))</f>
        <v/>
      </c>
      <c r="Y174" s="5"/>
      <c r="Z174" s="19" t="str">
        <f aca="false">IF($A174="","",IFERROR(IF(AND(T174&gt;INDEX(账户总表!$C:$C,MATCH($A174,账户总表!$A:$A,0)),L174="是"),"是","否"),"否"))</f>
        <v/>
      </c>
      <c r="AA174" s="15" t="str">
        <f aca="false">IF($A174="","",IFERROR(IF(Z174="是",MAX(0,T174-INDEX(账户总表!$C:$C,MATCH($A174,账户总表!$A:$A,0)),IF(N174&gt;0,T174/N174-INDEX(账户总表!$B:$B,MATCH($A174,账户总表!$A:$A,0)),0)),0),0))</f>
        <v/>
      </c>
      <c r="AB174" s="15" t="str">
        <f aca="false">IF($A174="","",IF(AND(Z174="是",INDEX(账户总表!$U:$U,MATCH($A174,账户总表!$A:$A,0))="是"),IF(INDEX(账户总表!$L:$L,MATCH($A174,账户总表!$A:$A,0))&gt;=4,AA174*1.5,AA174),0))</f>
        <v/>
      </c>
      <c r="AC174" s="19" t="str">
        <f aca="false">IF($A174="","",IF(AND(L174="是",Q174&gt;=R174,S174&lt;=Q174,S174&gt;=R174,W174="是",X174&gt;0,M174="是",INDEX(账户总表!$M:$M,MATCH($A174,账户总表!$A:$A,0))&lt;=2,INDEX(账户总表!$V:$V,MATCH($A174,账户总表!$A:$A,0))="是",OR(T174&lt;=INDEX(账户总表!$C:$C,MATCH($A174,账户总表!$A:$A,0)),AND(Z174="是",INDEX(账户总表!$U:$U,MATCH($A174,账户总表!$A:$A,0))="是",AB174&gt;0))),"是","否"))</f>
        <v/>
      </c>
      <c r="AD174" s="19" t="str">
        <f aca="false">IF($A174="","",IF(L174&lt;&gt;"是","信号未确认",IF(X174&lt;=0,"止损价未定义",IF(Q174&lt;R174,"100股约束不满足",IF(S174&gt;Q174,"计划股数超单股上限",IF(S174&lt;R174,"计划股数低于最小门槛",IF(W174&lt;&gt;"是","总仓位超限",IF(M174&lt;&gt;"是","追价",IF(INDEX(账户总表!$M:$M,MATCH($A174,账户总表!$A:$A,0))&gt;2,"亏钱效应偏高",IF(INDEX(账户总表!$V:$V,MATCH($A174,账户总表!$A:$A,0))&lt;&gt;"是","账户不允许新开仓",IF(AND(T174&gt;INDEX(账户总表!$C:$C,MATCH($A174,账户总表!$A:$A,0)),INDEX(账户总表!$U:$U,MATCH($A174,账户总表!$A:$A,0))&lt;&gt;"是"),"现金不足且不允许转入",IF(AND(Z174="是",AB174&lt;=0),"转入金额未满足",""))))))))))))</f>
        <v/>
      </c>
      <c r="AE174" s="5"/>
    </row>
    <row r="175" customFormat="false" ht="15" hidden="false" customHeight="true" outlineLevel="0" collapsed="false">
      <c r="A175" s="7"/>
      <c r="B175" s="7"/>
      <c r="C175" s="7"/>
      <c r="D175" s="24"/>
      <c r="E175" s="24"/>
      <c r="F175" s="24"/>
      <c r="G175" s="26"/>
      <c r="H175" s="7"/>
      <c r="I175" s="7"/>
      <c r="J175" s="12"/>
      <c r="K175" s="19" t="str">
        <f aca="false">IF($A175="","",IF(AND(G175&lt;45%,H175&gt;=0.9),"A",IF(AND(G175&lt;60%,H175&gt;0.8),"B","C")))</f>
        <v/>
      </c>
      <c r="L175" s="4" t="str">
        <f aca="false">IF($A175="","",IF(AND(G175&lt;60%,H175&gt;0.8,I175="True"),"是","否"))</f>
        <v/>
      </c>
      <c r="M175" s="19" t="str">
        <f aca="false">IF($A175="","",IF(AND(D175&gt;0,E175&gt;0,D175&lt;=E175*1.02),"是","否"))</f>
        <v/>
      </c>
      <c r="N175" s="16" t="n">
        <f aca="false">IFERROR(INDEX(账户总表!$O:$O,MATCH($A175,账户总表!$A:$A,0)),0)</f>
        <v>0</v>
      </c>
      <c r="O175" s="15" t="n">
        <f aca="false">IFERROR(INDEX(账户总表!$B:$B,MATCH($A175,账户总表!$A:$A,0))*N175,0)</f>
        <v>0</v>
      </c>
      <c r="P175" s="18" t="n">
        <f aca="false">IFERROR(O175/D175,0)</f>
        <v>0</v>
      </c>
      <c r="Q175" s="18" t="n">
        <f aca="false">IFERROR(FLOOR(P175,100),0)</f>
        <v>0</v>
      </c>
      <c r="R175" s="18" t="n">
        <f aca="false">IFERROR(CEILING(800/(100*D175),1)*100,0)</f>
        <v>0</v>
      </c>
      <c r="S175" s="25"/>
      <c r="T175" s="15" t="n">
        <f aca="false">IFERROR(S175*D175,0)</f>
        <v>0</v>
      </c>
      <c r="U175" s="16" t="n">
        <f aca="false">IFERROR(T175/INDEX(账户总表!$B:$B,MATCH($A175,账户总表!$A:$A,0)),0)</f>
        <v>0</v>
      </c>
      <c r="V175" s="16" t="n">
        <f aca="false">IFERROR(INDEX(账户总表!$E:$E,MATCH($A175,账户总表!$A:$A,0))+U175,0)</f>
        <v>0</v>
      </c>
      <c r="W175" s="19" t="str">
        <f aca="false">IF($A175="","",IFERROR(IF(V175&lt;=INDEX(账户总表!$N:$N,MATCH($A175,账户总表!$A:$A,0)),"是","否"),"否"))</f>
        <v/>
      </c>
      <c r="X175" s="15" t="str">
        <f aca="false">IF($A175="","",MAX(F175*0.98,D175*0.92))</f>
        <v/>
      </c>
      <c r="Y175" s="7"/>
      <c r="Z175" s="19" t="str">
        <f aca="false">IF($A175="","",IFERROR(IF(AND(T175&gt;INDEX(账户总表!$C:$C,MATCH($A175,账户总表!$A:$A,0)),L175="是"),"是","否"),"否"))</f>
        <v/>
      </c>
      <c r="AA175" s="15" t="str">
        <f aca="false">IF($A175="","",IFERROR(IF(Z175="是",MAX(0,T175-INDEX(账户总表!$C:$C,MATCH($A175,账户总表!$A:$A,0)),IF(N175&gt;0,T175/N175-INDEX(账户总表!$B:$B,MATCH($A175,账户总表!$A:$A,0)),0)),0),0))</f>
        <v/>
      </c>
      <c r="AB175" s="15" t="str">
        <f aca="false">IF($A175="","",IF(AND(Z175="是",INDEX(账户总表!$U:$U,MATCH($A175,账户总表!$A:$A,0))="是"),IF(INDEX(账户总表!$L:$L,MATCH($A175,账户总表!$A:$A,0))&gt;=4,AA175*1.5,AA175),0))</f>
        <v/>
      </c>
      <c r="AC175" s="19" t="str">
        <f aca="false">IF($A175="","",IF(AND(L175="是",Q175&gt;=R175,S175&lt;=Q175,S175&gt;=R175,W175="是",X175&gt;0,M175="是",INDEX(账户总表!$M:$M,MATCH($A175,账户总表!$A:$A,0))&lt;=2,INDEX(账户总表!$V:$V,MATCH($A175,账户总表!$A:$A,0))="是",OR(T175&lt;=INDEX(账户总表!$C:$C,MATCH($A175,账户总表!$A:$A,0)),AND(Z175="是",INDEX(账户总表!$U:$U,MATCH($A175,账户总表!$A:$A,0))="是",AB175&gt;0))),"是","否"))</f>
        <v/>
      </c>
      <c r="AD175" s="19" t="str">
        <f aca="false">IF($A175="","",IF(L175&lt;&gt;"是","信号未确认",IF(X175&lt;=0,"止损价未定义",IF(Q175&lt;R175,"100股约束不满足",IF(S175&gt;Q175,"计划股数超单股上限",IF(S175&lt;R175,"计划股数低于最小门槛",IF(W175&lt;&gt;"是","总仓位超限",IF(M175&lt;&gt;"是","追价",IF(INDEX(账户总表!$M:$M,MATCH($A175,账户总表!$A:$A,0))&gt;2,"亏钱效应偏高",IF(INDEX(账户总表!$V:$V,MATCH($A175,账户总表!$A:$A,0))&lt;&gt;"是","账户不允许新开仓",IF(AND(T175&gt;INDEX(账户总表!$C:$C,MATCH($A175,账户总表!$A:$A,0)),INDEX(账户总表!$U:$U,MATCH($A175,账户总表!$A:$A,0))&lt;&gt;"是"),"现金不足且不允许转入",IF(AND(Z175="是",AB175&lt;=0),"转入金额未满足",""))))))))))))</f>
        <v/>
      </c>
      <c r="AE175" s="7"/>
    </row>
    <row r="176" customFormat="false" ht="15" hidden="false" customHeight="true" outlineLevel="0" collapsed="false">
      <c r="A176" s="5"/>
      <c r="B176" s="5"/>
      <c r="C176" s="5"/>
      <c r="D176" s="14"/>
      <c r="E176" s="14"/>
      <c r="F176" s="14"/>
      <c r="G176" s="20"/>
      <c r="H176" s="5"/>
      <c r="I176" s="5"/>
      <c r="J176" s="11"/>
      <c r="K176" s="19" t="str">
        <f aca="false">IF($A176="","",IF(AND(G176&lt;45%,H176&gt;=0.9),"A",IF(AND(G176&lt;60%,H176&gt;0.8),"B","C")))</f>
        <v/>
      </c>
      <c r="L176" s="4" t="str">
        <f aca="false">IF($A176="","",IF(AND(G176&lt;60%,H176&gt;0.8,I176="True"),"是","否"))</f>
        <v/>
      </c>
      <c r="M176" s="19" t="str">
        <f aca="false">IF($A176="","",IF(AND(D176&gt;0,E176&gt;0,D176&lt;=E176*1.02),"是","否"))</f>
        <v/>
      </c>
      <c r="N176" s="16" t="n">
        <f aca="false">IFERROR(INDEX(账户总表!$O:$O,MATCH($A176,账户总表!$A:$A,0)),0)</f>
        <v>0</v>
      </c>
      <c r="O176" s="15" t="n">
        <f aca="false">IFERROR(INDEX(账户总表!$B:$B,MATCH($A176,账户总表!$A:$A,0))*N176,0)</f>
        <v>0</v>
      </c>
      <c r="P176" s="18" t="n">
        <f aca="false">IFERROR(O176/D176,0)</f>
        <v>0</v>
      </c>
      <c r="Q176" s="18" t="n">
        <f aca="false">IFERROR(FLOOR(P176,100),0)</f>
        <v>0</v>
      </c>
      <c r="R176" s="18" t="n">
        <f aca="false">IFERROR(CEILING(800/(100*D176),1)*100,0)</f>
        <v>0</v>
      </c>
      <c r="S176" s="17"/>
      <c r="T176" s="15" t="n">
        <f aca="false">IFERROR(S176*D176,0)</f>
        <v>0</v>
      </c>
      <c r="U176" s="16" t="n">
        <f aca="false">IFERROR(T176/INDEX(账户总表!$B:$B,MATCH($A176,账户总表!$A:$A,0)),0)</f>
        <v>0</v>
      </c>
      <c r="V176" s="16" t="n">
        <f aca="false">IFERROR(INDEX(账户总表!$E:$E,MATCH($A176,账户总表!$A:$A,0))+U176,0)</f>
        <v>0</v>
      </c>
      <c r="W176" s="19" t="str">
        <f aca="false">IF($A176="","",IFERROR(IF(V176&lt;=INDEX(账户总表!$N:$N,MATCH($A176,账户总表!$A:$A,0)),"是","否"),"否"))</f>
        <v/>
      </c>
      <c r="X176" s="15" t="str">
        <f aca="false">IF($A176="","",MAX(F176*0.98,D176*0.92))</f>
        <v/>
      </c>
      <c r="Y176" s="5"/>
      <c r="Z176" s="19" t="str">
        <f aca="false">IF($A176="","",IFERROR(IF(AND(T176&gt;INDEX(账户总表!$C:$C,MATCH($A176,账户总表!$A:$A,0)),L176="是"),"是","否"),"否"))</f>
        <v/>
      </c>
      <c r="AA176" s="15" t="str">
        <f aca="false">IF($A176="","",IFERROR(IF(Z176="是",MAX(0,T176-INDEX(账户总表!$C:$C,MATCH($A176,账户总表!$A:$A,0)),IF(N176&gt;0,T176/N176-INDEX(账户总表!$B:$B,MATCH($A176,账户总表!$A:$A,0)),0)),0),0))</f>
        <v/>
      </c>
      <c r="AB176" s="15" t="str">
        <f aca="false">IF($A176="","",IF(AND(Z176="是",INDEX(账户总表!$U:$U,MATCH($A176,账户总表!$A:$A,0))="是"),IF(INDEX(账户总表!$L:$L,MATCH($A176,账户总表!$A:$A,0))&gt;=4,AA176*1.5,AA176),0))</f>
        <v/>
      </c>
      <c r="AC176" s="19" t="str">
        <f aca="false">IF($A176="","",IF(AND(L176="是",Q176&gt;=R176,S176&lt;=Q176,S176&gt;=R176,W176="是",X176&gt;0,M176="是",INDEX(账户总表!$M:$M,MATCH($A176,账户总表!$A:$A,0))&lt;=2,INDEX(账户总表!$V:$V,MATCH($A176,账户总表!$A:$A,0))="是",OR(T176&lt;=INDEX(账户总表!$C:$C,MATCH($A176,账户总表!$A:$A,0)),AND(Z176="是",INDEX(账户总表!$U:$U,MATCH($A176,账户总表!$A:$A,0))="是",AB176&gt;0))),"是","否"))</f>
        <v/>
      </c>
      <c r="AD176" s="19" t="str">
        <f aca="false">IF($A176="","",IF(L176&lt;&gt;"是","信号未确认",IF(X176&lt;=0,"止损价未定义",IF(Q176&lt;R176,"100股约束不满足",IF(S176&gt;Q176,"计划股数超单股上限",IF(S176&lt;R176,"计划股数低于最小门槛",IF(W176&lt;&gt;"是","总仓位超限",IF(M176&lt;&gt;"是","追价",IF(INDEX(账户总表!$M:$M,MATCH($A176,账户总表!$A:$A,0))&gt;2,"亏钱效应偏高",IF(INDEX(账户总表!$V:$V,MATCH($A176,账户总表!$A:$A,0))&lt;&gt;"是","账户不允许新开仓",IF(AND(T176&gt;INDEX(账户总表!$C:$C,MATCH($A176,账户总表!$A:$A,0)),INDEX(账户总表!$U:$U,MATCH($A176,账户总表!$A:$A,0))&lt;&gt;"是"),"现金不足且不允许转入",IF(AND(Z176="是",AB176&lt;=0),"转入金额未满足",""))))))))))))</f>
        <v/>
      </c>
      <c r="AE176" s="5"/>
    </row>
    <row r="177" customFormat="false" ht="15" hidden="false" customHeight="true" outlineLevel="0" collapsed="false">
      <c r="A177" s="7"/>
      <c r="B177" s="7"/>
      <c r="C177" s="7"/>
      <c r="D177" s="24"/>
      <c r="E177" s="24"/>
      <c r="F177" s="24"/>
      <c r="G177" s="26"/>
      <c r="H177" s="7"/>
      <c r="I177" s="7"/>
      <c r="J177" s="12"/>
      <c r="K177" s="19" t="str">
        <f aca="false">IF($A177="","",IF(AND(G177&lt;45%,H177&gt;=0.9),"A",IF(AND(G177&lt;60%,H177&gt;0.8),"B","C")))</f>
        <v/>
      </c>
      <c r="L177" s="4" t="str">
        <f aca="false">IF($A177="","",IF(AND(G177&lt;60%,H177&gt;0.8,I177="True"),"是","否"))</f>
        <v/>
      </c>
      <c r="M177" s="19" t="str">
        <f aca="false">IF($A177="","",IF(AND(D177&gt;0,E177&gt;0,D177&lt;=E177*1.02),"是","否"))</f>
        <v/>
      </c>
      <c r="N177" s="16" t="n">
        <f aca="false">IFERROR(INDEX(账户总表!$O:$O,MATCH($A177,账户总表!$A:$A,0)),0)</f>
        <v>0</v>
      </c>
      <c r="O177" s="15" t="n">
        <f aca="false">IFERROR(INDEX(账户总表!$B:$B,MATCH($A177,账户总表!$A:$A,0))*N177,0)</f>
        <v>0</v>
      </c>
      <c r="P177" s="18" t="n">
        <f aca="false">IFERROR(O177/D177,0)</f>
        <v>0</v>
      </c>
      <c r="Q177" s="18" t="n">
        <f aca="false">IFERROR(FLOOR(P177,100),0)</f>
        <v>0</v>
      </c>
      <c r="R177" s="18" t="n">
        <f aca="false">IFERROR(CEILING(800/(100*D177),1)*100,0)</f>
        <v>0</v>
      </c>
      <c r="S177" s="25"/>
      <c r="T177" s="15" t="n">
        <f aca="false">IFERROR(S177*D177,0)</f>
        <v>0</v>
      </c>
      <c r="U177" s="16" t="n">
        <f aca="false">IFERROR(T177/INDEX(账户总表!$B:$B,MATCH($A177,账户总表!$A:$A,0)),0)</f>
        <v>0</v>
      </c>
      <c r="V177" s="16" t="n">
        <f aca="false">IFERROR(INDEX(账户总表!$E:$E,MATCH($A177,账户总表!$A:$A,0))+U177,0)</f>
        <v>0</v>
      </c>
      <c r="W177" s="19" t="str">
        <f aca="false">IF($A177="","",IFERROR(IF(V177&lt;=INDEX(账户总表!$N:$N,MATCH($A177,账户总表!$A:$A,0)),"是","否"),"否"))</f>
        <v/>
      </c>
      <c r="X177" s="15" t="str">
        <f aca="false">IF($A177="","",MAX(F177*0.98,D177*0.92))</f>
        <v/>
      </c>
      <c r="Y177" s="7"/>
      <c r="Z177" s="19" t="str">
        <f aca="false">IF($A177="","",IFERROR(IF(AND(T177&gt;INDEX(账户总表!$C:$C,MATCH($A177,账户总表!$A:$A,0)),L177="是"),"是","否"),"否"))</f>
        <v/>
      </c>
      <c r="AA177" s="15" t="str">
        <f aca="false">IF($A177="","",IFERROR(IF(Z177="是",MAX(0,T177-INDEX(账户总表!$C:$C,MATCH($A177,账户总表!$A:$A,0)),IF(N177&gt;0,T177/N177-INDEX(账户总表!$B:$B,MATCH($A177,账户总表!$A:$A,0)),0)),0),0))</f>
        <v/>
      </c>
      <c r="AB177" s="15" t="str">
        <f aca="false">IF($A177="","",IF(AND(Z177="是",INDEX(账户总表!$U:$U,MATCH($A177,账户总表!$A:$A,0))="是"),IF(INDEX(账户总表!$L:$L,MATCH($A177,账户总表!$A:$A,0))&gt;=4,AA177*1.5,AA177),0))</f>
        <v/>
      </c>
      <c r="AC177" s="19" t="str">
        <f aca="false">IF($A177="","",IF(AND(L177="是",Q177&gt;=R177,S177&lt;=Q177,S177&gt;=R177,W177="是",X177&gt;0,M177="是",INDEX(账户总表!$M:$M,MATCH($A177,账户总表!$A:$A,0))&lt;=2,INDEX(账户总表!$V:$V,MATCH($A177,账户总表!$A:$A,0))="是",OR(T177&lt;=INDEX(账户总表!$C:$C,MATCH($A177,账户总表!$A:$A,0)),AND(Z177="是",INDEX(账户总表!$U:$U,MATCH($A177,账户总表!$A:$A,0))="是",AB177&gt;0))),"是","否"))</f>
        <v/>
      </c>
      <c r="AD177" s="19" t="str">
        <f aca="false">IF($A177="","",IF(L177&lt;&gt;"是","信号未确认",IF(X177&lt;=0,"止损价未定义",IF(Q177&lt;R177,"100股约束不满足",IF(S177&gt;Q177,"计划股数超单股上限",IF(S177&lt;R177,"计划股数低于最小门槛",IF(W177&lt;&gt;"是","总仓位超限",IF(M177&lt;&gt;"是","追价",IF(INDEX(账户总表!$M:$M,MATCH($A177,账户总表!$A:$A,0))&gt;2,"亏钱效应偏高",IF(INDEX(账户总表!$V:$V,MATCH($A177,账户总表!$A:$A,0))&lt;&gt;"是","账户不允许新开仓",IF(AND(T177&gt;INDEX(账户总表!$C:$C,MATCH($A177,账户总表!$A:$A,0)),INDEX(账户总表!$U:$U,MATCH($A177,账户总表!$A:$A,0))&lt;&gt;"是"),"现金不足且不允许转入",IF(AND(Z177="是",AB177&lt;=0),"转入金额未满足",""))))))))))))</f>
        <v/>
      </c>
      <c r="AE177" s="7"/>
    </row>
    <row r="178" customFormat="false" ht="15" hidden="false" customHeight="true" outlineLevel="0" collapsed="false">
      <c r="A178" s="5"/>
      <c r="B178" s="5"/>
      <c r="C178" s="5"/>
      <c r="D178" s="14"/>
      <c r="E178" s="14"/>
      <c r="F178" s="14"/>
      <c r="G178" s="20"/>
      <c r="H178" s="5"/>
      <c r="I178" s="5"/>
      <c r="J178" s="11"/>
      <c r="K178" s="19" t="str">
        <f aca="false">IF($A178="","",IF(AND(G178&lt;45%,H178&gt;=0.9),"A",IF(AND(G178&lt;60%,H178&gt;0.8),"B","C")))</f>
        <v/>
      </c>
      <c r="L178" s="4" t="str">
        <f aca="false">IF($A178="","",IF(AND(G178&lt;60%,H178&gt;0.8,I178="True"),"是","否"))</f>
        <v/>
      </c>
      <c r="M178" s="19" t="str">
        <f aca="false">IF($A178="","",IF(AND(D178&gt;0,E178&gt;0,D178&lt;=E178*1.02),"是","否"))</f>
        <v/>
      </c>
      <c r="N178" s="16" t="n">
        <f aca="false">IFERROR(INDEX(账户总表!$O:$O,MATCH($A178,账户总表!$A:$A,0)),0)</f>
        <v>0</v>
      </c>
      <c r="O178" s="15" t="n">
        <f aca="false">IFERROR(INDEX(账户总表!$B:$B,MATCH($A178,账户总表!$A:$A,0))*N178,0)</f>
        <v>0</v>
      </c>
      <c r="P178" s="18" t="n">
        <f aca="false">IFERROR(O178/D178,0)</f>
        <v>0</v>
      </c>
      <c r="Q178" s="18" t="n">
        <f aca="false">IFERROR(FLOOR(P178,100),0)</f>
        <v>0</v>
      </c>
      <c r="R178" s="18" t="n">
        <f aca="false">IFERROR(CEILING(800/(100*D178),1)*100,0)</f>
        <v>0</v>
      </c>
      <c r="S178" s="17"/>
      <c r="T178" s="15" t="n">
        <f aca="false">IFERROR(S178*D178,0)</f>
        <v>0</v>
      </c>
      <c r="U178" s="16" t="n">
        <f aca="false">IFERROR(T178/INDEX(账户总表!$B:$B,MATCH($A178,账户总表!$A:$A,0)),0)</f>
        <v>0</v>
      </c>
      <c r="V178" s="16" t="n">
        <f aca="false">IFERROR(INDEX(账户总表!$E:$E,MATCH($A178,账户总表!$A:$A,0))+U178,0)</f>
        <v>0</v>
      </c>
      <c r="W178" s="19" t="str">
        <f aca="false">IF($A178="","",IFERROR(IF(V178&lt;=INDEX(账户总表!$N:$N,MATCH($A178,账户总表!$A:$A,0)),"是","否"),"否"))</f>
        <v/>
      </c>
      <c r="X178" s="15" t="str">
        <f aca="false">IF($A178="","",MAX(F178*0.98,D178*0.92))</f>
        <v/>
      </c>
      <c r="Y178" s="5"/>
      <c r="Z178" s="19" t="str">
        <f aca="false">IF($A178="","",IFERROR(IF(AND(T178&gt;INDEX(账户总表!$C:$C,MATCH($A178,账户总表!$A:$A,0)),L178="是"),"是","否"),"否"))</f>
        <v/>
      </c>
      <c r="AA178" s="15" t="str">
        <f aca="false">IF($A178="","",IFERROR(IF(Z178="是",MAX(0,T178-INDEX(账户总表!$C:$C,MATCH($A178,账户总表!$A:$A,0)),IF(N178&gt;0,T178/N178-INDEX(账户总表!$B:$B,MATCH($A178,账户总表!$A:$A,0)),0)),0),0))</f>
        <v/>
      </c>
      <c r="AB178" s="15" t="str">
        <f aca="false">IF($A178="","",IF(AND(Z178="是",INDEX(账户总表!$U:$U,MATCH($A178,账户总表!$A:$A,0))="是"),IF(INDEX(账户总表!$L:$L,MATCH($A178,账户总表!$A:$A,0))&gt;=4,AA178*1.5,AA178),0))</f>
        <v/>
      </c>
      <c r="AC178" s="19" t="str">
        <f aca="false">IF($A178="","",IF(AND(L178="是",Q178&gt;=R178,S178&lt;=Q178,S178&gt;=R178,W178="是",X178&gt;0,M178="是",INDEX(账户总表!$M:$M,MATCH($A178,账户总表!$A:$A,0))&lt;=2,INDEX(账户总表!$V:$V,MATCH($A178,账户总表!$A:$A,0))="是",OR(T178&lt;=INDEX(账户总表!$C:$C,MATCH($A178,账户总表!$A:$A,0)),AND(Z178="是",INDEX(账户总表!$U:$U,MATCH($A178,账户总表!$A:$A,0))="是",AB178&gt;0))),"是","否"))</f>
        <v/>
      </c>
      <c r="AD178" s="19" t="str">
        <f aca="false">IF($A178="","",IF(L178&lt;&gt;"是","信号未确认",IF(X178&lt;=0,"止损价未定义",IF(Q178&lt;R178,"100股约束不满足",IF(S178&gt;Q178,"计划股数超单股上限",IF(S178&lt;R178,"计划股数低于最小门槛",IF(W178&lt;&gt;"是","总仓位超限",IF(M178&lt;&gt;"是","追价",IF(INDEX(账户总表!$M:$M,MATCH($A178,账户总表!$A:$A,0))&gt;2,"亏钱效应偏高",IF(INDEX(账户总表!$V:$V,MATCH($A178,账户总表!$A:$A,0))&lt;&gt;"是","账户不允许新开仓",IF(AND(T178&gt;INDEX(账户总表!$C:$C,MATCH($A178,账户总表!$A:$A,0)),INDEX(账户总表!$U:$U,MATCH($A178,账户总表!$A:$A,0))&lt;&gt;"是"),"现金不足且不允许转入",IF(AND(Z178="是",AB178&lt;=0),"转入金额未满足",""))))))))))))</f>
        <v/>
      </c>
      <c r="AE178" s="5"/>
    </row>
    <row r="179" customFormat="false" ht="15" hidden="false" customHeight="true" outlineLevel="0" collapsed="false">
      <c r="A179" s="7"/>
      <c r="B179" s="7"/>
      <c r="C179" s="7"/>
      <c r="D179" s="24"/>
      <c r="E179" s="24"/>
      <c r="F179" s="24"/>
      <c r="G179" s="26"/>
      <c r="H179" s="7"/>
      <c r="I179" s="7"/>
      <c r="J179" s="12"/>
      <c r="K179" s="19" t="str">
        <f aca="false">IF($A179="","",IF(AND(G179&lt;45%,H179&gt;=0.9),"A",IF(AND(G179&lt;60%,H179&gt;0.8),"B","C")))</f>
        <v/>
      </c>
      <c r="L179" s="4" t="str">
        <f aca="false">IF($A179="","",IF(AND(G179&lt;60%,H179&gt;0.8,I179="True"),"是","否"))</f>
        <v/>
      </c>
      <c r="M179" s="19" t="str">
        <f aca="false">IF($A179="","",IF(AND(D179&gt;0,E179&gt;0,D179&lt;=E179*1.02),"是","否"))</f>
        <v/>
      </c>
      <c r="N179" s="16" t="n">
        <f aca="false">IFERROR(INDEX(账户总表!$O:$O,MATCH($A179,账户总表!$A:$A,0)),0)</f>
        <v>0</v>
      </c>
      <c r="O179" s="15" t="n">
        <f aca="false">IFERROR(INDEX(账户总表!$B:$B,MATCH($A179,账户总表!$A:$A,0))*N179,0)</f>
        <v>0</v>
      </c>
      <c r="P179" s="18" t="n">
        <f aca="false">IFERROR(O179/D179,0)</f>
        <v>0</v>
      </c>
      <c r="Q179" s="18" t="n">
        <f aca="false">IFERROR(FLOOR(P179,100),0)</f>
        <v>0</v>
      </c>
      <c r="R179" s="18" t="n">
        <f aca="false">IFERROR(CEILING(800/(100*D179),1)*100,0)</f>
        <v>0</v>
      </c>
      <c r="S179" s="25"/>
      <c r="T179" s="15" t="n">
        <f aca="false">IFERROR(S179*D179,0)</f>
        <v>0</v>
      </c>
      <c r="U179" s="16" t="n">
        <f aca="false">IFERROR(T179/INDEX(账户总表!$B:$B,MATCH($A179,账户总表!$A:$A,0)),0)</f>
        <v>0</v>
      </c>
      <c r="V179" s="16" t="n">
        <f aca="false">IFERROR(INDEX(账户总表!$E:$E,MATCH($A179,账户总表!$A:$A,0))+U179,0)</f>
        <v>0</v>
      </c>
      <c r="W179" s="19" t="str">
        <f aca="false">IF($A179="","",IFERROR(IF(V179&lt;=INDEX(账户总表!$N:$N,MATCH($A179,账户总表!$A:$A,0)),"是","否"),"否"))</f>
        <v/>
      </c>
      <c r="X179" s="15" t="str">
        <f aca="false">IF($A179="","",MAX(F179*0.98,D179*0.92))</f>
        <v/>
      </c>
      <c r="Y179" s="7"/>
      <c r="Z179" s="19" t="str">
        <f aca="false">IF($A179="","",IFERROR(IF(AND(T179&gt;INDEX(账户总表!$C:$C,MATCH($A179,账户总表!$A:$A,0)),L179="是"),"是","否"),"否"))</f>
        <v/>
      </c>
      <c r="AA179" s="15" t="str">
        <f aca="false">IF($A179="","",IFERROR(IF(Z179="是",MAX(0,T179-INDEX(账户总表!$C:$C,MATCH($A179,账户总表!$A:$A,0)),IF(N179&gt;0,T179/N179-INDEX(账户总表!$B:$B,MATCH($A179,账户总表!$A:$A,0)),0)),0),0))</f>
        <v/>
      </c>
      <c r="AB179" s="15" t="str">
        <f aca="false">IF($A179="","",IF(AND(Z179="是",INDEX(账户总表!$U:$U,MATCH($A179,账户总表!$A:$A,0))="是"),IF(INDEX(账户总表!$L:$L,MATCH($A179,账户总表!$A:$A,0))&gt;=4,AA179*1.5,AA179),0))</f>
        <v/>
      </c>
      <c r="AC179" s="19" t="str">
        <f aca="false">IF($A179="","",IF(AND(L179="是",Q179&gt;=R179,S179&lt;=Q179,S179&gt;=R179,W179="是",X179&gt;0,M179="是",INDEX(账户总表!$M:$M,MATCH($A179,账户总表!$A:$A,0))&lt;=2,INDEX(账户总表!$V:$V,MATCH($A179,账户总表!$A:$A,0))="是",OR(T179&lt;=INDEX(账户总表!$C:$C,MATCH($A179,账户总表!$A:$A,0)),AND(Z179="是",INDEX(账户总表!$U:$U,MATCH($A179,账户总表!$A:$A,0))="是",AB179&gt;0))),"是","否"))</f>
        <v/>
      </c>
      <c r="AD179" s="19" t="str">
        <f aca="false">IF($A179="","",IF(L179&lt;&gt;"是","信号未确认",IF(X179&lt;=0,"止损价未定义",IF(Q179&lt;R179,"100股约束不满足",IF(S179&gt;Q179,"计划股数超单股上限",IF(S179&lt;R179,"计划股数低于最小门槛",IF(W179&lt;&gt;"是","总仓位超限",IF(M179&lt;&gt;"是","追价",IF(INDEX(账户总表!$M:$M,MATCH($A179,账户总表!$A:$A,0))&gt;2,"亏钱效应偏高",IF(INDEX(账户总表!$V:$V,MATCH($A179,账户总表!$A:$A,0))&lt;&gt;"是","账户不允许新开仓",IF(AND(T179&gt;INDEX(账户总表!$C:$C,MATCH($A179,账户总表!$A:$A,0)),INDEX(账户总表!$U:$U,MATCH($A179,账户总表!$A:$A,0))&lt;&gt;"是"),"现金不足且不允许转入",IF(AND(Z179="是",AB179&lt;=0),"转入金额未满足",""))))))))))))</f>
        <v/>
      </c>
      <c r="AE179" s="7"/>
    </row>
    <row r="180" customFormat="false" ht="15" hidden="false" customHeight="true" outlineLevel="0" collapsed="false">
      <c r="A180" s="5"/>
      <c r="B180" s="5"/>
      <c r="C180" s="5"/>
      <c r="D180" s="14"/>
      <c r="E180" s="14"/>
      <c r="F180" s="14"/>
      <c r="G180" s="20"/>
      <c r="H180" s="5"/>
      <c r="I180" s="5"/>
      <c r="J180" s="11"/>
      <c r="K180" s="19" t="str">
        <f aca="false">IF($A180="","",IF(AND(G180&lt;45%,H180&gt;=0.9),"A",IF(AND(G180&lt;60%,H180&gt;0.8),"B","C")))</f>
        <v/>
      </c>
      <c r="L180" s="4" t="str">
        <f aca="false">IF($A180="","",IF(AND(G180&lt;60%,H180&gt;0.8,I180="True"),"是","否"))</f>
        <v/>
      </c>
      <c r="M180" s="19" t="str">
        <f aca="false">IF($A180="","",IF(AND(D180&gt;0,E180&gt;0,D180&lt;=E180*1.02),"是","否"))</f>
        <v/>
      </c>
      <c r="N180" s="16" t="n">
        <f aca="false">IFERROR(INDEX(账户总表!$O:$O,MATCH($A180,账户总表!$A:$A,0)),0)</f>
        <v>0</v>
      </c>
      <c r="O180" s="15" t="n">
        <f aca="false">IFERROR(INDEX(账户总表!$B:$B,MATCH($A180,账户总表!$A:$A,0))*N180,0)</f>
        <v>0</v>
      </c>
      <c r="P180" s="18" t="n">
        <f aca="false">IFERROR(O180/D180,0)</f>
        <v>0</v>
      </c>
      <c r="Q180" s="18" t="n">
        <f aca="false">IFERROR(FLOOR(P180,100),0)</f>
        <v>0</v>
      </c>
      <c r="R180" s="18" t="n">
        <f aca="false">IFERROR(CEILING(800/(100*D180),1)*100,0)</f>
        <v>0</v>
      </c>
      <c r="S180" s="17"/>
      <c r="T180" s="15" t="n">
        <f aca="false">IFERROR(S180*D180,0)</f>
        <v>0</v>
      </c>
      <c r="U180" s="16" t="n">
        <f aca="false">IFERROR(T180/INDEX(账户总表!$B:$B,MATCH($A180,账户总表!$A:$A,0)),0)</f>
        <v>0</v>
      </c>
      <c r="V180" s="16" t="n">
        <f aca="false">IFERROR(INDEX(账户总表!$E:$E,MATCH($A180,账户总表!$A:$A,0))+U180,0)</f>
        <v>0</v>
      </c>
      <c r="W180" s="19" t="str">
        <f aca="false">IF($A180="","",IFERROR(IF(V180&lt;=INDEX(账户总表!$N:$N,MATCH($A180,账户总表!$A:$A,0)),"是","否"),"否"))</f>
        <v/>
      </c>
      <c r="X180" s="15" t="str">
        <f aca="false">IF($A180="","",MAX(F180*0.98,D180*0.92))</f>
        <v/>
      </c>
      <c r="Y180" s="5"/>
      <c r="Z180" s="19" t="str">
        <f aca="false">IF($A180="","",IFERROR(IF(AND(T180&gt;INDEX(账户总表!$C:$C,MATCH($A180,账户总表!$A:$A,0)),L180="是"),"是","否"),"否"))</f>
        <v/>
      </c>
      <c r="AA180" s="15" t="str">
        <f aca="false">IF($A180="","",IFERROR(IF(Z180="是",MAX(0,T180-INDEX(账户总表!$C:$C,MATCH($A180,账户总表!$A:$A,0)),IF(N180&gt;0,T180/N180-INDEX(账户总表!$B:$B,MATCH($A180,账户总表!$A:$A,0)),0)),0),0))</f>
        <v/>
      </c>
      <c r="AB180" s="15" t="str">
        <f aca="false">IF($A180="","",IF(AND(Z180="是",INDEX(账户总表!$U:$U,MATCH($A180,账户总表!$A:$A,0))="是"),IF(INDEX(账户总表!$L:$L,MATCH($A180,账户总表!$A:$A,0))&gt;=4,AA180*1.5,AA180),0))</f>
        <v/>
      </c>
      <c r="AC180" s="19" t="str">
        <f aca="false">IF($A180="","",IF(AND(L180="是",Q180&gt;=R180,S180&lt;=Q180,S180&gt;=R180,W180="是",X180&gt;0,M180="是",INDEX(账户总表!$M:$M,MATCH($A180,账户总表!$A:$A,0))&lt;=2,INDEX(账户总表!$V:$V,MATCH($A180,账户总表!$A:$A,0))="是",OR(T180&lt;=INDEX(账户总表!$C:$C,MATCH($A180,账户总表!$A:$A,0)),AND(Z180="是",INDEX(账户总表!$U:$U,MATCH($A180,账户总表!$A:$A,0))="是",AB180&gt;0))),"是","否"))</f>
        <v/>
      </c>
      <c r="AD180" s="19" t="str">
        <f aca="false">IF($A180="","",IF(L180&lt;&gt;"是","信号未确认",IF(X180&lt;=0,"止损价未定义",IF(Q180&lt;R180,"100股约束不满足",IF(S180&gt;Q180,"计划股数超单股上限",IF(S180&lt;R180,"计划股数低于最小门槛",IF(W180&lt;&gt;"是","总仓位超限",IF(M180&lt;&gt;"是","追价",IF(INDEX(账户总表!$M:$M,MATCH($A180,账户总表!$A:$A,0))&gt;2,"亏钱效应偏高",IF(INDEX(账户总表!$V:$V,MATCH($A180,账户总表!$A:$A,0))&lt;&gt;"是","账户不允许新开仓",IF(AND(T180&gt;INDEX(账户总表!$C:$C,MATCH($A180,账户总表!$A:$A,0)),INDEX(账户总表!$U:$U,MATCH($A180,账户总表!$A:$A,0))&lt;&gt;"是"),"现金不足且不允许转入",IF(AND(Z180="是",AB180&lt;=0),"转入金额未满足",""))))))))))))</f>
        <v/>
      </c>
      <c r="AE180" s="5"/>
    </row>
    <row r="181" customFormat="false" ht="15" hidden="false" customHeight="true" outlineLevel="0" collapsed="false">
      <c r="A181" s="7"/>
      <c r="B181" s="7"/>
      <c r="C181" s="7"/>
      <c r="D181" s="24"/>
      <c r="E181" s="24"/>
      <c r="F181" s="24"/>
      <c r="G181" s="26"/>
      <c r="H181" s="7"/>
      <c r="I181" s="7"/>
      <c r="J181" s="12"/>
      <c r="K181" s="19" t="str">
        <f aca="false">IF($A181="","",IF(AND(G181&lt;45%,H181&gt;=0.9),"A",IF(AND(G181&lt;60%,H181&gt;0.8),"B","C")))</f>
        <v/>
      </c>
      <c r="L181" s="4" t="str">
        <f aca="false">IF($A181="","",IF(AND(G181&lt;60%,H181&gt;0.8,I181="True"),"是","否"))</f>
        <v/>
      </c>
      <c r="M181" s="19" t="str">
        <f aca="false">IF($A181="","",IF(AND(D181&gt;0,E181&gt;0,D181&lt;=E181*1.02),"是","否"))</f>
        <v/>
      </c>
      <c r="N181" s="16" t="n">
        <f aca="false">IFERROR(INDEX(账户总表!$O:$O,MATCH($A181,账户总表!$A:$A,0)),0)</f>
        <v>0</v>
      </c>
      <c r="O181" s="15" t="n">
        <f aca="false">IFERROR(INDEX(账户总表!$B:$B,MATCH($A181,账户总表!$A:$A,0))*N181,0)</f>
        <v>0</v>
      </c>
      <c r="P181" s="18" t="n">
        <f aca="false">IFERROR(O181/D181,0)</f>
        <v>0</v>
      </c>
      <c r="Q181" s="18" t="n">
        <f aca="false">IFERROR(FLOOR(P181,100),0)</f>
        <v>0</v>
      </c>
      <c r="R181" s="18" t="n">
        <f aca="false">IFERROR(CEILING(800/(100*D181),1)*100,0)</f>
        <v>0</v>
      </c>
      <c r="S181" s="25"/>
      <c r="T181" s="15" t="n">
        <f aca="false">IFERROR(S181*D181,0)</f>
        <v>0</v>
      </c>
      <c r="U181" s="16" t="n">
        <f aca="false">IFERROR(T181/INDEX(账户总表!$B:$B,MATCH($A181,账户总表!$A:$A,0)),0)</f>
        <v>0</v>
      </c>
      <c r="V181" s="16" t="n">
        <f aca="false">IFERROR(INDEX(账户总表!$E:$E,MATCH($A181,账户总表!$A:$A,0))+U181,0)</f>
        <v>0</v>
      </c>
      <c r="W181" s="19" t="str">
        <f aca="false">IF($A181="","",IFERROR(IF(V181&lt;=INDEX(账户总表!$N:$N,MATCH($A181,账户总表!$A:$A,0)),"是","否"),"否"))</f>
        <v/>
      </c>
      <c r="X181" s="15" t="str">
        <f aca="false">IF($A181="","",MAX(F181*0.98,D181*0.92))</f>
        <v/>
      </c>
      <c r="Y181" s="7"/>
      <c r="Z181" s="19" t="str">
        <f aca="false">IF($A181="","",IFERROR(IF(AND(T181&gt;INDEX(账户总表!$C:$C,MATCH($A181,账户总表!$A:$A,0)),L181="是"),"是","否"),"否"))</f>
        <v/>
      </c>
      <c r="AA181" s="15" t="str">
        <f aca="false">IF($A181="","",IFERROR(IF(Z181="是",MAX(0,T181-INDEX(账户总表!$C:$C,MATCH($A181,账户总表!$A:$A,0)),IF(N181&gt;0,T181/N181-INDEX(账户总表!$B:$B,MATCH($A181,账户总表!$A:$A,0)),0)),0),0))</f>
        <v/>
      </c>
      <c r="AB181" s="15" t="str">
        <f aca="false">IF($A181="","",IF(AND(Z181="是",INDEX(账户总表!$U:$U,MATCH($A181,账户总表!$A:$A,0))="是"),IF(INDEX(账户总表!$L:$L,MATCH($A181,账户总表!$A:$A,0))&gt;=4,AA181*1.5,AA181),0))</f>
        <v/>
      </c>
      <c r="AC181" s="19" t="str">
        <f aca="false">IF($A181="","",IF(AND(L181="是",Q181&gt;=R181,S181&lt;=Q181,S181&gt;=R181,W181="是",X181&gt;0,M181="是",INDEX(账户总表!$M:$M,MATCH($A181,账户总表!$A:$A,0))&lt;=2,INDEX(账户总表!$V:$V,MATCH($A181,账户总表!$A:$A,0))="是",OR(T181&lt;=INDEX(账户总表!$C:$C,MATCH($A181,账户总表!$A:$A,0)),AND(Z181="是",INDEX(账户总表!$U:$U,MATCH($A181,账户总表!$A:$A,0))="是",AB181&gt;0))),"是","否"))</f>
        <v/>
      </c>
      <c r="AD181" s="19" t="str">
        <f aca="false">IF($A181="","",IF(L181&lt;&gt;"是","信号未确认",IF(X181&lt;=0,"止损价未定义",IF(Q181&lt;R181,"100股约束不满足",IF(S181&gt;Q181,"计划股数超单股上限",IF(S181&lt;R181,"计划股数低于最小门槛",IF(W181&lt;&gt;"是","总仓位超限",IF(M181&lt;&gt;"是","追价",IF(INDEX(账户总表!$M:$M,MATCH($A181,账户总表!$A:$A,0))&gt;2,"亏钱效应偏高",IF(INDEX(账户总表!$V:$V,MATCH($A181,账户总表!$A:$A,0))&lt;&gt;"是","账户不允许新开仓",IF(AND(T181&gt;INDEX(账户总表!$C:$C,MATCH($A181,账户总表!$A:$A,0)),INDEX(账户总表!$U:$U,MATCH($A181,账户总表!$A:$A,0))&lt;&gt;"是"),"现金不足且不允许转入",IF(AND(Z181="是",AB181&lt;=0),"转入金额未满足",""))))))))))))</f>
        <v/>
      </c>
      <c r="AE181" s="7"/>
    </row>
    <row r="182" customFormat="false" ht="15" hidden="false" customHeight="true" outlineLevel="0" collapsed="false">
      <c r="A182" s="5"/>
      <c r="B182" s="5"/>
      <c r="C182" s="5"/>
      <c r="D182" s="14"/>
      <c r="E182" s="14"/>
      <c r="F182" s="14"/>
      <c r="G182" s="20"/>
      <c r="H182" s="5"/>
      <c r="I182" s="5"/>
      <c r="J182" s="11"/>
      <c r="K182" s="19" t="str">
        <f aca="false">IF($A182="","",IF(AND(G182&lt;45%,H182&gt;=0.9),"A",IF(AND(G182&lt;60%,H182&gt;0.8),"B","C")))</f>
        <v/>
      </c>
      <c r="L182" s="4" t="str">
        <f aca="false">IF($A182="","",IF(AND(G182&lt;60%,H182&gt;0.8,I182="True"),"是","否"))</f>
        <v/>
      </c>
      <c r="M182" s="19" t="str">
        <f aca="false">IF($A182="","",IF(AND(D182&gt;0,E182&gt;0,D182&lt;=E182*1.02),"是","否"))</f>
        <v/>
      </c>
      <c r="N182" s="16" t="n">
        <f aca="false">IFERROR(INDEX(账户总表!$O:$O,MATCH($A182,账户总表!$A:$A,0)),0)</f>
        <v>0</v>
      </c>
      <c r="O182" s="15" t="n">
        <f aca="false">IFERROR(INDEX(账户总表!$B:$B,MATCH($A182,账户总表!$A:$A,0))*N182,0)</f>
        <v>0</v>
      </c>
      <c r="P182" s="18" t="n">
        <f aca="false">IFERROR(O182/D182,0)</f>
        <v>0</v>
      </c>
      <c r="Q182" s="18" t="n">
        <f aca="false">IFERROR(FLOOR(P182,100),0)</f>
        <v>0</v>
      </c>
      <c r="R182" s="18" t="n">
        <f aca="false">IFERROR(CEILING(800/(100*D182),1)*100,0)</f>
        <v>0</v>
      </c>
      <c r="S182" s="17"/>
      <c r="T182" s="15" t="n">
        <f aca="false">IFERROR(S182*D182,0)</f>
        <v>0</v>
      </c>
      <c r="U182" s="16" t="n">
        <f aca="false">IFERROR(T182/INDEX(账户总表!$B:$B,MATCH($A182,账户总表!$A:$A,0)),0)</f>
        <v>0</v>
      </c>
      <c r="V182" s="16" t="n">
        <f aca="false">IFERROR(INDEX(账户总表!$E:$E,MATCH($A182,账户总表!$A:$A,0))+U182,0)</f>
        <v>0</v>
      </c>
      <c r="W182" s="19" t="str">
        <f aca="false">IF($A182="","",IFERROR(IF(V182&lt;=INDEX(账户总表!$N:$N,MATCH($A182,账户总表!$A:$A,0)),"是","否"),"否"))</f>
        <v/>
      </c>
      <c r="X182" s="15" t="str">
        <f aca="false">IF($A182="","",MAX(F182*0.98,D182*0.92))</f>
        <v/>
      </c>
      <c r="Y182" s="5"/>
      <c r="Z182" s="19" t="str">
        <f aca="false">IF($A182="","",IFERROR(IF(AND(T182&gt;INDEX(账户总表!$C:$C,MATCH($A182,账户总表!$A:$A,0)),L182="是"),"是","否"),"否"))</f>
        <v/>
      </c>
      <c r="AA182" s="15" t="str">
        <f aca="false">IF($A182="","",IFERROR(IF(Z182="是",MAX(0,T182-INDEX(账户总表!$C:$C,MATCH($A182,账户总表!$A:$A,0)),IF(N182&gt;0,T182/N182-INDEX(账户总表!$B:$B,MATCH($A182,账户总表!$A:$A,0)),0)),0),0))</f>
        <v/>
      </c>
      <c r="AB182" s="15" t="str">
        <f aca="false">IF($A182="","",IF(AND(Z182="是",INDEX(账户总表!$U:$U,MATCH($A182,账户总表!$A:$A,0))="是"),IF(INDEX(账户总表!$L:$L,MATCH($A182,账户总表!$A:$A,0))&gt;=4,AA182*1.5,AA182),0))</f>
        <v/>
      </c>
      <c r="AC182" s="19" t="str">
        <f aca="false">IF($A182="","",IF(AND(L182="是",Q182&gt;=R182,S182&lt;=Q182,S182&gt;=R182,W182="是",X182&gt;0,M182="是",INDEX(账户总表!$M:$M,MATCH($A182,账户总表!$A:$A,0))&lt;=2,INDEX(账户总表!$V:$V,MATCH($A182,账户总表!$A:$A,0))="是",OR(T182&lt;=INDEX(账户总表!$C:$C,MATCH($A182,账户总表!$A:$A,0)),AND(Z182="是",INDEX(账户总表!$U:$U,MATCH($A182,账户总表!$A:$A,0))="是",AB182&gt;0))),"是","否"))</f>
        <v/>
      </c>
      <c r="AD182" s="19" t="str">
        <f aca="false">IF($A182="","",IF(L182&lt;&gt;"是","信号未确认",IF(X182&lt;=0,"止损价未定义",IF(Q182&lt;R182,"100股约束不满足",IF(S182&gt;Q182,"计划股数超单股上限",IF(S182&lt;R182,"计划股数低于最小门槛",IF(W182&lt;&gt;"是","总仓位超限",IF(M182&lt;&gt;"是","追价",IF(INDEX(账户总表!$M:$M,MATCH($A182,账户总表!$A:$A,0))&gt;2,"亏钱效应偏高",IF(INDEX(账户总表!$V:$V,MATCH($A182,账户总表!$A:$A,0))&lt;&gt;"是","账户不允许新开仓",IF(AND(T182&gt;INDEX(账户总表!$C:$C,MATCH($A182,账户总表!$A:$A,0)),INDEX(账户总表!$U:$U,MATCH($A182,账户总表!$A:$A,0))&lt;&gt;"是"),"现金不足且不允许转入",IF(AND(Z182="是",AB182&lt;=0),"转入金额未满足",""))))))))))))</f>
        <v/>
      </c>
      <c r="AE182" s="5"/>
    </row>
    <row r="183" customFormat="false" ht="15" hidden="false" customHeight="true" outlineLevel="0" collapsed="false">
      <c r="A183" s="7"/>
      <c r="B183" s="7"/>
      <c r="C183" s="7"/>
      <c r="D183" s="24"/>
      <c r="E183" s="24"/>
      <c r="F183" s="24"/>
      <c r="G183" s="26"/>
      <c r="H183" s="7"/>
      <c r="I183" s="7"/>
      <c r="J183" s="12"/>
      <c r="K183" s="19" t="str">
        <f aca="false">IF($A183="","",IF(AND(G183&lt;45%,H183&gt;=0.9),"A",IF(AND(G183&lt;60%,H183&gt;0.8),"B","C")))</f>
        <v/>
      </c>
      <c r="L183" s="4" t="str">
        <f aca="false">IF($A183="","",IF(AND(G183&lt;60%,H183&gt;0.8,I183="True"),"是","否"))</f>
        <v/>
      </c>
      <c r="M183" s="19" t="str">
        <f aca="false">IF($A183="","",IF(AND(D183&gt;0,E183&gt;0,D183&lt;=E183*1.02),"是","否"))</f>
        <v/>
      </c>
      <c r="N183" s="16" t="n">
        <f aca="false">IFERROR(INDEX(账户总表!$O:$O,MATCH($A183,账户总表!$A:$A,0)),0)</f>
        <v>0</v>
      </c>
      <c r="O183" s="15" t="n">
        <f aca="false">IFERROR(INDEX(账户总表!$B:$B,MATCH($A183,账户总表!$A:$A,0))*N183,0)</f>
        <v>0</v>
      </c>
      <c r="P183" s="18" t="n">
        <f aca="false">IFERROR(O183/D183,0)</f>
        <v>0</v>
      </c>
      <c r="Q183" s="18" t="n">
        <f aca="false">IFERROR(FLOOR(P183,100),0)</f>
        <v>0</v>
      </c>
      <c r="R183" s="18" t="n">
        <f aca="false">IFERROR(CEILING(800/(100*D183),1)*100,0)</f>
        <v>0</v>
      </c>
      <c r="S183" s="25"/>
      <c r="T183" s="15" t="n">
        <f aca="false">IFERROR(S183*D183,0)</f>
        <v>0</v>
      </c>
      <c r="U183" s="16" t="n">
        <f aca="false">IFERROR(T183/INDEX(账户总表!$B:$B,MATCH($A183,账户总表!$A:$A,0)),0)</f>
        <v>0</v>
      </c>
      <c r="V183" s="16" t="n">
        <f aca="false">IFERROR(INDEX(账户总表!$E:$E,MATCH($A183,账户总表!$A:$A,0))+U183,0)</f>
        <v>0</v>
      </c>
      <c r="W183" s="19" t="str">
        <f aca="false">IF($A183="","",IFERROR(IF(V183&lt;=INDEX(账户总表!$N:$N,MATCH($A183,账户总表!$A:$A,0)),"是","否"),"否"))</f>
        <v/>
      </c>
      <c r="X183" s="15" t="str">
        <f aca="false">IF($A183="","",MAX(F183*0.98,D183*0.92))</f>
        <v/>
      </c>
      <c r="Y183" s="7"/>
      <c r="Z183" s="19" t="str">
        <f aca="false">IF($A183="","",IFERROR(IF(AND(T183&gt;INDEX(账户总表!$C:$C,MATCH($A183,账户总表!$A:$A,0)),L183="是"),"是","否"),"否"))</f>
        <v/>
      </c>
      <c r="AA183" s="15" t="str">
        <f aca="false">IF($A183="","",IFERROR(IF(Z183="是",MAX(0,T183-INDEX(账户总表!$C:$C,MATCH($A183,账户总表!$A:$A,0)),IF(N183&gt;0,T183/N183-INDEX(账户总表!$B:$B,MATCH($A183,账户总表!$A:$A,0)),0)),0),0))</f>
        <v/>
      </c>
      <c r="AB183" s="15" t="str">
        <f aca="false">IF($A183="","",IF(AND(Z183="是",INDEX(账户总表!$U:$U,MATCH($A183,账户总表!$A:$A,0))="是"),IF(INDEX(账户总表!$L:$L,MATCH($A183,账户总表!$A:$A,0))&gt;=4,AA183*1.5,AA183),0))</f>
        <v/>
      </c>
      <c r="AC183" s="19" t="str">
        <f aca="false">IF($A183="","",IF(AND(L183="是",Q183&gt;=R183,S183&lt;=Q183,S183&gt;=R183,W183="是",X183&gt;0,M183="是",INDEX(账户总表!$M:$M,MATCH($A183,账户总表!$A:$A,0))&lt;=2,INDEX(账户总表!$V:$V,MATCH($A183,账户总表!$A:$A,0))="是",OR(T183&lt;=INDEX(账户总表!$C:$C,MATCH($A183,账户总表!$A:$A,0)),AND(Z183="是",INDEX(账户总表!$U:$U,MATCH($A183,账户总表!$A:$A,0))="是",AB183&gt;0))),"是","否"))</f>
        <v/>
      </c>
      <c r="AD183" s="19" t="str">
        <f aca="false">IF($A183="","",IF(L183&lt;&gt;"是","信号未确认",IF(X183&lt;=0,"止损价未定义",IF(Q183&lt;R183,"100股约束不满足",IF(S183&gt;Q183,"计划股数超单股上限",IF(S183&lt;R183,"计划股数低于最小门槛",IF(W183&lt;&gt;"是","总仓位超限",IF(M183&lt;&gt;"是","追价",IF(INDEX(账户总表!$M:$M,MATCH($A183,账户总表!$A:$A,0))&gt;2,"亏钱效应偏高",IF(INDEX(账户总表!$V:$V,MATCH($A183,账户总表!$A:$A,0))&lt;&gt;"是","账户不允许新开仓",IF(AND(T183&gt;INDEX(账户总表!$C:$C,MATCH($A183,账户总表!$A:$A,0)),INDEX(账户总表!$U:$U,MATCH($A183,账户总表!$A:$A,0))&lt;&gt;"是"),"现金不足且不允许转入",IF(AND(Z183="是",AB183&lt;=0),"转入金额未满足",""))))))))))))</f>
        <v/>
      </c>
      <c r="AE183" s="7"/>
    </row>
    <row r="184" customFormat="false" ht="15" hidden="false" customHeight="true" outlineLevel="0" collapsed="false">
      <c r="A184" s="5"/>
      <c r="B184" s="5"/>
      <c r="C184" s="5"/>
      <c r="D184" s="14"/>
      <c r="E184" s="14"/>
      <c r="F184" s="14"/>
      <c r="G184" s="20"/>
      <c r="H184" s="5"/>
      <c r="I184" s="5"/>
      <c r="J184" s="11"/>
      <c r="K184" s="19" t="str">
        <f aca="false">IF($A184="","",IF(AND(G184&lt;45%,H184&gt;=0.9),"A",IF(AND(G184&lt;60%,H184&gt;0.8),"B","C")))</f>
        <v/>
      </c>
      <c r="L184" s="4" t="str">
        <f aca="false">IF($A184="","",IF(AND(G184&lt;60%,H184&gt;0.8,I184="True"),"是","否"))</f>
        <v/>
      </c>
      <c r="M184" s="19" t="str">
        <f aca="false">IF($A184="","",IF(AND(D184&gt;0,E184&gt;0,D184&lt;=E184*1.02),"是","否"))</f>
        <v/>
      </c>
      <c r="N184" s="16" t="n">
        <f aca="false">IFERROR(INDEX(账户总表!$O:$O,MATCH($A184,账户总表!$A:$A,0)),0)</f>
        <v>0</v>
      </c>
      <c r="O184" s="15" t="n">
        <f aca="false">IFERROR(INDEX(账户总表!$B:$B,MATCH($A184,账户总表!$A:$A,0))*N184,0)</f>
        <v>0</v>
      </c>
      <c r="P184" s="18" t="n">
        <f aca="false">IFERROR(O184/D184,0)</f>
        <v>0</v>
      </c>
      <c r="Q184" s="18" t="n">
        <f aca="false">IFERROR(FLOOR(P184,100),0)</f>
        <v>0</v>
      </c>
      <c r="R184" s="18" t="n">
        <f aca="false">IFERROR(CEILING(800/(100*D184),1)*100,0)</f>
        <v>0</v>
      </c>
      <c r="S184" s="17"/>
      <c r="T184" s="15" t="n">
        <f aca="false">IFERROR(S184*D184,0)</f>
        <v>0</v>
      </c>
      <c r="U184" s="16" t="n">
        <f aca="false">IFERROR(T184/INDEX(账户总表!$B:$B,MATCH($A184,账户总表!$A:$A,0)),0)</f>
        <v>0</v>
      </c>
      <c r="V184" s="16" t="n">
        <f aca="false">IFERROR(INDEX(账户总表!$E:$E,MATCH($A184,账户总表!$A:$A,0))+U184,0)</f>
        <v>0</v>
      </c>
      <c r="W184" s="19" t="str">
        <f aca="false">IF($A184="","",IFERROR(IF(V184&lt;=INDEX(账户总表!$N:$N,MATCH($A184,账户总表!$A:$A,0)),"是","否"),"否"))</f>
        <v/>
      </c>
      <c r="X184" s="15" t="str">
        <f aca="false">IF($A184="","",MAX(F184*0.98,D184*0.92))</f>
        <v/>
      </c>
      <c r="Y184" s="5"/>
      <c r="Z184" s="19" t="str">
        <f aca="false">IF($A184="","",IFERROR(IF(AND(T184&gt;INDEX(账户总表!$C:$C,MATCH($A184,账户总表!$A:$A,0)),L184="是"),"是","否"),"否"))</f>
        <v/>
      </c>
      <c r="AA184" s="15" t="str">
        <f aca="false">IF($A184="","",IFERROR(IF(Z184="是",MAX(0,T184-INDEX(账户总表!$C:$C,MATCH($A184,账户总表!$A:$A,0)),IF(N184&gt;0,T184/N184-INDEX(账户总表!$B:$B,MATCH($A184,账户总表!$A:$A,0)),0)),0),0))</f>
        <v/>
      </c>
      <c r="AB184" s="15" t="str">
        <f aca="false">IF($A184="","",IF(AND(Z184="是",INDEX(账户总表!$U:$U,MATCH($A184,账户总表!$A:$A,0))="是"),IF(INDEX(账户总表!$L:$L,MATCH($A184,账户总表!$A:$A,0))&gt;=4,AA184*1.5,AA184),0))</f>
        <v/>
      </c>
      <c r="AC184" s="19" t="str">
        <f aca="false">IF($A184="","",IF(AND(L184="是",Q184&gt;=R184,S184&lt;=Q184,S184&gt;=R184,W184="是",X184&gt;0,M184="是",INDEX(账户总表!$M:$M,MATCH($A184,账户总表!$A:$A,0))&lt;=2,INDEX(账户总表!$V:$V,MATCH($A184,账户总表!$A:$A,0))="是",OR(T184&lt;=INDEX(账户总表!$C:$C,MATCH($A184,账户总表!$A:$A,0)),AND(Z184="是",INDEX(账户总表!$U:$U,MATCH($A184,账户总表!$A:$A,0))="是",AB184&gt;0))),"是","否"))</f>
        <v/>
      </c>
      <c r="AD184" s="19" t="str">
        <f aca="false">IF($A184="","",IF(L184&lt;&gt;"是","信号未确认",IF(X184&lt;=0,"止损价未定义",IF(Q184&lt;R184,"100股约束不满足",IF(S184&gt;Q184,"计划股数超单股上限",IF(S184&lt;R184,"计划股数低于最小门槛",IF(W184&lt;&gt;"是","总仓位超限",IF(M184&lt;&gt;"是","追价",IF(INDEX(账户总表!$M:$M,MATCH($A184,账户总表!$A:$A,0))&gt;2,"亏钱效应偏高",IF(INDEX(账户总表!$V:$V,MATCH($A184,账户总表!$A:$A,0))&lt;&gt;"是","账户不允许新开仓",IF(AND(T184&gt;INDEX(账户总表!$C:$C,MATCH($A184,账户总表!$A:$A,0)),INDEX(账户总表!$U:$U,MATCH($A184,账户总表!$A:$A,0))&lt;&gt;"是"),"现金不足且不允许转入",IF(AND(Z184="是",AB184&lt;=0),"转入金额未满足",""))))))))))))</f>
        <v/>
      </c>
      <c r="AE184" s="5"/>
    </row>
    <row r="185" customFormat="false" ht="15" hidden="false" customHeight="true" outlineLevel="0" collapsed="false">
      <c r="A185" s="7"/>
      <c r="B185" s="7"/>
      <c r="C185" s="7"/>
      <c r="D185" s="24"/>
      <c r="E185" s="24"/>
      <c r="F185" s="24"/>
      <c r="G185" s="26"/>
      <c r="H185" s="7"/>
      <c r="I185" s="7"/>
      <c r="J185" s="12"/>
      <c r="K185" s="19" t="str">
        <f aca="false">IF($A185="","",IF(AND(G185&lt;45%,H185&gt;=0.9),"A",IF(AND(G185&lt;60%,H185&gt;0.8),"B","C")))</f>
        <v/>
      </c>
      <c r="L185" s="4" t="str">
        <f aca="false">IF($A185="","",IF(AND(G185&lt;60%,H185&gt;0.8,I185="True"),"是","否"))</f>
        <v/>
      </c>
      <c r="M185" s="19" t="str">
        <f aca="false">IF($A185="","",IF(AND(D185&gt;0,E185&gt;0,D185&lt;=E185*1.02),"是","否"))</f>
        <v/>
      </c>
      <c r="N185" s="16" t="n">
        <f aca="false">IFERROR(INDEX(账户总表!$O:$O,MATCH($A185,账户总表!$A:$A,0)),0)</f>
        <v>0</v>
      </c>
      <c r="O185" s="15" t="n">
        <f aca="false">IFERROR(INDEX(账户总表!$B:$B,MATCH($A185,账户总表!$A:$A,0))*N185,0)</f>
        <v>0</v>
      </c>
      <c r="P185" s="18" t="n">
        <f aca="false">IFERROR(O185/D185,0)</f>
        <v>0</v>
      </c>
      <c r="Q185" s="18" t="n">
        <f aca="false">IFERROR(FLOOR(P185,100),0)</f>
        <v>0</v>
      </c>
      <c r="R185" s="18" t="n">
        <f aca="false">IFERROR(CEILING(800/(100*D185),1)*100,0)</f>
        <v>0</v>
      </c>
      <c r="S185" s="25"/>
      <c r="T185" s="15" t="n">
        <f aca="false">IFERROR(S185*D185,0)</f>
        <v>0</v>
      </c>
      <c r="U185" s="16" t="n">
        <f aca="false">IFERROR(T185/INDEX(账户总表!$B:$B,MATCH($A185,账户总表!$A:$A,0)),0)</f>
        <v>0</v>
      </c>
      <c r="V185" s="16" t="n">
        <f aca="false">IFERROR(INDEX(账户总表!$E:$E,MATCH($A185,账户总表!$A:$A,0))+U185,0)</f>
        <v>0</v>
      </c>
      <c r="W185" s="19" t="str">
        <f aca="false">IF($A185="","",IFERROR(IF(V185&lt;=INDEX(账户总表!$N:$N,MATCH($A185,账户总表!$A:$A,0)),"是","否"),"否"))</f>
        <v/>
      </c>
      <c r="X185" s="15" t="str">
        <f aca="false">IF($A185="","",MAX(F185*0.98,D185*0.92))</f>
        <v/>
      </c>
      <c r="Y185" s="7"/>
      <c r="Z185" s="19" t="str">
        <f aca="false">IF($A185="","",IFERROR(IF(AND(T185&gt;INDEX(账户总表!$C:$C,MATCH($A185,账户总表!$A:$A,0)),L185="是"),"是","否"),"否"))</f>
        <v/>
      </c>
      <c r="AA185" s="15" t="str">
        <f aca="false">IF($A185="","",IFERROR(IF(Z185="是",MAX(0,T185-INDEX(账户总表!$C:$C,MATCH($A185,账户总表!$A:$A,0)),IF(N185&gt;0,T185/N185-INDEX(账户总表!$B:$B,MATCH($A185,账户总表!$A:$A,0)),0)),0),0))</f>
        <v/>
      </c>
      <c r="AB185" s="15" t="str">
        <f aca="false">IF($A185="","",IF(AND(Z185="是",INDEX(账户总表!$U:$U,MATCH($A185,账户总表!$A:$A,0))="是"),IF(INDEX(账户总表!$L:$L,MATCH($A185,账户总表!$A:$A,0))&gt;=4,AA185*1.5,AA185),0))</f>
        <v/>
      </c>
      <c r="AC185" s="19" t="str">
        <f aca="false">IF($A185="","",IF(AND(L185="是",Q185&gt;=R185,S185&lt;=Q185,S185&gt;=R185,W185="是",X185&gt;0,M185="是",INDEX(账户总表!$M:$M,MATCH($A185,账户总表!$A:$A,0))&lt;=2,INDEX(账户总表!$V:$V,MATCH($A185,账户总表!$A:$A,0))="是",OR(T185&lt;=INDEX(账户总表!$C:$C,MATCH($A185,账户总表!$A:$A,0)),AND(Z185="是",INDEX(账户总表!$U:$U,MATCH($A185,账户总表!$A:$A,0))="是",AB185&gt;0))),"是","否"))</f>
        <v/>
      </c>
      <c r="AD185" s="19" t="str">
        <f aca="false">IF($A185="","",IF(L185&lt;&gt;"是","信号未确认",IF(X185&lt;=0,"止损价未定义",IF(Q185&lt;R185,"100股约束不满足",IF(S185&gt;Q185,"计划股数超单股上限",IF(S185&lt;R185,"计划股数低于最小门槛",IF(W185&lt;&gt;"是","总仓位超限",IF(M185&lt;&gt;"是","追价",IF(INDEX(账户总表!$M:$M,MATCH($A185,账户总表!$A:$A,0))&gt;2,"亏钱效应偏高",IF(INDEX(账户总表!$V:$V,MATCH($A185,账户总表!$A:$A,0))&lt;&gt;"是","账户不允许新开仓",IF(AND(T185&gt;INDEX(账户总表!$C:$C,MATCH($A185,账户总表!$A:$A,0)),INDEX(账户总表!$U:$U,MATCH($A185,账户总表!$A:$A,0))&lt;&gt;"是"),"现金不足且不允许转入",IF(AND(Z185="是",AB185&lt;=0),"转入金额未满足",""))))))))))))</f>
        <v/>
      </c>
      <c r="AE185" s="7"/>
    </row>
    <row r="186" customFormat="false" ht="15" hidden="false" customHeight="true" outlineLevel="0" collapsed="false">
      <c r="A186" s="5"/>
      <c r="B186" s="5"/>
      <c r="C186" s="5"/>
      <c r="D186" s="14"/>
      <c r="E186" s="14"/>
      <c r="F186" s="14"/>
      <c r="G186" s="20"/>
      <c r="H186" s="5"/>
      <c r="I186" s="5"/>
      <c r="J186" s="11"/>
      <c r="K186" s="19" t="str">
        <f aca="false">IF($A186="","",IF(AND(G186&lt;45%,H186&gt;=0.9),"A",IF(AND(G186&lt;60%,H186&gt;0.8),"B","C")))</f>
        <v/>
      </c>
      <c r="L186" s="4" t="str">
        <f aca="false">IF($A186="","",IF(AND(G186&lt;60%,H186&gt;0.8,I186="True"),"是","否"))</f>
        <v/>
      </c>
      <c r="M186" s="19" t="str">
        <f aca="false">IF($A186="","",IF(AND(D186&gt;0,E186&gt;0,D186&lt;=E186*1.02),"是","否"))</f>
        <v/>
      </c>
      <c r="N186" s="16" t="n">
        <f aca="false">IFERROR(INDEX(账户总表!$O:$O,MATCH($A186,账户总表!$A:$A,0)),0)</f>
        <v>0</v>
      </c>
      <c r="O186" s="15" t="n">
        <f aca="false">IFERROR(INDEX(账户总表!$B:$B,MATCH($A186,账户总表!$A:$A,0))*N186,0)</f>
        <v>0</v>
      </c>
      <c r="P186" s="18" t="n">
        <f aca="false">IFERROR(O186/D186,0)</f>
        <v>0</v>
      </c>
      <c r="Q186" s="18" t="n">
        <f aca="false">IFERROR(FLOOR(P186,100),0)</f>
        <v>0</v>
      </c>
      <c r="R186" s="18" t="n">
        <f aca="false">IFERROR(CEILING(800/(100*D186),1)*100,0)</f>
        <v>0</v>
      </c>
      <c r="S186" s="17"/>
      <c r="T186" s="15" t="n">
        <f aca="false">IFERROR(S186*D186,0)</f>
        <v>0</v>
      </c>
      <c r="U186" s="16" t="n">
        <f aca="false">IFERROR(T186/INDEX(账户总表!$B:$B,MATCH($A186,账户总表!$A:$A,0)),0)</f>
        <v>0</v>
      </c>
      <c r="V186" s="16" t="n">
        <f aca="false">IFERROR(INDEX(账户总表!$E:$E,MATCH($A186,账户总表!$A:$A,0))+U186,0)</f>
        <v>0</v>
      </c>
      <c r="W186" s="19" t="str">
        <f aca="false">IF($A186="","",IFERROR(IF(V186&lt;=INDEX(账户总表!$N:$N,MATCH($A186,账户总表!$A:$A,0)),"是","否"),"否"))</f>
        <v/>
      </c>
      <c r="X186" s="15" t="str">
        <f aca="false">IF($A186="","",MAX(F186*0.98,D186*0.92))</f>
        <v/>
      </c>
      <c r="Y186" s="5"/>
      <c r="Z186" s="19" t="str">
        <f aca="false">IF($A186="","",IFERROR(IF(AND(T186&gt;INDEX(账户总表!$C:$C,MATCH($A186,账户总表!$A:$A,0)),L186="是"),"是","否"),"否"))</f>
        <v/>
      </c>
      <c r="AA186" s="15" t="str">
        <f aca="false">IF($A186="","",IFERROR(IF(Z186="是",MAX(0,T186-INDEX(账户总表!$C:$C,MATCH($A186,账户总表!$A:$A,0)),IF(N186&gt;0,T186/N186-INDEX(账户总表!$B:$B,MATCH($A186,账户总表!$A:$A,0)),0)),0),0))</f>
        <v/>
      </c>
      <c r="AB186" s="15" t="str">
        <f aca="false">IF($A186="","",IF(AND(Z186="是",INDEX(账户总表!$U:$U,MATCH($A186,账户总表!$A:$A,0))="是"),IF(INDEX(账户总表!$L:$L,MATCH($A186,账户总表!$A:$A,0))&gt;=4,AA186*1.5,AA186),0))</f>
        <v/>
      </c>
      <c r="AC186" s="19" t="str">
        <f aca="false">IF($A186="","",IF(AND(L186="是",Q186&gt;=R186,S186&lt;=Q186,S186&gt;=R186,W186="是",X186&gt;0,M186="是",INDEX(账户总表!$M:$M,MATCH($A186,账户总表!$A:$A,0))&lt;=2,INDEX(账户总表!$V:$V,MATCH($A186,账户总表!$A:$A,0))="是",OR(T186&lt;=INDEX(账户总表!$C:$C,MATCH($A186,账户总表!$A:$A,0)),AND(Z186="是",INDEX(账户总表!$U:$U,MATCH($A186,账户总表!$A:$A,0))="是",AB186&gt;0))),"是","否"))</f>
        <v/>
      </c>
      <c r="AD186" s="19" t="str">
        <f aca="false">IF($A186="","",IF(L186&lt;&gt;"是","信号未确认",IF(X186&lt;=0,"止损价未定义",IF(Q186&lt;R186,"100股约束不满足",IF(S186&gt;Q186,"计划股数超单股上限",IF(S186&lt;R186,"计划股数低于最小门槛",IF(W186&lt;&gt;"是","总仓位超限",IF(M186&lt;&gt;"是","追价",IF(INDEX(账户总表!$M:$M,MATCH($A186,账户总表!$A:$A,0))&gt;2,"亏钱效应偏高",IF(INDEX(账户总表!$V:$V,MATCH($A186,账户总表!$A:$A,0))&lt;&gt;"是","账户不允许新开仓",IF(AND(T186&gt;INDEX(账户总表!$C:$C,MATCH($A186,账户总表!$A:$A,0)),INDEX(账户总表!$U:$U,MATCH($A186,账户总表!$A:$A,0))&lt;&gt;"是"),"现金不足且不允许转入",IF(AND(Z186="是",AB186&lt;=0),"转入金额未满足",""))))))))))))</f>
        <v/>
      </c>
      <c r="AE186" s="5"/>
    </row>
    <row r="187" customFormat="false" ht="15" hidden="false" customHeight="true" outlineLevel="0" collapsed="false">
      <c r="A187" s="7"/>
      <c r="B187" s="7"/>
      <c r="C187" s="7"/>
      <c r="D187" s="24"/>
      <c r="E187" s="24"/>
      <c r="F187" s="24"/>
      <c r="G187" s="26"/>
      <c r="H187" s="7"/>
      <c r="I187" s="7"/>
      <c r="J187" s="12"/>
      <c r="K187" s="19" t="str">
        <f aca="false">IF($A187="","",IF(AND(G187&lt;45%,H187&gt;=0.9),"A",IF(AND(G187&lt;60%,H187&gt;0.8),"B","C")))</f>
        <v/>
      </c>
      <c r="L187" s="4" t="str">
        <f aca="false">IF($A187="","",IF(AND(G187&lt;60%,H187&gt;0.8,I187="True"),"是","否"))</f>
        <v/>
      </c>
      <c r="M187" s="19" t="str">
        <f aca="false">IF($A187="","",IF(AND(D187&gt;0,E187&gt;0,D187&lt;=E187*1.02),"是","否"))</f>
        <v/>
      </c>
      <c r="N187" s="16" t="n">
        <f aca="false">IFERROR(INDEX(账户总表!$O:$O,MATCH($A187,账户总表!$A:$A,0)),0)</f>
        <v>0</v>
      </c>
      <c r="O187" s="15" t="n">
        <f aca="false">IFERROR(INDEX(账户总表!$B:$B,MATCH($A187,账户总表!$A:$A,0))*N187,0)</f>
        <v>0</v>
      </c>
      <c r="P187" s="18" t="n">
        <f aca="false">IFERROR(O187/D187,0)</f>
        <v>0</v>
      </c>
      <c r="Q187" s="18" t="n">
        <f aca="false">IFERROR(FLOOR(P187,100),0)</f>
        <v>0</v>
      </c>
      <c r="R187" s="18" t="n">
        <f aca="false">IFERROR(CEILING(800/(100*D187),1)*100,0)</f>
        <v>0</v>
      </c>
      <c r="S187" s="25"/>
      <c r="T187" s="15" t="n">
        <f aca="false">IFERROR(S187*D187,0)</f>
        <v>0</v>
      </c>
      <c r="U187" s="16" t="n">
        <f aca="false">IFERROR(T187/INDEX(账户总表!$B:$B,MATCH($A187,账户总表!$A:$A,0)),0)</f>
        <v>0</v>
      </c>
      <c r="V187" s="16" t="n">
        <f aca="false">IFERROR(INDEX(账户总表!$E:$E,MATCH($A187,账户总表!$A:$A,0))+U187,0)</f>
        <v>0</v>
      </c>
      <c r="W187" s="19" t="str">
        <f aca="false">IF($A187="","",IFERROR(IF(V187&lt;=INDEX(账户总表!$N:$N,MATCH($A187,账户总表!$A:$A,0)),"是","否"),"否"))</f>
        <v/>
      </c>
      <c r="X187" s="15" t="str">
        <f aca="false">IF($A187="","",MAX(F187*0.98,D187*0.92))</f>
        <v/>
      </c>
      <c r="Y187" s="7"/>
      <c r="Z187" s="19" t="str">
        <f aca="false">IF($A187="","",IFERROR(IF(AND(T187&gt;INDEX(账户总表!$C:$C,MATCH($A187,账户总表!$A:$A,0)),L187="是"),"是","否"),"否"))</f>
        <v/>
      </c>
      <c r="AA187" s="15" t="str">
        <f aca="false">IF($A187="","",IFERROR(IF(Z187="是",MAX(0,T187-INDEX(账户总表!$C:$C,MATCH($A187,账户总表!$A:$A,0)),IF(N187&gt;0,T187/N187-INDEX(账户总表!$B:$B,MATCH($A187,账户总表!$A:$A,0)),0)),0),0))</f>
        <v/>
      </c>
      <c r="AB187" s="15" t="str">
        <f aca="false">IF($A187="","",IF(AND(Z187="是",INDEX(账户总表!$U:$U,MATCH($A187,账户总表!$A:$A,0))="是"),IF(INDEX(账户总表!$L:$L,MATCH($A187,账户总表!$A:$A,0))&gt;=4,AA187*1.5,AA187),0))</f>
        <v/>
      </c>
      <c r="AC187" s="19" t="str">
        <f aca="false">IF($A187="","",IF(AND(L187="是",Q187&gt;=R187,S187&lt;=Q187,S187&gt;=R187,W187="是",X187&gt;0,M187="是",INDEX(账户总表!$M:$M,MATCH($A187,账户总表!$A:$A,0))&lt;=2,INDEX(账户总表!$V:$V,MATCH($A187,账户总表!$A:$A,0))="是",OR(T187&lt;=INDEX(账户总表!$C:$C,MATCH($A187,账户总表!$A:$A,0)),AND(Z187="是",INDEX(账户总表!$U:$U,MATCH($A187,账户总表!$A:$A,0))="是",AB187&gt;0))),"是","否"))</f>
        <v/>
      </c>
      <c r="AD187" s="19" t="str">
        <f aca="false">IF($A187="","",IF(L187&lt;&gt;"是","信号未确认",IF(X187&lt;=0,"止损价未定义",IF(Q187&lt;R187,"100股约束不满足",IF(S187&gt;Q187,"计划股数超单股上限",IF(S187&lt;R187,"计划股数低于最小门槛",IF(W187&lt;&gt;"是","总仓位超限",IF(M187&lt;&gt;"是","追价",IF(INDEX(账户总表!$M:$M,MATCH($A187,账户总表!$A:$A,0))&gt;2,"亏钱效应偏高",IF(INDEX(账户总表!$V:$V,MATCH($A187,账户总表!$A:$A,0))&lt;&gt;"是","账户不允许新开仓",IF(AND(T187&gt;INDEX(账户总表!$C:$C,MATCH($A187,账户总表!$A:$A,0)),INDEX(账户总表!$U:$U,MATCH($A187,账户总表!$A:$A,0))&lt;&gt;"是"),"现金不足且不允许转入",IF(AND(Z187="是",AB187&lt;=0),"转入金额未满足",""))))))))))))</f>
        <v/>
      </c>
      <c r="AE187" s="7"/>
    </row>
    <row r="188" customFormat="false" ht="15" hidden="false" customHeight="true" outlineLevel="0" collapsed="false">
      <c r="A188" s="5"/>
      <c r="B188" s="5"/>
      <c r="C188" s="5"/>
      <c r="D188" s="14"/>
      <c r="E188" s="14"/>
      <c r="F188" s="14"/>
      <c r="G188" s="20"/>
      <c r="H188" s="5"/>
      <c r="I188" s="5"/>
      <c r="J188" s="11"/>
      <c r="K188" s="19" t="str">
        <f aca="false">IF($A188="","",IF(AND(G188&lt;45%,H188&gt;=0.9),"A",IF(AND(G188&lt;60%,H188&gt;0.8),"B","C")))</f>
        <v/>
      </c>
      <c r="L188" s="4" t="str">
        <f aca="false">IF($A188="","",IF(AND(G188&lt;60%,H188&gt;0.8,I188="True"),"是","否"))</f>
        <v/>
      </c>
      <c r="M188" s="19" t="str">
        <f aca="false">IF($A188="","",IF(AND(D188&gt;0,E188&gt;0,D188&lt;=E188*1.02),"是","否"))</f>
        <v/>
      </c>
      <c r="N188" s="16" t="n">
        <f aca="false">IFERROR(INDEX(账户总表!$O:$O,MATCH($A188,账户总表!$A:$A,0)),0)</f>
        <v>0</v>
      </c>
      <c r="O188" s="15" t="n">
        <f aca="false">IFERROR(INDEX(账户总表!$B:$B,MATCH($A188,账户总表!$A:$A,0))*N188,0)</f>
        <v>0</v>
      </c>
      <c r="P188" s="18" t="n">
        <f aca="false">IFERROR(O188/D188,0)</f>
        <v>0</v>
      </c>
      <c r="Q188" s="18" t="n">
        <f aca="false">IFERROR(FLOOR(P188,100),0)</f>
        <v>0</v>
      </c>
      <c r="R188" s="18" t="n">
        <f aca="false">IFERROR(CEILING(800/(100*D188),1)*100,0)</f>
        <v>0</v>
      </c>
      <c r="S188" s="17"/>
      <c r="T188" s="15" t="n">
        <f aca="false">IFERROR(S188*D188,0)</f>
        <v>0</v>
      </c>
      <c r="U188" s="16" t="n">
        <f aca="false">IFERROR(T188/INDEX(账户总表!$B:$B,MATCH($A188,账户总表!$A:$A,0)),0)</f>
        <v>0</v>
      </c>
      <c r="V188" s="16" t="n">
        <f aca="false">IFERROR(INDEX(账户总表!$E:$E,MATCH($A188,账户总表!$A:$A,0))+U188,0)</f>
        <v>0</v>
      </c>
      <c r="W188" s="19" t="str">
        <f aca="false">IF($A188="","",IFERROR(IF(V188&lt;=INDEX(账户总表!$N:$N,MATCH($A188,账户总表!$A:$A,0)),"是","否"),"否"))</f>
        <v/>
      </c>
      <c r="X188" s="15" t="str">
        <f aca="false">IF($A188="","",MAX(F188*0.98,D188*0.92))</f>
        <v/>
      </c>
      <c r="Y188" s="5"/>
      <c r="Z188" s="19" t="str">
        <f aca="false">IF($A188="","",IFERROR(IF(AND(T188&gt;INDEX(账户总表!$C:$C,MATCH($A188,账户总表!$A:$A,0)),L188="是"),"是","否"),"否"))</f>
        <v/>
      </c>
      <c r="AA188" s="15" t="str">
        <f aca="false">IF($A188="","",IFERROR(IF(Z188="是",MAX(0,T188-INDEX(账户总表!$C:$C,MATCH($A188,账户总表!$A:$A,0)),IF(N188&gt;0,T188/N188-INDEX(账户总表!$B:$B,MATCH($A188,账户总表!$A:$A,0)),0)),0),0))</f>
        <v/>
      </c>
      <c r="AB188" s="15" t="str">
        <f aca="false">IF($A188="","",IF(AND(Z188="是",INDEX(账户总表!$U:$U,MATCH($A188,账户总表!$A:$A,0))="是"),IF(INDEX(账户总表!$L:$L,MATCH($A188,账户总表!$A:$A,0))&gt;=4,AA188*1.5,AA188),0))</f>
        <v/>
      </c>
      <c r="AC188" s="19" t="str">
        <f aca="false">IF($A188="","",IF(AND(L188="是",Q188&gt;=R188,S188&lt;=Q188,S188&gt;=R188,W188="是",X188&gt;0,M188="是",INDEX(账户总表!$M:$M,MATCH($A188,账户总表!$A:$A,0))&lt;=2,INDEX(账户总表!$V:$V,MATCH($A188,账户总表!$A:$A,0))="是",OR(T188&lt;=INDEX(账户总表!$C:$C,MATCH($A188,账户总表!$A:$A,0)),AND(Z188="是",INDEX(账户总表!$U:$U,MATCH($A188,账户总表!$A:$A,0))="是",AB188&gt;0))),"是","否"))</f>
        <v/>
      </c>
      <c r="AD188" s="19" t="str">
        <f aca="false">IF($A188="","",IF(L188&lt;&gt;"是","信号未确认",IF(X188&lt;=0,"止损价未定义",IF(Q188&lt;R188,"100股约束不满足",IF(S188&gt;Q188,"计划股数超单股上限",IF(S188&lt;R188,"计划股数低于最小门槛",IF(W188&lt;&gt;"是","总仓位超限",IF(M188&lt;&gt;"是","追价",IF(INDEX(账户总表!$M:$M,MATCH($A188,账户总表!$A:$A,0))&gt;2,"亏钱效应偏高",IF(INDEX(账户总表!$V:$V,MATCH($A188,账户总表!$A:$A,0))&lt;&gt;"是","账户不允许新开仓",IF(AND(T188&gt;INDEX(账户总表!$C:$C,MATCH($A188,账户总表!$A:$A,0)),INDEX(账户总表!$U:$U,MATCH($A188,账户总表!$A:$A,0))&lt;&gt;"是"),"现金不足且不允许转入",IF(AND(Z188="是",AB188&lt;=0),"转入金额未满足",""))))))))))))</f>
        <v/>
      </c>
      <c r="AE188" s="5"/>
    </row>
    <row r="189" customFormat="false" ht="15" hidden="false" customHeight="true" outlineLevel="0" collapsed="false">
      <c r="A189" s="7"/>
      <c r="B189" s="7"/>
      <c r="C189" s="7"/>
      <c r="D189" s="24"/>
      <c r="E189" s="24"/>
      <c r="F189" s="24"/>
      <c r="G189" s="26"/>
      <c r="H189" s="7"/>
      <c r="I189" s="7"/>
      <c r="J189" s="12"/>
      <c r="K189" s="19" t="str">
        <f aca="false">IF($A189="","",IF(AND(G189&lt;45%,H189&gt;=0.9),"A",IF(AND(G189&lt;60%,H189&gt;0.8),"B","C")))</f>
        <v/>
      </c>
      <c r="L189" s="4" t="str">
        <f aca="false">IF($A189="","",IF(AND(G189&lt;60%,H189&gt;0.8,I189="True"),"是","否"))</f>
        <v/>
      </c>
      <c r="M189" s="19" t="str">
        <f aca="false">IF($A189="","",IF(AND(D189&gt;0,E189&gt;0,D189&lt;=E189*1.02),"是","否"))</f>
        <v/>
      </c>
      <c r="N189" s="16" t="n">
        <f aca="false">IFERROR(INDEX(账户总表!$O:$O,MATCH($A189,账户总表!$A:$A,0)),0)</f>
        <v>0</v>
      </c>
      <c r="O189" s="15" t="n">
        <f aca="false">IFERROR(INDEX(账户总表!$B:$B,MATCH($A189,账户总表!$A:$A,0))*N189,0)</f>
        <v>0</v>
      </c>
      <c r="P189" s="18" t="n">
        <f aca="false">IFERROR(O189/D189,0)</f>
        <v>0</v>
      </c>
      <c r="Q189" s="18" t="n">
        <f aca="false">IFERROR(FLOOR(P189,100),0)</f>
        <v>0</v>
      </c>
      <c r="R189" s="18" t="n">
        <f aca="false">IFERROR(CEILING(800/(100*D189),1)*100,0)</f>
        <v>0</v>
      </c>
      <c r="S189" s="25"/>
      <c r="T189" s="15" t="n">
        <f aca="false">IFERROR(S189*D189,0)</f>
        <v>0</v>
      </c>
      <c r="U189" s="16" t="n">
        <f aca="false">IFERROR(T189/INDEX(账户总表!$B:$B,MATCH($A189,账户总表!$A:$A,0)),0)</f>
        <v>0</v>
      </c>
      <c r="V189" s="16" t="n">
        <f aca="false">IFERROR(INDEX(账户总表!$E:$E,MATCH($A189,账户总表!$A:$A,0))+U189,0)</f>
        <v>0</v>
      </c>
      <c r="W189" s="19" t="str">
        <f aca="false">IF($A189="","",IFERROR(IF(V189&lt;=INDEX(账户总表!$N:$N,MATCH($A189,账户总表!$A:$A,0)),"是","否"),"否"))</f>
        <v/>
      </c>
      <c r="X189" s="15" t="str">
        <f aca="false">IF($A189="","",MAX(F189*0.98,D189*0.92))</f>
        <v/>
      </c>
      <c r="Y189" s="7"/>
      <c r="Z189" s="19" t="str">
        <f aca="false">IF($A189="","",IFERROR(IF(AND(T189&gt;INDEX(账户总表!$C:$C,MATCH($A189,账户总表!$A:$A,0)),L189="是"),"是","否"),"否"))</f>
        <v/>
      </c>
      <c r="AA189" s="15" t="str">
        <f aca="false">IF($A189="","",IFERROR(IF(Z189="是",MAX(0,T189-INDEX(账户总表!$C:$C,MATCH($A189,账户总表!$A:$A,0)),IF(N189&gt;0,T189/N189-INDEX(账户总表!$B:$B,MATCH($A189,账户总表!$A:$A,0)),0)),0),0))</f>
        <v/>
      </c>
      <c r="AB189" s="15" t="str">
        <f aca="false">IF($A189="","",IF(AND(Z189="是",INDEX(账户总表!$U:$U,MATCH($A189,账户总表!$A:$A,0))="是"),IF(INDEX(账户总表!$L:$L,MATCH($A189,账户总表!$A:$A,0))&gt;=4,AA189*1.5,AA189),0))</f>
        <v/>
      </c>
      <c r="AC189" s="19" t="str">
        <f aca="false">IF($A189="","",IF(AND(L189="是",Q189&gt;=R189,S189&lt;=Q189,S189&gt;=R189,W189="是",X189&gt;0,M189="是",INDEX(账户总表!$M:$M,MATCH($A189,账户总表!$A:$A,0))&lt;=2,INDEX(账户总表!$V:$V,MATCH($A189,账户总表!$A:$A,0))="是",OR(T189&lt;=INDEX(账户总表!$C:$C,MATCH($A189,账户总表!$A:$A,0)),AND(Z189="是",INDEX(账户总表!$U:$U,MATCH($A189,账户总表!$A:$A,0))="是",AB189&gt;0))),"是","否"))</f>
        <v/>
      </c>
      <c r="AD189" s="19" t="str">
        <f aca="false">IF($A189="","",IF(L189&lt;&gt;"是","信号未确认",IF(X189&lt;=0,"止损价未定义",IF(Q189&lt;R189,"100股约束不满足",IF(S189&gt;Q189,"计划股数超单股上限",IF(S189&lt;R189,"计划股数低于最小门槛",IF(W189&lt;&gt;"是","总仓位超限",IF(M189&lt;&gt;"是","追价",IF(INDEX(账户总表!$M:$M,MATCH($A189,账户总表!$A:$A,0))&gt;2,"亏钱效应偏高",IF(INDEX(账户总表!$V:$V,MATCH($A189,账户总表!$A:$A,0))&lt;&gt;"是","账户不允许新开仓",IF(AND(T189&gt;INDEX(账户总表!$C:$C,MATCH($A189,账户总表!$A:$A,0)),INDEX(账户总表!$U:$U,MATCH($A189,账户总表!$A:$A,0))&lt;&gt;"是"),"现金不足且不允许转入",IF(AND(Z189="是",AB189&lt;=0),"转入金额未满足",""))))))))))))</f>
        <v/>
      </c>
      <c r="AE189" s="7"/>
    </row>
    <row r="190" customFormat="false" ht="15" hidden="false" customHeight="true" outlineLevel="0" collapsed="false">
      <c r="A190" s="5"/>
      <c r="B190" s="5"/>
      <c r="C190" s="5"/>
      <c r="D190" s="14"/>
      <c r="E190" s="14"/>
      <c r="F190" s="14"/>
      <c r="G190" s="20"/>
      <c r="H190" s="5"/>
      <c r="I190" s="5"/>
      <c r="J190" s="11"/>
      <c r="K190" s="19" t="str">
        <f aca="false">IF($A190="","",IF(AND(G190&lt;45%,H190&gt;=0.9),"A",IF(AND(G190&lt;60%,H190&gt;0.8),"B","C")))</f>
        <v/>
      </c>
      <c r="L190" s="4" t="str">
        <f aca="false">IF($A190="","",IF(AND(G190&lt;60%,H190&gt;0.8,I190="True"),"是","否"))</f>
        <v/>
      </c>
      <c r="M190" s="19" t="str">
        <f aca="false">IF($A190="","",IF(AND(D190&gt;0,E190&gt;0,D190&lt;=E190*1.02),"是","否"))</f>
        <v/>
      </c>
      <c r="N190" s="16" t="n">
        <f aca="false">IFERROR(INDEX(账户总表!$O:$O,MATCH($A190,账户总表!$A:$A,0)),0)</f>
        <v>0</v>
      </c>
      <c r="O190" s="15" t="n">
        <f aca="false">IFERROR(INDEX(账户总表!$B:$B,MATCH($A190,账户总表!$A:$A,0))*N190,0)</f>
        <v>0</v>
      </c>
      <c r="P190" s="18" t="n">
        <f aca="false">IFERROR(O190/D190,0)</f>
        <v>0</v>
      </c>
      <c r="Q190" s="18" t="n">
        <f aca="false">IFERROR(FLOOR(P190,100),0)</f>
        <v>0</v>
      </c>
      <c r="R190" s="18" t="n">
        <f aca="false">IFERROR(CEILING(800/(100*D190),1)*100,0)</f>
        <v>0</v>
      </c>
      <c r="S190" s="17"/>
      <c r="T190" s="15" t="n">
        <f aca="false">IFERROR(S190*D190,0)</f>
        <v>0</v>
      </c>
      <c r="U190" s="16" t="n">
        <f aca="false">IFERROR(T190/INDEX(账户总表!$B:$B,MATCH($A190,账户总表!$A:$A,0)),0)</f>
        <v>0</v>
      </c>
      <c r="V190" s="16" t="n">
        <f aca="false">IFERROR(INDEX(账户总表!$E:$E,MATCH($A190,账户总表!$A:$A,0))+U190,0)</f>
        <v>0</v>
      </c>
      <c r="W190" s="19" t="str">
        <f aca="false">IF($A190="","",IFERROR(IF(V190&lt;=INDEX(账户总表!$N:$N,MATCH($A190,账户总表!$A:$A,0)),"是","否"),"否"))</f>
        <v/>
      </c>
      <c r="X190" s="15" t="str">
        <f aca="false">IF($A190="","",MAX(F190*0.98,D190*0.92))</f>
        <v/>
      </c>
      <c r="Y190" s="5"/>
      <c r="Z190" s="19" t="str">
        <f aca="false">IF($A190="","",IFERROR(IF(AND(T190&gt;INDEX(账户总表!$C:$C,MATCH($A190,账户总表!$A:$A,0)),L190="是"),"是","否"),"否"))</f>
        <v/>
      </c>
      <c r="AA190" s="15" t="str">
        <f aca="false">IF($A190="","",IFERROR(IF(Z190="是",MAX(0,T190-INDEX(账户总表!$C:$C,MATCH($A190,账户总表!$A:$A,0)),IF(N190&gt;0,T190/N190-INDEX(账户总表!$B:$B,MATCH($A190,账户总表!$A:$A,0)),0)),0),0))</f>
        <v/>
      </c>
      <c r="AB190" s="15" t="str">
        <f aca="false">IF($A190="","",IF(AND(Z190="是",INDEX(账户总表!$U:$U,MATCH($A190,账户总表!$A:$A,0))="是"),IF(INDEX(账户总表!$L:$L,MATCH($A190,账户总表!$A:$A,0))&gt;=4,AA190*1.5,AA190),0))</f>
        <v/>
      </c>
      <c r="AC190" s="19" t="str">
        <f aca="false">IF($A190="","",IF(AND(L190="是",Q190&gt;=R190,S190&lt;=Q190,S190&gt;=R190,W190="是",X190&gt;0,M190="是",INDEX(账户总表!$M:$M,MATCH($A190,账户总表!$A:$A,0))&lt;=2,INDEX(账户总表!$V:$V,MATCH($A190,账户总表!$A:$A,0))="是",OR(T190&lt;=INDEX(账户总表!$C:$C,MATCH($A190,账户总表!$A:$A,0)),AND(Z190="是",INDEX(账户总表!$U:$U,MATCH($A190,账户总表!$A:$A,0))="是",AB190&gt;0))),"是","否"))</f>
        <v/>
      </c>
      <c r="AD190" s="19" t="str">
        <f aca="false">IF($A190="","",IF(L190&lt;&gt;"是","信号未确认",IF(X190&lt;=0,"止损价未定义",IF(Q190&lt;R190,"100股约束不满足",IF(S190&gt;Q190,"计划股数超单股上限",IF(S190&lt;R190,"计划股数低于最小门槛",IF(W190&lt;&gt;"是","总仓位超限",IF(M190&lt;&gt;"是","追价",IF(INDEX(账户总表!$M:$M,MATCH($A190,账户总表!$A:$A,0))&gt;2,"亏钱效应偏高",IF(INDEX(账户总表!$V:$V,MATCH($A190,账户总表!$A:$A,0))&lt;&gt;"是","账户不允许新开仓",IF(AND(T190&gt;INDEX(账户总表!$C:$C,MATCH($A190,账户总表!$A:$A,0)),INDEX(账户总表!$U:$U,MATCH($A190,账户总表!$A:$A,0))&lt;&gt;"是"),"现金不足且不允许转入",IF(AND(Z190="是",AB190&lt;=0),"转入金额未满足",""))))))))))))</f>
        <v/>
      </c>
      <c r="AE190" s="5"/>
    </row>
    <row r="191" customFormat="false" ht="15" hidden="false" customHeight="true" outlineLevel="0" collapsed="false">
      <c r="A191" s="7"/>
      <c r="B191" s="7"/>
      <c r="C191" s="7"/>
      <c r="D191" s="24"/>
      <c r="E191" s="24"/>
      <c r="F191" s="24"/>
      <c r="G191" s="26"/>
      <c r="H191" s="7"/>
      <c r="I191" s="7"/>
      <c r="J191" s="12"/>
      <c r="K191" s="19" t="str">
        <f aca="false">IF($A191="","",IF(AND(G191&lt;45%,H191&gt;=0.9),"A",IF(AND(G191&lt;60%,H191&gt;0.8),"B","C")))</f>
        <v/>
      </c>
      <c r="L191" s="4" t="str">
        <f aca="false">IF($A191="","",IF(AND(G191&lt;60%,H191&gt;0.8,I191="True"),"是","否"))</f>
        <v/>
      </c>
      <c r="M191" s="19" t="str">
        <f aca="false">IF($A191="","",IF(AND(D191&gt;0,E191&gt;0,D191&lt;=E191*1.02),"是","否"))</f>
        <v/>
      </c>
      <c r="N191" s="16" t="n">
        <f aca="false">IFERROR(INDEX(账户总表!$O:$O,MATCH($A191,账户总表!$A:$A,0)),0)</f>
        <v>0</v>
      </c>
      <c r="O191" s="15" t="n">
        <f aca="false">IFERROR(INDEX(账户总表!$B:$B,MATCH($A191,账户总表!$A:$A,0))*N191,0)</f>
        <v>0</v>
      </c>
      <c r="P191" s="18" t="n">
        <f aca="false">IFERROR(O191/D191,0)</f>
        <v>0</v>
      </c>
      <c r="Q191" s="18" t="n">
        <f aca="false">IFERROR(FLOOR(P191,100),0)</f>
        <v>0</v>
      </c>
      <c r="R191" s="18" t="n">
        <f aca="false">IFERROR(CEILING(800/(100*D191),1)*100,0)</f>
        <v>0</v>
      </c>
      <c r="S191" s="25"/>
      <c r="T191" s="15" t="n">
        <f aca="false">IFERROR(S191*D191,0)</f>
        <v>0</v>
      </c>
      <c r="U191" s="16" t="n">
        <f aca="false">IFERROR(T191/INDEX(账户总表!$B:$B,MATCH($A191,账户总表!$A:$A,0)),0)</f>
        <v>0</v>
      </c>
      <c r="V191" s="16" t="n">
        <f aca="false">IFERROR(INDEX(账户总表!$E:$E,MATCH($A191,账户总表!$A:$A,0))+U191,0)</f>
        <v>0</v>
      </c>
      <c r="W191" s="19" t="str">
        <f aca="false">IF($A191="","",IFERROR(IF(V191&lt;=INDEX(账户总表!$N:$N,MATCH($A191,账户总表!$A:$A,0)),"是","否"),"否"))</f>
        <v/>
      </c>
      <c r="X191" s="15" t="str">
        <f aca="false">IF($A191="","",MAX(F191*0.98,D191*0.92))</f>
        <v/>
      </c>
      <c r="Y191" s="7"/>
      <c r="Z191" s="19" t="str">
        <f aca="false">IF($A191="","",IFERROR(IF(AND(T191&gt;INDEX(账户总表!$C:$C,MATCH($A191,账户总表!$A:$A,0)),L191="是"),"是","否"),"否"))</f>
        <v/>
      </c>
      <c r="AA191" s="15" t="str">
        <f aca="false">IF($A191="","",IFERROR(IF(Z191="是",MAX(0,T191-INDEX(账户总表!$C:$C,MATCH($A191,账户总表!$A:$A,0)),IF(N191&gt;0,T191/N191-INDEX(账户总表!$B:$B,MATCH($A191,账户总表!$A:$A,0)),0)),0),0))</f>
        <v/>
      </c>
      <c r="AB191" s="15" t="str">
        <f aca="false">IF($A191="","",IF(AND(Z191="是",INDEX(账户总表!$U:$U,MATCH($A191,账户总表!$A:$A,0))="是"),IF(INDEX(账户总表!$L:$L,MATCH($A191,账户总表!$A:$A,0))&gt;=4,AA191*1.5,AA191),0))</f>
        <v/>
      </c>
      <c r="AC191" s="19" t="str">
        <f aca="false">IF($A191="","",IF(AND(L191="是",Q191&gt;=R191,S191&lt;=Q191,S191&gt;=R191,W191="是",X191&gt;0,M191="是",INDEX(账户总表!$M:$M,MATCH($A191,账户总表!$A:$A,0))&lt;=2,INDEX(账户总表!$V:$V,MATCH($A191,账户总表!$A:$A,0))="是",OR(T191&lt;=INDEX(账户总表!$C:$C,MATCH($A191,账户总表!$A:$A,0)),AND(Z191="是",INDEX(账户总表!$U:$U,MATCH($A191,账户总表!$A:$A,0))="是",AB191&gt;0))),"是","否"))</f>
        <v/>
      </c>
      <c r="AD191" s="19" t="str">
        <f aca="false">IF($A191="","",IF(L191&lt;&gt;"是","信号未确认",IF(X191&lt;=0,"止损价未定义",IF(Q191&lt;R191,"100股约束不满足",IF(S191&gt;Q191,"计划股数超单股上限",IF(S191&lt;R191,"计划股数低于最小门槛",IF(W191&lt;&gt;"是","总仓位超限",IF(M191&lt;&gt;"是","追价",IF(INDEX(账户总表!$M:$M,MATCH($A191,账户总表!$A:$A,0))&gt;2,"亏钱效应偏高",IF(INDEX(账户总表!$V:$V,MATCH($A191,账户总表!$A:$A,0))&lt;&gt;"是","账户不允许新开仓",IF(AND(T191&gt;INDEX(账户总表!$C:$C,MATCH($A191,账户总表!$A:$A,0)),INDEX(账户总表!$U:$U,MATCH($A191,账户总表!$A:$A,0))&lt;&gt;"是"),"现金不足且不允许转入",IF(AND(Z191="是",AB191&lt;=0),"转入金额未满足",""))))))))))))</f>
        <v/>
      </c>
      <c r="AE191" s="7"/>
    </row>
    <row r="192" customFormat="false" ht="15" hidden="false" customHeight="true" outlineLevel="0" collapsed="false">
      <c r="A192" s="5"/>
      <c r="B192" s="5"/>
      <c r="C192" s="5"/>
      <c r="D192" s="14"/>
      <c r="E192" s="14"/>
      <c r="F192" s="14"/>
      <c r="G192" s="20"/>
      <c r="H192" s="5"/>
      <c r="I192" s="5"/>
      <c r="J192" s="11"/>
      <c r="K192" s="19" t="str">
        <f aca="false">IF($A192="","",IF(AND(G192&lt;45%,H192&gt;=0.9),"A",IF(AND(G192&lt;60%,H192&gt;0.8),"B","C")))</f>
        <v/>
      </c>
      <c r="L192" s="4" t="str">
        <f aca="false">IF($A192="","",IF(AND(G192&lt;60%,H192&gt;0.8,I192="True"),"是","否"))</f>
        <v/>
      </c>
      <c r="M192" s="19" t="str">
        <f aca="false">IF($A192="","",IF(AND(D192&gt;0,E192&gt;0,D192&lt;=E192*1.02),"是","否"))</f>
        <v/>
      </c>
      <c r="N192" s="16" t="n">
        <f aca="false">IFERROR(INDEX(账户总表!$O:$O,MATCH($A192,账户总表!$A:$A,0)),0)</f>
        <v>0</v>
      </c>
      <c r="O192" s="15" t="n">
        <f aca="false">IFERROR(INDEX(账户总表!$B:$B,MATCH($A192,账户总表!$A:$A,0))*N192,0)</f>
        <v>0</v>
      </c>
      <c r="P192" s="18" t="n">
        <f aca="false">IFERROR(O192/D192,0)</f>
        <v>0</v>
      </c>
      <c r="Q192" s="18" t="n">
        <f aca="false">IFERROR(FLOOR(P192,100),0)</f>
        <v>0</v>
      </c>
      <c r="R192" s="18" t="n">
        <f aca="false">IFERROR(CEILING(800/(100*D192),1)*100,0)</f>
        <v>0</v>
      </c>
      <c r="S192" s="17"/>
      <c r="T192" s="15" t="n">
        <f aca="false">IFERROR(S192*D192,0)</f>
        <v>0</v>
      </c>
      <c r="U192" s="16" t="n">
        <f aca="false">IFERROR(T192/INDEX(账户总表!$B:$B,MATCH($A192,账户总表!$A:$A,0)),0)</f>
        <v>0</v>
      </c>
      <c r="V192" s="16" t="n">
        <f aca="false">IFERROR(INDEX(账户总表!$E:$E,MATCH($A192,账户总表!$A:$A,0))+U192,0)</f>
        <v>0</v>
      </c>
      <c r="W192" s="19" t="str">
        <f aca="false">IF($A192="","",IFERROR(IF(V192&lt;=INDEX(账户总表!$N:$N,MATCH($A192,账户总表!$A:$A,0)),"是","否"),"否"))</f>
        <v/>
      </c>
      <c r="X192" s="15" t="str">
        <f aca="false">IF($A192="","",MAX(F192*0.98,D192*0.92))</f>
        <v/>
      </c>
      <c r="Y192" s="5"/>
      <c r="Z192" s="19" t="str">
        <f aca="false">IF($A192="","",IFERROR(IF(AND(T192&gt;INDEX(账户总表!$C:$C,MATCH($A192,账户总表!$A:$A,0)),L192="是"),"是","否"),"否"))</f>
        <v/>
      </c>
      <c r="AA192" s="15" t="str">
        <f aca="false">IF($A192="","",IFERROR(IF(Z192="是",MAX(0,T192-INDEX(账户总表!$C:$C,MATCH($A192,账户总表!$A:$A,0)),IF(N192&gt;0,T192/N192-INDEX(账户总表!$B:$B,MATCH($A192,账户总表!$A:$A,0)),0)),0),0))</f>
        <v/>
      </c>
      <c r="AB192" s="15" t="str">
        <f aca="false">IF($A192="","",IF(AND(Z192="是",INDEX(账户总表!$U:$U,MATCH($A192,账户总表!$A:$A,0))="是"),IF(INDEX(账户总表!$L:$L,MATCH($A192,账户总表!$A:$A,0))&gt;=4,AA192*1.5,AA192),0))</f>
        <v/>
      </c>
      <c r="AC192" s="19" t="str">
        <f aca="false">IF($A192="","",IF(AND(L192="是",Q192&gt;=R192,S192&lt;=Q192,S192&gt;=R192,W192="是",X192&gt;0,M192="是",INDEX(账户总表!$M:$M,MATCH($A192,账户总表!$A:$A,0))&lt;=2,INDEX(账户总表!$V:$V,MATCH($A192,账户总表!$A:$A,0))="是",OR(T192&lt;=INDEX(账户总表!$C:$C,MATCH($A192,账户总表!$A:$A,0)),AND(Z192="是",INDEX(账户总表!$U:$U,MATCH($A192,账户总表!$A:$A,0))="是",AB192&gt;0))),"是","否"))</f>
        <v/>
      </c>
      <c r="AD192" s="19" t="str">
        <f aca="false">IF($A192="","",IF(L192&lt;&gt;"是","信号未确认",IF(X192&lt;=0,"止损价未定义",IF(Q192&lt;R192,"100股约束不满足",IF(S192&gt;Q192,"计划股数超单股上限",IF(S192&lt;R192,"计划股数低于最小门槛",IF(W192&lt;&gt;"是","总仓位超限",IF(M192&lt;&gt;"是","追价",IF(INDEX(账户总表!$M:$M,MATCH($A192,账户总表!$A:$A,0))&gt;2,"亏钱效应偏高",IF(INDEX(账户总表!$V:$V,MATCH($A192,账户总表!$A:$A,0))&lt;&gt;"是","账户不允许新开仓",IF(AND(T192&gt;INDEX(账户总表!$C:$C,MATCH($A192,账户总表!$A:$A,0)),INDEX(账户总表!$U:$U,MATCH($A192,账户总表!$A:$A,0))&lt;&gt;"是"),"现金不足且不允许转入",IF(AND(Z192="是",AB192&lt;=0),"转入金额未满足",""))))))))))))</f>
        <v/>
      </c>
      <c r="AE192" s="5"/>
    </row>
    <row r="193" customFormat="false" ht="15" hidden="false" customHeight="true" outlineLevel="0" collapsed="false">
      <c r="A193" s="7"/>
      <c r="B193" s="7"/>
      <c r="C193" s="7"/>
      <c r="D193" s="24"/>
      <c r="E193" s="24"/>
      <c r="F193" s="24"/>
      <c r="G193" s="26"/>
      <c r="H193" s="7"/>
      <c r="I193" s="7"/>
      <c r="J193" s="12"/>
      <c r="K193" s="19" t="str">
        <f aca="false">IF($A193="","",IF(AND(G193&lt;45%,H193&gt;=0.9),"A",IF(AND(G193&lt;60%,H193&gt;0.8),"B","C")))</f>
        <v/>
      </c>
      <c r="L193" s="4" t="str">
        <f aca="false">IF($A193="","",IF(AND(G193&lt;60%,H193&gt;0.8,I193="True"),"是","否"))</f>
        <v/>
      </c>
      <c r="M193" s="19" t="str">
        <f aca="false">IF($A193="","",IF(AND(D193&gt;0,E193&gt;0,D193&lt;=E193*1.02),"是","否"))</f>
        <v/>
      </c>
      <c r="N193" s="16" t="n">
        <f aca="false">IFERROR(INDEX(账户总表!$O:$O,MATCH($A193,账户总表!$A:$A,0)),0)</f>
        <v>0</v>
      </c>
      <c r="O193" s="15" t="n">
        <f aca="false">IFERROR(INDEX(账户总表!$B:$B,MATCH($A193,账户总表!$A:$A,0))*N193,0)</f>
        <v>0</v>
      </c>
      <c r="P193" s="18" t="n">
        <f aca="false">IFERROR(O193/D193,0)</f>
        <v>0</v>
      </c>
      <c r="Q193" s="18" t="n">
        <f aca="false">IFERROR(FLOOR(P193,100),0)</f>
        <v>0</v>
      </c>
      <c r="R193" s="18" t="n">
        <f aca="false">IFERROR(CEILING(800/(100*D193),1)*100,0)</f>
        <v>0</v>
      </c>
      <c r="S193" s="25"/>
      <c r="T193" s="15" t="n">
        <f aca="false">IFERROR(S193*D193,0)</f>
        <v>0</v>
      </c>
      <c r="U193" s="16" t="n">
        <f aca="false">IFERROR(T193/INDEX(账户总表!$B:$B,MATCH($A193,账户总表!$A:$A,0)),0)</f>
        <v>0</v>
      </c>
      <c r="V193" s="16" t="n">
        <f aca="false">IFERROR(INDEX(账户总表!$E:$E,MATCH($A193,账户总表!$A:$A,0))+U193,0)</f>
        <v>0</v>
      </c>
      <c r="W193" s="19" t="str">
        <f aca="false">IF($A193="","",IFERROR(IF(V193&lt;=INDEX(账户总表!$N:$N,MATCH($A193,账户总表!$A:$A,0)),"是","否"),"否"))</f>
        <v/>
      </c>
      <c r="X193" s="15" t="str">
        <f aca="false">IF($A193="","",MAX(F193*0.98,D193*0.92))</f>
        <v/>
      </c>
      <c r="Y193" s="7"/>
      <c r="Z193" s="19" t="str">
        <f aca="false">IF($A193="","",IFERROR(IF(AND(T193&gt;INDEX(账户总表!$C:$C,MATCH($A193,账户总表!$A:$A,0)),L193="是"),"是","否"),"否"))</f>
        <v/>
      </c>
      <c r="AA193" s="15" t="str">
        <f aca="false">IF($A193="","",IFERROR(IF(Z193="是",MAX(0,T193-INDEX(账户总表!$C:$C,MATCH($A193,账户总表!$A:$A,0)),IF(N193&gt;0,T193/N193-INDEX(账户总表!$B:$B,MATCH($A193,账户总表!$A:$A,0)),0)),0),0))</f>
        <v/>
      </c>
      <c r="AB193" s="15" t="str">
        <f aca="false">IF($A193="","",IF(AND(Z193="是",INDEX(账户总表!$U:$U,MATCH($A193,账户总表!$A:$A,0))="是"),IF(INDEX(账户总表!$L:$L,MATCH($A193,账户总表!$A:$A,0))&gt;=4,AA193*1.5,AA193),0))</f>
        <v/>
      </c>
      <c r="AC193" s="19" t="str">
        <f aca="false">IF($A193="","",IF(AND(L193="是",Q193&gt;=R193,S193&lt;=Q193,S193&gt;=R193,W193="是",X193&gt;0,M193="是",INDEX(账户总表!$M:$M,MATCH($A193,账户总表!$A:$A,0))&lt;=2,INDEX(账户总表!$V:$V,MATCH($A193,账户总表!$A:$A,0))="是",OR(T193&lt;=INDEX(账户总表!$C:$C,MATCH($A193,账户总表!$A:$A,0)),AND(Z193="是",INDEX(账户总表!$U:$U,MATCH($A193,账户总表!$A:$A,0))="是",AB193&gt;0))),"是","否"))</f>
        <v/>
      </c>
      <c r="AD193" s="19" t="str">
        <f aca="false">IF($A193="","",IF(L193&lt;&gt;"是","信号未确认",IF(X193&lt;=0,"止损价未定义",IF(Q193&lt;R193,"100股约束不满足",IF(S193&gt;Q193,"计划股数超单股上限",IF(S193&lt;R193,"计划股数低于最小门槛",IF(W193&lt;&gt;"是","总仓位超限",IF(M193&lt;&gt;"是","追价",IF(INDEX(账户总表!$M:$M,MATCH($A193,账户总表!$A:$A,0))&gt;2,"亏钱效应偏高",IF(INDEX(账户总表!$V:$V,MATCH($A193,账户总表!$A:$A,0))&lt;&gt;"是","账户不允许新开仓",IF(AND(T193&gt;INDEX(账户总表!$C:$C,MATCH($A193,账户总表!$A:$A,0)),INDEX(账户总表!$U:$U,MATCH($A193,账户总表!$A:$A,0))&lt;&gt;"是"),"现金不足且不允许转入",IF(AND(Z193="是",AB193&lt;=0),"转入金额未满足",""))))))))))))</f>
        <v/>
      </c>
      <c r="AE193" s="7"/>
    </row>
    <row r="194" customFormat="false" ht="15" hidden="false" customHeight="true" outlineLevel="0" collapsed="false">
      <c r="A194" s="5"/>
      <c r="B194" s="5"/>
      <c r="C194" s="5"/>
      <c r="D194" s="14"/>
      <c r="E194" s="14"/>
      <c r="F194" s="14"/>
      <c r="G194" s="20"/>
      <c r="H194" s="5"/>
      <c r="I194" s="5"/>
      <c r="J194" s="11"/>
      <c r="K194" s="19" t="str">
        <f aca="false">IF($A194="","",IF(AND(G194&lt;45%,H194&gt;=0.9),"A",IF(AND(G194&lt;60%,H194&gt;0.8),"B","C")))</f>
        <v/>
      </c>
      <c r="L194" s="4" t="str">
        <f aca="false">IF($A194="","",IF(AND(G194&lt;60%,H194&gt;0.8,I194="True"),"是","否"))</f>
        <v/>
      </c>
      <c r="M194" s="19" t="str">
        <f aca="false">IF($A194="","",IF(AND(D194&gt;0,E194&gt;0,D194&lt;=E194*1.02),"是","否"))</f>
        <v/>
      </c>
      <c r="N194" s="16" t="n">
        <f aca="false">IFERROR(INDEX(账户总表!$O:$O,MATCH($A194,账户总表!$A:$A,0)),0)</f>
        <v>0</v>
      </c>
      <c r="O194" s="15" t="n">
        <f aca="false">IFERROR(INDEX(账户总表!$B:$B,MATCH($A194,账户总表!$A:$A,0))*N194,0)</f>
        <v>0</v>
      </c>
      <c r="P194" s="18" t="n">
        <f aca="false">IFERROR(O194/D194,0)</f>
        <v>0</v>
      </c>
      <c r="Q194" s="18" t="n">
        <f aca="false">IFERROR(FLOOR(P194,100),0)</f>
        <v>0</v>
      </c>
      <c r="R194" s="18" t="n">
        <f aca="false">IFERROR(CEILING(800/(100*D194),1)*100,0)</f>
        <v>0</v>
      </c>
      <c r="S194" s="17"/>
      <c r="T194" s="15" t="n">
        <f aca="false">IFERROR(S194*D194,0)</f>
        <v>0</v>
      </c>
      <c r="U194" s="16" t="n">
        <f aca="false">IFERROR(T194/INDEX(账户总表!$B:$B,MATCH($A194,账户总表!$A:$A,0)),0)</f>
        <v>0</v>
      </c>
      <c r="V194" s="16" t="n">
        <f aca="false">IFERROR(INDEX(账户总表!$E:$E,MATCH($A194,账户总表!$A:$A,0))+U194,0)</f>
        <v>0</v>
      </c>
      <c r="W194" s="19" t="str">
        <f aca="false">IF($A194="","",IFERROR(IF(V194&lt;=INDEX(账户总表!$N:$N,MATCH($A194,账户总表!$A:$A,0)),"是","否"),"否"))</f>
        <v/>
      </c>
      <c r="X194" s="15" t="str">
        <f aca="false">IF($A194="","",MAX(F194*0.98,D194*0.92))</f>
        <v/>
      </c>
      <c r="Y194" s="5"/>
      <c r="Z194" s="19" t="str">
        <f aca="false">IF($A194="","",IFERROR(IF(AND(T194&gt;INDEX(账户总表!$C:$C,MATCH($A194,账户总表!$A:$A,0)),L194="是"),"是","否"),"否"))</f>
        <v/>
      </c>
      <c r="AA194" s="15" t="str">
        <f aca="false">IF($A194="","",IFERROR(IF(Z194="是",MAX(0,T194-INDEX(账户总表!$C:$C,MATCH($A194,账户总表!$A:$A,0)),IF(N194&gt;0,T194/N194-INDEX(账户总表!$B:$B,MATCH($A194,账户总表!$A:$A,0)),0)),0),0))</f>
        <v/>
      </c>
      <c r="AB194" s="15" t="str">
        <f aca="false">IF($A194="","",IF(AND(Z194="是",INDEX(账户总表!$U:$U,MATCH($A194,账户总表!$A:$A,0))="是"),IF(INDEX(账户总表!$L:$L,MATCH($A194,账户总表!$A:$A,0))&gt;=4,AA194*1.5,AA194),0))</f>
        <v/>
      </c>
      <c r="AC194" s="19" t="str">
        <f aca="false">IF($A194="","",IF(AND(L194="是",Q194&gt;=R194,S194&lt;=Q194,S194&gt;=R194,W194="是",X194&gt;0,M194="是",INDEX(账户总表!$M:$M,MATCH($A194,账户总表!$A:$A,0))&lt;=2,INDEX(账户总表!$V:$V,MATCH($A194,账户总表!$A:$A,0))="是",OR(T194&lt;=INDEX(账户总表!$C:$C,MATCH($A194,账户总表!$A:$A,0)),AND(Z194="是",INDEX(账户总表!$U:$U,MATCH($A194,账户总表!$A:$A,0))="是",AB194&gt;0))),"是","否"))</f>
        <v/>
      </c>
      <c r="AD194" s="19" t="str">
        <f aca="false">IF($A194="","",IF(L194&lt;&gt;"是","信号未确认",IF(X194&lt;=0,"止损价未定义",IF(Q194&lt;R194,"100股约束不满足",IF(S194&gt;Q194,"计划股数超单股上限",IF(S194&lt;R194,"计划股数低于最小门槛",IF(W194&lt;&gt;"是","总仓位超限",IF(M194&lt;&gt;"是","追价",IF(INDEX(账户总表!$M:$M,MATCH($A194,账户总表!$A:$A,0))&gt;2,"亏钱效应偏高",IF(INDEX(账户总表!$V:$V,MATCH($A194,账户总表!$A:$A,0))&lt;&gt;"是","账户不允许新开仓",IF(AND(T194&gt;INDEX(账户总表!$C:$C,MATCH($A194,账户总表!$A:$A,0)),INDEX(账户总表!$U:$U,MATCH($A194,账户总表!$A:$A,0))&lt;&gt;"是"),"现金不足且不允许转入",IF(AND(Z194="是",AB194&lt;=0),"转入金额未满足",""))))))))))))</f>
        <v/>
      </c>
      <c r="AE194" s="5"/>
    </row>
    <row r="195" customFormat="false" ht="15" hidden="false" customHeight="true" outlineLevel="0" collapsed="false">
      <c r="A195" s="7"/>
      <c r="B195" s="7"/>
      <c r="C195" s="7"/>
      <c r="D195" s="24"/>
      <c r="E195" s="24"/>
      <c r="F195" s="24"/>
      <c r="G195" s="26"/>
      <c r="H195" s="7"/>
      <c r="I195" s="7"/>
      <c r="J195" s="12"/>
      <c r="K195" s="19" t="str">
        <f aca="false">IF($A195="","",IF(AND(G195&lt;45%,H195&gt;=0.9),"A",IF(AND(G195&lt;60%,H195&gt;0.8),"B","C")))</f>
        <v/>
      </c>
      <c r="L195" s="4" t="str">
        <f aca="false">IF($A195="","",IF(AND(G195&lt;60%,H195&gt;0.8,I195="True"),"是","否"))</f>
        <v/>
      </c>
      <c r="M195" s="19" t="str">
        <f aca="false">IF($A195="","",IF(AND(D195&gt;0,E195&gt;0,D195&lt;=E195*1.02),"是","否"))</f>
        <v/>
      </c>
      <c r="N195" s="16" t="n">
        <f aca="false">IFERROR(INDEX(账户总表!$O:$O,MATCH($A195,账户总表!$A:$A,0)),0)</f>
        <v>0</v>
      </c>
      <c r="O195" s="15" t="n">
        <f aca="false">IFERROR(INDEX(账户总表!$B:$B,MATCH($A195,账户总表!$A:$A,0))*N195,0)</f>
        <v>0</v>
      </c>
      <c r="P195" s="18" t="n">
        <f aca="false">IFERROR(O195/D195,0)</f>
        <v>0</v>
      </c>
      <c r="Q195" s="18" t="n">
        <f aca="false">IFERROR(FLOOR(P195,100),0)</f>
        <v>0</v>
      </c>
      <c r="R195" s="18" t="n">
        <f aca="false">IFERROR(CEILING(800/(100*D195),1)*100,0)</f>
        <v>0</v>
      </c>
      <c r="S195" s="25"/>
      <c r="T195" s="15" t="n">
        <f aca="false">IFERROR(S195*D195,0)</f>
        <v>0</v>
      </c>
      <c r="U195" s="16" t="n">
        <f aca="false">IFERROR(T195/INDEX(账户总表!$B:$B,MATCH($A195,账户总表!$A:$A,0)),0)</f>
        <v>0</v>
      </c>
      <c r="V195" s="16" t="n">
        <f aca="false">IFERROR(INDEX(账户总表!$E:$E,MATCH($A195,账户总表!$A:$A,0))+U195,0)</f>
        <v>0</v>
      </c>
      <c r="W195" s="19" t="str">
        <f aca="false">IF($A195="","",IFERROR(IF(V195&lt;=INDEX(账户总表!$N:$N,MATCH($A195,账户总表!$A:$A,0)),"是","否"),"否"))</f>
        <v/>
      </c>
      <c r="X195" s="15" t="str">
        <f aca="false">IF($A195="","",MAX(F195*0.98,D195*0.92))</f>
        <v/>
      </c>
      <c r="Y195" s="7"/>
      <c r="Z195" s="19" t="str">
        <f aca="false">IF($A195="","",IFERROR(IF(AND(T195&gt;INDEX(账户总表!$C:$C,MATCH($A195,账户总表!$A:$A,0)),L195="是"),"是","否"),"否"))</f>
        <v/>
      </c>
      <c r="AA195" s="15" t="str">
        <f aca="false">IF($A195="","",IFERROR(IF(Z195="是",MAX(0,T195-INDEX(账户总表!$C:$C,MATCH($A195,账户总表!$A:$A,0)),IF(N195&gt;0,T195/N195-INDEX(账户总表!$B:$B,MATCH($A195,账户总表!$A:$A,0)),0)),0),0))</f>
        <v/>
      </c>
      <c r="AB195" s="15" t="str">
        <f aca="false">IF($A195="","",IF(AND(Z195="是",INDEX(账户总表!$U:$U,MATCH($A195,账户总表!$A:$A,0))="是"),IF(INDEX(账户总表!$L:$L,MATCH($A195,账户总表!$A:$A,0))&gt;=4,AA195*1.5,AA195),0))</f>
        <v/>
      </c>
      <c r="AC195" s="19" t="str">
        <f aca="false">IF($A195="","",IF(AND(L195="是",Q195&gt;=R195,S195&lt;=Q195,S195&gt;=R195,W195="是",X195&gt;0,M195="是",INDEX(账户总表!$M:$M,MATCH($A195,账户总表!$A:$A,0))&lt;=2,INDEX(账户总表!$V:$V,MATCH($A195,账户总表!$A:$A,0))="是",OR(T195&lt;=INDEX(账户总表!$C:$C,MATCH($A195,账户总表!$A:$A,0)),AND(Z195="是",INDEX(账户总表!$U:$U,MATCH($A195,账户总表!$A:$A,0))="是",AB195&gt;0))),"是","否"))</f>
        <v/>
      </c>
      <c r="AD195" s="19" t="str">
        <f aca="false">IF($A195="","",IF(L195&lt;&gt;"是","信号未确认",IF(X195&lt;=0,"止损价未定义",IF(Q195&lt;R195,"100股约束不满足",IF(S195&gt;Q195,"计划股数超单股上限",IF(S195&lt;R195,"计划股数低于最小门槛",IF(W195&lt;&gt;"是","总仓位超限",IF(M195&lt;&gt;"是","追价",IF(INDEX(账户总表!$M:$M,MATCH($A195,账户总表!$A:$A,0))&gt;2,"亏钱效应偏高",IF(INDEX(账户总表!$V:$V,MATCH($A195,账户总表!$A:$A,0))&lt;&gt;"是","账户不允许新开仓",IF(AND(T195&gt;INDEX(账户总表!$C:$C,MATCH($A195,账户总表!$A:$A,0)),INDEX(账户总表!$U:$U,MATCH($A195,账户总表!$A:$A,0))&lt;&gt;"是"),"现金不足且不允许转入",IF(AND(Z195="是",AB195&lt;=0),"转入金额未满足",""))))))))))))</f>
        <v/>
      </c>
      <c r="AE195" s="7"/>
    </row>
    <row r="196" customFormat="false" ht="15" hidden="false" customHeight="true" outlineLevel="0" collapsed="false">
      <c r="A196" s="5"/>
      <c r="B196" s="5"/>
      <c r="C196" s="5"/>
      <c r="D196" s="14"/>
      <c r="E196" s="14"/>
      <c r="F196" s="14"/>
      <c r="G196" s="20"/>
      <c r="H196" s="5"/>
      <c r="I196" s="5"/>
      <c r="J196" s="11"/>
      <c r="K196" s="19" t="str">
        <f aca="false">IF($A196="","",IF(AND(G196&lt;45%,H196&gt;=0.9),"A",IF(AND(G196&lt;60%,H196&gt;0.8),"B","C")))</f>
        <v/>
      </c>
      <c r="L196" s="4" t="str">
        <f aca="false">IF($A196="","",IF(AND(G196&lt;60%,H196&gt;0.8,I196="True"),"是","否"))</f>
        <v/>
      </c>
      <c r="M196" s="19" t="str">
        <f aca="false">IF($A196="","",IF(AND(D196&gt;0,E196&gt;0,D196&lt;=E196*1.02),"是","否"))</f>
        <v/>
      </c>
      <c r="N196" s="16" t="n">
        <f aca="false">IFERROR(INDEX(账户总表!$O:$O,MATCH($A196,账户总表!$A:$A,0)),0)</f>
        <v>0</v>
      </c>
      <c r="O196" s="15" t="n">
        <f aca="false">IFERROR(INDEX(账户总表!$B:$B,MATCH($A196,账户总表!$A:$A,0))*N196,0)</f>
        <v>0</v>
      </c>
      <c r="P196" s="18" t="n">
        <f aca="false">IFERROR(O196/D196,0)</f>
        <v>0</v>
      </c>
      <c r="Q196" s="18" t="n">
        <f aca="false">IFERROR(FLOOR(P196,100),0)</f>
        <v>0</v>
      </c>
      <c r="R196" s="18" t="n">
        <f aca="false">IFERROR(CEILING(800/(100*D196),1)*100,0)</f>
        <v>0</v>
      </c>
      <c r="S196" s="17"/>
      <c r="T196" s="15" t="n">
        <f aca="false">IFERROR(S196*D196,0)</f>
        <v>0</v>
      </c>
      <c r="U196" s="16" t="n">
        <f aca="false">IFERROR(T196/INDEX(账户总表!$B:$B,MATCH($A196,账户总表!$A:$A,0)),0)</f>
        <v>0</v>
      </c>
      <c r="V196" s="16" t="n">
        <f aca="false">IFERROR(INDEX(账户总表!$E:$E,MATCH($A196,账户总表!$A:$A,0))+U196,0)</f>
        <v>0</v>
      </c>
      <c r="W196" s="19" t="str">
        <f aca="false">IF($A196="","",IFERROR(IF(V196&lt;=INDEX(账户总表!$N:$N,MATCH($A196,账户总表!$A:$A,0)),"是","否"),"否"))</f>
        <v/>
      </c>
      <c r="X196" s="15" t="str">
        <f aca="false">IF($A196="","",MAX(F196*0.98,D196*0.92))</f>
        <v/>
      </c>
      <c r="Y196" s="5"/>
      <c r="Z196" s="19" t="str">
        <f aca="false">IF($A196="","",IFERROR(IF(AND(T196&gt;INDEX(账户总表!$C:$C,MATCH($A196,账户总表!$A:$A,0)),L196="是"),"是","否"),"否"))</f>
        <v/>
      </c>
      <c r="AA196" s="15" t="str">
        <f aca="false">IF($A196="","",IFERROR(IF(Z196="是",MAX(0,T196-INDEX(账户总表!$C:$C,MATCH($A196,账户总表!$A:$A,0)),IF(N196&gt;0,T196/N196-INDEX(账户总表!$B:$B,MATCH($A196,账户总表!$A:$A,0)),0)),0),0))</f>
        <v/>
      </c>
      <c r="AB196" s="15" t="str">
        <f aca="false">IF($A196="","",IF(AND(Z196="是",INDEX(账户总表!$U:$U,MATCH($A196,账户总表!$A:$A,0))="是"),IF(INDEX(账户总表!$L:$L,MATCH($A196,账户总表!$A:$A,0))&gt;=4,AA196*1.5,AA196),0))</f>
        <v/>
      </c>
      <c r="AC196" s="19" t="str">
        <f aca="false">IF($A196="","",IF(AND(L196="是",Q196&gt;=R196,S196&lt;=Q196,S196&gt;=R196,W196="是",X196&gt;0,M196="是",INDEX(账户总表!$M:$M,MATCH($A196,账户总表!$A:$A,0))&lt;=2,INDEX(账户总表!$V:$V,MATCH($A196,账户总表!$A:$A,0))="是",OR(T196&lt;=INDEX(账户总表!$C:$C,MATCH($A196,账户总表!$A:$A,0)),AND(Z196="是",INDEX(账户总表!$U:$U,MATCH($A196,账户总表!$A:$A,0))="是",AB196&gt;0))),"是","否"))</f>
        <v/>
      </c>
      <c r="AD196" s="19" t="str">
        <f aca="false">IF($A196="","",IF(L196&lt;&gt;"是","信号未确认",IF(X196&lt;=0,"止损价未定义",IF(Q196&lt;R196,"100股约束不满足",IF(S196&gt;Q196,"计划股数超单股上限",IF(S196&lt;R196,"计划股数低于最小门槛",IF(W196&lt;&gt;"是","总仓位超限",IF(M196&lt;&gt;"是","追价",IF(INDEX(账户总表!$M:$M,MATCH($A196,账户总表!$A:$A,0))&gt;2,"亏钱效应偏高",IF(INDEX(账户总表!$V:$V,MATCH($A196,账户总表!$A:$A,0))&lt;&gt;"是","账户不允许新开仓",IF(AND(T196&gt;INDEX(账户总表!$C:$C,MATCH($A196,账户总表!$A:$A,0)),INDEX(账户总表!$U:$U,MATCH($A196,账户总表!$A:$A,0))&lt;&gt;"是"),"现金不足且不允许转入",IF(AND(Z196="是",AB196&lt;=0),"转入金额未满足",""))))))))))))</f>
        <v/>
      </c>
      <c r="AE196" s="5"/>
    </row>
    <row r="197" customFormat="false" ht="15" hidden="false" customHeight="true" outlineLevel="0" collapsed="false">
      <c r="A197" s="7"/>
      <c r="B197" s="7"/>
      <c r="C197" s="7"/>
      <c r="D197" s="24"/>
      <c r="E197" s="24"/>
      <c r="F197" s="24"/>
      <c r="G197" s="26"/>
      <c r="H197" s="7"/>
      <c r="I197" s="7"/>
      <c r="J197" s="12"/>
      <c r="K197" s="19" t="str">
        <f aca="false">IF($A197="","",IF(AND(G197&lt;45%,H197&gt;=0.9),"A",IF(AND(G197&lt;60%,H197&gt;0.8),"B","C")))</f>
        <v/>
      </c>
      <c r="L197" s="4" t="str">
        <f aca="false">IF($A197="","",IF(AND(G197&lt;60%,H197&gt;0.8,I197="True"),"是","否"))</f>
        <v/>
      </c>
      <c r="M197" s="19" t="str">
        <f aca="false">IF($A197="","",IF(AND(D197&gt;0,E197&gt;0,D197&lt;=E197*1.02),"是","否"))</f>
        <v/>
      </c>
      <c r="N197" s="16" t="n">
        <f aca="false">IFERROR(INDEX(账户总表!$O:$O,MATCH($A197,账户总表!$A:$A,0)),0)</f>
        <v>0</v>
      </c>
      <c r="O197" s="15" t="n">
        <f aca="false">IFERROR(INDEX(账户总表!$B:$B,MATCH($A197,账户总表!$A:$A,0))*N197,0)</f>
        <v>0</v>
      </c>
      <c r="P197" s="18" t="n">
        <f aca="false">IFERROR(O197/D197,0)</f>
        <v>0</v>
      </c>
      <c r="Q197" s="18" t="n">
        <f aca="false">IFERROR(FLOOR(P197,100),0)</f>
        <v>0</v>
      </c>
      <c r="R197" s="18" t="n">
        <f aca="false">IFERROR(CEILING(800/(100*D197),1)*100,0)</f>
        <v>0</v>
      </c>
      <c r="S197" s="25"/>
      <c r="T197" s="15" t="n">
        <f aca="false">IFERROR(S197*D197,0)</f>
        <v>0</v>
      </c>
      <c r="U197" s="16" t="n">
        <f aca="false">IFERROR(T197/INDEX(账户总表!$B:$B,MATCH($A197,账户总表!$A:$A,0)),0)</f>
        <v>0</v>
      </c>
      <c r="V197" s="16" t="n">
        <f aca="false">IFERROR(INDEX(账户总表!$E:$E,MATCH($A197,账户总表!$A:$A,0))+U197,0)</f>
        <v>0</v>
      </c>
      <c r="W197" s="19" t="str">
        <f aca="false">IF($A197="","",IFERROR(IF(V197&lt;=INDEX(账户总表!$N:$N,MATCH($A197,账户总表!$A:$A,0)),"是","否"),"否"))</f>
        <v/>
      </c>
      <c r="X197" s="15" t="str">
        <f aca="false">IF($A197="","",MAX(F197*0.98,D197*0.92))</f>
        <v/>
      </c>
      <c r="Y197" s="7"/>
      <c r="Z197" s="19" t="str">
        <f aca="false">IF($A197="","",IFERROR(IF(AND(T197&gt;INDEX(账户总表!$C:$C,MATCH($A197,账户总表!$A:$A,0)),L197="是"),"是","否"),"否"))</f>
        <v/>
      </c>
      <c r="AA197" s="15" t="str">
        <f aca="false">IF($A197="","",IFERROR(IF(Z197="是",MAX(0,T197-INDEX(账户总表!$C:$C,MATCH($A197,账户总表!$A:$A,0)),IF(N197&gt;0,T197/N197-INDEX(账户总表!$B:$B,MATCH($A197,账户总表!$A:$A,0)),0)),0),0))</f>
        <v/>
      </c>
      <c r="AB197" s="15" t="str">
        <f aca="false">IF($A197="","",IF(AND(Z197="是",INDEX(账户总表!$U:$U,MATCH($A197,账户总表!$A:$A,0))="是"),IF(INDEX(账户总表!$L:$L,MATCH($A197,账户总表!$A:$A,0))&gt;=4,AA197*1.5,AA197),0))</f>
        <v/>
      </c>
      <c r="AC197" s="19" t="str">
        <f aca="false">IF($A197="","",IF(AND(L197="是",Q197&gt;=R197,S197&lt;=Q197,S197&gt;=R197,W197="是",X197&gt;0,M197="是",INDEX(账户总表!$M:$M,MATCH($A197,账户总表!$A:$A,0))&lt;=2,INDEX(账户总表!$V:$V,MATCH($A197,账户总表!$A:$A,0))="是",OR(T197&lt;=INDEX(账户总表!$C:$C,MATCH($A197,账户总表!$A:$A,0)),AND(Z197="是",INDEX(账户总表!$U:$U,MATCH($A197,账户总表!$A:$A,0))="是",AB197&gt;0))),"是","否"))</f>
        <v/>
      </c>
      <c r="AD197" s="19" t="str">
        <f aca="false">IF($A197="","",IF(L197&lt;&gt;"是","信号未确认",IF(X197&lt;=0,"止损价未定义",IF(Q197&lt;R197,"100股约束不满足",IF(S197&gt;Q197,"计划股数超单股上限",IF(S197&lt;R197,"计划股数低于最小门槛",IF(W197&lt;&gt;"是","总仓位超限",IF(M197&lt;&gt;"是","追价",IF(INDEX(账户总表!$M:$M,MATCH($A197,账户总表!$A:$A,0))&gt;2,"亏钱效应偏高",IF(INDEX(账户总表!$V:$V,MATCH($A197,账户总表!$A:$A,0))&lt;&gt;"是","账户不允许新开仓",IF(AND(T197&gt;INDEX(账户总表!$C:$C,MATCH($A197,账户总表!$A:$A,0)),INDEX(账户总表!$U:$U,MATCH($A197,账户总表!$A:$A,0))&lt;&gt;"是"),"现金不足且不允许转入",IF(AND(Z197="是",AB197&lt;=0),"转入金额未满足",""))))))))))))</f>
        <v/>
      </c>
      <c r="AE197" s="7"/>
    </row>
    <row r="198" customFormat="false" ht="15" hidden="false" customHeight="true" outlineLevel="0" collapsed="false">
      <c r="A198" s="5"/>
      <c r="B198" s="5"/>
      <c r="C198" s="5"/>
      <c r="D198" s="14"/>
      <c r="E198" s="14"/>
      <c r="F198" s="14"/>
      <c r="G198" s="20"/>
      <c r="H198" s="5"/>
      <c r="I198" s="5"/>
      <c r="J198" s="11"/>
      <c r="K198" s="19" t="str">
        <f aca="false">IF($A198="","",IF(AND(G198&lt;45%,H198&gt;=0.9),"A",IF(AND(G198&lt;60%,H198&gt;0.8),"B","C")))</f>
        <v/>
      </c>
      <c r="L198" s="4" t="str">
        <f aca="false">IF($A198="","",IF(AND(G198&lt;60%,H198&gt;0.8,I198="True"),"是","否"))</f>
        <v/>
      </c>
      <c r="M198" s="19" t="str">
        <f aca="false">IF($A198="","",IF(AND(D198&gt;0,E198&gt;0,D198&lt;=E198*1.02),"是","否"))</f>
        <v/>
      </c>
      <c r="N198" s="16" t="n">
        <f aca="false">IFERROR(INDEX(账户总表!$O:$O,MATCH($A198,账户总表!$A:$A,0)),0)</f>
        <v>0</v>
      </c>
      <c r="O198" s="15" t="n">
        <f aca="false">IFERROR(INDEX(账户总表!$B:$B,MATCH($A198,账户总表!$A:$A,0))*N198,0)</f>
        <v>0</v>
      </c>
      <c r="P198" s="18" t="n">
        <f aca="false">IFERROR(O198/D198,0)</f>
        <v>0</v>
      </c>
      <c r="Q198" s="18" t="n">
        <f aca="false">IFERROR(FLOOR(P198,100),0)</f>
        <v>0</v>
      </c>
      <c r="R198" s="18" t="n">
        <f aca="false">IFERROR(CEILING(800/(100*D198),1)*100,0)</f>
        <v>0</v>
      </c>
      <c r="S198" s="17"/>
      <c r="T198" s="15" t="n">
        <f aca="false">IFERROR(S198*D198,0)</f>
        <v>0</v>
      </c>
      <c r="U198" s="16" t="n">
        <f aca="false">IFERROR(T198/INDEX(账户总表!$B:$B,MATCH($A198,账户总表!$A:$A,0)),0)</f>
        <v>0</v>
      </c>
      <c r="V198" s="16" t="n">
        <f aca="false">IFERROR(INDEX(账户总表!$E:$E,MATCH($A198,账户总表!$A:$A,0))+U198,0)</f>
        <v>0</v>
      </c>
      <c r="W198" s="19" t="str">
        <f aca="false">IF($A198="","",IFERROR(IF(V198&lt;=INDEX(账户总表!$N:$N,MATCH($A198,账户总表!$A:$A,0)),"是","否"),"否"))</f>
        <v/>
      </c>
      <c r="X198" s="15" t="str">
        <f aca="false">IF($A198="","",MAX(F198*0.98,D198*0.92))</f>
        <v/>
      </c>
      <c r="Y198" s="5"/>
      <c r="Z198" s="19" t="str">
        <f aca="false">IF($A198="","",IFERROR(IF(AND(T198&gt;INDEX(账户总表!$C:$C,MATCH($A198,账户总表!$A:$A,0)),L198="是"),"是","否"),"否"))</f>
        <v/>
      </c>
      <c r="AA198" s="15" t="str">
        <f aca="false">IF($A198="","",IFERROR(IF(Z198="是",MAX(0,T198-INDEX(账户总表!$C:$C,MATCH($A198,账户总表!$A:$A,0)),IF(N198&gt;0,T198/N198-INDEX(账户总表!$B:$B,MATCH($A198,账户总表!$A:$A,0)),0)),0),0))</f>
        <v/>
      </c>
      <c r="AB198" s="15" t="str">
        <f aca="false">IF($A198="","",IF(AND(Z198="是",INDEX(账户总表!$U:$U,MATCH($A198,账户总表!$A:$A,0))="是"),IF(INDEX(账户总表!$L:$L,MATCH($A198,账户总表!$A:$A,0))&gt;=4,AA198*1.5,AA198),0))</f>
        <v/>
      </c>
      <c r="AC198" s="19" t="str">
        <f aca="false">IF($A198="","",IF(AND(L198="是",Q198&gt;=R198,S198&lt;=Q198,S198&gt;=R198,W198="是",X198&gt;0,M198="是",INDEX(账户总表!$M:$M,MATCH($A198,账户总表!$A:$A,0))&lt;=2,INDEX(账户总表!$V:$V,MATCH($A198,账户总表!$A:$A,0))="是",OR(T198&lt;=INDEX(账户总表!$C:$C,MATCH($A198,账户总表!$A:$A,0)),AND(Z198="是",INDEX(账户总表!$U:$U,MATCH($A198,账户总表!$A:$A,0))="是",AB198&gt;0))),"是","否"))</f>
        <v/>
      </c>
      <c r="AD198" s="19" t="str">
        <f aca="false">IF($A198="","",IF(L198&lt;&gt;"是","信号未确认",IF(X198&lt;=0,"止损价未定义",IF(Q198&lt;R198,"100股约束不满足",IF(S198&gt;Q198,"计划股数超单股上限",IF(S198&lt;R198,"计划股数低于最小门槛",IF(W198&lt;&gt;"是","总仓位超限",IF(M198&lt;&gt;"是","追价",IF(INDEX(账户总表!$M:$M,MATCH($A198,账户总表!$A:$A,0))&gt;2,"亏钱效应偏高",IF(INDEX(账户总表!$V:$V,MATCH($A198,账户总表!$A:$A,0))&lt;&gt;"是","账户不允许新开仓",IF(AND(T198&gt;INDEX(账户总表!$C:$C,MATCH($A198,账户总表!$A:$A,0)),INDEX(账户总表!$U:$U,MATCH($A198,账户总表!$A:$A,0))&lt;&gt;"是"),"现金不足且不允许转入",IF(AND(Z198="是",AB198&lt;=0),"转入金额未满足",""))))))))))))</f>
        <v/>
      </c>
      <c r="AE198" s="5"/>
    </row>
    <row r="199" customFormat="false" ht="15" hidden="false" customHeight="true" outlineLevel="0" collapsed="false">
      <c r="A199" s="7"/>
      <c r="B199" s="7"/>
      <c r="C199" s="7"/>
      <c r="D199" s="24"/>
      <c r="E199" s="24"/>
      <c r="F199" s="24"/>
      <c r="G199" s="26"/>
      <c r="H199" s="7"/>
      <c r="I199" s="7"/>
      <c r="J199" s="12"/>
      <c r="K199" s="19" t="str">
        <f aca="false">IF($A199="","",IF(AND(G199&lt;45%,H199&gt;=0.9),"A",IF(AND(G199&lt;60%,H199&gt;0.8),"B","C")))</f>
        <v/>
      </c>
      <c r="L199" s="4" t="str">
        <f aca="false">IF($A199="","",IF(AND(G199&lt;60%,H199&gt;0.8,I199="True"),"是","否"))</f>
        <v/>
      </c>
      <c r="M199" s="19" t="str">
        <f aca="false">IF($A199="","",IF(AND(D199&gt;0,E199&gt;0,D199&lt;=E199*1.02),"是","否"))</f>
        <v/>
      </c>
      <c r="N199" s="16" t="n">
        <f aca="false">IFERROR(INDEX(账户总表!$O:$O,MATCH($A199,账户总表!$A:$A,0)),0)</f>
        <v>0</v>
      </c>
      <c r="O199" s="15" t="n">
        <f aca="false">IFERROR(INDEX(账户总表!$B:$B,MATCH($A199,账户总表!$A:$A,0))*N199,0)</f>
        <v>0</v>
      </c>
      <c r="P199" s="18" t="n">
        <f aca="false">IFERROR(O199/D199,0)</f>
        <v>0</v>
      </c>
      <c r="Q199" s="18" t="n">
        <f aca="false">IFERROR(FLOOR(P199,100),0)</f>
        <v>0</v>
      </c>
      <c r="R199" s="18" t="n">
        <f aca="false">IFERROR(CEILING(800/(100*D199),1)*100,0)</f>
        <v>0</v>
      </c>
      <c r="S199" s="25"/>
      <c r="T199" s="15" t="n">
        <f aca="false">IFERROR(S199*D199,0)</f>
        <v>0</v>
      </c>
      <c r="U199" s="16" t="n">
        <f aca="false">IFERROR(T199/INDEX(账户总表!$B:$B,MATCH($A199,账户总表!$A:$A,0)),0)</f>
        <v>0</v>
      </c>
      <c r="V199" s="16" t="n">
        <f aca="false">IFERROR(INDEX(账户总表!$E:$E,MATCH($A199,账户总表!$A:$A,0))+U199,0)</f>
        <v>0</v>
      </c>
      <c r="W199" s="19" t="str">
        <f aca="false">IF($A199="","",IFERROR(IF(V199&lt;=INDEX(账户总表!$N:$N,MATCH($A199,账户总表!$A:$A,0)),"是","否"),"否"))</f>
        <v/>
      </c>
      <c r="X199" s="15" t="str">
        <f aca="false">IF($A199="","",MAX(F199*0.98,D199*0.92))</f>
        <v/>
      </c>
      <c r="Y199" s="7"/>
      <c r="Z199" s="19" t="str">
        <f aca="false">IF($A199="","",IFERROR(IF(AND(T199&gt;INDEX(账户总表!$C:$C,MATCH($A199,账户总表!$A:$A,0)),L199="是"),"是","否"),"否"))</f>
        <v/>
      </c>
      <c r="AA199" s="15" t="str">
        <f aca="false">IF($A199="","",IFERROR(IF(Z199="是",MAX(0,T199-INDEX(账户总表!$C:$C,MATCH($A199,账户总表!$A:$A,0)),IF(N199&gt;0,T199/N199-INDEX(账户总表!$B:$B,MATCH($A199,账户总表!$A:$A,0)),0)),0),0))</f>
        <v/>
      </c>
      <c r="AB199" s="15" t="str">
        <f aca="false">IF($A199="","",IF(AND(Z199="是",INDEX(账户总表!$U:$U,MATCH($A199,账户总表!$A:$A,0))="是"),IF(INDEX(账户总表!$L:$L,MATCH($A199,账户总表!$A:$A,0))&gt;=4,AA199*1.5,AA199),0))</f>
        <v/>
      </c>
      <c r="AC199" s="19" t="str">
        <f aca="false">IF($A199="","",IF(AND(L199="是",Q199&gt;=R199,S199&lt;=Q199,S199&gt;=R199,W199="是",X199&gt;0,M199="是",INDEX(账户总表!$M:$M,MATCH($A199,账户总表!$A:$A,0))&lt;=2,INDEX(账户总表!$V:$V,MATCH($A199,账户总表!$A:$A,0))="是",OR(T199&lt;=INDEX(账户总表!$C:$C,MATCH($A199,账户总表!$A:$A,0)),AND(Z199="是",INDEX(账户总表!$U:$U,MATCH($A199,账户总表!$A:$A,0))="是",AB199&gt;0))),"是","否"))</f>
        <v/>
      </c>
      <c r="AD199" s="19" t="str">
        <f aca="false">IF($A199="","",IF(L199&lt;&gt;"是","信号未确认",IF(X199&lt;=0,"止损价未定义",IF(Q199&lt;R199,"100股约束不满足",IF(S199&gt;Q199,"计划股数超单股上限",IF(S199&lt;R199,"计划股数低于最小门槛",IF(W199&lt;&gt;"是","总仓位超限",IF(M199&lt;&gt;"是","追价",IF(INDEX(账户总表!$M:$M,MATCH($A199,账户总表!$A:$A,0))&gt;2,"亏钱效应偏高",IF(INDEX(账户总表!$V:$V,MATCH($A199,账户总表!$A:$A,0))&lt;&gt;"是","账户不允许新开仓",IF(AND(T199&gt;INDEX(账户总表!$C:$C,MATCH($A199,账户总表!$A:$A,0)),INDEX(账户总表!$U:$U,MATCH($A199,账户总表!$A:$A,0))&lt;&gt;"是"),"现金不足且不允许转入",IF(AND(Z199="是",AB199&lt;=0),"转入金额未满足",""))))))))))))</f>
        <v/>
      </c>
      <c r="AE199" s="7"/>
    </row>
    <row r="200" customFormat="false" ht="15" hidden="false" customHeight="true" outlineLevel="0" collapsed="false">
      <c r="A200" s="5"/>
      <c r="B200" s="5"/>
      <c r="C200" s="5"/>
      <c r="D200" s="14"/>
      <c r="E200" s="14"/>
      <c r="F200" s="14"/>
      <c r="G200" s="20"/>
      <c r="H200" s="5"/>
      <c r="I200" s="5"/>
      <c r="J200" s="11"/>
      <c r="K200" s="19" t="str">
        <f aca="false">IF($A200="","",IF(AND(G200&lt;45%,H200&gt;=0.9),"A",IF(AND(G200&lt;60%,H200&gt;0.8),"B","C")))</f>
        <v/>
      </c>
      <c r="L200" s="4" t="str">
        <f aca="false">IF($A200="","",IF(AND(G200&lt;60%,H200&gt;0.8,I200="True"),"是","否"))</f>
        <v/>
      </c>
      <c r="M200" s="19" t="str">
        <f aca="false">IF($A200="","",IF(AND(D200&gt;0,E200&gt;0,D200&lt;=E200*1.02),"是","否"))</f>
        <v/>
      </c>
      <c r="N200" s="16" t="n">
        <f aca="false">IFERROR(INDEX(账户总表!$O:$O,MATCH($A200,账户总表!$A:$A,0)),0)</f>
        <v>0</v>
      </c>
      <c r="O200" s="15" t="n">
        <f aca="false">IFERROR(INDEX(账户总表!$B:$B,MATCH($A200,账户总表!$A:$A,0))*N200,0)</f>
        <v>0</v>
      </c>
      <c r="P200" s="18" t="n">
        <f aca="false">IFERROR(O200/D200,0)</f>
        <v>0</v>
      </c>
      <c r="Q200" s="18" t="n">
        <f aca="false">IFERROR(FLOOR(P200,100),0)</f>
        <v>0</v>
      </c>
      <c r="R200" s="18" t="n">
        <f aca="false">IFERROR(CEILING(800/(100*D200),1)*100,0)</f>
        <v>0</v>
      </c>
      <c r="S200" s="17"/>
      <c r="T200" s="15" t="n">
        <f aca="false">IFERROR(S200*D200,0)</f>
        <v>0</v>
      </c>
      <c r="U200" s="16" t="n">
        <f aca="false">IFERROR(T200/INDEX(账户总表!$B:$B,MATCH($A200,账户总表!$A:$A,0)),0)</f>
        <v>0</v>
      </c>
      <c r="V200" s="16" t="n">
        <f aca="false">IFERROR(INDEX(账户总表!$E:$E,MATCH($A200,账户总表!$A:$A,0))+U200,0)</f>
        <v>0</v>
      </c>
      <c r="W200" s="19" t="str">
        <f aca="false">IF($A200="","",IFERROR(IF(V200&lt;=INDEX(账户总表!$N:$N,MATCH($A200,账户总表!$A:$A,0)),"是","否"),"否"))</f>
        <v/>
      </c>
      <c r="X200" s="15" t="str">
        <f aca="false">IF($A200="","",MAX(F200*0.98,D200*0.92))</f>
        <v/>
      </c>
      <c r="Y200" s="5"/>
      <c r="Z200" s="19" t="str">
        <f aca="false">IF($A200="","",IFERROR(IF(AND(T200&gt;INDEX(账户总表!$C:$C,MATCH($A200,账户总表!$A:$A,0)),L200="是"),"是","否"),"否"))</f>
        <v/>
      </c>
      <c r="AA200" s="15" t="str">
        <f aca="false">IF($A200="","",IFERROR(IF(Z200="是",MAX(0,T200-INDEX(账户总表!$C:$C,MATCH($A200,账户总表!$A:$A,0)),IF(N200&gt;0,T200/N200-INDEX(账户总表!$B:$B,MATCH($A200,账户总表!$A:$A,0)),0)),0),0))</f>
        <v/>
      </c>
      <c r="AB200" s="15" t="str">
        <f aca="false">IF($A200="","",IF(AND(Z200="是",INDEX(账户总表!$U:$U,MATCH($A200,账户总表!$A:$A,0))="是"),IF(INDEX(账户总表!$L:$L,MATCH($A200,账户总表!$A:$A,0))&gt;=4,AA200*1.5,AA200),0))</f>
        <v/>
      </c>
      <c r="AC200" s="19" t="str">
        <f aca="false">IF($A200="","",IF(AND(L200="是",Q200&gt;=R200,S200&lt;=Q200,S200&gt;=R200,W200="是",X200&gt;0,M200="是",INDEX(账户总表!$M:$M,MATCH($A200,账户总表!$A:$A,0))&lt;=2,INDEX(账户总表!$V:$V,MATCH($A200,账户总表!$A:$A,0))="是",OR(T200&lt;=INDEX(账户总表!$C:$C,MATCH($A200,账户总表!$A:$A,0)),AND(Z200="是",INDEX(账户总表!$U:$U,MATCH($A200,账户总表!$A:$A,0))="是",AB200&gt;0))),"是","否"))</f>
        <v/>
      </c>
      <c r="AD200" s="19" t="str">
        <f aca="false">IF($A200="","",IF(L200&lt;&gt;"是","信号未确认",IF(X200&lt;=0,"止损价未定义",IF(Q200&lt;R200,"100股约束不满足",IF(S200&gt;Q200,"计划股数超单股上限",IF(S200&lt;R200,"计划股数低于最小门槛",IF(W200&lt;&gt;"是","总仓位超限",IF(M200&lt;&gt;"是","追价",IF(INDEX(账户总表!$M:$M,MATCH($A200,账户总表!$A:$A,0))&gt;2,"亏钱效应偏高",IF(INDEX(账户总表!$V:$V,MATCH($A200,账户总表!$A:$A,0))&lt;&gt;"是","账户不允许新开仓",IF(AND(T200&gt;INDEX(账户总表!$C:$C,MATCH($A200,账户总表!$A:$A,0)),INDEX(账户总表!$U:$U,MATCH($A200,账户总表!$A:$A,0))&lt;&gt;"是"),"现金不足且不允许转入",IF(AND(Z200="是",AB200&lt;=0),"转入金额未满足",""))))))))))))</f>
        <v/>
      </c>
      <c r="AE200" s="5"/>
    </row>
    <row r="201" customFormat="false" ht="15" hidden="false" customHeight="true" outlineLevel="0" collapsed="false">
      <c r="A201" s="7"/>
      <c r="B201" s="7"/>
      <c r="C201" s="7"/>
      <c r="D201" s="24"/>
      <c r="E201" s="24"/>
      <c r="F201" s="24"/>
      <c r="G201" s="26"/>
      <c r="H201" s="7"/>
      <c r="I201" s="7"/>
      <c r="J201" s="12"/>
      <c r="K201" s="19" t="str">
        <f aca="false">IF($A201="","",IF(AND(G201&lt;45%,H201&gt;=0.9),"A",IF(AND(G201&lt;60%,H201&gt;0.8),"B","C")))</f>
        <v/>
      </c>
      <c r="L201" s="4" t="str">
        <f aca="false">IF($A201="","",IF(AND(G201&lt;60%,H201&gt;0.8,I201="True"),"是","否"))</f>
        <v/>
      </c>
      <c r="M201" s="19" t="str">
        <f aca="false">IF($A201="","",IF(AND(D201&gt;0,E201&gt;0,D201&lt;=E201*1.02),"是","否"))</f>
        <v/>
      </c>
      <c r="N201" s="16" t="n">
        <f aca="false">IFERROR(INDEX(账户总表!$O:$O,MATCH($A201,账户总表!$A:$A,0)),0)</f>
        <v>0</v>
      </c>
      <c r="O201" s="15" t="n">
        <f aca="false">IFERROR(INDEX(账户总表!$B:$B,MATCH($A201,账户总表!$A:$A,0))*N201,0)</f>
        <v>0</v>
      </c>
      <c r="P201" s="18" t="n">
        <f aca="false">IFERROR(O201/D201,0)</f>
        <v>0</v>
      </c>
      <c r="Q201" s="18" t="n">
        <f aca="false">IFERROR(FLOOR(P201,100),0)</f>
        <v>0</v>
      </c>
      <c r="R201" s="18" t="n">
        <f aca="false">IFERROR(CEILING(800/(100*D201),1)*100,0)</f>
        <v>0</v>
      </c>
      <c r="S201" s="25"/>
      <c r="T201" s="15" t="n">
        <f aca="false">IFERROR(S201*D201,0)</f>
        <v>0</v>
      </c>
      <c r="U201" s="16" t="n">
        <f aca="false">IFERROR(T201/INDEX(账户总表!$B:$B,MATCH($A201,账户总表!$A:$A,0)),0)</f>
        <v>0</v>
      </c>
      <c r="V201" s="16" t="n">
        <f aca="false">IFERROR(INDEX(账户总表!$E:$E,MATCH($A201,账户总表!$A:$A,0))+U201,0)</f>
        <v>0</v>
      </c>
      <c r="W201" s="19" t="str">
        <f aca="false">IF($A201="","",IFERROR(IF(V201&lt;=INDEX(账户总表!$N:$N,MATCH($A201,账户总表!$A:$A,0)),"是","否"),"否"))</f>
        <v/>
      </c>
      <c r="X201" s="15" t="str">
        <f aca="false">IF($A201="","",MAX(F201*0.98,D201*0.92))</f>
        <v/>
      </c>
      <c r="Y201" s="7"/>
      <c r="Z201" s="19" t="str">
        <f aca="false">IF($A201="","",IFERROR(IF(AND(T201&gt;INDEX(账户总表!$C:$C,MATCH($A201,账户总表!$A:$A,0)),L201="是"),"是","否"),"否"))</f>
        <v/>
      </c>
      <c r="AA201" s="15" t="str">
        <f aca="false">IF($A201="","",IFERROR(IF(Z201="是",MAX(0,T201-INDEX(账户总表!$C:$C,MATCH($A201,账户总表!$A:$A,0)),IF(N201&gt;0,T201/N201-INDEX(账户总表!$B:$B,MATCH($A201,账户总表!$A:$A,0)),0)),0),0))</f>
        <v/>
      </c>
      <c r="AB201" s="15" t="str">
        <f aca="false">IF($A201="","",IF(AND(Z201="是",INDEX(账户总表!$U:$U,MATCH($A201,账户总表!$A:$A,0))="是"),IF(INDEX(账户总表!$L:$L,MATCH($A201,账户总表!$A:$A,0))&gt;=4,AA201*1.5,AA201),0))</f>
        <v/>
      </c>
      <c r="AC201" s="19" t="str">
        <f aca="false">IF($A201="","",IF(AND(L201="是",Q201&gt;=R201,S201&lt;=Q201,S201&gt;=R201,W201="是",X201&gt;0,M201="是",INDEX(账户总表!$M:$M,MATCH($A201,账户总表!$A:$A,0))&lt;=2,INDEX(账户总表!$V:$V,MATCH($A201,账户总表!$A:$A,0))="是",OR(T201&lt;=INDEX(账户总表!$C:$C,MATCH($A201,账户总表!$A:$A,0)),AND(Z201="是",INDEX(账户总表!$U:$U,MATCH($A201,账户总表!$A:$A,0))="是",AB201&gt;0))),"是","否"))</f>
        <v/>
      </c>
      <c r="AD201" s="19" t="str">
        <f aca="false">IF($A201="","",IF(L201&lt;&gt;"是","信号未确认",IF(X201&lt;=0,"止损价未定义",IF(Q201&lt;R201,"100股约束不满足",IF(S201&gt;Q201,"计划股数超单股上限",IF(S201&lt;R201,"计划股数低于最小门槛",IF(W201&lt;&gt;"是","总仓位超限",IF(M201&lt;&gt;"是","追价",IF(INDEX(账户总表!$M:$M,MATCH($A201,账户总表!$A:$A,0))&gt;2,"亏钱效应偏高",IF(INDEX(账户总表!$V:$V,MATCH($A201,账户总表!$A:$A,0))&lt;&gt;"是","账户不允许新开仓",IF(AND(T201&gt;INDEX(账户总表!$C:$C,MATCH($A201,账户总表!$A:$A,0)),INDEX(账户总表!$U:$U,MATCH($A201,账户总表!$A:$A,0))&lt;&gt;"是"),"现金不足且不允许转入",IF(AND(Z201="是",AB201&lt;=0),"转入金额未满足",""))))))))))))</f>
        <v/>
      </c>
      <c r="AE201" s="7"/>
    </row>
  </sheetData>
  <sheetProtection sheet="true" password="c42e"/>
  <autoFilter ref="A1:AE201"/>
  <conditionalFormatting sqref="L2:L201">
    <cfRule type="expression" priority="2" aboveAverage="0" equalAverage="0" bottom="0" percent="0" rank="0" text="" dxfId="7">
      <formula>L2="是"</formula>
    </cfRule>
    <cfRule type="expression" priority="3" aboveAverage="0" equalAverage="0" bottom="0" percent="0" rank="0" text="" dxfId="8">
      <formula>L2="否"</formula>
    </cfRule>
  </conditionalFormatting>
  <conditionalFormatting sqref="M2:M201">
    <cfRule type="expression" priority="4" aboveAverage="0" equalAverage="0" bottom="0" percent="0" rank="0" text="" dxfId="7">
      <formula>M2="是"</formula>
    </cfRule>
    <cfRule type="expression" priority="5" aboveAverage="0" equalAverage="0" bottom="0" percent="0" rank="0" text="" dxfId="8">
      <formula>M2="否"</formula>
    </cfRule>
  </conditionalFormatting>
  <conditionalFormatting sqref="W2:W201">
    <cfRule type="expression" priority="6" aboveAverage="0" equalAverage="0" bottom="0" percent="0" rank="0" text="" dxfId="7">
      <formula>W2="是"</formula>
    </cfRule>
    <cfRule type="expression" priority="7" aboveAverage="0" equalAverage="0" bottom="0" percent="0" rank="0" text="" dxfId="8">
      <formula>W2="否"</formula>
    </cfRule>
  </conditionalFormatting>
  <conditionalFormatting sqref="AC2:AC201">
    <cfRule type="expression" priority="8" aboveAverage="0" equalAverage="0" bottom="0" percent="0" rank="0" text="" dxfId="7">
      <formula>AC2="是"</formula>
    </cfRule>
    <cfRule type="expression" priority="9" aboveAverage="0" equalAverage="0" bottom="0" percent="0" rank="0" text="" dxfId="8">
      <formula>AC2="否"</formula>
    </cfRule>
  </conditionalFormatting>
  <conditionalFormatting sqref="Z2:Z201">
    <cfRule type="expression" priority="10" aboveAverage="0" equalAverage="0" bottom="0" percent="0" rank="0" text="" dxfId="8">
      <formula>Z2="是"</formula>
    </cfRule>
  </conditionalFormatting>
  <dataValidations count="2">
    <dataValidation allowBlank="true" errorStyle="stop" operator="between" showDropDown="false" showErrorMessage="false" showInputMessage="false" sqref="I2:I201" type="list">
      <formula1>"True,False"</formula1>
      <formula2>0</formula2>
    </dataValidation>
    <dataValidation allowBlank="true" errorStyle="stop" operator="between" showDropDown="false" showErrorMessage="false" showInputMessage="false" sqref="J2:J201" type="list">
      <formula1>"一买,一卖,无"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2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5" min="2" style="1" width="12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4"/>
    <col collapsed="false" customWidth="true" hidden="false" outlineLevel="0" max="10" min="9" style="1" width="12"/>
    <col collapsed="false" customWidth="true" hidden="false" outlineLevel="0" max="11" min="11" style="1" width="13"/>
    <col collapsed="false" customWidth="true" hidden="false" outlineLevel="0" max="12" min="12" style="1" width="14"/>
    <col collapsed="false" customWidth="true" hidden="false" outlineLevel="0" max="13" min="13" style="1" width="26"/>
    <col collapsed="false" customWidth="true" hidden="false" outlineLevel="0" max="14" min="14" style="1" width="12"/>
    <col collapsed="false" customWidth="true" hidden="false" outlineLevel="0" max="15" min="15" style="1" width="26"/>
    <col collapsed="false" customWidth="true" hidden="false" outlineLevel="0" max="16" min="16" style="1" width="12"/>
    <col collapsed="false" customWidth="true" hidden="false" outlineLevel="0" max="18" min="17" style="1" width="13"/>
    <col collapsed="false" customWidth="true" hidden="false" outlineLevel="0" max="20" min="19" style="1" width="12"/>
    <col collapsed="false" customWidth="true" hidden="false" outlineLevel="0" max="21" min="21" style="1" width="26"/>
    <col collapsed="false" customWidth="true" hidden="false" outlineLevel="0" max="22" min="22" style="1" width="10"/>
    <col collapsed="false" customWidth="true" hidden="false" outlineLevel="0" max="23" min="23" style="1" width="13"/>
    <col collapsed="false" customWidth="true" hidden="false" outlineLevel="0" max="26" min="24" style="1" width="10"/>
    <col collapsed="false" customWidth="true" hidden="false" outlineLevel="0" max="27" min="27" style="1" width="13"/>
  </cols>
  <sheetData>
    <row r="1" customFormat="false" ht="15" hidden="false" customHeight="true" outlineLevel="0" collapsed="false">
      <c r="A1" s="2" t="s">
        <v>401</v>
      </c>
      <c r="B1" s="2" t="s">
        <v>292</v>
      </c>
      <c r="C1" s="2" t="s">
        <v>293</v>
      </c>
      <c r="D1" s="2" t="s">
        <v>402</v>
      </c>
      <c r="E1" s="2" t="s">
        <v>403</v>
      </c>
      <c r="F1" s="2" t="s">
        <v>404</v>
      </c>
      <c r="G1" s="2" t="s">
        <v>405</v>
      </c>
      <c r="H1" s="2" t="s">
        <v>406</v>
      </c>
      <c r="I1" s="2" t="s">
        <v>407</v>
      </c>
      <c r="J1" s="2" t="s">
        <v>408</v>
      </c>
      <c r="K1" s="2" t="s">
        <v>409</v>
      </c>
      <c r="L1" s="2" t="s">
        <v>410</v>
      </c>
      <c r="M1" s="2" t="s">
        <v>411</v>
      </c>
      <c r="N1" s="2" t="s">
        <v>412</v>
      </c>
      <c r="O1" s="2" t="s">
        <v>413</v>
      </c>
      <c r="P1" s="2" t="s">
        <v>414</v>
      </c>
      <c r="Q1" s="2" t="s">
        <v>415</v>
      </c>
      <c r="R1" s="2" t="s">
        <v>416</v>
      </c>
      <c r="S1" s="2" t="s">
        <v>417</v>
      </c>
      <c r="T1" s="2" t="s">
        <v>418</v>
      </c>
      <c r="U1" s="2" t="s">
        <v>6</v>
      </c>
      <c r="V1" s="48" t="s">
        <v>419</v>
      </c>
      <c r="W1" s="48" t="s">
        <v>420</v>
      </c>
      <c r="X1" s="49" t="s">
        <v>421</v>
      </c>
      <c r="Y1" s="48" t="s">
        <v>422</v>
      </c>
      <c r="Z1" s="48" t="s">
        <v>423</v>
      </c>
      <c r="AA1" s="48" t="s">
        <v>424</v>
      </c>
    </row>
    <row r="2" customFormat="false" ht="15" hidden="false" customHeight="true" outlineLevel="0" collapsed="false">
      <c r="A2" s="5" t="s">
        <v>425</v>
      </c>
      <c r="B2" s="11" t="s">
        <v>426</v>
      </c>
      <c r="C2" s="5" t="s">
        <v>427</v>
      </c>
      <c r="D2" s="11" t="s">
        <v>428</v>
      </c>
      <c r="E2" s="11" t="s">
        <v>357</v>
      </c>
      <c r="F2" s="14" t="n">
        <v>26.66</v>
      </c>
      <c r="G2" s="17" t="n">
        <v>100</v>
      </c>
      <c r="H2" s="15" t="n">
        <v>2666</v>
      </c>
      <c r="I2" s="14"/>
      <c r="J2" s="17"/>
      <c r="K2" s="16"/>
      <c r="L2" s="14"/>
      <c r="M2" s="5"/>
      <c r="N2" s="5"/>
      <c r="O2" s="11" t="s">
        <v>429</v>
      </c>
      <c r="P2" s="5"/>
      <c r="Q2" s="5"/>
      <c r="R2" s="20"/>
      <c r="S2" s="5"/>
      <c r="T2" s="5"/>
      <c r="U2" s="5"/>
      <c r="V2" s="1" t="str">
        <f aca="false">IF($A2="","",IF(OR(D2="卖出",D2="分红"),IFERROR(INDEX($F$2:$F1,MATCH(2,1/($C$2:$C1=$C2))),""),""))</f>
        <v/>
      </c>
      <c r="W2" s="50" t="n">
        <f aca="false">IF($A2="","",IF(D2="买入",IF(AND(ISNUMBER(L2),L2&gt;0),(F2-L2)*G2,F2*0.08*G2),IF(AND(ISNUMBER(V2),V2&gt;0),IF(AND(ISNUMBER(L2),L2&gt;0),(V2-L2)*G2,V2*0.08*G2),0)))</f>
        <v>213.28</v>
      </c>
      <c r="X2" s="51" t="n">
        <f aca="false">IF($A2="","",IF(D2="买入",0,IFERROR(IF(W2&lt;&gt;0,(H2-IFERROR(INDEX($H$2:$H1,MATCH(2,1/($C$2:$C1=$C2))),0))/W2,0),0)))</f>
        <v>0</v>
      </c>
      <c r="Y2" s="51" t="n">
        <f aca="false">IF($A2="","",X2)</f>
        <v>0</v>
      </c>
      <c r="Z2" s="1" t="str">
        <f aca="false">IF($A2="","",IF(X2&gt;0,"胜1",IF(X2&lt;0,"亏1","平")))</f>
        <v>平</v>
      </c>
      <c r="AA2" s="52" t="n">
        <f aca="false">IF($A2="","",0)</f>
        <v>0</v>
      </c>
    </row>
    <row r="3" customFormat="false" ht="15" hidden="false" customHeight="true" outlineLevel="0" collapsed="false">
      <c r="A3" s="7" t="s">
        <v>430</v>
      </c>
      <c r="B3" s="12" t="s">
        <v>431</v>
      </c>
      <c r="C3" s="7" t="s">
        <v>432</v>
      </c>
      <c r="D3" s="12" t="s">
        <v>428</v>
      </c>
      <c r="E3" s="12" t="s">
        <v>357</v>
      </c>
      <c r="F3" s="24" t="n">
        <v>6.19</v>
      </c>
      <c r="G3" s="25" t="n">
        <v>800</v>
      </c>
      <c r="H3" s="15" t="n">
        <v>4952</v>
      </c>
      <c r="I3" s="24"/>
      <c r="J3" s="25"/>
      <c r="K3" s="16"/>
      <c r="L3" s="24"/>
      <c r="M3" s="7"/>
      <c r="N3" s="7"/>
      <c r="O3" s="12" t="s">
        <v>429</v>
      </c>
      <c r="P3" s="7"/>
      <c r="Q3" s="7"/>
      <c r="R3" s="26"/>
      <c r="S3" s="7"/>
      <c r="T3" s="7"/>
      <c r="U3" s="7"/>
      <c r="V3" s="1" t="str">
        <f aca="false">IF($A3="","",IF(OR(D3="卖出",D3="分红"),IFERROR(INDEX($F$2:$F2,MATCH(2,1/($C$2:$C2=$C3))),""),""))</f>
        <v/>
      </c>
      <c r="W3" s="50" t="n">
        <f aca="false">IF($A3="","",IF(D3="买入",IF(AND(ISNUMBER(L3),L3&gt;0),(F3-L3)*G3,F3*0.08*G3),IF(AND(ISNUMBER(V3),V3&gt;0),IF(AND(ISNUMBER(L3),L3&gt;0),(V3-L3)*G3,V3*0.08*G3),0)))</f>
        <v>396.16</v>
      </c>
      <c r="X3" s="51" t="n">
        <f aca="false">IF($A3="","",IF(D3="买入",0,IFERROR(IF(W3&lt;&gt;0,(H3-IFERROR(INDEX($H$2:$H2,MATCH(2,1/($C$2:$C2=$C3))),0))/W3,0),0)))</f>
        <v>0</v>
      </c>
      <c r="Y3" s="51" t="n">
        <f aca="false">IF($A3="","",Y2+X3)</f>
        <v>0</v>
      </c>
      <c r="Z3" s="1" t="str">
        <f aca="false">IF($A3="","",IF(X3&gt;0,IF(LEFT(Z2,1)="胜","胜"&amp;VALUE(RIGHT(Z2,LEN(Z2)-1))+1,"胜1"),IF(X3&lt;0,IF(LEFT(Z2,1)="亏","亏"&amp;VALUE(RIGHT(Z2,LEN(Z2)-1))+1,"亏1"),"平")))</f>
        <v>平</v>
      </c>
      <c r="AA3" s="52" t="n">
        <f aca="false">IF($A3="","",MAX(0,(MAX($Y$2:Y3)-Y3)/MAX(1,MAX($Y$2:Y3))))</f>
        <v>0</v>
      </c>
    </row>
    <row r="4" customFormat="false" ht="15" hidden="false" customHeight="true" outlineLevel="0" collapsed="false">
      <c r="A4" s="5" t="s">
        <v>433</v>
      </c>
      <c r="B4" s="11" t="s">
        <v>426</v>
      </c>
      <c r="C4" s="5" t="s">
        <v>427</v>
      </c>
      <c r="D4" s="11" t="s">
        <v>434</v>
      </c>
      <c r="E4" s="11" t="s">
        <v>435</v>
      </c>
      <c r="F4" s="14" t="n">
        <v>26.193</v>
      </c>
      <c r="G4" s="17" t="n">
        <v>100</v>
      </c>
      <c r="H4" s="15" t="n">
        <v>2619.3</v>
      </c>
      <c r="I4" s="14"/>
      <c r="J4" s="17"/>
      <c r="K4" s="16"/>
      <c r="L4" s="14"/>
      <c r="M4" s="5"/>
      <c r="N4" s="5"/>
      <c r="O4" s="11" t="s">
        <v>436</v>
      </c>
      <c r="P4" s="5"/>
      <c r="Q4" s="5"/>
      <c r="R4" s="20"/>
      <c r="S4" s="5"/>
      <c r="T4" s="5"/>
      <c r="U4" s="5"/>
      <c r="V4" s="23" t="n">
        <f aca="false">IF($A4="","",IF(OR(D4="卖出",D4="分红"),IFERROR(INDEX($F$2:$F3,MATCH(2,1/($C$2:$C3=$C4))),""),""))</f>
        <v>26.66</v>
      </c>
      <c r="W4" s="50" t="n">
        <f aca="false">IF($A4="","",IF(D4="买入",IF(AND(ISNUMBER(L4),L4&gt;0),(F4-L4)*G4,F4*0.08*G4),IF(AND(ISNUMBER(V4),V4&gt;0),IF(AND(ISNUMBER(L4),L4&gt;0),(V4-L4)*G4,V4*0.08*G4),0)))</f>
        <v>213.28</v>
      </c>
      <c r="X4" s="51" t="n">
        <f aca="false">IF($A4="","",IF(D4="买入",0,IFERROR(IF(W4&lt;&gt;0,(H4-IFERROR(INDEX($H$2:$H3,MATCH(2,1/($C$2:$C3=$C4))),0))/W4,0),0)))</f>
        <v>-0.218960990247561</v>
      </c>
      <c r="Y4" s="51" t="n">
        <f aca="false">IF($A4="","",Y3+X4)</f>
        <v>-0.218960990247561</v>
      </c>
      <c r="Z4" s="1" t="str">
        <f aca="false">IF($A4="","",IF(X4&gt;0,IF(LEFT(Z3,1)="胜","胜"&amp;VALUE(RIGHT(Z3,LEN(Z3)-1))+1,"胜1"),IF(X4&lt;0,IF(LEFT(Z3,1)="亏","亏"&amp;VALUE(RIGHT(Z3,LEN(Z3)-1))+1,"亏1"),"平")))</f>
        <v>亏1</v>
      </c>
      <c r="AA4" s="52" t="n">
        <f aca="false">IF($A4="","",MAX(0,(MAX($Y$2:Y4)-Y4)/MAX(1,MAX($Y$2:Y4))))</f>
        <v>0.218960990247561</v>
      </c>
    </row>
    <row r="5" customFormat="false" ht="15" hidden="false" customHeight="true" outlineLevel="0" collapsed="false">
      <c r="A5" s="7" t="s">
        <v>437</v>
      </c>
      <c r="B5" s="12" t="s">
        <v>431</v>
      </c>
      <c r="C5" s="7" t="s">
        <v>432</v>
      </c>
      <c r="D5" s="12" t="s">
        <v>434</v>
      </c>
      <c r="E5" s="12" t="s">
        <v>435</v>
      </c>
      <c r="F5" s="24" t="n">
        <v>9.001</v>
      </c>
      <c r="G5" s="25" t="n">
        <v>800</v>
      </c>
      <c r="H5" s="15" t="n">
        <v>7200.8</v>
      </c>
      <c r="I5" s="24"/>
      <c r="J5" s="25"/>
      <c r="K5" s="16"/>
      <c r="L5" s="24"/>
      <c r="M5" s="7"/>
      <c r="N5" s="7"/>
      <c r="O5" s="12" t="s">
        <v>438</v>
      </c>
      <c r="P5" s="7"/>
      <c r="Q5" s="7"/>
      <c r="R5" s="26"/>
      <c r="S5" s="7"/>
      <c r="T5" s="7"/>
      <c r="U5" s="7"/>
      <c r="V5" s="23" t="n">
        <f aca="false">IF($A5="","",IF(OR(D5="卖出",D5="分红"),IFERROR(INDEX($F$2:$F4,MATCH(2,1/($C$2:$C4=$C5))),""),""))</f>
        <v>6.19</v>
      </c>
      <c r="W5" s="50" t="n">
        <f aca="false">IF($A5="","",IF(D5="买入",IF(AND(ISNUMBER(L5),L5&gt;0),(F5-L5)*G5,F5*0.08*G5),IF(AND(ISNUMBER(V5),V5&gt;0),IF(AND(ISNUMBER(L5),L5&gt;0),(V5-L5)*G5,V5*0.08*G5),0)))</f>
        <v>396.16</v>
      </c>
      <c r="X5" s="51" t="n">
        <f aca="false">IF($A5="","",IF(D5="买入",0,IFERROR(IF(W5&lt;&gt;0,(H5-IFERROR(INDEX($H$2:$H4,MATCH(2,1/($C$2:$C4=$C5))),0))/W5,0),0)))</f>
        <v>5.6764943457189</v>
      </c>
      <c r="Y5" s="51" t="n">
        <f aca="false">IF($A5="","",Y4+X5)</f>
        <v>5.45753335547134</v>
      </c>
      <c r="Z5" s="1" t="str">
        <f aca="false">IF($A5="","",IF(X5&gt;0,IF(LEFT(Z4,1)="胜","胜"&amp;VALUE(RIGHT(Z4,LEN(Z4)-1))+1,"胜1"),IF(X5&lt;0,IF(LEFT(Z4,1)="亏","亏"&amp;VALUE(RIGHT(Z4,LEN(Z4)-1))+1,"亏1"),"平")))</f>
        <v>胜1</v>
      </c>
      <c r="AA5" s="52" t="n">
        <f aca="false">IF($A5="","",MAX(0,(MAX($Y$2:Y5)-Y5)/MAX(1,MAX($Y$2:Y5))))</f>
        <v>0</v>
      </c>
    </row>
    <row r="6" customFormat="false" ht="15" hidden="false" customHeight="true" outlineLevel="0" collapsed="false">
      <c r="A6" s="5" t="s">
        <v>439</v>
      </c>
      <c r="B6" s="11" t="s">
        <v>440</v>
      </c>
      <c r="C6" s="5" t="s">
        <v>441</v>
      </c>
      <c r="D6" s="11" t="s">
        <v>428</v>
      </c>
      <c r="E6" s="11" t="s">
        <v>357</v>
      </c>
      <c r="F6" s="14" t="n">
        <v>78.81</v>
      </c>
      <c r="G6" s="17" t="n">
        <v>300</v>
      </c>
      <c r="H6" s="15" t="n">
        <v>23643</v>
      </c>
      <c r="I6" s="14"/>
      <c r="J6" s="17"/>
      <c r="K6" s="16"/>
      <c r="L6" s="14"/>
      <c r="M6" s="5"/>
      <c r="N6" s="5"/>
      <c r="O6" s="11" t="s">
        <v>442</v>
      </c>
      <c r="P6" s="5"/>
      <c r="Q6" s="5"/>
      <c r="R6" s="20"/>
      <c r="S6" s="5"/>
      <c r="T6" s="5"/>
      <c r="U6" s="5"/>
      <c r="V6" s="1" t="str">
        <f aca="false">IF($A6="","",IF(OR(D6="卖出",D6="分红"),IFERROR(INDEX($F$2:$F5,MATCH(2,1/($C$2:$C5=$C6))),""),""))</f>
        <v/>
      </c>
      <c r="W6" s="50" t="n">
        <f aca="false">IF($A6="","",IF(D6="买入",IF(AND(ISNUMBER(L6),L6&gt;0),(F6-L6)*G6,F6*0.08*G6),IF(AND(ISNUMBER(V6),V6&gt;0),IF(AND(ISNUMBER(L6),L6&gt;0),(V6-L6)*G6,V6*0.08*G6),0)))</f>
        <v>1891.44</v>
      </c>
      <c r="X6" s="51" t="n">
        <f aca="false">IF($A6="","",IF(D6="买入",0,IFERROR(IF(W6&lt;&gt;0,(H6-IFERROR(INDEX($H$2:$H5,MATCH(2,1/($C$2:$C5=$C6))),0))/W6,0),0)))</f>
        <v>0</v>
      </c>
      <c r="Y6" s="51" t="n">
        <f aca="false">IF($A6="","",Y5+X6)</f>
        <v>5.45753335547134</v>
      </c>
      <c r="Z6" s="1" t="str">
        <f aca="false">IF($A6="","",IF(X6&gt;0,IF(LEFT(Z5,1)="胜","胜"&amp;VALUE(RIGHT(Z5,LEN(Z5)-1))+1,"胜1"),IF(X6&lt;0,IF(LEFT(Z5,1)="亏","亏"&amp;VALUE(RIGHT(Z5,LEN(Z5)-1))+1,"亏1"),"平")))</f>
        <v>平</v>
      </c>
      <c r="AA6" s="52" t="n">
        <f aca="false">IF($A6="","",MAX(0,(MAX($Y$2:Y6)-Y6)/MAX(1,MAX($Y$2:Y6))))</f>
        <v>0</v>
      </c>
    </row>
    <row r="7" customFormat="false" ht="15" hidden="false" customHeight="true" outlineLevel="0" collapsed="false">
      <c r="A7" s="7" t="s">
        <v>443</v>
      </c>
      <c r="B7" s="12" t="s">
        <v>440</v>
      </c>
      <c r="C7" s="7" t="s">
        <v>441</v>
      </c>
      <c r="D7" s="12" t="s">
        <v>434</v>
      </c>
      <c r="E7" s="12" t="s">
        <v>444</v>
      </c>
      <c r="F7" s="24" t="n">
        <v>85</v>
      </c>
      <c r="G7" s="25" t="n">
        <v>300</v>
      </c>
      <c r="H7" s="15" t="n">
        <v>25500</v>
      </c>
      <c r="I7" s="24"/>
      <c r="J7" s="25"/>
      <c r="K7" s="16"/>
      <c r="L7" s="24"/>
      <c r="M7" s="7"/>
      <c r="N7" s="7"/>
      <c r="O7" s="7" t="s">
        <v>445</v>
      </c>
      <c r="P7" s="7"/>
      <c r="Q7" s="7"/>
      <c r="R7" s="26"/>
      <c r="S7" s="7"/>
      <c r="T7" s="7"/>
      <c r="U7" s="7"/>
      <c r="V7" s="23" t="str">
        <f aca="false">IF($A7="","",IF(OR(D7="卖出",D7="分红"),IFERROR(INDEX($F$2:$F6,MATCH(2,1/($C$2:$C6=$C7))),""),""))</f>
        <v/>
      </c>
      <c r="W7" s="50" t="n">
        <f aca="false">IF($A7="","",IF(D7="买入",IF(AND(ISNUMBER(L7),L7&gt;0),(F7-L7)*G7,F7*0.08*G7),IF(AND(ISNUMBER(V7),V7&gt;0),IF(AND(ISNUMBER(L7),L7&gt;0),(V7-L7)*G7,V7*0.08*G7),0)))</f>
        <v>0</v>
      </c>
      <c r="X7" s="51" t="n">
        <f aca="false">IF($A7="","",IF(D7="买入",0,IFERROR(IF(W7&lt;&gt;0,(H7-IFERROR(INDEX($H$2:$H6,MATCH(2,1/($C$2:$C6=$C7))),0))/W7,0),0)))</f>
        <v>0</v>
      </c>
      <c r="Y7" s="51" t="n">
        <f aca="false">IF($A7="","",Y6+X7)</f>
        <v>5.45753335547134</v>
      </c>
      <c r="Z7" s="1" t="str">
        <f aca="false">IF($A7="","",IF(X7&gt;0,IF(LEFT(Z6,1)="胜","胜"&amp;VALUE(RIGHT(Z6,LEN(Z6)-1))+1,"胜1"),IF(X7&lt;0,IF(LEFT(Z6,1)="亏","亏"&amp;VALUE(RIGHT(Z6,LEN(Z6)-1))+1,"亏1"),"平")))</f>
        <v>平</v>
      </c>
      <c r="AA7" s="52" t="n">
        <f aca="false">IF($A7="","",MAX(0,(MAX($Y$2:Y7)-Y7)/MAX(1,MAX($Y$2:Y7))))</f>
        <v>0</v>
      </c>
    </row>
    <row r="8" customFormat="false" ht="15" hidden="false" customHeight="true" outlineLevel="0" collapsed="false">
      <c r="A8" s="5" t="s">
        <v>443</v>
      </c>
      <c r="B8" s="11" t="s">
        <v>440</v>
      </c>
      <c r="C8" s="5" t="s">
        <v>441</v>
      </c>
      <c r="D8" s="11" t="s">
        <v>428</v>
      </c>
      <c r="E8" s="11" t="s">
        <v>444</v>
      </c>
      <c r="F8" s="14" t="n">
        <v>83</v>
      </c>
      <c r="G8" s="17" t="n">
        <v>300</v>
      </c>
      <c r="H8" s="15" t="n">
        <v>24900</v>
      </c>
      <c r="I8" s="14"/>
      <c r="J8" s="17"/>
      <c r="K8" s="16"/>
      <c r="L8" s="14"/>
      <c r="M8" s="5"/>
      <c r="N8" s="5"/>
      <c r="O8" s="5" t="s">
        <v>446</v>
      </c>
      <c r="P8" s="5"/>
      <c r="Q8" s="5"/>
      <c r="R8" s="20"/>
      <c r="S8" s="5"/>
      <c r="T8" s="5"/>
      <c r="U8" s="5"/>
      <c r="V8" s="1" t="str">
        <f aca="false">IF($A8="","",IF(OR(D8="卖出",D8="分红"),IFERROR(INDEX($F$2:$F7,MATCH(2,1/($C$2:$C7=$C8))),""),""))</f>
        <v/>
      </c>
      <c r="W8" s="50" t="n">
        <f aca="false">IF($A8="","",IF(D8="买入",IF(AND(ISNUMBER(L8),L8&gt;0),(F8-L8)*G8,F8*0.08*G8),IF(AND(ISNUMBER(V8),V8&gt;0),IF(AND(ISNUMBER(L8),L8&gt;0),(V8-L8)*G8,V8*0.08*G8),0)))</f>
        <v>1992</v>
      </c>
      <c r="X8" s="51" t="n">
        <f aca="false">IF($A8="","",IF(D8="买入",0,IFERROR(IF(W8&lt;&gt;0,(H8-IFERROR(INDEX($H$2:$H7,MATCH(2,1/($C$2:$C7=$C8))),0))/W8,0),0)))</f>
        <v>0</v>
      </c>
      <c r="Y8" s="51" t="n">
        <f aca="false">IF($A8="","",Y7+X8)</f>
        <v>5.45753335547134</v>
      </c>
      <c r="Z8" s="1" t="str">
        <f aca="false">IF($A8="","",IF(X8&gt;0,IF(LEFT(Z7,1)="胜","胜"&amp;VALUE(RIGHT(Z7,LEN(Z7)-1))+1,"胜1"),IF(X8&lt;0,IF(LEFT(Z7,1)="亏","亏"&amp;VALUE(RIGHT(Z7,LEN(Z7)-1))+1,"亏1"),"平")))</f>
        <v>平</v>
      </c>
      <c r="AA8" s="52" t="n">
        <f aca="false">IF($A8="","",MAX(0,(MAX($Y$2:Y8)-Y8)/MAX(1,MAX($Y$2:Y8))))</f>
        <v>0</v>
      </c>
    </row>
    <row r="9" customFormat="false" ht="15" hidden="false" customHeight="true" outlineLevel="0" collapsed="false">
      <c r="A9" s="7" t="s">
        <v>447</v>
      </c>
      <c r="B9" s="12" t="s">
        <v>440</v>
      </c>
      <c r="C9" s="7" t="s">
        <v>441</v>
      </c>
      <c r="D9" s="12" t="s">
        <v>434</v>
      </c>
      <c r="E9" s="12" t="s">
        <v>444</v>
      </c>
      <c r="F9" s="24" t="n">
        <v>95</v>
      </c>
      <c r="G9" s="25" t="n">
        <v>300</v>
      </c>
      <c r="H9" s="15" t="n">
        <v>28500</v>
      </c>
      <c r="I9" s="24"/>
      <c r="J9" s="25"/>
      <c r="K9" s="16"/>
      <c r="L9" s="24"/>
      <c r="M9" s="7"/>
      <c r="N9" s="7"/>
      <c r="O9" s="7" t="s">
        <v>445</v>
      </c>
      <c r="P9" s="7"/>
      <c r="Q9" s="7"/>
      <c r="R9" s="26"/>
      <c r="S9" s="7"/>
      <c r="T9" s="7"/>
      <c r="U9" s="7"/>
      <c r="V9" s="23" t="str">
        <f aca="false">IF($A9="","",IF(OR(D9="卖出",D9="分红"),IFERROR(INDEX($F$2:$F8,MATCH(2,1/($C$2:$C8=$C9))),""),""))</f>
        <v/>
      </c>
      <c r="W9" s="50" t="n">
        <f aca="false">IF($A9="","",IF(D9="买入",IF(AND(ISNUMBER(L9),L9&gt;0),(F9-L9)*G9,F9*0.08*G9),IF(AND(ISNUMBER(V9),V9&gt;0),IF(AND(ISNUMBER(L9),L9&gt;0),(V9-L9)*G9,V9*0.08*G9),0)))</f>
        <v>0</v>
      </c>
      <c r="X9" s="51" t="n">
        <f aca="false">IF($A9="","",IF(D9="买入",0,IFERROR(IF(W9&lt;&gt;0,(H9-IFERROR(INDEX($H$2:$H8,MATCH(2,1/($C$2:$C8=$C9))),0))/W9,0),0)))</f>
        <v>0</v>
      </c>
      <c r="Y9" s="51" t="n">
        <f aca="false">IF($A9="","",Y8+X9)</f>
        <v>5.45753335547134</v>
      </c>
      <c r="Z9" s="1" t="str">
        <f aca="false">IF($A9="","",IF(X9&gt;0,IF(LEFT(Z8,1)="胜","胜"&amp;VALUE(RIGHT(Z8,LEN(Z8)-1))+1,"胜1"),IF(X9&lt;0,IF(LEFT(Z8,1)="亏","亏"&amp;VALUE(RIGHT(Z8,LEN(Z8)-1))+1,"亏1"),"平")))</f>
        <v>平</v>
      </c>
      <c r="AA9" s="52" t="n">
        <f aca="false">IF($A9="","",MAX(0,(MAX($Y$2:Y9)-Y9)/MAX(1,MAX($Y$2:Y9))))</f>
        <v>0</v>
      </c>
    </row>
    <row r="10" customFormat="false" ht="15" hidden="false" customHeight="true" outlineLevel="0" collapsed="false">
      <c r="A10" s="5" t="s">
        <v>447</v>
      </c>
      <c r="B10" s="11" t="s">
        <v>440</v>
      </c>
      <c r="C10" s="5" t="s">
        <v>441</v>
      </c>
      <c r="D10" s="11" t="s">
        <v>428</v>
      </c>
      <c r="E10" s="11" t="s">
        <v>444</v>
      </c>
      <c r="F10" s="14" t="n">
        <v>93</v>
      </c>
      <c r="G10" s="17" t="n">
        <v>300</v>
      </c>
      <c r="H10" s="15" t="n">
        <v>27900</v>
      </c>
      <c r="I10" s="14"/>
      <c r="J10" s="17"/>
      <c r="K10" s="16"/>
      <c r="L10" s="14"/>
      <c r="M10" s="5"/>
      <c r="N10" s="5"/>
      <c r="O10" s="5" t="s">
        <v>446</v>
      </c>
      <c r="P10" s="5"/>
      <c r="Q10" s="5"/>
      <c r="R10" s="20"/>
      <c r="S10" s="5"/>
      <c r="T10" s="5"/>
      <c r="U10" s="5"/>
      <c r="V10" s="1" t="str">
        <f aca="false">IF($A10="","",IF(OR(D10="卖出",D10="分红"),IFERROR(INDEX($F$2:$F9,MATCH(2,1/($C$2:$C9=$C10))),""),""))</f>
        <v/>
      </c>
      <c r="W10" s="50" t="n">
        <f aca="false">IF($A10="","",IF(D10="买入",IF(AND(ISNUMBER(L10),L10&gt;0),(F10-L10)*G10,F10*0.08*G10),IF(AND(ISNUMBER(V10),V10&gt;0),IF(AND(ISNUMBER(L10),L10&gt;0),(V10-L10)*G10,V10*0.08*G10),0)))</f>
        <v>2232</v>
      </c>
      <c r="X10" s="51" t="n">
        <f aca="false">IF($A10="","",IF(D10="买入",0,IFERROR(IF(W10&lt;&gt;0,(H10-IFERROR(INDEX($H$2:$H9,MATCH(2,1/($C$2:$C9=$C10))),0))/W10,0),0)))</f>
        <v>0</v>
      </c>
      <c r="Y10" s="51" t="n">
        <f aca="false">IF($A10="","",Y9+X10)</f>
        <v>5.45753335547134</v>
      </c>
      <c r="Z10" s="1" t="str">
        <f aca="false">IF($A10="","",IF(X10&gt;0,IF(LEFT(Z9,1)="胜","胜"&amp;VALUE(RIGHT(Z9,LEN(Z9)-1))+1,"胜1"),IF(X10&lt;0,IF(LEFT(Z9,1)="亏","亏"&amp;VALUE(RIGHT(Z9,LEN(Z9)-1))+1,"亏1"),"平")))</f>
        <v>平</v>
      </c>
      <c r="AA10" s="52" t="n">
        <f aca="false">IF($A10="","",MAX(0,(MAX($Y$2:Y10)-Y10)/MAX(1,MAX($Y$2:Y10))))</f>
        <v>0</v>
      </c>
    </row>
    <row r="11" customFormat="false" ht="15" hidden="false" customHeight="true" outlineLevel="0" collapsed="false">
      <c r="A11" s="7" t="s">
        <v>448</v>
      </c>
      <c r="B11" s="12" t="s">
        <v>440</v>
      </c>
      <c r="C11" s="7" t="s">
        <v>441</v>
      </c>
      <c r="D11" s="12" t="s">
        <v>434</v>
      </c>
      <c r="E11" s="12" t="s">
        <v>435</v>
      </c>
      <c r="F11" s="24" t="n">
        <v>101.947</v>
      </c>
      <c r="G11" s="25" t="n">
        <v>300</v>
      </c>
      <c r="H11" s="15" t="n">
        <v>30584.1</v>
      </c>
      <c r="I11" s="24"/>
      <c r="J11" s="25"/>
      <c r="K11" s="16"/>
      <c r="L11" s="24"/>
      <c r="M11" s="7"/>
      <c r="N11" s="7"/>
      <c r="O11" s="12" t="s">
        <v>449</v>
      </c>
      <c r="P11" s="7"/>
      <c r="Q11" s="7"/>
      <c r="R11" s="26"/>
      <c r="S11" s="7"/>
      <c r="T11" s="7"/>
      <c r="U11" s="7"/>
      <c r="V11" s="23" t="n">
        <f aca="false">IF($A11="","",IF(OR(D11="卖出",D11="分红"),IFERROR(INDEX($F$2:$F10,MATCH(2,1/($C$2:$C10=$C11))),""),""))</f>
        <v>93</v>
      </c>
      <c r="W11" s="50" t="n">
        <f aca="false">IF($A11="","",IF(D11="买入",IF(AND(ISNUMBER(L11),L11&gt;0),(F11-L11)*G11,F11*0.08*G11),IF(AND(ISNUMBER(V11),V11&gt;0),IF(AND(ISNUMBER(L11),L11&gt;0),(V11-L11)*G11,V11*0.08*G11),0)))</f>
        <v>2232</v>
      </c>
      <c r="X11" s="51" t="n">
        <f aca="false">IF($A11="","",IF(D11="买入",0,IFERROR(IF(W11&lt;&gt;0,(H11-IFERROR(INDEX($H$2:$H10,MATCH(2,1/($C$2:$C10=$C11))),0))/W11,0),0)))</f>
        <v>1.20255376344086</v>
      </c>
      <c r="Y11" s="51" t="n">
        <f aca="false">IF($A11="","",Y10+X11)</f>
        <v>6.6600871189122</v>
      </c>
      <c r="Z11" s="1" t="str">
        <f aca="false">IF($A11="","",IF(X11&gt;0,IF(LEFT(Z10,1)="胜","胜"&amp;VALUE(RIGHT(Z10,LEN(Z10)-1))+1,"胜1"),IF(X11&lt;0,IF(LEFT(Z10,1)="亏","亏"&amp;VALUE(RIGHT(Z10,LEN(Z10)-1))+1,"亏1"),"平")))</f>
        <v>胜1</v>
      </c>
      <c r="AA11" s="52" t="n">
        <f aca="false">IF($A11="","",MAX(0,(MAX($Y$2:Y11)-Y11)/MAX(1,MAX($Y$2:Y11))))</f>
        <v>0</v>
      </c>
    </row>
    <row r="12" customFormat="false" ht="15" hidden="false" customHeight="true" outlineLevel="0" collapsed="false">
      <c r="A12" s="5" t="s">
        <v>450</v>
      </c>
      <c r="B12" s="11" t="s">
        <v>451</v>
      </c>
      <c r="C12" s="5" t="s">
        <v>452</v>
      </c>
      <c r="D12" s="11" t="s">
        <v>428</v>
      </c>
      <c r="E12" s="11" t="s">
        <v>357</v>
      </c>
      <c r="F12" s="14" t="n">
        <v>27.983</v>
      </c>
      <c r="G12" s="17" t="n">
        <v>300</v>
      </c>
      <c r="H12" s="15" t="n">
        <v>8394.9</v>
      </c>
      <c r="I12" s="14"/>
      <c r="J12" s="17"/>
      <c r="K12" s="16"/>
      <c r="L12" s="14"/>
      <c r="M12" s="5"/>
      <c r="N12" s="5"/>
      <c r="O12" s="11" t="s">
        <v>453</v>
      </c>
      <c r="P12" s="5"/>
      <c r="Q12" s="5"/>
      <c r="R12" s="20"/>
      <c r="S12" s="5"/>
      <c r="T12" s="5"/>
      <c r="U12" s="5"/>
      <c r="V12" s="1" t="str">
        <f aca="false">IF($A12="","",IF(OR(D12="卖出",D12="分红"),IFERROR(INDEX($F$2:$F11,MATCH(2,1/($C$2:$C11=$C12))),""),""))</f>
        <v/>
      </c>
      <c r="W12" s="50" t="n">
        <f aca="false">IF($A12="","",IF(D12="买入",IF(AND(ISNUMBER(L12),L12&gt;0),(F12-L12)*G12,F12*0.08*G12),IF(AND(ISNUMBER(V12),V12&gt;0),IF(AND(ISNUMBER(L12),L12&gt;0),(V12-L12)*G12,V12*0.08*G12),0)))</f>
        <v>671.592</v>
      </c>
      <c r="X12" s="51" t="n">
        <f aca="false">IF($A12="","",IF(D12="买入",0,IFERROR(IF(W12&lt;&gt;0,(H12-IFERROR(INDEX($H$2:$H11,MATCH(2,1/($C$2:$C11=$C12))),0))/W12,0),0)))</f>
        <v>0</v>
      </c>
      <c r="Y12" s="51" t="n">
        <f aca="false">IF($A12="","",Y11+X12)</f>
        <v>6.6600871189122</v>
      </c>
      <c r="Z12" s="1" t="str">
        <f aca="false">IF($A12="","",IF(X12&gt;0,IF(LEFT(Z11,1)="胜","胜"&amp;VALUE(RIGHT(Z11,LEN(Z11)-1))+1,"胜1"),IF(X12&lt;0,IF(LEFT(Z11,1)="亏","亏"&amp;VALUE(RIGHT(Z11,LEN(Z11)-1))+1,"亏1"),"平")))</f>
        <v>平</v>
      </c>
      <c r="AA12" s="52" t="n">
        <f aca="false">IF($A12="","",MAX(0,(MAX($Y$2:Y12)-Y12)/MAX(1,MAX($Y$2:Y12))))</f>
        <v>0</v>
      </c>
    </row>
    <row r="13" customFormat="false" ht="15" hidden="false" customHeight="true" outlineLevel="0" collapsed="false">
      <c r="A13" s="7" t="s">
        <v>454</v>
      </c>
      <c r="B13" s="12" t="s">
        <v>318</v>
      </c>
      <c r="C13" s="7" t="s">
        <v>319</v>
      </c>
      <c r="D13" s="12" t="s">
        <v>428</v>
      </c>
      <c r="E13" s="12" t="s">
        <v>357</v>
      </c>
      <c r="F13" s="24" t="n">
        <v>5.327</v>
      </c>
      <c r="G13" s="25" t="n">
        <v>600</v>
      </c>
      <c r="H13" s="15" t="n">
        <v>3196.2</v>
      </c>
      <c r="I13" s="24"/>
      <c r="J13" s="25"/>
      <c r="K13" s="16"/>
      <c r="L13" s="24"/>
      <c r="M13" s="7"/>
      <c r="N13" s="7"/>
      <c r="O13" s="12" t="s">
        <v>455</v>
      </c>
      <c r="P13" s="7"/>
      <c r="Q13" s="7"/>
      <c r="R13" s="26"/>
      <c r="S13" s="7"/>
      <c r="T13" s="7"/>
      <c r="U13" s="7"/>
      <c r="V13" s="1" t="str">
        <f aca="false">IF($A13="","",IF(OR(D13="卖出",D13="分红"),IFERROR(INDEX($F$2:$F12,MATCH(2,1/($C$2:$C12=$C13))),""),""))</f>
        <v/>
      </c>
      <c r="W13" s="50" t="n">
        <f aca="false">IF($A13="","",IF(D13="买入",IF(AND(ISNUMBER(L13),L13&gt;0),(F13-L13)*G13,F13*0.08*G13),IF(AND(ISNUMBER(V13),V13&gt;0),IF(AND(ISNUMBER(L13),L13&gt;0),(V13-L13)*G13,V13*0.08*G13),0)))</f>
        <v>255.696</v>
      </c>
      <c r="X13" s="51" t="n">
        <f aca="false">IF($A13="","",IF(D13="买入",0,IFERROR(IF(W13&lt;&gt;0,(H13-IFERROR(INDEX($H$2:$H12,MATCH(2,1/($C$2:$C12=$C13))),0))/W13,0),0)))</f>
        <v>0</v>
      </c>
      <c r="Y13" s="51" t="n">
        <f aca="false">IF($A13="","",Y12+X13)</f>
        <v>6.6600871189122</v>
      </c>
      <c r="Z13" s="1" t="str">
        <f aca="false">IF($A13="","",IF(X13&gt;0,IF(LEFT(Z12,1)="胜","胜"&amp;VALUE(RIGHT(Z12,LEN(Z12)-1))+1,"胜1"),IF(X13&lt;0,IF(LEFT(Z12,1)="亏","亏"&amp;VALUE(RIGHT(Z12,LEN(Z12)-1))+1,"亏1"),"平")))</f>
        <v>平</v>
      </c>
      <c r="AA13" s="52" t="n">
        <f aca="false">IF($A13="","",MAX(0,(MAX($Y$2:Y13)-Y13)/MAX(1,MAX($Y$2:Y13))))</f>
        <v>0</v>
      </c>
    </row>
    <row r="14" customFormat="false" ht="15" hidden="false" customHeight="true" outlineLevel="0" collapsed="false">
      <c r="A14" s="5" t="s">
        <v>456</v>
      </c>
      <c r="B14" s="11" t="s">
        <v>318</v>
      </c>
      <c r="C14" s="5" t="s">
        <v>319</v>
      </c>
      <c r="D14" s="11" t="s">
        <v>434</v>
      </c>
      <c r="E14" s="11" t="s">
        <v>435</v>
      </c>
      <c r="F14" s="14" t="n">
        <v>5.22</v>
      </c>
      <c r="G14" s="17" t="n">
        <v>600</v>
      </c>
      <c r="H14" s="15" t="n">
        <v>3132</v>
      </c>
      <c r="I14" s="14"/>
      <c r="J14" s="17"/>
      <c r="K14" s="16"/>
      <c r="L14" s="14"/>
      <c r="M14" s="5"/>
      <c r="N14" s="5"/>
      <c r="O14" s="11" t="s">
        <v>457</v>
      </c>
      <c r="P14" s="5"/>
      <c r="Q14" s="5"/>
      <c r="R14" s="20"/>
      <c r="S14" s="5"/>
      <c r="T14" s="5"/>
      <c r="U14" s="5"/>
      <c r="V14" s="23" t="str">
        <f aca="false">IF($A14="","",IF(OR(D14="卖出",D14="分红"),IFERROR(INDEX($F$2:$F13,MATCH(2,1/($C$2:$C13=$C14))),""),""))</f>
        <v/>
      </c>
      <c r="W14" s="50" t="n">
        <f aca="false">IF($A14="","",IF(D14="买入",IF(AND(ISNUMBER(L14),L14&gt;0),(F14-L14)*G14,F14*0.08*G14),IF(AND(ISNUMBER(V14),V14&gt;0),IF(AND(ISNUMBER(L14),L14&gt;0),(V14-L14)*G14,V14*0.08*G14),0)))</f>
        <v>0</v>
      </c>
      <c r="X14" s="51" t="n">
        <f aca="false">IF($A14="","",IF(D14="买入",0,IFERROR(IF(W14&lt;&gt;0,(H14-IFERROR(INDEX($H$2:$H13,MATCH(2,1/($C$2:$C13=$C14))),0))/W14,0),0)))</f>
        <v>0</v>
      </c>
      <c r="Y14" s="51" t="n">
        <f aca="false">IF($A14="","",Y13+X14)</f>
        <v>6.6600871189122</v>
      </c>
      <c r="Z14" s="1" t="str">
        <f aca="false">IF($A14="","",IF(X14&gt;0,IF(LEFT(Z13,1)="胜","胜"&amp;VALUE(RIGHT(Z13,LEN(Z13)-1))+1,"胜1"),IF(X14&lt;0,IF(LEFT(Z13,1)="亏","亏"&amp;VALUE(RIGHT(Z13,LEN(Z13)-1))+1,"亏1"),"平")))</f>
        <v>平</v>
      </c>
      <c r="AA14" s="52" t="n">
        <f aca="false">IF($A14="","",MAX(0,(MAX($Y$2:Y14)-Y14)/MAX(1,MAX($Y$2:Y14))))</f>
        <v>0</v>
      </c>
    </row>
    <row r="15" customFormat="false" ht="15" hidden="false" customHeight="true" outlineLevel="0" collapsed="false">
      <c r="A15" s="7" t="s">
        <v>458</v>
      </c>
      <c r="B15" s="12" t="s">
        <v>451</v>
      </c>
      <c r="C15" s="7" t="s">
        <v>452</v>
      </c>
      <c r="D15" s="12" t="s">
        <v>434</v>
      </c>
      <c r="E15" s="12" t="s">
        <v>435</v>
      </c>
      <c r="F15" s="24" t="n">
        <v>28.383</v>
      </c>
      <c r="G15" s="25" t="n">
        <v>300</v>
      </c>
      <c r="H15" s="15" t="n">
        <v>8514.9</v>
      </c>
      <c r="I15" s="24"/>
      <c r="J15" s="25"/>
      <c r="K15" s="16"/>
      <c r="L15" s="24"/>
      <c r="M15" s="7"/>
      <c r="N15" s="7"/>
      <c r="O15" s="12" t="s">
        <v>459</v>
      </c>
      <c r="P15" s="7"/>
      <c r="Q15" s="7"/>
      <c r="R15" s="26"/>
      <c r="S15" s="7"/>
      <c r="T15" s="7"/>
      <c r="U15" s="7"/>
      <c r="V15" s="23" t="str">
        <f aca="false">IF($A15="","",IF(OR(D15="卖出",D15="分红"),IFERROR(INDEX($F$2:$F14,MATCH(2,1/($C$2:$C14=$C15))),""),""))</f>
        <v/>
      </c>
      <c r="W15" s="50" t="n">
        <f aca="false">IF($A15="","",IF(D15="买入",IF(AND(ISNUMBER(L15),L15&gt;0),(F15-L15)*G15,F15*0.08*G15),IF(AND(ISNUMBER(V15),V15&gt;0),IF(AND(ISNUMBER(L15),L15&gt;0),(V15-L15)*G15,V15*0.08*G15),0)))</f>
        <v>0</v>
      </c>
      <c r="X15" s="51" t="n">
        <f aca="false">IF($A15="","",IF(D15="买入",0,IFERROR(IF(W15&lt;&gt;0,(H15-IFERROR(INDEX($H$2:$H14,MATCH(2,1/($C$2:$C14=$C15))),0))/W15,0),0)))</f>
        <v>0</v>
      </c>
      <c r="Y15" s="51" t="n">
        <f aca="false">IF($A15="","",Y14+X15)</f>
        <v>6.6600871189122</v>
      </c>
      <c r="Z15" s="1" t="str">
        <f aca="false">IF($A15="","",IF(X15&gt;0,IF(LEFT(Z14,1)="胜","胜"&amp;VALUE(RIGHT(Z14,LEN(Z14)-1))+1,"胜1"),IF(X15&lt;0,IF(LEFT(Z14,1)="亏","亏"&amp;VALUE(RIGHT(Z14,LEN(Z14)-1))+1,"亏1"),"平")))</f>
        <v>平</v>
      </c>
      <c r="AA15" s="52" t="n">
        <f aca="false">IF($A15="","",MAX(0,(MAX($Y$2:Y15)-Y15)/MAX(1,MAX($Y$2:Y15))))</f>
        <v>0</v>
      </c>
    </row>
    <row r="16" customFormat="false" ht="15" hidden="false" customHeight="true" outlineLevel="0" collapsed="false">
      <c r="A16" s="5" t="s">
        <v>460</v>
      </c>
      <c r="B16" s="11" t="s">
        <v>320</v>
      </c>
      <c r="C16" s="5" t="s">
        <v>321</v>
      </c>
      <c r="D16" s="11" t="s">
        <v>428</v>
      </c>
      <c r="E16" s="11" t="s">
        <v>357</v>
      </c>
      <c r="F16" s="14" t="n">
        <v>69.29</v>
      </c>
      <c r="G16" s="17" t="n">
        <v>200</v>
      </c>
      <c r="H16" s="15" t="n">
        <v>13858</v>
      </c>
      <c r="I16" s="14"/>
      <c r="J16" s="17"/>
      <c r="K16" s="16"/>
      <c r="L16" s="14"/>
      <c r="M16" s="5"/>
      <c r="N16" s="5"/>
      <c r="O16" s="11" t="s">
        <v>429</v>
      </c>
      <c r="P16" s="5"/>
      <c r="Q16" s="5"/>
      <c r="R16" s="20"/>
      <c r="S16" s="5"/>
      <c r="T16" s="5"/>
      <c r="U16" s="5"/>
      <c r="V16" s="1" t="str">
        <f aca="false">IF($A16="","",IF(OR(D16="卖出",D16="分红"),IFERROR(INDEX($F$2:$F15,MATCH(2,1/($C$2:$C15=$C16))),""),""))</f>
        <v/>
      </c>
      <c r="W16" s="50" t="n">
        <f aca="false">IF($A16="","",IF(D16="买入",IF(AND(ISNUMBER(L16),L16&gt;0),(F16-L16)*G16,F16*0.08*G16),IF(AND(ISNUMBER(V16),V16&gt;0),IF(AND(ISNUMBER(L16),L16&gt;0),(V16-L16)*G16,V16*0.08*G16),0)))</f>
        <v>1108.64</v>
      </c>
      <c r="X16" s="51" t="n">
        <f aca="false">IF($A16="","",IF(D16="买入",0,IFERROR(IF(W16&lt;&gt;0,(H16-IFERROR(INDEX($H$2:$H15,MATCH(2,1/($C$2:$C15=$C16))),0))/W16,0),0)))</f>
        <v>0</v>
      </c>
      <c r="Y16" s="51" t="n">
        <f aca="false">IF($A16="","",Y15+X16)</f>
        <v>6.6600871189122</v>
      </c>
      <c r="Z16" s="1" t="str">
        <f aca="false">IF($A16="","",IF(X16&gt;0,IF(LEFT(Z15,1)="胜","胜"&amp;VALUE(RIGHT(Z15,LEN(Z15)-1))+1,"胜1"),IF(X16&lt;0,IF(LEFT(Z15,1)="亏","亏"&amp;VALUE(RIGHT(Z15,LEN(Z15)-1))+1,"亏1"),"平")))</f>
        <v>平</v>
      </c>
      <c r="AA16" s="52" t="n">
        <f aca="false">IF($A16="","",MAX(0,(MAX($Y$2:Y16)-Y16)/MAX(1,MAX($Y$2:Y16))))</f>
        <v>0</v>
      </c>
    </row>
    <row r="17" customFormat="false" ht="15" hidden="false" customHeight="true" outlineLevel="0" collapsed="false">
      <c r="A17" s="7" t="s">
        <v>461</v>
      </c>
      <c r="B17" s="12" t="s">
        <v>320</v>
      </c>
      <c r="C17" s="7" t="s">
        <v>321</v>
      </c>
      <c r="D17" s="12" t="s">
        <v>428</v>
      </c>
      <c r="E17" s="12" t="s">
        <v>462</v>
      </c>
      <c r="F17" s="24" t="n">
        <v>71.09</v>
      </c>
      <c r="G17" s="25" t="n">
        <v>100</v>
      </c>
      <c r="H17" s="15" t="n">
        <v>7109</v>
      </c>
      <c r="I17" s="24"/>
      <c r="J17" s="25"/>
      <c r="K17" s="16"/>
      <c r="L17" s="24"/>
      <c r="M17" s="7"/>
      <c r="N17" s="7"/>
      <c r="O17" s="7" t="s">
        <v>463</v>
      </c>
      <c r="P17" s="7"/>
      <c r="Q17" s="7"/>
      <c r="R17" s="26"/>
      <c r="S17" s="7"/>
      <c r="T17" s="7"/>
      <c r="U17" s="7"/>
      <c r="V17" s="1" t="str">
        <f aca="false">IF($A17="","",IF(OR(D17="卖出",D17="分红"),IFERROR(INDEX($F$2:$F16,MATCH(2,1/($C$2:$C16=$C17))),""),""))</f>
        <v/>
      </c>
      <c r="W17" s="50" t="n">
        <f aca="false">IF($A17="","",IF(D17="买入",IF(AND(ISNUMBER(L17),L17&gt;0),(F17-L17)*G17,F17*0.08*G17),IF(AND(ISNUMBER(V17),V17&gt;0),IF(AND(ISNUMBER(L17),L17&gt;0),(V17-L17)*G17,V17*0.08*G17),0)))</f>
        <v>568.72</v>
      </c>
      <c r="X17" s="51" t="n">
        <f aca="false">IF($A17="","",IF(D17="买入",0,IFERROR(IF(W17&lt;&gt;0,(H17-IFERROR(INDEX($H$2:$H16,MATCH(2,1/($C$2:$C16=$C17))),0))/W17,0),0)))</f>
        <v>0</v>
      </c>
      <c r="Y17" s="51" t="n">
        <f aca="false">IF($A17="","",Y16+X17)</f>
        <v>6.6600871189122</v>
      </c>
      <c r="Z17" s="1" t="str">
        <f aca="false">IF($A17="","",IF(X17&gt;0,IF(LEFT(Z16,1)="胜","胜"&amp;VALUE(RIGHT(Z16,LEN(Z16)-1))+1,"胜1"),IF(X17&lt;0,IF(LEFT(Z16,1)="亏","亏"&amp;VALUE(RIGHT(Z16,LEN(Z16)-1))+1,"亏1"),"平")))</f>
        <v>平</v>
      </c>
      <c r="AA17" s="52" t="n">
        <f aca="false">IF($A17="","",MAX(0,(MAX($Y$2:Y17)-Y17)/MAX(1,MAX($Y$2:Y17))))</f>
        <v>0</v>
      </c>
    </row>
    <row r="18" customFormat="false" ht="15" hidden="false" customHeight="true" outlineLevel="0" collapsed="false">
      <c r="A18" s="5" t="s">
        <v>464</v>
      </c>
      <c r="B18" s="11" t="s">
        <v>322</v>
      </c>
      <c r="C18" s="5" t="s">
        <v>323</v>
      </c>
      <c r="D18" s="11" t="s">
        <v>428</v>
      </c>
      <c r="E18" s="11" t="s">
        <v>357</v>
      </c>
      <c r="F18" s="14" t="n">
        <v>11.843</v>
      </c>
      <c r="G18" s="17" t="n">
        <v>400</v>
      </c>
      <c r="H18" s="15" t="n">
        <v>4737.2</v>
      </c>
      <c r="I18" s="14"/>
      <c r="J18" s="17"/>
      <c r="K18" s="16"/>
      <c r="L18" s="14" t="n">
        <v>11.4</v>
      </c>
      <c r="M18" s="5"/>
      <c r="N18" s="5"/>
      <c r="O18" s="11" t="s">
        <v>465</v>
      </c>
      <c r="P18" s="5"/>
      <c r="Q18" s="5"/>
      <c r="R18" s="20"/>
      <c r="S18" s="5"/>
      <c r="T18" s="5"/>
      <c r="U18" s="5"/>
      <c r="V18" s="1" t="str">
        <f aca="false">IF($A18="","",IF(OR(D18="卖出",D18="分红"),IFERROR(INDEX($F$2:$F17,MATCH(2,1/($C$2:$C17=$C18))),""),""))</f>
        <v/>
      </c>
      <c r="W18" s="50" t="n">
        <f aca="false">IF($A18="","",IF(D18="买入",IF(AND(ISNUMBER(L18),L18&gt;0),(F18-L18)*G18,F18*0.08*G18),IF(AND(ISNUMBER(V18),V18&gt;0),IF(AND(ISNUMBER(L18),L18&gt;0),(V18-L18)*G18,V18*0.08*G18),0)))</f>
        <v>177.2</v>
      </c>
      <c r="X18" s="51" t="n">
        <f aca="false">IF($A18="","",IF(D18="买入",0,IFERROR(IF(W18&lt;&gt;0,(H18-IFERROR(INDEX($H$2:$H17,MATCH(2,1/($C$2:$C17=$C18))),0))/W18,0),0)))</f>
        <v>0</v>
      </c>
      <c r="Y18" s="51" t="n">
        <f aca="false">IF($A18="","",Y17+X18)</f>
        <v>6.6600871189122</v>
      </c>
      <c r="Z18" s="1" t="str">
        <f aca="false">IF($A18="","",IF(X18&gt;0,IF(LEFT(Z17,1)="胜","胜"&amp;VALUE(RIGHT(Z17,LEN(Z17)-1))+1,"胜1"),IF(X18&lt;0,IF(LEFT(Z17,1)="亏","亏"&amp;VALUE(RIGHT(Z17,LEN(Z17)-1))+1,"亏1"),"平")))</f>
        <v>平</v>
      </c>
      <c r="AA18" s="52" t="n">
        <f aca="false">IF($A18="","",MAX(0,(MAX($Y$2:Y18)-Y18)/MAX(1,MAX($Y$2:Y18))))</f>
        <v>0</v>
      </c>
    </row>
    <row r="19" customFormat="false" ht="15" hidden="false" customHeight="true" outlineLevel="0" collapsed="false">
      <c r="A19" s="7" t="s">
        <v>466</v>
      </c>
      <c r="B19" s="12" t="s">
        <v>440</v>
      </c>
      <c r="C19" s="7" t="s">
        <v>441</v>
      </c>
      <c r="D19" s="12" t="s">
        <v>467</v>
      </c>
      <c r="E19" s="12"/>
      <c r="F19" s="24"/>
      <c r="G19" s="25"/>
      <c r="H19" s="15" t="n">
        <v>50</v>
      </c>
      <c r="I19" s="24"/>
      <c r="J19" s="25"/>
      <c r="K19" s="16"/>
      <c r="L19" s="24"/>
      <c r="M19" s="7"/>
      <c r="N19" s="7"/>
      <c r="O19" s="12" t="s">
        <v>468</v>
      </c>
      <c r="P19" s="7"/>
      <c r="Q19" s="7"/>
      <c r="R19" s="26"/>
      <c r="S19" s="7"/>
      <c r="T19" s="7"/>
      <c r="U19" s="7"/>
      <c r="V19" s="23" t="n">
        <f aca="false">IF($A19="","",IF(OR(D19="卖出",D19="分红"),IFERROR(INDEX($F$2:$F18,MATCH(2,1/($C$2:$C18=$C19))),""),""))</f>
        <v>101.947</v>
      </c>
      <c r="W19" s="50" t="n">
        <f aca="false">IF($A19="","",IF(D19="买入",IF(AND(ISNUMBER(L19),L19&gt;0),(F19-L19)*G19,F19*0.08*G19),IF(AND(ISNUMBER(V19),V19&gt;0),IF(AND(ISNUMBER(L19),L19&gt;0),(V19-L19)*G19,V19*0.08*G19),0)))</f>
        <v>0</v>
      </c>
      <c r="X19" s="51" t="n">
        <f aca="false">IF($A19="","",IF(D19="买入",0,IFERROR(IF(W19&lt;&gt;0,(H19-IFERROR(INDEX($H$2:$H18,MATCH(2,1/($C$2:$C18=$C19))),0))/W19,0),0)))</f>
        <v>0</v>
      </c>
      <c r="Y19" s="51" t="n">
        <f aca="false">IF($A19="","",Y18+X19)</f>
        <v>6.6600871189122</v>
      </c>
      <c r="Z19" s="1" t="str">
        <f aca="false">IF($A19="","",IF(X19&gt;0,IF(LEFT(Z18,1)="胜","胜"&amp;VALUE(RIGHT(Z18,LEN(Z18)-1))+1,"胜1"),IF(X19&lt;0,IF(LEFT(Z18,1)="亏","亏"&amp;VALUE(RIGHT(Z18,LEN(Z18)-1))+1,"亏1"),"平")))</f>
        <v>平</v>
      </c>
      <c r="AA19" s="52" t="n">
        <f aca="false">IF($A19="","",MAX(0,(MAX($Y$2:Y19)-Y19)/MAX(1,MAX($Y$2:Y19))))</f>
        <v>0</v>
      </c>
    </row>
    <row r="20" customFormat="false" ht="15" hidden="false" customHeight="true" outlineLevel="0" collapsed="false">
      <c r="A20" s="5"/>
      <c r="B20" s="5"/>
      <c r="C20" s="5"/>
      <c r="D20" s="11"/>
      <c r="E20" s="11"/>
      <c r="F20" s="14"/>
      <c r="G20" s="17"/>
      <c r="H20" s="15"/>
      <c r="I20" s="14"/>
      <c r="J20" s="17"/>
      <c r="K20" s="16"/>
      <c r="L20" s="14"/>
      <c r="M20" s="5"/>
      <c r="N20" s="5"/>
      <c r="O20" s="5"/>
      <c r="P20" s="5"/>
      <c r="Q20" s="5"/>
      <c r="R20" s="20"/>
      <c r="S20" s="5"/>
      <c r="T20" s="5"/>
      <c r="U20" s="5"/>
      <c r="V20" s="1" t="str">
        <f aca="false">IF($A20="","",IF(OR(D20="卖出",D20="分红"),IFERROR(INDEX($F$2:$F19,MATCH(2,1/($C$2:$C19=$C20))),""),""))</f>
        <v/>
      </c>
      <c r="W20" s="50" t="str">
        <f aca="false">IF($A20="","",IF(D20="买入",IF(AND(ISNUMBER(L20),L20&gt;0),(F20-L20)*G20,F20*0.08*G20),IF(AND(ISNUMBER(V20),V20&gt;0),IF(AND(ISNUMBER(L20),L20&gt;0),(V20-L20)*G20,V20*0.08*G20),0)))</f>
        <v/>
      </c>
      <c r="X20" s="51" t="str">
        <f aca="false">IF($A20="","",IF(D20="买入",0,IFERROR(IF(W20&lt;&gt;0,(H20-IFERROR(INDEX($H$2:$H19,MATCH(2,1/($C$2:$C19=$C20))),0))/W20,0),0)))</f>
        <v/>
      </c>
      <c r="Y20" s="51" t="str">
        <f aca="false">IF($A20="","",Y19+X20)</f>
        <v/>
      </c>
      <c r="Z20" s="1" t="str">
        <f aca="false">IF($A20="","",IF(X20&gt;0,IF(LEFT(Z19,1)="胜","胜"&amp;VALUE(RIGHT(Z19,LEN(Z19)-1))+1,"胜1"),IF(X20&lt;0,IF(LEFT(Z19,1)="亏","亏"&amp;VALUE(RIGHT(Z19,LEN(Z19)-1))+1,"亏1"),"平")))</f>
        <v/>
      </c>
      <c r="AA20" s="52" t="str">
        <f aca="false">IF($A20="","",MAX(0,(MAX($Y$2:Y20)-Y20)/MAX(1,MAX($Y$2:Y20))))</f>
        <v/>
      </c>
    </row>
    <row r="21" customFormat="false" ht="15" hidden="false" customHeight="true" outlineLevel="0" collapsed="false">
      <c r="A21" s="7"/>
      <c r="B21" s="7"/>
      <c r="C21" s="7"/>
      <c r="D21" s="12"/>
      <c r="E21" s="12"/>
      <c r="F21" s="24"/>
      <c r="G21" s="25"/>
      <c r="H21" s="15"/>
      <c r="I21" s="24"/>
      <c r="J21" s="25"/>
      <c r="K21" s="16"/>
      <c r="L21" s="24"/>
      <c r="M21" s="7"/>
      <c r="N21" s="7"/>
      <c r="O21" s="7"/>
      <c r="P21" s="7"/>
      <c r="Q21" s="7"/>
      <c r="R21" s="26"/>
      <c r="S21" s="7"/>
      <c r="T21" s="7"/>
      <c r="U21" s="7"/>
      <c r="V21" s="1" t="str">
        <f aca="false">IF($A21="","",IF(OR(D21="卖出",D21="分红"),IFERROR(INDEX($F$2:$F20,MATCH(2,1/($C$2:$C20=$C21))),""),""))</f>
        <v/>
      </c>
      <c r="W21" s="50" t="str">
        <f aca="false">IF($A21="","",IF(D21="买入",IF(AND(ISNUMBER(L21),L21&gt;0),(F21-L21)*G21,F21*0.08*G21),IF(AND(ISNUMBER(V21),V21&gt;0),IF(AND(ISNUMBER(L21),L21&gt;0),(V21-L21)*G21,V21*0.08*G21),0)))</f>
        <v/>
      </c>
      <c r="X21" s="51" t="str">
        <f aca="false">IF($A21="","",IF(D21="买入",0,IFERROR(IF(W21&lt;&gt;0,(H21-IFERROR(INDEX($H$2:$H20,MATCH(2,1/($C$2:$C20=$C21))),0))/W21,0),0)))</f>
        <v/>
      </c>
      <c r="Y21" s="51" t="str">
        <f aca="false">IF($A21="","",Y20+X21)</f>
        <v/>
      </c>
      <c r="Z21" s="1" t="str">
        <f aca="false">IF($A21="","",IF(X21&gt;0,IF(LEFT(Z20,1)="胜","胜"&amp;VALUE(RIGHT(Z20,LEN(Z20)-1))+1,"胜1"),IF(X21&lt;0,IF(LEFT(Z20,1)="亏","亏"&amp;VALUE(RIGHT(Z20,LEN(Z20)-1))+1,"亏1"),"平")))</f>
        <v/>
      </c>
      <c r="AA21" s="52" t="str">
        <f aca="false">IF($A21="","",MAX(0,(MAX($Y$2:Y21)-Y21)/MAX(1,MAX($Y$2:Y21))))</f>
        <v/>
      </c>
    </row>
    <row r="22" customFormat="false" ht="15" hidden="false" customHeight="true" outlineLevel="0" collapsed="false">
      <c r="A22" s="5"/>
      <c r="B22" s="5"/>
      <c r="C22" s="5"/>
      <c r="D22" s="11"/>
      <c r="E22" s="11"/>
      <c r="F22" s="14"/>
      <c r="G22" s="17"/>
      <c r="H22" s="15"/>
      <c r="I22" s="14"/>
      <c r="J22" s="17"/>
      <c r="K22" s="16"/>
      <c r="L22" s="14"/>
      <c r="M22" s="5"/>
      <c r="N22" s="5"/>
      <c r="O22" s="5"/>
      <c r="P22" s="5"/>
      <c r="Q22" s="5"/>
      <c r="R22" s="20"/>
      <c r="S22" s="5"/>
      <c r="T22" s="5"/>
      <c r="U22" s="5"/>
      <c r="V22" s="1" t="str">
        <f aca="false">IF($A22="","",IF(OR(D22="卖出",D22="分红"),IFERROR(INDEX($F$2:$F21,MATCH(2,1/($C$2:$C21=$C22))),""),""))</f>
        <v/>
      </c>
      <c r="W22" s="50" t="str">
        <f aca="false">IF($A22="","",IF(D22="买入",IF(AND(ISNUMBER(L22),L22&gt;0),(F22-L22)*G22,F22*0.08*G22),IF(AND(ISNUMBER(V22),V22&gt;0),IF(AND(ISNUMBER(L22),L22&gt;0),(V22-L22)*G22,V22*0.08*G22),0)))</f>
        <v/>
      </c>
      <c r="X22" s="51" t="str">
        <f aca="false">IF($A22="","",IF(D22="买入",0,IFERROR(IF(W22&lt;&gt;0,(H22-IFERROR(INDEX($H$2:$H21,MATCH(2,1/($C$2:$C21=$C22))),0))/W22,0),0)))</f>
        <v/>
      </c>
      <c r="Y22" s="51" t="str">
        <f aca="false">IF($A22="","",Y21+X22)</f>
        <v/>
      </c>
      <c r="Z22" s="1" t="str">
        <f aca="false">IF($A22="","",IF(X22&gt;0,IF(LEFT(Z21,1)="胜","胜"&amp;VALUE(RIGHT(Z21,LEN(Z21)-1))+1,"胜1"),IF(X22&lt;0,IF(LEFT(Z21,1)="亏","亏"&amp;VALUE(RIGHT(Z21,LEN(Z21)-1))+1,"亏1"),"平")))</f>
        <v/>
      </c>
      <c r="AA22" s="52" t="str">
        <f aca="false">IF($A22="","",MAX(0,(MAX($Y$2:Y22)-Y22)/MAX(1,MAX($Y$2:Y22))))</f>
        <v/>
      </c>
    </row>
    <row r="23" customFormat="false" ht="15" hidden="false" customHeight="true" outlineLevel="0" collapsed="false">
      <c r="A23" s="7"/>
      <c r="B23" s="7"/>
      <c r="C23" s="7"/>
      <c r="D23" s="12"/>
      <c r="E23" s="12"/>
      <c r="F23" s="24"/>
      <c r="G23" s="25"/>
      <c r="H23" s="15"/>
      <c r="I23" s="24"/>
      <c r="J23" s="25"/>
      <c r="K23" s="16"/>
      <c r="L23" s="24"/>
      <c r="M23" s="7"/>
      <c r="N23" s="7"/>
      <c r="O23" s="7"/>
      <c r="P23" s="7"/>
      <c r="Q23" s="7"/>
      <c r="R23" s="26"/>
      <c r="S23" s="7"/>
      <c r="T23" s="7"/>
      <c r="U23" s="7"/>
      <c r="V23" s="1" t="str">
        <f aca="false">IF($A23="","",IF(OR(D23="卖出",D23="分红"),IFERROR(INDEX($F$2:$F22,MATCH(2,1/($C$2:$C22=$C23))),""),""))</f>
        <v/>
      </c>
      <c r="W23" s="50" t="str">
        <f aca="false">IF($A23="","",IF(D23="买入",IF(AND(ISNUMBER(L23),L23&gt;0),(F23-L23)*G23,F23*0.08*G23),IF(AND(ISNUMBER(V23),V23&gt;0),IF(AND(ISNUMBER(L23),L23&gt;0),(V23-L23)*G23,V23*0.08*G23),0)))</f>
        <v/>
      </c>
      <c r="X23" s="51" t="str">
        <f aca="false">IF($A23="","",IF(D23="买入",0,IFERROR(IF(W23&lt;&gt;0,(H23-IFERROR(INDEX($H$2:$H22,MATCH(2,1/($C$2:$C22=$C23))),0))/W23,0),0)))</f>
        <v/>
      </c>
      <c r="Y23" s="51" t="str">
        <f aca="false">IF($A23="","",Y22+X23)</f>
        <v/>
      </c>
      <c r="Z23" s="1" t="str">
        <f aca="false">IF($A23="","",IF(X23&gt;0,IF(LEFT(Z22,1)="胜","胜"&amp;VALUE(RIGHT(Z22,LEN(Z22)-1))+1,"胜1"),IF(X23&lt;0,IF(LEFT(Z22,1)="亏","亏"&amp;VALUE(RIGHT(Z22,LEN(Z22)-1))+1,"亏1"),"平")))</f>
        <v/>
      </c>
      <c r="AA23" s="52" t="str">
        <f aca="false">IF($A23="","",MAX(0,(MAX($Y$2:Y23)-Y23)/MAX(1,MAX($Y$2:Y23))))</f>
        <v/>
      </c>
    </row>
    <row r="24" customFormat="false" ht="15" hidden="false" customHeight="true" outlineLevel="0" collapsed="false">
      <c r="A24" s="5"/>
      <c r="B24" s="5"/>
      <c r="C24" s="5"/>
      <c r="D24" s="11"/>
      <c r="E24" s="11"/>
      <c r="F24" s="14"/>
      <c r="G24" s="17"/>
      <c r="H24" s="15"/>
      <c r="I24" s="14"/>
      <c r="J24" s="17"/>
      <c r="K24" s="16"/>
      <c r="L24" s="14"/>
      <c r="M24" s="5"/>
      <c r="N24" s="5"/>
      <c r="O24" s="5"/>
      <c r="P24" s="5"/>
      <c r="Q24" s="5"/>
      <c r="R24" s="20"/>
      <c r="S24" s="5"/>
      <c r="T24" s="5"/>
      <c r="U24" s="5"/>
      <c r="V24" s="1" t="str">
        <f aca="false">IF($A24="","",IF(OR(D24="卖出",D24="分红"),IFERROR(INDEX($F$2:$F23,MATCH(2,1/($C$2:$C23=$C24))),""),""))</f>
        <v/>
      </c>
      <c r="W24" s="50" t="str">
        <f aca="false">IF($A24="","",IF(D24="买入",IF(AND(ISNUMBER(L24),L24&gt;0),(F24-L24)*G24,F24*0.08*G24),IF(AND(ISNUMBER(V24),V24&gt;0),IF(AND(ISNUMBER(L24),L24&gt;0),(V24-L24)*G24,V24*0.08*G24),0)))</f>
        <v/>
      </c>
      <c r="X24" s="51" t="str">
        <f aca="false">IF($A24="","",IF(D24="买入",0,IFERROR(IF(W24&lt;&gt;0,(H24-IFERROR(INDEX($H$2:$H23,MATCH(2,1/($C$2:$C23=$C24))),0))/W24,0),0)))</f>
        <v/>
      </c>
      <c r="Y24" s="51" t="str">
        <f aca="false">IF($A24="","",Y23+X24)</f>
        <v/>
      </c>
      <c r="Z24" s="1" t="str">
        <f aca="false">IF($A24="","",IF(X24&gt;0,IF(LEFT(Z23,1)="胜","胜"&amp;VALUE(RIGHT(Z23,LEN(Z23)-1))+1,"胜1"),IF(X24&lt;0,IF(LEFT(Z23,1)="亏","亏"&amp;VALUE(RIGHT(Z23,LEN(Z23)-1))+1,"亏1"),"平")))</f>
        <v/>
      </c>
      <c r="AA24" s="52" t="str">
        <f aca="false">IF($A24="","",MAX(0,(MAX($Y$2:Y24)-Y24)/MAX(1,MAX($Y$2:Y24))))</f>
        <v/>
      </c>
    </row>
    <row r="25" customFormat="false" ht="15" hidden="false" customHeight="true" outlineLevel="0" collapsed="false">
      <c r="A25" s="7"/>
      <c r="B25" s="7"/>
      <c r="C25" s="7"/>
      <c r="D25" s="12"/>
      <c r="E25" s="12"/>
      <c r="F25" s="24"/>
      <c r="G25" s="25"/>
      <c r="H25" s="15"/>
      <c r="I25" s="24"/>
      <c r="J25" s="25"/>
      <c r="K25" s="16"/>
      <c r="L25" s="24"/>
      <c r="M25" s="7"/>
      <c r="N25" s="7"/>
      <c r="O25" s="7"/>
      <c r="P25" s="7"/>
      <c r="Q25" s="7"/>
      <c r="R25" s="26"/>
      <c r="S25" s="7"/>
      <c r="T25" s="7"/>
      <c r="U25" s="7"/>
      <c r="V25" s="1" t="str">
        <f aca="false">IF($A25="","",IF(OR(D25="卖出",D25="分红"),IFERROR(INDEX($F$2:$F24,MATCH(2,1/($C$2:$C24=$C25))),""),""))</f>
        <v/>
      </c>
      <c r="W25" s="50" t="str">
        <f aca="false">IF($A25="","",IF(D25="买入",IF(AND(ISNUMBER(L25),L25&gt;0),(F25-L25)*G25,F25*0.08*G25),IF(AND(ISNUMBER(V25),V25&gt;0),IF(AND(ISNUMBER(L25),L25&gt;0),(V25-L25)*G25,V25*0.08*G25),0)))</f>
        <v/>
      </c>
      <c r="X25" s="51" t="str">
        <f aca="false">IF($A25="","",IF(D25="买入",0,IFERROR(IF(W25&lt;&gt;0,(H25-IFERROR(INDEX($H$2:$H24,MATCH(2,1/($C$2:$C24=$C25))),0))/W25,0),0)))</f>
        <v/>
      </c>
      <c r="Y25" s="51" t="str">
        <f aca="false">IF($A25="","",Y24+X25)</f>
        <v/>
      </c>
      <c r="Z25" s="1" t="str">
        <f aca="false">IF($A25="","",IF(X25&gt;0,IF(LEFT(Z24,1)="胜","胜"&amp;VALUE(RIGHT(Z24,LEN(Z24)-1))+1,"胜1"),IF(X25&lt;0,IF(LEFT(Z24,1)="亏","亏"&amp;VALUE(RIGHT(Z24,LEN(Z24)-1))+1,"亏1"),"平")))</f>
        <v/>
      </c>
      <c r="AA25" s="52" t="str">
        <f aca="false">IF($A25="","",MAX(0,(MAX($Y$2:Y25)-Y25)/MAX(1,MAX($Y$2:Y25))))</f>
        <v/>
      </c>
    </row>
    <row r="26" customFormat="false" ht="15" hidden="false" customHeight="true" outlineLevel="0" collapsed="false">
      <c r="A26" s="5"/>
      <c r="B26" s="5"/>
      <c r="C26" s="5"/>
      <c r="D26" s="11"/>
      <c r="E26" s="11"/>
      <c r="F26" s="14"/>
      <c r="G26" s="17"/>
      <c r="H26" s="15"/>
      <c r="I26" s="14"/>
      <c r="J26" s="17"/>
      <c r="K26" s="16"/>
      <c r="L26" s="14"/>
      <c r="M26" s="5"/>
      <c r="N26" s="5"/>
      <c r="O26" s="5"/>
      <c r="P26" s="5"/>
      <c r="Q26" s="5"/>
      <c r="R26" s="20"/>
      <c r="S26" s="5"/>
      <c r="T26" s="5"/>
      <c r="U26" s="5"/>
      <c r="V26" s="1" t="str">
        <f aca="false">IF($A26="","",IF(OR(D26="卖出",D26="分红"),IFERROR(INDEX($F$2:$F25,MATCH(2,1/($C$2:$C25=$C26))),""),""))</f>
        <v/>
      </c>
      <c r="W26" s="50" t="str">
        <f aca="false">IF($A26="","",IF(D26="买入",IF(AND(ISNUMBER(L26),L26&gt;0),(F26-L26)*G26,F26*0.08*G26),IF(AND(ISNUMBER(V26),V26&gt;0),IF(AND(ISNUMBER(L26),L26&gt;0),(V26-L26)*G26,V26*0.08*G26),0)))</f>
        <v/>
      </c>
      <c r="X26" s="51" t="str">
        <f aca="false">IF($A26="","",IF(D26="买入",0,IFERROR(IF(W26&lt;&gt;0,(H26-IFERROR(INDEX($H$2:$H25,MATCH(2,1/($C$2:$C25=$C26))),0))/W26,0),0)))</f>
        <v/>
      </c>
      <c r="Y26" s="51" t="str">
        <f aca="false">IF($A26="","",Y25+X26)</f>
        <v/>
      </c>
      <c r="Z26" s="1" t="str">
        <f aca="false">IF($A26="","",IF(X26&gt;0,IF(LEFT(Z25,1)="胜","胜"&amp;VALUE(RIGHT(Z25,LEN(Z25)-1))+1,"胜1"),IF(X26&lt;0,IF(LEFT(Z25,1)="亏","亏"&amp;VALUE(RIGHT(Z25,LEN(Z25)-1))+1,"亏1"),"平")))</f>
        <v/>
      </c>
      <c r="AA26" s="52" t="str">
        <f aca="false">IF($A26="","",MAX(0,(MAX($Y$2:Y26)-Y26)/MAX(1,MAX($Y$2:Y26))))</f>
        <v/>
      </c>
    </row>
    <row r="27" customFormat="false" ht="15" hidden="false" customHeight="true" outlineLevel="0" collapsed="false">
      <c r="A27" s="7"/>
      <c r="B27" s="7"/>
      <c r="C27" s="7"/>
      <c r="D27" s="12"/>
      <c r="E27" s="12"/>
      <c r="F27" s="24"/>
      <c r="G27" s="25"/>
      <c r="H27" s="15"/>
      <c r="I27" s="24"/>
      <c r="J27" s="25"/>
      <c r="K27" s="16"/>
      <c r="L27" s="24"/>
      <c r="M27" s="7"/>
      <c r="N27" s="7"/>
      <c r="O27" s="7"/>
      <c r="P27" s="7"/>
      <c r="Q27" s="7"/>
      <c r="R27" s="26"/>
      <c r="S27" s="7"/>
      <c r="T27" s="7"/>
      <c r="U27" s="7"/>
      <c r="V27" s="1" t="str">
        <f aca="false">IF($A27="","",IF(OR(D27="卖出",D27="分红"),IFERROR(INDEX($F$2:$F26,MATCH(2,1/($C$2:$C26=$C27))),""),""))</f>
        <v/>
      </c>
      <c r="W27" s="50" t="str">
        <f aca="false">IF($A27="","",IF(D27="买入",IF(AND(ISNUMBER(L27),L27&gt;0),(F27-L27)*G27,F27*0.08*G27),IF(AND(ISNUMBER(V27),V27&gt;0),IF(AND(ISNUMBER(L27),L27&gt;0),(V27-L27)*G27,V27*0.08*G27),0)))</f>
        <v/>
      </c>
      <c r="X27" s="51" t="str">
        <f aca="false">IF($A27="","",IF(D27="买入",0,IFERROR(IF(W27&lt;&gt;0,(H27-IFERROR(INDEX($H$2:$H26,MATCH(2,1/($C$2:$C26=$C27))),0))/W27,0),0)))</f>
        <v/>
      </c>
      <c r="Y27" s="51" t="str">
        <f aca="false">IF($A27="","",Y26+X27)</f>
        <v/>
      </c>
      <c r="Z27" s="1" t="str">
        <f aca="false">IF($A27="","",IF(X27&gt;0,IF(LEFT(Z26,1)="胜","胜"&amp;VALUE(RIGHT(Z26,LEN(Z26)-1))+1,"胜1"),IF(X27&lt;0,IF(LEFT(Z26,1)="亏","亏"&amp;VALUE(RIGHT(Z26,LEN(Z26)-1))+1,"亏1"),"平")))</f>
        <v/>
      </c>
      <c r="AA27" s="52" t="str">
        <f aca="false">IF($A27="","",MAX(0,(MAX($Y$2:Y27)-Y27)/MAX(1,MAX($Y$2:Y27))))</f>
        <v/>
      </c>
    </row>
    <row r="28" customFormat="false" ht="15" hidden="false" customHeight="true" outlineLevel="0" collapsed="false">
      <c r="A28" s="5"/>
      <c r="B28" s="5"/>
      <c r="C28" s="5"/>
      <c r="D28" s="11"/>
      <c r="E28" s="11"/>
      <c r="F28" s="14"/>
      <c r="G28" s="17"/>
      <c r="H28" s="15"/>
      <c r="I28" s="14"/>
      <c r="J28" s="17"/>
      <c r="K28" s="16"/>
      <c r="L28" s="14"/>
      <c r="M28" s="5"/>
      <c r="N28" s="5"/>
      <c r="O28" s="5"/>
      <c r="P28" s="5"/>
      <c r="Q28" s="5"/>
      <c r="R28" s="20"/>
      <c r="S28" s="5"/>
      <c r="T28" s="5"/>
      <c r="U28" s="5"/>
      <c r="V28" s="1" t="str">
        <f aca="false">IF($A28="","",IF(OR(D28="卖出",D28="分红"),IFERROR(INDEX($F$2:$F27,MATCH(2,1/($C$2:$C27=$C28))),""),""))</f>
        <v/>
      </c>
      <c r="W28" s="50" t="str">
        <f aca="false">IF($A28="","",IF(D28="买入",IF(AND(ISNUMBER(L28),L28&gt;0),(F28-L28)*G28,F28*0.08*G28),IF(AND(ISNUMBER(V28),V28&gt;0),IF(AND(ISNUMBER(L28),L28&gt;0),(V28-L28)*G28,V28*0.08*G28),0)))</f>
        <v/>
      </c>
      <c r="X28" s="51" t="str">
        <f aca="false">IF($A28="","",IF(D28="买入",0,IFERROR(IF(W28&lt;&gt;0,(H28-IFERROR(INDEX($H$2:$H27,MATCH(2,1/($C$2:$C27=$C28))),0))/W28,0),0)))</f>
        <v/>
      </c>
      <c r="Y28" s="51" t="str">
        <f aca="false">IF($A28="","",Y27+X28)</f>
        <v/>
      </c>
      <c r="Z28" s="1" t="str">
        <f aca="false">IF($A28="","",IF(X28&gt;0,IF(LEFT(Z27,1)="胜","胜"&amp;VALUE(RIGHT(Z27,LEN(Z27)-1))+1,"胜1"),IF(X28&lt;0,IF(LEFT(Z27,1)="亏","亏"&amp;VALUE(RIGHT(Z27,LEN(Z27)-1))+1,"亏1"),"平")))</f>
        <v/>
      </c>
      <c r="AA28" s="52" t="str">
        <f aca="false">IF($A28="","",MAX(0,(MAX($Y$2:Y28)-Y28)/MAX(1,MAX($Y$2:Y28))))</f>
        <v/>
      </c>
    </row>
    <row r="29" customFormat="false" ht="15" hidden="false" customHeight="true" outlineLevel="0" collapsed="false">
      <c r="A29" s="7"/>
      <c r="B29" s="7"/>
      <c r="C29" s="7"/>
      <c r="D29" s="12"/>
      <c r="E29" s="12"/>
      <c r="F29" s="24"/>
      <c r="G29" s="25"/>
      <c r="H29" s="15"/>
      <c r="I29" s="24"/>
      <c r="J29" s="25"/>
      <c r="K29" s="16"/>
      <c r="L29" s="24"/>
      <c r="M29" s="7"/>
      <c r="N29" s="7"/>
      <c r="O29" s="7"/>
      <c r="P29" s="7"/>
      <c r="Q29" s="7"/>
      <c r="R29" s="26"/>
      <c r="S29" s="7"/>
      <c r="T29" s="7"/>
      <c r="U29" s="7"/>
      <c r="V29" s="1" t="str">
        <f aca="false">IF($A29="","",IF(OR(D29="卖出",D29="分红"),IFERROR(INDEX($F$2:$F28,MATCH(2,1/($C$2:$C28=$C29))),""),""))</f>
        <v/>
      </c>
      <c r="W29" s="50" t="str">
        <f aca="false">IF($A29="","",IF(D29="买入",IF(AND(ISNUMBER(L29),L29&gt;0),(F29-L29)*G29,F29*0.08*G29),IF(AND(ISNUMBER(V29),V29&gt;0),IF(AND(ISNUMBER(L29),L29&gt;0),(V29-L29)*G29,V29*0.08*G29),0)))</f>
        <v/>
      </c>
      <c r="X29" s="51" t="str">
        <f aca="false">IF($A29="","",IF(D29="买入",0,IFERROR(IF(W29&lt;&gt;0,(H29-IFERROR(INDEX($H$2:$H28,MATCH(2,1/($C$2:$C28=$C29))),0))/W29,0),0)))</f>
        <v/>
      </c>
      <c r="Y29" s="51" t="str">
        <f aca="false">IF($A29="","",Y28+X29)</f>
        <v/>
      </c>
      <c r="Z29" s="1" t="str">
        <f aca="false">IF($A29="","",IF(X29&gt;0,IF(LEFT(Z28,1)="胜","胜"&amp;VALUE(RIGHT(Z28,LEN(Z28)-1))+1,"胜1"),IF(X29&lt;0,IF(LEFT(Z28,1)="亏","亏"&amp;VALUE(RIGHT(Z28,LEN(Z28)-1))+1,"亏1"),"平")))</f>
        <v/>
      </c>
      <c r="AA29" s="52" t="str">
        <f aca="false">IF($A29="","",MAX(0,(MAX($Y$2:Y29)-Y29)/MAX(1,MAX($Y$2:Y29))))</f>
        <v/>
      </c>
    </row>
    <row r="30" customFormat="false" ht="15" hidden="false" customHeight="true" outlineLevel="0" collapsed="false">
      <c r="A30" s="5"/>
      <c r="B30" s="5"/>
      <c r="C30" s="5"/>
      <c r="D30" s="11"/>
      <c r="E30" s="11"/>
      <c r="F30" s="14"/>
      <c r="G30" s="17"/>
      <c r="H30" s="15"/>
      <c r="I30" s="14"/>
      <c r="J30" s="17"/>
      <c r="K30" s="16"/>
      <c r="L30" s="14"/>
      <c r="M30" s="5"/>
      <c r="N30" s="5"/>
      <c r="O30" s="5"/>
      <c r="P30" s="5"/>
      <c r="Q30" s="5"/>
      <c r="R30" s="20"/>
      <c r="S30" s="5"/>
      <c r="T30" s="5"/>
      <c r="U30" s="5"/>
      <c r="V30" s="1" t="str">
        <f aca="false">IF($A30="","",IF(OR(D30="卖出",D30="分红"),IFERROR(INDEX($F$2:$F29,MATCH(2,1/($C$2:$C29=$C30))),""),""))</f>
        <v/>
      </c>
      <c r="W30" s="50" t="str">
        <f aca="false">IF($A30="","",IF(D30="买入",IF(AND(ISNUMBER(L30),L30&gt;0),(F30-L30)*G30,F30*0.08*G30),IF(AND(ISNUMBER(V30),V30&gt;0),IF(AND(ISNUMBER(L30),L30&gt;0),(V30-L30)*G30,V30*0.08*G30),0)))</f>
        <v/>
      </c>
      <c r="X30" s="51" t="str">
        <f aca="false">IF($A30="","",IF(D30="买入",0,IFERROR(IF(W30&lt;&gt;0,(H30-IFERROR(INDEX($H$2:$H29,MATCH(2,1/($C$2:$C29=$C30))),0))/W30,0),0)))</f>
        <v/>
      </c>
      <c r="Y30" s="51" t="str">
        <f aca="false">IF($A30="","",Y29+X30)</f>
        <v/>
      </c>
      <c r="Z30" s="1" t="str">
        <f aca="false">IF($A30="","",IF(X30&gt;0,IF(LEFT(Z29,1)="胜","胜"&amp;VALUE(RIGHT(Z29,LEN(Z29)-1))+1,"胜1"),IF(X30&lt;0,IF(LEFT(Z29,1)="亏","亏"&amp;VALUE(RIGHT(Z29,LEN(Z29)-1))+1,"亏1"),"平")))</f>
        <v/>
      </c>
      <c r="AA30" s="52" t="str">
        <f aca="false">IF($A30="","",MAX(0,(MAX($Y$2:Y30)-Y30)/MAX(1,MAX($Y$2:Y30))))</f>
        <v/>
      </c>
    </row>
    <row r="31" customFormat="false" ht="15" hidden="false" customHeight="true" outlineLevel="0" collapsed="false">
      <c r="A31" s="7"/>
      <c r="B31" s="7"/>
      <c r="C31" s="7"/>
      <c r="D31" s="12"/>
      <c r="E31" s="12"/>
      <c r="F31" s="24"/>
      <c r="G31" s="25"/>
      <c r="H31" s="15"/>
      <c r="I31" s="24"/>
      <c r="J31" s="25"/>
      <c r="K31" s="16"/>
      <c r="L31" s="24"/>
      <c r="M31" s="7"/>
      <c r="N31" s="7"/>
      <c r="O31" s="7"/>
      <c r="P31" s="7"/>
      <c r="Q31" s="7"/>
      <c r="R31" s="26"/>
      <c r="S31" s="7"/>
      <c r="T31" s="7"/>
      <c r="U31" s="7"/>
      <c r="V31" s="1" t="str">
        <f aca="false">IF($A31="","",IF(OR(D31="卖出",D31="分红"),IFERROR(INDEX($F$2:$F30,MATCH(2,1/($C$2:$C30=$C31))),""),""))</f>
        <v/>
      </c>
      <c r="W31" s="50" t="str">
        <f aca="false">IF($A31="","",IF(D31="买入",IF(AND(ISNUMBER(L31),L31&gt;0),(F31-L31)*G31,F31*0.08*G31),IF(AND(ISNUMBER(V31),V31&gt;0),IF(AND(ISNUMBER(L31),L31&gt;0),(V31-L31)*G31,V31*0.08*G31),0)))</f>
        <v/>
      </c>
      <c r="X31" s="51" t="str">
        <f aca="false">IF($A31="","",IF(D31="买入",0,IFERROR(IF(W31&lt;&gt;0,(H31-IFERROR(INDEX($H$2:$H30,MATCH(2,1/($C$2:$C30=$C31))),0))/W31,0),0)))</f>
        <v/>
      </c>
      <c r="Y31" s="51" t="str">
        <f aca="false">IF($A31="","",Y30+X31)</f>
        <v/>
      </c>
      <c r="Z31" s="1" t="str">
        <f aca="false">IF($A31="","",IF(X31&gt;0,IF(LEFT(Z30,1)="胜","胜"&amp;VALUE(RIGHT(Z30,LEN(Z30)-1))+1,"胜1"),IF(X31&lt;0,IF(LEFT(Z30,1)="亏","亏"&amp;VALUE(RIGHT(Z30,LEN(Z30)-1))+1,"亏1"),"平")))</f>
        <v/>
      </c>
      <c r="AA31" s="52" t="str">
        <f aca="false">IF($A31="","",MAX(0,(MAX($Y$2:Y31)-Y31)/MAX(1,MAX($Y$2:Y31))))</f>
        <v/>
      </c>
    </row>
    <row r="32" customFormat="false" ht="15" hidden="false" customHeight="true" outlineLevel="0" collapsed="false">
      <c r="A32" s="5"/>
      <c r="B32" s="5"/>
      <c r="C32" s="5"/>
      <c r="D32" s="11"/>
      <c r="E32" s="11"/>
      <c r="F32" s="14"/>
      <c r="G32" s="17"/>
      <c r="H32" s="15"/>
      <c r="I32" s="14"/>
      <c r="J32" s="17"/>
      <c r="K32" s="16"/>
      <c r="L32" s="14"/>
      <c r="M32" s="5"/>
      <c r="N32" s="5"/>
      <c r="O32" s="5"/>
      <c r="P32" s="5"/>
      <c r="Q32" s="5"/>
      <c r="R32" s="20"/>
      <c r="S32" s="5"/>
      <c r="T32" s="5"/>
      <c r="U32" s="5"/>
      <c r="V32" s="1" t="str">
        <f aca="false">IF($A32="","",IF(OR(D32="卖出",D32="分红"),IFERROR(INDEX($F$2:$F31,MATCH(2,1/($C$2:$C31=$C32))),""),""))</f>
        <v/>
      </c>
      <c r="W32" s="50" t="str">
        <f aca="false">IF($A32="","",IF(D32="买入",IF(AND(ISNUMBER(L32),L32&gt;0),(F32-L32)*G32,F32*0.08*G32),IF(AND(ISNUMBER(V32),V32&gt;0),IF(AND(ISNUMBER(L32),L32&gt;0),(V32-L32)*G32,V32*0.08*G32),0)))</f>
        <v/>
      </c>
      <c r="X32" s="51" t="str">
        <f aca="false">IF($A32="","",IF(D32="买入",0,IFERROR(IF(W32&lt;&gt;0,(H32-IFERROR(INDEX($H$2:$H31,MATCH(2,1/($C$2:$C31=$C32))),0))/W32,0),0)))</f>
        <v/>
      </c>
      <c r="Y32" s="51" t="str">
        <f aca="false">IF($A32="","",Y31+X32)</f>
        <v/>
      </c>
      <c r="Z32" s="1" t="str">
        <f aca="false">IF($A32="","",IF(X32&gt;0,IF(LEFT(Z31,1)="胜","胜"&amp;VALUE(RIGHT(Z31,LEN(Z31)-1))+1,"胜1"),IF(X32&lt;0,IF(LEFT(Z31,1)="亏","亏"&amp;VALUE(RIGHT(Z31,LEN(Z31)-1))+1,"亏1"),"平")))</f>
        <v/>
      </c>
      <c r="AA32" s="52" t="str">
        <f aca="false">IF($A32="","",MAX(0,(MAX($Y$2:Y32)-Y32)/MAX(1,MAX($Y$2:Y32))))</f>
        <v/>
      </c>
    </row>
    <row r="33" customFormat="false" ht="15" hidden="false" customHeight="true" outlineLevel="0" collapsed="false">
      <c r="A33" s="7"/>
      <c r="B33" s="7"/>
      <c r="C33" s="7"/>
      <c r="D33" s="12"/>
      <c r="E33" s="12"/>
      <c r="F33" s="24"/>
      <c r="G33" s="25"/>
      <c r="H33" s="15"/>
      <c r="I33" s="24"/>
      <c r="J33" s="25"/>
      <c r="K33" s="16"/>
      <c r="L33" s="24"/>
      <c r="M33" s="7"/>
      <c r="N33" s="7"/>
      <c r="O33" s="7"/>
      <c r="P33" s="7"/>
      <c r="Q33" s="7"/>
      <c r="R33" s="26"/>
      <c r="S33" s="7"/>
      <c r="T33" s="7"/>
      <c r="U33" s="7"/>
      <c r="V33" s="1" t="str">
        <f aca="false">IF($A33="","",IF(OR(D33="卖出",D33="分红"),IFERROR(INDEX($F$2:$F32,MATCH(2,1/($C$2:$C32=$C33))),""),""))</f>
        <v/>
      </c>
      <c r="W33" s="50" t="str">
        <f aca="false">IF($A33="","",IF(D33="买入",IF(AND(ISNUMBER(L33),L33&gt;0),(F33-L33)*G33,F33*0.08*G33),IF(AND(ISNUMBER(V33),V33&gt;0),IF(AND(ISNUMBER(L33),L33&gt;0),(V33-L33)*G33,V33*0.08*G33),0)))</f>
        <v/>
      </c>
      <c r="X33" s="51" t="str">
        <f aca="false">IF($A33="","",IF(D33="买入",0,IFERROR(IF(W33&lt;&gt;0,(H33-IFERROR(INDEX($H$2:$H32,MATCH(2,1/($C$2:$C32=$C33))),0))/W33,0),0)))</f>
        <v/>
      </c>
      <c r="Y33" s="51" t="str">
        <f aca="false">IF($A33="","",Y32+X33)</f>
        <v/>
      </c>
      <c r="Z33" s="1" t="str">
        <f aca="false">IF($A33="","",IF(X33&gt;0,IF(LEFT(Z32,1)="胜","胜"&amp;VALUE(RIGHT(Z32,LEN(Z32)-1))+1,"胜1"),IF(X33&lt;0,IF(LEFT(Z32,1)="亏","亏"&amp;VALUE(RIGHT(Z32,LEN(Z32)-1))+1,"亏1"),"平")))</f>
        <v/>
      </c>
      <c r="AA33" s="52" t="str">
        <f aca="false">IF($A33="","",MAX(0,(MAX($Y$2:Y33)-Y33)/MAX(1,MAX($Y$2:Y33))))</f>
        <v/>
      </c>
    </row>
    <row r="34" customFormat="false" ht="15" hidden="false" customHeight="true" outlineLevel="0" collapsed="false">
      <c r="A34" s="5"/>
      <c r="B34" s="5"/>
      <c r="C34" s="5"/>
      <c r="D34" s="11"/>
      <c r="E34" s="11"/>
      <c r="F34" s="14"/>
      <c r="G34" s="17"/>
      <c r="H34" s="15"/>
      <c r="I34" s="14"/>
      <c r="J34" s="17"/>
      <c r="K34" s="16"/>
      <c r="L34" s="14"/>
      <c r="M34" s="5"/>
      <c r="N34" s="5"/>
      <c r="O34" s="5"/>
      <c r="P34" s="5"/>
      <c r="Q34" s="5"/>
      <c r="R34" s="20"/>
      <c r="S34" s="5"/>
      <c r="T34" s="5"/>
      <c r="U34" s="5"/>
      <c r="V34" s="1" t="str">
        <f aca="false">IF($A34="","",IF(OR(D34="卖出",D34="分红"),IFERROR(INDEX($F$2:$F33,MATCH(2,1/($C$2:$C33=$C34))),""),""))</f>
        <v/>
      </c>
      <c r="W34" s="50" t="str">
        <f aca="false">IF($A34="","",IF(D34="买入",IF(AND(ISNUMBER(L34),L34&gt;0),(F34-L34)*G34,F34*0.08*G34),IF(AND(ISNUMBER(V34),V34&gt;0),IF(AND(ISNUMBER(L34),L34&gt;0),(V34-L34)*G34,V34*0.08*G34),0)))</f>
        <v/>
      </c>
      <c r="X34" s="51" t="str">
        <f aca="false">IF($A34="","",IF(D34="买入",0,IFERROR(IF(W34&lt;&gt;0,(H34-IFERROR(INDEX($H$2:$H33,MATCH(2,1/($C$2:$C33=$C34))),0))/W34,0),0)))</f>
        <v/>
      </c>
      <c r="Y34" s="51" t="str">
        <f aca="false">IF($A34="","",Y33+X34)</f>
        <v/>
      </c>
      <c r="Z34" s="1" t="str">
        <f aca="false">IF($A34="","",IF(X34&gt;0,IF(LEFT(Z33,1)="胜","胜"&amp;VALUE(RIGHT(Z33,LEN(Z33)-1))+1,"胜1"),IF(X34&lt;0,IF(LEFT(Z33,1)="亏","亏"&amp;VALUE(RIGHT(Z33,LEN(Z33)-1))+1,"亏1"),"平")))</f>
        <v/>
      </c>
      <c r="AA34" s="52" t="str">
        <f aca="false">IF($A34="","",MAX(0,(MAX($Y$2:Y34)-Y34)/MAX(1,MAX($Y$2:Y34))))</f>
        <v/>
      </c>
    </row>
    <row r="35" customFormat="false" ht="15" hidden="false" customHeight="true" outlineLevel="0" collapsed="false">
      <c r="A35" s="7"/>
      <c r="B35" s="7"/>
      <c r="C35" s="7"/>
      <c r="D35" s="12"/>
      <c r="E35" s="12"/>
      <c r="F35" s="24"/>
      <c r="G35" s="25"/>
      <c r="H35" s="15"/>
      <c r="I35" s="24"/>
      <c r="J35" s="25"/>
      <c r="K35" s="16"/>
      <c r="L35" s="24"/>
      <c r="M35" s="7"/>
      <c r="N35" s="7"/>
      <c r="O35" s="7"/>
      <c r="P35" s="7"/>
      <c r="Q35" s="7"/>
      <c r="R35" s="26"/>
      <c r="S35" s="7"/>
      <c r="T35" s="7"/>
      <c r="U35" s="7"/>
      <c r="V35" s="1" t="str">
        <f aca="false">IF($A35="","",IF(OR(D35="卖出",D35="分红"),IFERROR(INDEX($F$2:$F34,MATCH(2,1/($C$2:$C34=$C35))),""),""))</f>
        <v/>
      </c>
      <c r="W35" s="50" t="str">
        <f aca="false">IF($A35="","",IF(D35="买入",IF(AND(ISNUMBER(L35),L35&gt;0),(F35-L35)*G35,F35*0.08*G35),IF(AND(ISNUMBER(V35),V35&gt;0),IF(AND(ISNUMBER(L35),L35&gt;0),(V35-L35)*G35,V35*0.08*G35),0)))</f>
        <v/>
      </c>
      <c r="X35" s="51" t="str">
        <f aca="false">IF($A35="","",IF(D35="买入",0,IFERROR(IF(W35&lt;&gt;0,(H35-IFERROR(INDEX($H$2:$H34,MATCH(2,1/($C$2:$C34=$C35))),0))/W35,0),0)))</f>
        <v/>
      </c>
      <c r="Y35" s="51" t="str">
        <f aca="false">IF($A35="","",Y34+X35)</f>
        <v/>
      </c>
      <c r="Z35" s="1" t="str">
        <f aca="false">IF($A35="","",IF(X35&gt;0,IF(LEFT(Z34,1)="胜","胜"&amp;VALUE(RIGHT(Z34,LEN(Z34)-1))+1,"胜1"),IF(X35&lt;0,IF(LEFT(Z34,1)="亏","亏"&amp;VALUE(RIGHT(Z34,LEN(Z34)-1))+1,"亏1"),"平")))</f>
        <v/>
      </c>
      <c r="AA35" s="52" t="str">
        <f aca="false">IF($A35="","",MAX(0,(MAX($Y$2:Y35)-Y35)/MAX(1,MAX($Y$2:Y35))))</f>
        <v/>
      </c>
    </row>
    <row r="36" customFormat="false" ht="15" hidden="false" customHeight="true" outlineLevel="0" collapsed="false">
      <c r="A36" s="5"/>
      <c r="B36" s="5"/>
      <c r="C36" s="5"/>
      <c r="D36" s="11"/>
      <c r="E36" s="11"/>
      <c r="F36" s="14"/>
      <c r="G36" s="17"/>
      <c r="H36" s="15"/>
      <c r="I36" s="14"/>
      <c r="J36" s="17"/>
      <c r="K36" s="16"/>
      <c r="L36" s="14"/>
      <c r="M36" s="5"/>
      <c r="N36" s="5"/>
      <c r="O36" s="5"/>
      <c r="P36" s="5"/>
      <c r="Q36" s="5"/>
      <c r="R36" s="20"/>
      <c r="S36" s="5"/>
      <c r="T36" s="5"/>
      <c r="U36" s="5"/>
      <c r="V36" s="1" t="str">
        <f aca="false">IF($A36="","",IF(OR(D36="卖出",D36="分红"),IFERROR(INDEX($F$2:$F35,MATCH(2,1/($C$2:$C35=$C36))),""),""))</f>
        <v/>
      </c>
      <c r="W36" s="50" t="str">
        <f aca="false">IF($A36="","",IF(D36="买入",IF(AND(ISNUMBER(L36),L36&gt;0),(F36-L36)*G36,F36*0.08*G36),IF(AND(ISNUMBER(V36),V36&gt;0),IF(AND(ISNUMBER(L36),L36&gt;0),(V36-L36)*G36,V36*0.08*G36),0)))</f>
        <v/>
      </c>
      <c r="X36" s="51" t="str">
        <f aca="false">IF($A36="","",IF(D36="买入",0,IFERROR(IF(W36&lt;&gt;0,(H36-IFERROR(INDEX($H$2:$H35,MATCH(2,1/($C$2:$C35=$C36))),0))/W36,0),0)))</f>
        <v/>
      </c>
      <c r="Y36" s="51" t="str">
        <f aca="false">IF($A36="","",Y35+X36)</f>
        <v/>
      </c>
      <c r="Z36" s="1" t="str">
        <f aca="false">IF($A36="","",IF(X36&gt;0,IF(LEFT(Z35,1)="胜","胜"&amp;VALUE(RIGHT(Z35,LEN(Z35)-1))+1,"胜1"),IF(X36&lt;0,IF(LEFT(Z35,1)="亏","亏"&amp;VALUE(RIGHT(Z35,LEN(Z35)-1))+1,"亏1"),"平")))</f>
        <v/>
      </c>
      <c r="AA36" s="52" t="str">
        <f aca="false">IF($A36="","",MAX(0,(MAX($Y$2:Y36)-Y36)/MAX(1,MAX($Y$2:Y36))))</f>
        <v/>
      </c>
    </row>
    <row r="37" customFormat="false" ht="15" hidden="false" customHeight="true" outlineLevel="0" collapsed="false">
      <c r="A37" s="7"/>
      <c r="B37" s="7"/>
      <c r="C37" s="7"/>
      <c r="D37" s="12"/>
      <c r="E37" s="12"/>
      <c r="F37" s="24"/>
      <c r="G37" s="25"/>
      <c r="H37" s="15"/>
      <c r="I37" s="24"/>
      <c r="J37" s="25"/>
      <c r="K37" s="16"/>
      <c r="L37" s="24"/>
      <c r="M37" s="7"/>
      <c r="N37" s="7"/>
      <c r="O37" s="7"/>
      <c r="P37" s="7"/>
      <c r="Q37" s="7"/>
      <c r="R37" s="26"/>
      <c r="S37" s="7"/>
      <c r="T37" s="7"/>
      <c r="U37" s="7"/>
      <c r="V37" s="1" t="str">
        <f aca="false">IF($A37="","",IF(OR(D37="卖出",D37="分红"),IFERROR(INDEX($F$2:$F36,MATCH(2,1/($C$2:$C36=$C37))),""),""))</f>
        <v/>
      </c>
      <c r="W37" s="50" t="str">
        <f aca="false">IF($A37="","",IF(D37="买入",IF(AND(ISNUMBER(L37),L37&gt;0),(F37-L37)*G37,F37*0.08*G37),IF(AND(ISNUMBER(V37),V37&gt;0),IF(AND(ISNUMBER(L37),L37&gt;0),(V37-L37)*G37,V37*0.08*G37),0)))</f>
        <v/>
      </c>
      <c r="X37" s="51" t="str">
        <f aca="false">IF($A37="","",IF(D37="买入",0,IFERROR(IF(W37&lt;&gt;0,(H37-IFERROR(INDEX($H$2:$H36,MATCH(2,1/($C$2:$C36=$C37))),0))/W37,0),0)))</f>
        <v/>
      </c>
      <c r="Y37" s="51" t="str">
        <f aca="false">IF($A37="","",Y36+X37)</f>
        <v/>
      </c>
      <c r="Z37" s="1" t="str">
        <f aca="false">IF($A37="","",IF(X37&gt;0,IF(LEFT(Z36,1)="胜","胜"&amp;VALUE(RIGHT(Z36,LEN(Z36)-1))+1,"胜1"),IF(X37&lt;0,IF(LEFT(Z36,1)="亏","亏"&amp;VALUE(RIGHT(Z36,LEN(Z36)-1))+1,"亏1"),"平")))</f>
        <v/>
      </c>
      <c r="AA37" s="52" t="str">
        <f aca="false">IF($A37="","",MAX(0,(MAX($Y$2:Y37)-Y37)/MAX(1,MAX($Y$2:Y37))))</f>
        <v/>
      </c>
    </row>
    <row r="38" customFormat="false" ht="15" hidden="false" customHeight="true" outlineLevel="0" collapsed="false">
      <c r="A38" s="5"/>
      <c r="B38" s="5"/>
      <c r="C38" s="5"/>
      <c r="D38" s="11"/>
      <c r="E38" s="11"/>
      <c r="F38" s="14"/>
      <c r="G38" s="17"/>
      <c r="H38" s="15"/>
      <c r="I38" s="14"/>
      <c r="J38" s="17"/>
      <c r="K38" s="16"/>
      <c r="L38" s="14"/>
      <c r="M38" s="5"/>
      <c r="N38" s="5"/>
      <c r="O38" s="5"/>
      <c r="P38" s="5"/>
      <c r="Q38" s="5"/>
      <c r="R38" s="20"/>
      <c r="S38" s="5"/>
      <c r="T38" s="5"/>
      <c r="U38" s="5"/>
      <c r="V38" s="1" t="str">
        <f aca="false">IF($A38="","",IF(OR(D38="卖出",D38="分红"),IFERROR(INDEX($F$2:$F37,MATCH(2,1/($C$2:$C37=$C38))),""),""))</f>
        <v/>
      </c>
      <c r="W38" s="50" t="str">
        <f aca="false">IF($A38="","",IF(D38="买入",IF(AND(ISNUMBER(L38),L38&gt;0),(F38-L38)*G38,F38*0.08*G38),IF(AND(ISNUMBER(V38),V38&gt;0),IF(AND(ISNUMBER(L38),L38&gt;0),(V38-L38)*G38,V38*0.08*G38),0)))</f>
        <v/>
      </c>
      <c r="X38" s="51" t="str">
        <f aca="false">IF($A38="","",IF(D38="买入",0,IFERROR(IF(W38&lt;&gt;0,(H38-IFERROR(INDEX($H$2:$H37,MATCH(2,1/($C$2:$C37=$C38))),0))/W38,0),0)))</f>
        <v/>
      </c>
      <c r="Y38" s="51" t="str">
        <f aca="false">IF($A38="","",Y37+X38)</f>
        <v/>
      </c>
      <c r="Z38" s="1" t="str">
        <f aca="false">IF($A38="","",IF(X38&gt;0,IF(LEFT(Z37,1)="胜","胜"&amp;VALUE(RIGHT(Z37,LEN(Z37)-1))+1,"胜1"),IF(X38&lt;0,IF(LEFT(Z37,1)="亏","亏"&amp;VALUE(RIGHT(Z37,LEN(Z37)-1))+1,"亏1"),"平")))</f>
        <v/>
      </c>
      <c r="AA38" s="52" t="str">
        <f aca="false">IF($A38="","",MAX(0,(MAX($Y$2:Y38)-Y38)/MAX(1,MAX($Y$2:Y38))))</f>
        <v/>
      </c>
    </row>
    <row r="39" customFormat="false" ht="15" hidden="false" customHeight="true" outlineLevel="0" collapsed="false">
      <c r="A39" s="7"/>
      <c r="B39" s="7"/>
      <c r="C39" s="7"/>
      <c r="D39" s="12"/>
      <c r="E39" s="12"/>
      <c r="F39" s="24"/>
      <c r="G39" s="25"/>
      <c r="H39" s="15"/>
      <c r="I39" s="24"/>
      <c r="J39" s="25"/>
      <c r="K39" s="16"/>
      <c r="L39" s="24"/>
      <c r="M39" s="7"/>
      <c r="N39" s="7"/>
      <c r="O39" s="7"/>
      <c r="P39" s="7"/>
      <c r="Q39" s="7"/>
      <c r="R39" s="26"/>
      <c r="S39" s="7"/>
      <c r="T39" s="7"/>
      <c r="U39" s="7"/>
      <c r="V39" s="1" t="str">
        <f aca="false">IF($A39="","",IF(OR(D39="卖出",D39="分红"),IFERROR(INDEX($F$2:$F38,MATCH(2,1/($C$2:$C38=$C39))),""),""))</f>
        <v/>
      </c>
      <c r="W39" s="50" t="str">
        <f aca="false">IF($A39="","",IF(D39="买入",IF(AND(ISNUMBER(L39),L39&gt;0),(F39-L39)*G39,F39*0.08*G39),IF(AND(ISNUMBER(V39),V39&gt;0),IF(AND(ISNUMBER(L39),L39&gt;0),(V39-L39)*G39,V39*0.08*G39),0)))</f>
        <v/>
      </c>
      <c r="X39" s="51" t="str">
        <f aca="false">IF($A39="","",IF(D39="买入",0,IFERROR(IF(W39&lt;&gt;0,(H39-IFERROR(INDEX($H$2:$H38,MATCH(2,1/($C$2:$C38=$C39))),0))/W39,0),0)))</f>
        <v/>
      </c>
      <c r="Y39" s="51" t="str">
        <f aca="false">IF($A39="","",Y38+X39)</f>
        <v/>
      </c>
      <c r="Z39" s="1" t="str">
        <f aca="false">IF($A39="","",IF(X39&gt;0,IF(LEFT(Z38,1)="胜","胜"&amp;VALUE(RIGHT(Z38,LEN(Z38)-1))+1,"胜1"),IF(X39&lt;0,IF(LEFT(Z38,1)="亏","亏"&amp;VALUE(RIGHT(Z38,LEN(Z38)-1))+1,"亏1"),"平")))</f>
        <v/>
      </c>
      <c r="AA39" s="52" t="str">
        <f aca="false">IF($A39="","",MAX(0,(MAX($Y$2:Y39)-Y39)/MAX(1,MAX($Y$2:Y39))))</f>
        <v/>
      </c>
    </row>
    <row r="40" customFormat="false" ht="15" hidden="false" customHeight="true" outlineLevel="0" collapsed="false">
      <c r="A40" s="5"/>
      <c r="B40" s="5"/>
      <c r="C40" s="5"/>
      <c r="D40" s="11"/>
      <c r="E40" s="11"/>
      <c r="F40" s="14"/>
      <c r="G40" s="17"/>
      <c r="H40" s="15"/>
      <c r="I40" s="14"/>
      <c r="J40" s="17"/>
      <c r="K40" s="16"/>
      <c r="L40" s="14"/>
      <c r="M40" s="5"/>
      <c r="N40" s="5"/>
      <c r="O40" s="5"/>
      <c r="P40" s="5"/>
      <c r="Q40" s="5"/>
      <c r="R40" s="20"/>
      <c r="S40" s="5"/>
      <c r="T40" s="5"/>
      <c r="U40" s="5"/>
      <c r="V40" s="1" t="str">
        <f aca="false">IF($A40="","",IF(OR(D40="卖出",D40="分红"),IFERROR(INDEX($F$2:$F39,MATCH(2,1/($C$2:$C39=$C40))),""),""))</f>
        <v/>
      </c>
      <c r="W40" s="50" t="str">
        <f aca="false">IF($A40="","",IF(D40="买入",IF(AND(ISNUMBER(L40),L40&gt;0),(F40-L40)*G40,F40*0.08*G40),IF(AND(ISNUMBER(V40),V40&gt;0),IF(AND(ISNUMBER(L40),L40&gt;0),(V40-L40)*G40,V40*0.08*G40),0)))</f>
        <v/>
      </c>
      <c r="X40" s="51" t="str">
        <f aca="false">IF($A40="","",IF(D40="买入",0,IFERROR(IF(W40&lt;&gt;0,(H40-IFERROR(INDEX($H$2:$H39,MATCH(2,1/($C$2:$C39=$C40))),0))/W40,0),0)))</f>
        <v/>
      </c>
      <c r="Y40" s="51" t="str">
        <f aca="false">IF($A40="","",Y39+X40)</f>
        <v/>
      </c>
      <c r="Z40" s="1" t="str">
        <f aca="false">IF($A40="","",IF(X40&gt;0,IF(LEFT(Z39,1)="胜","胜"&amp;VALUE(RIGHT(Z39,LEN(Z39)-1))+1,"胜1"),IF(X40&lt;0,IF(LEFT(Z39,1)="亏","亏"&amp;VALUE(RIGHT(Z39,LEN(Z39)-1))+1,"亏1"),"平")))</f>
        <v/>
      </c>
      <c r="AA40" s="52" t="str">
        <f aca="false">IF($A40="","",MAX(0,(MAX($Y$2:Y40)-Y40)/MAX(1,MAX($Y$2:Y40))))</f>
        <v/>
      </c>
    </row>
    <row r="41" customFormat="false" ht="15" hidden="false" customHeight="true" outlineLevel="0" collapsed="false">
      <c r="A41" s="7"/>
      <c r="B41" s="7"/>
      <c r="C41" s="7"/>
      <c r="D41" s="12"/>
      <c r="E41" s="12"/>
      <c r="F41" s="24"/>
      <c r="G41" s="25"/>
      <c r="H41" s="15"/>
      <c r="I41" s="24"/>
      <c r="J41" s="25"/>
      <c r="K41" s="16"/>
      <c r="L41" s="24"/>
      <c r="M41" s="7"/>
      <c r="N41" s="7"/>
      <c r="O41" s="7"/>
      <c r="P41" s="7"/>
      <c r="Q41" s="7"/>
      <c r="R41" s="26"/>
      <c r="S41" s="7"/>
      <c r="T41" s="7"/>
      <c r="U41" s="7"/>
      <c r="V41" s="1" t="str">
        <f aca="false">IF($A41="","",IF(OR(D41="卖出",D41="分红"),IFERROR(INDEX($F$2:$F40,MATCH(2,1/($C$2:$C40=$C41))),""),""))</f>
        <v/>
      </c>
      <c r="W41" s="50" t="str">
        <f aca="false">IF($A41="","",IF(D41="买入",IF(AND(ISNUMBER(L41),L41&gt;0),(F41-L41)*G41,F41*0.08*G41),IF(AND(ISNUMBER(V41),V41&gt;0),IF(AND(ISNUMBER(L41),L41&gt;0),(V41-L41)*G41,V41*0.08*G41),0)))</f>
        <v/>
      </c>
      <c r="X41" s="51" t="str">
        <f aca="false">IF($A41="","",IF(D41="买入",0,IFERROR(IF(W41&lt;&gt;0,(H41-IFERROR(INDEX($H$2:$H40,MATCH(2,1/($C$2:$C40=$C41))),0))/W41,0),0)))</f>
        <v/>
      </c>
      <c r="Y41" s="51" t="str">
        <f aca="false">IF($A41="","",Y40+X41)</f>
        <v/>
      </c>
      <c r="Z41" s="1" t="str">
        <f aca="false">IF($A41="","",IF(X41&gt;0,IF(LEFT(Z40,1)="胜","胜"&amp;VALUE(RIGHT(Z40,LEN(Z40)-1))+1,"胜1"),IF(X41&lt;0,IF(LEFT(Z40,1)="亏","亏"&amp;VALUE(RIGHT(Z40,LEN(Z40)-1))+1,"亏1"),"平")))</f>
        <v/>
      </c>
      <c r="AA41" s="52" t="str">
        <f aca="false">IF($A41="","",MAX(0,(MAX($Y$2:Y41)-Y41)/MAX(1,MAX($Y$2:Y41))))</f>
        <v/>
      </c>
    </row>
    <row r="42" customFormat="false" ht="15" hidden="false" customHeight="true" outlineLevel="0" collapsed="false">
      <c r="A42" s="5"/>
      <c r="B42" s="5"/>
      <c r="C42" s="5"/>
      <c r="D42" s="11"/>
      <c r="E42" s="11"/>
      <c r="F42" s="14"/>
      <c r="G42" s="17"/>
      <c r="H42" s="15"/>
      <c r="I42" s="14"/>
      <c r="J42" s="17"/>
      <c r="K42" s="16"/>
      <c r="L42" s="14"/>
      <c r="M42" s="5"/>
      <c r="N42" s="5"/>
      <c r="O42" s="5"/>
      <c r="P42" s="5"/>
      <c r="Q42" s="5"/>
      <c r="R42" s="20"/>
      <c r="S42" s="5"/>
      <c r="T42" s="5"/>
      <c r="U42" s="5"/>
      <c r="V42" s="1" t="str">
        <f aca="false">IF($A42="","",IF(OR(D42="卖出",D42="分红"),IFERROR(INDEX($F$2:$F41,MATCH(2,1/($C$2:$C41=$C42))),""),""))</f>
        <v/>
      </c>
      <c r="W42" s="50" t="str">
        <f aca="false">IF($A42="","",IF(D42="买入",IF(AND(ISNUMBER(L42),L42&gt;0),(F42-L42)*G42,F42*0.08*G42),IF(AND(ISNUMBER(V42),V42&gt;0),IF(AND(ISNUMBER(L42),L42&gt;0),(V42-L42)*G42,V42*0.08*G42),0)))</f>
        <v/>
      </c>
      <c r="X42" s="51" t="str">
        <f aca="false">IF($A42="","",IF(D42="买入",0,IFERROR(IF(W42&lt;&gt;0,(H42-IFERROR(INDEX($H$2:$H41,MATCH(2,1/($C$2:$C41=$C42))),0))/W42,0),0)))</f>
        <v/>
      </c>
      <c r="Y42" s="51" t="str">
        <f aca="false">IF($A42="","",Y41+X42)</f>
        <v/>
      </c>
      <c r="Z42" s="1" t="str">
        <f aca="false">IF($A42="","",IF(X42&gt;0,IF(LEFT(Z41,1)="胜","胜"&amp;VALUE(RIGHT(Z41,LEN(Z41)-1))+1,"胜1"),IF(X42&lt;0,IF(LEFT(Z41,1)="亏","亏"&amp;VALUE(RIGHT(Z41,LEN(Z41)-1))+1,"亏1"),"平")))</f>
        <v/>
      </c>
      <c r="AA42" s="52" t="str">
        <f aca="false">IF($A42="","",MAX(0,(MAX($Y$2:Y42)-Y42)/MAX(1,MAX($Y$2:Y42))))</f>
        <v/>
      </c>
    </row>
    <row r="43" customFormat="false" ht="15" hidden="false" customHeight="true" outlineLevel="0" collapsed="false">
      <c r="A43" s="7"/>
      <c r="B43" s="7"/>
      <c r="C43" s="7"/>
      <c r="D43" s="12"/>
      <c r="E43" s="12"/>
      <c r="F43" s="24"/>
      <c r="G43" s="25"/>
      <c r="H43" s="15"/>
      <c r="I43" s="24"/>
      <c r="J43" s="25"/>
      <c r="K43" s="16"/>
      <c r="L43" s="24"/>
      <c r="M43" s="7"/>
      <c r="N43" s="7"/>
      <c r="O43" s="7"/>
      <c r="P43" s="7"/>
      <c r="Q43" s="7"/>
      <c r="R43" s="26"/>
      <c r="S43" s="7"/>
      <c r="T43" s="7"/>
      <c r="U43" s="7"/>
      <c r="V43" s="1" t="str">
        <f aca="false">IF($A43="","",IF(OR(D43="卖出",D43="分红"),IFERROR(INDEX($F$2:$F42,MATCH(2,1/($C$2:$C42=$C43))),""),""))</f>
        <v/>
      </c>
      <c r="W43" s="50" t="str">
        <f aca="false">IF($A43="","",IF(D43="买入",IF(AND(ISNUMBER(L43),L43&gt;0),(F43-L43)*G43,F43*0.08*G43),IF(AND(ISNUMBER(V43),V43&gt;0),IF(AND(ISNUMBER(L43),L43&gt;0),(V43-L43)*G43,V43*0.08*G43),0)))</f>
        <v/>
      </c>
      <c r="X43" s="51" t="str">
        <f aca="false">IF($A43="","",IF(D43="买入",0,IFERROR(IF(W43&lt;&gt;0,(H43-IFERROR(INDEX($H$2:$H42,MATCH(2,1/($C$2:$C42=$C43))),0))/W43,0),0)))</f>
        <v/>
      </c>
      <c r="Y43" s="51" t="str">
        <f aca="false">IF($A43="","",Y42+X43)</f>
        <v/>
      </c>
      <c r="Z43" s="1" t="str">
        <f aca="false">IF($A43="","",IF(X43&gt;0,IF(LEFT(Z42,1)="胜","胜"&amp;VALUE(RIGHT(Z42,LEN(Z42)-1))+1,"胜1"),IF(X43&lt;0,IF(LEFT(Z42,1)="亏","亏"&amp;VALUE(RIGHT(Z42,LEN(Z42)-1))+1,"亏1"),"平")))</f>
        <v/>
      </c>
      <c r="AA43" s="52" t="str">
        <f aca="false">IF($A43="","",MAX(0,(MAX($Y$2:Y43)-Y43)/MAX(1,MAX($Y$2:Y43))))</f>
        <v/>
      </c>
    </row>
    <row r="44" customFormat="false" ht="15" hidden="false" customHeight="true" outlineLevel="0" collapsed="false">
      <c r="A44" s="5"/>
      <c r="B44" s="5"/>
      <c r="C44" s="5"/>
      <c r="D44" s="11"/>
      <c r="E44" s="11"/>
      <c r="F44" s="14"/>
      <c r="G44" s="17"/>
      <c r="H44" s="15"/>
      <c r="I44" s="14"/>
      <c r="J44" s="17"/>
      <c r="K44" s="16"/>
      <c r="L44" s="14"/>
      <c r="M44" s="5"/>
      <c r="N44" s="5"/>
      <c r="O44" s="5"/>
      <c r="P44" s="5"/>
      <c r="Q44" s="5"/>
      <c r="R44" s="20"/>
      <c r="S44" s="5"/>
      <c r="T44" s="5"/>
      <c r="U44" s="5"/>
      <c r="V44" s="1" t="str">
        <f aca="false">IF($A44="","",IF(OR(D44="卖出",D44="分红"),IFERROR(INDEX($F$2:$F43,MATCH(2,1/($C$2:$C43=$C44))),""),""))</f>
        <v/>
      </c>
      <c r="W44" s="50" t="str">
        <f aca="false">IF($A44="","",IF(D44="买入",IF(AND(ISNUMBER(L44),L44&gt;0),(F44-L44)*G44,F44*0.08*G44),IF(AND(ISNUMBER(V44),V44&gt;0),IF(AND(ISNUMBER(L44),L44&gt;0),(V44-L44)*G44,V44*0.08*G44),0)))</f>
        <v/>
      </c>
      <c r="X44" s="51" t="str">
        <f aca="false">IF($A44="","",IF(D44="买入",0,IFERROR(IF(W44&lt;&gt;0,(H44-IFERROR(INDEX($H$2:$H43,MATCH(2,1/($C$2:$C43=$C44))),0))/W44,0),0)))</f>
        <v/>
      </c>
      <c r="Y44" s="51" t="str">
        <f aca="false">IF($A44="","",Y43+X44)</f>
        <v/>
      </c>
      <c r="Z44" s="1" t="str">
        <f aca="false">IF($A44="","",IF(X44&gt;0,IF(LEFT(Z43,1)="胜","胜"&amp;VALUE(RIGHT(Z43,LEN(Z43)-1))+1,"胜1"),IF(X44&lt;0,IF(LEFT(Z43,1)="亏","亏"&amp;VALUE(RIGHT(Z43,LEN(Z43)-1))+1,"亏1"),"平")))</f>
        <v/>
      </c>
      <c r="AA44" s="52" t="str">
        <f aca="false">IF($A44="","",MAX(0,(MAX($Y$2:Y44)-Y44)/MAX(1,MAX($Y$2:Y44))))</f>
        <v/>
      </c>
    </row>
    <row r="45" customFormat="false" ht="15" hidden="false" customHeight="true" outlineLevel="0" collapsed="false">
      <c r="A45" s="7"/>
      <c r="B45" s="7"/>
      <c r="C45" s="7"/>
      <c r="D45" s="12"/>
      <c r="E45" s="12"/>
      <c r="F45" s="24"/>
      <c r="G45" s="25"/>
      <c r="H45" s="15"/>
      <c r="I45" s="24"/>
      <c r="J45" s="25"/>
      <c r="K45" s="16"/>
      <c r="L45" s="24"/>
      <c r="M45" s="7"/>
      <c r="N45" s="7"/>
      <c r="O45" s="7"/>
      <c r="P45" s="7"/>
      <c r="Q45" s="7"/>
      <c r="R45" s="26"/>
      <c r="S45" s="7"/>
      <c r="T45" s="7"/>
      <c r="U45" s="7"/>
      <c r="V45" s="1" t="str">
        <f aca="false">IF($A45="","",IF(OR(D45="卖出",D45="分红"),IFERROR(INDEX($F$2:$F44,MATCH(2,1/($C$2:$C44=$C45))),""),""))</f>
        <v/>
      </c>
      <c r="W45" s="50" t="str">
        <f aca="false">IF($A45="","",IF(D45="买入",IF(AND(ISNUMBER(L45),L45&gt;0),(F45-L45)*G45,F45*0.08*G45),IF(AND(ISNUMBER(V45),V45&gt;0),IF(AND(ISNUMBER(L45),L45&gt;0),(V45-L45)*G45,V45*0.08*G45),0)))</f>
        <v/>
      </c>
      <c r="X45" s="51" t="str">
        <f aca="false">IF($A45="","",IF(D45="买入",0,IFERROR(IF(W45&lt;&gt;0,(H45-IFERROR(INDEX($H$2:$H44,MATCH(2,1/($C$2:$C44=$C45))),0))/W45,0),0)))</f>
        <v/>
      </c>
      <c r="Y45" s="51" t="str">
        <f aca="false">IF($A45="","",Y44+X45)</f>
        <v/>
      </c>
      <c r="Z45" s="1" t="str">
        <f aca="false">IF($A45="","",IF(X45&gt;0,IF(LEFT(Z44,1)="胜","胜"&amp;VALUE(RIGHT(Z44,LEN(Z44)-1))+1,"胜1"),IF(X45&lt;0,IF(LEFT(Z44,1)="亏","亏"&amp;VALUE(RIGHT(Z44,LEN(Z44)-1))+1,"亏1"),"平")))</f>
        <v/>
      </c>
      <c r="AA45" s="52" t="str">
        <f aca="false">IF($A45="","",MAX(0,(MAX($Y$2:Y45)-Y45)/MAX(1,MAX($Y$2:Y45))))</f>
        <v/>
      </c>
    </row>
    <row r="46" customFormat="false" ht="15" hidden="false" customHeight="true" outlineLevel="0" collapsed="false">
      <c r="A46" s="5"/>
      <c r="B46" s="5"/>
      <c r="C46" s="5"/>
      <c r="D46" s="11"/>
      <c r="E46" s="11"/>
      <c r="F46" s="14"/>
      <c r="G46" s="17"/>
      <c r="H46" s="15"/>
      <c r="I46" s="14"/>
      <c r="J46" s="17"/>
      <c r="K46" s="16"/>
      <c r="L46" s="14"/>
      <c r="M46" s="5"/>
      <c r="N46" s="5"/>
      <c r="O46" s="5"/>
      <c r="P46" s="5"/>
      <c r="Q46" s="5"/>
      <c r="R46" s="20"/>
      <c r="S46" s="5"/>
      <c r="T46" s="5"/>
      <c r="U46" s="5"/>
      <c r="V46" s="1" t="str">
        <f aca="false">IF($A46="","",IF(OR(D46="卖出",D46="分红"),IFERROR(INDEX($F$2:$F45,MATCH(2,1/($C$2:$C45=$C46))),""),""))</f>
        <v/>
      </c>
      <c r="W46" s="50" t="str">
        <f aca="false">IF($A46="","",IF(D46="买入",IF(AND(ISNUMBER(L46),L46&gt;0),(F46-L46)*G46,F46*0.08*G46),IF(AND(ISNUMBER(V46),V46&gt;0),IF(AND(ISNUMBER(L46),L46&gt;0),(V46-L46)*G46,V46*0.08*G46),0)))</f>
        <v/>
      </c>
      <c r="X46" s="51" t="str">
        <f aca="false">IF($A46="","",IF(D46="买入",0,IFERROR(IF(W46&lt;&gt;0,(H46-IFERROR(INDEX($H$2:$H45,MATCH(2,1/($C$2:$C45=$C46))),0))/W46,0),0)))</f>
        <v/>
      </c>
      <c r="Y46" s="51" t="str">
        <f aca="false">IF($A46="","",Y45+X46)</f>
        <v/>
      </c>
      <c r="Z46" s="1" t="str">
        <f aca="false">IF($A46="","",IF(X46&gt;0,IF(LEFT(Z45,1)="胜","胜"&amp;VALUE(RIGHT(Z45,LEN(Z45)-1))+1,"胜1"),IF(X46&lt;0,IF(LEFT(Z45,1)="亏","亏"&amp;VALUE(RIGHT(Z45,LEN(Z45)-1))+1,"亏1"),"平")))</f>
        <v/>
      </c>
      <c r="AA46" s="52" t="str">
        <f aca="false">IF($A46="","",MAX(0,(MAX($Y$2:Y46)-Y46)/MAX(1,MAX($Y$2:Y46))))</f>
        <v/>
      </c>
    </row>
    <row r="47" customFormat="false" ht="15" hidden="false" customHeight="true" outlineLevel="0" collapsed="false">
      <c r="A47" s="7"/>
      <c r="B47" s="7"/>
      <c r="C47" s="7"/>
      <c r="D47" s="12"/>
      <c r="E47" s="12"/>
      <c r="F47" s="24"/>
      <c r="G47" s="25"/>
      <c r="H47" s="15"/>
      <c r="I47" s="24"/>
      <c r="J47" s="25"/>
      <c r="K47" s="16"/>
      <c r="L47" s="24"/>
      <c r="M47" s="7"/>
      <c r="N47" s="7"/>
      <c r="O47" s="7"/>
      <c r="P47" s="7"/>
      <c r="Q47" s="7"/>
      <c r="R47" s="26"/>
      <c r="S47" s="7"/>
      <c r="T47" s="7"/>
      <c r="U47" s="7"/>
      <c r="V47" s="1" t="str">
        <f aca="false">IF($A47="","",IF(OR(D47="卖出",D47="分红"),IFERROR(INDEX($F$2:$F46,MATCH(2,1/($C$2:$C46=$C47))),""),""))</f>
        <v/>
      </c>
      <c r="W47" s="50" t="str">
        <f aca="false">IF($A47="","",IF(D47="买入",IF(AND(ISNUMBER(L47),L47&gt;0),(F47-L47)*G47,F47*0.08*G47),IF(AND(ISNUMBER(V47),V47&gt;0),IF(AND(ISNUMBER(L47),L47&gt;0),(V47-L47)*G47,V47*0.08*G47),0)))</f>
        <v/>
      </c>
      <c r="X47" s="51" t="str">
        <f aca="false">IF($A47="","",IF(D47="买入",0,IFERROR(IF(W47&lt;&gt;0,(H47-IFERROR(INDEX($H$2:$H46,MATCH(2,1/($C$2:$C46=$C47))),0))/W47,0),0)))</f>
        <v/>
      </c>
      <c r="Y47" s="51" t="str">
        <f aca="false">IF($A47="","",Y46+X47)</f>
        <v/>
      </c>
      <c r="Z47" s="1" t="str">
        <f aca="false">IF($A47="","",IF(X47&gt;0,IF(LEFT(Z46,1)="胜","胜"&amp;VALUE(RIGHT(Z46,LEN(Z46)-1))+1,"胜1"),IF(X47&lt;0,IF(LEFT(Z46,1)="亏","亏"&amp;VALUE(RIGHT(Z46,LEN(Z46)-1))+1,"亏1"),"平")))</f>
        <v/>
      </c>
      <c r="AA47" s="52" t="str">
        <f aca="false">IF($A47="","",MAX(0,(MAX($Y$2:Y47)-Y47)/MAX(1,MAX($Y$2:Y47))))</f>
        <v/>
      </c>
    </row>
    <row r="48" customFormat="false" ht="15" hidden="false" customHeight="true" outlineLevel="0" collapsed="false">
      <c r="A48" s="5"/>
      <c r="B48" s="5"/>
      <c r="C48" s="5"/>
      <c r="D48" s="11"/>
      <c r="E48" s="11"/>
      <c r="F48" s="14"/>
      <c r="G48" s="17"/>
      <c r="H48" s="15"/>
      <c r="I48" s="14"/>
      <c r="J48" s="17"/>
      <c r="K48" s="16"/>
      <c r="L48" s="14"/>
      <c r="M48" s="5"/>
      <c r="N48" s="5"/>
      <c r="O48" s="5"/>
      <c r="P48" s="5"/>
      <c r="Q48" s="5"/>
      <c r="R48" s="20"/>
      <c r="S48" s="5"/>
      <c r="T48" s="5"/>
      <c r="U48" s="5"/>
      <c r="V48" s="1" t="str">
        <f aca="false">IF($A48="","",IF(OR(D48="卖出",D48="分红"),IFERROR(INDEX($F$2:$F47,MATCH(2,1/($C$2:$C47=$C48))),""),""))</f>
        <v/>
      </c>
      <c r="W48" s="50" t="str">
        <f aca="false">IF($A48="","",IF(D48="买入",IF(AND(ISNUMBER(L48),L48&gt;0),(F48-L48)*G48,F48*0.08*G48),IF(AND(ISNUMBER(V48),V48&gt;0),IF(AND(ISNUMBER(L48),L48&gt;0),(V48-L48)*G48,V48*0.08*G48),0)))</f>
        <v/>
      </c>
      <c r="X48" s="51" t="str">
        <f aca="false">IF($A48="","",IF(D48="买入",0,IFERROR(IF(W48&lt;&gt;0,(H48-IFERROR(INDEX($H$2:$H47,MATCH(2,1/($C$2:$C47=$C48))),0))/W48,0),0)))</f>
        <v/>
      </c>
      <c r="Y48" s="51" t="str">
        <f aca="false">IF($A48="","",Y47+X48)</f>
        <v/>
      </c>
      <c r="Z48" s="1" t="str">
        <f aca="false">IF($A48="","",IF(X48&gt;0,IF(LEFT(Z47,1)="胜","胜"&amp;VALUE(RIGHT(Z47,LEN(Z47)-1))+1,"胜1"),IF(X48&lt;0,IF(LEFT(Z47,1)="亏","亏"&amp;VALUE(RIGHT(Z47,LEN(Z47)-1))+1,"亏1"),"平")))</f>
        <v/>
      </c>
      <c r="AA48" s="52" t="str">
        <f aca="false">IF($A48="","",MAX(0,(MAX($Y$2:Y48)-Y48)/MAX(1,MAX($Y$2:Y48))))</f>
        <v/>
      </c>
    </row>
    <row r="49" customFormat="false" ht="15" hidden="false" customHeight="true" outlineLevel="0" collapsed="false">
      <c r="A49" s="7"/>
      <c r="B49" s="7"/>
      <c r="C49" s="7"/>
      <c r="D49" s="12"/>
      <c r="E49" s="12"/>
      <c r="F49" s="24"/>
      <c r="G49" s="25"/>
      <c r="H49" s="15"/>
      <c r="I49" s="24"/>
      <c r="J49" s="25"/>
      <c r="K49" s="16"/>
      <c r="L49" s="24"/>
      <c r="M49" s="7"/>
      <c r="N49" s="7"/>
      <c r="O49" s="7"/>
      <c r="P49" s="7"/>
      <c r="Q49" s="7"/>
      <c r="R49" s="26"/>
      <c r="S49" s="7"/>
      <c r="T49" s="7"/>
      <c r="U49" s="7"/>
      <c r="V49" s="1" t="str">
        <f aca="false">IF($A49="","",IF(OR(D49="卖出",D49="分红"),IFERROR(INDEX($F$2:$F48,MATCH(2,1/($C$2:$C48=$C49))),""),""))</f>
        <v/>
      </c>
      <c r="W49" s="50" t="str">
        <f aca="false">IF($A49="","",IF(D49="买入",IF(AND(ISNUMBER(L49),L49&gt;0),(F49-L49)*G49,F49*0.08*G49),IF(AND(ISNUMBER(V49),V49&gt;0),IF(AND(ISNUMBER(L49),L49&gt;0),(V49-L49)*G49,V49*0.08*G49),0)))</f>
        <v/>
      </c>
      <c r="X49" s="51" t="str">
        <f aca="false">IF($A49="","",IF(D49="买入",0,IFERROR(IF(W49&lt;&gt;0,(H49-IFERROR(INDEX($H$2:$H48,MATCH(2,1/($C$2:$C48=$C49))),0))/W49,0),0)))</f>
        <v/>
      </c>
      <c r="Y49" s="51" t="str">
        <f aca="false">IF($A49="","",Y48+X49)</f>
        <v/>
      </c>
      <c r="Z49" s="1" t="str">
        <f aca="false">IF($A49="","",IF(X49&gt;0,IF(LEFT(Z48,1)="胜","胜"&amp;VALUE(RIGHT(Z48,LEN(Z48)-1))+1,"胜1"),IF(X49&lt;0,IF(LEFT(Z48,1)="亏","亏"&amp;VALUE(RIGHT(Z48,LEN(Z48)-1))+1,"亏1"),"平")))</f>
        <v/>
      </c>
      <c r="AA49" s="52" t="str">
        <f aca="false">IF($A49="","",MAX(0,(MAX($Y$2:Y49)-Y49)/MAX(1,MAX($Y$2:Y49))))</f>
        <v/>
      </c>
    </row>
    <row r="50" customFormat="false" ht="15" hidden="false" customHeight="true" outlineLevel="0" collapsed="false">
      <c r="A50" s="5"/>
      <c r="B50" s="5"/>
      <c r="C50" s="5"/>
      <c r="D50" s="11"/>
      <c r="E50" s="11"/>
      <c r="F50" s="14"/>
      <c r="G50" s="17"/>
      <c r="H50" s="15"/>
      <c r="I50" s="14"/>
      <c r="J50" s="17"/>
      <c r="K50" s="16"/>
      <c r="L50" s="14"/>
      <c r="M50" s="5"/>
      <c r="N50" s="5"/>
      <c r="O50" s="5"/>
      <c r="P50" s="5"/>
      <c r="Q50" s="5"/>
      <c r="R50" s="20"/>
      <c r="S50" s="5"/>
      <c r="T50" s="5"/>
      <c r="U50" s="5"/>
      <c r="V50" s="1" t="str">
        <f aca="false">IF($A50="","",IF(OR(D50="卖出",D50="分红"),IFERROR(INDEX($F$2:$F49,MATCH(2,1/($C$2:$C49=$C50))),""),""))</f>
        <v/>
      </c>
      <c r="W50" s="50" t="str">
        <f aca="false">IF($A50="","",IF(D50="买入",IF(AND(ISNUMBER(L50),L50&gt;0),(F50-L50)*G50,F50*0.08*G50),IF(AND(ISNUMBER(V50),V50&gt;0),IF(AND(ISNUMBER(L50),L50&gt;0),(V50-L50)*G50,V50*0.08*G50),0)))</f>
        <v/>
      </c>
      <c r="X50" s="51" t="str">
        <f aca="false">IF($A50="","",IF(D50="买入",0,IFERROR(IF(W50&lt;&gt;0,(H50-IFERROR(INDEX($H$2:$H49,MATCH(2,1/($C$2:$C49=$C50))),0))/W50,0),0)))</f>
        <v/>
      </c>
      <c r="Y50" s="51" t="str">
        <f aca="false">IF($A50="","",Y49+X50)</f>
        <v/>
      </c>
      <c r="Z50" s="1" t="str">
        <f aca="false">IF($A50="","",IF(X50&gt;0,IF(LEFT(Z49,1)="胜","胜"&amp;VALUE(RIGHT(Z49,LEN(Z49)-1))+1,"胜1"),IF(X50&lt;0,IF(LEFT(Z49,1)="亏","亏"&amp;VALUE(RIGHT(Z49,LEN(Z49)-1))+1,"亏1"),"平")))</f>
        <v/>
      </c>
      <c r="AA50" s="52" t="str">
        <f aca="false">IF($A50="","",MAX(0,(MAX($Y$2:Y50)-Y50)/MAX(1,MAX($Y$2:Y50))))</f>
        <v/>
      </c>
    </row>
    <row r="51" customFormat="false" ht="15" hidden="false" customHeight="true" outlineLevel="0" collapsed="false">
      <c r="A51" s="7"/>
      <c r="B51" s="7"/>
      <c r="C51" s="7"/>
      <c r="D51" s="12"/>
      <c r="E51" s="12"/>
      <c r="F51" s="24"/>
      <c r="G51" s="25"/>
      <c r="H51" s="15"/>
      <c r="I51" s="24"/>
      <c r="J51" s="25"/>
      <c r="K51" s="16"/>
      <c r="L51" s="24"/>
      <c r="M51" s="7"/>
      <c r="N51" s="7"/>
      <c r="O51" s="7"/>
      <c r="P51" s="7"/>
      <c r="Q51" s="7"/>
      <c r="R51" s="26"/>
      <c r="S51" s="7"/>
      <c r="T51" s="7"/>
      <c r="U51" s="7"/>
      <c r="V51" s="1" t="str">
        <f aca="false">IF($A51="","",IF(OR(D51="卖出",D51="分红"),IFERROR(INDEX($F$2:$F50,MATCH(2,1/($C$2:$C50=$C51))),""),""))</f>
        <v/>
      </c>
      <c r="W51" s="50" t="str">
        <f aca="false">IF($A51="","",IF(D51="买入",IF(AND(ISNUMBER(L51),L51&gt;0),(F51-L51)*G51,F51*0.08*G51),IF(AND(ISNUMBER(V51),V51&gt;0),IF(AND(ISNUMBER(L51),L51&gt;0),(V51-L51)*G51,V51*0.08*G51),0)))</f>
        <v/>
      </c>
      <c r="X51" s="51" t="str">
        <f aca="false">IF($A51="","",IF(D51="买入",0,IFERROR(IF(W51&lt;&gt;0,(H51-IFERROR(INDEX($H$2:$H50,MATCH(2,1/($C$2:$C50=$C51))),0))/W51,0),0)))</f>
        <v/>
      </c>
      <c r="Y51" s="51" t="str">
        <f aca="false">IF($A51="","",Y50+X51)</f>
        <v/>
      </c>
      <c r="Z51" s="1" t="str">
        <f aca="false">IF($A51="","",IF(X51&gt;0,IF(LEFT(Z50,1)="胜","胜"&amp;VALUE(RIGHT(Z50,LEN(Z50)-1))+1,"胜1"),IF(X51&lt;0,IF(LEFT(Z50,1)="亏","亏"&amp;VALUE(RIGHT(Z50,LEN(Z50)-1))+1,"亏1"),"平")))</f>
        <v/>
      </c>
      <c r="AA51" s="52" t="str">
        <f aca="false">IF($A51="","",MAX(0,(MAX($Y$2:Y51)-Y51)/MAX(1,MAX($Y$2:Y51))))</f>
        <v/>
      </c>
    </row>
    <row r="52" customFormat="false" ht="15" hidden="false" customHeight="true" outlineLevel="0" collapsed="false">
      <c r="A52" s="5"/>
      <c r="B52" s="5"/>
      <c r="C52" s="5"/>
      <c r="D52" s="11"/>
      <c r="E52" s="11"/>
      <c r="F52" s="14"/>
      <c r="G52" s="17"/>
      <c r="H52" s="15"/>
      <c r="I52" s="14"/>
      <c r="J52" s="17"/>
      <c r="K52" s="16"/>
      <c r="L52" s="14"/>
      <c r="M52" s="5"/>
      <c r="N52" s="5"/>
      <c r="O52" s="5"/>
      <c r="P52" s="5"/>
      <c r="Q52" s="5"/>
      <c r="R52" s="20"/>
      <c r="S52" s="5"/>
      <c r="T52" s="5"/>
      <c r="U52" s="5"/>
      <c r="V52" s="1" t="str">
        <f aca="false">IF($A52="","",IF(OR(D52="卖出",D52="分红"),IFERROR(INDEX($F$2:$F51,MATCH(2,1/($C$2:$C51=$C52))),""),""))</f>
        <v/>
      </c>
      <c r="W52" s="50" t="str">
        <f aca="false">IF($A52="","",IF(D52="买入",IF(AND(ISNUMBER(L52),L52&gt;0),(F52-L52)*G52,F52*0.08*G52),IF(AND(ISNUMBER(V52),V52&gt;0),IF(AND(ISNUMBER(L52),L52&gt;0),(V52-L52)*G52,V52*0.08*G52),0)))</f>
        <v/>
      </c>
      <c r="X52" s="51" t="str">
        <f aca="false">IF($A52="","",IF(D52="买入",0,IFERROR(IF(W52&lt;&gt;0,(H52-IFERROR(INDEX($H$2:$H51,MATCH(2,1/($C$2:$C51=$C52))),0))/W52,0),0)))</f>
        <v/>
      </c>
      <c r="Y52" s="51" t="str">
        <f aca="false">IF($A52="","",Y51+X52)</f>
        <v/>
      </c>
      <c r="Z52" s="1" t="str">
        <f aca="false">IF($A52="","",IF(X52&gt;0,IF(LEFT(Z51,1)="胜","胜"&amp;VALUE(RIGHT(Z51,LEN(Z51)-1))+1,"胜1"),IF(X52&lt;0,IF(LEFT(Z51,1)="亏","亏"&amp;VALUE(RIGHT(Z51,LEN(Z51)-1))+1,"亏1"),"平")))</f>
        <v/>
      </c>
      <c r="AA52" s="52" t="str">
        <f aca="false">IF($A52="","",MAX(0,(MAX($Y$2:Y52)-Y52)/MAX(1,MAX($Y$2:Y52))))</f>
        <v/>
      </c>
    </row>
    <row r="53" customFormat="false" ht="15" hidden="false" customHeight="true" outlineLevel="0" collapsed="false">
      <c r="A53" s="7"/>
      <c r="B53" s="7"/>
      <c r="C53" s="7"/>
      <c r="D53" s="12"/>
      <c r="E53" s="12"/>
      <c r="F53" s="24"/>
      <c r="G53" s="25"/>
      <c r="H53" s="15"/>
      <c r="I53" s="24"/>
      <c r="J53" s="25"/>
      <c r="K53" s="16"/>
      <c r="L53" s="24"/>
      <c r="M53" s="7"/>
      <c r="N53" s="7"/>
      <c r="O53" s="7"/>
      <c r="P53" s="7"/>
      <c r="Q53" s="7"/>
      <c r="R53" s="26"/>
      <c r="S53" s="7"/>
      <c r="T53" s="7"/>
      <c r="U53" s="7"/>
      <c r="V53" s="1" t="str">
        <f aca="false">IF($A53="","",IF(OR(D53="卖出",D53="分红"),IFERROR(INDEX($F$2:$F52,MATCH(2,1/($C$2:$C52=$C53))),""),""))</f>
        <v/>
      </c>
      <c r="W53" s="50" t="str">
        <f aca="false">IF($A53="","",IF(D53="买入",IF(AND(ISNUMBER(L53),L53&gt;0),(F53-L53)*G53,F53*0.08*G53),IF(AND(ISNUMBER(V53),V53&gt;0),IF(AND(ISNUMBER(L53),L53&gt;0),(V53-L53)*G53,V53*0.08*G53),0)))</f>
        <v/>
      </c>
      <c r="X53" s="51" t="str">
        <f aca="false">IF($A53="","",IF(D53="买入",0,IFERROR(IF(W53&lt;&gt;0,(H53-IFERROR(INDEX($H$2:$H52,MATCH(2,1/($C$2:$C52=$C53))),0))/W53,0),0)))</f>
        <v/>
      </c>
      <c r="Y53" s="51" t="str">
        <f aca="false">IF($A53="","",Y52+X53)</f>
        <v/>
      </c>
      <c r="Z53" s="1" t="str">
        <f aca="false">IF($A53="","",IF(X53&gt;0,IF(LEFT(Z52,1)="胜","胜"&amp;VALUE(RIGHT(Z52,LEN(Z52)-1))+1,"胜1"),IF(X53&lt;0,IF(LEFT(Z52,1)="亏","亏"&amp;VALUE(RIGHT(Z52,LEN(Z52)-1))+1,"亏1"),"平")))</f>
        <v/>
      </c>
      <c r="AA53" s="52" t="str">
        <f aca="false">IF($A53="","",MAX(0,(MAX($Y$2:Y53)-Y53)/MAX(1,MAX($Y$2:Y53))))</f>
        <v/>
      </c>
    </row>
    <row r="54" customFormat="false" ht="15" hidden="false" customHeight="true" outlineLevel="0" collapsed="false">
      <c r="A54" s="5"/>
      <c r="B54" s="5"/>
      <c r="C54" s="5"/>
      <c r="D54" s="11"/>
      <c r="E54" s="11"/>
      <c r="F54" s="14"/>
      <c r="G54" s="17"/>
      <c r="H54" s="15"/>
      <c r="I54" s="14"/>
      <c r="J54" s="17"/>
      <c r="K54" s="16"/>
      <c r="L54" s="14"/>
      <c r="M54" s="5"/>
      <c r="N54" s="5"/>
      <c r="O54" s="5"/>
      <c r="P54" s="5"/>
      <c r="Q54" s="5"/>
      <c r="R54" s="20"/>
      <c r="S54" s="5"/>
      <c r="T54" s="5"/>
      <c r="U54" s="5"/>
      <c r="V54" s="1" t="str">
        <f aca="false">IF($A54="","",IF(OR(D54="卖出",D54="分红"),IFERROR(INDEX($F$2:$F53,MATCH(2,1/($C$2:$C53=$C54))),""),""))</f>
        <v/>
      </c>
      <c r="W54" s="50" t="str">
        <f aca="false">IF($A54="","",IF(D54="买入",IF(AND(ISNUMBER(L54),L54&gt;0),(F54-L54)*G54,F54*0.08*G54),IF(AND(ISNUMBER(V54),V54&gt;0),IF(AND(ISNUMBER(L54),L54&gt;0),(V54-L54)*G54,V54*0.08*G54),0)))</f>
        <v/>
      </c>
      <c r="X54" s="51" t="str">
        <f aca="false">IF($A54="","",IF(D54="买入",0,IFERROR(IF(W54&lt;&gt;0,(H54-IFERROR(INDEX($H$2:$H53,MATCH(2,1/($C$2:$C53=$C54))),0))/W54,0),0)))</f>
        <v/>
      </c>
      <c r="Y54" s="51" t="str">
        <f aca="false">IF($A54="","",Y53+X54)</f>
        <v/>
      </c>
      <c r="Z54" s="1" t="str">
        <f aca="false">IF($A54="","",IF(X54&gt;0,IF(LEFT(Z53,1)="胜","胜"&amp;VALUE(RIGHT(Z53,LEN(Z53)-1))+1,"胜1"),IF(X54&lt;0,IF(LEFT(Z53,1)="亏","亏"&amp;VALUE(RIGHT(Z53,LEN(Z53)-1))+1,"亏1"),"平")))</f>
        <v/>
      </c>
      <c r="AA54" s="52" t="str">
        <f aca="false">IF($A54="","",MAX(0,(MAX($Y$2:Y54)-Y54)/MAX(1,MAX($Y$2:Y54))))</f>
        <v/>
      </c>
    </row>
    <row r="55" customFormat="false" ht="15" hidden="false" customHeight="true" outlineLevel="0" collapsed="false">
      <c r="A55" s="7"/>
      <c r="B55" s="7"/>
      <c r="C55" s="7"/>
      <c r="D55" s="12"/>
      <c r="E55" s="12"/>
      <c r="F55" s="24"/>
      <c r="G55" s="25"/>
      <c r="H55" s="15"/>
      <c r="I55" s="24"/>
      <c r="J55" s="25"/>
      <c r="K55" s="16"/>
      <c r="L55" s="24"/>
      <c r="M55" s="7"/>
      <c r="N55" s="7"/>
      <c r="O55" s="7"/>
      <c r="P55" s="7"/>
      <c r="Q55" s="7"/>
      <c r="R55" s="26"/>
      <c r="S55" s="7"/>
      <c r="T55" s="7"/>
      <c r="U55" s="7"/>
      <c r="V55" s="1" t="str">
        <f aca="false">IF($A55="","",IF(OR(D55="卖出",D55="分红"),IFERROR(INDEX($F$2:$F54,MATCH(2,1/($C$2:$C54=$C55))),""),""))</f>
        <v/>
      </c>
      <c r="W55" s="50" t="str">
        <f aca="false">IF($A55="","",IF(D55="买入",IF(AND(ISNUMBER(L55),L55&gt;0),(F55-L55)*G55,F55*0.08*G55),IF(AND(ISNUMBER(V55),V55&gt;0),IF(AND(ISNUMBER(L55),L55&gt;0),(V55-L55)*G55,V55*0.08*G55),0)))</f>
        <v/>
      </c>
      <c r="X55" s="51" t="str">
        <f aca="false">IF($A55="","",IF(D55="买入",0,IFERROR(IF(W55&lt;&gt;0,(H55-IFERROR(INDEX($H$2:$H54,MATCH(2,1/($C$2:$C54=$C55))),0))/W55,0),0)))</f>
        <v/>
      </c>
      <c r="Y55" s="51" t="str">
        <f aca="false">IF($A55="","",Y54+X55)</f>
        <v/>
      </c>
      <c r="Z55" s="1" t="str">
        <f aca="false">IF($A55="","",IF(X55&gt;0,IF(LEFT(Z54,1)="胜","胜"&amp;VALUE(RIGHT(Z54,LEN(Z54)-1))+1,"胜1"),IF(X55&lt;0,IF(LEFT(Z54,1)="亏","亏"&amp;VALUE(RIGHT(Z54,LEN(Z54)-1))+1,"亏1"),"平")))</f>
        <v/>
      </c>
      <c r="AA55" s="52" t="str">
        <f aca="false">IF($A55="","",MAX(0,(MAX($Y$2:Y55)-Y55)/MAX(1,MAX($Y$2:Y55))))</f>
        <v/>
      </c>
    </row>
    <row r="56" customFormat="false" ht="15" hidden="false" customHeight="true" outlineLevel="0" collapsed="false">
      <c r="A56" s="5"/>
      <c r="B56" s="5"/>
      <c r="C56" s="5"/>
      <c r="D56" s="11"/>
      <c r="E56" s="11"/>
      <c r="F56" s="14"/>
      <c r="G56" s="17"/>
      <c r="H56" s="15"/>
      <c r="I56" s="14"/>
      <c r="J56" s="17"/>
      <c r="K56" s="16"/>
      <c r="L56" s="14"/>
      <c r="M56" s="5"/>
      <c r="N56" s="5"/>
      <c r="O56" s="5"/>
      <c r="P56" s="5"/>
      <c r="Q56" s="5"/>
      <c r="R56" s="20"/>
      <c r="S56" s="5"/>
      <c r="T56" s="5"/>
      <c r="U56" s="5"/>
      <c r="V56" s="1" t="str">
        <f aca="false">IF($A56="","",IF(OR(D56="卖出",D56="分红"),IFERROR(INDEX($F$2:$F55,MATCH(2,1/($C$2:$C55=$C56))),""),""))</f>
        <v/>
      </c>
      <c r="W56" s="50" t="str">
        <f aca="false">IF($A56="","",IF(D56="买入",IF(AND(ISNUMBER(L56),L56&gt;0),(F56-L56)*G56,F56*0.08*G56),IF(AND(ISNUMBER(V56),V56&gt;0),IF(AND(ISNUMBER(L56),L56&gt;0),(V56-L56)*G56,V56*0.08*G56),0)))</f>
        <v/>
      </c>
      <c r="X56" s="51" t="str">
        <f aca="false">IF($A56="","",IF(D56="买入",0,IFERROR(IF(W56&lt;&gt;0,(H56-IFERROR(INDEX($H$2:$H55,MATCH(2,1/($C$2:$C55=$C56))),0))/W56,0),0)))</f>
        <v/>
      </c>
      <c r="Y56" s="51" t="str">
        <f aca="false">IF($A56="","",Y55+X56)</f>
        <v/>
      </c>
      <c r="Z56" s="1" t="str">
        <f aca="false">IF($A56="","",IF(X56&gt;0,IF(LEFT(Z55,1)="胜","胜"&amp;VALUE(RIGHT(Z55,LEN(Z55)-1))+1,"胜1"),IF(X56&lt;0,IF(LEFT(Z55,1)="亏","亏"&amp;VALUE(RIGHT(Z55,LEN(Z55)-1))+1,"亏1"),"平")))</f>
        <v/>
      </c>
      <c r="AA56" s="52" t="str">
        <f aca="false">IF($A56="","",MAX(0,(MAX($Y$2:Y56)-Y56)/MAX(1,MAX($Y$2:Y56))))</f>
        <v/>
      </c>
    </row>
    <row r="57" customFormat="false" ht="15" hidden="false" customHeight="true" outlineLevel="0" collapsed="false">
      <c r="A57" s="7"/>
      <c r="B57" s="7"/>
      <c r="C57" s="7"/>
      <c r="D57" s="12"/>
      <c r="E57" s="12"/>
      <c r="F57" s="24"/>
      <c r="G57" s="25"/>
      <c r="H57" s="15"/>
      <c r="I57" s="24"/>
      <c r="J57" s="25"/>
      <c r="K57" s="16"/>
      <c r="L57" s="24"/>
      <c r="M57" s="7"/>
      <c r="N57" s="7"/>
      <c r="O57" s="7"/>
      <c r="P57" s="7"/>
      <c r="Q57" s="7"/>
      <c r="R57" s="26"/>
      <c r="S57" s="7"/>
      <c r="T57" s="7"/>
      <c r="U57" s="7"/>
      <c r="V57" s="1" t="str">
        <f aca="false">IF($A57="","",IF(OR(D57="卖出",D57="分红"),IFERROR(INDEX($F$2:$F56,MATCH(2,1/($C$2:$C56=$C57))),""),""))</f>
        <v/>
      </c>
      <c r="W57" s="50" t="str">
        <f aca="false">IF($A57="","",IF(D57="买入",IF(AND(ISNUMBER(L57),L57&gt;0),(F57-L57)*G57,F57*0.08*G57),IF(AND(ISNUMBER(V57),V57&gt;0),IF(AND(ISNUMBER(L57),L57&gt;0),(V57-L57)*G57,V57*0.08*G57),0)))</f>
        <v/>
      </c>
      <c r="X57" s="51" t="str">
        <f aca="false">IF($A57="","",IF(D57="买入",0,IFERROR(IF(W57&lt;&gt;0,(H57-IFERROR(INDEX($H$2:$H56,MATCH(2,1/($C$2:$C56=$C57))),0))/W57,0),0)))</f>
        <v/>
      </c>
      <c r="Y57" s="51" t="str">
        <f aca="false">IF($A57="","",Y56+X57)</f>
        <v/>
      </c>
      <c r="Z57" s="1" t="str">
        <f aca="false">IF($A57="","",IF(X57&gt;0,IF(LEFT(Z56,1)="胜","胜"&amp;VALUE(RIGHT(Z56,LEN(Z56)-1))+1,"胜1"),IF(X57&lt;0,IF(LEFT(Z56,1)="亏","亏"&amp;VALUE(RIGHT(Z56,LEN(Z56)-1))+1,"亏1"),"平")))</f>
        <v/>
      </c>
      <c r="AA57" s="52" t="str">
        <f aca="false">IF($A57="","",MAX(0,(MAX($Y$2:Y57)-Y57)/MAX(1,MAX($Y$2:Y57))))</f>
        <v/>
      </c>
    </row>
    <row r="58" customFormat="false" ht="15" hidden="false" customHeight="true" outlineLevel="0" collapsed="false">
      <c r="A58" s="5"/>
      <c r="B58" s="5"/>
      <c r="C58" s="5"/>
      <c r="D58" s="11"/>
      <c r="E58" s="11"/>
      <c r="F58" s="14"/>
      <c r="G58" s="17"/>
      <c r="H58" s="15"/>
      <c r="I58" s="14"/>
      <c r="J58" s="17"/>
      <c r="K58" s="16"/>
      <c r="L58" s="14"/>
      <c r="M58" s="5"/>
      <c r="N58" s="5"/>
      <c r="O58" s="5"/>
      <c r="P58" s="5"/>
      <c r="Q58" s="5"/>
      <c r="R58" s="20"/>
      <c r="S58" s="5"/>
      <c r="T58" s="5"/>
      <c r="U58" s="5"/>
      <c r="V58" s="1" t="str">
        <f aca="false">IF($A58="","",IF(OR(D58="卖出",D58="分红"),IFERROR(INDEX($F$2:$F57,MATCH(2,1/($C$2:$C57=$C58))),""),""))</f>
        <v/>
      </c>
      <c r="W58" s="50" t="str">
        <f aca="false">IF($A58="","",IF(D58="买入",IF(AND(ISNUMBER(L58),L58&gt;0),(F58-L58)*G58,F58*0.08*G58),IF(AND(ISNUMBER(V58),V58&gt;0),IF(AND(ISNUMBER(L58),L58&gt;0),(V58-L58)*G58,V58*0.08*G58),0)))</f>
        <v/>
      </c>
      <c r="X58" s="51" t="str">
        <f aca="false">IF($A58="","",IF(D58="买入",0,IFERROR(IF(W58&lt;&gt;0,(H58-IFERROR(INDEX($H$2:$H57,MATCH(2,1/($C$2:$C57=$C58))),0))/W58,0),0)))</f>
        <v/>
      </c>
      <c r="Y58" s="51" t="str">
        <f aca="false">IF($A58="","",Y57+X58)</f>
        <v/>
      </c>
      <c r="Z58" s="1" t="str">
        <f aca="false">IF($A58="","",IF(X58&gt;0,IF(LEFT(Z57,1)="胜","胜"&amp;VALUE(RIGHT(Z57,LEN(Z57)-1))+1,"胜1"),IF(X58&lt;0,IF(LEFT(Z57,1)="亏","亏"&amp;VALUE(RIGHT(Z57,LEN(Z57)-1))+1,"亏1"),"平")))</f>
        <v/>
      </c>
      <c r="AA58" s="52" t="str">
        <f aca="false">IF($A58="","",MAX(0,(MAX($Y$2:Y58)-Y58)/MAX(1,MAX($Y$2:Y58))))</f>
        <v/>
      </c>
    </row>
    <row r="59" customFormat="false" ht="15" hidden="false" customHeight="true" outlineLevel="0" collapsed="false">
      <c r="A59" s="7"/>
      <c r="B59" s="7"/>
      <c r="C59" s="7"/>
      <c r="D59" s="12"/>
      <c r="E59" s="12"/>
      <c r="F59" s="24"/>
      <c r="G59" s="25"/>
      <c r="H59" s="15"/>
      <c r="I59" s="24"/>
      <c r="J59" s="25"/>
      <c r="K59" s="16"/>
      <c r="L59" s="24"/>
      <c r="M59" s="7"/>
      <c r="N59" s="7"/>
      <c r="O59" s="7"/>
      <c r="P59" s="7"/>
      <c r="Q59" s="7"/>
      <c r="R59" s="26"/>
      <c r="S59" s="7"/>
      <c r="T59" s="7"/>
      <c r="U59" s="7"/>
      <c r="V59" s="1" t="str">
        <f aca="false">IF($A59="","",IF(OR(D59="卖出",D59="分红"),IFERROR(INDEX($F$2:$F58,MATCH(2,1/($C$2:$C58=$C59))),""),""))</f>
        <v/>
      </c>
      <c r="W59" s="50" t="str">
        <f aca="false">IF($A59="","",IF(D59="买入",IF(AND(ISNUMBER(L59),L59&gt;0),(F59-L59)*G59,F59*0.08*G59),IF(AND(ISNUMBER(V59),V59&gt;0),IF(AND(ISNUMBER(L59),L59&gt;0),(V59-L59)*G59,V59*0.08*G59),0)))</f>
        <v/>
      </c>
      <c r="X59" s="51" t="str">
        <f aca="false">IF($A59="","",IF(D59="买入",0,IFERROR(IF(W59&lt;&gt;0,(H59-IFERROR(INDEX($H$2:$H58,MATCH(2,1/($C$2:$C58=$C59))),0))/W59,0),0)))</f>
        <v/>
      </c>
      <c r="Y59" s="51" t="str">
        <f aca="false">IF($A59="","",Y58+X59)</f>
        <v/>
      </c>
      <c r="Z59" s="1" t="str">
        <f aca="false">IF($A59="","",IF(X59&gt;0,IF(LEFT(Z58,1)="胜","胜"&amp;VALUE(RIGHT(Z58,LEN(Z58)-1))+1,"胜1"),IF(X59&lt;0,IF(LEFT(Z58,1)="亏","亏"&amp;VALUE(RIGHT(Z58,LEN(Z58)-1))+1,"亏1"),"平")))</f>
        <v/>
      </c>
      <c r="AA59" s="52" t="str">
        <f aca="false">IF($A59="","",MAX(0,(MAX($Y$2:Y59)-Y59)/MAX(1,MAX($Y$2:Y59))))</f>
        <v/>
      </c>
    </row>
    <row r="60" customFormat="false" ht="15" hidden="false" customHeight="true" outlineLevel="0" collapsed="false">
      <c r="A60" s="5"/>
      <c r="B60" s="5"/>
      <c r="C60" s="5"/>
      <c r="D60" s="11"/>
      <c r="E60" s="11"/>
      <c r="F60" s="14"/>
      <c r="G60" s="17"/>
      <c r="H60" s="15"/>
      <c r="I60" s="14"/>
      <c r="J60" s="17"/>
      <c r="K60" s="16"/>
      <c r="L60" s="14"/>
      <c r="M60" s="5"/>
      <c r="N60" s="5"/>
      <c r="O60" s="5"/>
      <c r="P60" s="5"/>
      <c r="Q60" s="5"/>
      <c r="R60" s="20"/>
      <c r="S60" s="5"/>
      <c r="T60" s="5"/>
      <c r="U60" s="5"/>
      <c r="V60" s="1" t="str">
        <f aca="false">IF($A60="","",IF(OR(D60="卖出",D60="分红"),IFERROR(INDEX($F$2:$F59,MATCH(2,1/($C$2:$C59=$C60))),""),""))</f>
        <v/>
      </c>
      <c r="W60" s="50" t="str">
        <f aca="false">IF($A60="","",IF(D60="买入",IF(AND(ISNUMBER(L60),L60&gt;0),(F60-L60)*G60,F60*0.08*G60),IF(AND(ISNUMBER(V60),V60&gt;0),IF(AND(ISNUMBER(L60),L60&gt;0),(V60-L60)*G60,V60*0.08*G60),0)))</f>
        <v/>
      </c>
      <c r="X60" s="51" t="str">
        <f aca="false">IF($A60="","",IF(D60="买入",0,IFERROR(IF(W60&lt;&gt;0,(H60-IFERROR(INDEX($H$2:$H59,MATCH(2,1/($C$2:$C59=$C60))),0))/W60,0),0)))</f>
        <v/>
      </c>
      <c r="Y60" s="51" t="str">
        <f aca="false">IF($A60="","",Y59+X60)</f>
        <v/>
      </c>
      <c r="Z60" s="1" t="str">
        <f aca="false">IF($A60="","",IF(X60&gt;0,IF(LEFT(Z59,1)="胜","胜"&amp;VALUE(RIGHT(Z59,LEN(Z59)-1))+1,"胜1"),IF(X60&lt;0,IF(LEFT(Z59,1)="亏","亏"&amp;VALUE(RIGHT(Z59,LEN(Z59)-1))+1,"亏1"),"平")))</f>
        <v/>
      </c>
      <c r="AA60" s="52" t="str">
        <f aca="false">IF($A60="","",MAX(0,(MAX($Y$2:Y60)-Y60)/MAX(1,MAX($Y$2:Y60))))</f>
        <v/>
      </c>
    </row>
    <row r="61" customFormat="false" ht="15" hidden="false" customHeight="true" outlineLevel="0" collapsed="false">
      <c r="A61" s="7"/>
      <c r="B61" s="7"/>
      <c r="C61" s="7"/>
      <c r="D61" s="12"/>
      <c r="E61" s="12"/>
      <c r="F61" s="24"/>
      <c r="G61" s="25"/>
      <c r="H61" s="15"/>
      <c r="I61" s="24"/>
      <c r="J61" s="25"/>
      <c r="K61" s="16"/>
      <c r="L61" s="24"/>
      <c r="M61" s="7"/>
      <c r="N61" s="7"/>
      <c r="O61" s="7"/>
      <c r="P61" s="7"/>
      <c r="Q61" s="7"/>
      <c r="R61" s="26"/>
      <c r="S61" s="7"/>
      <c r="T61" s="7"/>
      <c r="U61" s="7"/>
      <c r="V61" s="1" t="str">
        <f aca="false">IF($A61="","",IF(OR(D61="卖出",D61="分红"),IFERROR(INDEX($F$2:$F60,MATCH(2,1/($C$2:$C60=$C61))),""),""))</f>
        <v/>
      </c>
      <c r="W61" s="50" t="str">
        <f aca="false">IF($A61="","",IF(D61="买入",IF(AND(ISNUMBER(L61),L61&gt;0),(F61-L61)*G61,F61*0.08*G61),IF(AND(ISNUMBER(V61),V61&gt;0),IF(AND(ISNUMBER(L61),L61&gt;0),(V61-L61)*G61,V61*0.08*G61),0)))</f>
        <v/>
      </c>
      <c r="X61" s="51" t="str">
        <f aca="false">IF($A61="","",IF(D61="买入",0,IFERROR(IF(W61&lt;&gt;0,(H61-IFERROR(INDEX($H$2:$H60,MATCH(2,1/($C$2:$C60=$C61))),0))/W61,0),0)))</f>
        <v/>
      </c>
      <c r="Y61" s="51" t="str">
        <f aca="false">IF($A61="","",Y60+X61)</f>
        <v/>
      </c>
      <c r="Z61" s="1" t="str">
        <f aca="false">IF($A61="","",IF(X61&gt;0,IF(LEFT(Z60,1)="胜","胜"&amp;VALUE(RIGHT(Z60,LEN(Z60)-1))+1,"胜1"),IF(X61&lt;0,IF(LEFT(Z60,1)="亏","亏"&amp;VALUE(RIGHT(Z60,LEN(Z60)-1))+1,"亏1"),"平")))</f>
        <v/>
      </c>
      <c r="AA61" s="52" t="str">
        <f aca="false">IF($A61="","",MAX(0,(MAX($Y$2:Y61)-Y61)/MAX(1,MAX($Y$2:Y61))))</f>
        <v/>
      </c>
    </row>
    <row r="62" customFormat="false" ht="15" hidden="false" customHeight="true" outlineLevel="0" collapsed="false">
      <c r="A62" s="5"/>
      <c r="B62" s="5"/>
      <c r="C62" s="5"/>
      <c r="D62" s="11"/>
      <c r="E62" s="11"/>
      <c r="F62" s="14"/>
      <c r="G62" s="17"/>
      <c r="H62" s="15"/>
      <c r="I62" s="14"/>
      <c r="J62" s="17"/>
      <c r="K62" s="16"/>
      <c r="L62" s="14"/>
      <c r="M62" s="5"/>
      <c r="N62" s="5"/>
      <c r="O62" s="5"/>
      <c r="P62" s="5"/>
      <c r="Q62" s="5"/>
      <c r="R62" s="20"/>
      <c r="S62" s="5"/>
      <c r="T62" s="5"/>
      <c r="U62" s="5"/>
      <c r="V62" s="1" t="str">
        <f aca="false">IF($A62="","",IF(OR(D62="卖出",D62="分红"),IFERROR(INDEX($F$2:$F61,MATCH(2,1/($C$2:$C61=$C62))),""),""))</f>
        <v/>
      </c>
      <c r="W62" s="50" t="str">
        <f aca="false">IF($A62="","",IF(D62="买入",IF(AND(ISNUMBER(L62),L62&gt;0),(F62-L62)*G62,F62*0.08*G62),IF(AND(ISNUMBER(V62),V62&gt;0),IF(AND(ISNUMBER(L62),L62&gt;0),(V62-L62)*G62,V62*0.08*G62),0)))</f>
        <v/>
      </c>
      <c r="X62" s="51" t="str">
        <f aca="false">IF($A62="","",IF(D62="买入",0,IFERROR(IF(W62&lt;&gt;0,(H62-IFERROR(INDEX($H$2:$H61,MATCH(2,1/($C$2:$C61=$C62))),0))/W62,0),0)))</f>
        <v/>
      </c>
      <c r="Y62" s="51" t="str">
        <f aca="false">IF($A62="","",Y61+X62)</f>
        <v/>
      </c>
      <c r="Z62" s="1" t="str">
        <f aca="false">IF($A62="","",IF(X62&gt;0,IF(LEFT(Z61,1)="胜","胜"&amp;VALUE(RIGHT(Z61,LEN(Z61)-1))+1,"胜1"),IF(X62&lt;0,IF(LEFT(Z61,1)="亏","亏"&amp;VALUE(RIGHT(Z61,LEN(Z61)-1))+1,"亏1"),"平")))</f>
        <v/>
      </c>
      <c r="AA62" s="52" t="str">
        <f aca="false">IF($A62="","",MAX(0,(MAX($Y$2:Y62)-Y62)/MAX(1,MAX($Y$2:Y62))))</f>
        <v/>
      </c>
    </row>
    <row r="63" customFormat="false" ht="15" hidden="false" customHeight="true" outlineLevel="0" collapsed="false">
      <c r="A63" s="7"/>
      <c r="B63" s="7"/>
      <c r="C63" s="7"/>
      <c r="D63" s="12"/>
      <c r="E63" s="12"/>
      <c r="F63" s="24"/>
      <c r="G63" s="25"/>
      <c r="H63" s="15"/>
      <c r="I63" s="24"/>
      <c r="J63" s="25"/>
      <c r="K63" s="16"/>
      <c r="L63" s="24"/>
      <c r="M63" s="7"/>
      <c r="N63" s="7"/>
      <c r="O63" s="7"/>
      <c r="P63" s="7"/>
      <c r="Q63" s="7"/>
      <c r="R63" s="26"/>
      <c r="S63" s="7"/>
      <c r="T63" s="7"/>
      <c r="U63" s="7"/>
      <c r="V63" s="1" t="str">
        <f aca="false">IF($A63="","",IF(OR(D63="卖出",D63="分红"),IFERROR(INDEX($F$2:$F62,MATCH(2,1/($C$2:$C62=$C63))),""),""))</f>
        <v/>
      </c>
      <c r="W63" s="50" t="str">
        <f aca="false">IF($A63="","",IF(D63="买入",IF(AND(ISNUMBER(L63),L63&gt;0),(F63-L63)*G63,F63*0.08*G63),IF(AND(ISNUMBER(V63),V63&gt;0),IF(AND(ISNUMBER(L63),L63&gt;0),(V63-L63)*G63,V63*0.08*G63),0)))</f>
        <v/>
      </c>
      <c r="X63" s="51" t="str">
        <f aca="false">IF($A63="","",IF(D63="买入",0,IFERROR(IF(W63&lt;&gt;0,(H63-IFERROR(INDEX($H$2:$H62,MATCH(2,1/($C$2:$C62=$C63))),0))/W63,0),0)))</f>
        <v/>
      </c>
      <c r="Y63" s="51" t="str">
        <f aca="false">IF($A63="","",Y62+X63)</f>
        <v/>
      </c>
      <c r="Z63" s="1" t="str">
        <f aca="false">IF($A63="","",IF(X63&gt;0,IF(LEFT(Z62,1)="胜","胜"&amp;VALUE(RIGHT(Z62,LEN(Z62)-1))+1,"胜1"),IF(X63&lt;0,IF(LEFT(Z62,1)="亏","亏"&amp;VALUE(RIGHT(Z62,LEN(Z62)-1))+1,"亏1"),"平")))</f>
        <v/>
      </c>
      <c r="AA63" s="52" t="str">
        <f aca="false">IF($A63="","",MAX(0,(MAX($Y$2:Y63)-Y63)/MAX(1,MAX($Y$2:Y63))))</f>
        <v/>
      </c>
    </row>
    <row r="64" customFormat="false" ht="15" hidden="false" customHeight="true" outlineLevel="0" collapsed="false">
      <c r="A64" s="5"/>
      <c r="B64" s="5"/>
      <c r="C64" s="5"/>
      <c r="D64" s="11"/>
      <c r="E64" s="11"/>
      <c r="F64" s="14"/>
      <c r="G64" s="17"/>
      <c r="H64" s="15"/>
      <c r="I64" s="14"/>
      <c r="J64" s="17"/>
      <c r="K64" s="16"/>
      <c r="L64" s="14"/>
      <c r="M64" s="5"/>
      <c r="N64" s="5"/>
      <c r="O64" s="5"/>
      <c r="P64" s="5"/>
      <c r="Q64" s="5"/>
      <c r="R64" s="20"/>
      <c r="S64" s="5"/>
      <c r="T64" s="5"/>
      <c r="U64" s="5"/>
      <c r="V64" s="1" t="str">
        <f aca="false">IF($A64="","",IF(OR(D64="卖出",D64="分红"),IFERROR(INDEX($F$2:$F63,MATCH(2,1/($C$2:$C63=$C64))),""),""))</f>
        <v/>
      </c>
      <c r="W64" s="50" t="str">
        <f aca="false">IF($A64="","",IF(D64="买入",IF(AND(ISNUMBER(L64),L64&gt;0),(F64-L64)*G64,F64*0.08*G64),IF(AND(ISNUMBER(V64),V64&gt;0),IF(AND(ISNUMBER(L64),L64&gt;0),(V64-L64)*G64,V64*0.08*G64),0)))</f>
        <v/>
      </c>
      <c r="X64" s="51" t="str">
        <f aca="false">IF($A64="","",IF(D64="买入",0,IFERROR(IF(W64&lt;&gt;0,(H64-IFERROR(INDEX($H$2:$H63,MATCH(2,1/($C$2:$C63=$C64))),0))/W64,0),0)))</f>
        <v/>
      </c>
      <c r="Y64" s="51" t="str">
        <f aca="false">IF($A64="","",Y63+X64)</f>
        <v/>
      </c>
      <c r="Z64" s="1" t="str">
        <f aca="false">IF($A64="","",IF(X64&gt;0,IF(LEFT(Z63,1)="胜","胜"&amp;VALUE(RIGHT(Z63,LEN(Z63)-1))+1,"胜1"),IF(X64&lt;0,IF(LEFT(Z63,1)="亏","亏"&amp;VALUE(RIGHT(Z63,LEN(Z63)-1))+1,"亏1"),"平")))</f>
        <v/>
      </c>
      <c r="AA64" s="52" t="str">
        <f aca="false">IF($A64="","",MAX(0,(MAX($Y$2:Y64)-Y64)/MAX(1,MAX($Y$2:Y64))))</f>
        <v/>
      </c>
    </row>
    <row r="65" customFormat="false" ht="15" hidden="false" customHeight="true" outlineLevel="0" collapsed="false">
      <c r="A65" s="7"/>
      <c r="B65" s="7"/>
      <c r="C65" s="7"/>
      <c r="D65" s="12"/>
      <c r="E65" s="12"/>
      <c r="F65" s="24"/>
      <c r="G65" s="25"/>
      <c r="H65" s="15"/>
      <c r="I65" s="24"/>
      <c r="J65" s="25"/>
      <c r="K65" s="16"/>
      <c r="L65" s="24"/>
      <c r="M65" s="7"/>
      <c r="N65" s="7"/>
      <c r="O65" s="7"/>
      <c r="P65" s="7"/>
      <c r="Q65" s="7"/>
      <c r="R65" s="26"/>
      <c r="S65" s="7"/>
      <c r="T65" s="7"/>
      <c r="U65" s="7"/>
      <c r="V65" s="1" t="str">
        <f aca="false">IF($A65="","",IF(OR(D65="卖出",D65="分红"),IFERROR(INDEX($F$2:$F64,MATCH(2,1/($C$2:$C64=$C65))),""),""))</f>
        <v/>
      </c>
      <c r="W65" s="50" t="str">
        <f aca="false">IF($A65="","",IF(D65="买入",IF(AND(ISNUMBER(L65),L65&gt;0),(F65-L65)*G65,F65*0.08*G65),IF(AND(ISNUMBER(V65),V65&gt;0),IF(AND(ISNUMBER(L65),L65&gt;0),(V65-L65)*G65,V65*0.08*G65),0)))</f>
        <v/>
      </c>
      <c r="X65" s="51" t="str">
        <f aca="false">IF($A65="","",IF(D65="买入",0,IFERROR(IF(W65&lt;&gt;0,(H65-IFERROR(INDEX($H$2:$H64,MATCH(2,1/($C$2:$C64=$C65))),0))/W65,0),0)))</f>
        <v/>
      </c>
      <c r="Y65" s="51" t="str">
        <f aca="false">IF($A65="","",Y64+X65)</f>
        <v/>
      </c>
      <c r="Z65" s="1" t="str">
        <f aca="false">IF($A65="","",IF(X65&gt;0,IF(LEFT(Z64,1)="胜","胜"&amp;VALUE(RIGHT(Z64,LEN(Z64)-1))+1,"胜1"),IF(X65&lt;0,IF(LEFT(Z64,1)="亏","亏"&amp;VALUE(RIGHT(Z64,LEN(Z64)-1))+1,"亏1"),"平")))</f>
        <v/>
      </c>
      <c r="AA65" s="52" t="str">
        <f aca="false">IF($A65="","",MAX(0,(MAX($Y$2:Y65)-Y65)/MAX(1,MAX($Y$2:Y65))))</f>
        <v/>
      </c>
    </row>
    <row r="66" customFormat="false" ht="15" hidden="false" customHeight="true" outlineLevel="0" collapsed="false">
      <c r="A66" s="5"/>
      <c r="B66" s="5"/>
      <c r="C66" s="5"/>
      <c r="D66" s="11"/>
      <c r="E66" s="11"/>
      <c r="F66" s="14"/>
      <c r="G66" s="17"/>
      <c r="H66" s="15"/>
      <c r="I66" s="14"/>
      <c r="J66" s="17"/>
      <c r="K66" s="16"/>
      <c r="L66" s="14"/>
      <c r="M66" s="5"/>
      <c r="N66" s="5"/>
      <c r="O66" s="5"/>
      <c r="P66" s="5"/>
      <c r="Q66" s="5"/>
      <c r="R66" s="20"/>
      <c r="S66" s="5"/>
      <c r="T66" s="5"/>
      <c r="U66" s="5"/>
      <c r="V66" s="1" t="str">
        <f aca="false">IF($A66="","",IF(OR(D66="卖出",D66="分红"),IFERROR(INDEX($F$2:$F65,MATCH(2,1/($C$2:$C65=$C66))),""),""))</f>
        <v/>
      </c>
      <c r="W66" s="50" t="str">
        <f aca="false">IF($A66="","",IF(D66="买入",IF(AND(ISNUMBER(L66),L66&gt;0),(F66-L66)*G66,F66*0.08*G66),IF(AND(ISNUMBER(V66),V66&gt;0),IF(AND(ISNUMBER(L66),L66&gt;0),(V66-L66)*G66,V66*0.08*G66),0)))</f>
        <v/>
      </c>
      <c r="X66" s="51" t="str">
        <f aca="false">IF($A66="","",IF(D66="买入",0,IFERROR(IF(W66&lt;&gt;0,(H66-IFERROR(INDEX($H$2:$H65,MATCH(2,1/($C$2:$C65=$C66))),0))/W66,0),0)))</f>
        <v/>
      </c>
      <c r="Y66" s="51" t="str">
        <f aca="false">IF($A66="","",Y65+X66)</f>
        <v/>
      </c>
      <c r="Z66" s="1" t="str">
        <f aca="false">IF($A66="","",IF(X66&gt;0,IF(LEFT(Z65,1)="胜","胜"&amp;VALUE(RIGHT(Z65,LEN(Z65)-1))+1,"胜1"),IF(X66&lt;0,IF(LEFT(Z65,1)="亏","亏"&amp;VALUE(RIGHT(Z65,LEN(Z65)-1))+1,"亏1"),"平")))</f>
        <v/>
      </c>
      <c r="AA66" s="52" t="str">
        <f aca="false">IF($A66="","",MAX(0,(MAX($Y$2:Y66)-Y66)/MAX(1,MAX($Y$2:Y66))))</f>
        <v/>
      </c>
    </row>
    <row r="67" customFormat="false" ht="15" hidden="false" customHeight="true" outlineLevel="0" collapsed="false">
      <c r="A67" s="7"/>
      <c r="B67" s="7"/>
      <c r="C67" s="7"/>
      <c r="D67" s="12"/>
      <c r="E67" s="12"/>
      <c r="F67" s="24"/>
      <c r="G67" s="25"/>
      <c r="H67" s="15"/>
      <c r="I67" s="24"/>
      <c r="J67" s="25"/>
      <c r="K67" s="16"/>
      <c r="L67" s="24"/>
      <c r="M67" s="7"/>
      <c r="N67" s="7"/>
      <c r="O67" s="7"/>
      <c r="P67" s="7"/>
      <c r="Q67" s="7"/>
      <c r="R67" s="26"/>
      <c r="S67" s="7"/>
      <c r="T67" s="7"/>
      <c r="U67" s="7"/>
      <c r="V67" s="1" t="str">
        <f aca="false">IF($A67="","",IF(OR(D67="卖出",D67="分红"),IFERROR(INDEX($F$2:$F66,MATCH(2,1/($C$2:$C66=$C67))),""),""))</f>
        <v/>
      </c>
      <c r="W67" s="50" t="str">
        <f aca="false">IF($A67="","",IF(D67="买入",IF(AND(ISNUMBER(L67),L67&gt;0),(F67-L67)*G67,F67*0.08*G67),IF(AND(ISNUMBER(V67),V67&gt;0),IF(AND(ISNUMBER(L67),L67&gt;0),(V67-L67)*G67,V67*0.08*G67),0)))</f>
        <v/>
      </c>
      <c r="X67" s="51" t="str">
        <f aca="false">IF($A67="","",IF(D67="买入",0,IFERROR(IF(W67&lt;&gt;0,(H67-IFERROR(INDEX($H$2:$H66,MATCH(2,1/($C$2:$C66=$C67))),0))/W67,0),0)))</f>
        <v/>
      </c>
      <c r="Y67" s="51" t="str">
        <f aca="false">IF($A67="","",Y66+X67)</f>
        <v/>
      </c>
      <c r="Z67" s="1" t="str">
        <f aca="false">IF($A67="","",IF(X67&gt;0,IF(LEFT(Z66,1)="胜","胜"&amp;VALUE(RIGHT(Z66,LEN(Z66)-1))+1,"胜1"),IF(X67&lt;0,IF(LEFT(Z66,1)="亏","亏"&amp;VALUE(RIGHT(Z66,LEN(Z66)-1))+1,"亏1"),"平")))</f>
        <v/>
      </c>
      <c r="AA67" s="52" t="str">
        <f aca="false">IF($A67="","",MAX(0,(MAX($Y$2:Y67)-Y67)/MAX(1,MAX($Y$2:Y67))))</f>
        <v/>
      </c>
    </row>
    <row r="68" customFormat="false" ht="15" hidden="false" customHeight="true" outlineLevel="0" collapsed="false">
      <c r="A68" s="5"/>
      <c r="B68" s="5"/>
      <c r="C68" s="5"/>
      <c r="D68" s="11"/>
      <c r="E68" s="11"/>
      <c r="F68" s="14"/>
      <c r="G68" s="17"/>
      <c r="H68" s="15"/>
      <c r="I68" s="14"/>
      <c r="J68" s="17"/>
      <c r="K68" s="16"/>
      <c r="L68" s="14"/>
      <c r="M68" s="5"/>
      <c r="N68" s="5"/>
      <c r="O68" s="5"/>
      <c r="P68" s="5"/>
      <c r="Q68" s="5"/>
      <c r="R68" s="20"/>
      <c r="S68" s="5"/>
      <c r="T68" s="5"/>
      <c r="U68" s="5"/>
      <c r="V68" s="1" t="str">
        <f aca="false">IF($A68="","",IF(OR(D68="卖出",D68="分红"),IFERROR(INDEX($F$2:$F67,MATCH(2,1/($C$2:$C67=$C68))),""),""))</f>
        <v/>
      </c>
      <c r="W68" s="50" t="str">
        <f aca="false">IF($A68="","",IF(D68="买入",IF(AND(ISNUMBER(L68),L68&gt;0),(F68-L68)*G68,F68*0.08*G68),IF(AND(ISNUMBER(V68),V68&gt;0),IF(AND(ISNUMBER(L68),L68&gt;0),(V68-L68)*G68,V68*0.08*G68),0)))</f>
        <v/>
      </c>
      <c r="X68" s="51" t="str">
        <f aca="false">IF($A68="","",IF(D68="买入",0,IFERROR(IF(W68&lt;&gt;0,(H68-IFERROR(INDEX($H$2:$H67,MATCH(2,1/($C$2:$C67=$C68))),0))/W68,0),0)))</f>
        <v/>
      </c>
      <c r="Y68" s="51" t="str">
        <f aca="false">IF($A68="","",Y67+X68)</f>
        <v/>
      </c>
      <c r="Z68" s="1" t="str">
        <f aca="false">IF($A68="","",IF(X68&gt;0,IF(LEFT(Z67,1)="胜","胜"&amp;VALUE(RIGHT(Z67,LEN(Z67)-1))+1,"胜1"),IF(X68&lt;0,IF(LEFT(Z67,1)="亏","亏"&amp;VALUE(RIGHT(Z67,LEN(Z67)-1))+1,"亏1"),"平")))</f>
        <v/>
      </c>
      <c r="AA68" s="52" t="str">
        <f aca="false">IF($A68="","",MAX(0,(MAX($Y$2:Y68)-Y68)/MAX(1,MAX($Y$2:Y68))))</f>
        <v/>
      </c>
    </row>
    <row r="69" customFormat="false" ht="15" hidden="false" customHeight="true" outlineLevel="0" collapsed="false">
      <c r="A69" s="7"/>
      <c r="B69" s="7"/>
      <c r="C69" s="7"/>
      <c r="D69" s="12"/>
      <c r="E69" s="12"/>
      <c r="F69" s="24"/>
      <c r="G69" s="25"/>
      <c r="H69" s="15"/>
      <c r="I69" s="24"/>
      <c r="J69" s="25"/>
      <c r="K69" s="16"/>
      <c r="L69" s="24"/>
      <c r="M69" s="7"/>
      <c r="N69" s="7"/>
      <c r="O69" s="7"/>
      <c r="P69" s="7"/>
      <c r="Q69" s="7"/>
      <c r="R69" s="26"/>
      <c r="S69" s="7"/>
      <c r="T69" s="7"/>
      <c r="U69" s="7"/>
      <c r="V69" s="1" t="str">
        <f aca="false">IF($A69="","",IF(OR(D69="卖出",D69="分红"),IFERROR(INDEX($F$2:$F68,MATCH(2,1/($C$2:$C68=$C69))),""),""))</f>
        <v/>
      </c>
      <c r="W69" s="50" t="str">
        <f aca="false">IF($A69="","",IF(D69="买入",IF(AND(ISNUMBER(L69),L69&gt;0),(F69-L69)*G69,F69*0.08*G69),IF(AND(ISNUMBER(V69),V69&gt;0),IF(AND(ISNUMBER(L69),L69&gt;0),(V69-L69)*G69,V69*0.08*G69),0)))</f>
        <v/>
      </c>
      <c r="X69" s="51" t="str">
        <f aca="false">IF($A69="","",IF(D69="买入",0,IFERROR(IF(W69&lt;&gt;0,(H69-IFERROR(INDEX($H$2:$H68,MATCH(2,1/($C$2:$C68=$C69))),0))/W69,0),0)))</f>
        <v/>
      </c>
      <c r="Y69" s="51" t="str">
        <f aca="false">IF($A69="","",Y68+X69)</f>
        <v/>
      </c>
      <c r="Z69" s="1" t="str">
        <f aca="false">IF($A69="","",IF(X69&gt;0,IF(LEFT(Z68,1)="胜","胜"&amp;VALUE(RIGHT(Z68,LEN(Z68)-1))+1,"胜1"),IF(X69&lt;0,IF(LEFT(Z68,1)="亏","亏"&amp;VALUE(RIGHT(Z68,LEN(Z68)-1))+1,"亏1"),"平")))</f>
        <v/>
      </c>
      <c r="AA69" s="52" t="str">
        <f aca="false">IF($A69="","",MAX(0,(MAX($Y$2:Y69)-Y69)/MAX(1,MAX($Y$2:Y69))))</f>
        <v/>
      </c>
    </row>
    <row r="70" customFormat="false" ht="15" hidden="false" customHeight="true" outlineLevel="0" collapsed="false">
      <c r="A70" s="5"/>
      <c r="B70" s="5"/>
      <c r="C70" s="5"/>
      <c r="D70" s="11"/>
      <c r="E70" s="11"/>
      <c r="F70" s="14"/>
      <c r="G70" s="17"/>
      <c r="H70" s="15"/>
      <c r="I70" s="14"/>
      <c r="J70" s="17"/>
      <c r="K70" s="16"/>
      <c r="L70" s="14"/>
      <c r="M70" s="5"/>
      <c r="N70" s="5"/>
      <c r="O70" s="5"/>
      <c r="P70" s="5"/>
      <c r="Q70" s="5"/>
      <c r="R70" s="20"/>
      <c r="S70" s="5"/>
      <c r="T70" s="5"/>
      <c r="U70" s="5"/>
      <c r="V70" s="1" t="str">
        <f aca="false">IF($A70="","",IF(OR(D70="卖出",D70="分红"),IFERROR(INDEX($F$2:$F69,MATCH(2,1/($C$2:$C69=$C70))),""),""))</f>
        <v/>
      </c>
      <c r="W70" s="50" t="str">
        <f aca="false">IF($A70="","",IF(D70="买入",IF(AND(ISNUMBER(L70),L70&gt;0),(F70-L70)*G70,F70*0.08*G70),IF(AND(ISNUMBER(V70),V70&gt;0),IF(AND(ISNUMBER(L70),L70&gt;0),(V70-L70)*G70,V70*0.08*G70),0)))</f>
        <v/>
      </c>
      <c r="X70" s="51" t="str">
        <f aca="false">IF($A70="","",IF(D70="买入",0,IFERROR(IF(W70&lt;&gt;0,(H70-IFERROR(INDEX($H$2:$H69,MATCH(2,1/($C$2:$C69=$C70))),0))/W70,0),0)))</f>
        <v/>
      </c>
      <c r="Y70" s="51" t="str">
        <f aca="false">IF($A70="","",Y69+X70)</f>
        <v/>
      </c>
      <c r="Z70" s="1" t="str">
        <f aca="false">IF($A70="","",IF(X70&gt;0,IF(LEFT(Z69,1)="胜","胜"&amp;VALUE(RIGHT(Z69,LEN(Z69)-1))+1,"胜1"),IF(X70&lt;0,IF(LEFT(Z69,1)="亏","亏"&amp;VALUE(RIGHT(Z69,LEN(Z69)-1))+1,"亏1"),"平")))</f>
        <v/>
      </c>
      <c r="AA70" s="52" t="str">
        <f aca="false">IF($A70="","",MAX(0,(MAX($Y$2:Y70)-Y70)/MAX(1,MAX($Y$2:Y70))))</f>
        <v/>
      </c>
    </row>
    <row r="71" customFormat="false" ht="15" hidden="false" customHeight="true" outlineLevel="0" collapsed="false">
      <c r="A71" s="7"/>
      <c r="B71" s="7"/>
      <c r="C71" s="7"/>
      <c r="D71" s="12"/>
      <c r="E71" s="12"/>
      <c r="F71" s="24"/>
      <c r="G71" s="25"/>
      <c r="H71" s="15"/>
      <c r="I71" s="24"/>
      <c r="J71" s="25"/>
      <c r="K71" s="16"/>
      <c r="L71" s="24"/>
      <c r="M71" s="7"/>
      <c r="N71" s="7"/>
      <c r="O71" s="7"/>
      <c r="P71" s="7"/>
      <c r="Q71" s="7"/>
      <c r="R71" s="26"/>
      <c r="S71" s="7"/>
      <c r="T71" s="7"/>
      <c r="U71" s="7"/>
      <c r="V71" s="1" t="str">
        <f aca="false">IF($A71="","",IF(OR(D71="卖出",D71="分红"),IFERROR(INDEX($F$2:$F70,MATCH(2,1/($C$2:$C70=$C71))),""),""))</f>
        <v/>
      </c>
      <c r="W71" s="50" t="str">
        <f aca="false">IF($A71="","",IF(D71="买入",IF(AND(ISNUMBER(L71),L71&gt;0),(F71-L71)*G71,F71*0.08*G71),IF(AND(ISNUMBER(V71),V71&gt;0),IF(AND(ISNUMBER(L71),L71&gt;0),(V71-L71)*G71,V71*0.08*G71),0)))</f>
        <v/>
      </c>
      <c r="X71" s="51" t="str">
        <f aca="false">IF($A71="","",IF(D71="买入",0,IFERROR(IF(W71&lt;&gt;0,(H71-IFERROR(INDEX($H$2:$H70,MATCH(2,1/($C$2:$C70=$C71))),0))/W71,0),0)))</f>
        <v/>
      </c>
      <c r="Y71" s="51" t="str">
        <f aca="false">IF($A71="","",Y70+X71)</f>
        <v/>
      </c>
      <c r="Z71" s="1" t="str">
        <f aca="false">IF($A71="","",IF(X71&gt;0,IF(LEFT(Z70,1)="胜","胜"&amp;VALUE(RIGHT(Z70,LEN(Z70)-1))+1,"胜1"),IF(X71&lt;0,IF(LEFT(Z70,1)="亏","亏"&amp;VALUE(RIGHT(Z70,LEN(Z70)-1))+1,"亏1"),"平")))</f>
        <v/>
      </c>
      <c r="AA71" s="52" t="str">
        <f aca="false">IF($A71="","",MAX(0,(MAX($Y$2:Y71)-Y71)/MAX(1,MAX($Y$2:Y71))))</f>
        <v/>
      </c>
    </row>
    <row r="72" customFormat="false" ht="15" hidden="false" customHeight="true" outlineLevel="0" collapsed="false">
      <c r="A72" s="5"/>
      <c r="B72" s="5"/>
      <c r="C72" s="5"/>
      <c r="D72" s="11"/>
      <c r="E72" s="11"/>
      <c r="F72" s="14"/>
      <c r="G72" s="17"/>
      <c r="H72" s="15"/>
      <c r="I72" s="14"/>
      <c r="J72" s="17"/>
      <c r="K72" s="16"/>
      <c r="L72" s="14"/>
      <c r="M72" s="5"/>
      <c r="N72" s="5"/>
      <c r="O72" s="5"/>
      <c r="P72" s="5"/>
      <c r="Q72" s="5"/>
      <c r="R72" s="20"/>
      <c r="S72" s="5"/>
      <c r="T72" s="5"/>
      <c r="U72" s="5"/>
      <c r="V72" s="1" t="str">
        <f aca="false">IF($A72="","",IF(OR(D72="卖出",D72="分红"),IFERROR(INDEX($F$2:$F71,MATCH(2,1/($C$2:$C71=$C72))),""),""))</f>
        <v/>
      </c>
      <c r="W72" s="50" t="str">
        <f aca="false">IF($A72="","",IF(D72="买入",IF(AND(ISNUMBER(L72),L72&gt;0),(F72-L72)*G72,F72*0.08*G72),IF(AND(ISNUMBER(V72),V72&gt;0),IF(AND(ISNUMBER(L72),L72&gt;0),(V72-L72)*G72,V72*0.08*G72),0)))</f>
        <v/>
      </c>
      <c r="X72" s="51" t="str">
        <f aca="false">IF($A72="","",IF(D72="买入",0,IFERROR(IF(W72&lt;&gt;0,(H72-IFERROR(INDEX($H$2:$H71,MATCH(2,1/($C$2:$C71=$C72))),0))/W72,0),0)))</f>
        <v/>
      </c>
      <c r="Y72" s="51" t="str">
        <f aca="false">IF($A72="","",Y71+X72)</f>
        <v/>
      </c>
      <c r="Z72" s="1" t="str">
        <f aca="false">IF($A72="","",IF(X72&gt;0,IF(LEFT(Z71,1)="胜","胜"&amp;VALUE(RIGHT(Z71,LEN(Z71)-1))+1,"胜1"),IF(X72&lt;0,IF(LEFT(Z71,1)="亏","亏"&amp;VALUE(RIGHT(Z71,LEN(Z71)-1))+1,"亏1"),"平")))</f>
        <v/>
      </c>
      <c r="AA72" s="52" t="str">
        <f aca="false">IF($A72="","",MAX(0,(MAX($Y$2:Y72)-Y72)/MAX(1,MAX($Y$2:Y72))))</f>
        <v/>
      </c>
    </row>
    <row r="73" customFormat="false" ht="15" hidden="false" customHeight="true" outlineLevel="0" collapsed="false">
      <c r="A73" s="7"/>
      <c r="B73" s="7"/>
      <c r="C73" s="7"/>
      <c r="D73" s="12"/>
      <c r="E73" s="12"/>
      <c r="F73" s="24"/>
      <c r="G73" s="25"/>
      <c r="H73" s="15"/>
      <c r="I73" s="24"/>
      <c r="J73" s="25"/>
      <c r="K73" s="16"/>
      <c r="L73" s="24"/>
      <c r="M73" s="7"/>
      <c r="N73" s="7"/>
      <c r="O73" s="7"/>
      <c r="P73" s="7"/>
      <c r="Q73" s="7"/>
      <c r="R73" s="26"/>
      <c r="S73" s="7"/>
      <c r="T73" s="7"/>
      <c r="U73" s="7"/>
      <c r="V73" s="1" t="str">
        <f aca="false">IF($A73="","",IF(OR(D73="卖出",D73="分红"),IFERROR(INDEX($F$2:$F72,MATCH(2,1/($C$2:$C72=$C73))),""),""))</f>
        <v/>
      </c>
      <c r="W73" s="50" t="str">
        <f aca="false">IF($A73="","",IF(D73="买入",IF(AND(ISNUMBER(L73),L73&gt;0),(F73-L73)*G73,F73*0.08*G73),IF(AND(ISNUMBER(V73),V73&gt;0),IF(AND(ISNUMBER(L73),L73&gt;0),(V73-L73)*G73,V73*0.08*G73),0)))</f>
        <v/>
      </c>
      <c r="X73" s="51" t="str">
        <f aca="false">IF($A73="","",IF(D73="买入",0,IFERROR(IF(W73&lt;&gt;0,(H73-IFERROR(INDEX($H$2:$H72,MATCH(2,1/($C$2:$C72=$C73))),0))/W73,0),0)))</f>
        <v/>
      </c>
      <c r="Y73" s="51" t="str">
        <f aca="false">IF($A73="","",Y72+X73)</f>
        <v/>
      </c>
      <c r="Z73" s="1" t="str">
        <f aca="false">IF($A73="","",IF(X73&gt;0,IF(LEFT(Z72,1)="胜","胜"&amp;VALUE(RIGHT(Z72,LEN(Z72)-1))+1,"胜1"),IF(X73&lt;0,IF(LEFT(Z72,1)="亏","亏"&amp;VALUE(RIGHT(Z72,LEN(Z72)-1))+1,"亏1"),"平")))</f>
        <v/>
      </c>
      <c r="AA73" s="52" t="str">
        <f aca="false">IF($A73="","",MAX(0,(MAX($Y$2:Y73)-Y73)/MAX(1,MAX($Y$2:Y73))))</f>
        <v/>
      </c>
    </row>
    <row r="74" customFormat="false" ht="15" hidden="false" customHeight="true" outlineLevel="0" collapsed="false">
      <c r="A74" s="5"/>
      <c r="B74" s="5"/>
      <c r="C74" s="5"/>
      <c r="D74" s="11"/>
      <c r="E74" s="11"/>
      <c r="F74" s="14"/>
      <c r="G74" s="17"/>
      <c r="H74" s="15"/>
      <c r="I74" s="14"/>
      <c r="J74" s="17"/>
      <c r="K74" s="16"/>
      <c r="L74" s="14"/>
      <c r="M74" s="5"/>
      <c r="N74" s="5"/>
      <c r="O74" s="5"/>
      <c r="P74" s="5"/>
      <c r="Q74" s="5"/>
      <c r="R74" s="20"/>
      <c r="S74" s="5"/>
      <c r="T74" s="5"/>
      <c r="U74" s="5"/>
      <c r="V74" s="1" t="str">
        <f aca="false">IF($A74="","",IF(OR(D74="卖出",D74="分红"),IFERROR(INDEX($F$2:$F73,MATCH(2,1/($C$2:$C73=$C74))),""),""))</f>
        <v/>
      </c>
      <c r="W74" s="50" t="str">
        <f aca="false">IF($A74="","",IF(D74="买入",IF(AND(ISNUMBER(L74),L74&gt;0),(F74-L74)*G74,F74*0.08*G74),IF(AND(ISNUMBER(V74),V74&gt;0),IF(AND(ISNUMBER(L74),L74&gt;0),(V74-L74)*G74,V74*0.08*G74),0)))</f>
        <v/>
      </c>
      <c r="X74" s="51" t="str">
        <f aca="false">IF($A74="","",IF(D74="买入",0,IFERROR(IF(W74&lt;&gt;0,(H74-IFERROR(INDEX($H$2:$H73,MATCH(2,1/($C$2:$C73=$C74))),0))/W74,0),0)))</f>
        <v/>
      </c>
      <c r="Y74" s="51" t="str">
        <f aca="false">IF($A74="","",Y73+X74)</f>
        <v/>
      </c>
      <c r="Z74" s="1" t="str">
        <f aca="false">IF($A74="","",IF(X74&gt;0,IF(LEFT(Z73,1)="胜","胜"&amp;VALUE(RIGHT(Z73,LEN(Z73)-1))+1,"胜1"),IF(X74&lt;0,IF(LEFT(Z73,1)="亏","亏"&amp;VALUE(RIGHT(Z73,LEN(Z73)-1))+1,"亏1"),"平")))</f>
        <v/>
      </c>
      <c r="AA74" s="52" t="str">
        <f aca="false">IF($A74="","",MAX(0,(MAX($Y$2:Y74)-Y74)/MAX(1,MAX($Y$2:Y74))))</f>
        <v/>
      </c>
    </row>
    <row r="75" customFormat="false" ht="15" hidden="false" customHeight="true" outlineLevel="0" collapsed="false">
      <c r="A75" s="7"/>
      <c r="B75" s="7"/>
      <c r="C75" s="7"/>
      <c r="D75" s="12"/>
      <c r="E75" s="12"/>
      <c r="F75" s="24"/>
      <c r="G75" s="25"/>
      <c r="H75" s="15"/>
      <c r="I75" s="24"/>
      <c r="J75" s="25"/>
      <c r="K75" s="16"/>
      <c r="L75" s="24"/>
      <c r="M75" s="7"/>
      <c r="N75" s="7"/>
      <c r="O75" s="7"/>
      <c r="P75" s="7"/>
      <c r="Q75" s="7"/>
      <c r="R75" s="26"/>
      <c r="S75" s="7"/>
      <c r="T75" s="7"/>
      <c r="U75" s="7"/>
      <c r="V75" s="1" t="str">
        <f aca="false">IF($A75="","",IF(OR(D75="卖出",D75="分红"),IFERROR(INDEX($F$2:$F74,MATCH(2,1/($C$2:$C74=$C75))),""),""))</f>
        <v/>
      </c>
      <c r="W75" s="50" t="str">
        <f aca="false">IF($A75="","",IF(D75="买入",IF(AND(ISNUMBER(L75),L75&gt;0),(F75-L75)*G75,F75*0.08*G75),IF(AND(ISNUMBER(V75),V75&gt;0),IF(AND(ISNUMBER(L75),L75&gt;0),(V75-L75)*G75,V75*0.08*G75),0)))</f>
        <v/>
      </c>
      <c r="X75" s="51" t="str">
        <f aca="false">IF($A75="","",IF(D75="买入",0,IFERROR(IF(W75&lt;&gt;0,(H75-IFERROR(INDEX($H$2:$H74,MATCH(2,1/($C$2:$C74=$C75))),0))/W75,0),0)))</f>
        <v/>
      </c>
      <c r="Y75" s="51" t="str">
        <f aca="false">IF($A75="","",Y74+X75)</f>
        <v/>
      </c>
      <c r="Z75" s="1" t="str">
        <f aca="false">IF($A75="","",IF(X75&gt;0,IF(LEFT(Z74,1)="胜","胜"&amp;VALUE(RIGHT(Z74,LEN(Z74)-1))+1,"胜1"),IF(X75&lt;0,IF(LEFT(Z74,1)="亏","亏"&amp;VALUE(RIGHT(Z74,LEN(Z74)-1))+1,"亏1"),"平")))</f>
        <v/>
      </c>
      <c r="AA75" s="52" t="str">
        <f aca="false">IF($A75="","",MAX(0,(MAX($Y$2:Y75)-Y75)/MAX(1,MAX($Y$2:Y75))))</f>
        <v/>
      </c>
    </row>
    <row r="76" customFormat="false" ht="15" hidden="false" customHeight="true" outlineLevel="0" collapsed="false">
      <c r="A76" s="5"/>
      <c r="B76" s="5"/>
      <c r="C76" s="5"/>
      <c r="D76" s="11"/>
      <c r="E76" s="11"/>
      <c r="F76" s="14"/>
      <c r="G76" s="17"/>
      <c r="H76" s="15"/>
      <c r="I76" s="14"/>
      <c r="J76" s="17"/>
      <c r="K76" s="16"/>
      <c r="L76" s="14"/>
      <c r="M76" s="5"/>
      <c r="N76" s="5"/>
      <c r="O76" s="5"/>
      <c r="P76" s="5"/>
      <c r="Q76" s="5"/>
      <c r="R76" s="20"/>
      <c r="S76" s="5"/>
      <c r="T76" s="5"/>
      <c r="U76" s="5"/>
      <c r="V76" s="1" t="str">
        <f aca="false">IF($A76="","",IF(OR(D76="卖出",D76="分红"),IFERROR(INDEX($F$2:$F75,MATCH(2,1/($C$2:$C75=$C76))),""),""))</f>
        <v/>
      </c>
      <c r="W76" s="50" t="str">
        <f aca="false">IF($A76="","",IF(D76="买入",IF(AND(ISNUMBER(L76),L76&gt;0),(F76-L76)*G76,F76*0.08*G76),IF(AND(ISNUMBER(V76),V76&gt;0),IF(AND(ISNUMBER(L76),L76&gt;0),(V76-L76)*G76,V76*0.08*G76),0)))</f>
        <v/>
      </c>
      <c r="X76" s="51" t="str">
        <f aca="false">IF($A76="","",IF(D76="买入",0,IFERROR(IF(W76&lt;&gt;0,(H76-IFERROR(INDEX($H$2:$H75,MATCH(2,1/($C$2:$C75=$C76))),0))/W76,0),0)))</f>
        <v/>
      </c>
      <c r="Y76" s="51" t="str">
        <f aca="false">IF($A76="","",Y75+X76)</f>
        <v/>
      </c>
      <c r="Z76" s="1" t="str">
        <f aca="false">IF($A76="","",IF(X76&gt;0,IF(LEFT(Z75,1)="胜","胜"&amp;VALUE(RIGHT(Z75,LEN(Z75)-1))+1,"胜1"),IF(X76&lt;0,IF(LEFT(Z75,1)="亏","亏"&amp;VALUE(RIGHT(Z75,LEN(Z75)-1))+1,"亏1"),"平")))</f>
        <v/>
      </c>
      <c r="AA76" s="52" t="str">
        <f aca="false">IF($A76="","",MAX(0,(MAX($Y$2:Y76)-Y76)/MAX(1,MAX($Y$2:Y76))))</f>
        <v/>
      </c>
    </row>
    <row r="77" customFormat="false" ht="15" hidden="false" customHeight="true" outlineLevel="0" collapsed="false">
      <c r="A77" s="7"/>
      <c r="B77" s="7"/>
      <c r="C77" s="7"/>
      <c r="D77" s="12"/>
      <c r="E77" s="12"/>
      <c r="F77" s="24"/>
      <c r="G77" s="25"/>
      <c r="H77" s="15"/>
      <c r="I77" s="24"/>
      <c r="J77" s="25"/>
      <c r="K77" s="16"/>
      <c r="L77" s="24"/>
      <c r="M77" s="7"/>
      <c r="N77" s="7"/>
      <c r="O77" s="7"/>
      <c r="P77" s="7"/>
      <c r="Q77" s="7"/>
      <c r="R77" s="26"/>
      <c r="S77" s="7"/>
      <c r="T77" s="7"/>
      <c r="U77" s="7"/>
      <c r="V77" s="1" t="str">
        <f aca="false">IF($A77="","",IF(OR(D77="卖出",D77="分红"),IFERROR(INDEX($F$2:$F76,MATCH(2,1/($C$2:$C76=$C77))),""),""))</f>
        <v/>
      </c>
      <c r="W77" s="50" t="str">
        <f aca="false">IF($A77="","",IF(D77="买入",IF(AND(ISNUMBER(L77),L77&gt;0),(F77-L77)*G77,F77*0.08*G77),IF(AND(ISNUMBER(V77),V77&gt;0),IF(AND(ISNUMBER(L77),L77&gt;0),(V77-L77)*G77,V77*0.08*G77),0)))</f>
        <v/>
      </c>
      <c r="X77" s="51" t="str">
        <f aca="false">IF($A77="","",IF(D77="买入",0,IFERROR(IF(W77&lt;&gt;0,(H77-IFERROR(INDEX($H$2:$H76,MATCH(2,1/($C$2:$C76=$C77))),0))/W77,0),0)))</f>
        <v/>
      </c>
      <c r="Y77" s="51" t="str">
        <f aca="false">IF($A77="","",Y76+X77)</f>
        <v/>
      </c>
      <c r="Z77" s="1" t="str">
        <f aca="false">IF($A77="","",IF(X77&gt;0,IF(LEFT(Z76,1)="胜","胜"&amp;VALUE(RIGHT(Z76,LEN(Z76)-1))+1,"胜1"),IF(X77&lt;0,IF(LEFT(Z76,1)="亏","亏"&amp;VALUE(RIGHT(Z76,LEN(Z76)-1))+1,"亏1"),"平")))</f>
        <v/>
      </c>
      <c r="AA77" s="52" t="str">
        <f aca="false">IF($A77="","",MAX(0,(MAX($Y$2:Y77)-Y77)/MAX(1,MAX($Y$2:Y77))))</f>
        <v/>
      </c>
    </row>
    <row r="78" customFormat="false" ht="15" hidden="false" customHeight="true" outlineLevel="0" collapsed="false">
      <c r="A78" s="5"/>
      <c r="B78" s="5"/>
      <c r="C78" s="5"/>
      <c r="D78" s="11"/>
      <c r="E78" s="11"/>
      <c r="F78" s="14"/>
      <c r="G78" s="17"/>
      <c r="H78" s="15"/>
      <c r="I78" s="14"/>
      <c r="J78" s="17"/>
      <c r="K78" s="16"/>
      <c r="L78" s="14"/>
      <c r="M78" s="5"/>
      <c r="N78" s="5"/>
      <c r="O78" s="5"/>
      <c r="P78" s="5"/>
      <c r="Q78" s="5"/>
      <c r="R78" s="20"/>
      <c r="S78" s="5"/>
      <c r="T78" s="5"/>
      <c r="U78" s="5"/>
      <c r="V78" s="1" t="str">
        <f aca="false">IF($A78="","",IF(OR(D78="卖出",D78="分红"),IFERROR(INDEX($F$2:$F77,MATCH(2,1/($C$2:$C77=$C78))),""),""))</f>
        <v/>
      </c>
      <c r="W78" s="50" t="str">
        <f aca="false">IF($A78="","",IF(D78="买入",IF(AND(ISNUMBER(L78),L78&gt;0),(F78-L78)*G78,F78*0.08*G78),IF(AND(ISNUMBER(V78),V78&gt;0),IF(AND(ISNUMBER(L78),L78&gt;0),(V78-L78)*G78,V78*0.08*G78),0)))</f>
        <v/>
      </c>
      <c r="X78" s="51" t="str">
        <f aca="false">IF($A78="","",IF(D78="买入",0,IFERROR(IF(W78&lt;&gt;0,(H78-IFERROR(INDEX($H$2:$H77,MATCH(2,1/($C$2:$C77=$C78))),0))/W78,0),0)))</f>
        <v/>
      </c>
      <c r="Y78" s="51" t="str">
        <f aca="false">IF($A78="","",Y77+X78)</f>
        <v/>
      </c>
      <c r="Z78" s="1" t="str">
        <f aca="false">IF($A78="","",IF(X78&gt;0,IF(LEFT(Z77,1)="胜","胜"&amp;VALUE(RIGHT(Z77,LEN(Z77)-1))+1,"胜1"),IF(X78&lt;0,IF(LEFT(Z77,1)="亏","亏"&amp;VALUE(RIGHT(Z77,LEN(Z77)-1))+1,"亏1"),"平")))</f>
        <v/>
      </c>
      <c r="AA78" s="52" t="str">
        <f aca="false">IF($A78="","",MAX(0,(MAX($Y$2:Y78)-Y78)/MAX(1,MAX($Y$2:Y78))))</f>
        <v/>
      </c>
    </row>
    <row r="79" customFormat="false" ht="15" hidden="false" customHeight="true" outlineLevel="0" collapsed="false">
      <c r="A79" s="7"/>
      <c r="B79" s="7"/>
      <c r="C79" s="7"/>
      <c r="D79" s="12"/>
      <c r="E79" s="12"/>
      <c r="F79" s="24"/>
      <c r="G79" s="25"/>
      <c r="H79" s="15"/>
      <c r="I79" s="24"/>
      <c r="J79" s="25"/>
      <c r="K79" s="16"/>
      <c r="L79" s="24"/>
      <c r="M79" s="7"/>
      <c r="N79" s="7"/>
      <c r="O79" s="7"/>
      <c r="P79" s="7"/>
      <c r="Q79" s="7"/>
      <c r="R79" s="26"/>
      <c r="S79" s="7"/>
      <c r="T79" s="7"/>
      <c r="U79" s="7"/>
      <c r="V79" s="1" t="str">
        <f aca="false">IF($A79="","",IF(OR(D79="卖出",D79="分红"),IFERROR(INDEX($F$2:$F78,MATCH(2,1/($C$2:$C78=$C79))),""),""))</f>
        <v/>
      </c>
      <c r="W79" s="50" t="str">
        <f aca="false">IF($A79="","",IF(D79="买入",IF(AND(ISNUMBER(L79),L79&gt;0),(F79-L79)*G79,F79*0.08*G79),IF(AND(ISNUMBER(V79),V79&gt;0),IF(AND(ISNUMBER(L79),L79&gt;0),(V79-L79)*G79,V79*0.08*G79),0)))</f>
        <v/>
      </c>
      <c r="X79" s="51" t="str">
        <f aca="false">IF($A79="","",IF(D79="买入",0,IFERROR(IF(W79&lt;&gt;0,(H79-IFERROR(INDEX($H$2:$H78,MATCH(2,1/($C$2:$C78=$C79))),0))/W79,0),0)))</f>
        <v/>
      </c>
      <c r="Y79" s="51" t="str">
        <f aca="false">IF($A79="","",Y78+X79)</f>
        <v/>
      </c>
      <c r="Z79" s="1" t="str">
        <f aca="false">IF($A79="","",IF(X79&gt;0,IF(LEFT(Z78,1)="胜","胜"&amp;VALUE(RIGHT(Z78,LEN(Z78)-1))+1,"胜1"),IF(X79&lt;0,IF(LEFT(Z78,1)="亏","亏"&amp;VALUE(RIGHT(Z78,LEN(Z78)-1))+1,"亏1"),"平")))</f>
        <v/>
      </c>
      <c r="AA79" s="52" t="str">
        <f aca="false">IF($A79="","",MAX(0,(MAX($Y$2:Y79)-Y79)/MAX(1,MAX($Y$2:Y79))))</f>
        <v/>
      </c>
    </row>
    <row r="80" customFormat="false" ht="15" hidden="false" customHeight="true" outlineLevel="0" collapsed="false">
      <c r="A80" s="5"/>
      <c r="B80" s="5"/>
      <c r="C80" s="5"/>
      <c r="D80" s="11"/>
      <c r="E80" s="11"/>
      <c r="F80" s="14"/>
      <c r="G80" s="17"/>
      <c r="H80" s="15"/>
      <c r="I80" s="14"/>
      <c r="J80" s="17"/>
      <c r="K80" s="16"/>
      <c r="L80" s="14"/>
      <c r="M80" s="5"/>
      <c r="N80" s="5"/>
      <c r="O80" s="5"/>
      <c r="P80" s="5"/>
      <c r="Q80" s="5"/>
      <c r="R80" s="20"/>
      <c r="S80" s="5"/>
      <c r="T80" s="5"/>
      <c r="U80" s="5"/>
      <c r="V80" s="1" t="str">
        <f aca="false">IF($A80="","",IF(OR(D80="卖出",D80="分红"),IFERROR(INDEX($F$2:$F79,MATCH(2,1/($C$2:$C79=$C80))),""),""))</f>
        <v/>
      </c>
      <c r="W80" s="50" t="str">
        <f aca="false">IF($A80="","",IF(D80="买入",IF(AND(ISNUMBER(L80),L80&gt;0),(F80-L80)*G80,F80*0.08*G80),IF(AND(ISNUMBER(V80),V80&gt;0),IF(AND(ISNUMBER(L80),L80&gt;0),(V80-L80)*G80,V80*0.08*G80),0)))</f>
        <v/>
      </c>
      <c r="X80" s="51" t="str">
        <f aca="false">IF($A80="","",IF(D80="买入",0,IFERROR(IF(W80&lt;&gt;0,(H80-IFERROR(INDEX($H$2:$H79,MATCH(2,1/($C$2:$C79=$C80))),0))/W80,0),0)))</f>
        <v/>
      </c>
      <c r="Y80" s="51" t="str">
        <f aca="false">IF($A80="","",Y79+X80)</f>
        <v/>
      </c>
      <c r="Z80" s="1" t="str">
        <f aca="false">IF($A80="","",IF(X80&gt;0,IF(LEFT(Z79,1)="胜","胜"&amp;VALUE(RIGHT(Z79,LEN(Z79)-1))+1,"胜1"),IF(X80&lt;0,IF(LEFT(Z79,1)="亏","亏"&amp;VALUE(RIGHT(Z79,LEN(Z79)-1))+1,"亏1"),"平")))</f>
        <v/>
      </c>
      <c r="AA80" s="52" t="str">
        <f aca="false">IF($A80="","",MAX(0,(MAX($Y$2:Y80)-Y80)/MAX(1,MAX($Y$2:Y80))))</f>
        <v/>
      </c>
    </row>
    <row r="81" customFormat="false" ht="15" hidden="false" customHeight="true" outlineLevel="0" collapsed="false">
      <c r="A81" s="7"/>
      <c r="B81" s="7"/>
      <c r="C81" s="7"/>
      <c r="D81" s="12"/>
      <c r="E81" s="12"/>
      <c r="F81" s="24"/>
      <c r="G81" s="25"/>
      <c r="H81" s="15"/>
      <c r="I81" s="24"/>
      <c r="J81" s="25"/>
      <c r="K81" s="16"/>
      <c r="L81" s="24"/>
      <c r="M81" s="7"/>
      <c r="N81" s="7"/>
      <c r="O81" s="7"/>
      <c r="P81" s="7"/>
      <c r="Q81" s="7"/>
      <c r="R81" s="26"/>
      <c r="S81" s="7"/>
      <c r="T81" s="7"/>
      <c r="U81" s="7"/>
      <c r="V81" s="1" t="str">
        <f aca="false">IF($A81="","",IF(OR(D81="卖出",D81="分红"),IFERROR(INDEX($F$2:$F80,MATCH(2,1/($C$2:$C80=$C81))),""),""))</f>
        <v/>
      </c>
      <c r="W81" s="50" t="str">
        <f aca="false">IF($A81="","",IF(D81="买入",IF(AND(ISNUMBER(L81),L81&gt;0),(F81-L81)*G81,F81*0.08*G81),IF(AND(ISNUMBER(V81),V81&gt;0),IF(AND(ISNUMBER(L81),L81&gt;0),(V81-L81)*G81,V81*0.08*G81),0)))</f>
        <v/>
      </c>
      <c r="X81" s="51" t="str">
        <f aca="false">IF($A81="","",IF(D81="买入",0,IFERROR(IF(W81&lt;&gt;0,(H81-IFERROR(INDEX($H$2:$H80,MATCH(2,1/($C$2:$C80=$C81))),0))/W81,0),0)))</f>
        <v/>
      </c>
      <c r="Y81" s="51" t="str">
        <f aca="false">IF($A81="","",Y80+X81)</f>
        <v/>
      </c>
      <c r="Z81" s="1" t="str">
        <f aca="false">IF($A81="","",IF(X81&gt;0,IF(LEFT(Z80,1)="胜","胜"&amp;VALUE(RIGHT(Z80,LEN(Z80)-1))+1,"胜1"),IF(X81&lt;0,IF(LEFT(Z80,1)="亏","亏"&amp;VALUE(RIGHT(Z80,LEN(Z80)-1))+1,"亏1"),"平")))</f>
        <v/>
      </c>
      <c r="AA81" s="52" t="str">
        <f aca="false">IF($A81="","",MAX(0,(MAX($Y$2:Y81)-Y81)/MAX(1,MAX($Y$2:Y81))))</f>
        <v/>
      </c>
    </row>
    <row r="82" customFormat="false" ht="15" hidden="false" customHeight="true" outlineLevel="0" collapsed="false">
      <c r="A82" s="5"/>
      <c r="B82" s="5"/>
      <c r="C82" s="5"/>
      <c r="D82" s="11"/>
      <c r="E82" s="11"/>
      <c r="F82" s="14"/>
      <c r="G82" s="17"/>
      <c r="H82" s="15"/>
      <c r="I82" s="14"/>
      <c r="J82" s="17"/>
      <c r="K82" s="16"/>
      <c r="L82" s="14"/>
      <c r="M82" s="5"/>
      <c r="N82" s="5"/>
      <c r="O82" s="5"/>
      <c r="P82" s="5"/>
      <c r="Q82" s="5"/>
      <c r="R82" s="20"/>
      <c r="S82" s="5"/>
      <c r="T82" s="5"/>
      <c r="U82" s="5"/>
      <c r="V82" s="1" t="str">
        <f aca="false">IF($A82="","",IF(OR(D82="卖出",D82="分红"),IFERROR(INDEX($F$2:$F81,MATCH(2,1/($C$2:$C81=$C82))),""),""))</f>
        <v/>
      </c>
      <c r="W82" s="50" t="str">
        <f aca="false">IF($A82="","",IF(D82="买入",IF(AND(ISNUMBER(L82),L82&gt;0),(F82-L82)*G82,F82*0.08*G82),IF(AND(ISNUMBER(V82),V82&gt;0),IF(AND(ISNUMBER(L82),L82&gt;0),(V82-L82)*G82,V82*0.08*G82),0)))</f>
        <v/>
      </c>
      <c r="X82" s="51" t="str">
        <f aca="false">IF($A82="","",IF(D82="买入",0,IFERROR(IF(W82&lt;&gt;0,(H82-IFERROR(INDEX($H$2:$H81,MATCH(2,1/($C$2:$C81=$C82))),0))/W82,0),0)))</f>
        <v/>
      </c>
      <c r="Y82" s="51" t="str">
        <f aca="false">IF($A82="","",Y81+X82)</f>
        <v/>
      </c>
      <c r="Z82" s="1" t="str">
        <f aca="false">IF($A82="","",IF(X82&gt;0,IF(LEFT(Z81,1)="胜","胜"&amp;VALUE(RIGHT(Z81,LEN(Z81)-1))+1,"胜1"),IF(X82&lt;0,IF(LEFT(Z81,1)="亏","亏"&amp;VALUE(RIGHT(Z81,LEN(Z81)-1))+1,"亏1"),"平")))</f>
        <v/>
      </c>
      <c r="AA82" s="52" t="str">
        <f aca="false">IF($A82="","",MAX(0,(MAX($Y$2:Y82)-Y82)/MAX(1,MAX($Y$2:Y82))))</f>
        <v/>
      </c>
    </row>
    <row r="83" customFormat="false" ht="15" hidden="false" customHeight="true" outlineLevel="0" collapsed="false">
      <c r="A83" s="7"/>
      <c r="B83" s="7"/>
      <c r="C83" s="7"/>
      <c r="D83" s="12"/>
      <c r="E83" s="12"/>
      <c r="F83" s="24"/>
      <c r="G83" s="25"/>
      <c r="H83" s="15"/>
      <c r="I83" s="24"/>
      <c r="J83" s="25"/>
      <c r="K83" s="16"/>
      <c r="L83" s="24"/>
      <c r="M83" s="7"/>
      <c r="N83" s="7"/>
      <c r="O83" s="7"/>
      <c r="P83" s="7"/>
      <c r="Q83" s="7"/>
      <c r="R83" s="26"/>
      <c r="S83" s="7"/>
      <c r="T83" s="7"/>
      <c r="U83" s="7"/>
      <c r="V83" s="1" t="str">
        <f aca="false">IF($A83="","",IF(OR(D83="卖出",D83="分红"),IFERROR(INDEX($F$2:$F82,MATCH(2,1/($C$2:$C82=$C83))),""),""))</f>
        <v/>
      </c>
      <c r="W83" s="50" t="str">
        <f aca="false">IF($A83="","",IF(D83="买入",IF(AND(ISNUMBER(L83),L83&gt;0),(F83-L83)*G83,F83*0.08*G83),IF(AND(ISNUMBER(V83),V83&gt;0),IF(AND(ISNUMBER(L83),L83&gt;0),(V83-L83)*G83,V83*0.08*G83),0)))</f>
        <v/>
      </c>
      <c r="X83" s="51" t="str">
        <f aca="false">IF($A83="","",IF(D83="买入",0,IFERROR(IF(W83&lt;&gt;0,(H83-IFERROR(INDEX($H$2:$H82,MATCH(2,1/($C$2:$C82=$C83))),0))/W83,0),0)))</f>
        <v/>
      </c>
      <c r="Y83" s="51" t="str">
        <f aca="false">IF($A83="","",Y82+X83)</f>
        <v/>
      </c>
      <c r="Z83" s="1" t="str">
        <f aca="false">IF($A83="","",IF(X83&gt;0,IF(LEFT(Z82,1)="胜","胜"&amp;VALUE(RIGHT(Z82,LEN(Z82)-1))+1,"胜1"),IF(X83&lt;0,IF(LEFT(Z82,1)="亏","亏"&amp;VALUE(RIGHT(Z82,LEN(Z82)-1))+1,"亏1"),"平")))</f>
        <v/>
      </c>
      <c r="AA83" s="52" t="str">
        <f aca="false">IF($A83="","",MAX(0,(MAX($Y$2:Y83)-Y83)/MAX(1,MAX($Y$2:Y83))))</f>
        <v/>
      </c>
    </row>
    <row r="84" customFormat="false" ht="15" hidden="false" customHeight="true" outlineLevel="0" collapsed="false">
      <c r="A84" s="5"/>
      <c r="B84" s="5"/>
      <c r="C84" s="5"/>
      <c r="D84" s="11"/>
      <c r="E84" s="11"/>
      <c r="F84" s="14"/>
      <c r="G84" s="17"/>
      <c r="H84" s="15"/>
      <c r="I84" s="14"/>
      <c r="J84" s="17"/>
      <c r="K84" s="16"/>
      <c r="L84" s="14"/>
      <c r="M84" s="5"/>
      <c r="N84" s="5"/>
      <c r="O84" s="5"/>
      <c r="P84" s="5"/>
      <c r="Q84" s="5"/>
      <c r="R84" s="20"/>
      <c r="S84" s="5"/>
      <c r="T84" s="5"/>
      <c r="U84" s="5"/>
      <c r="V84" s="1" t="str">
        <f aca="false">IF($A84="","",IF(OR(D84="卖出",D84="分红"),IFERROR(INDEX($F$2:$F83,MATCH(2,1/($C$2:$C83=$C84))),""),""))</f>
        <v/>
      </c>
      <c r="W84" s="50" t="str">
        <f aca="false">IF($A84="","",IF(D84="买入",IF(AND(ISNUMBER(L84),L84&gt;0),(F84-L84)*G84,F84*0.08*G84),IF(AND(ISNUMBER(V84),V84&gt;0),IF(AND(ISNUMBER(L84),L84&gt;0),(V84-L84)*G84,V84*0.08*G84),0)))</f>
        <v/>
      </c>
      <c r="X84" s="51" t="str">
        <f aca="false">IF($A84="","",IF(D84="买入",0,IFERROR(IF(W84&lt;&gt;0,(H84-IFERROR(INDEX($H$2:$H83,MATCH(2,1/($C$2:$C83=$C84))),0))/W84,0),0)))</f>
        <v/>
      </c>
      <c r="Y84" s="51" t="str">
        <f aca="false">IF($A84="","",Y83+X84)</f>
        <v/>
      </c>
      <c r="Z84" s="1" t="str">
        <f aca="false">IF($A84="","",IF(X84&gt;0,IF(LEFT(Z83,1)="胜","胜"&amp;VALUE(RIGHT(Z83,LEN(Z83)-1))+1,"胜1"),IF(X84&lt;0,IF(LEFT(Z83,1)="亏","亏"&amp;VALUE(RIGHT(Z83,LEN(Z83)-1))+1,"亏1"),"平")))</f>
        <v/>
      </c>
      <c r="AA84" s="52" t="str">
        <f aca="false">IF($A84="","",MAX(0,(MAX($Y$2:Y84)-Y84)/MAX(1,MAX($Y$2:Y84))))</f>
        <v/>
      </c>
    </row>
    <row r="85" customFormat="false" ht="15" hidden="false" customHeight="true" outlineLevel="0" collapsed="false">
      <c r="A85" s="7"/>
      <c r="B85" s="7"/>
      <c r="C85" s="7"/>
      <c r="D85" s="12"/>
      <c r="E85" s="12"/>
      <c r="F85" s="24"/>
      <c r="G85" s="25"/>
      <c r="H85" s="15"/>
      <c r="I85" s="24"/>
      <c r="J85" s="25"/>
      <c r="K85" s="16"/>
      <c r="L85" s="24"/>
      <c r="M85" s="7"/>
      <c r="N85" s="7"/>
      <c r="O85" s="7"/>
      <c r="P85" s="7"/>
      <c r="Q85" s="7"/>
      <c r="R85" s="26"/>
      <c r="S85" s="7"/>
      <c r="T85" s="7"/>
      <c r="U85" s="7"/>
      <c r="V85" s="1" t="str">
        <f aca="false">IF($A85="","",IF(OR(D85="卖出",D85="分红"),IFERROR(INDEX($F$2:$F84,MATCH(2,1/($C$2:$C84=$C85))),""),""))</f>
        <v/>
      </c>
      <c r="W85" s="50" t="str">
        <f aca="false">IF($A85="","",IF(D85="买入",IF(AND(ISNUMBER(L85),L85&gt;0),(F85-L85)*G85,F85*0.08*G85),IF(AND(ISNUMBER(V85),V85&gt;0),IF(AND(ISNUMBER(L85),L85&gt;0),(V85-L85)*G85,V85*0.08*G85),0)))</f>
        <v/>
      </c>
      <c r="X85" s="51" t="str">
        <f aca="false">IF($A85="","",IF(D85="买入",0,IFERROR(IF(W85&lt;&gt;0,(H85-IFERROR(INDEX($H$2:$H84,MATCH(2,1/($C$2:$C84=$C85))),0))/W85,0),0)))</f>
        <v/>
      </c>
      <c r="Y85" s="51" t="str">
        <f aca="false">IF($A85="","",Y84+X85)</f>
        <v/>
      </c>
      <c r="Z85" s="1" t="str">
        <f aca="false">IF($A85="","",IF(X85&gt;0,IF(LEFT(Z84,1)="胜","胜"&amp;VALUE(RIGHT(Z84,LEN(Z84)-1))+1,"胜1"),IF(X85&lt;0,IF(LEFT(Z84,1)="亏","亏"&amp;VALUE(RIGHT(Z84,LEN(Z84)-1))+1,"亏1"),"平")))</f>
        <v/>
      </c>
      <c r="AA85" s="52" t="str">
        <f aca="false">IF($A85="","",MAX(0,(MAX($Y$2:Y85)-Y85)/MAX(1,MAX($Y$2:Y85))))</f>
        <v/>
      </c>
    </row>
    <row r="86" customFormat="false" ht="15" hidden="false" customHeight="true" outlineLevel="0" collapsed="false">
      <c r="A86" s="5"/>
      <c r="B86" s="5"/>
      <c r="C86" s="5"/>
      <c r="D86" s="11"/>
      <c r="E86" s="11"/>
      <c r="F86" s="14"/>
      <c r="G86" s="17"/>
      <c r="H86" s="15"/>
      <c r="I86" s="14"/>
      <c r="J86" s="17"/>
      <c r="K86" s="16"/>
      <c r="L86" s="14"/>
      <c r="M86" s="5"/>
      <c r="N86" s="5"/>
      <c r="O86" s="5"/>
      <c r="P86" s="5"/>
      <c r="Q86" s="5"/>
      <c r="R86" s="20"/>
      <c r="S86" s="5"/>
      <c r="T86" s="5"/>
      <c r="U86" s="5"/>
      <c r="V86" s="1" t="str">
        <f aca="false">IF($A86="","",IF(OR(D86="卖出",D86="分红"),IFERROR(INDEX($F$2:$F85,MATCH(2,1/($C$2:$C85=$C86))),""),""))</f>
        <v/>
      </c>
      <c r="W86" s="50" t="str">
        <f aca="false">IF($A86="","",IF(D86="买入",IF(AND(ISNUMBER(L86),L86&gt;0),(F86-L86)*G86,F86*0.08*G86),IF(AND(ISNUMBER(V86),V86&gt;0),IF(AND(ISNUMBER(L86),L86&gt;0),(V86-L86)*G86,V86*0.08*G86),0)))</f>
        <v/>
      </c>
      <c r="X86" s="51" t="str">
        <f aca="false">IF($A86="","",IF(D86="买入",0,IFERROR(IF(W86&lt;&gt;0,(H86-IFERROR(INDEX($H$2:$H85,MATCH(2,1/($C$2:$C85=$C86))),0))/W86,0),0)))</f>
        <v/>
      </c>
      <c r="Y86" s="51" t="str">
        <f aca="false">IF($A86="","",Y85+X86)</f>
        <v/>
      </c>
      <c r="Z86" s="1" t="str">
        <f aca="false">IF($A86="","",IF(X86&gt;0,IF(LEFT(Z85,1)="胜","胜"&amp;VALUE(RIGHT(Z85,LEN(Z85)-1))+1,"胜1"),IF(X86&lt;0,IF(LEFT(Z85,1)="亏","亏"&amp;VALUE(RIGHT(Z85,LEN(Z85)-1))+1,"亏1"),"平")))</f>
        <v/>
      </c>
      <c r="AA86" s="52" t="str">
        <f aca="false">IF($A86="","",MAX(0,(MAX($Y$2:Y86)-Y86)/MAX(1,MAX($Y$2:Y86))))</f>
        <v/>
      </c>
    </row>
    <row r="87" customFormat="false" ht="15" hidden="false" customHeight="true" outlineLevel="0" collapsed="false">
      <c r="A87" s="7"/>
      <c r="B87" s="7"/>
      <c r="C87" s="7"/>
      <c r="D87" s="12"/>
      <c r="E87" s="12"/>
      <c r="F87" s="24"/>
      <c r="G87" s="25"/>
      <c r="H87" s="15"/>
      <c r="I87" s="24"/>
      <c r="J87" s="25"/>
      <c r="K87" s="16"/>
      <c r="L87" s="24"/>
      <c r="M87" s="7"/>
      <c r="N87" s="7"/>
      <c r="O87" s="7"/>
      <c r="P87" s="7"/>
      <c r="Q87" s="7"/>
      <c r="R87" s="26"/>
      <c r="S87" s="7"/>
      <c r="T87" s="7"/>
      <c r="U87" s="7"/>
      <c r="V87" s="1" t="str">
        <f aca="false">IF($A87="","",IF(OR(D87="卖出",D87="分红"),IFERROR(INDEX($F$2:$F86,MATCH(2,1/($C$2:$C86=$C87))),""),""))</f>
        <v/>
      </c>
      <c r="W87" s="50" t="str">
        <f aca="false">IF($A87="","",IF(D87="买入",IF(AND(ISNUMBER(L87),L87&gt;0),(F87-L87)*G87,F87*0.08*G87),IF(AND(ISNUMBER(V87),V87&gt;0),IF(AND(ISNUMBER(L87),L87&gt;0),(V87-L87)*G87,V87*0.08*G87),0)))</f>
        <v/>
      </c>
      <c r="X87" s="51" t="str">
        <f aca="false">IF($A87="","",IF(D87="买入",0,IFERROR(IF(W87&lt;&gt;0,(H87-IFERROR(INDEX($H$2:$H86,MATCH(2,1/($C$2:$C86=$C87))),0))/W87,0),0)))</f>
        <v/>
      </c>
      <c r="Y87" s="51" t="str">
        <f aca="false">IF($A87="","",Y86+X87)</f>
        <v/>
      </c>
      <c r="Z87" s="1" t="str">
        <f aca="false">IF($A87="","",IF(X87&gt;0,IF(LEFT(Z86,1)="胜","胜"&amp;VALUE(RIGHT(Z86,LEN(Z86)-1))+1,"胜1"),IF(X87&lt;0,IF(LEFT(Z86,1)="亏","亏"&amp;VALUE(RIGHT(Z86,LEN(Z86)-1))+1,"亏1"),"平")))</f>
        <v/>
      </c>
      <c r="AA87" s="52" t="str">
        <f aca="false">IF($A87="","",MAX(0,(MAX($Y$2:Y87)-Y87)/MAX(1,MAX($Y$2:Y87))))</f>
        <v/>
      </c>
    </row>
    <row r="88" customFormat="false" ht="15" hidden="false" customHeight="true" outlineLevel="0" collapsed="false">
      <c r="A88" s="5"/>
      <c r="B88" s="5"/>
      <c r="C88" s="5"/>
      <c r="D88" s="11"/>
      <c r="E88" s="11"/>
      <c r="F88" s="14"/>
      <c r="G88" s="17"/>
      <c r="H88" s="15"/>
      <c r="I88" s="14"/>
      <c r="J88" s="17"/>
      <c r="K88" s="16"/>
      <c r="L88" s="14"/>
      <c r="M88" s="5"/>
      <c r="N88" s="5"/>
      <c r="O88" s="5"/>
      <c r="P88" s="5"/>
      <c r="Q88" s="5"/>
      <c r="R88" s="20"/>
      <c r="S88" s="5"/>
      <c r="T88" s="5"/>
      <c r="U88" s="5"/>
      <c r="V88" s="1" t="str">
        <f aca="false">IF($A88="","",IF(OR(D88="卖出",D88="分红"),IFERROR(INDEX($F$2:$F87,MATCH(2,1/($C$2:$C87=$C88))),""),""))</f>
        <v/>
      </c>
      <c r="W88" s="50" t="str">
        <f aca="false">IF($A88="","",IF(D88="买入",IF(AND(ISNUMBER(L88),L88&gt;0),(F88-L88)*G88,F88*0.08*G88),IF(AND(ISNUMBER(V88),V88&gt;0),IF(AND(ISNUMBER(L88),L88&gt;0),(V88-L88)*G88,V88*0.08*G88),0)))</f>
        <v/>
      </c>
      <c r="X88" s="51" t="str">
        <f aca="false">IF($A88="","",IF(D88="买入",0,IFERROR(IF(W88&lt;&gt;0,(H88-IFERROR(INDEX($H$2:$H87,MATCH(2,1/($C$2:$C87=$C88))),0))/W88,0),0)))</f>
        <v/>
      </c>
      <c r="Y88" s="51" t="str">
        <f aca="false">IF($A88="","",Y87+X88)</f>
        <v/>
      </c>
      <c r="Z88" s="1" t="str">
        <f aca="false">IF($A88="","",IF(X88&gt;0,IF(LEFT(Z87,1)="胜","胜"&amp;VALUE(RIGHT(Z87,LEN(Z87)-1))+1,"胜1"),IF(X88&lt;0,IF(LEFT(Z87,1)="亏","亏"&amp;VALUE(RIGHT(Z87,LEN(Z87)-1))+1,"亏1"),"平")))</f>
        <v/>
      </c>
      <c r="AA88" s="52" t="str">
        <f aca="false">IF($A88="","",MAX(0,(MAX($Y$2:Y88)-Y88)/MAX(1,MAX($Y$2:Y88))))</f>
        <v/>
      </c>
    </row>
    <row r="89" customFormat="false" ht="15" hidden="false" customHeight="true" outlineLevel="0" collapsed="false">
      <c r="A89" s="7"/>
      <c r="B89" s="7"/>
      <c r="C89" s="7"/>
      <c r="D89" s="12"/>
      <c r="E89" s="12"/>
      <c r="F89" s="24"/>
      <c r="G89" s="25"/>
      <c r="H89" s="15"/>
      <c r="I89" s="24"/>
      <c r="J89" s="25"/>
      <c r="K89" s="16"/>
      <c r="L89" s="24"/>
      <c r="M89" s="7"/>
      <c r="N89" s="7"/>
      <c r="O89" s="7"/>
      <c r="P89" s="7"/>
      <c r="Q89" s="7"/>
      <c r="R89" s="26"/>
      <c r="S89" s="7"/>
      <c r="T89" s="7"/>
      <c r="U89" s="7"/>
      <c r="V89" s="1" t="str">
        <f aca="false">IF($A89="","",IF(OR(D89="卖出",D89="分红"),IFERROR(INDEX($F$2:$F88,MATCH(2,1/($C$2:$C88=$C89))),""),""))</f>
        <v/>
      </c>
      <c r="W89" s="50" t="str">
        <f aca="false">IF($A89="","",IF(D89="买入",IF(AND(ISNUMBER(L89),L89&gt;0),(F89-L89)*G89,F89*0.08*G89),IF(AND(ISNUMBER(V89),V89&gt;0),IF(AND(ISNUMBER(L89),L89&gt;0),(V89-L89)*G89,V89*0.08*G89),0)))</f>
        <v/>
      </c>
      <c r="X89" s="51" t="str">
        <f aca="false">IF($A89="","",IF(D89="买入",0,IFERROR(IF(W89&lt;&gt;0,(H89-IFERROR(INDEX($H$2:$H88,MATCH(2,1/($C$2:$C88=$C89))),0))/W89,0),0)))</f>
        <v/>
      </c>
      <c r="Y89" s="51" t="str">
        <f aca="false">IF($A89="","",Y88+X89)</f>
        <v/>
      </c>
      <c r="Z89" s="1" t="str">
        <f aca="false">IF($A89="","",IF(X89&gt;0,IF(LEFT(Z88,1)="胜","胜"&amp;VALUE(RIGHT(Z88,LEN(Z88)-1))+1,"胜1"),IF(X89&lt;0,IF(LEFT(Z88,1)="亏","亏"&amp;VALUE(RIGHT(Z88,LEN(Z88)-1))+1,"亏1"),"平")))</f>
        <v/>
      </c>
      <c r="AA89" s="52" t="str">
        <f aca="false">IF($A89="","",MAX(0,(MAX($Y$2:Y89)-Y89)/MAX(1,MAX($Y$2:Y89))))</f>
        <v/>
      </c>
    </row>
    <row r="90" customFormat="false" ht="15" hidden="false" customHeight="true" outlineLevel="0" collapsed="false">
      <c r="A90" s="5"/>
      <c r="B90" s="5"/>
      <c r="C90" s="5"/>
      <c r="D90" s="11"/>
      <c r="E90" s="11"/>
      <c r="F90" s="14"/>
      <c r="G90" s="17"/>
      <c r="H90" s="15"/>
      <c r="I90" s="14"/>
      <c r="J90" s="17"/>
      <c r="K90" s="16"/>
      <c r="L90" s="14"/>
      <c r="M90" s="5"/>
      <c r="N90" s="5"/>
      <c r="O90" s="5"/>
      <c r="P90" s="5"/>
      <c r="Q90" s="5"/>
      <c r="R90" s="20"/>
      <c r="S90" s="5"/>
      <c r="T90" s="5"/>
      <c r="U90" s="5"/>
      <c r="V90" s="1" t="str">
        <f aca="false">IF($A90="","",IF(OR(D90="卖出",D90="分红"),IFERROR(INDEX($F$2:$F89,MATCH(2,1/($C$2:$C89=$C90))),""),""))</f>
        <v/>
      </c>
      <c r="W90" s="50" t="str">
        <f aca="false">IF($A90="","",IF(D90="买入",IF(AND(ISNUMBER(L90),L90&gt;0),(F90-L90)*G90,F90*0.08*G90),IF(AND(ISNUMBER(V90),V90&gt;0),IF(AND(ISNUMBER(L90),L90&gt;0),(V90-L90)*G90,V90*0.08*G90),0)))</f>
        <v/>
      </c>
      <c r="X90" s="51" t="str">
        <f aca="false">IF($A90="","",IF(D90="买入",0,IFERROR(IF(W90&lt;&gt;0,(H90-IFERROR(INDEX($H$2:$H89,MATCH(2,1/($C$2:$C89=$C90))),0))/W90,0),0)))</f>
        <v/>
      </c>
      <c r="Y90" s="51" t="str">
        <f aca="false">IF($A90="","",Y89+X90)</f>
        <v/>
      </c>
      <c r="Z90" s="1" t="str">
        <f aca="false">IF($A90="","",IF(X90&gt;0,IF(LEFT(Z89,1)="胜","胜"&amp;VALUE(RIGHT(Z89,LEN(Z89)-1))+1,"胜1"),IF(X90&lt;0,IF(LEFT(Z89,1)="亏","亏"&amp;VALUE(RIGHT(Z89,LEN(Z89)-1))+1,"亏1"),"平")))</f>
        <v/>
      </c>
      <c r="AA90" s="52" t="str">
        <f aca="false">IF($A90="","",MAX(0,(MAX($Y$2:Y90)-Y90)/MAX(1,MAX($Y$2:Y90))))</f>
        <v/>
      </c>
    </row>
    <row r="91" customFormat="false" ht="15" hidden="false" customHeight="true" outlineLevel="0" collapsed="false">
      <c r="A91" s="7"/>
      <c r="B91" s="7"/>
      <c r="C91" s="7"/>
      <c r="D91" s="12"/>
      <c r="E91" s="12"/>
      <c r="F91" s="24"/>
      <c r="G91" s="25"/>
      <c r="H91" s="15"/>
      <c r="I91" s="24"/>
      <c r="J91" s="25"/>
      <c r="K91" s="16"/>
      <c r="L91" s="24"/>
      <c r="M91" s="7"/>
      <c r="N91" s="7"/>
      <c r="O91" s="7"/>
      <c r="P91" s="7"/>
      <c r="Q91" s="7"/>
      <c r="R91" s="26"/>
      <c r="S91" s="7"/>
      <c r="T91" s="7"/>
      <c r="U91" s="7"/>
      <c r="V91" s="1" t="str">
        <f aca="false">IF($A91="","",IF(OR(D91="卖出",D91="分红"),IFERROR(INDEX($F$2:$F90,MATCH(2,1/($C$2:$C90=$C91))),""),""))</f>
        <v/>
      </c>
      <c r="W91" s="50" t="str">
        <f aca="false">IF($A91="","",IF(D91="买入",IF(AND(ISNUMBER(L91),L91&gt;0),(F91-L91)*G91,F91*0.08*G91),IF(AND(ISNUMBER(V91),V91&gt;0),IF(AND(ISNUMBER(L91),L91&gt;0),(V91-L91)*G91,V91*0.08*G91),0)))</f>
        <v/>
      </c>
      <c r="X91" s="51" t="str">
        <f aca="false">IF($A91="","",IF(D91="买入",0,IFERROR(IF(W91&lt;&gt;0,(H91-IFERROR(INDEX($H$2:$H90,MATCH(2,1/($C$2:$C90=$C91))),0))/W91,0),0)))</f>
        <v/>
      </c>
      <c r="Y91" s="51" t="str">
        <f aca="false">IF($A91="","",Y90+X91)</f>
        <v/>
      </c>
      <c r="Z91" s="1" t="str">
        <f aca="false">IF($A91="","",IF(X91&gt;0,IF(LEFT(Z90,1)="胜","胜"&amp;VALUE(RIGHT(Z90,LEN(Z90)-1))+1,"胜1"),IF(X91&lt;0,IF(LEFT(Z90,1)="亏","亏"&amp;VALUE(RIGHT(Z90,LEN(Z90)-1))+1,"亏1"),"平")))</f>
        <v/>
      </c>
      <c r="AA91" s="52" t="str">
        <f aca="false">IF($A91="","",MAX(0,(MAX($Y$2:Y91)-Y91)/MAX(1,MAX($Y$2:Y91))))</f>
        <v/>
      </c>
    </row>
    <row r="92" customFormat="false" ht="15" hidden="false" customHeight="true" outlineLevel="0" collapsed="false">
      <c r="A92" s="5"/>
      <c r="B92" s="5"/>
      <c r="C92" s="5"/>
      <c r="D92" s="11"/>
      <c r="E92" s="11"/>
      <c r="F92" s="14"/>
      <c r="G92" s="17"/>
      <c r="H92" s="15"/>
      <c r="I92" s="14"/>
      <c r="J92" s="17"/>
      <c r="K92" s="16"/>
      <c r="L92" s="14"/>
      <c r="M92" s="5"/>
      <c r="N92" s="5"/>
      <c r="O92" s="5"/>
      <c r="P92" s="5"/>
      <c r="Q92" s="5"/>
      <c r="R92" s="20"/>
      <c r="S92" s="5"/>
      <c r="T92" s="5"/>
      <c r="U92" s="5"/>
      <c r="V92" s="1" t="str">
        <f aca="false">IF($A92="","",IF(OR(D92="卖出",D92="分红"),IFERROR(INDEX($F$2:$F91,MATCH(2,1/($C$2:$C91=$C92))),""),""))</f>
        <v/>
      </c>
      <c r="W92" s="50" t="str">
        <f aca="false">IF($A92="","",IF(D92="买入",IF(AND(ISNUMBER(L92),L92&gt;0),(F92-L92)*G92,F92*0.08*G92),IF(AND(ISNUMBER(V92),V92&gt;0),IF(AND(ISNUMBER(L92),L92&gt;0),(V92-L92)*G92,V92*0.08*G92),0)))</f>
        <v/>
      </c>
      <c r="X92" s="51" t="str">
        <f aca="false">IF($A92="","",IF(D92="买入",0,IFERROR(IF(W92&lt;&gt;0,(H92-IFERROR(INDEX($H$2:$H91,MATCH(2,1/($C$2:$C91=$C92))),0))/W92,0),0)))</f>
        <v/>
      </c>
      <c r="Y92" s="51" t="str">
        <f aca="false">IF($A92="","",Y91+X92)</f>
        <v/>
      </c>
      <c r="Z92" s="1" t="str">
        <f aca="false">IF($A92="","",IF(X92&gt;0,IF(LEFT(Z91,1)="胜","胜"&amp;VALUE(RIGHT(Z91,LEN(Z91)-1))+1,"胜1"),IF(X92&lt;0,IF(LEFT(Z91,1)="亏","亏"&amp;VALUE(RIGHT(Z91,LEN(Z91)-1))+1,"亏1"),"平")))</f>
        <v/>
      </c>
      <c r="AA92" s="52" t="str">
        <f aca="false">IF($A92="","",MAX(0,(MAX($Y$2:Y92)-Y92)/MAX(1,MAX($Y$2:Y92))))</f>
        <v/>
      </c>
    </row>
    <row r="93" customFormat="false" ht="15" hidden="false" customHeight="true" outlineLevel="0" collapsed="false">
      <c r="A93" s="7"/>
      <c r="B93" s="7"/>
      <c r="C93" s="7"/>
      <c r="D93" s="12"/>
      <c r="E93" s="12"/>
      <c r="F93" s="24"/>
      <c r="G93" s="25"/>
      <c r="H93" s="15"/>
      <c r="I93" s="24"/>
      <c r="J93" s="25"/>
      <c r="K93" s="16"/>
      <c r="L93" s="24"/>
      <c r="M93" s="7"/>
      <c r="N93" s="7"/>
      <c r="O93" s="7"/>
      <c r="P93" s="7"/>
      <c r="Q93" s="7"/>
      <c r="R93" s="26"/>
      <c r="S93" s="7"/>
      <c r="T93" s="7"/>
      <c r="U93" s="7"/>
      <c r="V93" s="1" t="str">
        <f aca="false">IF($A93="","",IF(OR(D93="卖出",D93="分红"),IFERROR(INDEX($F$2:$F92,MATCH(2,1/($C$2:$C92=$C93))),""),""))</f>
        <v/>
      </c>
      <c r="W93" s="50" t="str">
        <f aca="false">IF($A93="","",IF(D93="买入",IF(AND(ISNUMBER(L93),L93&gt;0),(F93-L93)*G93,F93*0.08*G93),IF(AND(ISNUMBER(V93),V93&gt;0),IF(AND(ISNUMBER(L93),L93&gt;0),(V93-L93)*G93,V93*0.08*G93),0)))</f>
        <v/>
      </c>
      <c r="X93" s="51" t="str">
        <f aca="false">IF($A93="","",IF(D93="买入",0,IFERROR(IF(W93&lt;&gt;0,(H93-IFERROR(INDEX($H$2:$H92,MATCH(2,1/($C$2:$C92=$C93))),0))/W93,0),0)))</f>
        <v/>
      </c>
      <c r="Y93" s="51" t="str">
        <f aca="false">IF($A93="","",Y92+X93)</f>
        <v/>
      </c>
      <c r="Z93" s="1" t="str">
        <f aca="false">IF($A93="","",IF(X93&gt;0,IF(LEFT(Z92,1)="胜","胜"&amp;VALUE(RIGHT(Z92,LEN(Z92)-1))+1,"胜1"),IF(X93&lt;0,IF(LEFT(Z92,1)="亏","亏"&amp;VALUE(RIGHT(Z92,LEN(Z92)-1))+1,"亏1"),"平")))</f>
        <v/>
      </c>
      <c r="AA93" s="52" t="str">
        <f aca="false">IF($A93="","",MAX(0,(MAX($Y$2:Y93)-Y93)/MAX(1,MAX($Y$2:Y93))))</f>
        <v/>
      </c>
    </row>
    <row r="94" customFormat="false" ht="15" hidden="false" customHeight="true" outlineLevel="0" collapsed="false">
      <c r="A94" s="5"/>
      <c r="B94" s="5"/>
      <c r="C94" s="5"/>
      <c r="D94" s="11"/>
      <c r="E94" s="11"/>
      <c r="F94" s="14"/>
      <c r="G94" s="17"/>
      <c r="H94" s="15"/>
      <c r="I94" s="14"/>
      <c r="J94" s="17"/>
      <c r="K94" s="16"/>
      <c r="L94" s="14"/>
      <c r="M94" s="5"/>
      <c r="N94" s="5"/>
      <c r="O94" s="5"/>
      <c r="P94" s="5"/>
      <c r="Q94" s="5"/>
      <c r="R94" s="20"/>
      <c r="S94" s="5"/>
      <c r="T94" s="5"/>
      <c r="U94" s="5"/>
      <c r="V94" s="1" t="str">
        <f aca="false">IF($A94="","",IF(OR(D94="卖出",D94="分红"),IFERROR(INDEX($F$2:$F93,MATCH(2,1/($C$2:$C93=$C94))),""),""))</f>
        <v/>
      </c>
      <c r="W94" s="50" t="str">
        <f aca="false">IF($A94="","",IF(D94="买入",IF(AND(ISNUMBER(L94),L94&gt;0),(F94-L94)*G94,F94*0.08*G94),IF(AND(ISNUMBER(V94),V94&gt;0),IF(AND(ISNUMBER(L94),L94&gt;0),(V94-L94)*G94,V94*0.08*G94),0)))</f>
        <v/>
      </c>
      <c r="X94" s="51" t="str">
        <f aca="false">IF($A94="","",IF(D94="买入",0,IFERROR(IF(W94&lt;&gt;0,(H94-IFERROR(INDEX($H$2:$H93,MATCH(2,1/($C$2:$C93=$C94))),0))/W94,0),0)))</f>
        <v/>
      </c>
      <c r="Y94" s="51" t="str">
        <f aca="false">IF($A94="","",Y93+X94)</f>
        <v/>
      </c>
      <c r="Z94" s="1" t="str">
        <f aca="false">IF($A94="","",IF(X94&gt;0,IF(LEFT(Z93,1)="胜","胜"&amp;VALUE(RIGHT(Z93,LEN(Z93)-1))+1,"胜1"),IF(X94&lt;0,IF(LEFT(Z93,1)="亏","亏"&amp;VALUE(RIGHT(Z93,LEN(Z93)-1))+1,"亏1"),"平")))</f>
        <v/>
      </c>
      <c r="AA94" s="52" t="str">
        <f aca="false">IF($A94="","",MAX(0,(MAX($Y$2:Y94)-Y94)/MAX(1,MAX($Y$2:Y94))))</f>
        <v/>
      </c>
    </row>
    <row r="95" customFormat="false" ht="15" hidden="false" customHeight="true" outlineLevel="0" collapsed="false">
      <c r="A95" s="7"/>
      <c r="B95" s="7"/>
      <c r="C95" s="7"/>
      <c r="D95" s="12"/>
      <c r="E95" s="12"/>
      <c r="F95" s="24"/>
      <c r="G95" s="25"/>
      <c r="H95" s="15"/>
      <c r="I95" s="24"/>
      <c r="J95" s="25"/>
      <c r="K95" s="16"/>
      <c r="L95" s="24"/>
      <c r="M95" s="7"/>
      <c r="N95" s="7"/>
      <c r="O95" s="7"/>
      <c r="P95" s="7"/>
      <c r="Q95" s="7"/>
      <c r="R95" s="26"/>
      <c r="S95" s="7"/>
      <c r="T95" s="7"/>
      <c r="U95" s="7"/>
      <c r="V95" s="1" t="str">
        <f aca="false">IF($A95="","",IF(OR(D95="卖出",D95="分红"),IFERROR(INDEX($F$2:$F94,MATCH(2,1/($C$2:$C94=$C95))),""),""))</f>
        <v/>
      </c>
      <c r="W95" s="50" t="str">
        <f aca="false">IF($A95="","",IF(D95="买入",IF(AND(ISNUMBER(L95),L95&gt;0),(F95-L95)*G95,F95*0.08*G95),IF(AND(ISNUMBER(V95),V95&gt;0),IF(AND(ISNUMBER(L95),L95&gt;0),(V95-L95)*G95,V95*0.08*G95),0)))</f>
        <v/>
      </c>
      <c r="X95" s="51" t="str">
        <f aca="false">IF($A95="","",IF(D95="买入",0,IFERROR(IF(W95&lt;&gt;0,(H95-IFERROR(INDEX($H$2:$H94,MATCH(2,1/($C$2:$C94=$C95))),0))/W95,0),0)))</f>
        <v/>
      </c>
      <c r="Y95" s="51" t="str">
        <f aca="false">IF($A95="","",Y94+X95)</f>
        <v/>
      </c>
      <c r="Z95" s="1" t="str">
        <f aca="false">IF($A95="","",IF(X95&gt;0,IF(LEFT(Z94,1)="胜","胜"&amp;VALUE(RIGHT(Z94,LEN(Z94)-1))+1,"胜1"),IF(X95&lt;0,IF(LEFT(Z94,1)="亏","亏"&amp;VALUE(RIGHT(Z94,LEN(Z94)-1))+1,"亏1"),"平")))</f>
        <v/>
      </c>
      <c r="AA95" s="52" t="str">
        <f aca="false">IF($A95="","",MAX(0,(MAX($Y$2:Y95)-Y95)/MAX(1,MAX($Y$2:Y95))))</f>
        <v/>
      </c>
    </row>
    <row r="96" customFormat="false" ht="15" hidden="false" customHeight="true" outlineLevel="0" collapsed="false">
      <c r="A96" s="5"/>
      <c r="B96" s="5"/>
      <c r="C96" s="5"/>
      <c r="D96" s="11"/>
      <c r="E96" s="11"/>
      <c r="F96" s="14"/>
      <c r="G96" s="17"/>
      <c r="H96" s="15"/>
      <c r="I96" s="14"/>
      <c r="J96" s="17"/>
      <c r="K96" s="16"/>
      <c r="L96" s="14"/>
      <c r="M96" s="5"/>
      <c r="N96" s="5"/>
      <c r="O96" s="5"/>
      <c r="P96" s="5"/>
      <c r="Q96" s="5"/>
      <c r="R96" s="20"/>
      <c r="S96" s="5"/>
      <c r="T96" s="5"/>
      <c r="U96" s="5"/>
      <c r="V96" s="1" t="str">
        <f aca="false">IF($A96="","",IF(OR(D96="卖出",D96="分红"),IFERROR(INDEX($F$2:$F95,MATCH(2,1/($C$2:$C95=$C96))),""),""))</f>
        <v/>
      </c>
      <c r="W96" s="50" t="str">
        <f aca="false">IF($A96="","",IF(D96="买入",IF(AND(ISNUMBER(L96),L96&gt;0),(F96-L96)*G96,F96*0.08*G96),IF(AND(ISNUMBER(V96),V96&gt;0),IF(AND(ISNUMBER(L96),L96&gt;0),(V96-L96)*G96,V96*0.08*G96),0)))</f>
        <v/>
      </c>
      <c r="X96" s="51" t="str">
        <f aca="false">IF($A96="","",IF(D96="买入",0,IFERROR(IF(W96&lt;&gt;0,(H96-IFERROR(INDEX($H$2:$H95,MATCH(2,1/($C$2:$C95=$C96))),0))/W96,0),0)))</f>
        <v/>
      </c>
      <c r="Y96" s="51" t="str">
        <f aca="false">IF($A96="","",Y95+X96)</f>
        <v/>
      </c>
      <c r="Z96" s="1" t="str">
        <f aca="false">IF($A96="","",IF(X96&gt;0,IF(LEFT(Z95,1)="胜","胜"&amp;VALUE(RIGHT(Z95,LEN(Z95)-1))+1,"胜1"),IF(X96&lt;0,IF(LEFT(Z95,1)="亏","亏"&amp;VALUE(RIGHT(Z95,LEN(Z95)-1))+1,"亏1"),"平")))</f>
        <v/>
      </c>
      <c r="AA96" s="52" t="str">
        <f aca="false">IF($A96="","",MAX(0,(MAX($Y$2:Y96)-Y96)/MAX(1,MAX($Y$2:Y96))))</f>
        <v/>
      </c>
    </row>
    <row r="97" customFormat="false" ht="15" hidden="false" customHeight="true" outlineLevel="0" collapsed="false">
      <c r="A97" s="7"/>
      <c r="B97" s="7"/>
      <c r="C97" s="7"/>
      <c r="D97" s="12"/>
      <c r="E97" s="12"/>
      <c r="F97" s="24"/>
      <c r="G97" s="25"/>
      <c r="H97" s="15"/>
      <c r="I97" s="24"/>
      <c r="J97" s="25"/>
      <c r="K97" s="16"/>
      <c r="L97" s="24"/>
      <c r="M97" s="7"/>
      <c r="N97" s="7"/>
      <c r="O97" s="7"/>
      <c r="P97" s="7"/>
      <c r="Q97" s="7"/>
      <c r="R97" s="26"/>
      <c r="S97" s="7"/>
      <c r="T97" s="7"/>
      <c r="U97" s="7"/>
      <c r="V97" s="1" t="str">
        <f aca="false">IF($A97="","",IF(OR(D97="卖出",D97="分红"),IFERROR(INDEX($F$2:$F96,MATCH(2,1/($C$2:$C96=$C97))),""),""))</f>
        <v/>
      </c>
      <c r="W97" s="50" t="str">
        <f aca="false">IF($A97="","",IF(D97="买入",IF(AND(ISNUMBER(L97),L97&gt;0),(F97-L97)*G97,F97*0.08*G97),IF(AND(ISNUMBER(V97),V97&gt;0),IF(AND(ISNUMBER(L97),L97&gt;0),(V97-L97)*G97,V97*0.08*G97),0)))</f>
        <v/>
      </c>
      <c r="X97" s="51" t="str">
        <f aca="false">IF($A97="","",IF(D97="买入",0,IFERROR(IF(W97&lt;&gt;0,(H97-IFERROR(INDEX($H$2:$H96,MATCH(2,1/($C$2:$C96=$C97))),0))/W97,0),0)))</f>
        <v/>
      </c>
      <c r="Y97" s="51" t="str">
        <f aca="false">IF($A97="","",Y96+X97)</f>
        <v/>
      </c>
      <c r="Z97" s="1" t="str">
        <f aca="false">IF($A97="","",IF(X97&gt;0,IF(LEFT(Z96,1)="胜","胜"&amp;VALUE(RIGHT(Z96,LEN(Z96)-1))+1,"胜1"),IF(X97&lt;0,IF(LEFT(Z96,1)="亏","亏"&amp;VALUE(RIGHT(Z96,LEN(Z96)-1))+1,"亏1"),"平")))</f>
        <v/>
      </c>
      <c r="AA97" s="52" t="str">
        <f aca="false">IF($A97="","",MAX(0,(MAX($Y$2:Y97)-Y97)/MAX(1,MAX($Y$2:Y97))))</f>
        <v/>
      </c>
    </row>
    <row r="98" customFormat="false" ht="15" hidden="false" customHeight="true" outlineLevel="0" collapsed="false">
      <c r="A98" s="5"/>
      <c r="B98" s="5"/>
      <c r="C98" s="5"/>
      <c r="D98" s="11"/>
      <c r="E98" s="11"/>
      <c r="F98" s="14"/>
      <c r="G98" s="17"/>
      <c r="H98" s="15"/>
      <c r="I98" s="14"/>
      <c r="J98" s="17"/>
      <c r="K98" s="16"/>
      <c r="L98" s="14"/>
      <c r="M98" s="5"/>
      <c r="N98" s="5"/>
      <c r="O98" s="5"/>
      <c r="P98" s="5"/>
      <c r="Q98" s="5"/>
      <c r="R98" s="20"/>
      <c r="S98" s="5"/>
      <c r="T98" s="5"/>
      <c r="U98" s="5"/>
      <c r="V98" s="1" t="str">
        <f aca="false">IF($A98="","",IF(OR(D98="卖出",D98="分红"),IFERROR(INDEX($F$2:$F97,MATCH(2,1/($C$2:$C97=$C98))),""),""))</f>
        <v/>
      </c>
      <c r="W98" s="50" t="str">
        <f aca="false">IF($A98="","",IF(D98="买入",IF(AND(ISNUMBER(L98),L98&gt;0),(F98-L98)*G98,F98*0.08*G98),IF(AND(ISNUMBER(V98),V98&gt;0),IF(AND(ISNUMBER(L98),L98&gt;0),(V98-L98)*G98,V98*0.08*G98),0)))</f>
        <v/>
      </c>
      <c r="X98" s="51" t="str">
        <f aca="false">IF($A98="","",IF(D98="买入",0,IFERROR(IF(W98&lt;&gt;0,(H98-IFERROR(INDEX($H$2:$H97,MATCH(2,1/($C$2:$C97=$C98))),0))/W98,0),0)))</f>
        <v/>
      </c>
      <c r="Y98" s="51" t="str">
        <f aca="false">IF($A98="","",Y97+X98)</f>
        <v/>
      </c>
      <c r="Z98" s="1" t="str">
        <f aca="false">IF($A98="","",IF(X98&gt;0,IF(LEFT(Z97,1)="胜","胜"&amp;VALUE(RIGHT(Z97,LEN(Z97)-1))+1,"胜1"),IF(X98&lt;0,IF(LEFT(Z97,1)="亏","亏"&amp;VALUE(RIGHT(Z97,LEN(Z97)-1))+1,"亏1"),"平")))</f>
        <v/>
      </c>
      <c r="AA98" s="52" t="str">
        <f aca="false">IF($A98="","",MAX(0,(MAX($Y$2:Y98)-Y98)/MAX(1,MAX($Y$2:Y98))))</f>
        <v/>
      </c>
    </row>
    <row r="99" customFormat="false" ht="15" hidden="false" customHeight="true" outlineLevel="0" collapsed="false">
      <c r="A99" s="7"/>
      <c r="B99" s="7"/>
      <c r="C99" s="7"/>
      <c r="D99" s="12"/>
      <c r="E99" s="12"/>
      <c r="F99" s="24"/>
      <c r="G99" s="25"/>
      <c r="H99" s="15"/>
      <c r="I99" s="24"/>
      <c r="J99" s="25"/>
      <c r="K99" s="16"/>
      <c r="L99" s="24"/>
      <c r="M99" s="7"/>
      <c r="N99" s="7"/>
      <c r="O99" s="7"/>
      <c r="P99" s="7"/>
      <c r="Q99" s="7"/>
      <c r="R99" s="26"/>
      <c r="S99" s="7"/>
      <c r="T99" s="7"/>
      <c r="U99" s="7"/>
      <c r="V99" s="1" t="str">
        <f aca="false">IF($A99="","",IF(OR(D99="卖出",D99="分红"),IFERROR(INDEX($F$2:$F98,MATCH(2,1/($C$2:$C98=$C99))),""),""))</f>
        <v/>
      </c>
      <c r="W99" s="50" t="str">
        <f aca="false">IF($A99="","",IF(D99="买入",IF(AND(ISNUMBER(L99),L99&gt;0),(F99-L99)*G99,F99*0.08*G99),IF(AND(ISNUMBER(V99),V99&gt;0),IF(AND(ISNUMBER(L99),L99&gt;0),(V99-L99)*G99,V99*0.08*G99),0)))</f>
        <v/>
      </c>
      <c r="X99" s="51" t="str">
        <f aca="false">IF($A99="","",IF(D99="买入",0,IFERROR(IF(W99&lt;&gt;0,(H99-IFERROR(INDEX($H$2:$H98,MATCH(2,1/($C$2:$C98=$C99))),0))/W99,0),0)))</f>
        <v/>
      </c>
      <c r="Y99" s="51" t="str">
        <f aca="false">IF($A99="","",Y98+X99)</f>
        <v/>
      </c>
      <c r="Z99" s="1" t="str">
        <f aca="false">IF($A99="","",IF(X99&gt;0,IF(LEFT(Z98,1)="胜","胜"&amp;VALUE(RIGHT(Z98,LEN(Z98)-1))+1,"胜1"),IF(X99&lt;0,IF(LEFT(Z98,1)="亏","亏"&amp;VALUE(RIGHT(Z98,LEN(Z98)-1))+1,"亏1"),"平")))</f>
        <v/>
      </c>
      <c r="AA99" s="52" t="str">
        <f aca="false">IF($A99="","",MAX(0,(MAX($Y$2:Y99)-Y99)/MAX(1,MAX($Y$2:Y99))))</f>
        <v/>
      </c>
    </row>
    <row r="100" customFormat="false" ht="15" hidden="false" customHeight="true" outlineLevel="0" collapsed="false">
      <c r="A100" s="5"/>
      <c r="B100" s="5"/>
      <c r="C100" s="5"/>
      <c r="D100" s="11"/>
      <c r="E100" s="11"/>
      <c r="F100" s="14"/>
      <c r="G100" s="17"/>
      <c r="H100" s="15"/>
      <c r="I100" s="14"/>
      <c r="J100" s="17"/>
      <c r="K100" s="16"/>
      <c r="L100" s="14"/>
      <c r="M100" s="5"/>
      <c r="N100" s="5"/>
      <c r="O100" s="5"/>
      <c r="P100" s="5"/>
      <c r="Q100" s="5"/>
      <c r="R100" s="20"/>
      <c r="S100" s="5"/>
      <c r="T100" s="5"/>
      <c r="U100" s="5"/>
      <c r="V100" s="1" t="str">
        <f aca="false">IF($A100="","",IF(OR(D100="卖出",D100="分红"),IFERROR(INDEX($F$2:$F99,MATCH(2,1/($C$2:$C99=$C100))),""),""))</f>
        <v/>
      </c>
      <c r="W100" s="50" t="str">
        <f aca="false">IF($A100="","",IF(D100="买入",IF(AND(ISNUMBER(L100),L100&gt;0),(F100-L100)*G100,F100*0.08*G100),IF(AND(ISNUMBER(V100),V100&gt;0),IF(AND(ISNUMBER(L100),L100&gt;0),(V100-L100)*G100,V100*0.08*G100),0)))</f>
        <v/>
      </c>
      <c r="X100" s="51" t="str">
        <f aca="false">IF($A100="","",IF(D100="买入",0,IFERROR(IF(W100&lt;&gt;0,(H100-IFERROR(INDEX($H$2:$H99,MATCH(2,1/($C$2:$C99=$C100))),0))/W100,0),0)))</f>
        <v/>
      </c>
      <c r="Y100" s="51" t="str">
        <f aca="false">IF($A100="","",Y99+X100)</f>
        <v/>
      </c>
      <c r="Z100" s="1" t="str">
        <f aca="false">IF($A100="","",IF(X100&gt;0,IF(LEFT(Z99,1)="胜","胜"&amp;VALUE(RIGHT(Z99,LEN(Z99)-1))+1,"胜1"),IF(X100&lt;0,IF(LEFT(Z99,1)="亏","亏"&amp;VALUE(RIGHT(Z99,LEN(Z99)-1))+1,"亏1"),"平")))</f>
        <v/>
      </c>
      <c r="AA100" s="52" t="str">
        <f aca="false">IF($A100="","",MAX(0,(MAX($Y$2:Y100)-Y100)/MAX(1,MAX($Y$2:Y100))))</f>
        <v/>
      </c>
    </row>
    <row r="101" customFormat="false" ht="15" hidden="false" customHeight="true" outlineLevel="0" collapsed="false">
      <c r="A101" s="7"/>
      <c r="B101" s="7"/>
      <c r="C101" s="7"/>
      <c r="D101" s="12"/>
      <c r="E101" s="12"/>
      <c r="F101" s="24"/>
      <c r="G101" s="25"/>
      <c r="H101" s="15"/>
      <c r="I101" s="24"/>
      <c r="J101" s="25"/>
      <c r="K101" s="16"/>
      <c r="L101" s="24"/>
      <c r="M101" s="7"/>
      <c r="N101" s="7"/>
      <c r="O101" s="7"/>
      <c r="P101" s="7"/>
      <c r="Q101" s="7"/>
      <c r="R101" s="26"/>
      <c r="S101" s="7"/>
      <c r="T101" s="7"/>
      <c r="U101" s="7"/>
      <c r="V101" s="1" t="str">
        <f aca="false">IF($A101="","",IF(OR(D101="卖出",D101="分红"),IFERROR(INDEX($F$2:$F100,MATCH(2,1/($C$2:$C100=$C101))),""),""))</f>
        <v/>
      </c>
      <c r="W101" s="50" t="str">
        <f aca="false">IF($A101="","",IF(D101="买入",IF(AND(ISNUMBER(L101),L101&gt;0),(F101-L101)*G101,F101*0.08*G101),IF(AND(ISNUMBER(V101),V101&gt;0),IF(AND(ISNUMBER(L101),L101&gt;0),(V101-L101)*G101,V101*0.08*G101),0)))</f>
        <v/>
      </c>
      <c r="X101" s="51" t="str">
        <f aca="false">IF($A101="","",IF(D101="买入",0,IFERROR(IF(W101&lt;&gt;0,(H101-IFERROR(INDEX($H$2:$H100,MATCH(2,1/($C$2:$C100=$C101))),0))/W101,0),0)))</f>
        <v/>
      </c>
      <c r="Y101" s="51" t="str">
        <f aca="false">IF($A101="","",Y100+X101)</f>
        <v/>
      </c>
      <c r="Z101" s="1" t="str">
        <f aca="false">IF($A101="","",IF(X101&gt;0,IF(LEFT(Z100,1)="胜","胜"&amp;VALUE(RIGHT(Z100,LEN(Z100)-1))+1,"胜1"),IF(X101&lt;0,IF(LEFT(Z100,1)="亏","亏"&amp;VALUE(RIGHT(Z100,LEN(Z100)-1))+1,"亏1"),"平")))</f>
        <v/>
      </c>
      <c r="AA101" s="52" t="str">
        <f aca="false">IF($A101="","",MAX(0,(MAX($Y$2:Y101)-Y101)/MAX(1,MAX($Y$2:Y101))))</f>
        <v/>
      </c>
    </row>
    <row r="102" customFormat="false" ht="15" hidden="false" customHeight="true" outlineLevel="0" collapsed="false">
      <c r="A102" s="5"/>
      <c r="B102" s="5"/>
      <c r="C102" s="5"/>
      <c r="D102" s="11"/>
      <c r="E102" s="11"/>
      <c r="F102" s="14"/>
      <c r="G102" s="17"/>
      <c r="H102" s="15"/>
      <c r="I102" s="14"/>
      <c r="J102" s="17"/>
      <c r="K102" s="16"/>
      <c r="L102" s="14"/>
      <c r="M102" s="5"/>
      <c r="N102" s="5"/>
      <c r="O102" s="5"/>
      <c r="P102" s="5"/>
      <c r="Q102" s="5"/>
      <c r="R102" s="20"/>
      <c r="S102" s="5"/>
      <c r="T102" s="5"/>
      <c r="U102" s="5"/>
      <c r="V102" s="1" t="str">
        <f aca="false">IF($A102="","",IF(OR(D102="卖出",D102="分红"),IFERROR(INDEX($F$2:$F101,MATCH(2,1/($C$2:$C101=$C102))),""),""))</f>
        <v/>
      </c>
      <c r="W102" s="50" t="str">
        <f aca="false">IF($A102="","",IF(D102="买入",IF(AND(ISNUMBER(L102),L102&gt;0),(F102-L102)*G102,F102*0.08*G102),IF(AND(ISNUMBER(V102),V102&gt;0),IF(AND(ISNUMBER(L102),L102&gt;0),(V102-L102)*G102,V102*0.08*G102),0)))</f>
        <v/>
      </c>
      <c r="X102" s="51" t="str">
        <f aca="false">IF($A102="","",IF(D102="买入",0,IFERROR(IF(W102&lt;&gt;0,(H102-IFERROR(INDEX($H$2:$H101,MATCH(2,1/($C$2:$C101=$C102))),0))/W102,0),0)))</f>
        <v/>
      </c>
      <c r="Y102" s="51" t="str">
        <f aca="false">IF($A102="","",Y101+X102)</f>
        <v/>
      </c>
      <c r="Z102" s="1" t="str">
        <f aca="false">IF($A102="","",IF(X102&gt;0,IF(LEFT(Z101,1)="胜","胜"&amp;VALUE(RIGHT(Z101,LEN(Z101)-1))+1,"胜1"),IF(X102&lt;0,IF(LEFT(Z101,1)="亏","亏"&amp;VALUE(RIGHT(Z101,LEN(Z101)-1))+1,"亏1"),"平")))</f>
        <v/>
      </c>
      <c r="AA102" s="52" t="str">
        <f aca="false">IF($A102="","",MAX(0,(MAX($Y$2:Y102)-Y102)/MAX(1,MAX($Y$2:Y102))))</f>
        <v/>
      </c>
    </row>
    <row r="103" customFormat="false" ht="15" hidden="false" customHeight="true" outlineLevel="0" collapsed="false">
      <c r="A103" s="7"/>
      <c r="B103" s="7"/>
      <c r="C103" s="7"/>
      <c r="D103" s="12"/>
      <c r="E103" s="12"/>
      <c r="F103" s="24"/>
      <c r="G103" s="25"/>
      <c r="H103" s="15"/>
      <c r="I103" s="24"/>
      <c r="J103" s="25"/>
      <c r="K103" s="16"/>
      <c r="L103" s="24"/>
      <c r="M103" s="7"/>
      <c r="N103" s="7"/>
      <c r="O103" s="7"/>
      <c r="P103" s="7"/>
      <c r="Q103" s="7"/>
      <c r="R103" s="26"/>
      <c r="S103" s="7"/>
      <c r="T103" s="7"/>
      <c r="U103" s="7"/>
      <c r="V103" s="1" t="str">
        <f aca="false">IF($A103="","",IF(OR(D103="卖出",D103="分红"),IFERROR(INDEX($F$2:$F102,MATCH(2,1/($C$2:$C102=$C103))),""),""))</f>
        <v/>
      </c>
      <c r="W103" s="50" t="str">
        <f aca="false">IF($A103="","",IF(D103="买入",IF(AND(ISNUMBER(L103),L103&gt;0),(F103-L103)*G103,F103*0.08*G103),IF(AND(ISNUMBER(V103),V103&gt;0),IF(AND(ISNUMBER(L103),L103&gt;0),(V103-L103)*G103,V103*0.08*G103),0)))</f>
        <v/>
      </c>
      <c r="X103" s="51" t="str">
        <f aca="false">IF($A103="","",IF(D103="买入",0,IFERROR(IF(W103&lt;&gt;0,(H103-IFERROR(INDEX($H$2:$H102,MATCH(2,1/($C$2:$C102=$C103))),0))/W103,0),0)))</f>
        <v/>
      </c>
      <c r="Y103" s="51" t="str">
        <f aca="false">IF($A103="","",Y102+X103)</f>
        <v/>
      </c>
      <c r="Z103" s="1" t="str">
        <f aca="false">IF($A103="","",IF(X103&gt;0,IF(LEFT(Z102,1)="胜","胜"&amp;VALUE(RIGHT(Z102,LEN(Z102)-1))+1,"胜1"),IF(X103&lt;0,IF(LEFT(Z102,1)="亏","亏"&amp;VALUE(RIGHT(Z102,LEN(Z102)-1))+1,"亏1"),"平")))</f>
        <v/>
      </c>
      <c r="AA103" s="52" t="str">
        <f aca="false">IF($A103="","",MAX(0,(MAX($Y$2:Y103)-Y103)/MAX(1,MAX($Y$2:Y103))))</f>
        <v/>
      </c>
    </row>
    <row r="104" customFormat="false" ht="15" hidden="false" customHeight="true" outlineLevel="0" collapsed="false">
      <c r="A104" s="5"/>
      <c r="B104" s="5"/>
      <c r="C104" s="5"/>
      <c r="D104" s="11"/>
      <c r="E104" s="11"/>
      <c r="F104" s="14"/>
      <c r="G104" s="17"/>
      <c r="H104" s="15"/>
      <c r="I104" s="14"/>
      <c r="J104" s="17"/>
      <c r="K104" s="16"/>
      <c r="L104" s="14"/>
      <c r="M104" s="5"/>
      <c r="N104" s="5"/>
      <c r="O104" s="5"/>
      <c r="P104" s="5"/>
      <c r="Q104" s="5"/>
      <c r="R104" s="20"/>
      <c r="S104" s="5"/>
      <c r="T104" s="5"/>
      <c r="U104" s="5"/>
      <c r="V104" s="1" t="str">
        <f aca="false">IF($A104="","",IF(OR(D104="卖出",D104="分红"),IFERROR(INDEX($F$2:$F103,MATCH(2,1/($C$2:$C103=$C104))),""),""))</f>
        <v/>
      </c>
      <c r="W104" s="50" t="str">
        <f aca="false">IF($A104="","",IF(D104="买入",IF(AND(ISNUMBER(L104),L104&gt;0),(F104-L104)*G104,F104*0.08*G104),IF(AND(ISNUMBER(V104),V104&gt;0),IF(AND(ISNUMBER(L104),L104&gt;0),(V104-L104)*G104,V104*0.08*G104),0)))</f>
        <v/>
      </c>
      <c r="X104" s="51" t="str">
        <f aca="false">IF($A104="","",IF(D104="买入",0,IFERROR(IF(W104&lt;&gt;0,(H104-IFERROR(INDEX($H$2:$H103,MATCH(2,1/($C$2:$C103=$C104))),0))/W104,0),0)))</f>
        <v/>
      </c>
      <c r="Y104" s="51" t="str">
        <f aca="false">IF($A104="","",Y103+X104)</f>
        <v/>
      </c>
      <c r="Z104" s="1" t="str">
        <f aca="false">IF($A104="","",IF(X104&gt;0,IF(LEFT(Z103,1)="胜","胜"&amp;VALUE(RIGHT(Z103,LEN(Z103)-1))+1,"胜1"),IF(X104&lt;0,IF(LEFT(Z103,1)="亏","亏"&amp;VALUE(RIGHT(Z103,LEN(Z103)-1))+1,"亏1"),"平")))</f>
        <v/>
      </c>
      <c r="AA104" s="52" t="str">
        <f aca="false">IF($A104="","",MAX(0,(MAX($Y$2:Y104)-Y104)/MAX(1,MAX($Y$2:Y104))))</f>
        <v/>
      </c>
    </row>
    <row r="105" customFormat="false" ht="15" hidden="false" customHeight="true" outlineLevel="0" collapsed="false">
      <c r="A105" s="7"/>
      <c r="B105" s="7"/>
      <c r="C105" s="7"/>
      <c r="D105" s="12"/>
      <c r="E105" s="12"/>
      <c r="F105" s="24"/>
      <c r="G105" s="25"/>
      <c r="H105" s="15"/>
      <c r="I105" s="24"/>
      <c r="J105" s="25"/>
      <c r="K105" s="16"/>
      <c r="L105" s="24"/>
      <c r="M105" s="7"/>
      <c r="N105" s="7"/>
      <c r="O105" s="7"/>
      <c r="P105" s="7"/>
      <c r="Q105" s="7"/>
      <c r="R105" s="26"/>
      <c r="S105" s="7"/>
      <c r="T105" s="7"/>
      <c r="U105" s="7"/>
      <c r="V105" s="1" t="str">
        <f aca="false">IF($A105="","",IF(OR(D105="卖出",D105="分红"),IFERROR(INDEX($F$2:$F104,MATCH(2,1/($C$2:$C104=$C105))),""),""))</f>
        <v/>
      </c>
      <c r="W105" s="50" t="str">
        <f aca="false">IF($A105="","",IF(D105="买入",IF(AND(ISNUMBER(L105),L105&gt;0),(F105-L105)*G105,F105*0.08*G105),IF(AND(ISNUMBER(V105),V105&gt;0),IF(AND(ISNUMBER(L105),L105&gt;0),(V105-L105)*G105,V105*0.08*G105),0)))</f>
        <v/>
      </c>
      <c r="X105" s="51" t="str">
        <f aca="false">IF($A105="","",IF(D105="买入",0,IFERROR(IF(W105&lt;&gt;0,(H105-IFERROR(INDEX($H$2:$H104,MATCH(2,1/($C$2:$C104=$C105))),0))/W105,0),0)))</f>
        <v/>
      </c>
      <c r="Y105" s="51" t="str">
        <f aca="false">IF($A105="","",Y104+X105)</f>
        <v/>
      </c>
      <c r="Z105" s="1" t="str">
        <f aca="false">IF($A105="","",IF(X105&gt;0,IF(LEFT(Z104,1)="胜","胜"&amp;VALUE(RIGHT(Z104,LEN(Z104)-1))+1,"胜1"),IF(X105&lt;0,IF(LEFT(Z104,1)="亏","亏"&amp;VALUE(RIGHT(Z104,LEN(Z104)-1))+1,"亏1"),"平")))</f>
        <v/>
      </c>
      <c r="AA105" s="52" t="str">
        <f aca="false">IF($A105="","",MAX(0,(MAX($Y$2:Y105)-Y105)/MAX(1,MAX($Y$2:Y105))))</f>
        <v/>
      </c>
    </row>
    <row r="106" customFormat="false" ht="15" hidden="false" customHeight="true" outlineLevel="0" collapsed="false">
      <c r="A106" s="5"/>
      <c r="B106" s="5"/>
      <c r="C106" s="5"/>
      <c r="D106" s="11"/>
      <c r="E106" s="11"/>
      <c r="F106" s="14"/>
      <c r="G106" s="17"/>
      <c r="H106" s="15"/>
      <c r="I106" s="14"/>
      <c r="J106" s="17"/>
      <c r="K106" s="16"/>
      <c r="L106" s="14"/>
      <c r="M106" s="5"/>
      <c r="N106" s="5"/>
      <c r="O106" s="5"/>
      <c r="P106" s="5"/>
      <c r="Q106" s="5"/>
      <c r="R106" s="20"/>
      <c r="S106" s="5"/>
      <c r="T106" s="5"/>
      <c r="U106" s="5"/>
      <c r="V106" s="1" t="str">
        <f aca="false">IF($A106="","",IF(OR(D106="卖出",D106="分红"),IFERROR(INDEX($F$2:$F105,MATCH(2,1/($C$2:$C105=$C106))),""),""))</f>
        <v/>
      </c>
      <c r="W106" s="50" t="str">
        <f aca="false">IF($A106="","",IF(D106="买入",IF(AND(ISNUMBER(L106),L106&gt;0),(F106-L106)*G106,F106*0.08*G106),IF(AND(ISNUMBER(V106),V106&gt;0),IF(AND(ISNUMBER(L106),L106&gt;0),(V106-L106)*G106,V106*0.08*G106),0)))</f>
        <v/>
      </c>
      <c r="X106" s="51" t="str">
        <f aca="false">IF($A106="","",IF(D106="买入",0,IFERROR(IF(W106&lt;&gt;0,(H106-IFERROR(INDEX($H$2:$H105,MATCH(2,1/($C$2:$C105=$C106))),0))/W106,0),0)))</f>
        <v/>
      </c>
      <c r="Y106" s="51" t="str">
        <f aca="false">IF($A106="","",Y105+X106)</f>
        <v/>
      </c>
      <c r="Z106" s="1" t="str">
        <f aca="false">IF($A106="","",IF(X106&gt;0,IF(LEFT(Z105,1)="胜","胜"&amp;VALUE(RIGHT(Z105,LEN(Z105)-1))+1,"胜1"),IF(X106&lt;0,IF(LEFT(Z105,1)="亏","亏"&amp;VALUE(RIGHT(Z105,LEN(Z105)-1))+1,"亏1"),"平")))</f>
        <v/>
      </c>
      <c r="AA106" s="52" t="str">
        <f aca="false">IF($A106="","",MAX(0,(MAX($Y$2:Y106)-Y106)/MAX(1,MAX($Y$2:Y106))))</f>
        <v/>
      </c>
    </row>
    <row r="107" customFormat="false" ht="15" hidden="false" customHeight="true" outlineLevel="0" collapsed="false">
      <c r="A107" s="7"/>
      <c r="B107" s="7"/>
      <c r="C107" s="7"/>
      <c r="D107" s="12"/>
      <c r="E107" s="12"/>
      <c r="F107" s="24"/>
      <c r="G107" s="25"/>
      <c r="H107" s="15"/>
      <c r="I107" s="24"/>
      <c r="J107" s="25"/>
      <c r="K107" s="16"/>
      <c r="L107" s="24"/>
      <c r="M107" s="7"/>
      <c r="N107" s="7"/>
      <c r="O107" s="7"/>
      <c r="P107" s="7"/>
      <c r="Q107" s="7"/>
      <c r="R107" s="26"/>
      <c r="S107" s="7"/>
      <c r="T107" s="7"/>
      <c r="U107" s="7"/>
      <c r="V107" s="1" t="str">
        <f aca="false">IF($A107="","",IF(OR(D107="卖出",D107="分红"),IFERROR(INDEX($F$2:$F106,MATCH(2,1/($C$2:$C106=$C107))),""),""))</f>
        <v/>
      </c>
      <c r="W107" s="50" t="str">
        <f aca="false">IF($A107="","",IF(D107="买入",IF(AND(ISNUMBER(L107),L107&gt;0),(F107-L107)*G107,F107*0.08*G107),IF(AND(ISNUMBER(V107),V107&gt;0),IF(AND(ISNUMBER(L107),L107&gt;0),(V107-L107)*G107,V107*0.08*G107),0)))</f>
        <v/>
      </c>
      <c r="X107" s="51" t="str">
        <f aca="false">IF($A107="","",IF(D107="买入",0,IFERROR(IF(W107&lt;&gt;0,(H107-IFERROR(INDEX($H$2:$H106,MATCH(2,1/($C$2:$C106=$C107))),0))/W107,0),0)))</f>
        <v/>
      </c>
      <c r="Y107" s="51" t="str">
        <f aca="false">IF($A107="","",Y106+X107)</f>
        <v/>
      </c>
      <c r="Z107" s="1" t="str">
        <f aca="false">IF($A107="","",IF(X107&gt;0,IF(LEFT(Z106,1)="胜","胜"&amp;VALUE(RIGHT(Z106,LEN(Z106)-1))+1,"胜1"),IF(X107&lt;0,IF(LEFT(Z106,1)="亏","亏"&amp;VALUE(RIGHT(Z106,LEN(Z106)-1))+1,"亏1"),"平")))</f>
        <v/>
      </c>
      <c r="AA107" s="52" t="str">
        <f aca="false">IF($A107="","",MAX(0,(MAX($Y$2:Y107)-Y107)/MAX(1,MAX($Y$2:Y107))))</f>
        <v/>
      </c>
    </row>
    <row r="108" customFormat="false" ht="15" hidden="false" customHeight="true" outlineLevel="0" collapsed="false">
      <c r="A108" s="5"/>
      <c r="B108" s="5"/>
      <c r="C108" s="5"/>
      <c r="D108" s="11"/>
      <c r="E108" s="11"/>
      <c r="F108" s="14"/>
      <c r="G108" s="17"/>
      <c r="H108" s="15"/>
      <c r="I108" s="14"/>
      <c r="J108" s="17"/>
      <c r="K108" s="16"/>
      <c r="L108" s="14"/>
      <c r="M108" s="5"/>
      <c r="N108" s="5"/>
      <c r="O108" s="5"/>
      <c r="P108" s="5"/>
      <c r="Q108" s="5"/>
      <c r="R108" s="20"/>
      <c r="S108" s="5"/>
      <c r="T108" s="5"/>
      <c r="U108" s="5"/>
      <c r="V108" s="1" t="str">
        <f aca="false">IF($A108="","",IF(OR(D108="卖出",D108="分红"),IFERROR(INDEX($F$2:$F107,MATCH(2,1/($C$2:$C107=$C108))),""),""))</f>
        <v/>
      </c>
      <c r="W108" s="50" t="str">
        <f aca="false">IF($A108="","",IF(D108="买入",IF(AND(ISNUMBER(L108),L108&gt;0),(F108-L108)*G108,F108*0.08*G108),IF(AND(ISNUMBER(V108),V108&gt;0),IF(AND(ISNUMBER(L108),L108&gt;0),(V108-L108)*G108,V108*0.08*G108),0)))</f>
        <v/>
      </c>
      <c r="X108" s="51" t="str">
        <f aca="false">IF($A108="","",IF(D108="买入",0,IFERROR(IF(W108&lt;&gt;0,(H108-IFERROR(INDEX($H$2:$H107,MATCH(2,1/($C$2:$C107=$C108))),0))/W108,0),0)))</f>
        <v/>
      </c>
      <c r="Y108" s="51" t="str">
        <f aca="false">IF($A108="","",Y107+X108)</f>
        <v/>
      </c>
      <c r="Z108" s="1" t="str">
        <f aca="false">IF($A108="","",IF(X108&gt;0,IF(LEFT(Z107,1)="胜","胜"&amp;VALUE(RIGHT(Z107,LEN(Z107)-1))+1,"胜1"),IF(X108&lt;0,IF(LEFT(Z107,1)="亏","亏"&amp;VALUE(RIGHT(Z107,LEN(Z107)-1))+1,"亏1"),"平")))</f>
        <v/>
      </c>
      <c r="AA108" s="52" t="str">
        <f aca="false">IF($A108="","",MAX(0,(MAX($Y$2:Y108)-Y108)/MAX(1,MAX($Y$2:Y108))))</f>
        <v/>
      </c>
    </row>
    <row r="109" customFormat="false" ht="15" hidden="false" customHeight="true" outlineLevel="0" collapsed="false">
      <c r="A109" s="7"/>
      <c r="B109" s="7"/>
      <c r="C109" s="7"/>
      <c r="D109" s="12"/>
      <c r="E109" s="12"/>
      <c r="F109" s="24"/>
      <c r="G109" s="25"/>
      <c r="H109" s="15"/>
      <c r="I109" s="24"/>
      <c r="J109" s="25"/>
      <c r="K109" s="16"/>
      <c r="L109" s="24"/>
      <c r="M109" s="7"/>
      <c r="N109" s="7"/>
      <c r="O109" s="7"/>
      <c r="P109" s="7"/>
      <c r="Q109" s="7"/>
      <c r="R109" s="26"/>
      <c r="S109" s="7"/>
      <c r="T109" s="7"/>
      <c r="U109" s="7"/>
      <c r="V109" s="1" t="str">
        <f aca="false">IF($A109="","",IF(OR(D109="卖出",D109="分红"),IFERROR(INDEX($F$2:$F108,MATCH(2,1/($C$2:$C108=$C109))),""),""))</f>
        <v/>
      </c>
      <c r="W109" s="50" t="str">
        <f aca="false">IF($A109="","",IF(D109="买入",IF(AND(ISNUMBER(L109),L109&gt;0),(F109-L109)*G109,F109*0.08*G109),IF(AND(ISNUMBER(V109),V109&gt;0),IF(AND(ISNUMBER(L109),L109&gt;0),(V109-L109)*G109,V109*0.08*G109),0)))</f>
        <v/>
      </c>
      <c r="X109" s="51" t="str">
        <f aca="false">IF($A109="","",IF(D109="买入",0,IFERROR(IF(W109&lt;&gt;0,(H109-IFERROR(INDEX($H$2:$H108,MATCH(2,1/($C$2:$C108=$C109))),0))/W109,0),0)))</f>
        <v/>
      </c>
      <c r="Y109" s="51" t="str">
        <f aca="false">IF($A109="","",Y108+X109)</f>
        <v/>
      </c>
      <c r="Z109" s="1" t="str">
        <f aca="false">IF($A109="","",IF(X109&gt;0,IF(LEFT(Z108,1)="胜","胜"&amp;VALUE(RIGHT(Z108,LEN(Z108)-1))+1,"胜1"),IF(X109&lt;0,IF(LEFT(Z108,1)="亏","亏"&amp;VALUE(RIGHT(Z108,LEN(Z108)-1))+1,"亏1"),"平")))</f>
        <v/>
      </c>
      <c r="AA109" s="52" t="str">
        <f aca="false">IF($A109="","",MAX(0,(MAX($Y$2:Y109)-Y109)/MAX(1,MAX($Y$2:Y109))))</f>
        <v/>
      </c>
    </row>
    <row r="110" customFormat="false" ht="15" hidden="false" customHeight="true" outlineLevel="0" collapsed="false">
      <c r="A110" s="5"/>
      <c r="B110" s="5"/>
      <c r="C110" s="5"/>
      <c r="D110" s="11"/>
      <c r="E110" s="11"/>
      <c r="F110" s="14"/>
      <c r="G110" s="17"/>
      <c r="H110" s="15"/>
      <c r="I110" s="14"/>
      <c r="J110" s="17"/>
      <c r="K110" s="16"/>
      <c r="L110" s="14"/>
      <c r="M110" s="5"/>
      <c r="N110" s="5"/>
      <c r="O110" s="5"/>
      <c r="P110" s="5"/>
      <c r="Q110" s="5"/>
      <c r="R110" s="20"/>
      <c r="S110" s="5"/>
      <c r="T110" s="5"/>
      <c r="U110" s="5"/>
      <c r="V110" s="1" t="str">
        <f aca="false">IF($A110="","",IF(OR(D110="卖出",D110="分红"),IFERROR(INDEX($F$2:$F109,MATCH(2,1/($C$2:$C109=$C110))),""),""))</f>
        <v/>
      </c>
      <c r="W110" s="50" t="str">
        <f aca="false">IF($A110="","",IF(D110="买入",IF(AND(ISNUMBER(L110),L110&gt;0),(F110-L110)*G110,F110*0.08*G110),IF(AND(ISNUMBER(V110),V110&gt;0),IF(AND(ISNUMBER(L110),L110&gt;0),(V110-L110)*G110,V110*0.08*G110),0)))</f>
        <v/>
      </c>
      <c r="X110" s="51" t="str">
        <f aca="false">IF($A110="","",IF(D110="买入",0,IFERROR(IF(W110&lt;&gt;0,(H110-IFERROR(INDEX($H$2:$H109,MATCH(2,1/($C$2:$C109=$C110))),0))/W110,0),0)))</f>
        <v/>
      </c>
      <c r="Y110" s="51" t="str">
        <f aca="false">IF($A110="","",Y109+X110)</f>
        <v/>
      </c>
      <c r="Z110" s="1" t="str">
        <f aca="false">IF($A110="","",IF(X110&gt;0,IF(LEFT(Z109,1)="胜","胜"&amp;VALUE(RIGHT(Z109,LEN(Z109)-1))+1,"胜1"),IF(X110&lt;0,IF(LEFT(Z109,1)="亏","亏"&amp;VALUE(RIGHT(Z109,LEN(Z109)-1))+1,"亏1"),"平")))</f>
        <v/>
      </c>
      <c r="AA110" s="52" t="str">
        <f aca="false">IF($A110="","",MAX(0,(MAX($Y$2:Y110)-Y110)/MAX(1,MAX($Y$2:Y110))))</f>
        <v/>
      </c>
    </row>
    <row r="111" customFormat="false" ht="15" hidden="false" customHeight="true" outlineLevel="0" collapsed="false">
      <c r="A111" s="7"/>
      <c r="B111" s="7"/>
      <c r="C111" s="7"/>
      <c r="D111" s="12"/>
      <c r="E111" s="12"/>
      <c r="F111" s="24"/>
      <c r="G111" s="25"/>
      <c r="H111" s="15"/>
      <c r="I111" s="24"/>
      <c r="J111" s="25"/>
      <c r="K111" s="16"/>
      <c r="L111" s="24"/>
      <c r="M111" s="7"/>
      <c r="N111" s="7"/>
      <c r="O111" s="7"/>
      <c r="P111" s="7"/>
      <c r="Q111" s="7"/>
      <c r="R111" s="26"/>
      <c r="S111" s="7"/>
      <c r="T111" s="7"/>
      <c r="U111" s="7"/>
      <c r="V111" s="1" t="str">
        <f aca="false">IF($A111="","",IF(OR(D111="卖出",D111="分红"),IFERROR(INDEX($F$2:$F110,MATCH(2,1/($C$2:$C110=$C111))),""),""))</f>
        <v/>
      </c>
      <c r="W111" s="50" t="str">
        <f aca="false">IF($A111="","",IF(D111="买入",IF(AND(ISNUMBER(L111),L111&gt;0),(F111-L111)*G111,F111*0.08*G111),IF(AND(ISNUMBER(V111),V111&gt;0),IF(AND(ISNUMBER(L111),L111&gt;0),(V111-L111)*G111,V111*0.08*G111),0)))</f>
        <v/>
      </c>
      <c r="X111" s="51" t="str">
        <f aca="false">IF($A111="","",IF(D111="买入",0,IFERROR(IF(W111&lt;&gt;0,(H111-IFERROR(INDEX($H$2:$H110,MATCH(2,1/($C$2:$C110=$C111))),0))/W111,0),0)))</f>
        <v/>
      </c>
      <c r="Y111" s="51" t="str">
        <f aca="false">IF($A111="","",Y110+X111)</f>
        <v/>
      </c>
      <c r="Z111" s="1" t="str">
        <f aca="false">IF($A111="","",IF(X111&gt;0,IF(LEFT(Z110,1)="胜","胜"&amp;VALUE(RIGHT(Z110,LEN(Z110)-1))+1,"胜1"),IF(X111&lt;0,IF(LEFT(Z110,1)="亏","亏"&amp;VALUE(RIGHT(Z110,LEN(Z110)-1))+1,"亏1"),"平")))</f>
        <v/>
      </c>
      <c r="AA111" s="52" t="str">
        <f aca="false">IF($A111="","",MAX(0,(MAX($Y$2:Y111)-Y111)/MAX(1,MAX($Y$2:Y111))))</f>
        <v/>
      </c>
    </row>
    <row r="112" customFormat="false" ht="15" hidden="false" customHeight="true" outlineLevel="0" collapsed="false">
      <c r="A112" s="5"/>
      <c r="B112" s="5"/>
      <c r="C112" s="5"/>
      <c r="D112" s="11"/>
      <c r="E112" s="11"/>
      <c r="F112" s="14"/>
      <c r="G112" s="17"/>
      <c r="H112" s="15"/>
      <c r="I112" s="14"/>
      <c r="J112" s="17"/>
      <c r="K112" s="16"/>
      <c r="L112" s="14"/>
      <c r="M112" s="5"/>
      <c r="N112" s="5"/>
      <c r="O112" s="5"/>
      <c r="P112" s="5"/>
      <c r="Q112" s="5"/>
      <c r="R112" s="20"/>
      <c r="S112" s="5"/>
      <c r="T112" s="5"/>
      <c r="U112" s="5"/>
      <c r="V112" s="1" t="str">
        <f aca="false">IF($A112="","",IF(OR(D112="卖出",D112="分红"),IFERROR(INDEX($F$2:$F111,MATCH(2,1/($C$2:$C111=$C112))),""),""))</f>
        <v/>
      </c>
      <c r="W112" s="50" t="str">
        <f aca="false">IF($A112="","",IF(D112="买入",IF(AND(ISNUMBER(L112),L112&gt;0),(F112-L112)*G112,F112*0.08*G112),IF(AND(ISNUMBER(V112),V112&gt;0),IF(AND(ISNUMBER(L112),L112&gt;0),(V112-L112)*G112,V112*0.08*G112),0)))</f>
        <v/>
      </c>
      <c r="X112" s="51" t="str">
        <f aca="false">IF($A112="","",IF(D112="买入",0,IFERROR(IF(W112&lt;&gt;0,(H112-IFERROR(INDEX($H$2:$H111,MATCH(2,1/($C$2:$C111=$C112))),0))/W112,0),0)))</f>
        <v/>
      </c>
      <c r="Y112" s="51" t="str">
        <f aca="false">IF($A112="","",Y111+X112)</f>
        <v/>
      </c>
      <c r="Z112" s="1" t="str">
        <f aca="false">IF($A112="","",IF(X112&gt;0,IF(LEFT(Z111,1)="胜","胜"&amp;VALUE(RIGHT(Z111,LEN(Z111)-1))+1,"胜1"),IF(X112&lt;0,IF(LEFT(Z111,1)="亏","亏"&amp;VALUE(RIGHT(Z111,LEN(Z111)-1))+1,"亏1"),"平")))</f>
        <v/>
      </c>
      <c r="AA112" s="52" t="str">
        <f aca="false">IF($A112="","",MAX(0,(MAX($Y$2:Y112)-Y112)/MAX(1,MAX($Y$2:Y112))))</f>
        <v/>
      </c>
    </row>
    <row r="113" customFormat="false" ht="15" hidden="false" customHeight="true" outlineLevel="0" collapsed="false">
      <c r="A113" s="7"/>
      <c r="B113" s="7"/>
      <c r="C113" s="7"/>
      <c r="D113" s="12"/>
      <c r="E113" s="12"/>
      <c r="F113" s="24"/>
      <c r="G113" s="25"/>
      <c r="H113" s="15"/>
      <c r="I113" s="24"/>
      <c r="J113" s="25"/>
      <c r="K113" s="16"/>
      <c r="L113" s="24"/>
      <c r="M113" s="7"/>
      <c r="N113" s="7"/>
      <c r="O113" s="7"/>
      <c r="P113" s="7"/>
      <c r="Q113" s="7"/>
      <c r="R113" s="26"/>
      <c r="S113" s="7"/>
      <c r="T113" s="7"/>
      <c r="U113" s="7"/>
      <c r="V113" s="1" t="str">
        <f aca="false">IF($A113="","",IF(OR(D113="卖出",D113="分红"),IFERROR(INDEX($F$2:$F112,MATCH(2,1/($C$2:$C112=$C113))),""),""))</f>
        <v/>
      </c>
      <c r="W113" s="50" t="str">
        <f aca="false">IF($A113="","",IF(D113="买入",IF(AND(ISNUMBER(L113),L113&gt;0),(F113-L113)*G113,F113*0.08*G113),IF(AND(ISNUMBER(V113),V113&gt;0),IF(AND(ISNUMBER(L113),L113&gt;0),(V113-L113)*G113,V113*0.08*G113),0)))</f>
        <v/>
      </c>
      <c r="X113" s="51" t="str">
        <f aca="false">IF($A113="","",IF(D113="买入",0,IFERROR(IF(W113&lt;&gt;0,(H113-IFERROR(INDEX($H$2:$H112,MATCH(2,1/($C$2:$C112=$C113))),0))/W113,0),0)))</f>
        <v/>
      </c>
      <c r="Y113" s="51" t="str">
        <f aca="false">IF($A113="","",Y112+X113)</f>
        <v/>
      </c>
      <c r="Z113" s="1" t="str">
        <f aca="false">IF($A113="","",IF(X113&gt;0,IF(LEFT(Z112,1)="胜","胜"&amp;VALUE(RIGHT(Z112,LEN(Z112)-1))+1,"胜1"),IF(X113&lt;0,IF(LEFT(Z112,1)="亏","亏"&amp;VALUE(RIGHT(Z112,LEN(Z112)-1))+1,"亏1"),"平")))</f>
        <v/>
      </c>
      <c r="AA113" s="52" t="str">
        <f aca="false">IF($A113="","",MAX(0,(MAX($Y$2:Y113)-Y113)/MAX(1,MAX($Y$2:Y113))))</f>
        <v/>
      </c>
    </row>
    <row r="114" customFormat="false" ht="15" hidden="false" customHeight="true" outlineLevel="0" collapsed="false">
      <c r="A114" s="5"/>
      <c r="B114" s="5"/>
      <c r="C114" s="5"/>
      <c r="D114" s="11"/>
      <c r="E114" s="11"/>
      <c r="F114" s="14"/>
      <c r="G114" s="17"/>
      <c r="H114" s="15"/>
      <c r="I114" s="14"/>
      <c r="J114" s="17"/>
      <c r="K114" s="16"/>
      <c r="L114" s="14"/>
      <c r="M114" s="5"/>
      <c r="N114" s="5"/>
      <c r="O114" s="5"/>
      <c r="P114" s="5"/>
      <c r="Q114" s="5"/>
      <c r="R114" s="20"/>
      <c r="S114" s="5"/>
      <c r="T114" s="5"/>
      <c r="U114" s="5"/>
      <c r="V114" s="1" t="str">
        <f aca="false">IF($A114="","",IF(OR(D114="卖出",D114="分红"),IFERROR(INDEX($F$2:$F113,MATCH(2,1/($C$2:$C113=$C114))),""),""))</f>
        <v/>
      </c>
      <c r="W114" s="50" t="str">
        <f aca="false">IF($A114="","",IF(D114="买入",IF(AND(ISNUMBER(L114),L114&gt;0),(F114-L114)*G114,F114*0.08*G114),IF(AND(ISNUMBER(V114),V114&gt;0),IF(AND(ISNUMBER(L114),L114&gt;0),(V114-L114)*G114,V114*0.08*G114),0)))</f>
        <v/>
      </c>
      <c r="X114" s="51" t="str">
        <f aca="false">IF($A114="","",IF(D114="买入",0,IFERROR(IF(W114&lt;&gt;0,(H114-IFERROR(INDEX($H$2:$H113,MATCH(2,1/($C$2:$C113=$C114))),0))/W114,0),0)))</f>
        <v/>
      </c>
      <c r="Y114" s="51" t="str">
        <f aca="false">IF($A114="","",Y113+X114)</f>
        <v/>
      </c>
      <c r="Z114" s="1" t="str">
        <f aca="false">IF($A114="","",IF(X114&gt;0,IF(LEFT(Z113,1)="胜","胜"&amp;VALUE(RIGHT(Z113,LEN(Z113)-1))+1,"胜1"),IF(X114&lt;0,IF(LEFT(Z113,1)="亏","亏"&amp;VALUE(RIGHT(Z113,LEN(Z113)-1))+1,"亏1"),"平")))</f>
        <v/>
      </c>
      <c r="AA114" s="52" t="str">
        <f aca="false">IF($A114="","",MAX(0,(MAX($Y$2:Y114)-Y114)/MAX(1,MAX($Y$2:Y114))))</f>
        <v/>
      </c>
    </row>
    <row r="115" customFormat="false" ht="15" hidden="false" customHeight="true" outlineLevel="0" collapsed="false">
      <c r="A115" s="7"/>
      <c r="B115" s="7"/>
      <c r="C115" s="7"/>
      <c r="D115" s="12"/>
      <c r="E115" s="12"/>
      <c r="F115" s="24"/>
      <c r="G115" s="25"/>
      <c r="H115" s="15"/>
      <c r="I115" s="24"/>
      <c r="J115" s="25"/>
      <c r="K115" s="16"/>
      <c r="L115" s="24"/>
      <c r="M115" s="7"/>
      <c r="N115" s="7"/>
      <c r="O115" s="7"/>
      <c r="P115" s="7"/>
      <c r="Q115" s="7"/>
      <c r="R115" s="26"/>
      <c r="S115" s="7"/>
      <c r="T115" s="7"/>
      <c r="U115" s="7"/>
      <c r="V115" s="1" t="str">
        <f aca="false">IF($A115="","",IF(OR(D115="卖出",D115="分红"),IFERROR(INDEX($F$2:$F114,MATCH(2,1/($C$2:$C114=$C115))),""),""))</f>
        <v/>
      </c>
      <c r="W115" s="50" t="str">
        <f aca="false">IF($A115="","",IF(D115="买入",IF(AND(ISNUMBER(L115),L115&gt;0),(F115-L115)*G115,F115*0.08*G115),IF(AND(ISNUMBER(V115),V115&gt;0),IF(AND(ISNUMBER(L115),L115&gt;0),(V115-L115)*G115,V115*0.08*G115),0)))</f>
        <v/>
      </c>
      <c r="X115" s="51" t="str">
        <f aca="false">IF($A115="","",IF(D115="买入",0,IFERROR(IF(W115&lt;&gt;0,(H115-IFERROR(INDEX($H$2:$H114,MATCH(2,1/($C$2:$C114=$C115))),0))/W115,0),0)))</f>
        <v/>
      </c>
      <c r="Y115" s="51" t="str">
        <f aca="false">IF($A115="","",Y114+X115)</f>
        <v/>
      </c>
      <c r="Z115" s="1" t="str">
        <f aca="false">IF($A115="","",IF(X115&gt;0,IF(LEFT(Z114,1)="胜","胜"&amp;VALUE(RIGHT(Z114,LEN(Z114)-1))+1,"胜1"),IF(X115&lt;0,IF(LEFT(Z114,1)="亏","亏"&amp;VALUE(RIGHT(Z114,LEN(Z114)-1))+1,"亏1"),"平")))</f>
        <v/>
      </c>
      <c r="AA115" s="52" t="str">
        <f aca="false">IF($A115="","",MAX(0,(MAX($Y$2:Y115)-Y115)/MAX(1,MAX($Y$2:Y115))))</f>
        <v/>
      </c>
    </row>
    <row r="116" customFormat="false" ht="15" hidden="false" customHeight="true" outlineLevel="0" collapsed="false">
      <c r="A116" s="5"/>
      <c r="B116" s="5"/>
      <c r="C116" s="5"/>
      <c r="D116" s="11"/>
      <c r="E116" s="11"/>
      <c r="F116" s="14"/>
      <c r="G116" s="17"/>
      <c r="H116" s="15"/>
      <c r="I116" s="14"/>
      <c r="J116" s="17"/>
      <c r="K116" s="16"/>
      <c r="L116" s="14"/>
      <c r="M116" s="5"/>
      <c r="N116" s="5"/>
      <c r="O116" s="5"/>
      <c r="P116" s="5"/>
      <c r="Q116" s="5"/>
      <c r="R116" s="20"/>
      <c r="S116" s="5"/>
      <c r="T116" s="5"/>
      <c r="U116" s="5"/>
      <c r="V116" s="1" t="str">
        <f aca="false">IF($A116="","",IF(OR(D116="卖出",D116="分红"),IFERROR(INDEX($F$2:$F115,MATCH(2,1/($C$2:$C115=$C116))),""),""))</f>
        <v/>
      </c>
      <c r="W116" s="50" t="str">
        <f aca="false">IF($A116="","",IF(D116="买入",IF(AND(ISNUMBER(L116),L116&gt;0),(F116-L116)*G116,F116*0.08*G116),IF(AND(ISNUMBER(V116),V116&gt;0),IF(AND(ISNUMBER(L116),L116&gt;0),(V116-L116)*G116,V116*0.08*G116),0)))</f>
        <v/>
      </c>
      <c r="X116" s="51" t="str">
        <f aca="false">IF($A116="","",IF(D116="买入",0,IFERROR(IF(W116&lt;&gt;0,(H116-IFERROR(INDEX($H$2:$H115,MATCH(2,1/($C$2:$C115=$C116))),0))/W116,0),0)))</f>
        <v/>
      </c>
      <c r="Y116" s="51" t="str">
        <f aca="false">IF($A116="","",Y115+X116)</f>
        <v/>
      </c>
      <c r="Z116" s="1" t="str">
        <f aca="false">IF($A116="","",IF(X116&gt;0,IF(LEFT(Z115,1)="胜","胜"&amp;VALUE(RIGHT(Z115,LEN(Z115)-1))+1,"胜1"),IF(X116&lt;0,IF(LEFT(Z115,1)="亏","亏"&amp;VALUE(RIGHT(Z115,LEN(Z115)-1))+1,"亏1"),"平")))</f>
        <v/>
      </c>
      <c r="AA116" s="52" t="str">
        <f aca="false">IF($A116="","",MAX(0,(MAX($Y$2:Y116)-Y116)/MAX(1,MAX($Y$2:Y116))))</f>
        <v/>
      </c>
    </row>
    <row r="117" customFormat="false" ht="15" hidden="false" customHeight="true" outlineLevel="0" collapsed="false">
      <c r="A117" s="7"/>
      <c r="B117" s="7"/>
      <c r="C117" s="7"/>
      <c r="D117" s="12"/>
      <c r="E117" s="12"/>
      <c r="F117" s="24"/>
      <c r="G117" s="25"/>
      <c r="H117" s="15"/>
      <c r="I117" s="24"/>
      <c r="J117" s="25"/>
      <c r="K117" s="16"/>
      <c r="L117" s="24"/>
      <c r="M117" s="7"/>
      <c r="N117" s="7"/>
      <c r="O117" s="7"/>
      <c r="P117" s="7"/>
      <c r="Q117" s="7"/>
      <c r="R117" s="26"/>
      <c r="S117" s="7"/>
      <c r="T117" s="7"/>
      <c r="U117" s="7"/>
      <c r="V117" s="1" t="str">
        <f aca="false">IF($A117="","",IF(OR(D117="卖出",D117="分红"),IFERROR(INDEX($F$2:$F116,MATCH(2,1/($C$2:$C116=$C117))),""),""))</f>
        <v/>
      </c>
      <c r="W117" s="50" t="str">
        <f aca="false">IF($A117="","",IF(D117="买入",IF(AND(ISNUMBER(L117),L117&gt;0),(F117-L117)*G117,F117*0.08*G117),IF(AND(ISNUMBER(V117),V117&gt;0),IF(AND(ISNUMBER(L117),L117&gt;0),(V117-L117)*G117,V117*0.08*G117),0)))</f>
        <v/>
      </c>
      <c r="X117" s="51" t="str">
        <f aca="false">IF($A117="","",IF(D117="买入",0,IFERROR(IF(W117&lt;&gt;0,(H117-IFERROR(INDEX($H$2:$H116,MATCH(2,1/($C$2:$C116=$C117))),0))/W117,0),0)))</f>
        <v/>
      </c>
      <c r="Y117" s="51" t="str">
        <f aca="false">IF($A117="","",Y116+X117)</f>
        <v/>
      </c>
      <c r="Z117" s="1" t="str">
        <f aca="false">IF($A117="","",IF(X117&gt;0,IF(LEFT(Z116,1)="胜","胜"&amp;VALUE(RIGHT(Z116,LEN(Z116)-1))+1,"胜1"),IF(X117&lt;0,IF(LEFT(Z116,1)="亏","亏"&amp;VALUE(RIGHT(Z116,LEN(Z116)-1))+1,"亏1"),"平")))</f>
        <v/>
      </c>
      <c r="AA117" s="52" t="str">
        <f aca="false">IF($A117="","",MAX(0,(MAX($Y$2:Y117)-Y117)/MAX(1,MAX($Y$2:Y117))))</f>
        <v/>
      </c>
    </row>
    <row r="118" customFormat="false" ht="15" hidden="false" customHeight="true" outlineLevel="0" collapsed="false">
      <c r="A118" s="5"/>
      <c r="B118" s="5"/>
      <c r="C118" s="5"/>
      <c r="D118" s="11"/>
      <c r="E118" s="11"/>
      <c r="F118" s="14"/>
      <c r="G118" s="17"/>
      <c r="H118" s="15"/>
      <c r="I118" s="14"/>
      <c r="J118" s="17"/>
      <c r="K118" s="16"/>
      <c r="L118" s="14"/>
      <c r="M118" s="5"/>
      <c r="N118" s="5"/>
      <c r="O118" s="5"/>
      <c r="P118" s="5"/>
      <c r="Q118" s="5"/>
      <c r="R118" s="20"/>
      <c r="S118" s="5"/>
      <c r="T118" s="5"/>
      <c r="U118" s="5"/>
      <c r="V118" s="1" t="str">
        <f aca="false">IF($A118="","",IF(OR(D118="卖出",D118="分红"),IFERROR(INDEX($F$2:$F117,MATCH(2,1/($C$2:$C117=$C118))),""),""))</f>
        <v/>
      </c>
      <c r="W118" s="50" t="str">
        <f aca="false">IF($A118="","",IF(D118="买入",IF(AND(ISNUMBER(L118),L118&gt;0),(F118-L118)*G118,F118*0.08*G118),IF(AND(ISNUMBER(V118),V118&gt;0),IF(AND(ISNUMBER(L118),L118&gt;0),(V118-L118)*G118,V118*0.08*G118),0)))</f>
        <v/>
      </c>
      <c r="X118" s="51" t="str">
        <f aca="false">IF($A118="","",IF(D118="买入",0,IFERROR(IF(W118&lt;&gt;0,(H118-IFERROR(INDEX($H$2:$H117,MATCH(2,1/($C$2:$C117=$C118))),0))/W118,0),0)))</f>
        <v/>
      </c>
      <c r="Y118" s="51" t="str">
        <f aca="false">IF($A118="","",Y117+X118)</f>
        <v/>
      </c>
      <c r="Z118" s="1" t="str">
        <f aca="false">IF($A118="","",IF(X118&gt;0,IF(LEFT(Z117,1)="胜","胜"&amp;VALUE(RIGHT(Z117,LEN(Z117)-1))+1,"胜1"),IF(X118&lt;0,IF(LEFT(Z117,1)="亏","亏"&amp;VALUE(RIGHT(Z117,LEN(Z117)-1))+1,"亏1"),"平")))</f>
        <v/>
      </c>
      <c r="AA118" s="52" t="str">
        <f aca="false">IF($A118="","",MAX(0,(MAX($Y$2:Y118)-Y118)/MAX(1,MAX($Y$2:Y118))))</f>
        <v/>
      </c>
    </row>
    <row r="119" customFormat="false" ht="15" hidden="false" customHeight="true" outlineLevel="0" collapsed="false">
      <c r="A119" s="7"/>
      <c r="B119" s="7"/>
      <c r="C119" s="7"/>
      <c r="D119" s="12"/>
      <c r="E119" s="12"/>
      <c r="F119" s="24"/>
      <c r="G119" s="25"/>
      <c r="H119" s="15"/>
      <c r="I119" s="24"/>
      <c r="J119" s="25"/>
      <c r="K119" s="16"/>
      <c r="L119" s="24"/>
      <c r="M119" s="7"/>
      <c r="N119" s="7"/>
      <c r="O119" s="7"/>
      <c r="P119" s="7"/>
      <c r="Q119" s="7"/>
      <c r="R119" s="26"/>
      <c r="S119" s="7"/>
      <c r="T119" s="7"/>
      <c r="U119" s="7"/>
      <c r="V119" s="1" t="str">
        <f aca="false">IF($A119="","",IF(OR(D119="卖出",D119="分红"),IFERROR(INDEX($F$2:$F118,MATCH(2,1/($C$2:$C118=$C119))),""),""))</f>
        <v/>
      </c>
      <c r="W119" s="50" t="str">
        <f aca="false">IF($A119="","",IF(D119="买入",IF(AND(ISNUMBER(L119),L119&gt;0),(F119-L119)*G119,F119*0.08*G119),IF(AND(ISNUMBER(V119),V119&gt;0),IF(AND(ISNUMBER(L119),L119&gt;0),(V119-L119)*G119,V119*0.08*G119),0)))</f>
        <v/>
      </c>
      <c r="X119" s="51" t="str">
        <f aca="false">IF($A119="","",IF(D119="买入",0,IFERROR(IF(W119&lt;&gt;0,(H119-IFERROR(INDEX($H$2:$H118,MATCH(2,1/($C$2:$C118=$C119))),0))/W119,0),0)))</f>
        <v/>
      </c>
      <c r="Y119" s="51" t="str">
        <f aca="false">IF($A119="","",Y118+X119)</f>
        <v/>
      </c>
      <c r="Z119" s="1" t="str">
        <f aca="false">IF($A119="","",IF(X119&gt;0,IF(LEFT(Z118,1)="胜","胜"&amp;VALUE(RIGHT(Z118,LEN(Z118)-1))+1,"胜1"),IF(X119&lt;0,IF(LEFT(Z118,1)="亏","亏"&amp;VALUE(RIGHT(Z118,LEN(Z118)-1))+1,"亏1"),"平")))</f>
        <v/>
      </c>
      <c r="AA119" s="52" t="str">
        <f aca="false">IF($A119="","",MAX(0,(MAX($Y$2:Y119)-Y119)/MAX(1,MAX($Y$2:Y119))))</f>
        <v/>
      </c>
    </row>
    <row r="120" customFormat="false" ht="15" hidden="false" customHeight="true" outlineLevel="0" collapsed="false">
      <c r="A120" s="5"/>
      <c r="B120" s="5"/>
      <c r="C120" s="5"/>
      <c r="D120" s="11"/>
      <c r="E120" s="11"/>
      <c r="F120" s="14"/>
      <c r="G120" s="17"/>
      <c r="H120" s="15"/>
      <c r="I120" s="14"/>
      <c r="J120" s="17"/>
      <c r="K120" s="16"/>
      <c r="L120" s="14"/>
      <c r="M120" s="5"/>
      <c r="N120" s="5"/>
      <c r="O120" s="5"/>
      <c r="P120" s="5"/>
      <c r="Q120" s="5"/>
      <c r="R120" s="20"/>
      <c r="S120" s="5"/>
      <c r="T120" s="5"/>
      <c r="U120" s="5"/>
      <c r="V120" s="1" t="str">
        <f aca="false">IF($A120="","",IF(OR(D120="卖出",D120="分红"),IFERROR(INDEX($F$2:$F119,MATCH(2,1/($C$2:$C119=$C120))),""),""))</f>
        <v/>
      </c>
      <c r="W120" s="50" t="str">
        <f aca="false">IF($A120="","",IF(D120="买入",IF(AND(ISNUMBER(L120),L120&gt;0),(F120-L120)*G120,F120*0.08*G120),IF(AND(ISNUMBER(V120),V120&gt;0),IF(AND(ISNUMBER(L120),L120&gt;0),(V120-L120)*G120,V120*0.08*G120),0)))</f>
        <v/>
      </c>
      <c r="X120" s="51" t="str">
        <f aca="false">IF($A120="","",IF(D120="买入",0,IFERROR(IF(W120&lt;&gt;0,(H120-IFERROR(INDEX($H$2:$H119,MATCH(2,1/($C$2:$C119=$C120))),0))/W120,0),0)))</f>
        <v/>
      </c>
      <c r="Y120" s="51" t="str">
        <f aca="false">IF($A120="","",Y119+X120)</f>
        <v/>
      </c>
      <c r="Z120" s="1" t="str">
        <f aca="false">IF($A120="","",IF(X120&gt;0,IF(LEFT(Z119,1)="胜","胜"&amp;VALUE(RIGHT(Z119,LEN(Z119)-1))+1,"胜1"),IF(X120&lt;0,IF(LEFT(Z119,1)="亏","亏"&amp;VALUE(RIGHT(Z119,LEN(Z119)-1))+1,"亏1"),"平")))</f>
        <v/>
      </c>
      <c r="AA120" s="52" t="str">
        <f aca="false">IF($A120="","",MAX(0,(MAX($Y$2:Y120)-Y120)/MAX(1,MAX($Y$2:Y120))))</f>
        <v/>
      </c>
    </row>
    <row r="121" customFormat="false" ht="15" hidden="false" customHeight="true" outlineLevel="0" collapsed="false">
      <c r="A121" s="7"/>
      <c r="B121" s="7"/>
      <c r="C121" s="7"/>
      <c r="D121" s="12"/>
      <c r="E121" s="12"/>
      <c r="F121" s="24"/>
      <c r="G121" s="25"/>
      <c r="H121" s="15"/>
      <c r="I121" s="24"/>
      <c r="J121" s="25"/>
      <c r="K121" s="16"/>
      <c r="L121" s="24"/>
      <c r="M121" s="7"/>
      <c r="N121" s="7"/>
      <c r="O121" s="7"/>
      <c r="P121" s="7"/>
      <c r="Q121" s="7"/>
      <c r="R121" s="26"/>
      <c r="S121" s="7"/>
      <c r="T121" s="7"/>
      <c r="U121" s="7"/>
      <c r="V121" s="1" t="str">
        <f aca="false">IF($A121="","",IF(OR(D121="卖出",D121="分红"),IFERROR(INDEX($F$2:$F120,MATCH(2,1/($C$2:$C120=$C121))),""),""))</f>
        <v/>
      </c>
      <c r="W121" s="50" t="str">
        <f aca="false">IF($A121="","",IF(D121="买入",IF(AND(ISNUMBER(L121),L121&gt;0),(F121-L121)*G121,F121*0.08*G121),IF(AND(ISNUMBER(V121),V121&gt;0),IF(AND(ISNUMBER(L121),L121&gt;0),(V121-L121)*G121,V121*0.08*G121),0)))</f>
        <v/>
      </c>
      <c r="X121" s="51" t="str">
        <f aca="false">IF($A121="","",IF(D121="买入",0,IFERROR(IF(W121&lt;&gt;0,(H121-IFERROR(INDEX($H$2:$H120,MATCH(2,1/($C$2:$C120=$C121))),0))/W121,0),0)))</f>
        <v/>
      </c>
      <c r="Y121" s="51" t="str">
        <f aca="false">IF($A121="","",Y120+X121)</f>
        <v/>
      </c>
      <c r="Z121" s="1" t="str">
        <f aca="false">IF($A121="","",IF(X121&gt;0,IF(LEFT(Z120,1)="胜","胜"&amp;VALUE(RIGHT(Z120,LEN(Z120)-1))+1,"胜1"),IF(X121&lt;0,IF(LEFT(Z120,1)="亏","亏"&amp;VALUE(RIGHT(Z120,LEN(Z120)-1))+1,"亏1"),"平")))</f>
        <v/>
      </c>
      <c r="AA121" s="52" t="str">
        <f aca="false">IF($A121="","",MAX(0,(MAX($Y$2:Y121)-Y121)/MAX(1,MAX($Y$2:Y121))))</f>
        <v/>
      </c>
    </row>
    <row r="122" customFormat="false" ht="15" hidden="false" customHeight="true" outlineLevel="0" collapsed="false">
      <c r="A122" s="5"/>
      <c r="B122" s="5"/>
      <c r="C122" s="5"/>
      <c r="D122" s="11"/>
      <c r="E122" s="11"/>
      <c r="F122" s="14"/>
      <c r="G122" s="17"/>
      <c r="H122" s="15"/>
      <c r="I122" s="14"/>
      <c r="J122" s="17"/>
      <c r="K122" s="16"/>
      <c r="L122" s="14"/>
      <c r="M122" s="5"/>
      <c r="N122" s="5"/>
      <c r="O122" s="5"/>
      <c r="P122" s="5"/>
      <c r="Q122" s="5"/>
      <c r="R122" s="20"/>
      <c r="S122" s="5"/>
      <c r="T122" s="5"/>
      <c r="U122" s="5"/>
      <c r="V122" s="1" t="str">
        <f aca="false">IF($A122="","",IF(OR(D122="卖出",D122="分红"),IFERROR(INDEX($F$2:$F121,MATCH(2,1/($C$2:$C121=$C122))),""),""))</f>
        <v/>
      </c>
      <c r="W122" s="50" t="str">
        <f aca="false">IF($A122="","",IF(D122="买入",IF(AND(ISNUMBER(L122),L122&gt;0),(F122-L122)*G122,F122*0.08*G122),IF(AND(ISNUMBER(V122),V122&gt;0),IF(AND(ISNUMBER(L122),L122&gt;0),(V122-L122)*G122,V122*0.08*G122),0)))</f>
        <v/>
      </c>
      <c r="X122" s="51" t="str">
        <f aca="false">IF($A122="","",IF(D122="买入",0,IFERROR(IF(W122&lt;&gt;0,(H122-IFERROR(INDEX($H$2:$H121,MATCH(2,1/($C$2:$C121=$C122))),0))/W122,0),0)))</f>
        <v/>
      </c>
      <c r="Y122" s="51" t="str">
        <f aca="false">IF($A122="","",Y121+X122)</f>
        <v/>
      </c>
      <c r="Z122" s="1" t="str">
        <f aca="false">IF($A122="","",IF(X122&gt;0,IF(LEFT(Z121,1)="胜","胜"&amp;VALUE(RIGHT(Z121,LEN(Z121)-1))+1,"胜1"),IF(X122&lt;0,IF(LEFT(Z121,1)="亏","亏"&amp;VALUE(RIGHT(Z121,LEN(Z121)-1))+1,"亏1"),"平")))</f>
        <v/>
      </c>
      <c r="AA122" s="52" t="str">
        <f aca="false">IF($A122="","",MAX(0,(MAX($Y$2:Y122)-Y122)/MAX(1,MAX($Y$2:Y122))))</f>
        <v/>
      </c>
    </row>
    <row r="123" customFormat="false" ht="15" hidden="false" customHeight="true" outlineLevel="0" collapsed="false">
      <c r="A123" s="7"/>
      <c r="B123" s="7"/>
      <c r="C123" s="7"/>
      <c r="D123" s="12"/>
      <c r="E123" s="12"/>
      <c r="F123" s="24"/>
      <c r="G123" s="25"/>
      <c r="H123" s="15"/>
      <c r="I123" s="24"/>
      <c r="J123" s="25"/>
      <c r="K123" s="16"/>
      <c r="L123" s="24"/>
      <c r="M123" s="7"/>
      <c r="N123" s="7"/>
      <c r="O123" s="7"/>
      <c r="P123" s="7"/>
      <c r="Q123" s="7"/>
      <c r="R123" s="26"/>
      <c r="S123" s="7"/>
      <c r="T123" s="7"/>
      <c r="U123" s="7"/>
      <c r="V123" s="1" t="str">
        <f aca="false">IF($A123="","",IF(OR(D123="卖出",D123="分红"),IFERROR(INDEX($F$2:$F122,MATCH(2,1/($C$2:$C122=$C123))),""),""))</f>
        <v/>
      </c>
      <c r="W123" s="50" t="str">
        <f aca="false">IF($A123="","",IF(D123="买入",IF(AND(ISNUMBER(L123),L123&gt;0),(F123-L123)*G123,F123*0.08*G123),IF(AND(ISNUMBER(V123),V123&gt;0),IF(AND(ISNUMBER(L123),L123&gt;0),(V123-L123)*G123,V123*0.08*G123),0)))</f>
        <v/>
      </c>
      <c r="X123" s="51" t="str">
        <f aca="false">IF($A123="","",IF(D123="买入",0,IFERROR(IF(W123&lt;&gt;0,(H123-IFERROR(INDEX($H$2:$H122,MATCH(2,1/($C$2:$C122=$C123))),0))/W123,0),0)))</f>
        <v/>
      </c>
      <c r="Y123" s="51" t="str">
        <f aca="false">IF($A123="","",Y122+X123)</f>
        <v/>
      </c>
      <c r="Z123" s="1" t="str">
        <f aca="false">IF($A123="","",IF(X123&gt;0,IF(LEFT(Z122,1)="胜","胜"&amp;VALUE(RIGHT(Z122,LEN(Z122)-1))+1,"胜1"),IF(X123&lt;0,IF(LEFT(Z122,1)="亏","亏"&amp;VALUE(RIGHT(Z122,LEN(Z122)-1))+1,"亏1"),"平")))</f>
        <v/>
      </c>
      <c r="AA123" s="52" t="str">
        <f aca="false">IF($A123="","",MAX(0,(MAX($Y$2:Y123)-Y123)/MAX(1,MAX($Y$2:Y123))))</f>
        <v/>
      </c>
    </row>
    <row r="124" customFormat="false" ht="15" hidden="false" customHeight="true" outlineLevel="0" collapsed="false">
      <c r="A124" s="5"/>
      <c r="B124" s="5"/>
      <c r="C124" s="5"/>
      <c r="D124" s="11"/>
      <c r="E124" s="11"/>
      <c r="F124" s="14"/>
      <c r="G124" s="17"/>
      <c r="H124" s="15"/>
      <c r="I124" s="14"/>
      <c r="J124" s="17"/>
      <c r="K124" s="16"/>
      <c r="L124" s="14"/>
      <c r="M124" s="5"/>
      <c r="N124" s="5"/>
      <c r="O124" s="5"/>
      <c r="P124" s="5"/>
      <c r="Q124" s="5"/>
      <c r="R124" s="20"/>
      <c r="S124" s="5"/>
      <c r="T124" s="5"/>
      <c r="U124" s="5"/>
      <c r="V124" s="1" t="str">
        <f aca="false">IF($A124="","",IF(OR(D124="卖出",D124="分红"),IFERROR(INDEX($F$2:$F123,MATCH(2,1/($C$2:$C123=$C124))),""),""))</f>
        <v/>
      </c>
      <c r="W124" s="50" t="str">
        <f aca="false">IF($A124="","",IF(D124="买入",IF(AND(ISNUMBER(L124),L124&gt;0),(F124-L124)*G124,F124*0.08*G124),IF(AND(ISNUMBER(V124),V124&gt;0),IF(AND(ISNUMBER(L124),L124&gt;0),(V124-L124)*G124,V124*0.08*G124),0)))</f>
        <v/>
      </c>
      <c r="X124" s="51" t="str">
        <f aca="false">IF($A124="","",IF(D124="买入",0,IFERROR(IF(W124&lt;&gt;0,(H124-IFERROR(INDEX($H$2:$H123,MATCH(2,1/($C$2:$C123=$C124))),0))/W124,0),0)))</f>
        <v/>
      </c>
      <c r="Y124" s="51" t="str">
        <f aca="false">IF($A124="","",Y123+X124)</f>
        <v/>
      </c>
      <c r="Z124" s="1" t="str">
        <f aca="false">IF($A124="","",IF(X124&gt;0,IF(LEFT(Z123,1)="胜","胜"&amp;VALUE(RIGHT(Z123,LEN(Z123)-1))+1,"胜1"),IF(X124&lt;0,IF(LEFT(Z123,1)="亏","亏"&amp;VALUE(RIGHT(Z123,LEN(Z123)-1))+1,"亏1"),"平")))</f>
        <v/>
      </c>
      <c r="AA124" s="52" t="str">
        <f aca="false">IF($A124="","",MAX(0,(MAX($Y$2:Y124)-Y124)/MAX(1,MAX($Y$2:Y124))))</f>
        <v/>
      </c>
    </row>
    <row r="125" customFormat="false" ht="15" hidden="false" customHeight="true" outlineLevel="0" collapsed="false">
      <c r="A125" s="7"/>
      <c r="B125" s="7"/>
      <c r="C125" s="7"/>
      <c r="D125" s="12"/>
      <c r="E125" s="12"/>
      <c r="F125" s="24"/>
      <c r="G125" s="25"/>
      <c r="H125" s="15"/>
      <c r="I125" s="24"/>
      <c r="J125" s="25"/>
      <c r="K125" s="16"/>
      <c r="L125" s="24"/>
      <c r="M125" s="7"/>
      <c r="N125" s="7"/>
      <c r="O125" s="7"/>
      <c r="P125" s="7"/>
      <c r="Q125" s="7"/>
      <c r="R125" s="26"/>
      <c r="S125" s="7"/>
      <c r="T125" s="7"/>
      <c r="U125" s="7"/>
      <c r="V125" s="1" t="str">
        <f aca="false">IF($A125="","",IF(OR(D125="卖出",D125="分红"),IFERROR(INDEX($F$2:$F124,MATCH(2,1/($C$2:$C124=$C125))),""),""))</f>
        <v/>
      </c>
      <c r="W125" s="50" t="str">
        <f aca="false">IF($A125="","",IF(D125="买入",IF(AND(ISNUMBER(L125),L125&gt;0),(F125-L125)*G125,F125*0.08*G125),IF(AND(ISNUMBER(V125),V125&gt;0),IF(AND(ISNUMBER(L125),L125&gt;0),(V125-L125)*G125,V125*0.08*G125),0)))</f>
        <v/>
      </c>
      <c r="X125" s="51" t="str">
        <f aca="false">IF($A125="","",IF(D125="买入",0,IFERROR(IF(W125&lt;&gt;0,(H125-IFERROR(INDEX($H$2:$H124,MATCH(2,1/($C$2:$C124=$C125))),0))/W125,0),0)))</f>
        <v/>
      </c>
      <c r="Y125" s="51" t="str">
        <f aca="false">IF($A125="","",Y124+X125)</f>
        <v/>
      </c>
      <c r="Z125" s="1" t="str">
        <f aca="false">IF($A125="","",IF(X125&gt;0,IF(LEFT(Z124,1)="胜","胜"&amp;VALUE(RIGHT(Z124,LEN(Z124)-1))+1,"胜1"),IF(X125&lt;0,IF(LEFT(Z124,1)="亏","亏"&amp;VALUE(RIGHT(Z124,LEN(Z124)-1))+1,"亏1"),"平")))</f>
        <v/>
      </c>
      <c r="AA125" s="52" t="str">
        <f aca="false">IF($A125="","",MAX(0,(MAX($Y$2:Y125)-Y125)/MAX(1,MAX($Y$2:Y125))))</f>
        <v/>
      </c>
    </row>
    <row r="126" customFormat="false" ht="15" hidden="false" customHeight="true" outlineLevel="0" collapsed="false">
      <c r="A126" s="5"/>
      <c r="B126" s="5"/>
      <c r="C126" s="5"/>
      <c r="D126" s="11"/>
      <c r="E126" s="11"/>
      <c r="F126" s="14"/>
      <c r="G126" s="17"/>
      <c r="H126" s="15"/>
      <c r="I126" s="14"/>
      <c r="J126" s="17"/>
      <c r="K126" s="16"/>
      <c r="L126" s="14"/>
      <c r="M126" s="5"/>
      <c r="N126" s="5"/>
      <c r="O126" s="5"/>
      <c r="P126" s="5"/>
      <c r="Q126" s="5"/>
      <c r="R126" s="20"/>
      <c r="S126" s="5"/>
      <c r="T126" s="5"/>
      <c r="U126" s="5"/>
      <c r="V126" s="1" t="str">
        <f aca="false">IF($A126="","",IF(OR(D126="卖出",D126="分红"),IFERROR(INDEX($F$2:$F125,MATCH(2,1/($C$2:$C125=$C126))),""),""))</f>
        <v/>
      </c>
      <c r="W126" s="50" t="str">
        <f aca="false">IF($A126="","",IF(D126="买入",IF(AND(ISNUMBER(L126),L126&gt;0),(F126-L126)*G126,F126*0.08*G126),IF(AND(ISNUMBER(V126),V126&gt;0),IF(AND(ISNUMBER(L126),L126&gt;0),(V126-L126)*G126,V126*0.08*G126),0)))</f>
        <v/>
      </c>
      <c r="X126" s="51" t="str">
        <f aca="false">IF($A126="","",IF(D126="买入",0,IFERROR(IF(W126&lt;&gt;0,(H126-IFERROR(INDEX($H$2:$H125,MATCH(2,1/($C$2:$C125=$C126))),0))/W126,0),0)))</f>
        <v/>
      </c>
      <c r="Y126" s="51" t="str">
        <f aca="false">IF($A126="","",Y125+X126)</f>
        <v/>
      </c>
      <c r="Z126" s="1" t="str">
        <f aca="false">IF($A126="","",IF(X126&gt;0,IF(LEFT(Z125,1)="胜","胜"&amp;VALUE(RIGHT(Z125,LEN(Z125)-1))+1,"胜1"),IF(X126&lt;0,IF(LEFT(Z125,1)="亏","亏"&amp;VALUE(RIGHT(Z125,LEN(Z125)-1))+1,"亏1"),"平")))</f>
        <v/>
      </c>
      <c r="AA126" s="52" t="str">
        <f aca="false">IF($A126="","",MAX(0,(MAX($Y$2:Y126)-Y126)/MAX(1,MAX($Y$2:Y126))))</f>
        <v/>
      </c>
    </row>
    <row r="127" customFormat="false" ht="15" hidden="false" customHeight="true" outlineLevel="0" collapsed="false">
      <c r="A127" s="7"/>
      <c r="B127" s="7"/>
      <c r="C127" s="7"/>
      <c r="D127" s="12"/>
      <c r="E127" s="12"/>
      <c r="F127" s="24"/>
      <c r="G127" s="25"/>
      <c r="H127" s="15"/>
      <c r="I127" s="24"/>
      <c r="J127" s="25"/>
      <c r="K127" s="16"/>
      <c r="L127" s="24"/>
      <c r="M127" s="7"/>
      <c r="N127" s="7"/>
      <c r="O127" s="7"/>
      <c r="P127" s="7"/>
      <c r="Q127" s="7"/>
      <c r="R127" s="26"/>
      <c r="S127" s="7"/>
      <c r="T127" s="7"/>
      <c r="U127" s="7"/>
      <c r="V127" s="1" t="str">
        <f aca="false">IF($A127="","",IF(OR(D127="卖出",D127="分红"),IFERROR(INDEX($F$2:$F126,MATCH(2,1/($C$2:$C126=$C127))),""),""))</f>
        <v/>
      </c>
      <c r="W127" s="50" t="str">
        <f aca="false">IF($A127="","",IF(D127="买入",IF(AND(ISNUMBER(L127),L127&gt;0),(F127-L127)*G127,F127*0.08*G127),IF(AND(ISNUMBER(V127),V127&gt;0),IF(AND(ISNUMBER(L127),L127&gt;0),(V127-L127)*G127,V127*0.08*G127),0)))</f>
        <v/>
      </c>
      <c r="X127" s="51" t="str">
        <f aca="false">IF($A127="","",IF(D127="买入",0,IFERROR(IF(W127&lt;&gt;0,(H127-IFERROR(INDEX($H$2:$H126,MATCH(2,1/($C$2:$C126=$C127))),0))/W127,0),0)))</f>
        <v/>
      </c>
      <c r="Y127" s="51" t="str">
        <f aca="false">IF($A127="","",Y126+X127)</f>
        <v/>
      </c>
      <c r="Z127" s="1" t="str">
        <f aca="false">IF($A127="","",IF(X127&gt;0,IF(LEFT(Z126,1)="胜","胜"&amp;VALUE(RIGHT(Z126,LEN(Z126)-1))+1,"胜1"),IF(X127&lt;0,IF(LEFT(Z126,1)="亏","亏"&amp;VALUE(RIGHT(Z126,LEN(Z126)-1))+1,"亏1"),"平")))</f>
        <v/>
      </c>
      <c r="AA127" s="52" t="str">
        <f aca="false">IF($A127="","",MAX(0,(MAX($Y$2:Y127)-Y127)/MAX(1,MAX($Y$2:Y127))))</f>
        <v/>
      </c>
    </row>
    <row r="128" customFormat="false" ht="15" hidden="false" customHeight="true" outlineLevel="0" collapsed="false">
      <c r="A128" s="5"/>
      <c r="B128" s="5"/>
      <c r="C128" s="5"/>
      <c r="D128" s="11"/>
      <c r="E128" s="11"/>
      <c r="F128" s="14"/>
      <c r="G128" s="17"/>
      <c r="H128" s="15"/>
      <c r="I128" s="14"/>
      <c r="J128" s="17"/>
      <c r="K128" s="16"/>
      <c r="L128" s="14"/>
      <c r="M128" s="5"/>
      <c r="N128" s="5"/>
      <c r="O128" s="5"/>
      <c r="P128" s="5"/>
      <c r="Q128" s="5"/>
      <c r="R128" s="20"/>
      <c r="S128" s="5"/>
      <c r="T128" s="5"/>
      <c r="U128" s="5"/>
      <c r="V128" s="1" t="str">
        <f aca="false">IF($A128="","",IF(OR(D128="卖出",D128="分红"),IFERROR(INDEX($F$2:$F127,MATCH(2,1/($C$2:$C127=$C128))),""),""))</f>
        <v/>
      </c>
      <c r="W128" s="50" t="str">
        <f aca="false">IF($A128="","",IF(D128="买入",IF(AND(ISNUMBER(L128),L128&gt;0),(F128-L128)*G128,F128*0.08*G128),IF(AND(ISNUMBER(V128),V128&gt;0),IF(AND(ISNUMBER(L128),L128&gt;0),(V128-L128)*G128,V128*0.08*G128),0)))</f>
        <v/>
      </c>
      <c r="X128" s="51" t="str">
        <f aca="false">IF($A128="","",IF(D128="买入",0,IFERROR(IF(W128&lt;&gt;0,(H128-IFERROR(INDEX($H$2:$H127,MATCH(2,1/($C$2:$C127=$C128))),0))/W128,0),0)))</f>
        <v/>
      </c>
      <c r="Y128" s="51" t="str">
        <f aca="false">IF($A128="","",Y127+X128)</f>
        <v/>
      </c>
      <c r="Z128" s="1" t="str">
        <f aca="false">IF($A128="","",IF(X128&gt;0,IF(LEFT(Z127,1)="胜","胜"&amp;VALUE(RIGHT(Z127,LEN(Z127)-1))+1,"胜1"),IF(X128&lt;0,IF(LEFT(Z127,1)="亏","亏"&amp;VALUE(RIGHT(Z127,LEN(Z127)-1))+1,"亏1"),"平")))</f>
        <v/>
      </c>
      <c r="AA128" s="52" t="str">
        <f aca="false">IF($A128="","",MAX(0,(MAX($Y$2:Y128)-Y128)/MAX(1,MAX($Y$2:Y128))))</f>
        <v/>
      </c>
    </row>
    <row r="129" customFormat="false" ht="15" hidden="false" customHeight="true" outlineLevel="0" collapsed="false">
      <c r="A129" s="7"/>
      <c r="B129" s="7"/>
      <c r="C129" s="7"/>
      <c r="D129" s="12"/>
      <c r="E129" s="12"/>
      <c r="F129" s="24"/>
      <c r="G129" s="25"/>
      <c r="H129" s="15"/>
      <c r="I129" s="24"/>
      <c r="J129" s="25"/>
      <c r="K129" s="16"/>
      <c r="L129" s="24"/>
      <c r="M129" s="7"/>
      <c r="N129" s="7"/>
      <c r="O129" s="7"/>
      <c r="P129" s="7"/>
      <c r="Q129" s="7"/>
      <c r="R129" s="26"/>
      <c r="S129" s="7"/>
      <c r="T129" s="7"/>
      <c r="U129" s="7"/>
      <c r="V129" s="1" t="str">
        <f aca="false">IF($A129="","",IF(OR(D129="卖出",D129="分红"),IFERROR(INDEX($F$2:$F128,MATCH(2,1/($C$2:$C128=$C129))),""),""))</f>
        <v/>
      </c>
      <c r="W129" s="50" t="str">
        <f aca="false">IF($A129="","",IF(D129="买入",IF(AND(ISNUMBER(L129),L129&gt;0),(F129-L129)*G129,F129*0.08*G129),IF(AND(ISNUMBER(V129),V129&gt;0),IF(AND(ISNUMBER(L129),L129&gt;0),(V129-L129)*G129,V129*0.08*G129),0)))</f>
        <v/>
      </c>
      <c r="X129" s="51" t="str">
        <f aca="false">IF($A129="","",IF(D129="买入",0,IFERROR(IF(W129&lt;&gt;0,(H129-IFERROR(INDEX($H$2:$H128,MATCH(2,1/($C$2:$C128=$C129))),0))/W129,0),0)))</f>
        <v/>
      </c>
      <c r="Y129" s="51" t="str">
        <f aca="false">IF($A129="","",Y128+X129)</f>
        <v/>
      </c>
      <c r="Z129" s="1" t="str">
        <f aca="false">IF($A129="","",IF(X129&gt;0,IF(LEFT(Z128,1)="胜","胜"&amp;VALUE(RIGHT(Z128,LEN(Z128)-1))+1,"胜1"),IF(X129&lt;0,IF(LEFT(Z128,1)="亏","亏"&amp;VALUE(RIGHT(Z128,LEN(Z128)-1))+1,"亏1"),"平")))</f>
        <v/>
      </c>
      <c r="AA129" s="52" t="str">
        <f aca="false">IF($A129="","",MAX(0,(MAX($Y$2:Y129)-Y129)/MAX(1,MAX($Y$2:Y129))))</f>
        <v/>
      </c>
    </row>
    <row r="130" customFormat="false" ht="15" hidden="false" customHeight="true" outlineLevel="0" collapsed="false">
      <c r="A130" s="5"/>
      <c r="B130" s="5"/>
      <c r="C130" s="5"/>
      <c r="D130" s="11"/>
      <c r="E130" s="11"/>
      <c r="F130" s="14"/>
      <c r="G130" s="17"/>
      <c r="H130" s="15"/>
      <c r="I130" s="14"/>
      <c r="J130" s="17"/>
      <c r="K130" s="16"/>
      <c r="L130" s="14"/>
      <c r="M130" s="5"/>
      <c r="N130" s="5"/>
      <c r="O130" s="5"/>
      <c r="P130" s="5"/>
      <c r="Q130" s="5"/>
      <c r="R130" s="20"/>
      <c r="S130" s="5"/>
      <c r="T130" s="5"/>
      <c r="U130" s="5"/>
      <c r="V130" s="1" t="str">
        <f aca="false">IF($A130="","",IF(OR(D130="卖出",D130="分红"),IFERROR(INDEX($F$2:$F129,MATCH(2,1/($C$2:$C129=$C130))),""),""))</f>
        <v/>
      </c>
      <c r="W130" s="50" t="str">
        <f aca="false">IF($A130="","",IF(D130="买入",IF(AND(ISNUMBER(L130),L130&gt;0),(F130-L130)*G130,F130*0.08*G130),IF(AND(ISNUMBER(V130),V130&gt;0),IF(AND(ISNUMBER(L130),L130&gt;0),(V130-L130)*G130,V130*0.08*G130),0)))</f>
        <v/>
      </c>
      <c r="X130" s="51" t="str">
        <f aca="false">IF($A130="","",IF(D130="买入",0,IFERROR(IF(W130&lt;&gt;0,(H130-IFERROR(INDEX($H$2:$H129,MATCH(2,1/($C$2:$C129=$C130))),0))/W130,0),0)))</f>
        <v/>
      </c>
      <c r="Y130" s="51" t="str">
        <f aca="false">IF($A130="","",Y129+X130)</f>
        <v/>
      </c>
      <c r="Z130" s="1" t="str">
        <f aca="false">IF($A130="","",IF(X130&gt;0,IF(LEFT(Z129,1)="胜","胜"&amp;VALUE(RIGHT(Z129,LEN(Z129)-1))+1,"胜1"),IF(X130&lt;0,IF(LEFT(Z129,1)="亏","亏"&amp;VALUE(RIGHT(Z129,LEN(Z129)-1))+1,"亏1"),"平")))</f>
        <v/>
      </c>
      <c r="AA130" s="52" t="str">
        <f aca="false">IF($A130="","",MAX(0,(MAX($Y$2:Y130)-Y130)/MAX(1,MAX($Y$2:Y130))))</f>
        <v/>
      </c>
    </row>
    <row r="131" customFormat="false" ht="15" hidden="false" customHeight="true" outlineLevel="0" collapsed="false">
      <c r="A131" s="7"/>
      <c r="B131" s="7"/>
      <c r="C131" s="7"/>
      <c r="D131" s="12"/>
      <c r="E131" s="12"/>
      <c r="F131" s="24"/>
      <c r="G131" s="25"/>
      <c r="H131" s="15"/>
      <c r="I131" s="24"/>
      <c r="J131" s="25"/>
      <c r="K131" s="16"/>
      <c r="L131" s="24"/>
      <c r="M131" s="7"/>
      <c r="N131" s="7"/>
      <c r="O131" s="7"/>
      <c r="P131" s="7"/>
      <c r="Q131" s="7"/>
      <c r="R131" s="26"/>
      <c r="S131" s="7"/>
      <c r="T131" s="7"/>
      <c r="U131" s="7"/>
      <c r="V131" s="1" t="str">
        <f aca="false">IF($A131="","",IF(OR(D131="卖出",D131="分红"),IFERROR(INDEX($F$2:$F130,MATCH(2,1/($C$2:$C130=$C131))),""),""))</f>
        <v/>
      </c>
      <c r="W131" s="50" t="str">
        <f aca="false">IF($A131="","",IF(D131="买入",IF(AND(ISNUMBER(L131),L131&gt;0),(F131-L131)*G131,F131*0.08*G131),IF(AND(ISNUMBER(V131),V131&gt;0),IF(AND(ISNUMBER(L131),L131&gt;0),(V131-L131)*G131,V131*0.08*G131),0)))</f>
        <v/>
      </c>
      <c r="X131" s="51" t="str">
        <f aca="false">IF($A131="","",IF(D131="买入",0,IFERROR(IF(W131&lt;&gt;0,(H131-IFERROR(INDEX($H$2:$H130,MATCH(2,1/($C$2:$C130=$C131))),0))/W131,0),0)))</f>
        <v/>
      </c>
      <c r="Y131" s="51" t="str">
        <f aca="false">IF($A131="","",Y130+X131)</f>
        <v/>
      </c>
      <c r="Z131" s="1" t="str">
        <f aca="false">IF($A131="","",IF(X131&gt;0,IF(LEFT(Z130,1)="胜","胜"&amp;VALUE(RIGHT(Z130,LEN(Z130)-1))+1,"胜1"),IF(X131&lt;0,IF(LEFT(Z130,1)="亏","亏"&amp;VALUE(RIGHT(Z130,LEN(Z130)-1))+1,"亏1"),"平")))</f>
        <v/>
      </c>
      <c r="AA131" s="52" t="str">
        <f aca="false">IF($A131="","",MAX(0,(MAX($Y$2:Y131)-Y131)/MAX(1,MAX($Y$2:Y131))))</f>
        <v/>
      </c>
    </row>
    <row r="132" customFormat="false" ht="15" hidden="false" customHeight="true" outlineLevel="0" collapsed="false">
      <c r="A132" s="5"/>
      <c r="B132" s="5"/>
      <c r="C132" s="5"/>
      <c r="D132" s="11"/>
      <c r="E132" s="11"/>
      <c r="F132" s="14"/>
      <c r="G132" s="17"/>
      <c r="H132" s="15"/>
      <c r="I132" s="14"/>
      <c r="J132" s="17"/>
      <c r="K132" s="16"/>
      <c r="L132" s="14"/>
      <c r="M132" s="5"/>
      <c r="N132" s="5"/>
      <c r="O132" s="5"/>
      <c r="P132" s="5"/>
      <c r="Q132" s="5"/>
      <c r="R132" s="20"/>
      <c r="S132" s="5"/>
      <c r="T132" s="5"/>
      <c r="U132" s="5"/>
      <c r="V132" s="1" t="str">
        <f aca="false">IF($A132="","",IF(OR(D132="卖出",D132="分红"),IFERROR(INDEX($F$2:$F131,MATCH(2,1/($C$2:$C131=$C132))),""),""))</f>
        <v/>
      </c>
      <c r="W132" s="50" t="str">
        <f aca="false">IF($A132="","",IF(D132="买入",IF(AND(ISNUMBER(L132),L132&gt;0),(F132-L132)*G132,F132*0.08*G132),IF(AND(ISNUMBER(V132),V132&gt;0),IF(AND(ISNUMBER(L132),L132&gt;0),(V132-L132)*G132,V132*0.08*G132),0)))</f>
        <v/>
      </c>
      <c r="X132" s="51" t="str">
        <f aca="false">IF($A132="","",IF(D132="买入",0,IFERROR(IF(W132&lt;&gt;0,(H132-IFERROR(INDEX($H$2:$H131,MATCH(2,1/($C$2:$C131=$C132))),0))/W132,0),0)))</f>
        <v/>
      </c>
      <c r="Y132" s="51" t="str">
        <f aca="false">IF($A132="","",Y131+X132)</f>
        <v/>
      </c>
      <c r="Z132" s="1" t="str">
        <f aca="false">IF($A132="","",IF(X132&gt;0,IF(LEFT(Z131,1)="胜","胜"&amp;VALUE(RIGHT(Z131,LEN(Z131)-1))+1,"胜1"),IF(X132&lt;0,IF(LEFT(Z131,1)="亏","亏"&amp;VALUE(RIGHT(Z131,LEN(Z131)-1))+1,"亏1"),"平")))</f>
        <v/>
      </c>
      <c r="AA132" s="52" t="str">
        <f aca="false">IF($A132="","",MAX(0,(MAX($Y$2:Y132)-Y132)/MAX(1,MAX($Y$2:Y132))))</f>
        <v/>
      </c>
    </row>
    <row r="133" customFormat="false" ht="15" hidden="false" customHeight="true" outlineLevel="0" collapsed="false">
      <c r="A133" s="7"/>
      <c r="B133" s="7"/>
      <c r="C133" s="7"/>
      <c r="D133" s="12"/>
      <c r="E133" s="12"/>
      <c r="F133" s="24"/>
      <c r="G133" s="25"/>
      <c r="H133" s="15"/>
      <c r="I133" s="24"/>
      <c r="J133" s="25"/>
      <c r="K133" s="16"/>
      <c r="L133" s="24"/>
      <c r="M133" s="7"/>
      <c r="N133" s="7"/>
      <c r="O133" s="7"/>
      <c r="P133" s="7"/>
      <c r="Q133" s="7"/>
      <c r="R133" s="26"/>
      <c r="S133" s="7"/>
      <c r="T133" s="7"/>
      <c r="U133" s="7"/>
      <c r="V133" s="1" t="str">
        <f aca="false">IF($A133="","",IF(OR(D133="卖出",D133="分红"),IFERROR(INDEX($F$2:$F132,MATCH(2,1/($C$2:$C132=$C133))),""),""))</f>
        <v/>
      </c>
      <c r="W133" s="50" t="str">
        <f aca="false">IF($A133="","",IF(D133="买入",IF(AND(ISNUMBER(L133),L133&gt;0),(F133-L133)*G133,F133*0.08*G133),IF(AND(ISNUMBER(V133),V133&gt;0),IF(AND(ISNUMBER(L133),L133&gt;0),(V133-L133)*G133,V133*0.08*G133),0)))</f>
        <v/>
      </c>
      <c r="X133" s="51" t="str">
        <f aca="false">IF($A133="","",IF(D133="买入",0,IFERROR(IF(W133&lt;&gt;0,(H133-IFERROR(INDEX($H$2:$H132,MATCH(2,1/($C$2:$C132=$C133))),0))/W133,0),0)))</f>
        <v/>
      </c>
      <c r="Y133" s="51" t="str">
        <f aca="false">IF($A133="","",Y132+X133)</f>
        <v/>
      </c>
      <c r="Z133" s="1" t="str">
        <f aca="false">IF($A133="","",IF(X133&gt;0,IF(LEFT(Z132,1)="胜","胜"&amp;VALUE(RIGHT(Z132,LEN(Z132)-1))+1,"胜1"),IF(X133&lt;0,IF(LEFT(Z132,1)="亏","亏"&amp;VALUE(RIGHT(Z132,LEN(Z132)-1))+1,"亏1"),"平")))</f>
        <v/>
      </c>
      <c r="AA133" s="52" t="str">
        <f aca="false">IF($A133="","",MAX(0,(MAX($Y$2:Y133)-Y133)/MAX(1,MAX($Y$2:Y133))))</f>
        <v/>
      </c>
    </row>
    <row r="134" customFormat="false" ht="15" hidden="false" customHeight="true" outlineLevel="0" collapsed="false">
      <c r="A134" s="5"/>
      <c r="B134" s="5"/>
      <c r="C134" s="5"/>
      <c r="D134" s="11"/>
      <c r="E134" s="11"/>
      <c r="F134" s="14"/>
      <c r="G134" s="17"/>
      <c r="H134" s="15"/>
      <c r="I134" s="14"/>
      <c r="J134" s="17"/>
      <c r="K134" s="16"/>
      <c r="L134" s="14"/>
      <c r="M134" s="5"/>
      <c r="N134" s="5"/>
      <c r="O134" s="5"/>
      <c r="P134" s="5"/>
      <c r="Q134" s="5"/>
      <c r="R134" s="20"/>
      <c r="S134" s="5"/>
      <c r="T134" s="5"/>
      <c r="U134" s="5"/>
      <c r="V134" s="1" t="str">
        <f aca="false">IF($A134="","",IF(OR(D134="卖出",D134="分红"),IFERROR(INDEX($F$2:$F133,MATCH(2,1/($C$2:$C133=$C134))),""),""))</f>
        <v/>
      </c>
      <c r="W134" s="50" t="str">
        <f aca="false">IF($A134="","",IF(D134="买入",IF(AND(ISNUMBER(L134),L134&gt;0),(F134-L134)*G134,F134*0.08*G134),IF(AND(ISNUMBER(V134),V134&gt;0),IF(AND(ISNUMBER(L134),L134&gt;0),(V134-L134)*G134,V134*0.08*G134),0)))</f>
        <v/>
      </c>
      <c r="X134" s="51" t="str">
        <f aca="false">IF($A134="","",IF(D134="买入",0,IFERROR(IF(W134&lt;&gt;0,(H134-IFERROR(INDEX($H$2:$H133,MATCH(2,1/($C$2:$C133=$C134))),0))/W134,0),0)))</f>
        <v/>
      </c>
      <c r="Y134" s="51" t="str">
        <f aca="false">IF($A134="","",Y133+X134)</f>
        <v/>
      </c>
      <c r="Z134" s="1" t="str">
        <f aca="false">IF($A134="","",IF(X134&gt;0,IF(LEFT(Z133,1)="胜","胜"&amp;VALUE(RIGHT(Z133,LEN(Z133)-1))+1,"胜1"),IF(X134&lt;0,IF(LEFT(Z133,1)="亏","亏"&amp;VALUE(RIGHT(Z133,LEN(Z133)-1))+1,"亏1"),"平")))</f>
        <v/>
      </c>
      <c r="AA134" s="52" t="str">
        <f aca="false">IF($A134="","",MAX(0,(MAX($Y$2:Y134)-Y134)/MAX(1,MAX($Y$2:Y134))))</f>
        <v/>
      </c>
    </row>
    <row r="135" customFormat="false" ht="15" hidden="false" customHeight="true" outlineLevel="0" collapsed="false">
      <c r="A135" s="7"/>
      <c r="B135" s="7"/>
      <c r="C135" s="7"/>
      <c r="D135" s="12"/>
      <c r="E135" s="12"/>
      <c r="F135" s="24"/>
      <c r="G135" s="25"/>
      <c r="H135" s="15"/>
      <c r="I135" s="24"/>
      <c r="J135" s="25"/>
      <c r="K135" s="16"/>
      <c r="L135" s="24"/>
      <c r="M135" s="7"/>
      <c r="N135" s="7"/>
      <c r="O135" s="7"/>
      <c r="P135" s="7"/>
      <c r="Q135" s="7"/>
      <c r="R135" s="26"/>
      <c r="S135" s="7"/>
      <c r="T135" s="7"/>
      <c r="U135" s="7"/>
      <c r="V135" s="1" t="str">
        <f aca="false">IF($A135="","",IF(OR(D135="卖出",D135="分红"),IFERROR(INDEX($F$2:$F134,MATCH(2,1/($C$2:$C134=$C135))),""),""))</f>
        <v/>
      </c>
      <c r="W135" s="50" t="str">
        <f aca="false">IF($A135="","",IF(D135="买入",IF(AND(ISNUMBER(L135),L135&gt;0),(F135-L135)*G135,F135*0.08*G135),IF(AND(ISNUMBER(V135),V135&gt;0),IF(AND(ISNUMBER(L135),L135&gt;0),(V135-L135)*G135,V135*0.08*G135),0)))</f>
        <v/>
      </c>
      <c r="X135" s="51" t="str">
        <f aca="false">IF($A135="","",IF(D135="买入",0,IFERROR(IF(W135&lt;&gt;0,(H135-IFERROR(INDEX($H$2:$H134,MATCH(2,1/($C$2:$C134=$C135))),0))/W135,0),0)))</f>
        <v/>
      </c>
      <c r="Y135" s="51" t="str">
        <f aca="false">IF($A135="","",Y134+X135)</f>
        <v/>
      </c>
      <c r="Z135" s="1" t="str">
        <f aca="false">IF($A135="","",IF(X135&gt;0,IF(LEFT(Z134,1)="胜","胜"&amp;VALUE(RIGHT(Z134,LEN(Z134)-1))+1,"胜1"),IF(X135&lt;0,IF(LEFT(Z134,1)="亏","亏"&amp;VALUE(RIGHT(Z134,LEN(Z134)-1))+1,"亏1"),"平")))</f>
        <v/>
      </c>
      <c r="AA135" s="52" t="str">
        <f aca="false">IF($A135="","",MAX(0,(MAX($Y$2:Y135)-Y135)/MAX(1,MAX($Y$2:Y135))))</f>
        <v/>
      </c>
    </row>
    <row r="136" customFormat="false" ht="15" hidden="false" customHeight="true" outlineLevel="0" collapsed="false">
      <c r="A136" s="5"/>
      <c r="B136" s="5"/>
      <c r="C136" s="5"/>
      <c r="D136" s="11"/>
      <c r="E136" s="11"/>
      <c r="F136" s="14"/>
      <c r="G136" s="17"/>
      <c r="H136" s="15"/>
      <c r="I136" s="14"/>
      <c r="J136" s="17"/>
      <c r="K136" s="16"/>
      <c r="L136" s="14"/>
      <c r="M136" s="5"/>
      <c r="N136" s="5"/>
      <c r="O136" s="5"/>
      <c r="P136" s="5"/>
      <c r="Q136" s="5"/>
      <c r="R136" s="20"/>
      <c r="S136" s="5"/>
      <c r="T136" s="5"/>
      <c r="U136" s="5"/>
      <c r="V136" s="1" t="str">
        <f aca="false">IF($A136="","",IF(OR(D136="卖出",D136="分红"),IFERROR(INDEX($F$2:$F135,MATCH(2,1/($C$2:$C135=$C136))),""),""))</f>
        <v/>
      </c>
      <c r="W136" s="50" t="str">
        <f aca="false">IF($A136="","",IF(D136="买入",IF(AND(ISNUMBER(L136),L136&gt;0),(F136-L136)*G136,F136*0.08*G136),IF(AND(ISNUMBER(V136),V136&gt;0),IF(AND(ISNUMBER(L136),L136&gt;0),(V136-L136)*G136,V136*0.08*G136),0)))</f>
        <v/>
      </c>
      <c r="X136" s="51" t="str">
        <f aca="false">IF($A136="","",IF(D136="买入",0,IFERROR(IF(W136&lt;&gt;0,(H136-IFERROR(INDEX($H$2:$H135,MATCH(2,1/($C$2:$C135=$C136))),0))/W136,0),0)))</f>
        <v/>
      </c>
      <c r="Y136" s="51" t="str">
        <f aca="false">IF($A136="","",Y135+X136)</f>
        <v/>
      </c>
      <c r="Z136" s="1" t="str">
        <f aca="false">IF($A136="","",IF(X136&gt;0,IF(LEFT(Z135,1)="胜","胜"&amp;VALUE(RIGHT(Z135,LEN(Z135)-1))+1,"胜1"),IF(X136&lt;0,IF(LEFT(Z135,1)="亏","亏"&amp;VALUE(RIGHT(Z135,LEN(Z135)-1))+1,"亏1"),"平")))</f>
        <v/>
      </c>
      <c r="AA136" s="52" t="str">
        <f aca="false">IF($A136="","",MAX(0,(MAX($Y$2:Y136)-Y136)/MAX(1,MAX($Y$2:Y136))))</f>
        <v/>
      </c>
    </row>
    <row r="137" customFormat="false" ht="15" hidden="false" customHeight="true" outlineLevel="0" collapsed="false">
      <c r="A137" s="7"/>
      <c r="B137" s="7"/>
      <c r="C137" s="7"/>
      <c r="D137" s="12"/>
      <c r="E137" s="12"/>
      <c r="F137" s="24"/>
      <c r="G137" s="25"/>
      <c r="H137" s="15"/>
      <c r="I137" s="24"/>
      <c r="J137" s="25"/>
      <c r="K137" s="16"/>
      <c r="L137" s="24"/>
      <c r="M137" s="7"/>
      <c r="N137" s="7"/>
      <c r="O137" s="7"/>
      <c r="P137" s="7"/>
      <c r="Q137" s="7"/>
      <c r="R137" s="26"/>
      <c r="S137" s="7"/>
      <c r="T137" s="7"/>
      <c r="U137" s="7"/>
      <c r="V137" s="1" t="str">
        <f aca="false">IF($A137="","",IF(OR(D137="卖出",D137="分红"),IFERROR(INDEX($F$2:$F136,MATCH(2,1/($C$2:$C136=$C137))),""),""))</f>
        <v/>
      </c>
      <c r="W137" s="50" t="str">
        <f aca="false">IF($A137="","",IF(D137="买入",IF(AND(ISNUMBER(L137),L137&gt;0),(F137-L137)*G137,F137*0.08*G137),IF(AND(ISNUMBER(V137),V137&gt;0),IF(AND(ISNUMBER(L137),L137&gt;0),(V137-L137)*G137,V137*0.08*G137),0)))</f>
        <v/>
      </c>
      <c r="X137" s="51" t="str">
        <f aca="false">IF($A137="","",IF(D137="买入",0,IFERROR(IF(W137&lt;&gt;0,(H137-IFERROR(INDEX($H$2:$H136,MATCH(2,1/($C$2:$C136=$C137))),0))/W137,0),0)))</f>
        <v/>
      </c>
      <c r="Y137" s="51" t="str">
        <f aca="false">IF($A137="","",Y136+X137)</f>
        <v/>
      </c>
      <c r="Z137" s="1" t="str">
        <f aca="false">IF($A137="","",IF(X137&gt;0,IF(LEFT(Z136,1)="胜","胜"&amp;VALUE(RIGHT(Z136,LEN(Z136)-1))+1,"胜1"),IF(X137&lt;0,IF(LEFT(Z136,1)="亏","亏"&amp;VALUE(RIGHT(Z136,LEN(Z136)-1))+1,"亏1"),"平")))</f>
        <v/>
      </c>
      <c r="AA137" s="52" t="str">
        <f aca="false">IF($A137="","",MAX(0,(MAX($Y$2:Y137)-Y137)/MAX(1,MAX($Y$2:Y137))))</f>
        <v/>
      </c>
    </row>
    <row r="138" customFormat="false" ht="15" hidden="false" customHeight="true" outlineLevel="0" collapsed="false">
      <c r="A138" s="5"/>
      <c r="B138" s="5"/>
      <c r="C138" s="5"/>
      <c r="D138" s="11"/>
      <c r="E138" s="11"/>
      <c r="F138" s="14"/>
      <c r="G138" s="17"/>
      <c r="H138" s="15"/>
      <c r="I138" s="14"/>
      <c r="J138" s="17"/>
      <c r="K138" s="16"/>
      <c r="L138" s="14"/>
      <c r="M138" s="5"/>
      <c r="N138" s="5"/>
      <c r="O138" s="5"/>
      <c r="P138" s="5"/>
      <c r="Q138" s="5"/>
      <c r="R138" s="20"/>
      <c r="S138" s="5"/>
      <c r="T138" s="5"/>
      <c r="U138" s="5"/>
      <c r="V138" s="1" t="str">
        <f aca="false">IF($A138="","",IF(OR(D138="卖出",D138="分红"),IFERROR(INDEX($F$2:$F137,MATCH(2,1/($C$2:$C137=$C138))),""),""))</f>
        <v/>
      </c>
      <c r="W138" s="50" t="str">
        <f aca="false">IF($A138="","",IF(D138="买入",IF(AND(ISNUMBER(L138),L138&gt;0),(F138-L138)*G138,F138*0.08*G138),IF(AND(ISNUMBER(V138),V138&gt;0),IF(AND(ISNUMBER(L138),L138&gt;0),(V138-L138)*G138,V138*0.08*G138),0)))</f>
        <v/>
      </c>
      <c r="X138" s="51" t="str">
        <f aca="false">IF($A138="","",IF(D138="买入",0,IFERROR(IF(W138&lt;&gt;0,(H138-IFERROR(INDEX($H$2:$H137,MATCH(2,1/($C$2:$C137=$C138))),0))/W138,0),0)))</f>
        <v/>
      </c>
      <c r="Y138" s="51" t="str">
        <f aca="false">IF($A138="","",Y137+X138)</f>
        <v/>
      </c>
      <c r="Z138" s="1" t="str">
        <f aca="false">IF($A138="","",IF(X138&gt;0,IF(LEFT(Z137,1)="胜","胜"&amp;VALUE(RIGHT(Z137,LEN(Z137)-1))+1,"胜1"),IF(X138&lt;0,IF(LEFT(Z137,1)="亏","亏"&amp;VALUE(RIGHT(Z137,LEN(Z137)-1))+1,"亏1"),"平")))</f>
        <v/>
      </c>
      <c r="AA138" s="52" t="str">
        <f aca="false">IF($A138="","",MAX(0,(MAX($Y$2:Y138)-Y138)/MAX(1,MAX($Y$2:Y138))))</f>
        <v/>
      </c>
    </row>
    <row r="139" customFormat="false" ht="15" hidden="false" customHeight="true" outlineLevel="0" collapsed="false">
      <c r="A139" s="7"/>
      <c r="B139" s="7"/>
      <c r="C139" s="7"/>
      <c r="D139" s="12"/>
      <c r="E139" s="12"/>
      <c r="F139" s="24"/>
      <c r="G139" s="25"/>
      <c r="H139" s="15"/>
      <c r="I139" s="24"/>
      <c r="J139" s="25"/>
      <c r="K139" s="16"/>
      <c r="L139" s="24"/>
      <c r="M139" s="7"/>
      <c r="N139" s="7"/>
      <c r="O139" s="7"/>
      <c r="P139" s="7"/>
      <c r="Q139" s="7"/>
      <c r="R139" s="26"/>
      <c r="S139" s="7"/>
      <c r="T139" s="7"/>
      <c r="U139" s="7"/>
      <c r="V139" s="1" t="str">
        <f aca="false">IF($A139="","",IF(OR(D139="卖出",D139="分红"),IFERROR(INDEX($F$2:$F138,MATCH(2,1/($C$2:$C138=$C139))),""),""))</f>
        <v/>
      </c>
      <c r="W139" s="50" t="str">
        <f aca="false">IF($A139="","",IF(D139="买入",IF(AND(ISNUMBER(L139),L139&gt;0),(F139-L139)*G139,F139*0.08*G139),IF(AND(ISNUMBER(V139),V139&gt;0),IF(AND(ISNUMBER(L139),L139&gt;0),(V139-L139)*G139,V139*0.08*G139),0)))</f>
        <v/>
      </c>
      <c r="X139" s="51" t="str">
        <f aca="false">IF($A139="","",IF(D139="买入",0,IFERROR(IF(W139&lt;&gt;0,(H139-IFERROR(INDEX($H$2:$H138,MATCH(2,1/($C$2:$C138=$C139))),0))/W139,0),0)))</f>
        <v/>
      </c>
      <c r="Y139" s="51" t="str">
        <f aca="false">IF($A139="","",Y138+X139)</f>
        <v/>
      </c>
      <c r="Z139" s="1" t="str">
        <f aca="false">IF($A139="","",IF(X139&gt;0,IF(LEFT(Z138,1)="胜","胜"&amp;VALUE(RIGHT(Z138,LEN(Z138)-1))+1,"胜1"),IF(X139&lt;0,IF(LEFT(Z138,1)="亏","亏"&amp;VALUE(RIGHT(Z138,LEN(Z138)-1))+1,"亏1"),"平")))</f>
        <v/>
      </c>
      <c r="AA139" s="52" t="str">
        <f aca="false">IF($A139="","",MAX(0,(MAX($Y$2:Y139)-Y139)/MAX(1,MAX($Y$2:Y139))))</f>
        <v/>
      </c>
    </row>
    <row r="140" customFormat="false" ht="15" hidden="false" customHeight="true" outlineLevel="0" collapsed="false">
      <c r="A140" s="5"/>
      <c r="B140" s="5"/>
      <c r="C140" s="5"/>
      <c r="D140" s="11"/>
      <c r="E140" s="11"/>
      <c r="F140" s="14"/>
      <c r="G140" s="17"/>
      <c r="H140" s="15"/>
      <c r="I140" s="14"/>
      <c r="J140" s="17"/>
      <c r="K140" s="16"/>
      <c r="L140" s="14"/>
      <c r="M140" s="5"/>
      <c r="N140" s="5"/>
      <c r="O140" s="5"/>
      <c r="P140" s="5"/>
      <c r="Q140" s="5"/>
      <c r="R140" s="20"/>
      <c r="S140" s="5"/>
      <c r="T140" s="5"/>
      <c r="U140" s="5"/>
      <c r="V140" s="1" t="str">
        <f aca="false">IF($A140="","",IF(OR(D140="卖出",D140="分红"),IFERROR(INDEX($F$2:$F139,MATCH(2,1/($C$2:$C139=$C140))),""),""))</f>
        <v/>
      </c>
      <c r="W140" s="50" t="str">
        <f aca="false">IF($A140="","",IF(D140="买入",IF(AND(ISNUMBER(L140),L140&gt;0),(F140-L140)*G140,F140*0.08*G140),IF(AND(ISNUMBER(V140),V140&gt;0),IF(AND(ISNUMBER(L140),L140&gt;0),(V140-L140)*G140,V140*0.08*G140),0)))</f>
        <v/>
      </c>
      <c r="X140" s="51" t="str">
        <f aca="false">IF($A140="","",IF(D140="买入",0,IFERROR(IF(W140&lt;&gt;0,(H140-IFERROR(INDEX($H$2:$H139,MATCH(2,1/($C$2:$C139=$C140))),0))/W140,0),0)))</f>
        <v/>
      </c>
      <c r="Y140" s="51" t="str">
        <f aca="false">IF($A140="","",Y139+X140)</f>
        <v/>
      </c>
      <c r="Z140" s="1" t="str">
        <f aca="false">IF($A140="","",IF(X140&gt;0,IF(LEFT(Z139,1)="胜","胜"&amp;VALUE(RIGHT(Z139,LEN(Z139)-1))+1,"胜1"),IF(X140&lt;0,IF(LEFT(Z139,1)="亏","亏"&amp;VALUE(RIGHT(Z139,LEN(Z139)-1))+1,"亏1"),"平")))</f>
        <v/>
      </c>
      <c r="AA140" s="52" t="str">
        <f aca="false">IF($A140="","",MAX(0,(MAX($Y$2:Y140)-Y140)/MAX(1,MAX($Y$2:Y140))))</f>
        <v/>
      </c>
    </row>
    <row r="141" customFormat="false" ht="15" hidden="false" customHeight="true" outlineLevel="0" collapsed="false">
      <c r="A141" s="7"/>
      <c r="B141" s="7"/>
      <c r="C141" s="7"/>
      <c r="D141" s="12"/>
      <c r="E141" s="12"/>
      <c r="F141" s="24"/>
      <c r="G141" s="25"/>
      <c r="H141" s="15"/>
      <c r="I141" s="24"/>
      <c r="J141" s="25"/>
      <c r="K141" s="16"/>
      <c r="L141" s="24"/>
      <c r="M141" s="7"/>
      <c r="N141" s="7"/>
      <c r="O141" s="7"/>
      <c r="P141" s="7"/>
      <c r="Q141" s="7"/>
      <c r="R141" s="26"/>
      <c r="S141" s="7"/>
      <c r="T141" s="7"/>
      <c r="U141" s="7"/>
      <c r="V141" s="1" t="str">
        <f aca="false">IF($A141="","",IF(OR(D141="卖出",D141="分红"),IFERROR(INDEX($F$2:$F140,MATCH(2,1/($C$2:$C140=$C141))),""),""))</f>
        <v/>
      </c>
      <c r="W141" s="50" t="str">
        <f aca="false">IF($A141="","",IF(D141="买入",IF(AND(ISNUMBER(L141),L141&gt;0),(F141-L141)*G141,F141*0.08*G141),IF(AND(ISNUMBER(V141),V141&gt;0),IF(AND(ISNUMBER(L141),L141&gt;0),(V141-L141)*G141,V141*0.08*G141),0)))</f>
        <v/>
      </c>
      <c r="X141" s="51" t="str">
        <f aca="false">IF($A141="","",IF(D141="买入",0,IFERROR(IF(W141&lt;&gt;0,(H141-IFERROR(INDEX($H$2:$H140,MATCH(2,1/($C$2:$C140=$C141))),0))/W141,0),0)))</f>
        <v/>
      </c>
      <c r="Y141" s="51" t="str">
        <f aca="false">IF($A141="","",Y140+X141)</f>
        <v/>
      </c>
      <c r="Z141" s="1" t="str">
        <f aca="false">IF($A141="","",IF(X141&gt;0,IF(LEFT(Z140,1)="胜","胜"&amp;VALUE(RIGHT(Z140,LEN(Z140)-1))+1,"胜1"),IF(X141&lt;0,IF(LEFT(Z140,1)="亏","亏"&amp;VALUE(RIGHT(Z140,LEN(Z140)-1))+1,"亏1"),"平")))</f>
        <v/>
      </c>
      <c r="AA141" s="52" t="str">
        <f aca="false">IF($A141="","",MAX(0,(MAX($Y$2:Y141)-Y141)/MAX(1,MAX($Y$2:Y141))))</f>
        <v/>
      </c>
    </row>
    <row r="142" customFormat="false" ht="15" hidden="false" customHeight="true" outlineLevel="0" collapsed="false">
      <c r="A142" s="5"/>
      <c r="B142" s="5"/>
      <c r="C142" s="5"/>
      <c r="D142" s="11"/>
      <c r="E142" s="11"/>
      <c r="F142" s="14"/>
      <c r="G142" s="17"/>
      <c r="H142" s="15"/>
      <c r="I142" s="14"/>
      <c r="J142" s="17"/>
      <c r="K142" s="16"/>
      <c r="L142" s="14"/>
      <c r="M142" s="5"/>
      <c r="N142" s="5"/>
      <c r="O142" s="5"/>
      <c r="P142" s="5"/>
      <c r="Q142" s="5"/>
      <c r="R142" s="20"/>
      <c r="S142" s="5"/>
      <c r="T142" s="5"/>
      <c r="U142" s="5"/>
      <c r="V142" s="1" t="str">
        <f aca="false">IF($A142="","",IF(OR(D142="卖出",D142="分红"),IFERROR(INDEX($F$2:$F141,MATCH(2,1/($C$2:$C141=$C142))),""),""))</f>
        <v/>
      </c>
      <c r="W142" s="50" t="str">
        <f aca="false">IF($A142="","",IF(D142="买入",IF(AND(ISNUMBER(L142),L142&gt;0),(F142-L142)*G142,F142*0.08*G142),IF(AND(ISNUMBER(V142),V142&gt;0),IF(AND(ISNUMBER(L142),L142&gt;0),(V142-L142)*G142,V142*0.08*G142),0)))</f>
        <v/>
      </c>
      <c r="X142" s="51" t="str">
        <f aca="false">IF($A142="","",IF(D142="买入",0,IFERROR(IF(W142&lt;&gt;0,(H142-IFERROR(INDEX($H$2:$H141,MATCH(2,1/($C$2:$C141=$C142))),0))/W142,0),0)))</f>
        <v/>
      </c>
      <c r="Y142" s="51" t="str">
        <f aca="false">IF($A142="","",Y141+X142)</f>
        <v/>
      </c>
      <c r="Z142" s="1" t="str">
        <f aca="false">IF($A142="","",IF(X142&gt;0,IF(LEFT(Z141,1)="胜","胜"&amp;VALUE(RIGHT(Z141,LEN(Z141)-1))+1,"胜1"),IF(X142&lt;0,IF(LEFT(Z141,1)="亏","亏"&amp;VALUE(RIGHT(Z141,LEN(Z141)-1))+1,"亏1"),"平")))</f>
        <v/>
      </c>
      <c r="AA142" s="52" t="str">
        <f aca="false">IF($A142="","",MAX(0,(MAX($Y$2:Y142)-Y142)/MAX(1,MAX($Y$2:Y142))))</f>
        <v/>
      </c>
    </row>
    <row r="143" customFormat="false" ht="15" hidden="false" customHeight="true" outlineLevel="0" collapsed="false">
      <c r="A143" s="7"/>
      <c r="B143" s="7"/>
      <c r="C143" s="7"/>
      <c r="D143" s="12"/>
      <c r="E143" s="12"/>
      <c r="F143" s="24"/>
      <c r="G143" s="25"/>
      <c r="H143" s="15"/>
      <c r="I143" s="24"/>
      <c r="J143" s="25"/>
      <c r="K143" s="16"/>
      <c r="L143" s="24"/>
      <c r="M143" s="7"/>
      <c r="N143" s="7"/>
      <c r="O143" s="7"/>
      <c r="P143" s="7"/>
      <c r="Q143" s="7"/>
      <c r="R143" s="26"/>
      <c r="S143" s="7"/>
      <c r="T143" s="7"/>
      <c r="U143" s="7"/>
      <c r="V143" s="1" t="str">
        <f aca="false">IF($A143="","",IF(OR(D143="卖出",D143="分红"),IFERROR(INDEX($F$2:$F142,MATCH(2,1/($C$2:$C142=$C143))),""),""))</f>
        <v/>
      </c>
      <c r="W143" s="50" t="str">
        <f aca="false">IF($A143="","",IF(D143="买入",IF(AND(ISNUMBER(L143),L143&gt;0),(F143-L143)*G143,F143*0.08*G143),IF(AND(ISNUMBER(V143),V143&gt;0),IF(AND(ISNUMBER(L143),L143&gt;0),(V143-L143)*G143,V143*0.08*G143),0)))</f>
        <v/>
      </c>
      <c r="X143" s="51" t="str">
        <f aca="false">IF($A143="","",IF(D143="买入",0,IFERROR(IF(W143&lt;&gt;0,(H143-IFERROR(INDEX($H$2:$H142,MATCH(2,1/($C$2:$C142=$C143))),0))/W143,0),0)))</f>
        <v/>
      </c>
      <c r="Y143" s="51" t="str">
        <f aca="false">IF($A143="","",Y142+X143)</f>
        <v/>
      </c>
      <c r="Z143" s="1" t="str">
        <f aca="false">IF($A143="","",IF(X143&gt;0,IF(LEFT(Z142,1)="胜","胜"&amp;VALUE(RIGHT(Z142,LEN(Z142)-1))+1,"胜1"),IF(X143&lt;0,IF(LEFT(Z142,1)="亏","亏"&amp;VALUE(RIGHT(Z142,LEN(Z142)-1))+1,"亏1"),"平")))</f>
        <v/>
      </c>
      <c r="AA143" s="52" t="str">
        <f aca="false">IF($A143="","",MAX(0,(MAX($Y$2:Y143)-Y143)/MAX(1,MAX($Y$2:Y143))))</f>
        <v/>
      </c>
    </row>
    <row r="144" customFormat="false" ht="15" hidden="false" customHeight="true" outlineLevel="0" collapsed="false">
      <c r="A144" s="5"/>
      <c r="B144" s="5"/>
      <c r="C144" s="5"/>
      <c r="D144" s="11"/>
      <c r="E144" s="11"/>
      <c r="F144" s="14"/>
      <c r="G144" s="17"/>
      <c r="H144" s="15"/>
      <c r="I144" s="14"/>
      <c r="J144" s="17"/>
      <c r="K144" s="16"/>
      <c r="L144" s="14"/>
      <c r="M144" s="5"/>
      <c r="N144" s="5"/>
      <c r="O144" s="5"/>
      <c r="P144" s="5"/>
      <c r="Q144" s="5"/>
      <c r="R144" s="20"/>
      <c r="S144" s="5"/>
      <c r="T144" s="5"/>
      <c r="U144" s="5"/>
      <c r="V144" s="1" t="str">
        <f aca="false">IF($A144="","",IF(OR(D144="卖出",D144="分红"),IFERROR(INDEX($F$2:$F143,MATCH(2,1/($C$2:$C143=$C144))),""),""))</f>
        <v/>
      </c>
      <c r="W144" s="50" t="str">
        <f aca="false">IF($A144="","",IF(D144="买入",IF(AND(ISNUMBER(L144),L144&gt;0),(F144-L144)*G144,F144*0.08*G144),IF(AND(ISNUMBER(V144),V144&gt;0),IF(AND(ISNUMBER(L144),L144&gt;0),(V144-L144)*G144,V144*0.08*G144),0)))</f>
        <v/>
      </c>
      <c r="X144" s="51" t="str">
        <f aca="false">IF($A144="","",IF(D144="买入",0,IFERROR(IF(W144&lt;&gt;0,(H144-IFERROR(INDEX($H$2:$H143,MATCH(2,1/($C$2:$C143=$C144))),0))/W144,0),0)))</f>
        <v/>
      </c>
      <c r="Y144" s="51" t="str">
        <f aca="false">IF($A144="","",Y143+X144)</f>
        <v/>
      </c>
      <c r="Z144" s="1" t="str">
        <f aca="false">IF($A144="","",IF(X144&gt;0,IF(LEFT(Z143,1)="胜","胜"&amp;VALUE(RIGHT(Z143,LEN(Z143)-1))+1,"胜1"),IF(X144&lt;0,IF(LEFT(Z143,1)="亏","亏"&amp;VALUE(RIGHT(Z143,LEN(Z143)-1))+1,"亏1"),"平")))</f>
        <v/>
      </c>
      <c r="AA144" s="52" t="str">
        <f aca="false">IF($A144="","",MAX(0,(MAX($Y$2:Y144)-Y144)/MAX(1,MAX($Y$2:Y144))))</f>
        <v/>
      </c>
    </row>
    <row r="145" customFormat="false" ht="15" hidden="false" customHeight="true" outlineLevel="0" collapsed="false">
      <c r="A145" s="7"/>
      <c r="B145" s="7"/>
      <c r="C145" s="7"/>
      <c r="D145" s="12"/>
      <c r="E145" s="12"/>
      <c r="F145" s="24"/>
      <c r="G145" s="25"/>
      <c r="H145" s="15"/>
      <c r="I145" s="24"/>
      <c r="J145" s="25"/>
      <c r="K145" s="16"/>
      <c r="L145" s="24"/>
      <c r="M145" s="7"/>
      <c r="N145" s="7"/>
      <c r="O145" s="7"/>
      <c r="P145" s="7"/>
      <c r="Q145" s="7"/>
      <c r="R145" s="26"/>
      <c r="S145" s="7"/>
      <c r="T145" s="7"/>
      <c r="U145" s="7"/>
      <c r="V145" s="1" t="str">
        <f aca="false">IF($A145="","",IF(OR(D145="卖出",D145="分红"),IFERROR(INDEX($F$2:$F144,MATCH(2,1/($C$2:$C144=$C145))),""),""))</f>
        <v/>
      </c>
      <c r="W145" s="50" t="str">
        <f aca="false">IF($A145="","",IF(D145="买入",IF(AND(ISNUMBER(L145),L145&gt;0),(F145-L145)*G145,F145*0.08*G145),IF(AND(ISNUMBER(V145),V145&gt;0),IF(AND(ISNUMBER(L145),L145&gt;0),(V145-L145)*G145,V145*0.08*G145),0)))</f>
        <v/>
      </c>
      <c r="X145" s="51" t="str">
        <f aca="false">IF($A145="","",IF(D145="买入",0,IFERROR(IF(W145&lt;&gt;0,(H145-IFERROR(INDEX($H$2:$H144,MATCH(2,1/($C$2:$C144=$C145))),0))/W145,0),0)))</f>
        <v/>
      </c>
      <c r="Y145" s="51" t="str">
        <f aca="false">IF($A145="","",Y144+X145)</f>
        <v/>
      </c>
      <c r="Z145" s="1" t="str">
        <f aca="false">IF($A145="","",IF(X145&gt;0,IF(LEFT(Z144,1)="胜","胜"&amp;VALUE(RIGHT(Z144,LEN(Z144)-1))+1,"胜1"),IF(X145&lt;0,IF(LEFT(Z144,1)="亏","亏"&amp;VALUE(RIGHT(Z144,LEN(Z144)-1))+1,"亏1"),"平")))</f>
        <v/>
      </c>
      <c r="AA145" s="52" t="str">
        <f aca="false">IF($A145="","",MAX(0,(MAX($Y$2:Y145)-Y145)/MAX(1,MAX($Y$2:Y145))))</f>
        <v/>
      </c>
    </row>
    <row r="146" customFormat="false" ht="15" hidden="false" customHeight="true" outlineLevel="0" collapsed="false">
      <c r="A146" s="5"/>
      <c r="B146" s="5"/>
      <c r="C146" s="5"/>
      <c r="D146" s="11"/>
      <c r="E146" s="11"/>
      <c r="F146" s="14"/>
      <c r="G146" s="17"/>
      <c r="H146" s="15"/>
      <c r="I146" s="14"/>
      <c r="J146" s="17"/>
      <c r="K146" s="16"/>
      <c r="L146" s="14"/>
      <c r="M146" s="5"/>
      <c r="N146" s="5"/>
      <c r="O146" s="5"/>
      <c r="P146" s="5"/>
      <c r="Q146" s="5"/>
      <c r="R146" s="20"/>
      <c r="S146" s="5"/>
      <c r="T146" s="5"/>
      <c r="U146" s="5"/>
      <c r="V146" s="1" t="str">
        <f aca="false">IF($A146="","",IF(OR(D146="卖出",D146="分红"),IFERROR(INDEX($F$2:$F145,MATCH(2,1/($C$2:$C145=$C146))),""),""))</f>
        <v/>
      </c>
      <c r="W146" s="50" t="str">
        <f aca="false">IF($A146="","",IF(D146="买入",IF(AND(ISNUMBER(L146),L146&gt;0),(F146-L146)*G146,F146*0.08*G146),IF(AND(ISNUMBER(V146),V146&gt;0),IF(AND(ISNUMBER(L146),L146&gt;0),(V146-L146)*G146,V146*0.08*G146),0)))</f>
        <v/>
      </c>
      <c r="X146" s="51" t="str">
        <f aca="false">IF($A146="","",IF(D146="买入",0,IFERROR(IF(W146&lt;&gt;0,(H146-IFERROR(INDEX($H$2:$H145,MATCH(2,1/($C$2:$C145=$C146))),0))/W146,0),0)))</f>
        <v/>
      </c>
      <c r="Y146" s="51" t="str">
        <f aca="false">IF($A146="","",Y145+X146)</f>
        <v/>
      </c>
      <c r="Z146" s="1" t="str">
        <f aca="false">IF($A146="","",IF(X146&gt;0,IF(LEFT(Z145,1)="胜","胜"&amp;VALUE(RIGHT(Z145,LEN(Z145)-1))+1,"胜1"),IF(X146&lt;0,IF(LEFT(Z145,1)="亏","亏"&amp;VALUE(RIGHT(Z145,LEN(Z145)-1))+1,"亏1"),"平")))</f>
        <v/>
      </c>
      <c r="AA146" s="52" t="str">
        <f aca="false">IF($A146="","",MAX(0,(MAX($Y$2:Y146)-Y146)/MAX(1,MAX($Y$2:Y146))))</f>
        <v/>
      </c>
    </row>
    <row r="147" customFormat="false" ht="15" hidden="false" customHeight="true" outlineLevel="0" collapsed="false">
      <c r="A147" s="7"/>
      <c r="B147" s="7"/>
      <c r="C147" s="7"/>
      <c r="D147" s="12"/>
      <c r="E147" s="12"/>
      <c r="F147" s="24"/>
      <c r="G147" s="25"/>
      <c r="H147" s="15"/>
      <c r="I147" s="24"/>
      <c r="J147" s="25"/>
      <c r="K147" s="16"/>
      <c r="L147" s="24"/>
      <c r="M147" s="7"/>
      <c r="N147" s="7"/>
      <c r="O147" s="7"/>
      <c r="P147" s="7"/>
      <c r="Q147" s="7"/>
      <c r="R147" s="26"/>
      <c r="S147" s="7"/>
      <c r="T147" s="7"/>
      <c r="U147" s="7"/>
      <c r="V147" s="1" t="str">
        <f aca="false">IF($A147="","",IF(OR(D147="卖出",D147="分红"),IFERROR(INDEX($F$2:$F146,MATCH(2,1/($C$2:$C146=$C147))),""),""))</f>
        <v/>
      </c>
      <c r="W147" s="50" t="str">
        <f aca="false">IF($A147="","",IF(D147="买入",IF(AND(ISNUMBER(L147),L147&gt;0),(F147-L147)*G147,F147*0.08*G147),IF(AND(ISNUMBER(V147),V147&gt;0),IF(AND(ISNUMBER(L147),L147&gt;0),(V147-L147)*G147,V147*0.08*G147),0)))</f>
        <v/>
      </c>
      <c r="X147" s="51" t="str">
        <f aca="false">IF($A147="","",IF(D147="买入",0,IFERROR(IF(W147&lt;&gt;0,(H147-IFERROR(INDEX($H$2:$H146,MATCH(2,1/($C$2:$C146=$C147))),0))/W147,0),0)))</f>
        <v/>
      </c>
      <c r="Y147" s="51" t="str">
        <f aca="false">IF($A147="","",Y146+X147)</f>
        <v/>
      </c>
      <c r="Z147" s="1" t="str">
        <f aca="false">IF($A147="","",IF(X147&gt;0,IF(LEFT(Z146,1)="胜","胜"&amp;VALUE(RIGHT(Z146,LEN(Z146)-1))+1,"胜1"),IF(X147&lt;0,IF(LEFT(Z146,1)="亏","亏"&amp;VALUE(RIGHT(Z146,LEN(Z146)-1))+1,"亏1"),"平")))</f>
        <v/>
      </c>
      <c r="AA147" s="52" t="str">
        <f aca="false">IF($A147="","",MAX(0,(MAX($Y$2:Y147)-Y147)/MAX(1,MAX($Y$2:Y147))))</f>
        <v/>
      </c>
    </row>
    <row r="148" customFormat="false" ht="15" hidden="false" customHeight="true" outlineLevel="0" collapsed="false">
      <c r="A148" s="5"/>
      <c r="B148" s="5"/>
      <c r="C148" s="5"/>
      <c r="D148" s="11"/>
      <c r="E148" s="11"/>
      <c r="F148" s="14"/>
      <c r="G148" s="17"/>
      <c r="H148" s="15"/>
      <c r="I148" s="14"/>
      <c r="J148" s="17"/>
      <c r="K148" s="16"/>
      <c r="L148" s="14"/>
      <c r="M148" s="5"/>
      <c r="N148" s="5"/>
      <c r="O148" s="5"/>
      <c r="P148" s="5"/>
      <c r="Q148" s="5"/>
      <c r="R148" s="20"/>
      <c r="S148" s="5"/>
      <c r="T148" s="5"/>
      <c r="U148" s="5"/>
      <c r="V148" s="1" t="str">
        <f aca="false">IF($A148="","",IF(OR(D148="卖出",D148="分红"),IFERROR(INDEX($F$2:$F147,MATCH(2,1/($C$2:$C147=$C148))),""),""))</f>
        <v/>
      </c>
      <c r="W148" s="50" t="str">
        <f aca="false">IF($A148="","",IF(D148="买入",IF(AND(ISNUMBER(L148),L148&gt;0),(F148-L148)*G148,F148*0.08*G148),IF(AND(ISNUMBER(V148),V148&gt;0),IF(AND(ISNUMBER(L148),L148&gt;0),(V148-L148)*G148,V148*0.08*G148),0)))</f>
        <v/>
      </c>
      <c r="X148" s="51" t="str">
        <f aca="false">IF($A148="","",IF(D148="买入",0,IFERROR(IF(W148&lt;&gt;0,(H148-IFERROR(INDEX($H$2:$H147,MATCH(2,1/($C$2:$C147=$C148))),0))/W148,0),0)))</f>
        <v/>
      </c>
      <c r="Y148" s="51" t="str">
        <f aca="false">IF($A148="","",Y147+X148)</f>
        <v/>
      </c>
      <c r="Z148" s="1" t="str">
        <f aca="false">IF($A148="","",IF(X148&gt;0,IF(LEFT(Z147,1)="胜","胜"&amp;VALUE(RIGHT(Z147,LEN(Z147)-1))+1,"胜1"),IF(X148&lt;0,IF(LEFT(Z147,1)="亏","亏"&amp;VALUE(RIGHT(Z147,LEN(Z147)-1))+1,"亏1"),"平")))</f>
        <v/>
      </c>
      <c r="AA148" s="52" t="str">
        <f aca="false">IF($A148="","",MAX(0,(MAX($Y$2:Y148)-Y148)/MAX(1,MAX($Y$2:Y148))))</f>
        <v/>
      </c>
    </row>
    <row r="149" customFormat="false" ht="15" hidden="false" customHeight="true" outlineLevel="0" collapsed="false">
      <c r="A149" s="7"/>
      <c r="B149" s="7"/>
      <c r="C149" s="7"/>
      <c r="D149" s="12"/>
      <c r="E149" s="12"/>
      <c r="F149" s="24"/>
      <c r="G149" s="25"/>
      <c r="H149" s="15"/>
      <c r="I149" s="24"/>
      <c r="J149" s="25"/>
      <c r="K149" s="16"/>
      <c r="L149" s="24"/>
      <c r="M149" s="7"/>
      <c r="N149" s="7"/>
      <c r="O149" s="7"/>
      <c r="P149" s="7"/>
      <c r="Q149" s="7"/>
      <c r="R149" s="26"/>
      <c r="S149" s="7"/>
      <c r="T149" s="7"/>
      <c r="U149" s="7"/>
      <c r="V149" s="1" t="str">
        <f aca="false">IF($A149="","",IF(OR(D149="卖出",D149="分红"),IFERROR(INDEX($F$2:$F148,MATCH(2,1/($C$2:$C148=$C149))),""),""))</f>
        <v/>
      </c>
      <c r="W149" s="50" t="str">
        <f aca="false">IF($A149="","",IF(D149="买入",IF(AND(ISNUMBER(L149),L149&gt;0),(F149-L149)*G149,F149*0.08*G149),IF(AND(ISNUMBER(V149),V149&gt;0),IF(AND(ISNUMBER(L149),L149&gt;0),(V149-L149)*G149,V149*0.08*G149),0)))</f>
        <v/>
      </c>
      <c r="X149" s="51" t="str">
        <f aca="false">IF($A149="","",IF(D149="买入",0,IFERROR(IF(W149&lt;&gt;0,(H149-IFERROR(INDEX($H$2:$H148,MATCH(2,1/($C$2:$C148=$C149))),0))/W149,0),0)))</f>
        <v/>
      </c>
      <c r="Y149" s="51" t="str">
        <f aca="false">IF($A149="","",Y148+X149)</f>
        <v/>
      </c>
      <c r="Z149" s="1" t="str">
        <f aca="false">IF($A149="","",IF(X149&gt;0,IF(LEFT(Z148,1)="胜","胜"&amp;VALUE(RIGHT(Z148,LEN(Z148)-1))+1,"胜1"),IF(X149&lt;0,IF(LEFT(Z148,1)="亏","亏"&amp;VALUE(RIGHT(Z148,LEN(Z148)-1))+1,"亏1"),"平")))</f>
        <v/>
      </c>
      <c r="AA149" s="52" t="str">
        <f aca="false">IF($A149="","",MAX(0,(MAX($Y$2:Y149)-Y149)/MAX(1,MAX($Y$2:Y149))))</f>
        <v/>
      </c>
    </row>
    <row r="150" customFormat="false" ht="15" hidden="false" customHeight="true" outlineLevel="0" collapsed="false">
      <c r="A150" s="5"/>
      <c r="B150" s="5"/>
      <c r="C150" s="5"/>
      <c r="D150" s="11"/>
      <c r="E150" s="11"/>
      <c r="F150" s="14"/>
      <c r="G150" s="17"/>
      <c r="H150" s="15"/>
      <c r="I150" s="14"/>
      <c r="J150" s="17"/>
      <c r="K150" s="16"/>
      <c r="L150" s="14"/>
      <c r="M150" s="5"/>
      <c r="N150" s="5"/>
      <c r="O150" s="5"/>
      <c r="P150" s="5"/>
      <c r="Q150" s="5"/>
      <c r="R150" s="20"/>
      <c r="S150" s="5"/>
      <c r="T150" s="5"/>
      <c r="U150" s="5"/>
      <c r="V150" s="1" t="str">
        <f aca="false">IF($A150="","",IF(OR(D150="卖出",D150="分红"),IFERROR(INDEX($F$2:$F149,MATCH(2,1/($C$2:$C149=$C150))),""),""))</f>
        <v/>
      </c>
      <c r="W150" s="50" t="str">
        <f aca="false">IF($A150="","",IF(D150="买入",IF(AND(ISNUMBER(L150),L150&gt;0),(F150-L150)*G150,F150*0.08*G150),IF(AND(ISNUMBER(V150),V150&gt;0),IF(AND(ISNUMBER(L150),L150&gt;0),(V150-L150)*G150,V150*0.08*G150),0)))</f>
        <v/>
      </c>
      <c r="X150" s="51" t="str">
        <f aca="false">IF($A150="","",IF(D150="买入",0,IFERROR(IF(W150&lt;&gt;0,(H150-IFERROR(INDEX($H$2:$H149,MATCH(2,1/($C$2:$C149=$C150))),0))/W150,0),0)))</f>
        <v/>
      </c>
      <c r="Y150" s="51" t="str">
        <f aca="false">IF($A150="","",Y149+X150)</f>
        <v/>
      </c>
      <c r="Z150" s="1" t="str">
        <f aca="false">IF($A150="","",IF(X150&gt;0,IF(LEFT(Z149,1)="胜","胜"&amp;VALUE(RIGHT(Z149,LEN(Z149)-1))+1,"胜1"),IF(X150&lt;0,IF(LEFT(Z149,1)="亏","亏"&amp;VALUE(RIGHT(Z149,LEN(Z149)-1))+1,"亏1"),"平")))</f>
        <v/>
      </c>
      <c r="AA150" s="52" t="str">
        <f aca="false">IF($A150="","",MAX(0,(MAX($Y$2:Y150)-Y150)/MAX(1,MAX($Y$2:Y150))))</f>
        <v/>
      </c>
    </row>
    <row r="151" customFormat="false" ht="15" hidden="false" customHeight="true" outlineLevel="0" collapsed="false">
      <c r="A151" s="7"/>
      <c r="B151" s="7"/>
      <c r="C151" s="7"/>
      <c r="D151" s="12"/>
      <c r="E151" s="12"/>
      <c r="F151" s="24"/>
      <c r="G151" s="25"/>
      <c r="H151" s="15"/>
      <c r="I151" s="24"/>
      <c r="J151" s="25"/>
      <c r="K151" s="16"/>
      <c r="L151" s="24"/>
      <c r="M151" s="7"/>
      <c r="N151" s="7"/>
      <c r="O151" s="7"/>
      <c r="P151" s="7"/>
      <c r="Q151" s="7"/>
      <c r="R151" s="26"/>
      <c r="S151" s="7"/>
      <c r="T151" s="7"/>
      <c r="U151" s="7"/>
      <c r="V151" s="1" t="str">
        <f aca="false">IF($A151="","",IF(OR(D151="卖出",D151="分红"),IFERROR(INDEX($F$2:$F150,MATCH(2,1/($C$2:$C150=$C151))),""),""))</f>
        <v/>
      </c>
      <c r="W151" s="50" t="str">
        <f aca="false">IF($A151="","",IF(D151="买入",IF(AND(ISNUMBER(L151),L151&gt;0),(F151-L151)*G151,F151*0.08*G151),IF(AND(ISNUMBER(V151),V151&gt;0),IF(AND(ISNUMBER(L151),L151&gt;0),(V151-L151)*G151,V151*0.08*G151),0)))</f>
        <v/>
      </c>
      <c r="X151" s="51" t="str">
        <f aca="false">IF($A151="","",IF(D151="买入",0,IFERROR(IF(W151&lt;&gt;0,(H151-IFERROR(INDEX($H$2:$H150,MATCH(2,1/($C$2:$C150=$C151))),0))/W151,0),0)))</f>
        <v/>
      </c>
      <c r="Y151" s="51" t="str">
        <f aca="false">IF($A151="","",Y150+X151)</f>
        <v/>
      </c>
      <c r="Z151" s="1" t="str">
        <f aca="false">IF($A151="","",IF(X151&gt;0,IF(LEFT(Z150,1)="胜","胜"&amp;VALUE(RIGHT(Z150,LEN(Z150)-1))+1,"胜1"),IF(X151&lt;0,IF(LEFT(Z150,1)="亏","亏"&amp;VALUE(RIGHT(Z150,LEN(Z150)-1))+1,"亏1"),"平")))</f>
        <v/>
      </c>
      <c r="AA151" s="52" t="str">
        <f aca="false">IF($A151="","",MAX(0,(MAX($Y$2:Y151)-Y151)/MAX(1,MAX($Y$2:Y151))))</f>
        <v/>
      </c>
    </row>
    <row r="152" customFormat="false" ht="15" hidden="false" customHeight="true" outlineLevel="0" collapsed="false">
      <c r="A152" s="5"/>
      <c r="B152" s="5"/>
      <c r="C152" s="5"/>
      <c r="D152" s="11"/>
      <c r="E152" s="11"/>
      <c r="F152" s="14"/>
      <c r="G152" s="17"/>
      <c r="H152" s="15"/>
      <c r="I152" s="14"/>
      <c r="J152" s="17"/>
      <c r="K152" s="16"/>
      <c r="L152" s="14"/>
      <c r="M152" s="5"/>
      <c r="N152" s="5"/>
      <c r="O152" s="5"/>
      <c r="P152" s="5"/>
      <c r="Q152" s="5"/>
      <c r="R152" s="20"/>
      <c r="S152" s="5"/>
      <c r="T152" s="5"/>
      <c r="U152" s="5"/>
      <c r="V152" s="1" t="str">
        <f aca="false">IF($A152="","",IF(OR(D152="卖出",D152="分红"),IFERROR(INDEX($F$2:$F151,MATCH(2,1/($C$2:$C151=$C152))),""),""))</f>
        <v/>
      </c>
      <c r="W152" s="50" t="str">
        <f aca="false">IF($A152="","",IF(D152="买入",IF(AND(ISNUMBER(L152),L152&gt;0),(F152-L152)*G152,F152*0.08*G152),IF(AND(ISNUMBER(V152),V152&gt;0),IF(AND(ISNUMBER(L152),L152&gt;0),(V152-L152)*G152,V152*0.08*G152),0)))</f>
        <v/>
      </c>
      <c r="X152" s="51" t="str">
        <f aca="false">IF($A152="","",IF(D152="买入",0,IFERROR(IF(W152&lt;&gt;0,(H152-IFERROR(INDEX($H$2:$H151,MATCH(2,1/($C$2:$C151=$C152))),0))/W152,0),0)))</f>
        <v/>
      </c>
      <c r="Y152" s="51" t="str">
        <f aca="false">IF($A152="","",Y151+X152)</f>
        <v/>
      </c>
      <c r="Z152" s="1" t="str">
        <f aca="false">IF($A152="","",IF(X152&gt;0,IF(LEFT(Z151,1)="胜","胜"&amp;VALUE(RIGHT(Z151,LEN(Z151)-1))+1,"胜1"),IF(X152&lt;0,IF(LEFT(Z151,1)="亏","亏"&amp;VALUE(RIGHT(Z151,LEN(Z151)-1))+1,"亏1"),"平")))</f>
        <v/>
      </c>
      <c r="AA152" s="52" t="str">
        <f aca="false">IF($A152="","",MAX(0,(MAX($Y$2:Y152)-Y152)/MAX(1,MAX($Y$2:Y152))))</f>
        <v/>
      </c>
    </row>
    <row r="153" customFormat="false" ht="15" hidden="false" customHeight="true" outlineLevel="0" collapsed="false">
      <c r="A153" s="7"/>
      <c r="B153" s="7"/>
      <c r="C153" s="7"/>
      <c r="D153" s="12"/>
      <c r="E153" s="12"/>
      <c r="F153" s="24"/>
      <c r="G153" s="25"/>
      <c r="H153" s="15"/>
      <c r="I153" s="24"/>
      <c r="J153" s="25"/>
      <c r="K153" s="16"/>
      <c r="L153" s="24"/>
      <c r="M153" s="7"/>
      <c r="N153" s="7"/>
      <c r="O153" s="7"/>
      <c r="P153" s="7"/>
      <c r="Q153" s="7"/>
      <c r="R153" s="26"/>
      <c r="S153" s="7"/>
      <c r="T153" s="7"/>
      <c r="U153" s="7"/>
      <c r="V153" s="1" t="str">
        <f aca="false">IF($A153="","",IF(OR(D153="卖出",D153="分红"),IFERROR(INDEX($F$2:$F152,MATCH(2,1/($C$2:$C152=$C153))),""),""))</f>
        <v/>
      </c>
      <c r="W153" s="50" t="str">
        <f aca="false">IF($A153="","",IF(D153="买入",IF(AND(ISNUMBER(L153),L153&gt;0),(F153-L153)*G153,F153*0.08*G153),IF(AND(ISNUMBER(V153),V153&gt;0),IF(AND(ISNUMBER(L153),L153&gt;0),(V153-L153)*G153,V153*0.08*G153),0)))</f>
        <v/>
      </c>
      <c r="X153" s="51" t="str">
        <f aca="false">IF($A153="","",IF(D153="买入",0,IFERROR(IF(W153&lt;&gt;0,(H153-IFERROR(INDEX($H$2:$H152,MATCH(2,1/($C$2:$C152=$C153))),0))/W153,0),0)))</f>
        <v/>
      </c>
      <c r="Y153" s="51" t="str">
        <f aca="false">IF($A153="","",Y152+X153)</f>
        <v/>
      </c>
      <c r="Z153" s="1" t="str">
        <f aca="false">IF($A153="","",IF(X153&gt;0,IF(LEFT(Z152,1)="胜","胜"&amp;VALUE(RIGHT(Z152,LEN(Z152)-1))+1,"胜1"),IF(X153&lt;0,IF(LEFT(Z152,1)="亏","亏"&amp;VALUE(RIGHT(Z152,LEN(Z152)-1))+1,"亏1"),"平")))</f>
        <v/>
      </c>
      <c r="AA153" s="52" t="str">
        <f aca="false">IF($A153="","",MAX(0,(MAX($Y$2:Y153)-Y153)/MAX(1,MAX($Y$2:Y153))))</f>
        <v/>
      </c>
    </row>
    <row r="154" customFormat="false" ht="15" hidden="false" customHeight="true" outlineLevel="0" collapsed="false">
      <c r="A154" s="5"/>
      <c r="B154" s="5"/>
      <c r="C154" s="5"/>
      <c r="D154" s="11"/>
      <c r="E154" s="11"/>
      <c r="F154" s="14"/>
      <c r="G154" s="17"/>
      <c r="H154" s="15"/>
      <c r="I154" s="14"/>
      <c r="J154" s="17"/>
      <c r="K154" s="16"/>
      <c r="L154" s="14"/>
      <c r="M154" s="5"/>
      <c r="N154" s="5"/>
      <c r="O154" s="5"/>
      <c r="P154" s="5"/>
      <c r="Q154" s="5"/>
      <c r="R154" s="20"/>
      <c r="S154" s="5"/>
      <c r="T154" s="5"/>
      <c r="U154" s="5"/>
      <c r="V154" s="1" t="str">
        <f aca="false">IF($A154="","",IF(OR(D154="卖出",D154="分红"),IFERROR(INDEX($F$2:$F153,MATCH(2,1/($C$2:$C153=$C154))),""),""))</f>
        <v/>
      </c>
      <c r="W154" s="50" t="str">
        <f aca="false">IF($A154="","",IF(D154="买入",IF(AND(ISNUMBER(L154),L154&gt;0),(F154-L154)*G154,F154*0.08*G154),IF(AND(ISNUMBER(V154),V154&gt;0),IF(AND(ISNUMBER(L154),L154&gt;0),(V154-L154)*G154,V154*0.08*G154),0)))</f>
        <v/>
      </c>
      <c r="X154" s="51" t="str">
        <f aca="false">IF($A154="","",IF(D154="买入",0,IFERROR(IF(W154&lt;&gt;0,(H154-IFERROR(INDEX($H$2:$H153,MATCH(2,1/($C$2:$C153=$C154))),0))/W154,0),0)))</f>
        <v/>
      </c>
      <c r="Y154" s="51" t="str">
        <f aca="false">IF($A154="","",Y153+X154)</f>
        <v/>
      </c>
      <c r="Z154" s="1" t="str">
        <f aca="false">IF($A154="","",IF(X154&gt;0,IF(LEFT(Z153,1)="胜","胜"&amp;VALUE(RIGHT(Z153,LEN(Z153)-1))+1,"胜1"),IF(X154&lt;0,IF(LEFT(Z153,1)="亏","亏"&amp;VALUE(RIGHT(Z153,LEN(Z153)-1))+1,"亏1"),"平")))</f>
        <v/>
      </c>
      <c r="AA154" s="52" t="str">
        <f aca="false">IF($A154="","",MAX(0,(MAX($Y$2:Y154)-Y154)/MAX(1,MAX($Y$2:Y154))))</f>
        <v/>
      </c>
    </row>
    <row r="155" customFormat="false" ht="15" hidden="false" customHeight="true" outlineLevel="0" collapsed="false">
      <c r="A155" s="7"/>
      <c r="B155" s="7"/>
      <c r="C155" s="7"/>
      <c r="D155" s="12"/>
      <c r="E155" s="12"/>
      <c r="F155" s="24"/>
      <c r="G155" s="25"/>
      <c r="H155" s="15"/>
      <c r="I155" s="24"/>
      <c r="J155" s="25"/>
      <c r="K155" s="16"/>
      <c r="L155" s="24"/>
      <c r="M155" s="7"/>
      <c r="N155" s="7"/>
      <c r="O155" s="7"/>
      <c r="P155" s="7"/>
      <c r="Q155" s="7"/>
      <c r="R155" s="26"/>
      <c r="S155" s="7"/>
      <c r="T155" s="7"/>
      <c r="U155" s="7"/>
      <c r="V155" s="1" t="str">
        <f aca="false">IF($A155="","",IF(OR(D155="卖出",D155="分红"),IFERROR(INDEX($F$2:$F154,MATCH(2,1/($C$2:$C154=$C155))),""),""))</f>
        <v/>
      </c>
      <c r="W155" s="50" t="str">
        <f aca="false">IF($A155="","",IF(D155="买入",IF(AND(ISNUMBER(L155),L155&gt;0),(F155-L155)*G155,F155*0.08*G155),IF(AND(ISNUMBER(V155),V155&gt;0),IF(AND(ISNUMBER(L155),L155&gt;0),(V155-L155)*G155,V155*0.08*G155),0)))</f>
        <v/>
      </c>
      <c r="X155" s="51" t="str">
        <f aca="false">IF($A155="","",IF(D155="买入",0,IFERROR(IF(W155&lt;&gt;0,(H155-IFERROR(INDEX($H$2:$H154,MATCH(2,1/($C$2:$C154=$C155))),0))/W155,0),0)))</f>
        <v/>
      </c>
      <c r="Y155" s="51" t="str">
        <f aca="false">IF($A155="","",Y154+X155)</f>
        <v/>
      </c>
      <c r="Z155" s="1" t="str">
        <f aca="false">IF($A155="","",IF(X155&gt;0,IF(LEFT(Z154,1)="胜","胜"&amp;VALUE(RIGHT(Z154,LEN(Z154)-1))+1,"胜1"),IF(X155&lt;0,IF(LEFT(Z154,1)="亏","亏"&amp;VALUE(RIGHT(Z154,LEN(Z154)-1))+1,"亏1"),"平")))</f>
        <v/>
      </c>
      <c r="AA155" s="52" t="str">
        <f aca="false">IF($A155="","",MAX(0,(MAX($Y$2:Y155)-Y155)/MAX(1,MAX($Y$2:Y155))))</f>
        <v/>
      </c>
    </row>
    <row r="156" customFormat="false" ht="15" hidden="false" customHeight="true" outlineLevel="0" collapsed="false">
      <c r="A156" s="5"/>
      <c r="B156" s="5"/>
      <c r="C156" s="5"/>
      <c r="D156" s="11"/>
      <c r="E156" s="11"/>
      <c r="F156" s="14"/>
      <c r="G156" s="17"/>
      <c r="H156" s="15"/>
      <c r="I156" s="14"/>
      <c r="J156" s="17"/>
      <c r="K156" s="16"/>
      <c r="L156" s="14"/>
      <c r="M156" s="5"/>
      <c r="N156" s="5"/>
      <c r="O156" s="5"/>
      <c r="P156" s="5"/>
      <c r="Q156" s="5"/>
      <c r="R156" s="20"/>
      <c r="S156" s="5"/>
      <c r="T156" s="5"/>
      <c r="U156" s="5"/>
      <c r="V156" s="1" t="str">
        <f aca="false">IF($A156="","",IF(OR(D156="卖出",D156="分红"),IFERROR(INDEX($F$2:$F155,MATCH(2,1/($C$2:$C155=$C156))),""),""))</f>
        <v/>
      </c>
      <c r="W156" s="50" t="str">
        <f aca="false">IF($A156="","",IF(D156="买入",IF(AND(ISNUMBER(L156),L156&gt;0),(F156-L156)*G156,F156*0.08*G156),IF(AND(ISNUMBER(V156),V156&gt;0),IF(AND(ISNUMBER(L156),L156&gt;0),(V156-L156)*G156,V156*0.08*G156),0)))</f>
        <v/>
      </c>
      <c r="X156" s="51" t="str">
        <f aca="false">IF($A156="","",IF(D156="买入",0,IFERROR(IF(W156&lt;&gt;0,(H156-IFERROR(INDEX($H$2:$H155,MATCH(2,1/($C$2:$C155=$C156))),0))/W156,0),0)))</f>
        <v/>
      </c>
      <c r="Y156" s="51" t="str">
        <f aca="false">IF($A156="","",Y155+X156)</f>
        <v/>
      </c>
      <c r="Z156" s="1" t="str">
        <f aca="false">IF($A156="","",IF(X156&gt;0,IF(LEFT(Z155,1)="胜","胜"&amp;VALUE(RIGHT(Z155,LEN(Z155)-1))+1,"胜1"),IF(X156&lt;0,IF(LEFT(Z155,1)="亏","亏"&amp;VALUE(RIGHT(Z155,LEN(Z155)-1))+1,"亏1"),"平")))</f>
        <v/>
      </c>
      <c r="AA156" s="52" t="str">
        <f aca="false">IF($A156="","",MAX(0,(MAX($Y$2:Y156)-Y156)/MAX(1,MAX($Y$2:Y156))))</f>
        <v/>
      </c>
    </row>
    <row r="157" customFormat="false" ht="15" hidden="false" customHeight="true" outlineLevel="0" collapsed="false">
      <c r="A157" s="7"/>
      <c r="B157" s="7"/>
      <c r="C157" s="7"/>
      <c r="D157" s="12"/>
      <c r="E157" s="12"/>
      <c r="F157" s="24"/>
      <c r="G157" s="25"/>
      <c r="H157" s="15"/>
      <c r="I157" s="24"/>
      <c r="J157" s="25"/>
      <c r="K157" s="16"/>
      <c r="L157" s="24"/>
      <c r="M157" s="7"/>
      <c r="N157" s="7"/>
      <c r="O157" s="7"/>
      <c r="P157" s="7"/>
      <c r="Q157" s="7"/>
      <c r="R157" s="26"/>
      <c r="S157" s="7"/>
      <c r="T157" s="7"/>
      <c r="U157" s="7"/>
      <c r="V157" s="1" t="str">
        <f aca="false">IF($A157="","",IF(OR(D157="卖出",D157="分红"),IFERROR(INDEX($F$2:$F156,MATCH(2,1/($C$2:$C156=$C157))),""),""))</f>
        <v/>
      </c>
      <c r="W157" s="50" t="str">
        <f aca="false">IF($A157="","",IF(D157="买入",IF(AND(ISNUMBER(L157),L157&gt;0),(F157-L157)*G157,F157*0.08*G157),IF(AND(ISNUMBER(V157),V157&gt;0),IF(AND(ISNUMBER(L157),L157&gt;0),(V157-L157)*G157,V157*0.08*G157),0)))</f>
        <v/>
      </c>
      <c r="X157" s="51" t="str">
        <f aca="false">IF($A157="","",IF(D157="买入",0,IFERROR(IF(W157&lt;&gt;0,(H157-IFERROR(INDEX($H$2:$H156,MATCH(2,1/($C$2:$C156=$C157))),0))/W157,0),0)))</f>
        <v/>
      </c>
      <c r="Y157" s="51" t="str">
        <f aca="false">IF($A157="","",Y156+X157)</f>
        <v/>
      </c>
      <c r="Z157" s="1" t="str">
        <f aca="false">IF($A157="","",IF(X157&gt;0,IF(LEFT(Z156,1)="胜","胜"&amp;VALUE(RIGHT(Z156,LEN(Z156)-1))+1,"胜1"),IF(X157&lt;0,IF(LEFT(Z156,1)="亏","亏"&amp;VALUE(RIGHT(Z156,LEN(Z156)-1))+1,"亏1"),"平")))</f>
        <v/>
      </c>
      <c r="AA157" s="52" t="str">
        <f aca="false">IF($A157="","",MAX(0,(MAX($Y$2:Y157)-Y157)/MAX(1,MAX($Y$2:Y157))))</f>
        <v/>
      </c>
    </row>
    <row r="158" customFormat="false" ht="15" hidden="false" customHeight="true" outlineLevel="0" collapsed="false">
      <c r="A158" s="5"/>
      <c r="B158" s="5"/>
      <c r="C158" s="5"/>
      <c r="D158" s="11"/>
      <c r="E158" s="11"/>
      <c r="F158" s="14"/>
      <c r="G158" s="17"/>
      <c r="H158" s="15"/>
      <c r="I158" s="14"/>
      <c r="J158" s="17"/>
      <c r="K158" s="16"/>
      <c r="L158" s="14"/>
      <c r="M158" s="5"/>
      <c r="N158" s="5"/>
      <c r="O158" s="5"/>
      <c r="P158" s="5"/>
      <c r="Q158" s="5"/>
      <c r="R158" s="20"/>
      <c r="S158" s="5"/>
      <c r="T158" s="5"/>
      <c r="U158" s="5"/>
      <c r="V158" s="1" t="str">
        <f aca="false">IF($A158="","",IF(OR(D158="卖出",D158="分红"),IFERROR(INDEX($F$2:$F157,MATCH(2,1/($C$2:$C157=$C158))),""),""))</f>
        <v/>
      </c>
      <c r="W158" s="50" t="str">
        <f aca="false">IF($A158="","",IF(D158="买入",IF(AND(ISNUMBER(L158),L158&gt;0),(F158-L158)*G158,F158*0.08*G158),IF(AND(ISNUMBER(V158),V158&gt;0),IF(AND(ISNUMBER(L158),L158&gt;0),(V158-L158)*G158,V158*0.08*G158),0)))</f>
        <v/>
      </c>
      <c r="X158" s="51" t="str">
        <f aca="false">IF($A158="","",IF(D158="买入",0,IFERROR(IF(W158&lt;&gt;0,(H158-IFERROR(INDEX($H$2:$H157,MATCH(2,1/($C$2:$C157=$C158))),0))/W158,0),0)))</f>
        <v/>
      </c>
      <c r="Y158" s="51" t="str">
        <f aca="false">IF($A158="","",Y157+X158)</f>
        <v/>
      </c>
      <c r="Z158" s="1" t="str">
        <f aca="false">IF($A158="","",IF(X158&gt;0,IF(LEFT(Z157,1)="胜","胜"&amp;VALUE(RIGHT(Z157,LEN(Z157)-1))+1,"胜1"),IF(X158&lt;0,IF(LEFT(Z157,1)="亏","亏"&amp;VALUE(RIGHT(Z157,LEN(Z157)-1))+1,"亏1"),"平")))</f>
        <v/>
      </c>
      <c r="AA158" s="52" t="str">
        <f aca="false">IF($A158="","",MAX(0,(MAX($Y$2:Y158)-Y158)/MAX(1,MAX($Y$2:Y158))))</f>
        <v/>
      </c>
    </row>
    <row r="159" customFormat="false" ht="15" hidden="false" customHeight="true" outlineLevel="0" collapsed="false">
      <c r="A159" s="7"/>
      <c r="B159" s="7"/>
      <c r="C159" s="7"/>
      <c r="D159" s="12"/>
      <c r="E159" s="12"/>
      <c r="F159" s="24"/>
      <c r="G159" s="25"/>
      <c r="H159" s="15"/>
      <c r="I159" s="24"/>
      <c r="J159" s="25"/>
      <c r="K159" s="16"/>
      <c r="L159" s="24"/>
      <c r="M159" s="7"/>
      <c r="N159" s="7"/>
      <c r="O159" s="7"/>
      <c r="P159" s="7"/>
      <c r="Q159" s="7"/>
      <c r="R159" s="26"/>
      <c r="S159" s="7"/>
      <c r="T159" s="7"/>
      <c r="U159" s="7"/>
      <c r="V159" s="1" t="str">
        <f aca="false">IF($A159="","",IF(OR(D159="卖出",D159="分红"),IFERROR(INDEX($F$2:$F158,MATCH(2,1/($C$2:$C158=$C159))),""),""))</f>
        <v/>
      </c>
      <c r="W159" s="50" t="str">
        <f aca="false">IF($A159="","",IF(D159="买入",IF(AND(ISNUMBER(L159),L159&gt;0),(F159-L159)*G159,F159*0.08*G159),IF(AND(ISNUMBER(V159),V159&gt;0),IF(AND(ISNUMBER(L159),L159&gt;0),(V159-L159)*G159,V159*0.08*G159),0)))</f>
        <v/>
      </c>
      <c r="X159" s="51" t="str">
        <f aca="false">IF($A159="","",IF(D159="买入",0,IFERROR(IF(W159&lt;&gt;0,(H159-IFERROR(INDEX($H$2:$H158,MATCH(2,1/($C$2:$C158=$C159))),0))/W159,0),0)))</f>
        <v/>
      </c>
      <c r="Y159" s="51" t="str">
        <f aca="false">IF($A159="","",Y158+X159)</f>
        <v/>
      </c>
      <c r="Z159" s="1" t="str">
        <f aca="false">IF($A159="","",IF(X159&gt;0,IF(LEFT(Z158,1)="胜","胜"&amp;VALUE(RIGHT(Z158,LEN(Z158)-1))+1,"胜1"),IF(X159&lt;0,IF(LEFT(Z158,1)="亏","亏"&amp;VALUE(RIGHT(Z158,LEN(Z158)-1))+1,"亏1"),"平")))</f>
        <v/>
      </c>
      <c r="AA159" s="52" t="str">
        <f aca="false">IF($A159="","",MAX(0,(MAX($Y$2:Y159)-Y159)/MAX(1,MAX($Y$2:Y159))))</f>
        <v/>
      </c>
    </row>
    <row r="160" customFormat="false" ht="15" hidden="false" customHeight="true" outlineLevel="0" collapsed="false">
      <c r="A160" s="5"/>
      <c r="B160" s="5"/>
      <c r="C160" s="5"/>
      <c r="D160" s="11"/>
      <c r="E160" s="11"/>
      <c r="F160" s="14"/>
      <c r="G160" s="17"/>
      <c r="H160" s="15"/>
      <c r="I160" s="14"/>
      <c r="J160" s="17"/>
      <c r="K160" s="16"/>
      <c r="L160" s="14"/>
      <c r="M160" s="5"/>
      <c r="N160" s="5"/>
      <c r="O160" s="5"/>
      <c r="P160" s="5"/>
      <c r="Q160" s="5"/>
      <c r="R160" s="20"/>
      <c r="S160" s="5"/>
      <c r="T160" s="5"/>
      <c r="U160" s="5"/>
      <c r="V160" s="1" t="str">
        <f aca="false">IF($A160="","",IF(OR(D160="卖出",D160="分红"),IFERROR(INDEX($F$2:$F159,MATCH(2,1/($C$2:$C159=$C160))),""),""))</f>
        <v/>
      </c>
      <c r="W160" s="50" t="str">
        <f aca="false">IF($A160="","",IF(D160="买入",IF(AND(ISNUMBER(L160),L160&gt;0),(F160-L160)*G160,F160*0.08*G160),IF(AND(ISNUMBER(V160),V160&gt;0),IF(AND(ISNUMBER(L160),L160&gt;0),(V160-L160)*G160,V160*0.08*G160),0)))</f>
        <v/>
      </c>
      <c r="X160" s="51" t="str">
        <f aca="false">IF($A160="","",IF(D160="买入",0,IFERROR(IF(W160&lt;&gt;0,(H160-IFERROR(INDEX($H$2:$H159,MATCH(2,1/($C$2:$C159=$C160))),0))/W160,0),0)))</f>
        <v/>
      </c>
      <c r="Y160" s="51" t="str">
        <f aca="false">IF($A160="","",Y159+X160)</f>
        <v/>
      </c>
      <c r="Z160" s="1" t="str">
        <f aca="false">IF($A160="","",IF(X160&gt;0,IF(LEFT(Z159,1)="胜","胜"&amp;VALUE(RIGHT(Z159,LEN(Z159)-1))+1,"胜1"),IF(X160&lt;0,IF(LEFT(Z159,1)="亏","亏"&amp;VALUE(RIGHT(Z159,LEN(Z159)-1))+1,"亏1"),"平")))</f>
        <v/>
      </c>
      <c r="AA160" s="52" t="str">
        <f aca="false">IF($A160="","",MAX(0,(MAX($Y$2:Y160)-Y160)/MAX(1,MAX($Y$2:Y160))))</f>
        <v/>
      </c>
    </row>
    <row r="161" customFormat="false" ht="15" hidden="false" customHeight="true" outlineLevel="0" collapsed="false">
      <c r="A161" s="7"/>
      <c r="B161" s="7"/>
      <c r="C161" s="7"/>
      <c r="D161" s="12"/>
      <c r="E161" s="12"/>
      <c r="F161" s="24"/>
      <c r="G161" s="25"/>
      <c r="H161" s="15"/>
      <c r="I161" s="24"/>
      <c r="J161" s="25"/>
      <c r="K161" s="16"/>
      <c r="L161" s="24"/>
      <c r="M161" s="7"/>
      <c r="N161" s="7"/>
      <c r="O161" s="7"/>
      <c r="P161" s="7"/>
      <c r="Q161" s="7"/>
      <c r="R161" s="26"/>
      <c r="S161" s="7"/>
      <c r="T161" s="7"/>
      <c r="U161" s="7"/>
      <c r="V161" s="1" t="str">
        <f aca="false">IF($A161="","",IF(OR(D161="卖出",D161="分红"),IFERROR(INDEX($F$2:$F160,MATCH(2,1/($C$2:$C160=$C161))),""),""))</f>
        <v/>
      </c>
      <c r="W161" s="50" t="str">
        <f aca="false">IF($A161="","",IF(D161="买入",IF(AND(ISNUMBER(L161),L161&gt;0),(F161-L161)*G161,F161*0.08*G161),IF(AND(ISNUMBER(V161),V161&gt;0),IF(AND(ISNUMBER(L161),L161&gt;0),(V161-L161)*G161,V161*0.08*G161),0)))</f>
        <v/>
      </c>
      <c r="X161" s="51" t="str">
        <f aca="false">IF($A161="","",IF(D161="买入",0,IFERROR(IF(W161&lt;&gt;0,(H161-IFERROR(INDEX($H$2:$H160,MATCH(2,1/($C$2:$C160=$C161))),0))/W161,0),0)))</f>
        <v/>
      </c>
      <c r="Y161" s="51" t="str">
        <f aca="false">IF($A161="","",Y160+X161)</f>
        <v/>
      </c>
      <c r="Z161" s="1" t="str">
        <f aca="false">IF($A161="","",IF(X161&gt;0,IF(LEFT(Z160,1)="胜","胜"&amp;VALUE(RIGHT(Z160,LEN(Z160)-1))+1,"胜1"),IF(X161&lt;0,IF(LEFT(Z160,1)="亏","亏"&amp;VALUE(RIGHT(Z160,LEN(Z160)-1))+1,"亏1"),"平")))</f>
        <v/>
      </c>
      <c r="AA161" s="52" t="str">
        <f aca="false">IF($A161="","",MAX(0,(MAX($Y$2:Y161)-Y161)/MAX(1,MAX($Y$2:Y161))))</f>
        <v/>
      </c>
    </row>
    <row r="162" customFormat="false" ht="15" hidden="false" customHeight="true" outlineLevel="0" collapsed="false">
      <c r="A162" s="5"/>
      <c r="B162" s="5"/>
      <c r="C162" s="5"/>
      <c r="D162" s="11"/>
      <c r="E162" s="11"/>
      <c r="F162" s="14"/>
      <c r="G162" s="17"/>
      <c r="H162" s="15"/>
      <c r="I162" s="14"/>
      <c r="J162" s="17"/>
      <c r="K162" s="16"/>
      <c r="L162" s="14"/>
      <c r="M162" s="5"/>
      <c r="N162" s="5"/>
      <c r="O162" s="5"/>
      <c r="P162" s="5"/>
      <c r="Q162" s="5"/>
      <c r="R162" s="20"/>
      <c r="S162" s="5"/>
      <c r="T162" s="5"/>
      <c r="U162" s="5"/>
      <c r="V162" s="1" t="str">
        <f aca="false">IF($A162="","",IF(OR(D162="卖出",D162="分红"),IFERROR(INDEX($F$2:$F161,MATCH(2,1/($C$2:$C161=$C162))),""),""))</f>
        <v/>
      </c>
      <c r="W162" s="50" t="str">
        <f aca="false">IF($A162="","",IF(D162="买入",IF(AND(ISNUMBER(L162),L162&gt;0),(F162-L162)*G162,F162*0.08*G162),IF(AND(ISNUMBER(V162),V162&gt;0),IF(AND(ISNUMBER(L162),L162&gt;0),(V162-L162)*G162,V162*0.08*G162),0)))</f>
        <v/>
      </c>
      <c r="X162" s="51" t="str">
        <f aca="false">IF($A162="","",IF(D162="买入",0,IFERROR(IF(W162&lt;&gt;0,(H162-IFERROR(INDEX($H$2:$H161,MATCH(2,1/($C$2:$C161=$C162))),0))/W162,0),0)))</f>
        <v/>
      </c>
      <c r="Y162" s="51" t="str">
        <f aca="false">IF($A162="","",Y161+X162)</f>
        <v/>
      </c>
      <c r="Z162" s="1" t="str">
        <f aca="false">IF($A162="","",IF(X162&gt;0,IF(LEFT(Z161,1)="胜","胜"&amp;VALUE(RIGHT(Z161,LEN(Z161)-1))+1,"胜1"),IF(X162&lt;0,IF(LEFT(Z161,1)="亏","亏"&amp;VALUE(RIGHT(Z161,LEN(Z161)-1))+1,"亏1"),"平")))</f>
        <v/>
      </c>
      <c r="AA162" s="52" t="str">
        <f aca="false">IF($A162="","",MAX(0,(MAX($Y$2:Y162)-Y162)/MAX(1,MAX($Y$2:Y162))))</f>
        <v/>
      </c>
    </row>
    <row r="163" customFormat="false" ht="15" hidden="false" customHeight="true" outlineLevel="0" collapsed="false">
      <c r="A163" s="7"/>
      <c r="B163" s="7"/>
      <c r="C163" s="7"/>
      <c r="D163" s="12"/>
      <c r="E163" s="12"/>
      <c r="F163" s="24"/>
      <c r="G163" s="25"/>
      <c r="H163" s="15"/>
      <c r="I163" s="24"/>
      <c r="J163" s="25"/>
      <c r="K163" s="16"/>
      <c r="L163" s="24"/>
      <c r="M163" s="7"/>
      <c r="N163" s="7"/>
      <c r="O163" s="7"/>
      <c r="P163" s="7"/>
      <c r="Q163" s="7"/>
      <c r="R163" s="26"/>
      <c r="S163" s="7"/>
      <c r="T163" s="7"/>
      <c r="U163" s="7"/>
      <c r="V163" s="1" t="str">
        <f aca="false">IF($A163="","",IF(OR(D163="卖出",D163="分红"),IFERROR(INDEX($F$2:$F162,MATCH(2,1/($C$2:$C162=$C163))),""),""))</f>
        <v/>
      </c>
      <c r="W163" s="50" t="str">
        <f aca="false">IF($A163="","",IF(D163="买入",IF(AND(ISNUMBER(L163),L163&gt;0),(F163-L163)*G163,F163*0.08*G163),IF(AND(ISNUMBER(V163),V163&gt;0),IF(AND(ISNUMBER(L163),L163&gt;0),(V163-L163)*G163,V163*0.08*G163),0)))</f>
        <v/>
      </c>
      <c r="X163" s="51" t="str">
        <f aca="false">IF($A163="","",IF(D163="买入",0,IFERROR(IF(W163&lt;&gt;0,(H163-IFERROR(INDEX($H$2:$H162,MATCH(2,1/($C$2:$C162=$C163))),0))/W163,0),0)))</f>
        <v/>
      </c>
      <c r="Y163" s="51" t="str">
        <f aca="false">IF($A163="","",Y162+X163)</f>
        <v/>
      </c>
      <c r="Z163" s="1" t="str">
        <f aca="false">IF($A163="","",IF(X163&gt;0,IF(LEFT(Z162,1)="胜","胜"&amp;VALUE(RIGHT(Z162,LEN(Z162)-1))+1,"胜1"),IF(X163&lt;0,IF(LEFT(Z162,1)="亏","亏"&amp;VALUE(RIGHT(Z162,LEN(Z162)-1))+1,"亏1"),"平")))</f>
        <v/>
      </c>
      <c r="AA163" s="52" t="str">
        <f aca="false">IF($A163="","",MAX(0,(MAX($Y$2:Y163)-Y163)/MAX(1,MAX($Y$2:Y163))))</f>
        <v/>
      </c>
    </row>
    <row r="164" customFormat="false" ht="15" hidden="false" customHeight="true" outlineLevel="0" collapsed="false">
      <c r="A164" s="5"/>
      <c r="B164" s="5"/>
      <c r="C164" s="5"/>
      <c r="D164" s="11"/>
      <c r="E164" s="11"/>
      <c r="F164" s="14"/>
      <c r="G164" s="17"/>
      <c r="H164" s="15"/>
      <c r="I164" s="14"/>
      <c r="J164" s="17"/>
      <c r="K164" s="16"/>
      <c r="L164" s="14"/>
      <c r="M164" s="5"/>
      <c r="N164" s="5"/>
      <c r="O164" s="5"/>
      <c r="P164" s="5"/>
      <c r="Q164" s="5"/>
      <c r="R164" s="20"/>
      <c r="S164" s="5"/>
      <c r="T164" s="5"/>
      <c r="U164" s="5"/>
      <c r="V164" s="1" t="str">
        <f aca="false">IF($A164="","",IF(OR(D164="卖出",D164="分红"),IFERROR(INDEX($F$2:$F163,MATCH(2,1/($C$2:$C163=$C164))),""),""))</f>
        <v/>
      </c>
      <c r="W164" s="50" t="str">
        <f aca="false">IF($A164="","",IF(D164="买入",IF(AND(ISNUMBER(L164),L164&gt;0),(F164-L164)*G164,F164*0.08*G164),IF(AND(ISNUMBER(V164),V164&gt;0),IF(AND(ISNUMBER(L164),L164&gt;0),(V164-L164)*G164,V164*0.08*G164),0)))</f>
        <v/>
      </c>
      <c r="X164" s="51" t="str">
        <f aca="false">IF($A164="","",IF(D164="买入",0,IFERROR(IF(W164&lt;&gt;0,(H164-IFERROR(INDEX($H$2:$H163,MATCH(2,1/($C$2:$C163=$C164))),0))/W164,0),0)))</f>
        <v/>
      </c>
      <c r="Y164" s="51" t="str">
        <f aca="false">IF($A164="","",Y163+X164)</f>
        <v/>
      </c>
      <c r="Z164" s="1" t="str">
        <f aca="false">IF($A164="","",IF(X164&gt;0,IF(LEFT(Z163,1)="胜","胜"&amp;VALUE(RIGHT(Z163,LEN(Z163)-1))+1,"胜1"),IF(X164&lt;0,IF(LEFT(Z163,1)="亏","亏"&amp;VALUE(RIGHT(Z163,LEN(Z163)-1))+1,"亏1"),"平")))</f>
        <v/>
      </c>
      <c r="AA164" s="52" t="str">
        <f aca="false">IF($A164="","",MAX(0,(MAX($Y$2:Y164)-Y164)/MAX(1,MAX($Y$2:Y164))))</f>
        <v/>
      </c>
    </row>
    <row r="165" customFormat="false" ht="15" hidden="false" customHeight="true" outlineLevel="0" collapsed="false">
      <c r="A165" s="7"/>
      <c r="B165" s="7"/>
      <c r="C165" s="7"/>
      <c r="D165" s="12"/>
      <c r="E165" s="12"/>
      <c r="F165" s="24"/>
      <c r="G165" s="25"/>
      <c r="H165" s="15"/>
      <c r="I165" s="24"/>
      <c r="J165" s="25"/>
      <c r="K165" s="16"/>
      <c r="L165" s="24"/>
      <c r="M165" s="7"/>
      <c r="N165" s="7"/>
      <c r="O165" s="7"/>
      <c r="P165" s="7"/>
      <c r="Q165" s="7"/>
      <c r="R165" s="26"/>
      <c r="S165" s="7"/>
      <c r="T165" s="7"/>
      <c r="U165" s="7"/>
      <c r="V165" s="1" t="str">
        <f aca="false">IF($A165="","",IF(OR(D165="卖出",D165="分红"),IFERROR(INDEX($F$2:$F164,MATCH(2,1/($C$2:$C164=$C165))),""),""))</f>
        <v/>
      </c>
      <c r="W165" s="50" t="str">
        <f aca="false">IF($A165="","",IF(D165="买入",IF(AND(ISNUMBER(L165),L165&gt;0),(F165-L165)*G165,F165*0.08*G165),IF(AND(ISNUMBER(V165),V165&gt;0),IF(AND(ISNUMBER(L165),L165&gt;0),(V165-L165)*G165,V165*0.08*G165),0)))</f>
        <v/>
      </c>
      <c r="X165" s="51" t="str">
        <f aca="false">IF($A165="","",IF(D165="买入",0,IFERROR(IF(W165&lt;&gt;0,(H165-IFERROR(INDEX($H$2:$H164,MATCH(2,1/($C$2:$C164=$C165))),0))/W165,0),0)))</f>
        <v/>
      </c>
      <c r="Y165" s="51" t="str">
        <f aca="false">IF($A165="","",Y164+X165)</f>
        <v/>
      </c>
      <c r="Z165" s="1" t="str">
        <f aca="false">IF($A165="","",IF(X165&gt;0,IF(LEFT(Z164,1)="胜","胜"&amp;VALUE(RIGHT(Z164,LEN(Z164)-1))+1,"胜1"),IF(X165&lt;0,IF(LEFT(Z164,1)="亏","亏"&amp;VALUE(RIGHT(Z164,LEN(Z164)-1))+1,"亏1"),"平")))</f>
        <v/>
      </c>
      <c r="AA165" s="52" t="str">
        <f aca="false">IF($A165="","",MAX(0,(MAX($Y$2:Y165)-Y165)/MAX(1,MAX($Y$2:Y165))))</f>
        <v/>
      </c>
    </row>
    <row r="166" customFormat="false" ht="15" hidden="false" customHeight="true" outlineLevel="0" collapsed="false">
      <c r="A166" s="5"/>
      <c r="B166" s="5"/>
      <c r="C166" s="5"/>
      <c r="D166" s="11"/>
      <c r="E166" s="11"/>
      <c r="F166" s="14"/>
      <c r="G166" s="17"/>
      <c r="H166" s="15"/>
      <c r="I166" s="14"/>
      <c r="J166" s="17"/>
      <c r="K166" s="16"/>
      <c r="L166" s="14"/>
      <c r="M166" s="5"/>
      <c r="N166" s="5"/>
      <c r="O166" s="5"/>
      <c r="P166" s="5"/>
      <c r="Q166" s="5"/>
      <c r="R166" s="20"/>
      <c r="S166" s="5"/>
      <c r="T166" s="5"/>
      <c r="U166" s="5"/>
      <c r="V166" s="1" t="str">
        <f aca="false">IF($A166="","",IF(OR(D166="卖出",D166="分红"),IFERROR(INDEX($F$2:$F165,MATCH(2,1/($C$2:$C165=$C166))),""),""))</f>
        <v/>
      </c>
      <c r="W166" s="50" t="str">
        <f aca="false">IF($A166="","",IF(D166="买入",IF(AND(ISNUMBER(L166),L166&gt;0),(F166-L166)*G166,F166*0.08*G166),IF(AND(ISNUMBER(V166),V166&gt;0),IF(AND(ISNUMBER(L166),L166&gt;0),(V166-L166)*G166,V166*0.08*G166),0)))</f>
        <v/>
      </c>
      <c r="X166" s="51" t="str">
        <f aca="false">IF($A166="","",IF(D166="买入",0,IFERROR(IF(W166&lt;&gt;0,(H166-IFERROR(INDEX($H$2:$H165,MATCH(2,1/($C$2:$C165=$C166))),0))/W166,0),0)))</f>
        <v/>
      </c>
      <c r="Y166" s="51" t="str">
        <f aca="false">IF($A166="","",Y165+X166)</f>
        <v/>
      </c>
      <c r="Z166" s="1" t="str">
        <f aca="false">IF($A166="","",IF(X166&gt;0,IF(LEFT(Z165,1)="胜","胜"&amp;VALUE(RIGHT(Z165,LEN(Z165)-1))+1,"胜1"),IF(X166&lt;0,IF(LEFT(Z165,1)="亏","亏"&amp;VALUE(RIGHT(Z165,LEN(Z165)-1))+1,"亏1"),"平")))</f>
        <v/>
      </c>
      <c r="AA166" s="52" t="str">
        <f aca="false">IF($A166="","",MAX(0,(MAX($Y$2:Y166)-Y166)/MAX(1,MAX($Y$2:Y166))))</f>
        <v/>
      </c>
    </row>
    <row r="167" customFormat="false" ht="15" hidden="false" customHeight="true" outlineLevel="0" collapsed="false">
      <c r="A167" s="7"/>
      <c r="B167" s="7"/>
      <c r="C167" s="7"/>
      <c r="D167" s="12"/>
      <c r="E167" s="12"/>
      <c r="F167" s="24"/>
      <c r="G167" s="25"/>
      <c r="H167" s="15"/>
      <c r="I167" s="24"/>
      <c r="J167" s="25"/>
      <c r="K167" s="16"/>
      <c r="L167" s="24"/>
      <c r="M167" s="7"/>
      <c r="N167" s="7"/>
      <c r="O167" s="7"/>
      <c r="P167" s="7"/>
      <c r="Q167" s="7"/>
      <c r="R167" s="26"/>
      <c r="S167" s="7"/>
      <c r="T167" s="7"/>
      <c r="U167" s="7"/>
      <c r="V167" s="1" t="str">
        <f aca="false">IF($A167="","",IF(OR(D167="卖出",D167="分红"),IFERROR(INDEX($F$2:$F166,MATCH(2,1/($C$2:$C166=$C167))),""),""))</f>
        <v/>
      </c>
      <c r="W167" s="50" t="str">
        <f aca="false">IF($A167="","",IF(D167="买入",IF(AND(ISNUMBER(L167),L167&gt;0),(F167-L167)*G167,F167*0.08*G167),IF(AND(ISNUMBER(V167),V167&gt;0),IF(AND(ISNUMBER(L167),L167&gt;0),(V167-L167)*G167,V167*0.08*G167),0)))</f>
        <v/>
      </c>
      <c r="X167" s="51" t="str">
        <f aca="false">IF($A167="","",IF(D167="买入",0,IFERROR(IF(W167&lt;&gt;0,(H167-IFERROR(INDEX($H$2:$H166,MATCH(2,1/($C$2:$C166=$C167))),0))/W167,0),0)))</f>
        <v/>
      </c>
      <c r="Y167" s="51" t="str">
        <f aca="false">IF($A167="","",Y166+X167)</f>
        <v/>
      </c>
      <c r="Z167" s="1" t="str">
        <f aca="false">IF($A167="","",IF(X167&gt;0,IF(LEFT(Z166,1)="胜","胜"&amp;VALUE(RIGHT(Z166,LEN(Z166)-1))+1,"胜1"),IF(X167&lt;0,IF(LEFT(Z166,1)="亏","亏"&amp;VALUE(RIGHT(Z166,LEN(Z166)-1))+1,"亏1"),"平")))</f>
        <v/>
      </c>
      <c r="AA167" s="52" t="str">
        <f aca="false">IF($A167="","",MAX(0,(MAX($Y$2:Y167)-Y167)/MAX(1,MAX($Y$2:Y167))))</f>
        <v/>
      </c>
    </row>
    <row r="168" customFormat="false" ht="15" hidden="false" customHeight="true" outlineLevel="0" collapsed="false">
      <c r="A168" s="5"/>
      <c r="B168" s="5"/>
      <c r="C168" s="5"/>
      <c r="D168" s="11"/>
      <c r="E168" s="11"/>
      <c r="F168" s="14"/>
      <c r="G168" s="17"/>
      <c r="H168" s="15"/>
      <c r="I168" s="14"/>
      <c r="J168" s="17"/>
      <c r="K168" s="16"/>
      <c r="L168" s="14"/>
      <c r="M168" s="5"/>
      <c r="N168" s="5"/>
      <c r="O168" s="5"/>
      <c r="P168" s="5"/>
      <c r="Q168" s="5"/>
      <c r="R168" s="20"/>
      <c r="S168" s="5"/>
      <c r="T168" s="5"/>
      <c r="U168" s="5"/>
      <c r="V168" s="1" t="str">
        <f aca="false">IF($A168="","",IF(OR(D168="卖出",D168="分红"),IFERROR(INDEX($F$2:$F167,MATCH(2,1/($C$2:$C167=$C168))),""),""))</f>
        <v/>
      </c>
      <c r="W168" s="50" t="str">
        <f aca="false">IF($A168="","",IF(D168="买入",IF(AND(ISNUMBER(L168),L168&gt;0),(F168-L168)*G168,F168*0.08*G168),IF(AND(ISNUMBER(V168),V168&gt;0),IF(AND(ISNUMBER(L168),L168&gt;0),(V168-L168)*G168,V168*0.08*G168),0)))</f>
        <v/>
      </c>
      <c r="X168" s="51" t="str">
        <f aca="false">IF($A168="","",IF(D168="买入",0,IFERROR(IF(W168&lt;&gt;0,(H168-IFERROR(INDEX($H$2:$H167,MATCH(2,1/($C$2:$C167=$C168))),0))/W168,0),0)))</f>
        <v/>
      </c>
      <c r="Y168" s="51" t="str">
        <f aca="false">IF($A168="","",Y167+X168)</f>
        <v/>
      </c>
      <c r="Z168" s="1" t="str">
        <f aca="false">IF($A168="","",IF(X168&gt;0,IF(LEFT(Z167,1)="胜","胜"&amp;VALUE(RIGHT(Z167,LEN(Z167)-1))+1,"胜1"),IF(X168&lt;0,IF(LEFT(Z167,1)="亏","亏"&amp;VALUE(RIGHT(Z167,LEN(Z167)-1))+1,"亏1"),"平")))</f>
        <v/>
      </c>
      <c r="AA168" s="52" t="str">
        <f aca="false">IF($A168="","",MAX(0,(MAX($Y$2:Y168)-Y168)/MAX(1,MAX($Y$2:Y168))))</f>
        <v/>
      </c>
    </row>
    <row r="169" customFormat="false" ht="15" hidden="false" customHeight="true" outlineLevel="0" collapsed="false">
      <c r="A169" s="7"/>
      <c r="B169" s="7"/>
      <c r="C169" s="7"/>
      <c r="D169" s="12"/>
      <c r="E169" s="12"/>
      <c r="F169" s="24"/>
      <c r="G169" s="25"/>
      <c r="H169" s="15"/>
      <c r="I169" s="24"/>
      <c r="J169" s="25"/>
      <c r="K169" s="16"/>
      <c r="L169" s="24"/>
      <c r="M169" s="7"/>
      <c r="N169" s="7"/>
      <c r="O169" s="7"/>
      <c r="P169" s="7"/>
      <c r="Q169" s="7"/>
      <c r="R169" s="26"/>
      <c r="S169" s="7"/>
      <c r="T169" s="7"/>
      <c r="U169" s="7"/>
      <c r="V169" s="1" t="str">
        <f aca="false">IF($A169="","",IF(OR(D169="卖出",D169="分红"),IFERROR(INDEX($F$2:$F168,MATCH(2,1/($C$2:$C168=$C169))),""),""))</f>
        <v/>
      </c>
      <c r="W169" s="50" t="str">
        <f aca="false">IF($A169="","",IF(D169="买入",IF(AND(ISNUMBER(L169),L169&gt;0),(F169-L169)*G169,F169*0.08*G169),IF(AND(ISNUMBER(V169),V169&gt;0),IF(AND(ISNUMBER(L169),L169&gt;0),(V169-L169)*G169,V169*0.08*G169),0)))</f>
        <v/>
      </c>
      <c r="X169" s="51" t="str">
        <f aca="false">IF($A169="","",IF(D169="买入",0,IFERROR(IF(W169&lt;&gt;0,(H169-IFERROR(INDEX($H$2:$H168,MATCH(2,1/($C$2:$C168=$C169))),0))/W169,0),0)))</f>
        <v/>
      </c>
      <c r="Y169" s="51" t="str">
        <f aca="false">IF($A169="","",Y168+X169)</f>
        <v/>
      </c>
      <c r="Z169" s="1" t="str">
        <f aca="false">IF($A169="","",IF(X169&gt;0,IF(LEFT(Z168,1)="胜","胜"&amp;VALUE(RIGHT(Z168,LEN(Z168)-1))+1,"胜1"),IF(X169&lt;0,IF(LEFT(Z168,1)="亏","亏"&amp;VALUE(RIGHT(Z168,LEN(Z168)-1))+1,"亏1"),"平")))</f>
        <v/>
      </c>
      <c r="AA169" s="52" t="str">
        <f aca="false">IF($A169="","",MAX(0,(MAX($Y$2:Y169)-Y169)/MAX(1,MAX($Y$2:Y169))))</f>
        <v/>
      </c>
    </row>
    <row r="170" customFormat="false" ht="15" hidden="false" customHeight="true" outlineLevel="0" collapsed="false">
      <c r="A170" s="5"/>
      <c r="B170" s="5"/>
      <c r="C170" s="5"/>
      <c r="D170" s="11"/>
      <c r="E170" s="11"/>
      <c r="F170" s="14"/>
      <c r="G170" s="17"/>
      <c r="H170" s="15"/>
      <c r="I170" s="14"/>
      <c r="J170" s="17"/>
      <c r="K170" s="16"/>
      <c r="L170" s="14"/>
      <c r="M170" s="5"/>
      <c r="N170" s="5"/>
      <c r="O170" s="5"/>
      <c r="P170" s="5"/>
      <c r="Q170" s="5"/>
      <c r="R170" s="20"/>
      <c r="S170" s="5"/>
      <c r="T170" s="5"/>
      <c r="U170" s="5"/>
      <c r="V170" s="1" t="str">
        <f aca="false">IF($A170="","",IF(OR(D170="卖出",D170="分红"),IFERROR(INDEX($F$2:$F169,MATCH(2,1/($C$2:$C169=$C170))),""),""))</f>
        <v/>
      </c>
      <c r="W170" s="50" t="str">
        <f aca="false">IF($A170="","",IF(D170="买入",IF(AND(ISNUMBER(L170),L170&gt;0),(F170-L170)*G170,F170*0.08*G170),IF(AND(ISNUMBER(V170),V170&gt;0),IF(AND(ISNUMBER(L170),L170&gt;0),(V170-L170)*G170,V170*0.08*G170),0)))</f>
        <v/>
      </c>
      <c r="X170" s="51" t="str">
        <f aca="false">IF($A170="","",IF(D170="买入",0,IFERROR(IF(W170&lt;&gt;0,(H170-IFERROR(INDEX($H$2:$H169,MATCH(2,1/($C$2:$C169=$C170))),0))/W170,0),0)))</f>
        <v/>
      </c>
      <c r="Y170" s="51" t="str">
        <f aca="false">IF($A170="","",Y169+X170)</f>
        <v/>
      </c>
      <c r="Z170" s="1" t="str">
        <f aca="false">IF($A170="","",IF(X170&gt;0,IF(LEFT(Z169,1)="胜","胜"&amp;VALUE(RIGHT(Z169,LEN(Z169)-1))+1,"胜1"),IF(X170&lt;0,IF(LEFT(Z169,1)="亏","亏"&amp;VALUE(RIGHT(Z169,LEN(Z169)-1))+1,"亏1"),"平")))</f>
        <v/>
      </c>
      <c r="AA170" s="52" t="str">
        <f aca="false">IF($A170="","",MAX(0,(MAX($Y$2:Y170)-Y170)/MAX(1,MAX($Y$2:Y170))))</f>
        <v/>
      </c>
    </row>
    <row r="171" customFormat="false" ht="15" hidden="false" customHeight="true" outlineLevel="0" collapsed="false">
      <c r="A171" s="7"/>
      <c r="B171" s="7"/>
      <c r="C171" s="7"/>
      <c r="D171" s="12"/>
      <c r="E171" s="12"/>
      <c r="F171" s="24"/>
      <c r="G171" s="25"/>
      <c r="H171" s="15"/>
      <c r="I171" s="24"/>
      <c r="J171" s="25"/>
      <c r="K171" s="16"/>
      <c r="L171" s="24"/>
      <c r="M171" s="7"/>
      <c r="N171" s="7"/>
      <c r="O171" s="7"/>
      <c r="P171" s="7"/>
      <c r="Q171" s="7"/>
      <c r="R171" s="26"/>
      <c r="S171" s="7"/>
      <c r="T171" s="7"/>
      <c r="U171" s="7"/>
      <c r="V171" s="1" t="str">
        <f aca="false">IF($A171="","",IF(OR(D171="卖出",D171="分红"),IFERROR(INDEX($F$2:$F170,MATCH(2,1/($C$2:$C170=$C171))),""),""))</f>
        <v/>
      </c>
      <c r="W171" s="50" t="str">
        <f aca="false">IF($A171="","",IF(D171="买入",IF(AND(ISNUMBER(L171),L171&gt;0),(F171-L171)*G171,F171*0.08*G171),IF(AND(ISNUMBER(V171),V171&gt;0),IF(AND(ISNUMBER(L171),L171&gt;0),(V171-L171)*G171,V171*0.08*G171),0)))</f>
        <v/>
      </c>
      <c r="X171" s="51" t="str">
        <f aca="false">IF($A171="","",IF(D171="买入",0,IFERROR(IF(W171&lt;&gt;0,(H171-IFERROR(INDEX($H$2:$H170,MATCH(2,1/($C$2:$C170=$C171))),0))/W171,0),0)))</f>
        <v/>
      </c>
      <c r="Y171" s="51" t="str">
        <f aca="false">IF($A171="","",Y170+X171)</f>
        <v/>
      </c>
      <c r="Z171" s="1" t="str">
        <f aca="false">IF($A171="","",IF(X171&gt;0,IF(LEFT(Z170,1)="胜","胜"&amp;VALUE(RIGHT(Z170,LEN(Z170)-1))+1,"胜1"),IF(X171&lt;0,IF(LEFT(Z170,1)="亏","亏"&amp;VALUE(RIGHT(Z170,LEN(Z170)-1))+1,"亏1"),"平")))</f>
        <v/>
      </c>
      <c r="AA171" s="52" t="str">
        <f aca="false">IF($A171="","",MAX(0,(MAX($Y$2:Y171)-Y171)/MAX(1,MAX($Y$2:Y171))))</f>
        <v/>
      </c>
    </row>
    <row r="172" customFormat="false" ht="15" hidden="false" customHeight="true" outlineLevel="0" collapsed="false">
      <c r="A172" s="5"/>
      <c r="B172" s="5"/>
      <c r="C172" s="5"/>
      <c r="D172" s="11"/>
      <c r="E172" s="11"/>
      <c r="F172" s="14"/>
      <c r="G172" s="17"/>
      <c r="H172" s="15"/>
      <c r="I172" s="14"/>
      <c r="J172" s="17"/>
      <c r="K172" s="16"/>
      <c r="L172" s="14"/>
      <c r="M172" s="5"/>
      <c r="N172" s="5"/>
      <c r="O172" s="5"/>
      <c r="P172" s="5"/>
      <c r="Q172" s="5"/>
      <c r="R172" s="20"/>
      <c r="S172" s="5"/>
      <c r="T172" s="5"/>
      <c r="U172" s="5"/>
      <c r="V172" s="1" t="str">
        <f aca="false">IF($A172="","",IF(OR(D172="卖出",D172="分红"),IFERROR(INDEX($F$2:$F171,MATCH(2,1/($C$2:$C171=$C172))),""),""))</f>
        <v/>
      </c>
      <c r="W172" s="50" t="str">
        <f aca="false">IF($A172="","",IF(D172="买入",IF(AND(ISNUMBER(L172),L172&gt;0),(F172-L172)*G172,F172*0.08*G172),IF(AND(ISNUMBER(V172),V172&gt;0),IF(AND(ISNUMBER(L172),L172&gt;0),(V172-L172)*G172,V172*0.08*G172),0)))</f>
        <v/>
      </c>
      <c r="X172" s="51" t="str">
        <f aca="false">IF($A172="","",IF(D172="买入",0,IFERROR(IF(W172&lt;&gt;0,(H172-IFERROR(INDEX($H$2:$H171,MATCH(2,1/($C$2:$C171=$C172))),0))/W172,0),0)))</f>
        <v/>
      </c>
      <c r="Y172" s="51" t="str">
        <f aca="false">IF($A172="","",Y171+X172)</f>
        <v/>
      </c>
      <c r="Z172" s="1" t="str">
        <f aca="false">IF($A172="","",IF(X172&gt;0,IF(LEFT(Z171,1)="胜","胜"&amp;VALUE(RIGHT(Z171,LEN(Z171)-1))+1,"胜1"),IF(X172&lt;0,IF(LEFT(Z171,1)="亏","亏"&amp;VALUE(RIGHT(Z171,LEN(Z171)-1))+1,"亏1"),"平")))</f>
        <v/>
      </c>
      <c r="AA172" s="52" t="str">
        <f aca="false">IF($A172="","",MAX(0,(MAX($Y$2:Y172)-Y172)/MAX(1,MAX($Y$2:Y172))))</f>
        <v/>
      </c>
    </row>
    <row r="173" customFormat="false" ht="15" hidden="false" customHeight="true" outlineLevel="0" collapsed="false">
      <c r="A173" s="7"/>
      <c r="B173" s="7"/>
      <c r="C173" s="7"/>
      <c r="D173" s="12"/>
      <c r="E173" s="12"/>
      <c r="F173" s="24"/>
      <c r="G173" s="25"/>
      <c r="H173" s="15"/>
      <c r="I173" s="24"/>
      <c r="J173" s="25"/>
      <c r="K173" s="16"/>
      <c r="L173" s="24"/>
      <c r="M173" s="7"/>
      <c r="N173" s="7"/>
      <c r="O173" s="7"/>
      <c r="P173" s="7"/>
      <c r="Q173" s="7"/>
      <c r="R173" s="26"/>
      <c r="S173" s="7"/>
      <c r="T173" s="7"/>
      <c r="U173" s="7"/>
      <c r="V173" s="1" t="str">
        <f aca="false">IF($A173="","",IF(OR(D173="卖出",D173="分红"),IFERROR(INDEX($F$2:$F172,MATCH(2,1/($C$2:$C172=$C173))),""),""))</f>
        <v/>
      </c>
      <c r="W173" s="50" t="str">
        <f aca="false">IF($A173="","",IF(D173="买入",IF(AND(ISNUMBER(L173),L173&gt;0),(F173-L173)*G173,F173*0.08*G173),IF(AND(ISNUMBER(V173),V173&gt;0),IF(AND(ISNUMBER(L173),L173&gt;0),(V173-L173)*G173,V173*0.08*G173),0)))</f>
        <v/>
      </c>
      <c r="X173" s="51" t="str">
        <f aca="false">IF($A173="","",IF(D173="买入",0,IFERROR(IF(W173&lt;&gt;0,(H173-IFERROR(INDEX($H$2:$H172,MATCH(2,1/($C$2:$C172=$C173))),0))/W173,0),0)))</f>
        <v/>
      </c>
      <c r="Y173" s="51" t="str">
        <f aca="false">IF($A173="","",Y172+X173)</f>
        <v/>
      </c>
      <c r="Z173" s="1" t="str">
        <f aca="false">IF($A173="","",IF(X173&gt;0,IF(LEFT(Z172,1)="胜","胜"&amp;VALUE(RIGHT(Z172,LEN(Z172)-1))+1,"胜1"),IF(X173&lt;0,IF(LEFT(Z172,1)="亏","亏"&amp;VALUE(RIGHT(Z172,LEN(Z172)-1))+1,"亏1"),"平")))</f>
        <v/>
      </c>
      <c r="AA173" s="52" t="str">
        <f aca="false">IF($A173="","",MAX(0,(MAX($Y$2:Y173)-Y173)/MAX(1,MAX($Y$2:Y173))))</f>
        <v/>
      </c>
    </row>
    <row r="174" customFormat="false" ht="15" hidden="false" customHeight="true" outlineLevel="0" collapsed="false">
      <c r="A174" s="5"/>
      <c r="B174" s="5"/>
      <c r="C174" s="5"/>
      <c r="D174" s="11"/>
      <c r="E174" s="11"/>
      <c r="F174" s="14"/>
      <c r="G174" s="17"/>
      <c r="H174" s="15"/>
      <c r="I174" s="14"/>
      <c r="J174" s="17"/>
      <c r="K174" s="16"/>
      <c r="L174" s="14"/>
      <c r="M174" s="5"/>
      <c r="N174" s="5"/>
      <c r="O174" s="5"/>
      <c r="P174" s="5"/>
      <c r="Q174" s="5"/>
      <c r="R174" s="20"/>
      <c r="S174" s="5"/>
      <c r="T174" s="5"/>
      <c r="U174" s="5"/>
      <c r="V174" s="1" t="str">
        <f aca="false">IF($A174="","",IF(OR(D174="卖出",D174="分红"),IFERROR(INDEX($F$2:$F173,MATCH(2,1/($C$2:$C173=$C174))),""),""))</f>
        <v/>
      </c>
      <c r="W174" s="50" t="str">
        <f aca="false">IF($A174="","",IF(D174="买入",IF(AND(ISNUMBER(L174),L174&gt;0),(F174-L174)*G174,F174*0.08*G174),IF(AND(ISNUMBER(V174),V174&gt;0),IF(AND(ISNUMBER(L174),L174&gt;0),(V174-L174)*G174,V174*0.08*G174),0)))</f>
        <v/>
      </c>
      <c r="X174" s="51" t="str">
        <f aca="false">IF($A174="","",IF(D174="买入",0,IFERROR(IF(W174&lt;&gt;0,(H174-IFERROR(INDEX($H$2:$H173,MATCH(2,1/($C$2:$C173=$C174))),0))/W174,0),0)))</f>
        <v/>
      </c>
      <c r="Y174" s="51" t="str">
        <f aca="false">IF($A174="","",Y173+X174)</f>
        <v/>
      </c>
      <c r="Z174" s="1" t="str">
        <f aca="false">IF($A174="","",IF(X174&gt;0,IF(LEFT(Z173,1)="胜","胜"&amp;VALUE(RIGHT(Z173,LEN(Z173)-1))+1,"胜1"),IF(X174&lt;0,IF(LEFT(Z173,1)="亏","亏"&amp;VALUE(RIGHT(Z173,LEN(Z173)-1))+1,"亏1"),"平")))</f>
        <v/>
      </c>
      <c r="AA174" s="52" t="str">
        <f aca="false">IF($A174="","",MAX(0,(MAX($Y$2:Y174)-Y174)/MAX(1,MAX($Y$2:Y174))))</f>
        <v/>
      </c>
    </row>
    <row r="175" customFormat="false" ht="15" hidden="false" customHeight="true" outlineLevel="0" collapsed="false">
      <c r="A175" s="7"/>
      <c r="B175" s="7"/>
      <c r="C175" s="7"/>
      <c r="D175" s="12"/>
      <c r="E175" s="12"/>
      <c r="F175" s="24"/>
      <c r="G175" s="25"/>
      <c r="H175" s="15"/>
      <c r="I175" s="24"/>
      <c r="J175" s="25"/>
      <c r="K175" s="16"/>
      <c r="L175" s="24"/>
      <c r="M175" s="7"/>
      <c r="N175" s="7"/>
      <c r="O175" s="7"/>
      <c r="P175" s="7"/>
      <c r="Q175" s="7"/>
      <c r="R175" s="26"/>
      <c r="S175" s="7"/>
      <c r="T175" s="7"/>
      <c r="U175" s="7"/>
      <c r="V175" s="1" t="str">
        <f aca="false">IF($A175="","",IF(OR(D175="卖出",D175="分红"),IFERROR(INDEX($F$2:$F174,MATCH(2,1/($C$2:$C174=$C175))),""),""))</f>
        <v/>
      </c>
      <c r="W175" s="50" t="str">
        <f aca="false">IF($A175="","",IF(D175="买入",IF(AND(ISNUMBER(L175),L175&gt;0),(F175-L175)*G175,F175*0.08*G175),IF(AND(ISNUMBER(V175),V175&gt;0),IF(AND(ISNUMBER(L175),L175&gt;0),(V175-L175)*G175,V175*0.08*G175),0)))</f>
        <v/>
      </c>
      <c r="X175" s="51" t="str">
        <f aca="false">IF($A175="","",IF(D175="买入",0,IFERROR(IF(W175&lt;&gt;0,(H175-IFERROR(INDEX($H$2:$H174,MATCH(2,1/($C$2:$C174=$C175))),0))/W175,0),0)))</f>
        <v/>
      </c>
      <c r="Y175" s="51" t="str">
        <f aca="false">IF($A175="","",Y174+X175)</f>
        <v/>
      </c>
      <c r="Z175" s="1" t="str">
        <f aca="false">IF($A175="","",IF(X175&gt;0,IF(LEFT(Z174,1)="胜","胜"&amp;VALUE(RIGHT(Z174,LEN(Z174)-1))+1,"胜1"),IF(X175&lt;0,IF(LEFT(Z174,1)="亏","亏"&amp;VALUE(RIGHT(Z174,LEN(Z174)-1))+1,"亏1"),"平")))</f>
        <v/>
      </c>
      <c r="AA175" s="52" t="str">
        <f aca="false">IF($A175="","",MAX(0,(MAX($Y$2:Y175)-Y175)/MAX(1,MAX($Y$2:Y175))))</f>
        <v/>
      </c>
    </row>
    <row r="176" customFormat="false" ht="15" hidden="false" customHeight="true" outlineLevel="0" collapsed="false">
      <c r="A176" s="5"/>
      <c r="B176" s="5"/>
      <c r="C176" s="5"/>
      <c r="D176" s="11"/>
      <c r="E176" s="11"/>
      <c r="F176" s="14"/>
      <c r="G176" s="17"/>
      <c r="H176" s="15"/>
      <c r="I176" s="14"/>
      <c r="J176" s="17"/>
      <c r="K176" s="16"/>
      <c r="L176" s="14"/>
      <c r="M176" s="5"/>
      <c r="N176" s="5"/>
      <c r="O176" s="5"/>
      <c r="P176" s="5"/>
      <c r="Q176" s="5"/>
      <c r="R176" s="20"/>
      <c r="S176" s="5"/>
      <c r="T176" s="5"/>
      <c r="U176" s="5"/>
      <c r="V176" s="1" t="str">
        <f aca="false">IF($A176="","",IF(OR(D176="卖出",D176="分红"),IFERROR(INDEX($F$2:$F175,MATCH(2,1/($C$2:$C175=$C176))),""),""))</f>
        <v/>
      </c>
      <c r="W176" s="50" t="str">
        <f aca="false">IF($A176="","",IF(D176="买入",IF(AND(ISNUMBER(L176),L176&gt;0),(F176-L176)*G176,F176*0.08*G176),IF(AND(ISNUMBER(V176),V176&gt;0),IF(AND(ISNUMBER(L176),L176&gt;0),(V176-L176)*G176,V176*0.08*G176),0)))</f>
        <v/>
      </c>
      <c r="X176" s="51" t="str">
        <f aca="false">IF($A176="","",IF(D176="买入",0,IFERROR(IF(W176&lt;&gt;0,(H176-IFERROR(INDEX($H$2:$H175,MATCH(2,1/($C$2:$C175=$C176))),0))/W176,0),0)))</f>
        <v/>
      </c>
      <c r="Y176" s="51" t="str">
        <f aca="false">IF($A176="","",Y175+X176)</f>
        <v/>
      </c>
      <c r="Z176" s="1" t="str">
        <f aca="false">IF($A176="","",IF(X176&gt;0,IF(LEFT(Z175,1)="胜","胜"&amp;VALUE(RIGHT(Z175,LEN(Z175)-1))+1,"胜1"),IF(X176&lt;0,IF(LEFT(Z175,1)="亏","亏"&amp;VALUE(RIGHT(Z175,LEN(Z175)-1))+1,"亏1"),"平")))</f>
        <v/>
      </c>
      <c r="AA176" s="52" t="str">
        <f aca="false">IF($A176="","",MAX(0,(MAX($Y$2:Y176)-Y176)/MAX(1,MAX($Y$2:Y176))))</f>
        <v/>
      </c>
    </row>
    <row r="177" customFormat="false" ht="15" hidden="false" customHeight="true" outlineLevel="0" collapsed="false">
      <c r="A177" s="7"/>
      <c r="B177" s="7"/>
      <c r="C177" s="7"/>
      <c r="D177" s="12"/>
      <c r="E177" s="12"/>
      <c r="F177" s="24"/>
      <c r="G177" s="25"/>
      <c r="H177" s="15"/>
      <c r="I177" s="24"/>
      <c r="J177" s="25"/>
      <c r="K177" s="16"/>
      <c r="L177" s="24"/>
      <c r="M177" s="7"/>
      <c r="N177" s="7"/>
      <c r="O177" s="7"/>
      <c r="P177" s="7"/>
      <c r="Q177" s="7"/>
      <c r="R177" s="26"/>
      <c r="S177" s="7"/>
      <c r="T177" s="7"/>
      <c r="U177" s="7"/>
      <c r="V177" s="1" t="str">
        <f aca="false">IF($A177="","",IF(OR(D177="卖出",D177="分红"),IFERROR(INDEX($F$2:$F176,MATCH(2,1/($C$2:$C176=$C177))),""),""))</f>
        <v/>
      </c>
      <c r="W177" s="50" t="str">
        <f aca="false">IF($A177="","",IF(D177="买入",IF(AND(ISNUMBER(L177),L177&gt;0),(F177-L177)*G177,F177*0.08*G177),IF(AND(ISNUMBER(V177),V177&gt;0),IF(AND(ISNUMBER(L177),L177&gt;0),(V177-L177)*G177,V177*0.08*G177),0)))</f>
        <v/>
      </c>
      <c r="X177" s="51" t="str">
        <f aca="false">IF($A177="","",IF(D177="买入",0,IFERROR(IF(W177&lt;&gt;0,(H177-IFERROR(INDEX($H$2:$H176,MATCH(2,1/($C$2:$C176=$C177))),0))/W177,0),0)))</f>
        <v/>
      </c>
      <c r="Y177" s="51" t="str">
        <f aca="false">IF($A177="","",Y176+X177)</f>
        <v/>
      </c>
      <c r="Z177" s="1" t="str">
        <f aca="false">IF($A177="","",IF(X177&gt;0,IF(LEFT(Z176,1)="胜","胜"&amp;VALUE(RIGHT(Z176,LEN(Z176)-1))+1,"胜1"),IF(X177&lt;0,IF(LEFT(Z176,1)="亏","亏"&amp;VALUE(RIGHT(Z176,LEN(Z176)-1))+1,"亏1"),"平")))</f>
        <v/>
      </c>
      <c r="AA177" s="52" t="str">
        <f aca="false">IF($A177="","",MAX(0,(MAX($Y$2:Y177)-Y177)/MAX(1,MAX($Y$2:Y177))))</f>
        <v/>
      </c>
    </row>
    <row r="178" customFormat="false" ht="15" hidden="false" customHeight="true" outlineLevel="0" collapsed="false">
      <c r="A178" s="5"/>
      <c r="B178" s="5"/>
      <c r="C178" s="5"/>
      <c r="D178" s="11"/>
      <c r="E178" s="11"/>
      <c r="F178" s="14"/>
      <c r="G178" s="17"/>
      <c r="H178" s="15"/>
      <c r="I178" s="14"/>
      <c r="J178" s="17"/>
      <c r="K178" s="16"/>
      <c r="L178" s="14"/>
      <c r="M178" s="5"/>
      <c r="N178" s="5"/>
      <c r="O178" s="5"/>
      <c r="P178" s="5"/>
      <c r="Q178" s="5"/>
      <c r="R178" s="20"/>
      <c r="S178" s="5"/>
      <c r="T178" s="5"/>
      <c r="U178" s="5"/>
      <c r="V178" s="1" t="str">
        <f aca="false">IF($A178="","",IF(OR(D178="卖出",D178="分红"),IFERROR(INDEX($F$2:$F177,MATCH(2,1/($C$2:$C177=$C178))),""),""))</f>
        <v/>
      </c>
      <c r="W178" s="50" t="str">
        <f aca="false">IF($A178="","",IF(D178="买入",IF(AND(ISNUMBER(L178),L178&gt;0),(F178-L178)*G178,F178*0.08*G178),IF(AND(ISNUMBER(V178),V178&gt;0),IF(AND(ISNUMBER(L178),L178&gt;0),(V178-L178)*G178,V178*0.08*G178),0)))</f>
        <v/>
      </c>
      <c r="X178" s="51" t="str">
        <f aca="false">IF($A178="","",IF(D178="买入",0,IFERROR(IF(W178&lt;&gt;0,(H178-IFERROR(INDEX($H$2:$H177,MATCH(2,1/($C$2:$C177=$C178))),0))/W178,0),0)))</f>
        <v/>
      </c>
      <c r="Y178" s="51" t="str">
        <f aca="false">IF($A178="","",Y177+X178)</f>
        <v/>
      </c>
      <c r="Z178" s="1" t="str">
        <f aca="false">IF($A178="","",IF(X178&gt;0,IF(LEFT(Z177,1)="胜","胜"&amp;VALUE(RIGHT(Z177,LEN(Z177)-1))+1,"胜1"),IF(X178&lt;0,IF(LEFT(Z177,1)="亏","亏"&amp;VALUE(RIGHT(Z177,LEN(Z177)-1))+1,"亏1"),"平")))</f>
        <v/>
      </c>
      <c r="AA178" s="52" t="str">
        <f aca="false">IF($A178="","",MAX(0,(MAX($Y$2:Y178)-Y178)/MAX(1,MAX($Y$2:Y178))))</f>
        <v/>
      </c>
    </row>
    <row r="179" customFormat="false" ht="15" hidden="false" customHeight="true" outlineLevel="0" collapsed="false">
      <c r="A179" s="7"/>
      <c r="B179" s="7"/>
      <c r="C179" s="7"/>
      <c r="D179" s="12"/>
      <c r="E179" s="12"/>
      <c r="F179" s="24"/>
      <c r="G179" s="25"/>
      <c r="H179" s="15"/>
      <c r="I179" s="24"/>
      <c r="J179" s="25"/>
      <c r="K179" s="16"/>
      <c r="L179" s="24"/>
      <c r="M179" s="7"/>
      <c r="N179" s="7"/>
      <c r="O179" s="7"/>
      <c r="P179" s="7"/>
      <c r="Q179" s="7"/>
      <c r="R179" s="26"/>
      <c r="S179" s="7"/>
      <c r="T179" s="7"/>
      <c r="U179" s="7"/>
      <c r="V179" s="1" t="str">
        <f aca="false">IF($A179="","",IF(OR(D179="卖出",D179="分红"),IFERROR(INDEX($F$2:$F178,MATCH(2,1/($C$2:$C178=$C179))),""),""))</f>
        <v/>
      </c>
      <c r="W179" s="50" t="str">
        <f aca="false">IF($A179="","",IF(D179="买入",IF(AND(ISNUMBER(L179),L179&gt;0),(F179-L179)*G179,F179*0.08*G179),IF(AND(ISNUMBER(V179),V179&gt;0),IF(AND(ISNUMBER(L179),L179&gt;0),(V179-L179)*G179,V179*0.08*G179),0)))</f>
        <v/>
      </c>
      <c r="X179" s="51" t="str">
        <f aca="false">IF($A179="","",IF(D179="买入",0,IFERROR(IF(W179&lt;&gt;0,(H179-IFERROR(INDEX($H$2:$H178,MATCH(2,1/($C$2:$C178=$C179))),0))/W179,0),0)))</f>
        <v/>
      </c>
      <c r="Y179" s="51" t="str">
        <f aca="false">IF($A179="","",Y178+X179)</f>
        <v/>
      </c>
      <c r="Z179" s="1" t="str">
        <f aca="false">IF($A179="","",IF(X179&gt;0,IF(LEFT(Z178,1)="胜","胜"&amp;VALUE(RIGHT(Z178,LEN(Z178)-1))+1,"胜1"),IF(X179&lt;0,IF(LEFT(Z178,1)="亏","亏"&amp;VALUE(RIGHT(Z178,LEN(Z178)-1))+1,"亏1"),"平")))</f>
        <v/>
      </c>
      <c r="AA179" s="52" t="str">
        <f aca="false">IF($A179="","",MAX(0,(MAX($Y$2:Y179)-Y179)/MAX(1,MAX($Y$2:Y179))))</f>
        <v/>
      </c>
    </row>
    <row r="180" customFormat="false" ht="15" hidden="false" customHeight="true" outlineLevel="0" collapsed="false">
      <c r="A180" s="5"/>
      <c r="B180" s="5"/>
      <c r="C180" s="5"/>
      <c r="D180" s="11"/>
      <c r="E180" s="11"/>
      <c r="F180" s="14"/>
      <c r="G180" s="17"/>
      <c r="H180" s="15"/>
      <c r="I180" s="14"/>
      <c r="J180" s="17"/>
      <c r="K180" s="16"/>
      <c r="L180" s="14"/>
      <c r="M180" s="5"/>
      <c r="N180" s="5"/>
      <c r="O180" s="5"/>
      <c r="P180" s="5"/>
      <c r="Q180" s="5"/>
      <c r="R180" s="20"/>
      <c r="S180" s="5"/>
      <c r="T180" s="5"/>
      <c r="U180" s="5"/>
      <c r="V180" s="1" t="str">
        <f aca="false">IF($A180="","",IF(OR(D180="卖出",D180="分红"),IFERROR(INDEX($F$2:$F179,MATCH(2,1/($C$2:$C179=$C180))),""),""))</f>
        <v/>
      </c>
      <c r="W180" s="50" t="str">
        <f aca="false">IF($A180="","",IF(D180="买入",IF(AND(ISNUMBER(L180),L180&gt;0),(F180-L180)*G180,F180*0.08*G180),IF(AND(ISNUMBER(V180),V180&gt;0),IF(AND(ISNUMBER(L180),L180&gt;0),(V180-L180)*G180,V180*0.08*G180),0)))</f>
        <v/>
      </c>
      <c r="X180" s="51" t="str">
        <f aca="false">IF($A180="","",IF(D180="买入",0,IFERROR(IF(W180&lt;&gt;0,(H180-IFERROR(INDEX($H$2:$H179,MATCH(2,1/($C$2:$C179=$C180))),0))/W180,0),0)))</f>
        <v/>
      </c>
      <c r="Y180" s="51" t="str">
        <f aca="false">IF($A180="","",Y179+X180)</f>
        <v/>
      </c>
      <c r="Z180" s="1" t="str">
        <f aca="false">IF($A180="","",IF(X180&gt;0,IF(LEFT(Z179,1)="胜","胜"&amp;VALUE(RIGHT(Z179,LEN(Z179)-1))+1,"胜1"),IF(X180&lt;0,IF(LEFT(Z179,1)="亏","亏"&amp;VALUE(RIGHT(Z179,LEN(Z179)-1))+1,"亏1"),"平")))</f>
        <v/>
      </c>
      <c r="AA180" s="52" t="str">
        <f aca="false">IF($A180="","",MAX(0,(MAX($Y$2:Y180)-Y180)/MAX(1,MAX($Y$2:Y180))))</f>
        <v/>
      </c>
    </row>
    <row r="181" customFormat="false" ht="15" hidden="false" customHeight="true" outlineLevel="0" collapsed="false">
      <c r="A181" s="7"/>
      <c r="B181" s="7"/>
      <c r="C181" s="7"/>
      <c r="D181" s="12"/>
      <c r="E181" s="12"/>
      <c r="F181" s="24"/>
      <c r="G181" s="25"/>
      <c r="H181" s="15"/>
      <c r="I181" s="24"/>
      <c r="J181" s="25"/>
      <c r="K181" s="16"/>
      <c r="L181" s="24"/>
      <c r="M181" s="7"/>
      <c r="N181" s="7"/>
      <c r="O181" s="7"/>
      <c r="P181" s="7"/>
      <c r="Q181" s="7"/>
      <c r="R181" s="26"/>
      <c r="S181" s="7"/>
      <c r="T181" s="7"/>
      <c r="U181" s="7"/>
      <c r="V181" s="1" t="str">
        <f aca="false">IF($A181="","",IF(OR(D181="卖出",D181="分红"),IFERROR(INDEX($F$2:$F180,MATCH(2,1/($C$2:$C180=$C181))),""),""))</f>
        <v/>
      </c>
      <c r="W181" s="50" t="str">
        <f aca="false">IF($A181="","",IF(D181="买入",IF(AND(ISNUMBER(L181),L181&gt;0),(F181-L181)*G181,F181*0.08*G181),IF(AND(ISNUMBER(V181),V181&gt;0),IF(AND(ISNUMBER(L181),L181&gt;0),(V181-L181)*G181,V181*0.08*G181),0)))</f>
        <v/>
      </c>
      <c r="X181" s="51" t="str">
        <f aca="false">IF($A181="","",IF(D181="买入",0,IFERROR(IF(W181&lt;&gt;0,(H181-IFERROR(INDEX($H$2:$H180,MATCH(2,1/($C$2:$C180=$C181))),0))/W181,0),0)))</f>
        <v/>
      </c>
      <c r="Y181" s="51" t="str">
        <f aca="false">IF($A181="","",Y180+X181)</f>
        <v/>
      </c>
      <c r="Z181" s="1" t="str">
        <f aca="false">IF($A181="","",IF(X181&gt;0,IF(LEFT(Z180,1)="胜","胜"&amp;VALUE(RIGHT(Z180,LEN(Z180)-1))+1,"胜1"),IF(X181&lt;0,IF(LEFT(Z180,1)="亏","亏"&amp;VALUE(RIGHT(Z180,LEN(Z180)-1))+1,"亏1"),"平")))</f>
        <v/>
      </c>
      <c r="AA181" s="52" t="str">
        <f aca="false">IF($A181="","",MAX(0,(MAX($Y$2:Y181)-Y181)/MAX(1,MAX($Y$2:Y181))))</f>
        <v/>
      </c>
    </row>
    <row r="182" customFormat="false" ht="15" hidden="false" customHeight="true" outlineLevel="0" collapsed="false">
      <c r="A182" s="5"/>
      <c r="B182" s="5"/>
      <c r="C182" s="5"/>
      <c r="D182" s="11"/>
      <c r="E182" s="11"/>
      <c r="F182" s="14"/>
      <c r="G182" s="17"/>
      <c r="H182" s="15"/>
      <c r="I182" s="14"/>
      <c r="J182" s="17"/>
      <c r="K182" s="16"/>
      <c r="L182" s="14"/>
      <c r="M182" s="5"/>
      <c r="N182" s="5"/>
      <c r="O182" s="5"/>
      <c r="P182" s="5"/>
      <c r="Q182" s="5"/>
      <c r="R182" s="20"/>
      <c r="S182" s="5"/>
      <c r="T182" s="5"/>
      <c r="U182" s="5"/>
      <c r="V182" s="1" t="str">
        <f aca="false">IF($A182="","",IF(OR(D182="卖出",D182="分红"),IFERROR(INDEX($F$2:$F181,MATCH(2,1/($C$2:$C181=$C182))),""),""))</f>
        <v/>
      </c>
      <c r="W182" s="50" t="str">
        <f aca="false">IF($A182="","",IF(D182="买入",IF(AND(ISNUMBER(L182),L182&gt;0),(F182-L182)*G182,F182*0.08*G182),IF(AND(ISNUMBER(V182),V182&gt;0),IF(AND(ISNUMBER(L182),L182&gt;0),(V182-L182)*G182,V182*0.08*G182),0)))</f>
        <v/>
      </c>
      <c r="X182" s="51" t="str">
        <f aca="false">IF($A182="","",IF(D182="买入",0,IFERROR(IF(W182&lt;&gt;0,(H182-IFERROR(INDEX($H$2:$H181,MATCH(2,1/($C$2:$C181=$C182))),0))/W182,0),0)))</f>
        <v/>
      </c>
      <c r="Y182" s="51" t="str">
        <f aca="false">IF($A182="","",Y181+X182)</f>
        <v/>
      </c>
      <c r="Z182" s="1" t="str">
        <f aca="false">IF($A182="","",IF(X182&gt;0,IF(LEFT(Z181,1)="胜","胜"&amp;VALUE(RIGHT(Z181,LEN(Z181)-1))+1,"胜1"),IF(X182&lt;0,IF(LEFT(Z181,1)="亏","亏"&amp;VALUE(RIGHT(Z181,LEN(Z181)-1))+1,"亏1"),"平")))</f>
        <v/>
      </c>
      <c r="AA182" s="52" t="str">
        <f aca="false">IF($A182="","",MAX(0,(MAX($Y$2:Y182)-Y182)/MAX(1,MAX($Y$2:Y182))))</f>
        <v/>
      </c>
    </row>
    <row r="183" customFormat="false" ht="15" hidden="false" customHeight="true" outlineLevel="0" collapsed="false">
      <c r="A183" s="7"/>
      <c r="B183" s="7"/>
      <c r="C183" s="7"/>
      <c r="D183" s="12"/>
      <c r="E183" s="12"/>
      <c r="F183" s="24"/>
      <c r="G183" s="25"/>
      <c r="H183" s="15"/>
      <c r="I183" s="24"/>
      <c r="J183" s="25"/>
      <c r="K183" s="16"/>
      <c r="L183" s="24"/>
      <c r="M183" s="7"/>
      <c r="N183" s="7"/>
      <c r="O183" s="7"/>
      <c r="P183" s="7"/>
      <c r="Q183" s="7"/>
      <c r="R183" s="26"/>
      <c r="S183" s="7"/>
      <c r="T183" s="7"/>
      <c r="U183" s="7"/>
      <c r="V183" s="1" t="str">
        <f aca="false">IF($A183="","",IF(OR(D183="卖出",D183="分红"),IFERROR(INDEX($F$2:$F182,MATCH(2,1/($C$2:$C182=$C183))),""),""))</f>
        <v/>
      </c>
      <c r="W183" s="50" t="str">
        <f aca="false">IF($A183="","",IF(D183="买入",IF(AND(ISNUMBER(L183),L183&gt;0),(F183-L183)*G183,F183*0.08*G183),IF(AND(ISNUMBER(V183),V183&gt;0),IF(AND(ISNUMBER(L183),L183&gt;0),(V183-L183)*G183,V183*0.08*G183),0)))</f>
        <v/>
      </c>
      <c r="X183" s="51" t="str">
        <f aca="false">IF($A183="","",IF(D183="买入",0,IFERROR(IF(W183&lt;&gt;0,(H183-IFERROR(INDEX($H$2:$H182,MATCH(2,1/($C$2:$C182=$C183))),0))/W183,0),0)))</f>
        <v/>
      </c>
      <c r="Y183" s="51" t="str">
        <f aca="false">IF($A183="","",Y182+X183)</f>
        <v/>
      </c>
      <c r="Z183" s="1" t="str">
        <f aca="false">IF($A183="","",IF(X183&gt;0,IF(LEFT(Z182,1)="胜","胜"&amp;VALUE(RIGHT(Z182,LEN(Z182)-1))+1,"胜1"),IF(X183&lt;0,IF(LEFT(Z182,1)="亏","亏"&amp;VALUE(RIGHT(Z182,LEN(Z182)-1))+1,"亏1"),"平")))</f>
        <v/>
      </c>
      <c r="AA183" s="52" t="str">
        <f aca="false">IF($A183="","",MAX(0,(MAX($Y$2:Y183)-Y183)/MAX(1,MAX($Y$2:Y183))))</f>
        <v/>
      </c>
    </row>
    <row r="184" customFormat="false" ht="15" hidden="false" customHeight="true" outlineLevel="0" collapsed="false">
      <c r="A184" s="5"/>
      <c r="B184" s="5"/>
      <c r="C184" s="5"/>
      <c r="D184" s="11"/>
      <c r="E184" s="11"/>
      <c r="F184" s="14"/>
      <c r="G184" s="17"/>
      <c r="H184" s="15"/>
      <c r="I184" s="14"/>
      <c r="J184" s="17"/>
      <c r="K184" s="16"/>
      <c r="L184" s="14"/>
      <c r="M184" s="5"/>
      <c r="N184" s="5"/>
      <c r="O184" s="5"/>
      <c r="P184" s="5"/>
      <c r="Q184" s="5"/>
      <c r="R184" s="20"/>
      <c r="S184" s="5"/>
      <c r="T184" s="5"/>
      <c r="U184" s="5"/>
      <c r="V184" s="1" t="str">
        <f aca="false">IF($A184="","",IF(OR(D184="卖出",D184="分红"),IFERROR(INDEX($F$2:$F183,MATCH(2,1/($C$2:$C183=$C184))),""),""))</f>
        <v/>
      </c>
      <c r="W184" s="50" t="str">
        <f aca="false">IF($A184="","",IF(D184="买入",IF(AND(ISNUMBER(L184),L184&gt;0),(F184-L184)*G184,F184*0.08*G184),IF(AND(ISNUMBER(V184),V184&gt;0),IF(AND(ISNUMBER(L184),L184&gt;0),(V184-L184)*G184,V184*0.08*G184),0)))</f>
        <v/>
      </c>
      <c r="X184" s="51" t="str">
        <f aca="false">IF($A184="","",IF(D184="买入",0,IFERROR(IF(W184&lt;&gt;0,(H184-IFERROR(INDEX($H$2:$H183,MATCH(2,1/($C$2:$C183=$C184))),0))/W184,0),0)))</f>
        <v/>
      </c>
      <c r="Y184" s="51" t="str">
        <f aca="false">IF($A184="","",Y183+X184)</f>
        <v/>
      </c>
      <c r="Z184" s="1" t="str">
        <f aca="false">IF($A184="","",IF(X184&gt;0,IF(LEFT(Z183,1)="胜","胜"&amp;VALUE(RIGHT(Z183,LEN(Z183)-1))+1,"胜1"),IF(X184&lt;0,IF(LEFT(Z183,1)="亏","亏"&amp;VALUE(RIGHT(Z183,LEN(Z183)-1))+1,"亏1"),"平")))</f>
        <v/>
      </c>
      <c r="AA184" s="52" t="str">
        <f aca="false">IF($A184="","",MAX(0,(MAX($Y$2:Y184)-Y184)/MAX(1,MAX($Y$2:Y184))))</f>
        <v/>
      </c>
    </row>
    <row r="185" customFormat="false" ht="15" hidden="false" customHeight="true" outlineLevel="0" collapsed="false">
      <c r="A185" s="7"/>
      <c r="B185" s="7"/>
      <c r="C185" s="7"/>
      <c r="D185" s="12"/>
      <c r="E185" s="12"/>
      <c r="F185" s="24"/>
      <c r="G185" s="25"/>
      <c r="H185" s="15"/>
      <c r="I185" s="24"/>
      <c r="J185" s="25"/>
      <c r="K185" s="16"/>
      <c r="L185" s="24"/>
      <c r="M185" s="7"/>
      <c r="N185" s="7"/>
      <c r="O185" s="7"/>
      <c r="P185" s="7"/>
      <c r="Q185" s="7"/>
      <c r="R185" s="26"/>
      <c r="S185" s="7"/>
      <c r="T185" s="7"/>
      <c r="U185" s="7"/>
      <c r="V185" s="1" t="str">
        <f aca="false">IF($A185="","",IF(OR(D185="卖出",D185="分红"),IFERROR(INDEX($F$2:$F184,MATCH(2,1/($C$2:$C184=$C185))),""),""))</f>
        <v/>
      </c>
      <c r="W185" s="50" t="str">
        <f aca="false">IF($A185="","",IF(D185="买入",IF(AND(ISNUMBER(L185),L185&gt;0),(F185-L185)*G185,F185*0.08*G185),IF(AND(ISNUMBER(V185),V185&gt;0),IF(AND(ISNUMBER(L185),L185&gt;0),(V185-L185)*G185,V185*0.08*G185),0)))</f>
        <v/>
      </c>
      <c r="X185" s="51" t="str">
        <f aca="false">IF($A185="","",IF(D185="买入",0,IFERROR(IF(W185&lt;&gt;0,(H185-IFERROR(INDEX($H$2:$H184,MATCH(2,1/($C$2:$C184=$C185))),0))/W185,0),0)))</f>
        <v/>
      </c>
      <c r="Y185" s="51" t="str">
        <f aca="false">IF($A185="","",Y184+X185)</f>
        <v/>
      </c>
      <c r="Z185" s="1" t="str">
        <f aca="false">IF($A185="","",IF(X185&gt;0,IF(LEFT(Z184,1)="胜","胜"&amp;VALUE(RIGHT(Z184,LEN(Z184)-1))+1,"胜1"),IF(X185&lt;0,IF(LEFT(Z184,1)="亏","亏"&amp;VALUE(RIGHT(Z184,LEN(Z184)-1))+1,"亏1"),"平")))</f>
        <v/>
      </c>
      <c r="AA185" s="52" t="str">
        <f aca="false">IF($A185="","",MAX(0,(MAX($Y$2:Y185)-Y185)/MAX(1,MAX($Y$2:Y185))))</f>
        <v/>
      </c>
    </row>
    <row r="186" customFormat="false" ht="15" hidden="false" customHeight="true" outlineLevel="0" collapsed="false">
      <c r="A186" s="5"/>
      <c r="B186" s="5"/>
      <c r="C186" s="5"/>
      <c r="D186" s="11"/>
      <c r="E186" s="11"/>
      <c r="F186" s="14"/>
      <c r="G186" s="17"/>
      <c r="H186" s="15"/>
      <c r="I186" s="14"/>
      <c r="J186" s="17"/>
      <c r="K186" s="16"/>
      <c r="L186" s="14"/>
      <c r="M186" s="5"/>
      <c r="N186" s="5"/>
      <c r="O186" s="5"/>
      <c r="P186" s="5"/>
      <c r="Q186" s="5"/>
      <c r="R186" s="20"/>
      <c r="S186" s="5"/>
      <c r="T186" s="5"/>
      <c r="U186" s="5"/>
      <c r="V186" s="1" t="str">
        <f aca="false">IF($A186="","",IF(OR(D186="卖出",D186="分红"),IFERROR(INDEX($F$2:$F185,MATCH(2,1/($C$2:$C185=$C186))),""),""))</f>
        <v/>
      </c>
      <c r="W186" s="50" t="str">
        <f aca="false">IF($A186="","",IF(D186="买入",IF(AND(ISNUMBER(L186),L186&gt;0),(F186-L186)*G186,F186*0.08*G186),IF(AND(ISNUMBER(V186),V186&gt;0),IF(AND(ISNUMBER(L186),L186&gt;0),(V186-L186)*G186,V186*0.08*G186),0)))</f>
        <v/>
      </c>
      <c r="X186" s="51" t="str">
        <f aca="false">IF($A186="","",IF(D186="买入",0,IFERROR(IF(W186&lt;&gt;0,(H186-IFERROR(INDEX($H$2:$H185,MATCH(2,1/($C$2:$C185=$C186))),0))/W186,0),0)))</f>
        <v/>
      </c>
      <c r="Y186" s="51" t="str">
        <f aca="false">IF($A186="","",Y185+X186)</f>
        <v/>
      </c>
      <c r="Z186" s="1" t="str">
        <f aca="false">IF($A186="","",IF(X186&gt;0,IF(LEFT(Z185,1)="胜","胜"&amp;VALUE(RIGHT(Z185,LEN(Z185)-1))+1,"胜1"),IF(X186&lt;0,IF(LEFT(Z185,1)="亏","亏"&amp;VALUE(RIGHT(Z185,LEN(Z185)-1))+1,"亏1"),"平")))</f>
        <v/>
      </c>
      <c r="AA186" s="52" t="str">
        <f aca="false">IF($A186="","",MAX(0,(MAX($Y$2:Y186)-Y186)/MAX(1,MAX($Y$2:Y186))))</f>
        <v/>
      </c>
    </row>
    <row r="187" customFormat="false" ht="15" hidden="false" customHeight="true" outlineLevel="0" collapsed="false">
      <c r="A187" s="7"/>
      <c r="B187" s="7"/>
      <c r="C187" s="7"/>
      <c r="D187" s="12"/>
      <c r="E187" s="12"/>
      <c r="F187" s="24"/>
      <c r="G187" s="25"/>
      <c r="H187" s="15"/>
      <c r="I187" s="24"/>
      <c r="J187" s="25"/>
      <c r="K187" s="16"/>
      <c r="L187" s="24"/>
      <c r="M187" s="7"/>
      <c r="N187" s="7"/>
      <c r="O187" s="7"/>
      <c r="P187" s="7"/>
      <c r="Q187" s="7"/>
      <c r="R187" s="26"/>
      <c r="S187" s="7"/>
      <c r="T187" s="7"/>
      <c r="U187" s="7"/>
      <c r="V187" s="1" t="str">
        <f aca="false">IF($A187="","",IF(OR(D187="卖出",D187="分红"),IFERROR(INDEX($F$2:$F186,MATCH(2,1/($C$2:$C186=$C187))),""),""))</f>
        <v/>
      </c>
      <c r="W187" s="50" t="str">
        <f aca="false">IF($A187="","",IF(D187="买入",IF(AND(ISNUMBER(L187),L187&gt;0),(F187-L187)*G187,F187*0.08*G187),IF(AND(ISNUMBER(V187),V187&gt;0),IF(AND(ISNUMBER(L187),L187&gt;0),(V187-L187)*G187,V187*0.08*G187),0)))</f>
        <v/>
      </c>
      <c r="X187" s="51" t="str">
        <f aca="false">IF($A187="","",IF(D187="买入",0,IFERROR(IF(W187&lt;&gt;0,(H187-IFERROR(INDEX($H$2:$H186,MATCH(2,1/($C$2:$C186=$C187))),0))/W187,0),0)))</f>
        <v/>
      </c>
      <c r="Y187" s="51" t="str">
        <f aca="false">IF($A187="","",Y186+X187)</f>
        <v/>
      </c>
      <c r="Z187" s="1" t="str">
        <f aca="false">IF($A187="","",IF(X187&gt;0,IF(LEFT(Z186,1)="胜","胜"&amp;VALUE(RIGHT(Z186,LEN(Z186)-1))+1,"胜1"),IF(X187&lt;0,IF(LEFT(Z186,1)="亏","亏"&amp;VALUE(RIGHT(Z186,LEN(Z186)-1))+1,"亏1"),"平")))</f>
        <v/>
      </c>
      <c r="AA187" s="52" t="str">
        <f aca="false">IF($A187="","",MAX(0,(MAX($Y$2:Y187)-Y187)/MAX(1,MAX($Y$2:Y187))))</f>
        <v/>
      </c>
    </row>
    <row r="188" customFormat="false" ht="15" hidden="false" customHeight="true" outlineLevel="0" collapsed="false">
      <c r="A188" s="5"/>
      <c r="B188" s="5"/>
      <c r="C188" s="5"/>
      <c r="D188" s="11"/>
      <c r="E188" s="11"/>
      <c r="F188" s="14"/>
      <c r="G188" s="17"/>
      <c r="H188" s="15"/>
      <c r="I188" s="14"/>
      <c r="J188" s="17"/>
      <c r="K188" s="16"/>
      <c r="L188" s="14"/>
      <c r="M188" s="5"/>
      <c r="N188" s="5"/>
      <c r="O188" s="5"/>
      <c r="P188" s="5"/>
      <c r="Q188" s="5"/>
      <c r="R188" s="20"/>
      <c r="S188" s="5"/>
      <c r="T188" s="5"/>
      <c r="U188" s="5"/>
      <c r="V188" s="1" t="str">
        <f aca="false">IF($A188="","",IF(OR(D188="卖出",D188="分红"),IFERROR(INDEX($F$2:$F187,MATCH(2,1/($C$2:$C187=$C188))),""),""))</f>
        <v/>
      </c>
      <c r="W188" s="50" t="str">
        <f aca="false">IF($A188="","",IF(D188="买入",IF(AND(ISNUMBER(L188),L188&gt;0),(F188-L188)*G188,F188*0.08*G188),IF(AND(ISNUMBER(V188),V188&gt;0),IF(AND(ISNUMBER(L188),L188&gt;0),(V188-L188)*G188,V188*0.08*G188),0)))</f>
        <v/>
      </c>
      <c r="X188" s="51" t="str">
        <f aca="false">IF($A188="","",IF(D188="买入",0,IFERROR(IF(W188&lt;&gt;0,(H188-IFERROR(INDEX($H$2:$H187,MATCH(2,1/($C$2:$C187=$C188))),0))/W188,0),0)))</f>
        <v/>
      </c>
      <c r="Y188" s="51" t="str">
        <f aca="false">IF($A188="","",Y187+X188)</f>
        <v/>
      </c>
      <c r="Z188" s="1" t="str">
        <f aca="false">IF($A188="","",IF(X188&gt;0,IF(LEFT(Z187,1)="胜","胜"&amp;VALUE(RIGHT(Z187,LEN(Z187)-1))+1,"胜1"),IF(X188&lt;0,IF(LEFT(Z187,1)="亏","亏"&amp;VALUE(RIGHT(Z187,LEN(Z187)-1))+1,"亏1"),"平")))</f>
        <v/>
      </c>
      <c r="AA188" s="52" t="str">
        <f aca="false">IF($A188="","",MAX(0,(MAX($Y$2:Y188)-Y188)/MAX(1,MAX($Y$2:Y188))))</f>
        <v/>
      </c>
    </row>
    <row r="189" customFormat="false" ht="15" hidden="false" customHeight="true" outlineLevel="0" collapsed="false">
      <c r="A189" s="7"/>
      <c r="B189" s="7"/>
      <c r="C189" s="7"/>
      <c r="D189" s="12"/>
      <c r="E189" s="12"/>
      <c r="F189" s="24"/>
      <c r="G189" s="25"/>
      <c r="H189" s="15"/>
      <c r="I189" s="24"/>
      <c r="J189" s="25"/>
      <c r="K189" s="16"/>
      <c r="L189" s="24"/>
      <c r="M189" s="7"/>
      <c r="N189" s="7"/>
      <c r="O189" s="7"/>
      <c r="P189" s="7"/>
      <c r="Q189" s="7"/>
      <c r="R189" s="26"/>
      <c r="S189" s="7"/>
      <c r="T189" s="7"/>
      <c r="U189" s="7"/>
      <c r="V189" s="1" t="str">
        <f aca="false">IF($A189="","",IF(OR(D189="卖出",D189="分红"),IFERROR(INDEX($F$2:$F188,MATCH(2,1/($C$2:$C188=$C189))),""),""))</f>
        <v/>
      </c>
      <c r="W189" s="50" t="str">
        <f aca="false">IF($A189="","",IF(D189="买入",IF(AND(ISNUMBER(L189),L189&gt;0),(F189-L189)*G189,F189*0.08*G189),IF(AND(ISNUMBER(V189),V189&gt;0),IF(AND(ISNUMBER(L189),L189&gt;0),(V189-L189)*G189,V189*0.08*G189),0)))</f>
        <v/>
      </c>
      <c r="X189" s="51" t="str">
        <f aca="false">IF($A189="","",IF(D189="买入",0,IFERROR(IF(W189&lt;&gt;0,(H189-IFERROR(INDEX($H$2:$H188,MATCH(2,1/($C$2:$C188=$C189))),0))/W189,0),0)))</f>
        <v/>
      </c>
      <c r="Y189" s="51" t="str">
        <f aca="false">IF($A189="","",Y188+X189)</f>
        <v/>
      </c>
      <c r="Z189" s="1" t="str">
        <f aca="false">IF($A189="","",IF(X189&gt;0,IF(LEFT(Z188,1)="胜","胜"&amp;VALUE(RIGHT(Z188,LEN(Z188)-1))+1,"胜1"),IF(X189&lt;0,IF(LEFT(Z188,1)="亏","亏"&amp;VALUE(RIGHT(Z188,LEN(Z188)-1))+1,"亏1"),"平")))</f>
        <v/>
      </c>
      <c r="AA189" s="52" t="str">
        <f aca="false">IF($A189="","",MAX(0,(MAX($Y$2:Y189)-Y189)/MAX(1,MAX($Y$2:Y189))))</f>
        <v/>
      </c>
    </row>
    <row r="190" customFormat="false" ht="15" hidden="false" customHeight="true" outlineLevel="0" collapsed="false">
      <c r="A190" s="5"/>
      <c r="B190" s="5"/>
      <c r="C190" s="5"/>
      <c r="D190" s="11"/>
      <c r="E190" s="11"/>
      <c r="F190" s="14"/>
      <c r="G190" s="17"/>
      <c r="H190" s="15"/>
      <c r="I190" s="14"/>
      <c r="J190" s="17"/>
      <c r="K190" s="16"/>
      <c r="L190" s="14"/>
      <c r="M190" s="5"/>
      <c r="N190" s="5"/>
      <c r="O190" s="5"/>
      <c r="P190" s="5"/>
      <c r="Q190" s="5"/>
      <c r="R190" s="20"/>
      <c r="S190" s="5"/>
      <c r="T190" s="5"/>
      <c r="U190" s="5"/>
      <c r="V190" s="1" t="str">
        <f aca="false">IF($A190="","",IF(OR(D190="卖出",D190="分红"),IFERROR(INDEX($F$2:$F189,MATCH(2,1/($C$2:$C189=$C190))),""),""))</f>
        <v/>
      </c>
      <c r="W190" s="50" t="str">
        <f aca="false">IF($A190="","",IF(D190="买入",IF(AND(ISNUMBER(L190),L190&gt;0),(F190-L190)*G190,F190*0.08*G190),IF(AND(ISNUMBER(V190),V190&gt;0),IF(AND(ISNUMBER(L190),L190&gt;0),(V190-L190)*G190,V190*0.08*G190),0)))</f>
        <v/>
      </c>
      <c r="X190" s="51" t="str">
        <f aca="false">IF($A190="","",IF(D190="买入",0,IFERROR(IF(W190&lt;&gt;0,(H190-IFERROR(INDEX($H$2:$H189,MATCH(2,1/($C$2:$C189=$C190))),0))/W190,0),0)))</f>
        <v/>
      </c>
      <c r="Y190" s="51" t="str">
        <f aca="false">IF($A190="","",Y189+X190)</f>
        <v/>
      </c>
      <c r="Z190" s="1" t="str">
        <f aca="false">IF($A190="","",IF(X190&gt;0,IF(LEFT(Z189,1)="胜","胜"&amp;VALUE(RIGHT(Z189,LEN(Z189)-1))+1,"胜1"),IF(X190&lt;0,IF(LEFT(Z189,1)="亏","亏"&amp;VALUE(RIGHT(Z189,LEN(Z189)-1))+1,"亏1"),"平")))</f>
        <v/>
      </c>
      <c r="AA190" s="52" t="str">
        <f aca="false">IF($A190="","",MAX(0,(MAX($Y$2:Y190)-Y190)/MAX(1,MAX($Y$2:Y190))))</f>
        <v/>
      </c>
    </row>
    <row r="191" customFormat="false" ht="15" hidden="false" customHeight="true" outlineLevel="0" collapsed="false">
      <c r="A191" s="7"/>
      <c r="B191" s="7"/>
      <c r="C191" s="7"/>
      <c r="D191" s="12"/>
      <c r="E191" s="12"/>
      <c r="F191" s="24"/>
      <c r="G191" s="25"/>
      <c r="H191" s="15"/>
      <c r="I191" s="24"/>
      <c r="J191" s="25"/>
      <c r="K191" s="16"/>
      <c r="L191" s="24"/>
      <c r="M191" s="7"/>
      <c r="N191" s="7"/>
      <c r="O191" s="7"/>
      <c r="P191" s="7"/>
      <c r="Q191" s="7"/>
      <c r="R191" s="26"/>
      <c r="S191" s="7"/>
      <c r="T191" s="7"/>
      <c r="U191" s="7"/>
      <c r="V191" s="1" t="str">
        <f aca="false">IF($A191="","",IF(OR(D191="卖出",D191="分红"),IFERROR(INDEX($F$2:$F190,MATCH(2,1/($C$2:$C190=$C191))),""),""))</f>
        <v/>
      </c>
      <c r="W191" s="50" t="str">
        <f aca="false">IF($A191="","",IF(D191="买入",IF(AND(ISNUMBER(L191),L191&gt;0),(F191-L191)*G191,F191*0.08*G191),IF(AND(ISNUMBER(V191),V191&gt;0),IF(AND(ISNUMBER(L191),L191&gt;0),(V191-L191)*G191,V191*0.08*G191),0)))</f>
        <v/>
      </c>
      <c r="X191" s="51" t="str">
        <f aca="false">IF($A191="","",IF(D191="买入",0,IFERROR(IF(W191&lt;&gt;0,(H191-IFERROR(INDEX($H$2:$H190,MATCH(2,1/($C$2:$C190=$C191))),0))/W191,0),0)))</f>
        <v/>
      </c>
      <c r="Y191" s="51" t="str">
        <f aca="false">IF($A191="","",Y190+X191)</f>
        <v/>
      </c>
      <c r="Z191" s="1" t="str">
        <f aca="false">IF($A191="","",IF(X191&gt;0,IF(LEFT(Z190,1)="胜","胜"&amp;VALUE(RIGHT(Z190,LEN(Z190)-1))+1,"胜1"),IF(X191&lt;0,IF(LEFT(Z190,1)="亏","亏"&amp;VALUE(RIGHT(Z190,LEN(Z190)-1))+1,"亏1"),"平")))</f>
        <v/>
      </c>
      <c r="AA191" s="52" t="str">
        <f aca="false">IF($A191="","",MAX(0,(MAX($Y$2:Y191)-Y191)/MAX(1,MAX($Y$2:Y191))))</f>
        <v/>
      </c>
    </row>
    <row r="192" customFormat="false" ht="15" hidden="false" customHeight="true" outlineLevel="0" collapsed="false">
      <c r="A192" s="5"/>
      <c r="B192" s="5"/>
      <c r="C192" s="5"/>
      <c r="D192" s="11"/>
      <c r="E192" s="11"/>
      <c r="F192" s="14"/>
      <c r="G192" s="17"/>
      <c r="H192" s="15"/>
      <c r="I192" s="14"/>
      <c r="J192" s="17"/>
      <c r="K192" s="16"/>
      <c r="L192" s="14"/>
      <c r="M192" s="5"/>
      <c r="N192" s="5"/>
      <c r="O192" s="5"/>
      <c r="P192" s="5"/>
      <c r="Q192" s="5"/>
      <c r="R192" s="20"/>
      <c r="S192" s="5"/>
      <c r="T192" s="5"/>
      <c r="U192" s="5"/>
      <c r="V192" s="1" t="str">
        <f aca="false">IF($A192="","",IF(OR(D192="卖出",D192="分红"),IFERROR(INDEX($F$2:$F191,MATCH(2,1/($C$2:$C191=$C192))),""),""))</f>
        <v/>
      </c>
      <c r="W192" s="50" t="str">
        <f aca="false">IF($A192="","",IF(D192="买入",IF(AND(ISNUMBER(L192),L192&gt;0),(F192-L192)*G192,F192*0.08*G192),IF(AND(ISNUMBER(V192),V192&gt;0),IF(AND(ISNUMBER(L192),L192&gt;0),(V192-L192)*G192,V192*0.08*G192),0)))</f>
        <v/>
      </c>
      <c r="X192" s="51" t="str">
        <f aca="false">IF($A192="","",IF(D192="买入",0,IFERROR(IF(W192&lt;&gt;0,(H192-IFERROR(INDEX($H$2:$H191,MATCH(2,1/($C$2:$C191=$C192))),0))/W192,0),0)))</f>
        <v/>
      </c>
      <c r="Y192" s="51" t="str">
        <f aca="false">IF($A192="","",Y191+X192)</f>
        <v/>
      </c>
      <c r="Z192" s="1" t="str">
        <f aca="false">IF($A192="","",IF(X192&gt;0,IF(LEFT(Z191,1)="胜","胜"&amp;VALUE(RIGHT(Z191,LEN(Z191)-1))+1,"胜1"),IF(X192&lt;0,IF(LEFT(Z191,1)="亏","亏"&amp;VALUE(RIGHT(Z191,LEN(Z191)-1))+1,"亏1"),"平")))</f>
        <v/>
      </c>
      <c r="AA192" s="52" t="str">
        <f aca="false">IF($A192="","",MAX(0,(MAX($Y$2:Y192)-Y192)/MAX(1,MAX($Y$2:Y192))))</f>
        <v/>
      </c>
    </row>
    <row r="193" customFormat="false" ht="15" hidden="false" customHeight="true" outlineLevel="0" collapsed="false">
      <c r="A193" s="7"/>
      <c r="B193" s="7"/>
      <c r="C193" s="7"/>
      <c r="D193" s="12"/>
      <c r="E193" s="12"/>
      <c r="F193" s="24"/>
      <c r="G193" s="25"/>
      <c r="H193" s="15"/>
      <c r="I193" s="24"/>
      <c r="J193" s="25"/>
      <c r="K193" s="16"/>
      <c r="L193" s="24"/>
      <c r="M193" s="7"/>
      <c r="N193" s="7"/>
      <c r="O193" s="7"/>
      <c r="P193" s="7"/>
      <c r="Q193" s="7"/>
      <c r="R193" s="26"/>
      <c r="S193" s="7"/>
      <c r="T193" s="7"/>
      <c r="U193" s="7"/>
      <c r="V193" s="1" t="str">
        <f aca="false">IF($A193="","",IF(OR(D193="卖出",D193="分红"),IFERROR(INDEX($F$2:$F192,MATCH(2,1/($C$2:$C192=$C193))),""),""))</f>
        <v/>
      </c>
      <c r="W193" s="50" t="str">
        <f aca="false">IF($A193="","",IF(D193="买入",IF(AND(ISNUMBER(L193),L193&gt;0),(F193-L193)*G193,F193*0.08*G193),IF(AND(ISNUMBER(V193),V193&gt;0),IF(AND(ISNUMBER(L193),L193&gt;0),(V193-L193)*G193,V193*0.08*G193),0)))</f>
        <v/>
      </c>
      <c r="X193" s="51" t="str">
        <f aca="false">IF($A193="","",IF(D193="买入",0,IFERROR(IF(W193&lt;&gt;0,(H193-IFERROR(INDEX($H$2:$H192,MATCH(2,1/($C$2:$C192=$C193))),0))/W193,0),0)))</f>
        <v/>
      </c>
      <c r="Y193" s="51" t="str">
        <f aca="false">IF($A193="","",Y192+X193)</f>
        <v/>
      </c>
      <c r="Z193" s="1" t="str">
        <f aca="false">IF($A193="","",IF(X193&gt;0,IF(LEFT(Z192,1)="胜","胜"&amp;VALUE(RIGHT(Z192,LEN(Z192)-1))+1,"胜1"),IF(X193&lt;0,IF(LEFT(Z192,1)="亏","亏"&amp;VALUE(RIGHT(Z192,LEN(Z192)-1))+1,"亏1"),"平")))</f>
        <v/>
      </c>
      <c r="AA193" s="52" t="str">
        <f aca="false">IF($A193="","",MAX(0,(MAX($Y$2:Y193)-Y193)/MAX(1,MAX($Y$2:Y193))))</f>
        <v/>
      </c>
    </row>
    <row r="194" customFormat="false" ht="15" hidden="false" customHeight="true" outlineLevel="0" collapsed="false">
      <c r="A194" s="5"/>
      <c r="B194" s="5"/>
      <c r="C194" s="5"/>
      <c r="D194" s="11"/>
      <c r="E194" s="11"/>
      <c r="F194" s="14"/>
      <c r="G194" s="17"/>
      <c r="H194" s="15"/>
      <c r="I194" s="14"/>
      <c r="J194" s="17"/>
      <c r="K194" s="16"/>
      <c r="L194" s="14"/>
      <c r="M194" s="5"/>
      <c r="N194" s="5"/>
      <c r="O194" s="5"/>
      <c r="P194" s="5"/>
      <c r="Q194" s="5"/>
      <c r="R194" s="20"/>
      <c r="S194" s="5"/>
      <c r="T194" s="5"/>
      <c r="U194" s="5"/>
      <c r="V194" s="1" t="str">
        <f aca="false">IF($A194="","",IF(OR(D194="卖出",D194="分红"),IFERROR(INDEX($F$2:$F193,MATCH(2,1/($C$2:$C193=$C194))),""),""))</f>
        <v/>
      </c>
      <c r="W194" s="50" t="str">
        <f aca="false">IF($A194="","",IF(D194="买入",IF(AND(ISNUMBER(L194),L194&gt;0),(F194-L194)*G194,F194*0.08*G194),IF(AND(ISNUMBER(V194),V194&gt;0),IF(AND(ISNUMBER(L194),L194&gt;0),(V194-L194)*G194,V194*0.08*G194),0)))</f>
        <v/>
      </c>
      <c r="X194" s="51" t="str">
        <f aca="false">IF($A194="","",IF(D194="买入",0,IFERROR(IF(W194&lt;&gt;0,(H194-IFERROR(INDEX($H$2:$H193,MATCH(2,1/($C$2:$C193=$C194))),0))/W194,0),0)))</f>
        <v/>
      </c>
      <c r="Y194" s="51" t="str">
        <f aca="false">IF($A194="","",Y193+X194)</f>
        <v/>
      </c>
      <c r="Z194" s="1" t="str">
        <f aca="false">IF($A194="","",IF(X194&gt;0,IF(LEFT(Z193,1)="胜","胜"&amp;VALUE(RIGHT(Z193,LEN(Z193)-1))+1,"胜1"),IF(X194&lt;0,IF(LEFT(Z193,1)="亏","亏"&amp;VALUE(RIGHT(Z193,LEN(Z193)-1))+1,"亏1"),"平")))</f>
        <v/>
      </c>
      <c r="AA194" s="52" t="str">
        <f aca="false">IF($A194="","",MAX(0,(MAX($Y$2:Y194)-Y194)/MAX(1,MAX($Y$2:Y194))))</f>
        <v/>
      </c>
    </row>
    <row r="195" customFormat="false" ht="15" hidden="false" customHeight="true" outlineLevel="0" collapsed="false">
      <c r="A195" s="7"/>
      <c r="B195" s="7"/>
      <c r="C195" s="7"/>
      <c r="D195" s="12"/>
      <c r="E195" s="12"/>
      <c r="F195" s="24"/>
      <c r="G195" s="25"/>
      <c r="H195" s="15"/>
      <c r="I195" s="24"/>
      <c r="J195" s="25"/>
      <c r="K195" s="16"/>
      <c r="L195" s="24"/>
      <c r="M195" s="7"/>
      <c r="N195" s="7"/>
      <c r="O195" s="7"/>
      <c r="P195" s="7"/>
      <c r="Q195" s="7"/>
      <c r="R195" s="26"/>
      <c r="S195" s="7"/>
      <c r="T195" s="7"/>
      <c r="U195" s="7"/>
      <c r="V195" s="1" t="str">
        <f aca="false">IF($A195="","",IF(OR(D195="卖出",D195="分红"),IFERROR(INDEX($F$2:$F194,MATCH(2,1/($C$2:$C194=$C195))),""),""))</f>
        <v/>
      </c>
      <c r="W195" s="50" t="str">
        <f aca="false">IF($A195="","",IF(D195="买入",IF(AND(ISNUMBER(L195),L195&gt;0),(F195-L195)*G195,F195*0.08*G195),IF(AND(ISNUMBER(V195),V195&gt;0),IF(AND(ISNUMBER(L195),L195&gt;0),(V195-L195)*G195,V195*0.08*G195),0)))</f>
        <v/>
      </c>
      <c r="X195" s="51" t="str">
        <f aca="false">IF($A195="","",IF(D195="买入",0,IFERROR(IF(W195&lt;&gt;0,(H195-IFERROR(INDEX($H$2:$H194,MATCH(2,1/($C$2:$C194=$C195))),0))/W195,0),0)))</f>
        <v/>
      </c>
      <c r="Y195" s="51" t="str">
        <f aca="false">IF($A195="","",Y194+X195)</f>
        <v/>
      </c>
      <c r="Z195" s="1" t="str">
        <f aca="false">IF($A195="","",IF(X195&gt;0,IF(LEFT(Z194,1)="胜","胜"&amp;VALUE(RIGHT(Z194,LEN(Z194)-1))+1,"胜1"),IF(X195&lt;0,IF(LEFT(Z194,1)="亏","亏"&amp;VALUE(RIGHT(Z194,LEN(Z194)-1))+1,"亏1"),"平")))</f>
        <v/>
      </c>
      <c r="AA195" s="52" t="str">
        <f aca="false">IF($A195="","",MAX(0,(MAX($Y$2:Y195)-Y195)/MAX(1,MAX($Y$2:Y195))))</f>
        <v/>
      </c>
    </row>
    <row r="196" customFormat="false" ht="15" hidden="false" customHeight="true" outlineLevel="0" collapsed="false">
      <c r="A196" s="5"/>
      <c r="B196" s="5"/>
      <c r="C196" s="5"/>
      <c r="D196" s="11"/>
      <c r="E196" s="11"/>
      <c r="F196" s="14"/>
      <c r="G196" s="17"/>
      <c r="H196" s="15"/>
      <c r="I196" s="14"/>
      <c r="J196" s="17"/>
      <c r="K196" s="16"/>
      <c r="L196" s="14"/>
      <c r="M196" s="5"/>
      <c r="N196" s="5"/>
      <c r="O196" s="5"/>
      <c r="P196" s="5"/>
      <c r="Q196" s="5"/>
      <c r="R196" s="20"/>
      <c r="S196" s="5"/>
      <c r="T196" s="5"/>
      <c r="U196" s="5"/>
      <c r="V196" s="1" t="str">
        <f aca="false">IF($A196="","",IF(OR(D196="卖出",D196="分红"),IFERROR(INDEX($F$2:$F195,MATCH(2,1/($C$2:$C195=$C196))),""),""))</f>
        <v/>
      </c>
      <c r="W196" s="50" t="str">
        <f aca="false">IF($A196="","",IF(D196="买入",IF(AND(ISNUMBER(L196),L196&gt;0),(F196-L196)*G196,F196*0.08*G196),IF(AND(ISNUMBER(V196),V196&gt;0),IF(AND(ISNUMBER(L196),L196&gt;0),(V196-L196)*G196,V196*0.08*G196),0)))</f>
        <v/>
      </c>
      <c r="X196" s="51" t="str">
        <f aca="false">IF($A196="","",IF(D196="买入",0,IFERROR(IF(W196&lt;&gt;0,(H196-IFERROR(INDEX($H$2:$H195,MATCH(2,1/($C$2:$C195=$C196))),0))/W196,0),0)))</f>
        <v/>
      </c>
      <c r="Y196" s="51" t="str">
        <f aca="false">IF($A196="","",Y195+X196)</f>
        <v/>
      </c>
      <c r="Z196" s="1" t="str">
        <f aca="false">IF($A196="","",IF(X196&gt;0,IF(LEFT(Z195,1)="胜","胜"&amp;VALUE(RIGHT(Z195,LEN(Z195)-1))+1,"胜1"),IF(X196&lt;0,IF(LEFT(Z195,1)="亏","亏"&amp;VALUE(RIGHT(Z195,LEN(Z195)-1))+1,"亏1"),"平")))</f>
        <v/>
      </c>
      <c r="AA196" s="52" t="str">
        <f aca="false">IF($A196="","",MAX(0,(MAX($Y$2:Y196)-Y196)/MAX(1,MAX($Y$2:Y196))))</f>
        <v/>
      </c>
    </row>
    <row r="197" customFormat="false" ht="15" hidden="false" customHeight="true" outlineLevel="0" collapsed="false">
      <c r="A197" s="7"/>
      <c r="B197" s="7"/>
      <c r="C197" s="7"/>
      <c r="D197" s="12"/>
      <c r="E197" s="12"/>
      <c r="F197" s="24"/>
      <c r="G197" s="25"/>
      <c r="H197" s="15"/>
      <c r="I197" s="24"/>
      <c r="J197" s="25"/>
      <c r="K197" s="16"/>
      <c r="L197" s="24"/>
      <c r="M197" s="7"/>
      <c r="N197" s="7"/>
      <c r="O197" s="7"/>
      <c r="P197" s="7"/>
      <c r="Q197" s="7"/>
      <c r="R197" s="26"/>
      <c r="S197" s="7"/>
      <c r="T197" s="7"/>
      <c r="U197" s="7"/>
      <c r="V197" s="1" t="str">
        <f aca="false">IF($A197="","",IF(OR(D197="卖出",D197="分红"),IFERROR(INDEX($F$2:$F196,MATCH(2,1/($C$2:$C196=$C197))),""),""))</f>
        <v/>
      </c>
      <c r="W197" s="50" t="str">
        <f aca="false">IF($A197="","",IF(D197="买入",IF(AND(ISNUMBER(L197),L197&gt;0),(F197-L197)*G197,F197*0.08*G197),IF(AND(ISNUMBER(V197),V197&gt;0),IF(AND(ISNUMBER(L197),L197&gt;0),(V197-L197)*G197,V197*0.08*G197),0)))</f>
        <v/>
      </c>
      <c r="X197" s="51" t="str">
        <f aca="false">IF($A197="","",IF(D197="买入",0,IFERROR(IF(W197&lt;&gt;0,(H197-IFERROR(INDEX($H$2:$H196,MATCH(2,1/($C$2:$C196=$C197))),0))/W197,0),0)))</f>
        <v/>
      </c>
      <c r="Y197" s="51" t="str">
        <f aca="false">IF($A197="","",Y196+X197)</f>
        <v/>
      </c>
      <c r="Z197" s="1" t="str">
        <f aca="false">IF($A197="","",IF(X197&gt;0,IF(LEFT(Z196,1)="胜","胜"&amp;VALUE(RIGHT(Z196,LEN(Z196)-1))+1,"胜1"),IF(X197&lt;0,IF(LEFT(Z196,1)="亏","亏"&amp;VALUE(RIGHT(Z196,LEN(Z196)-1))+1,"亏1"),"平")))</f>
        <v/>
      </c>
      <c r="AA197" s="52" t="str">
        <f aca="false">IF($A197="","",MAX(0,(MAX($Y$2:Y197)-Y197)/MAX(1,MAX($Y$2:Y197))))</f>
        <v/>
      </c>
    </row>
    <row r="198" customFormat="false" ht="15" hidden="false" customHeight="true" outlineLevel="0" collapsed="false">
      <c r="A198" s="5"/>
      <c r="B198" s="5"/>
      <c r="C198" s="5"/>
      <c r="D198" s="11"/>
      <c r="E198" s="11"/>
      <c r="F198" s="14"/>
      <c r="G198" s="17"/>
      <c r="H198" s="15"/>
      <c r="I198" s="14"/>
      <c r="J198" s="17"/>
      <c r="K198" s="16"/>
      <c r="L198" s="14"/>
      <c r="M198" s="5"/>
      <c r="N198" s="5"/>
      <c r="O198" s="5"/>
      <c r="P198" s="5"/>
      <c r="Q198" s="5"/>
      <c r="R198" s="20"/>
      <c r="S198" s="5"/>
      <c r="T198" s="5"/>
      <c r="U198" s="5"/>
      <c r="V198" s="1" t="str">
        <f aca="false">IF($A198="","",IF(OR(D198="卖出",D198="分红"),IFERROR(INDEX($F$2:$F197,MATCH(2,1/($C$2:$C197=$C198))),""),""))</f>
        <v/>
      </c>
      <c r="W198" s="50" t="str">
        <f aca="false">IF($A198="","",IF(D198="买入",IF(AND(ISNUMBER(L198),L198&gt;0),(F198-L198)*G198,F198*0.08*G198),IF(AND(ISNUMBER(V198),V198&gt;0),IF(AND(ISNUMBER(L198),L198&gt;0),(V198-L198)*G198,V198*0.08*G198),0)))</f>
        <v/>
      </c>
      <c r="X198" s="51" t="str">
        <f aca="false">IF($A198="","",IF(D198="买入",0,IFERROR(IF(W198&lt;&gt;0,(H198-IFERROR(INDEX($H$2:$H197,MATCH(2,1/($C$2:$C197=$C198))),0))/W198,0),0)))</f>
        <v/>
      </c>
      <c r="Y198" s="51" t="str">
        <f aca="false">IF($A198="","",Y197+X198)</f>
        <v/>
      </c>
      <c r="Z198" s="1" t="str">
        <f aca="false">IF($A198="","",IF(X198&gt;0,IF(LEFT(Z197,1)="胜","胜"&amp;VALUE(RIGHT(Z197,LEN(Z197)-1))+1,"胜1"),IF(X198&lt;0,IF(LEFT(Z197,1)="亏","亏"&amp;VALUE(RIGHT(Z197,LEN(Z197)-1))+1,"亏1"),"平")))</f>
        <v/>
      </c>
      <c r="AA198" s="52" t="str">
        <f aca="false">IF($A198="","",MAX(0,(MAX($Y$2:Y198)-Y198)/MAX(1,MAX($Y$2:Y198))))</f>
        <v/>
      </c>
    </row>
    <row r="199" customFormat="false" ht="15" hidden="false" customHeight="true" outlineLevel="0" collapsed="false">
      <c r="A199" s="7"/>
      <c r="B199" s="7"/>
      <c r="C199" s="7"/>
      <c r="D199" s="12"/>
      <c r="E199" s="12"/>
      <c r="F199" s="24"/>
      <c r="G199" s="25"/>
      <c r="H199" s="15"/>
      <c r="I199" s="24"/>
      <c r="J199" s="25"/>
      <c r="K199" s="16"/>
      <c r="L199" s="24"/>
      <c r="M199" s="7"/>
      <c r="N199" s="7"/>
      <c r="O199" s="7"/>
      <c r="P199" s="7"/>
      <c r="Q199" s="7"/>
      <c r="R199" s="26"/>
      <c r="S199" s="7"/>
      <c r="T199" s="7"/>
      <c r="U199" s="7"/>
      <c r="V199" s="1" t="str">
        <f aca="false">IF($A199="","",IF(OR(D199="卖出",D199="分红"),IFERROR(INDEX($F$2:$F198,MATCH(2,1/($C$2:$C198=$C199))),""),""))</f>
        <v/>
      </c>
      <c r="W199" s="50" t="str">
        <f aca="false">IF($A199="","",IF(D199="买入",IF(AND(ISNUMBER(L199),L199&gt;0),(F199-L199)*G199,F199*0.08*G199),IF(AND(ISNUMBER(V199),V199&gt;0),IF(AND(ISNUMBER(L199),L199&gt;0),(V199-L199)*G199,V199*0.08*G199),0)))</f>
        <v/>
      </c>
      <c r="X199" s="51" t="str">
        <f aca="false">IF($A199="","",IF(D199="买入",0,IFERROR(IF(W199&lt;&gt;0,(H199-IFERROR(INDEX($H$2:$H198,MATCH(2,1/($C$2:$C198=$C199))),0))/W199,0),0)))</f>
        <v/>
      </c>
      <c r="Y199" s="51" t="str">
        <f aca="false">IF($A199="","",Y198+X199)</f>
        <v/>
      </c>
      <c r="Z199" s="1" t="str">
        <f aca="false">IF($A199="","",IF(X199&gt;0,IF(LEFT(Z198,1)="胜","胜"&amp;VALUE(RIGHT(Z198,LEN(Z198)-1))+1,"胜1"),IF(X199&lt;0,IF(LEFT(Z198,1)="亏","亏"&amp;VALUE(RIGHT(Z198,LEN(Z198)-1))+1,"亏1"),"平")))</f>
        <v/>
      </c>
      <c r="AA199" s="52" t="str">
        <f aca="false">IF($A199="","",MAX(0,(MAX($Y$2:Y199)-Y199)/MAX(1,MAX($Y$2:Y199))))</f>
        <v/>
      </c>
    </row>
    <row r="200" customFormat="false" ht="15" hidden="false" customHeight="true" outlineLevel="0" collapsed="false">
      <c r="A200" s="5"/>
      <c r="B200" s="5"/>
      <c r="C200" s="5"/>
      <c r="D200" s="11"/>
      <c r="E200" s="11"/>
      <c r="F200" s="14"/>
      <c r="G200" s="17"/>
      <c r="H200" s="15"/>
      <c r="I200" s="14"/>
      <c r="J200" s="17"/>
      <c r="K200" s="16"/>
      <c r="L200" s="14"/>
      <c r="M200" s="5"/>
      <c r="N200" s="5"/>
      <c r="O200" s="5"/>
      <c r="P200" s="5"/>
      <c r="Q200" s="5"/>
      <c r="R200" s="20"/>
      <c r="S200" s="5"/>
      <c r="T200" s="5"/>
      <c r="U200" s="5"/>
      <c r="V200" s="1" t="str">
        <f aca="false">IF($A200="","",IF(OR(D200="卖出",D200="分红"),IFERROR(INDEX($F$2:$F199,MATCH(2,1/($C$2:$C199=$C200))),""),""))</f>
        <v/>
      </c>
      <c r="W200" s="50" t="str">
        <f aca="false">IF($A200="","",IF(D200="买入",IF(AND(ISNUMBER(L200),L200&gt;0),(F200-L200)*G200,F200*0.08*G200),IF(AND(ISNUMBER(V200),V200&gt;0),IF(AND(ISNUMBER(L200),L200&gt;0),(V200-L200)*G200,V200*0.08*G200),0)))</f>
        <v/>
      </c>
      <c r="X200" s="51" t="str">
        <f aca="false">IF($A200="","",IF(D200="买入",0,IFERROR(IF(W200&lt;&gt;0,(H200-IFERROR(INDEX($H$2:$H199,MATCH(2,1/($C$2:$C199=$C200))),0))/W200,0),0)))</f>
        <v/>
      </c>
      <c r="Y200" s="51" t="str">
        <f aca="false">IF($A200="","",Y199+X200)</f>
        <v/>
      </c>
      <c r="Z200" s="1" t="str">
        <f aca="false">IF($A200="","",IF(X200&gt;0,IF(LEFT(Z199,1)="胜","胜"&amp;VALUE(RIGHT(Z199,LEN(Z199)-1))+1,"胜1"),IF(X200&lt;0,IF(LEFT(Z199,1)="亏","亏"&amp;VALUE(RIGHT(Z199,LEN(Z199)-1))+1,"亏1"),"平")))</f>
        <v/>
      </c>
      <c r="AA200" s="52" t="str">
        <f aca="false">IF($A200="","",MAX(0,(MAX($Y$2:Y200)-Y200)/MAX(1,MAX($Y$2:Y200))))</f>
        <v/>
      </c>
    </row>
    <row r="201" customFormat="false" ht="15" hidden="false" customHeight="true" outlineLevel="0" collapsed="false">
      <c r="A201" s="7"/>
      <c r="B201" s="7"/>
      <c r="C201" s="7"/>
      <c r="D201" s="12"/>
      <c r="E201" s="12"/>
      <c r="F201" s="24"/>
      <c r="G201" s="25"/>
      <c r="H201" s="15"/>
      <c r="I201" s="24"/>
      <c r="J201" s="25"/>
      <c r="K201" s="16"/>
      <c r="L201" s="24"/>
      <c r="M201" s="7"/>
      <c r="N201" s="7"/>
      <c r="O201" s="7"/>
      <c r="P201" s="7"/>
      <c r="Q201" s="7"/>
      <c r="R201" s="26"/>
      <c r="S201" s="7"/>
      <c r="T201" s="7"/>
      <c r="U201" s="7"/>
      <c r="V201" s="1" t="str">
        <f aca="false">IF($A201="","",IF(OR(D201="卖出",D201="分红"),IFERROR(INDEX($F$2:$F200,MATCH(2,1/($C$2:$C200=$C201))),""),""))</f>
        <v/>
      </c>
      <c r="W201" s="50" t="str">
        <f aca="false">IF($A201="","",IF(D201="买入",IF(AND(ISNUMBER(L201),L201&gt;0),(F201-L201)*G201,F201*0.08*G201),IF(AND(ISNUMBER(V201),V201&gt;0),IF(AND(ISNUMBER(L201),L201&gt;0),(V201-L201)*G201,V201*0.08*G201),0)))</f>
        <v/>
      </c>
      <c r="X201" s="51" t="str">
        <f aca="false">IF($A201="","",IF(D201="买入",0,IFERROR(IF(W201&lt;&gt;0,(H201-IFERROR(INDEX($H$2:$H200,MATCH(2,1/($C$2:$C200=$C201))),0))/W201,0),0)))</f>
        <v/>
      </c>
      <c r="Y201" s="51" t="str">
        <f aca="false">IF($A201="","",Y200+X201)</f>
        <v/>
      </c>
      <c r="Z201" s="1" t="str">
        <f aca="false">IF($A201="","",IF(X201&gt;0,IF(LEFT(Z200,1)="胜","胜"&amp;VALUE(RIGHT(Z200,LEN(Z200)-1))+1,"胜1"),IF(X201&lt;0,IF(LEFT(Z200,1)="亏","亏"&amp;VALUE(RIGHT(Z200,LEN(Z200)-1))+1,"亏1"),"平")))</f>
        <v/>
      </c>
      <c r="AA201" s="52" t="str">
        <f aca="false">IF($A201="","",MAX(0,(MAX($Y$2:Y201)-Y201)/MAX(1,MAX($Y$2:Y201))))</f>
        <v/>
      </c>
    </row>
    <row r="203" customFormat="false" ht="15" hidden="false" customHeight="true" outlineLevel="0" collapsed="false">
      <c r="A203" s="53" t="s">
        <v>469</v>
      </c>
    </row>
    <row r="204" customFormat="false" ht="15" hidden="false" customHeight="true" outlineLevel="0" collapsed="false">
      <c r="A204" s="54" t="s">
        <v>470</v>
      </c>
      <c r="B204" s="55" t="n">
        <f aca="false">COUNTIFS(A2:A200,"&lt;&gt;",D2:D200,"&lt;&gt;")</f>
        <v>18</v>
      </c>
      <c r="C204" s="55"/>
    </row>
    <row r="205" customFormat="false" ht="15" hidden="false" customHeight="true" outlineLevel="0" collapsed="false">
      <c r="A205" s="54" t="s">
        <v>471</v>
      </c>
      <c r="B205" s="55" t="n">
        <f aca="false">COUNTIF(D2:D200,"卖出")</f>
        <v>7</v>
      </c>
      <c r="C205" s="55"/>
    </row>
    <row r="206" customFormat="false" ht="15" hidden="false" customHeight="true" outlineLevel="0" collapsed="false">
      <c r="A206" s="54" t="s">
        <v>472</v>
      </c>
      <c r="B206" s="55" t="n">
        <f aca="false">COUNTIFS(X2:X200,"&gt;0")</f>
        <v>2</v>
      </c>
      <c r="C206" s="55"/>
    </row>
    <row r="207" customFormat="false" ht="15" hidden="false" customHeight="true" outlineLevel="0" collapsed="false">
      <c r="A207" s="54" t="s">
        <v>473</v>
      </c>
      <c r="B207" s="55" t="n">
        <f aca="false">COUNTIFS(X2:X200,"&lt;0")</f>
        <v>1</v>
      </c>
      <c r="C207" s="55"/>
    </row>
    <row r="208" customFormat="false" ht="15" hidden="false" customHeight="true" outlineLevel="0" collapsed="false">
      <c r="A208" s="54" t="s">
        <v>474</v>
      </c>
      <c r="B208" s="55" t="n">
        <f aca="false">IFERROR(B206/B205,0)</f>
        <v>0.285714285714286</v>
      </c>
      <c r="C208" s="55"/>
    </row>
    <row r="209" customFormat="false" ht="15" hidden="false" customHeight="true" outlineLevel="0" collapsed="false">
      <c r="A209" s="54" t="s">
        <v>475</v>
      </c>
      <c r="B209" s="55" t="n">
        <f aca="false">IFERROR(AVERAGEIF(X2:X200,"&lt;&gt;0"),0)</f>
        <v>2.2200290396374</v>
      </c>
      <c r="C209" s="55"/>
    </row>
    <row r="210" customFormat="false" ht="15" hidden="false" customHeight="true" outlineLevel="0" collapsed="false">
      <c r="A210" s="54" t="s">
        <v>476</v>
      </c>
      <c r="B210" s="55" t="str">
        <f aca="false">IFERROR(Y200,0)</f>
        <v/>
      </c>
      <c r="C210" s="55"/>
    </row>
    <row r="211" customFormat="false" ht="15" hidden="false" customHeight="true" outlineLevel="0" collapsed="false">
      <c r="A211" s="54" t="s">
        <v>477</v>
      </c>
      <c r="B211" s="55" t="n">
        <f aca="false">IFERROR(MAX(X2:X200),0)</f>
        <v>5.6764943457189</v>
      </c>
      <c r="C211" s="55"/>
    </row>
    <row r="212" customFormat="false" ht="15" hidden="false" customHeight="true" outlineLevel="0" collapsed="false">
      <c r="A212" s="54" t="s">
        <v>478</v>
      </c>
      <c r="B212" s="55" t="n">
        <f aca="false">IFERROR(MIN(X2:X200),0)</f>
        <v>-0.218960990247561</v>
      </c>
      <c r="C212" s="55"/>
    </row>
    <row r="213" customFormat="false" ht="15" hidden="false" customHeight="true" outlineLevel="0" collapsed="false">
      <c r="A213" s="54" t="s">
        <v>479</v>
      </c>
      <c r="B213" s="55" t="s">
        <v>480</v>
      </c>
      <c r="C213" s="55"/>
    </row>
    <row r="214" customFormat="false" ht="15" hidden="false" customHeight="true" outlineLevel="0" collapsed="false">
      <c r="A214" s="54" t="s">
        <v>481</v>
      </c>
      <c r="B214" s="55" t="s">
        <v>480</v>
      </c>
      <c r="C214" s="55"/>
    </row>
    <row r="215" customFormat="false" ht="15" hidden="false" customHeight="true" outlineLevel="0" collapsed="false">
      <c r="A215" s="54" t="s">
        <v>482</v>
      </c>
      <c r="B215" s="55" t="str">
        <f aca="false">IFERROR(AA200,0)</f>
        <v/>
      </c>
      <c r="C215" s="55"/>
    </row>
    <row r="216" customFormat="false" ht="15" hidden="false" customHeight="true" outlineLevel="0" collapsed="false">
      <c r="A216" s="54" t="s">
        <v>483</v>
      </c>
      <c r="B216" s="55" t="n">
        <f aca="false">IFERROR(AVERAGEIF(X2:X200,"&gt;0")/ABS(AVERAGEIF(X2:X200,"&lt;0")),0)</f>
        <v>15.7083873738929</v>
      </c>
      <c r="C216" s="55"/>
    </row>
    <row r="217" customFormat="false" ht="15" hidden="false" customHeight="true" outlineLevel="0" collapsed="false">
      <c r="A217" s="56" t="s">
        <v>484</v>
      </c>
      <c r="B217" s="56" t="str">
        <f aca="false">IF(B209&gt;=0.5,"正期望系统 ✅",IF(B209&gt;=0.2,"边缘系统 ⚠️","负期望系统 ❌"))</f>
        <v>正期望系统 ✅</v>
      </c>
      <c r="C217" s="55"/>
    </row>
    <row r="218" customFormat="false" ht="15" hidden="false" customHeight="true" outlineLevel="0" collapsed="false">
      <c r="A218" s="57"/>
      <c r="B218" s="13"/>
      <c r="D218" s="13"/>
      <c r="E218" s="13"/>
    </row>
    <row r="219" customFormat="false" ht="15" hidden="false" customHeight="true" outlineLevel="0" collapsed="false">
      <c r="A219" s="57" t="n">
        <v>46227</v>
      </c>
      <c r="B219" s="13" t="s">
        <v>320</v>
      </c>
      <c r="C219" s="1" t="s">
        <v>321</v>
      </c>
      <c r="D219" s="13" t="s">
        <v>434</v>
      </c>
      <c r="E219" s="13" t="s">
        <v>485</v>
      </c>
      <c r="F219" s="1" t="n">
        <v>74.56</v>
      </c>
      <c r="G219" s="1" t="n">
        <v>100</v>
      </c>
      <c r="H219" s="1" t="n">
        <v>7456</v>
      </c>
      <c r="I219" s="1" t="n">
        <v>5</v>
      </c>
      <c r="J219" s="1" t="n">
        <v>0</v>
      </c>
      <c r="K219" s="1" t="n">
        <v>20842.32</v>
      </c>
      <c r="N219" s="13" t="s">
        <v>486</v>
      </c>
      <c r="O219" s="1" t="s">
        <v>487</v>
      </c>
      <c r="P219" s="13" t="s">
        <v>488</v>
      </c>
    </row>
    <row r="220" customFormat="false" ht="15" hidden="false" customHeight="true" outlineLevel="0" collapsed="false">
      <c r="A220" s="57" t="n">
        <v>46227</v>
      </c>
      <c r="B220" s="13" t="s">
        <v>329</v>
      </c>
      <c r="C220" s="1" t="s">
        <v>330</v>
      </c>
      <c r="D220" s="13" t="s">
        <v>428</v>
      </c>
      <c r="E220" s="13" t="s">
        <v>489</v>
      </c>
      <c r="F220" s="1" t="n">
        <v>9.45</v>
      </c>
      <c r="G220" s="1" t="n">
        <v>100</v>
      </c>
      <c r="H220" s="1" t="n">
        <v>945</v>
      </c>
      <c r="I220" s="1" t="n">
        <v>1.5</v>
      </c>
      <c r="J220" s="1" t="n">
        <v>100</v>
      </c>
      <c r="K220" s="1" t="n">
        <v>20842.32</v>
      </c>
      <c r="L220" s="1" t="n">
        <v>8.9775</v>
      </c>
      <c r="M220" s="13" t="s">
        <v>490</v>
      </c>
      <c r="N220" s="13" t="s">
        <v>486</v>
      </c>
      <c r="O220" s="13" t="s">
        <v>491</v>
      </c>
      <c r="P220" s="13" t="s">
        <v>492</v>
      </c>
    </row>
    <row r="221" customFormat="false" ht="15" hidden="false" customHeight="true" outlineLevel="0" collapsed="false">
      <c r="A221" s="57" t="n">
        <v>46227</v>
      </c>
      <c r="B221" s="13" t="s">
        <v>331</v>
      </c>
      <c r="C221" s="1" t="s">
        <v>332</v>
      </c>
      <c r="D221" s="13" t="s">
        <v>428</v>
      </c>
      <c r="E221" s="13" t="s">
        <v>489</v>
      </c>
      <c r="F221" s="1" t="n">
        <v>4.07</v>
      </c>
      <c r="G221" s="1" t="n">
        <v>200</v>
      </c>
      <c r="H221" s="1" t="n">
        <v>814</v>
      </c>
      <c r="I221" s="1" t="n">
        <v>1.5</v>
      </c>
      <c r="J221" s="1" t="n">
        <v>200</v>
      </c>
      <c r="K221" s="1" t="n">
        <v>20842.32</v>
      </c>
      <c r="L221" s="1" t="n">
        <v>3.8665</v>
      </c>
      <c r="M221" s="13" t="s">
        <v>490</v>
      </c>
      <c r="N221" s="13" t="s">
        <v>486</v>
      </c>
      <c r="O221" s="13" t="s">
        <v>493</v>
      </c>
      <c r="P221" s="13" t="s">
        <v>492</v>
      </c>
    </row>
    <row r="222" customFormat="false" ht="15" hidden="false" customHeight="true" outlineLevel="0" collapsed="false">
      <c r="A222" s="57" t="n">
        <v>46227</v>
      </c>
      <c r="B222" s="13" t="s">
        <v>333</v>
      </c>
      <c r="C222" s="1" t="s">
        <v>334</v>
      </c>
      <c r="D222" s="13" t="s">
        <v>428</v>
      </c>
      <c r="E222" s="13" t="s">
        <v>489</v>
      </c>
      <c r="F222" s="1" t="n">
        <v>3.2</v>
      </c>
      <c r="G222" s="1" t="n">
        <v>500</v>
      </c>
      <c r="H222" s="1" t="n">
        <v>1600</v>
      </c>
      <c r="I222" s="1" t="n">
        <v>2.4</v>
      </c>
      <c r="J222" s="1" t="n">
        <v>500</v>
      </c>
      <c r="K222" s="1" t="n">
        <v>20842.32</v>
      </c>
      <c r="L222" s="1" t="n">
        <v>3.04</v>
      </c>
      <c r="M222" s="13" t="s">
        <v>490</v>
      </c>
      <c r="N222" s="13" t="s">
        <v>494</v>
      </c>
      <c r="O222" s="13" t="s">
        <v>495</v>
      </c>
      <c r="P222" s="13" t="s">
        <v>492</v>
      </c>
    </row>
    <row r="223" customFormat="false" ht="15" hidden="false" customHeight="true" outlineLevel="0" collapsed="false">
      <c r="A223" s="57" t="n">
        <v>46227</v>
      </c>
      <c r="B223" s="13" t="s">
        <v>324</v>
      </c>
      <c r="C223" s="1" t="s">
        <v>325</v>
      </c>
      <c r="D223" s="13" t="s">
        <v>428</v>
      </c>
      <c r="E223" s="13" t="s">
        <v>489</v>
      </c>
      <c r="F223" s="1" t="n">
        <v>8.021</v>
      </c>
      <c r="G223" s="1" t="n">
        <v>100</v>
      </c>
      <c r="H223" s="1" t="n">
        <v>802</v>
      </c>
      <c r="I223" s="1" t="n">
        <v>1.5</v>
      </c>
      <c r="J223" s="1" t="n">
        <v>100</v>
      </c>
      <c r="K223" s="1" t="n">
        <v>20842.32</v>
      </c>
      <c r="L223" s="1" t="n">
        <v>7.61995</v>
      </c>
      <c r="M223" s="13" t="s">
        <v>490</v>
      </c>
      <c r="N223" s="13" t="s">
        <v>486</v>
      </c>
      <c r="O223" s="13" t="s">
        <v>496</v>
      </c>
      <c r="P223" s="13" t="s">
        <v>492</v>
      </c>
    </row>
    <row r="224" customFormat="false" ht="15" hidden="false" customHeight="true" outlineLevel="0" collapsed="false">
      <c r="A224" s="57" t="n">
        <v>46227</v>
      </c>
      <c r="B224" s="13" t="s">
        <v>327</v>
      </c>
      <c r="C224" s="1" t="s">
        <v>328</v>
      </c>
      <c r="D224" s="13" t="s">
        <v>428</v>
      </c>
      <c r="E224" s="13" t="s">
        <v>489</v>
      </c>
      <c r="F224" s="1" t="n">
        <v>4.804</v>
      </c>
      <c r="G224" s="1" t="n">
        <v>300</v>
      </c>
      <c r="H224" s="1" t="n">
        <v>1441</v>
      </c>
      <c r="I224" s="1" t="n">
        <v>2.2</v>
      </c>
      <c r="J224" s="1" t="n">
        <v>300</v>
      </c>
      <c r="K224" s="1" t="n">
        <v>20842.32</v>
      </c>
      <c r="L224" s="1" t="n">
        <v>4.5638</v>
      </c>
      <c r="M224" s="13" t="s">
        <v>490</v>
      </c>
      <c r="N224" s="13" t="s">
        <v>486</v>
      </c>
      <c r="O224" s="13" t="s">
        <v>497</v>
      </c>
      <c r="P224" s="13" t="s">
        <v>492</v>
      </c>
    </row>
  </sheetData>
  <sheetProtection sheet="true" password="c42e"/>
  <autoFilter ref="A1:U201"/>
  <conditionalFormatting sqref="N2:N201">
    <cfRule type="expression" priority="2" aboveAverage="0" equalAverage="0" bottom="0" percent="0" rank="0" text="" dxfId="7">
      <formula>N2="是"</formula>
    </cfRule>
    <cfRule type="expression" priority="3" aboveAverage="0" equalAverage="0" bottom="0" percent="0" rank="0" text="" dxfId="8">
      <formula>N2="否"</formula>
    </cfRule>
  </conditionalFormatting>
  <conditionalFormatting sqref="S2:S201">
    <cfRule type="expression" priority="4" aboveAverage="0" equalAverage="0" bottom="0" percent="0" rank="0" text="" dxfId="8">
      <formula>S2="是"</formula>
    </cfRule>
  </conditionalFormatting>
  <conditionalFormatting sqref="T2:T201">
    <cfRule type="expression" priority="5" aboveAverage="0" equalAverage="0" bottom="0" percent="0" rank="0" text="" dxfId="8">
      <formula>T2="是"</formula>
    </cfRule>
  </conditionalFormatting>
  <dataValidations count="6">
    <dataValidation allowBlank="true" errorStyle="stop" operator="between" showDropDown="false" showErrorMessage="false" showInputMessage="false" sqref="T2:T201" type="list">
      <formula1>"是,否"</formula1>
      <formula2>0</formula2>
    </dataValidation>
    <dataValidation allowBlank="true" errorStyle="stop" operator="between" showDropDown="false" showErrorMessage="false" showInputMessage="false" sqref="D2:D201" type="list">
      <formula1>"买入,卖出"</formula1>
      <formula2>0</formula2>
    </dataValidation>
    <dataValidation allowBlank="true" errorStyle="stop" operator="between" showDropDown="false" showErrorMessage="false" showInputMessage="false" sqref="E2:E201" type="list">
      <formula1>"一买,一卖,止损,减仓"</formula1>
      <formula2>0</formula2>
    </dataValidation>
    <dataValidation allowBlank="true" errorStyle="stop" operator="between" showDropDown="false" showErrorMessage="false" showInputMessage="false" sqref="N2:N201" type="list">
      <formula1>"是,否"</formula1>
      <formula2>0</formula2>
    </dataValidation>
    <dataValidation allowBlank="true" errorStyle="stop" operator="between" showDropDown="false" showErrorMessage="false" showInputMessage="false" sqref="P2:P201" type="list">
      <formula1>"盈利,亏损,待定"</formula1>
      <formula2>0</formula2>
    </dataValidation>
    <dataValidation allowBlank="true" errorStyle="stop" operator="between" showDropDown="false" showErrorMessage="false" showInputMessage="false" sqref="S2:S201" type="list">
      <formula1>"是,否"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2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13"/>
    <col collapsed="false" customWidth="true" hidden="false" outlineLevel="0" max="4" min="4" style="1" width="14"/>
    <col collapsed="false" customWidth="true" hidden="false" outlineLevel="0" max="5" min="5" style="1" width="13"/>
    <col collapsed="false" customWidth="true" hidden="false" outlineLevel="0" max="6" min="6" style="1" width="16"/>
    <col collapsed="false" customWidth="true" hidden="false" outlineLevel="0" max="7" min="7" style="1" width="12"/>
    <col collapsed="false" customWidth="true" hidden="false" outlineLevel="0" max="8" min="8" style="1" width="20"/>
    <col collapsed="false" customWidth="true" hidden="false" outlineLevel="0" max="10" min="9" style="1" width="30"/>
    <col collapsed="false" customWidth="true" hidden="false" outlineLevel="0" max="11" min="11" style="1" width="10"/>
    <col collapsed="false" customWidth="true" hidden="false" outlineLevel="0" max="12" min="12" style="1" width="12"/>
    <col collapsed="false" customWidth="true" hidden="false" outlineLevel="0" max="13" min="13" style="1" width="16"/>
    <col collapsed="false" customWidth="true" hidden="false" outlineLevel="0" max="15" min="14" style="1" width="14"/>
    <col collapsed="false" customWidth="true" hidden="false" outlineLevel="0" max="16" min="16" style="1" width="10"/>
  </cols>
  <sheetData>
    <row r="1" customFormat="false" ht="15" hidden="false" customHeight="true" outlineLevel="0" collapsed="false">
      <c r="A1" s="58" t="s">
        <v>230</v>
      </c>
      <c r="B1" s="58" t="s">
        <v>498</v>
      </c>
      <c r="C1" s="58" t="s">
        <v>499</v>
      </c>
      <c r="D1" s="58" t="s">
        <v>500</v>
      </c>
      <c r="E1" s="58" t="s">
        <v>501</v>
      </c>
      <c r="F1" s="58" t="s">
        <v>502</v>
      </c>
      <c r="G1" s="58" t="s">
        <v>503</v>
      </c>
      <c r="H1" s="58" t="s">
        <v>504</v>
      </c>
      <c r="I1" s="58" t="s">
        <v>505</v>
      </c>
      <c r="J1" s="58" t="s">
        <v>506</v>
      </c>
      <c r="K1" s="58" t="s">
        <v>208</v>
      </c>
      <c r="L1" s="58" t="s">
        <v>214</v>
      </c>
      <c r="M1" s="58" t="s">
        <v>507</v>
      </c>
      <c r="N1" s="58" t="s">
        <v>508</v>
      </c>
      <c r="O1" s="58" t="s">
        <v>220</v>
      </c>
      <c r="P1" s="58" t="s">
        <v>509</v>
      </c>
    </row>
    <row r="2" customFormat="false" ht="15" hidden="false" customHeight="true" outlineLevel="0" collapsed="false">
      <c r="A2" s="59" t="n">
        <v>46225</v>
      </c>
      <c r="B2" s="60" t="n">
        <v>5</v>
      </c>
      <c r="C2" s="60" t="n">
        <v>0</v>
      </c>
      <c r="D2" s="60" t="n">
        <v>5</v>
      </c>
      <c r="E2" s="60" t="n">
        <v>3</v>
      </c>
      <c r="F2" s="60" t="n">
        <v>0</v>
      </c>
      <c r="G2" s="60" t="n">
        <v>0</v>
      </c>
      <c r="H2" s="61" t="s">
        <v>510</v>
      </c>
      <c r="I2" s="60"/>
      <c r="J2" s="60"/>
      <c r="K2" s="62" t="n">
        <v>70</v>
      </c>
      <c r="L2" s="63" t="s">
        <v>511</v>
      </c>
      <c r="M2" s="64" t="n">
        <f aca="false">IF($A2="","",IFERROR(AVERAGEIFS(K$2:K2,WEEKNUM(A$2:A2,2),WEEKNUM(A2,2)),K2))</f>
        <v>70</v>
      </c>
      <c r="N2" s="65" t="n">
        <f aca="false">IF($A2="","",IFERROR(COUNTIFS(A$2:A2,"&lt;&gt;",L$2:L2,"达标",WEEKNUM(A$2:A2,2),WEEKNUM(A2,2)),0))</f>
        <v>0</v>
      </c>
      <c r="O2" s="62" t="n">
        <f aca="false">IF($A2="","",IF(L2="达标",IF(ROW()=2,1,IF(O1="",1,O1+1)),0))</f>
        <v>0</v>
      </c>
      <c r="P2" s="63" t="str">
        <f aca="false">IF($A2="","",IF(ROW()&lt;=8,"基准周",IF(K2&gt;75,"改善",IF(K2&lt;60,"恶化","持平"))))</f>
        <v>基准周</v>
      </c>
    </row>
    <row r="3" customFormat="false" ht="15" hidden="false" customHeight="true" outlineLevel="0" collapsed="false">
      <c r="A3" s="66" t="n">
        <v>46226</v>
      </c>
      <c r="B3" s="67" t="n">
        <v>3</v>
      </c>
      <c r="C3" s="67" t="n">
        <v>0</v>
      </c>
      <c r="D3" s="67" t="n">
        <v>4</v>
      </c>
      <c r="E3" s="67" t="n">
        <v>3</v>
      </c>
      <c r="F3" s="67" t="n">
        <v>0</v>
      </c>
      <c r="G3" s="67" t="n">
        <v>1</v>
      </c>
      <c r="H3" s="68" t="s">
        <v>510</v>
      </c>
      <c r="I3" s="67"/>
      <c r="J3" s="67"/>
      <c r="K3" s="62" t="n">
        <v>70</v>
      </c>
      <c r="L3" s="63" t="s">
        <v>511</v>
      </c>
      <c r="M3" s="64" t="n">
        <f aca="false">IF($A3="","",IFERROR(AVERAGEIFS(K$2:K3,WEEKNUM(A$2:A3,2),WEEKNUM(A3,2)),K3))</f>
        <v>70</v>
      </c>
      <c r="N3" s="65" t="n">
        <f aca="false">IF($A3="","",IFERROR(COUNTIFS(A$2:A3,"&lt;&gt;",L$2:L3,"达标",WEEKNUM(A$2:A3,2),WEEKNUM(A3,2)),0))</f>
        <v>0</v>
      </c>
      <c r="O3" s="62" t="n">
        <f aca="false">IF($A3="","",IF(L3="达标",IF(ROW()=2,1,IF(O2="",1,O2+1)),0))</f>
        <v>0</v>
      </c>
      <c r="P3" s="63" t="str">
        <f aca="false">IF($A3="","",IF(ROW()&lt;=8,"基准周",IF(K3&gt;k-4,"改善",IF(K3&lt;k-4,"恶化","持平"))))</f>
        <v>基准周</v>
      </c>
    </row>
    <row r="4" customFormat="false" ht="15" hidden="false" customHeight="true" outlineLevel="0" collapsed="false">
      <c r="A4" s="59" t="n">
        <v>46227</v>
      </c>
      <c r="B4" s="60" t="n">
        <v>4</v>
      </c>
      <c r="C4" s="60" t="n">
        <v>0</v>
      </c>
      <c r="D4" s="60" t="n">
        <v>4</v>
      </c>
      <c r="E4" s="60" t="n">
        <v>3</v>
      </c>
      <c r="F4" s="60" t="n">
        <v>0</v>
      </c>
      <c r="G4" s="60" t="n">
        <v>6</v>
      </c>
      <c r="H4" s="61" t="s">
        <v>510</v>
      </c>
      <c r="I4" s="61" t="s">
        <v>512</v>
      </c>
      <c r="J4" s="61" t="s">
        <v>513</v>
      </c>
      <c r="K4" s="62" t="n">
        <f aca="false">IF($A4="","",IF(B4=0,20,IF(B4=1,15,IF(B4=2,10,IF(B4=3,5,0))))+IF(C4="否",20,0)+IF(D4="是",20,0)+IF(E4=1,20,IF(E4=2,15,IF(E4=3,10,IF(E4=4,5,0))))+IF(F4="否",20,0))</f>
        <v>10</v>
      </c>
      <c r="L4" s="63" t="str">
        <f aca="false">IF($A4="","",IF(K4&gt;=80,"达标","未达标"))</f>
        <v>未达标</v>
      </c>
      <c r="M4" s="64" t="n">
        <f aca="false">IF($A4="","",IFERROR(AVERAGEIFS(K$2:K4,WEEKNUM(A$2:A4,2),WEEKNUM(A4,2)),K4))</f>
        <v>10</v>
      </c>
      <c r="N4" s="65" t="n">
        <f aca="false">IF($A4="","",IFERROR(COUNTIFS(A$2:A4,"&lt;&gt;",L$2:L4,"达标",WEEKNUM(A$2:A4,2),WEEKNUM(A4,2)),0))</f>
        <v>0</v>
      </c>
      <c r="O4" s="62" t="n">
        <f aca="false">IF($A4="","",IF(L4="达标",IF(ROW()=2,1,IF(O3="",1,O3+1)),0))</f>
        <v>0</v>
      </c>
      <c r="P4" s="63" t="str">
        <f aca="false">IF($A4="","",IF(ROW()&lt;=8,"基准周",IF(K4&gt;k-3,"改善",IF(K4&lt;k-3,"恶化","持平"))))</f>
        <v>基准周</v>
      </c>
    </row>
    <row r="5" customFormat="false" ht="15" hidden="false" customHeight="true" outlineLevel="0" collapsed="false">
      <c r="A5" s="67"/>
      <c r="B5" s="67"/>
      <c r="C5" s="67"/>
      <c r="D5" s="67"/>
      <c r="E5" s="67"/>
      <c r="F5" s="67"/>
      <c r="G5" s="67"/>
      <c r="H5" s="67"/>
      <c r="I5" s="67"/>
      <c r="J5" s="67"/>
      <c r="K5" s="62" t="str">
        <f aca="false">IF($A5="","",IF(B5=0,20,IF(B5=1,15,IF(B5=2,10,IF(B5=3,5,0))))+IF(C5="否",20,0)+IF(D5="是",20,0)+IF(E5=1,20,IF(E5=2,15,IF(E5=3,10,IF(E5=4,5,0))))+IF(F5="否",20,0))</f>
        <v/>
      </c>
      <c r="L5" s="63" t="str">
        <f aca="false">IF($A5="","",IF(K5&gt;=80,"达标","未达标"))</f>
        <v/>
      </c>
      <c r="M5" s="64" t="str">
        <f aca="false">IF($A5="","",IFERROR(AVERAGEIFS(K$2:K5,WEEKNUM(A$2:A5,2),WEEKNUM(A5,2)),K5))</f>
        <v/>
      </c>
      <c r="N5" s="65" t="str">
        <f aca="false">IF($A5="","",IFERROR(COUNTIFS(A$2:A5,"&lt;&gt;",L$2:L5,"达标",WEEKNUM(A$2:A5,2),WEEKNUM(A5,2)),0))</f>
        <v/>
      </c>
      <c r="O5" s="62" t="str">
        <f aca="false">IF($A5="","",IF(L5="达标",IF(ROW()=2,1,IF(O4="",1,O4+1)),0))</f>
        <v/>
      </c>
      <c r="P5" s="63" t="str">
        <f aca="false">IF($A5="","",IF(ROW()&lt;=8,"基准周",IF(K5&gt;k-2,"改善",IF(K5&lt;k-2,"恶化","持平"))))</f>
        <v/>
      </c>
    </row>
    <row r="6" customFormat="false" ht="15" hidden="false" customHeight="true" outlineLevel="0" collapsed="false">
      <c r="A6" s="60"/>
      <c r="B6" s="60"/>
      <c r="C6" s="60"/>
      <c r="D6" s="60"/>
      <c r="E6" s="60"/>
      <c r="F6" s="60"/>
      <c r="G6" s="60"/>
      <c r="H6" s="60"/>
      <c r="I6" s="60"/>
      <c r="J6" s="60"/>
      <c r="K6" s="62" t="str">
        <f aca="false">IF($A6="","",IF(B6=0,20,IF(B6=1,15,IF(B6=2,10,IF(B6=3,5,0))))+IF(C6="否",20,0)+IF(D6="是",20,0)+IF(E6=1,20,IF(E6=2,15,IF(E6=3,10,IF(E6=4,5,0))))+IF(F6="否",20,0))</f>
        <v/>
      </c>
      <c r="L6" s="63" t="str">
        <f aca="false">IF($A6="","",IF(K6&gt;=80,"达标","未达标"))</f>
        <v/>
      </c>
      <c r="M6" s="64" t="str">
        <f aca="false">IF($A6="","",IFERROR(AVERAGEIFS(K$2:K6,WEEKNUM(A$2:A6,2),WEEKNUM(A6,2)),K6))</f>
        <v/>
      </c>
      <c r="N6" s="65" t="str">
        <f aca="false">IF($A6="","",IFERROR(COUNTIFS(A$2:A6,"&lt;&gt;",L$2:L6,"达标",WEEKNUM(A$2:A6,2),WEEKNUM(A6,2)),0))</f>
        <v/>
      </c>
      <c r="O6" s="62" t="str">
        <f aca="false">IF($A6="","",IF(L6="达标",IF(ROW()=2,1,IF(O5="",1,O5+1)),0))</f>
        <v/>
      </c>
      <c r="P6" s="63" t="str">
        <f aca="false">IF($A6="","",IF(ROW()&lt;=8,"基准周",IF(K6&gt;k-1,"改善",IF(K6&lt;k-1,"恶化","持平"))))</f>
        <v/>
      </c>
    </row>
    <row r="7" customFormat="false" ht="15" hidden="false" customHeight="true" outlineLevel="0" collapsed="false">
      <c r="A7" s="67"/>
      <c r="B7" s="67"/>
      <c r="C7" s="67"/>
      <c r="D7" s="67"/>
      <c r="E7" s="67"/>
      <c r="F7" s="67"/>
      <c r="G7" s="67"/>
      <c r="H7" s="67"/>
      <c r="I7" s="67"/>
      <c r="J7" s="67"/>
      <c r="K7" s="62" t="str">
        <f aca="false">IF($A7="","",IF(B7=0,20,IF(B7=1,15,IF(B7=2,10,IF(B7=3,5,0))))+IF(C7="否",20,0)+IF(D7="是",20,0)+IF(E7=1,20,IF(E7=2,15,IF(E7=3,10,IF(E7=4,5,0))))+IF(F7="否",20,0))</f>
        <v/>
      </c>
      <c r="L7" s="63" t="str">
        <f aca="false">IF($A7="","",IF(K7&gt;=80,"达标","未达标"))</f>
        <v/>
      </c>
      <c r="M7" s="64" t="str">
        <f aca="false">IF($A7="","",IFERROR(AVERAGEIFS(K$2:K7,WEEKNUM(A$2:A7,2),WEEKNUM(A7,2)),K7))</f>
        <v/>
      </c>
      <c r="N7" s="65" t="str">
        <f aca="false">IF($A7="","",IFERROR(COUNTIFS(A$2:A7,"&lt;&gt;",L$2:L7,"达标",WEEKNUM(A$2:A7,2),WEEKNUM(A7,2)),0))</f>
        <v/>
      </c>
      <c r="O7" s="62" t="str">
        <f aca="false">IF($A7="","",IF(L7="达标",IF(ROW()=2,1,IF(O6="",1,O6+1)),0))</f>
        <v/>
      </c>
      <c r="P7" s="63" t="str">
        <f aca="false">IF($A7="","",IF(ROW()&lt;=8,"基准周",IF(K7&gt;k0,"改善",IF(K7&lt;k0,"恶化","持平"))))</f>
        <v/>
      </c>
    </row>
    <row r="8" customFormat="false" ht="15" hidden="false" customHeight="true" outlineLevel="0" collapsed="false">
      <c r="A8" s="60"/>
      <c r="B8" s="60"/>
      <c r="C8" s="60"/>
      <c r="D8" s="60"/>
      <c r="E8" s="60"/>
      <c r="F8" s="60"/>
      <c r="G8" s="60"/>
      <c r="H8" s="60"/>
      <c r="I8" s="60"/>
      <c r="J8" s="60"/>
      <c r="K8" s="62" t="str">
        <f aca="false">IF($A8="","",IF(B8=0,20,IF(B8=1,15,IF(B8=2,10,IF(B8=3,5,0))))+IF(C8="否",20,0)+IF(D8="是",20,0)+IF(E8=1,20,IF(E8=2,15,IF(E8=3,10,IF(E8=4,5,0))))+IF(F8="否",20,0))</f>
        <v/>
      </c>
      <c r="L8" s="63" t="str">
        <f aca="false">IF($A8="","",IF(K8&gt;=80,"达标","未达标"))</f>
        <v/>
      </c>
      <c r="M8" s="64" t="str">
        <f aca="false">IF($A8="","",IFERROR(AVERAGEIFS(K$2:K8,WEEKNUM(A$2:A8,2),WEEKNUM(A8,2)),K8))</f>
        <v/>
      </c>
      <c r="N8" s="65" t="str">
        <f aca="false">IF($A8="","",IFERROR(COUNTIFS(A$2:A8,"&lt;&gt;",L$2:L8,"达标",WEEKNUM(A$2:A8,2),WEEKNUM(A8,2)),0))</f>
        <v/>
      </c>
      <c r="O8" s="62" t="str">
        <f aca="false">IF($A8="","",IF(L8="达标",IF(ROW()=2,1,IF(O7="",1,O7+1)),0))</f>
        <v/>
      </c>
      <c r="P8" s="63" t="str">
        <f aca="false">IF($A8="","",IF(ROW()&lt;=8,"基准周",IF(K8&gt;K1,"改善",IF(K8&lt;K1,"恶化","持平"))))</f>
        <v/>
      </c>
    </row>
    <row r="9" customFormat="false" ht="15" hidden="false" customHeight="true" outlineLevel="0" collapsed="false">
      <c r="A9" s="67"/>
      <c r="B9" s="67"/>
      <c r="C9" s="67"/>
      <c r="D9" s="67"/>
      <c r="E9" s="67"/>
      <c r="F9" s="67"/>
      <c r="G9" s="67"/>
      <c r="H9" s="67"/>
      <c r="I9" s="67"/>
      <c r="J9" s="67"/>
      <c r="K9" s="62" t="str">
        <f aca="false">IF($A9="","",IF(B9=0,20,IF(B9=1,15,IF(B9=2,10,IF(B9=3,5,0))))+IF(C9="否",20,0)+IF(D9="是",20,0)+IF(E9=1,20,IF(E9=2,15,IF(E9=3,10,IF(E9=4,5,0))))+IF(F9="否",20,0))</f>
        <v/>
      </c>
      <c r="L9" s="63" t="str">
        <f aca="false">IF($A9="","",IF(K9&gt;=80,"达标","未达标"))</f>
        <v/>
      </c>
      <c r="M9" s="64" t="str">
        <f aca="false">IF($A9="","",IFERROR(AVERAGEIFS(K$2:K9,WEEKNUM(A$2:A9,2),WEEKNUM(A9,2)),K9))</f>
        <v/>
      </c>
      <c r="N9" s="65" t="str">
        <f aca="false">IF($A9="","",IFERROR(COUNTIFS(A$2:A9,"&lt;&gt;",L$2:L9,"达标",WEEKNUM(A$2:A9,2),WEEKNUM(A9,2)),0))</f>
        <v/>
      </c>
      <c r="O9" s="62" t="str">
        <f aca="false">IF($A9="","",IF(L9="达标",IF(ROW()=2,1,IF(O8="",1,O8+1)),0))</f>
        <v/>
      </c>
      <c r="P9" s="63" t="str">
        <f aca="false">IF($A9="","",IF(ROW()&lt;=8,"基准周",IF(K9&gt;K2,"改善",IF(K9&lt;K2,"恶化","持平"))))</f>
        <v/>
      </c>
    </row>
    <row r="10" customFormat="false" ht="15" hidden="false" customHeight="true" outlineLevel="0" collapsed="false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2" t="str">
        <f aca="false">IF($A10="","",IF(B10=0,20,IF(B10=1,15,IF(B10=2,10,IF(B10=3,5,0))))+IF(C10="否",20,0)+IF(D10="是",20,0)+IF(E10=1,20,IF(E10=2,15,IF(E10=3,10,IF(E10=4,5,0))))+IF(F10="否",20,0))</f>
        <v/>
      </c>
      <c r="L10" s="63" t="str">
        <f aca="false">IF($A10="","",IF(K10&gt;=80,"达标","未达标"))</f>
        <v/>
      </c>
      <c r="M10" s="64" t="str">
        <f aca="false">IF($A10="","",IFERROR(AVERAGEIFS(K$2:K10,WEEKNUM(A$2:A10,2),WEEKNUM(A10,2)),K10))</f>
        <v/>
      </c>
      <c r="N10" s="65" t="str">
        <f aca="false">IF($A10="","",IFERROR(COUNTIFS(A$2:A10,"&lt;&gt;",L$2:L10,"达标",WEEKNUM(A$2:A10,2),WEEKNUM(A10,2)),0))</f>
        <v/>
      </c>
      <c r="O10" s="62" t="str">
        <f aca="false">IF($A10="","",IF(L10="达标",IF(ROW()=2,1,IF(O9="",1,O9+1)),0))</f>
        <v/>
      </c>
      <c r="P10" s="63" t="str">
        <f aca="false">IF($A10="","",IF(ROW()&lt;=8,"基准周",IF(K10&gt;K3,"改善",IF(K10&lt;K3,"恶化","持平"))))</f>
        <v/>
      </c>
    </row>
    <row r="11" customFormat="false" ht="15" hidden="false" customHeight="true" outlineLevel="0" collapsed="false">
      <c r="A11" s="67"/>
      <c r="B11" s="67"/>
      <c r="C11" s="67"/>
      <c r="D11" s="67"/>
      <c r="E11" s="67"/>
      <c r="F11" s="67"/>
      <c r="G11" s="67"/>
      <c r="H11" s="67"/>
      <c r="I11" s="67"/>
      <c r="J11" s="67"/>
      <c r="K11" s="62" t="str">
        <f aca="false">IF($A11="","",IF(B11=0,20,IF(B11=1,15,IF(B11=2,10,IF(B11=3,5,0))))+IF(C11="否",20,0)+IF(D11="是",20,0)+IF(E11=1,20,IF(E11=2,15,IF(E11=3,10,IF(E11=4,5,0))))+IF(F11="否",20,0))</f>
        <v/>
      </c>
      <c r="L11" s="63" t="str">
        <f aca="false">IF($A11="","",IF(K11&gt;=80,"达标","未达标"))</f>
        <v/>
      </c>
      <c r="M11" s="64" t="str">
        <f aca="false">IF($A11="","",IFERROR(AVERAGEIFS(K$2:K11,WEEKNUM(A$2:A11,2),WEEKNUM(A11,2)),K11))</f>
        <v/>
      </c>
      <c r="N11" s="65" t="str">
        <f aca="false">IF($A11="","",IFERROR(COUNTIFS(A$2:A11,"&lt;&gt;",L$2:L11,"达标",WEEKNUM(A$2:A11,2),WEEKNUM(A11,2)),0))</f>
        <v/>
      </c>
      <c r="O11" s="62" t="str">
        <f aca="false">IF($A11="","",IF(L11="达标",IF(ROW()=2,1,IF(O10="",1,O10+1)),0))</f>
        <v/>
      </c>
      <c r="P11" s="63" t="str">
        <f aca="false">IF($A11="","",IF(ROW()&lt;=8,"基准周",IF(K11&gt;K4,"改善",IF(K11&lt;K4,"恶化","持平"))))</f>
        <v/>
      </c>
    </row>
    <row r="12" customFormat="false" ht="15" hidden="false" customHeight="true" outlineLevel="0" collapsed="false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2" t="str">
        <f aca="false">IF($A12="","",IF(B12=0,20,IF(B12=1,15,IF(B12=2,10,IF(B12=3,5,0))))+IF(C12="否",20,0)+IF(D12="是",20,0)+IF(E12=1,20,IF(E12=2,15,IF(E12=3,10,IF(E12=4,5,0))))+IF(F12="否",20,0))</f>
        <v/>
      </c>
      <c r="L12" s="63" t="str">
        <f aca="false">IF($A12="","",IF(K12&gt;=80,"达标","未达标"))</f>
        <v/>
      </c>
      <c r="M12" s="64" t="str">
        <f aca="false">IF($A12="","",IFERROR(AVERAGEIFS(K$2:K12,WEEKNUM(A$2:A12,2),WEEKNUM(A12,2)),K12))</f>
        <v/>
      </c>
      <c r="N12" s="65" t="str">
        <f aca="false">IF($A12="","",IFERROR(COUNTIFS(A$2:A12,"&lt;&gt;",L$2:L12,"达标",WEEKNUM(A$2:A12,2),WEEKNUM(A12,2)),0))</f>
        <v/>
      </c>
      <c r="O12" s="62" t="str">
        <f aca="false">IF($A12="","",IF(L12="达标",IF(ROW()=2,1,IF(O11="",1,O11+1)),0))</f>
        <v/>
      </c>
      <c r="P12" s="63" t="str">
        <f aca="false">IF($A12="","",IF(ROW()&lt;=8,"基准周",IF(K12&gt;K5,"改善",IF(K12&lt;K5,"恶化","持平"))))</f>
        <v/>
      </c>
    </row>
    <row r="13" customFormat="false" ht="15" hidden="false" customHeight="true" outlineLevel="0" collapsed="false">
      <c r="A13" s="67"/>
      <c r="B13" s="67"/>
      <c r="C13" s="67"/>
      <c r="D13" s="67"/>
      <c r="E13" s="67"/>
      <c r="F13" s="67"/>
      <c r="G13" s="67"/>
      <c r="H13" s="67"/>
      <c r="I13" s="67"/>
      <c r="J13" s="67"/>
      <c r="K13" s="62" t="str">
        <f aca="false">IF($A13="","",IF(B13=0,20,IF(B13=1,15,IF(B13=2,10,IF(B13=3,5,0))))+IF(C13="否",20,0)+IF(D13="是",20,0)+IF(E13=1,20,IF(E13=2,15,IF(E13=3,10,IF(E13=4,5,0))))+IF(F13="否",20,0))</f>
        <v/>
      </c>
      <c r="L13" s="63" t="str">
        <f aca="false">IF($A13="","",IF(K13&gt;=80,"达标","未达标"))</f>
        <v/>
      </c>
      <c r="M13" s="64" t="str">
        <f aca="false">IF($A13="","",IFERROR(AVERAGEIFS(K$2:K13,WEEKNUM(A$2:A13,2),WEEKNUM(A13,2)),K13))</f>
        <v/>
      </c>
      <c r="N13" s="65" t="str">
        <f aca="false">IF($A13="","",IFERROR(COUNTIFS(A$2:A13,"&lt;&gt;",L$2:L13,"达标",WEEKNUM(A$2:A13,2),WEEKNUM(A13,2)),0))</f>
        <v/>
      </c>
      <c r="O13" s="62" t="str">
        <f aca="false">IF($A13="","",IF(L13="达标",IF(ROW()=2,1,IF(O12="",1,O12+1)),0))</f>
        <v/>
      </c>
      <c r="P13" s="63" t="str">
        <f aca="false">IF($A13="","",IF(ROW()&lt;=8,"基准周",IF(K13&gt;K6,"改善",IF(K13&lt;K6,"恶化","持平"))))</f>
        <v/>
      </c>
    </row>
    <row r="14" customFormat="false" ht="15" hidden="false" customHeight="true" outlineLevel="0" collapsed="false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2" t="str">
        <f aca="false">IF($A14="","",IF(B14=0,20,IF(B14=1,15,IF(B14=2,10,IF(B14=3,5,0))))+IF(C14="否",20,0)+IF(D14="是",20,0)+IF(E14=1,20,IF(E14=2,15,IF(E14=3,10,IF(E14=4,5,0))))+IF(F14="否",20,0))</f>
        <v/>
      </c>
      <c r="L14" s="63" t="str">
        <f aca="false">IF($A14="","",IF(K14&gt;=80,"达标","未达标"))</f>
        <v/>
      </c>
      <c r="M14" s="64" t="str">
        <f aca="false">IF($A14="","",IFERROR(AVERAGEIFS(K$2:K14,WEEKNUM(A$2:A14,2),WEEKNUM(A14,2)),K14))</f>
        <v/>
      </c>
      <c r="N14" s="65" t="str">
        <f aca="false">IF($A14="","",IFERROR(COUNTIFS(A$2:A14,"&lt;&gt;",L$2:L14,"达标",WEEKNUM(A$2:A14,2),WEEKNUM(A14,2)),0))</f>
        <v/>
      </c>
      <c r="O14" s="62" t="str">
        <f aca="false">IF($A14="","",IF(L14="达标",IF(ROW()=2,1,IF(O13="",1,O13+1)),0))</f>
        <v/>
      </c>
      <c r="P14" s="63" t="str">
        <f aca="false">IF($A14="","",IF(ROW()&lt;=8,"基准周",IF(K14&gt;K7,"改善",IF(K14&lt;K7,"恶化","持平"))))</f>
        <v/>
      </c>
    </row>
    <row r="15" customFormat="false" ht="15" hidden="false" customHeight="true" outlineLevel="0" collapsed="false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2" t="str">
        <f aca="false">IF($A15="","",IF(B15=0,20,IF(B15=1,15,IF(B15=2,10,IF(B15=3,5,0))))+IF(C15="否",20,0)+IF(D15="是",20,0)+IF(E15=1,20,IF(E15=2,15,IF(E15=3,10,IF(E15=4,5,0))))+IF(F15="否",20,0))</f>
        <v/>
      </c>
      <c r="L15" s="63" t="str">
        <f aca="false">IF($A15="","",IF(K15&gt;=80,"达标","未达标"))</f>
        <v/>
      </c>
      <c r="M15" s="64" t="str">
        <f aca="false">IF($A15="","",IFERROR(AVERAGEIFS(K$2:K15,WEEKNUM(A$2:A15,2),WEEKNUM(A15,2)),K15))</f>
        <v/>
      </c>
      <c r="N15" s="65" t="str">
        <f aca="false">IF($A15="","",IFERROR(COUNTIFS(A$2:A15,"&lt;&gt;",L$2:L15,"达标",WEEKNUM(A$2:A15,2),WEEKNUM(A15,2)),0))</f>
        <v/>
      </c>
      <c r="O15" s="62" t="str">
        <f aca="false">IF($A15="","",IF(L15="达标",IF(ROW()=2,1,IF(O14="",1,O14+1)),0))</f>
        <v/>
      </c>
      <c r="P15" s="63" t="str">
        <f aca="false">IF($A15="","",IF(ROW()&lt;=8,"基准周",IF(K15&gt;K8,"改善",IF(K15&lt;K8,"恶化","持平"))))</f>
        <v/>
      </c>
    </row>
    <row r="16" customFormat="false" ht="15" hidden="false" customHeight="true" outlineLevel="0" collapsed="false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2" t="str">
        <f aca="false">IF($A16="","",IF(B16=0,20,IF(B16=1,15,IF(B16=2,10,IF(B16=3,5,0))))+IF(C16="否",20,0)+IF(D16="是",20,0)+IF(E16=1,20,IF(E16=2,15,IF(E16=3,10,IF(E16=4,5,0))))+IF(F16="否",20,0))</f>
        <v/>
      </c>
      <c r="L16" s="63" t="str">
        <f aca="false">IF($A16="","",IF(K16&gt;=80,"达标","未达标"))</f>
        <v/>
      </c>
      <c r="M16" s="64" t="str">
        <f aca="false">IF($A16="","",IFERROR(AVERAGEIFS(K$2:K16,WEEKNUM(A$2:A16,2),WEEKNUM(A16,2)),K16))</f>
        <v/>
      </c>
      <c r="N16" s="65" t="str">
        <f aca="false">IF($A16="","",IFERROR(COUNTIFS(A$2:A16,"&lt;&gt;",L$2:L16,"达标",WEEKNUM(A$2:A16,2),WEEKNUM(A16,2)),0))</f>
        <v/>
      </c>
      <c r="O16" s="62" t="str">
        <f aca="false">IF($A16="","",IF(L16="达标",IF(ROW()=2,1,IF(O15="",1,O15+1)),0))</f>
        <v/>
      </c>
      <c r="P16" s="63" t="str">
        <f aca="false">IF($A16="","",IF(ROW()&lt;=8,"基准周",IF(K16&gt;K9,"改善",IF(K16&lt;K9,"恶化","持平"))))</f>
        <v/>
      </c>
    </row>
    <row r="17" customFormat="false" ht="15" hidden="false" customHeight="true" outlineLevel="0" collapsed="false">
      <c r="A17" s="67"/>
      <c r="B17" s="67"/>
      <c r="C17" s="67"/>
      <c r="D17" s="67"/>
      <c r="E17" s="67"/>
      <c r="F17" s="67"/>
      <c r="G17" s="67"/>
      <c r="H17" s="67"/>
      <c r="I17" s="67"/>
      <c r="J17" s="67"/>
      <c r="K17" s="62" t="str">
        <f aca="false">IF($A17="","",IF(B17=0,20,IF(B17=1,15,IF(B17=2,10,IF(B17=3,5,0))))+IF(C17="否",20,0)+IF(D17="是",20,0)+IF(E17=1,20,IF(E17=2,15,IF(E17=3,10,IF(E17=4,5,0))))+IF(F17="否",20,0))</f>
        <v/>
      </c>
      <c r="L17" s="63" t="str">
        <f aca="false">IF($A17="","",IF(K17&gt;=80,"达标","未达标"))</f>
        <v/>
      </c>
      <c r="M17" s="64" t="str">
        <f aca="false">IF($A17="","",IFERROR(AVERAGEIFS(K$2:K17,WEEKNUM(A$2:A17,2),WEEKNUM(A17,2)),K17))</f>
        <v/>
      </c>
      <c r="N17" s="65" t="str">
        <f aca="false">IF($A17="","",IFERROR(COUNTIFS(A$2:A17,"&lt;&gt;",L$2:L17,"达标",WEEKNUM(A$2:A17,2),WEEKNUM(A17,2)),0))</f>
        <v/>
      </c>
      <c r="O17" s="62" t="str">
        <f aca="false">IF($A17="","",IF(L17="达标",IF(ROW()=2,1,IF(O16="",1,O16+1)),0))</f>
        <v/>
      </c>
      <c r="P17" s="63" t="str">
        <f aca="false">IF($A17="","",IF(ROW()&lt;=8,"基准周",IF(K17&gt;K10,"改善",IF(K17&lt;K10,"恶化","持平"))))</f>
        <v/>
      </c>
    </row>
    <row r="18" customFormat="false" ht="15" hidden="false" customHeight="true" outlineLevel="0" collapsed="false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2" t="str">
        <f aca="false">IF($A18="","",IF(B18=0,20,IF(B18=1,15,IF(B18=2,10,IF(B18=3,5,0))))+IF(C18="否",20,0)+IF(D18="是",20,0)+IF(E18=1,20,IF(E18=2,15,IF(E18=3,10,IF(E18=4,5,0))))+IF(F18="否",20,0))</f>
        <v/>
      </c>
      <c r="L18" s="63" t="str">
        <f aca="false">IF($A18="","",IF(K18&gt;=80,"达标","未达标"))</f>
        <v/>
      </c>
      <c r="M18" s="64" t="str">
        <f aca="false">IF($A18="","",IFERROR(AVERAGEIFS(K$2:K18,WEEKNUM(A$2:A18,2),WEEKNUM(A18,2)),K18))</f>
        <v/>
      </c>
      <c r="N18" s="65" t="str">
        <f aca="false">IF($A18="","",IFERROR(COUNTIFS(A$2:A18,"&lt;&gt;",L$2:L18,"达标",WEEKNUM(A$2:A18,2),WEEKNUM(A18,2)),0))</f>
        <v/>
      </c>
      <c r="O18" s="62" t="str">
        <f aca="false">IF($A18="","",IF(L18="达标",IF(ROW()=2,1,IF(O17="",1,O17+1)),0))</f>
        <v/>
      </c>
      <c r="P18" s="63" t="str">
        <f aca="false">IF($A18="","",IF(ROW()&lt;=8,"基准周",IF(K18&gt;K11,"改善",IF(K18&lt;K11,"恶化","持平"))))</f>
        <v/>
      </c>
    </row>
    <row r="19" customFormat="false" ht="15" hidden="false" customHeight="true" outlineLevel="0" collapsed="false">
      <c r="A19" s="67"/>
      <c r="B19" s="67"/>
      <c r="C19" s="67"/>
      <c r="D19" s="67"/>
      <c r="E19" s="67"/>
      <c r="F19" s="67"/>
      <c r="G19" s="67"/>
      <c r="H19" s="67"/>
      <c r="I19" s="67"/>
      <c r="J19" s="67"/>
      <c r="K19" s="62" t="str">
        <f aca="false">IF($A19="","",IF(B19=0,20,IF(B19=1,15,IF(B19=2,10,IF(B19=3,5,0))))+IF(C19="否",20,0)+IF(D19="是",20,0)+IF(E19=1,20,IF(E19=2,15,IF(E19=3,10,IF(E19=4,5,0))))+IF(F19="否",20,0))</f>
        <v/>
      </c>
      <c r="L19" s="63" t="str">
        <f aca="false">IF($A19="","",IF(K19&gt;=80,"达标","未达标"))</f>
        <v/>
      </c>
      <c r="M19" s="64" t="str">
        <f aca="false">IF($A19="","",IFERROR(AVERAGEIFS(K$2:K19,WEEKNUM(A$2:A19,2),WEEKNUM(A19,2)),K19))</f>
        <v/>
      </c>
      <c r="N19" s="65" t="str">
        <f aca="false">IF($A19="","",IFERROR(COUNTIFS(A$2:A19,"&lt;&gt;",L$2:L19,"达标",WEEKNUM(A$2:A19,2),WEEKNUM(A19,2)),0))</f>
        <v/>
      </c>
      <c r="O19" s="62" t="str">
        <f aca="false">IF($A19="","",IF(L19="达标",IF(ROW()=2,1,IF(O18="",1,O18+1)),0))</f>
        <v/>
      </c>
      <c r="P19" s="63" t="str">
        <f aca="false">IF($A19="","",IF(ROW()&lt;=8,"基准周",IF(K19&gt;K12,"改善",IF(K19&lt;K12,"恶化","持平"))))</f>
        <v/>
      </c>
    </row>
    <row r="20" customFormat="false" ht="15" hidden="false" customHeight="true" outlineLevel="0" collapsed="false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2" t="str">
        <f aca="false">IF($A20="","",IF(B20=0,20,IF(B20=1,15,IF(B20=2,10,IF(B20=3,5,0))))+IF(C20="否",20,0)+IF(D20="是",20,0)+IF(E20=1,20,IF(E20=2,15,IF(E20=3,10,IF(E20=4,5,0))))+IF(F20="否",20,0))</f>
        <v/>
      </c>
      <c r="L20" s="63" t="str">
        <f aca="false">IF($A20="","",IF(K20&gt;=80,"达标","未达标"))</f>
        <v/>
      </c>
      <c r="M20" s="64" t="str">
        <f aca="false">IF($A20="","",IFERROR(AVERAGEIFS(K$2:K20,WEEKNUM(A$2:A20,2),WEEKNUM(A20,2)),K20))</f>
        <v/>
      </c>
      <c r="N20" s="65" t="str">
        <f aca="false">IF($A20="","",IFERROR(COUNTIFS(A$2:A20,"&lt;&gt;",L$2:L20,"达标",WEEKNUM(A$2:A20,2),WEEKNUM(A20,2)),0))</f>
        <v/>
      </c>
      <c r="O20" s="62" t="str">
        <f aca="false">IF($A20="","",IF(L20="达标",IF(ROW()=2,1,IF(O19="",1,O19+1)),0))</f>
        <v/>
      </c>
      <c r="P20" s="63" t="str">
        <f aca="false">IF($A20="","",IF(ROW()&lt;=8,"基准周",IF(K20&gt;K13,"改善",IF(K20&lt;K13,"恶化","持平"))))</f>
        <v/>
      </c>
    </row>
    <row r="21" customFormat="false" ht="15" hidden="false" customHeight="true" outlineLevel="0" collapsed="false">
      <c r="A21" s="67"/>
      <c r="B21" s="67"/>
      <c r="C21" s="67"/>
      <c r="D21" s="67"/>
      <c r="E21" s="67"/>
      <c r="F21" s="67"/>
      <c r="G21" s="67"/>
      <c r="H21" s="67"/>
      <c r="I21" s="67"/>
      <c r="J21" s="67"/>
      <c r="K21" s="62" t="str">
        <f aca="false">IF($A21="","",IF(B21=0,20,IF(B21=1,15,IF(B21=2,10,IF(B21=3,5,0))))+IF(C21="否",20,0)+IF(D21="是",20,0)+IF(E21=1,20,IF(E21=2,15,IF(E21=3,10,IF(E21=4,5,0))))+IF(F21="否",20,0))</f>
        <v/>
      </c>
      <c r="L21" s="63" t="str">
        <f aca="false">IF($A21="","",IF(K21&gt;=80,"达标","未达标"))</f>
        <v/>
      </c>
      <c r="M21" s="64" t="str">
        <f aca="false">IF($A21="","",IFERROR(AVERAGEIFS(K$2:K21,WEEKNUM(A$2:A21,2),WEEKNUM(A21,2)),K21))</f>
        <v/>
      </c>
      <c r="N21" s="65" t="str">
        <f aca="false">IF($A21="","",IFERROR(COUNTIFS(A$2:A21,"&lt;&gt;",L$2:L21,"达标",WEEKNUM(A$2:A21,2),WEEKNUM(A21,2)),0))</f>
        <v/>
      </c>
      <c r="O21" s="62" t="str">
        <f aca="false">IF($A21="","",IF(L21="达标",IF(ROW()=2,1,IF(O20="",1,O20+1)),0))</f>
        <v/>
      </c>
      <c r="P21" s="63" t="str">
        <f aca="false">IF($A21="","",IF(ROW()&lt;=8,"基准周",IF(K21&gt;K14,"改善",IF(K21&lt;K14,"恶化","持平"))))</f>
        <v/>
      </c>
    </row>
    <row r="22" customFormat="false" ht="15" hidden="false" customHeight="true" outlineLevel="0" collapsed="false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2" t="str">
        <f aca="false">IF($A22="","",IF(B22=0,20,IF(B22=1,15,IF(B22=2,10,IF(B22=3,5,0))))+IF(C22="否",20,0)+IF(D22="是",20,0)+IF(E22=1,20,IF(E22=2,15,IF(E22=3,10,IF(E22=4,5,0))))+IF(F22="否",20,0))</f>
        <v/>
      </c>
      <c r="L22" s="63" t="str">
        <f aca="false">IF($A22="","",IF(K22&gt;=80,"达标","未达标"))</f>
        <v/>
      </c>
      <c r="M22" s="64" t="str">
        <f aca="false">IF($A22="","",IFERROR(AVERAGEIFS(K$2:K22,WEEKNUM(A$2:A22,2),WEEKNUM(A22,2)),K22))</f>
        <v/>
      </c>
      <c r="N22" s="65" t="str">
        <f aca="false">IF($A22="","",IFERROR(COUNTIFS(A$2:A22,"&lt;&gt;",L$2:L22,"达标",WEEKNUM(A$2:A22,2),WEEKNUM(A22,2)),0))</f>
        <v/>
      </c>
      <c r="O22" s="62" t="str">
        <f aca="false">IF($A22="","",IF(L22="达标",IF(ROW()=2,1,IF(O21="",1,O21+1)),0))</f>
        <v/>
      </c>
      <c r="P22" s="63" t="str">
        <f aca="false">IF($A22="","",IF(ROW()&lt;=8,"基准周",IF(K22&gt;K15,"改善",IF(K22&lt;K15,"恶化","持平"))))</f>
        <v/>
      </c>
    </row>
    <row r="23" customFormat="false" ht="15" hidden="false" customHeight="true" outlineLevel="0" collapsed="false">
      <c r="A23" s="67"/>
      <c r="B23" s="67"/>
      <c r="C23" s="67"/>
      <c r="D23" s="67"/>
      <c r="E23" s="67"/>
      <c r="F23" s="67"/>
      <c r="G23" s="67"/>
      <c r="H23" s="67"/>
      <c r="I23" s="67"/>
      <c r="J23" s="67"/>
      <c r="K23" s="62" t="str">
        <f aca="false">IF($A23="","",IF(B23=0,20,IF(B23=1,15,IF(B23=2,10,IF(B23=3,5,0))))+IF(C23="否",20,0)+IF(D23="是",20,0)+IF(E23=1,20,IF(E23=2,15,IF(E23=3,10,IF(E23=4,5,0))))+IF(F23="否",20,0))</f>
        <v/>
      </c>
      <c r="L23" s="63" t="str">
        <f aca="false">IF($A23="","",IF(K23&gt;=80,"达标","未达标"))</f>
        <v/>
      </c>
      <c r="M23" s="64" t="str">
        <f aca="false">IF($A23="","",IFERROR(AVERAGEIFS(K$2:K23,WEEKNUM(A$2:A23,2),WEEKNUM(A23,2)),K23))</f>
        <v/>
      </c>
      <c r="N23" s="65" t="str">
        <f aca="false">IF($A23="","",IFERROR(COUNTIFS(A$2:A23,"&lt;&gt;",L$2:L23,"达标",WEEKNUM(A$2:A23,2),WEEKNUM(A23,2)),0))</f>
        <v/>
      </c>
      <c r="O23" s="62" t="str">
        <f aca="false">IF($A23="","",IF(L23="达标",IF(ROW()=2,1,IF(O22="",1,O22+1)),0))</f>
        <v/>
      </c>
      <c r="P23" s="63" t="str">
        <f aca="false">IF($A23="","",IF(ROW()&lt;=8,"基准周",IF(K23&gt;K16,"改善",IF(K23&lt;K16,"恶化","持平"))))</f>
        <v/>
      </c>
    </row>
    <row r="24" customFormat="false" ht="15" hidden="false" customHeight="true" outlineLevel="0" collapsed="false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2" t="str">
        <f aca="false">IF($A24="","",IF(B24=0,20,IF(B24=1,15,IF(B24=2,10,IF(B24=3,5,0))))+IF(C24="否",20,0)+IF(D24="是",20,0)+IF(E24=1,20,IF(E24=2,15,IF(E24=3,10,IF(E24=4,5,0))))+IF(F24="否",20,0))</f>
        <v/>
      </c>
      <c r="L24" s="63" t="str">
        <f aca="false">IF($A24="","",IF(K24&gt;=80,"达标","未达标"))</f>
        <v/>
      </c>
      <c r="M24" s="64" t="str">
        <f aca="false">IF($A24="","",IFERROR(AVERAGEIFS(K$2:K24,WEEKNUM(A$2:A24,2),WEEKNUM(A24,2)),K24))</f>
        <v/>
      </c>
      <c r="N24" s="65" t="str">
        <f aca="false">IF($A24="","",IFERROR(COUNTIFS(A$2:A24,"&lt;&gt;",L$2:L24,"达标",WEEKNUM(A$2:A24,2),WEEKNUM(A24,2)),0))</f>
        <v/>
      </c>
      <c r="O24" s="62" t="str">
        <f aca="false">IF($A24="","",IF(L24="达标",IF(ROW()=2,1,IF(O23="",1,O23+1)),0))</f>
        <v/>
      </c>
      <c r="P24" s="63" t="str">
        <f aca="false">IF($A24="","",IF(ROW()&lt;=8,"基准周",IF(K24&gt;K17,"改善",IF(K24&lt;K17,"恶化","持平"))))</f>
        <v/>
      </c>
    </row>
    <row r="25" customFormat="false" ht="15" hidden="false" customHeight="true" outlineLevel="0" collapsed="false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2" t="str">
        <f aca="false">IF($A25="","",IF(B25=0,20,IF(B25=1,15,IF(B25=2,10,IF(B25=3,5,0))))+IF(C25="否",20,0)+IF(D25="是",20,0)+IF(E25=1,20,IF(E25=2,15,IF(E25=3,10,IF(E25=4,5,0))))+IF(F25="否",20,0))</f>
        <v/>
      </c>
      <c r="L25" s="63" t="str">
        <f aca="false">IF($A25="","",IF(K25&gt;=80,"达标","未达标"))</f>
        <v/>
      </c>
      <c r="M25" s="64" t="str">
        <f aca="false">IF($A25="","",IFERROR(AVERAGEIFS(K$2:K25,WEEKNUM(A$2:A25,2),WEEKNUM(A25,2)),K25))</f>
        <v/>
      </c>
      <c r="N25" s="65" t="str">
        <f aca="false">IF($A25="","",IFERROR(COUNTIFS(A$2:A25,"&lt;&gt;",L$2:L25,"达标",WEEKNUM(A$2:A25,2),WEEKNUM(A25,2)),0))</f>
        <v/>
      </c>
      <c r="O25" s="62" t="str">
        <f aca="false">IF($A25="","",IF(L25="达标",IF(ROW()=2,1,IF(O24="",1,O24+1)),0))</f>
        <v/>
      </c>
      <c r="P25" s="63" t="str">
        <f aca="false">IF($A25="","",IF(ROW()&lt;=8,"基准周",IF(K25&gt;K18,"改善",IF(K25&lt;K18,"恶化","持平"))))</f>
        <v/>
      </c>
    </row>
    <row r="26" customFormat="false" ht="15" hidden="false" customHeight="true" outlineLevel="0" collapsed="false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2" t="str">
        <f aca="false">IF($A26="","",IF(B26=0,20,IF(B26=1,15,IF(B26=2,10,IF(B26=3,5,0))))+IF(C26="否",20,0)+IF(D26="是",20,0)+IF(E26=1,20,IF(E26=2,15,IF(E26=3,10,IF(E26=4,5,0))))+IF(F26="否",20,0))</f>
        <v/>
      </c>
      <c r="L26" s="63" t="str">
        <f aca="false">IF($A26="","",IF(K26&gt;=80,"达标","未达标"))</f>
        <v/>
      </c>
      <c r="M26" s="64" t="str">
        <f aca="false">IF($A26="","",IFERROR(AVERAGEIFS(K$2:K26,WEEKNUM(A$2:A26,2),WEEKNUM(A26,2)),K26))</f>
        <v/>
      </c>
      <c r="N26" s="65" t="str">
        <f aca="false">IF($A26="","",IFERROR(COUNTIFS(A$2:A26,"&lt;&gt;",L$2:L26,"达标",WEEKNUM(A$2:A26,2),WEEKNUM(A26,2)),0))</f>
        <v/>
      </c>
      <c r="O26" s="62" t="str">
        <f aca="false">IF($A26="","",IF(L26="达标",IF(ROW()=2,1,IF(O25="",1,O25+1)),0))</f>
        <v/>
      </c>
      <c r="P26" s="63" t="str">
        <f aca="false">IF($A26="","",IF(ROW()&lt;=8,"基准周",IF(K26&gt;K19,"改善",IF(K26&lt;K19,"恶化","持平"))))</f>
        <v/>
      </c>
    </row>
    <row r="27" customFormat="false" ht="15" hidden="false" customHeight="true" outlineLevel="0" collapsed="false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2" t="str">
        <f aca="false">IF($A27="","",IF(B27=0,20,IF(B27=1,15,IF(B27=2,10,IF(B27=3,5,0))))+IF(C27="否",20,0)+IF(D27="是",20,0)+IF(E27=1,20,IF(E27=2,15,IF(E27=3,10,IF(E27=4,5,0))))+IF(F27="否",20,0))</f>
        <v/>
      </c>
      <c r="L27" s="63" t="str">
        <f aca="false">IF($A27="","",IF(K27&gt;=80,"达标","未达标"))</f>
        <v/>
      </c>
      <c r="M27" s="64" t="str">
        <f aca="false">IF($A27="","",IFERROR(AVERAGEIFS(K$2:K27,WEEKNUM(A$2:A27,2),WEEKNUM(A27,2)),K27))</f>
        <v/>
      </c>
      <c r="N27" s="65" t="str">
        <f aca="false">IF($A27="","",IFERROR(COUNTIFS(A$2:A27,"&lt;&gt;",L$2:L27,"达标",WEEKNUM(A$2:A27,2),WEEKNUM(A27,2)),0))</f>
        <v/>
      </c>
      <c r="O27" s="62" t="str">
        <f aca="false">IF($A27="","",IF(L27="达标",IF(ROW()=2,1,IF(O26="",1,O26+1)),0))</f>
        <v/>
      </c>
      <c r="P27" s="63" t="str">
        <f aca="false">IF($A27="","",IF(ROW()&lt;=8,"基准周",IF(K27&gt;K20,"改善",IF(K27&lt;K20,"恶化","持平"))))</f>
        <v/>
      </c>
    </row>
    <row r="28" customFormat="false" ht="15" hidden="false" customHeight="true" outlineLevel="0" collapsed="false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2" t="str">
        <f aca="false">IF($A28="","",IF(B28=0,20,IF(B28=1,15,IF(B28=2,10,IF(B28=3,5,0))))+IF(C28="否",20,0)+IF(D28="是",20,0)+IF(E28=1,20,IF(E28=2,15,IF(E28=3,10,IF(E28=4,5,0))))+IF(F28="否",20,0))</f>
        <v/>
      </c>
      <c r="L28" s="63" t="str">
        <f aca="false">IF($A28="","",IF(K28&gt;=80,"达标","未达标"))</f>
        <v/>
      </c>
      <c r="M28" s="64" t="str">
        <f aca="false">IF($A28="","",IFERROR(AVERAGEIFS(K$2:K28,WEEKNUM(A$2:A28,2),WEEKNUM(A28,2)),K28))</f>
        <v/>
      </c>
      <c r="N28" s="65" t="str">
        <f aca="false">IF($A28="","",IFERROR(COUNTIFS(A$2:A28,"&lt;&gt;",L$2:L28,"达标",WEEKNUM(A$2:A28,2),WEEKNUM(A28,2)),0))</f>
        <v/>
      </c>
      <c r="O28" s="62" t="str">
        <f aca="false">IF($A28="","",IF(L28="达标",IF(ROW()=2,1,IF(O27="",1,O27+1)),0))</f>
        <v/>
      </c>
      <c r="P28" s="63" t="str">
        <f aca="false">IF($A28="","",IF(ROW()&lt;=8,"基准周",IF(K28&gt;K21,"改善",IF(K28&lt;K21,"恶化","持平"))))</f>
        <v/>
      </c>
    </row>
    <row r="29" customFormat="false" ht="15" hidden="false" customHeight="true" outlineLevel="0" collapsed="false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2" t="str">
        <f aca="false">IF($A29="","",IF(B29=0,20,IF(B29=1,15,IF(B29=2,10,IF(B29=3,5,0))))+IF(C29="否",20,0)+IF(D29="是",20,0)+IF(E29=1,20,IF(E29=2,15,IF(E29=3,10,IF(E29=4,5,0))))+IF(F29="否",20,0))</f>
        <v/>
      </c>
      <c r="L29" s="63" t="str">
        <f aca="false">IF($A29="","",IF(K29&gt;=80,"达标","未达标"))</f>
        <v/>
      </c>
      <c r="M29" s="64" t="str">
        <f aca="false">IF($A29="","",IFERROR(AVERAGEIFS(K$2:K29,WEEKNUM(A$2:A29,2),WEEKNUM(A29,2)),K29))</f>
        <v/>
      </c>
      <c r="N29" s="65" t="str">
        <f aca="false">IF($A29="","",IFERROR(COUNTIFS(A$2:A29,"&lt;&gt;",L$2:L29,"达标",WEEKNUM(A$2:A29,2),WEEKNUM(A29,2)),0))</f>
        <v/>
      </c>
      <c r="O29" s="62" t="str">
        <f aca="false">IF($A29="","",IF(L29="达标",IF(ROW()=2,1,IF(O28="",1,O28+1)),0))</f>
        <v/>
      </c>
      <c r="P29" s="63" t="str">
        <f aca="false">IF($A29="","",IF(ROW()&lt;=8,"基准周",IF(K29&gt;K22,"改善",IF(K29&lt;K22,"恶化","持平"))))</f>
        <v/>
      </c>
    </row>
    <row r="30" customFormat="false" ht="15" hidden="false" customHeight="true" outlineLevel="0" collapsed="false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2" t="str">
        <f aca="false">IF($A30="","",IF(B30=0,20,IF(B30=1,15,IF(B30=2,10,IF(B30=3,5,0))))+IF(C30="否",20,0)+IF(D30="是",20,0)+IF(E30=1,20,IF(E30=2,15,IF(E30=3,10,IF(E30=4,5,0))))+IF(F30="否",20,0))</f>
        <v/>
      </c>
      <c r="L30" s="63" t="str">
        <f aca="false">IF($A30="","",IF(K30&gt;=80,"达标","未达标"))</f>
        <v/>
      </c>
      <c r="M30" s="64" t="str">
        <f aca="false">IF($A30="","",IFERROR(AVERAGEIFS(K$2:K30,WEEKNUM(A$2:A30,2),WEEKNUM(A30,2)),K30))</f>
        <v/>
      </c>
      <c r="N30" s="65" t="str">
        <f aca="false">IF($A30="","",IFERROR(COUNTIFS(A$2:A30,"&lt;&gt;",L$2:L30,"达标",WEEKNUM(A$2:A30,2),WEEKNUM(A30,2)),0))</f>
        <v/>
      </c>
      <c r="O30" s="62" t="str">
        <f aca="false">IF($A30="","",IF(L30="达标",IF(ROW()=2,1,IF(O29="",1,O29+1)),0))</f>
        <v/>
      </c>
      <c r="P30" s="63" t="str">
        <f aca="false">IF($A30="","",IF(ROW()&lt;=8,"基准周",IF(K30&gt;K23,"改善",IF(K30&lt;K23,"恶化","持平"))))</f>
        <v/>
      </c>
    </row>
    <row r="31" customFormat="false" ht="15" hidden="false" customHeight="true" outlineLevel="0" collapsed="false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2" t="str">
        <f aca="false">IF($A31="","",IF(B31=0,20,IF(B31=1,15,IF(B31=2,10,IF(B31=3,5,0))))+IF(C31="否",20,0)+IF(D31="是",20,0)+IF(E31=1,20,IF(E31=2,15,IF(E31=3,10,IF(E31=4,5,0))))+IF(F31="否",20,0))</f>
        <v/>
      </c>
      <c r="L31" s="63" t="str">
        <f aca="false">IF($A31="","",IF(K31&gt;=80,"达标","未达标"))</f>
        <v/>
      </c>
      <c r="M31" s="64" t="str">
        <f aca="false">IF($A31="","",IFERROR(AVERAGEIFS(K$2:K31,WEEKNUM(A$2:A31,2),WEEKNUM(A31,2)),K31))</f>
        <v/>
      </c>
      <c r="N31" s="65" t="str">
        <f aca="false">IF($A31="","",IFERROR(COUNTIFS(A$2:A31,"&lt;&gt;",L$2:L31,"达标",WEEKNUM(A$2:A31,2),WEEKNUM(A31,2)),0))</f>
        <v/>
      </c>
      <c r="O31" s="62" t="str">
        <f aca="false">IF($A31="","",IF(L31="达标",IF(ROW()=2,1,IF(O30="",1,O30+1)),0))</f>
        <v/>
      </c>
      <c r="P31" s="63" t="str">
        <f aca="false">IF($A31="","",IF(ROW()&lt;=8,"基准周",IF(K31&gt;K24,"改善",IF(K31&lt;K24,"恶化","持平"))))</f>
        <v/>
      </c>
    </row>
    <row r="32" customFormat="false" ht="15" hidden="false" customHeight="true" outlineLevel="0" collapsed="false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2" t="str">
        <f aca="false">IF($A32="","",IF(B32=0,20,IF(B32=1,15,IF(B32=2,10,IF(B32=3,5,0))))+IF(C32="否",20,0)+IF(D32="是",20,0)+IF(E32=1,20,IF(E32=2,15,IF(E32=3,10,IF(E32=4,5,0))))+IF(F32="否",20,0))</f>
        <v/>
      </c>
      <c r="L32" s="63" t="str">
        <f aca="false">IF($A32="","",IF(K32&gt;=80,"达标","未达标"))</f>
        <v/>
      </c>
      <c r="M32" s="64" t="str">
        <f aca="false">IF($A32="","",IFERROR(AVERAGEIFS(K$2:K32,WEEKNUM(A$2:A32,2),WEEKNUM(A32,2)),K32))</f>
        <v/>
      </c>
      <c r="N32" s="65" t="str">
        <f aca="false">IF($A32="","",IFERROR(COUNTIFS(A$2:A32,"&lt;&gt;",L$2:L32,"达标",WEEKNUM(A$2:A32,2),WEEKNUM(A32,2)),0))</f>
        <v/>
      </c>
      <c r="O32" s="62" t="str">
        <f aca="false">IF($A32="","",IF(L32="达标",IF(ROW()=2,1,IF(O31="",1,O31+1)),0))</f>
        <v/>
      </c>
      <c r="P32" s="63" t="str">
        <f aca="false">IF($A32="","",IF(ROW()&lt;=8,"基准周",IF(K32&gt;K25,"改善",IF(K32&lt;K25,"恶化","持平"))))</f>
        <v/>
      </c>
    </row>
    <row r="33" customFormat="false" ht="15" hidden="false" customHeight="true" outlineLevel="0" collapsed="false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2" t="str">
        <f aca="false">IF($A33="","",IF(B33=0,20,IF(B33=1,15,IF(B33=2,10,IF(B33=3,5,0))))+IF(C33="否",20,0)+IF(D33="是",20,0)+IF(E33=1,20,IF(E33=2,15,IF(E33=3,10,IF(E33=4,5,0))))+IF(F33="否",20,0))</f>
        <v/>
      </c>
      <c r="L33" s="63" t="str">
        <f aca="false">IF($A33="","",IF(K33&gt;=80,"达标","未达标"))</f>
        <v/>
      </c>
      <c r="M33" s="64" t="str">
        <f aca="false">IF($A33="","",IFERROR(AVERAGEIFS(K$2:K33,WEEKNUM(A$2:A33,2),WEEKNUM(A33,2)),K33))</f>
        <v/>
      </c>
      <c r="N33" s="65" t="str">
        <f aca="false">IF($A33="","",IFERROR(COUNTIFS(A$2:A33,"&lt;&gt;",L$2:L33,"达标",WEEKNUM(A$2:A33,2),WEEKNUM(A33,2)),0))</f>
        <v/>
      </c>
      <c r="O33" s="62" t="str">
        <f aca="false">IF($A33="","",IF(L33="达标",IF(ROW()=2,1,IF(O32="",1,O32+1)),0))</f>
        <v/>
      </c>
      <c r="P33" s="63" t="str">
        <f aca="false">IF($A33="","",IF(ROW()&lt;=8,"基准周",IF(K33&gt;K26,"改善",IF(K33&lt;K26,"恶化","持平"))))</f>
        <v/>
      </c>
    </row>
    <row r="34" customFormat="false" ht="15" hidden="false" customHeight="true" outlineLevel="0" collapsed="false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2" t="str">
        <f aca="false">IF($A34="","",IF(B34=0,20,IF(B34=1,15,IF(B34=2,10,IF(B34=3,5,0))))+IF(C34="否",20,0)+IF(D34="是",20,0)+IF(E34=1,20,IF(E34=2,15,IF(E34=3,10,IF(E34=4,5,0))))+IF(F34="否",20,0))</f>
        <v/>
      </c>
      <c r="L34" s="63" t="str">
        <f aca="false">IF($A34="","",IF(K34&gt;=80,"达标","未达标"))</f>
        <v/>
      </c>
      <c r="M34" s="64" t="str">
        <f aca="false">IF($A34="","",IFERROR(AVERAGEIFS(K$2:K34,WEEKNUM(A$2:A34,2),WEEKNUM(A34,2)),K34))</f>
        <v/>
      </c>
      <c r="N34" s="65" t="str">
        <f aca="false">IF($A34="","",IFERROR(COUNTIFS(A$2:A34,"&lt;&gt;",L$2:L34,"达标",WEEKNUM(A$2:A34,2),WEEKNUM(A34,2)),0))</f>
        <v/>
      </c>
      <c r="O34" s="62" t="str">
        <f aca="false">IF($A34="","",IF(L34="达标",IF(ROW()=2,1,IF(O33="",1,O33+1)),0))</f>
        <v/>
      </c>
      <c r="P34" s="63" t="str">
        <f aca="false">IF($A34="","",IF(ROW()&lt;=8,"基准周",IF(K34&gt;K27,"改善",IF(K34&lt;K27,"恶化","持平"))))</f>
        <v/>
      </c>
    </row>
    <row r="35" customFormat="false" ht="15" hidden="false" customHeight="true" outlineLevel="0" collapsed="false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2" t="str">
        <f aca="false">IF($A35="","",IF(B35=0,20,IF(B35=1,15,IF(B35=2,10,IF(B35=3,5,0))))+IF(C35="否",20,0)+IF(D35="是",20,0)+IF(E35=1,20,IF(E35=2,15,IF(E35=3,10,IF(E35=4,5,0))))+IF(F35="否",20,0))</f>
        <v/>
      </c>
      <c r="L35" s="63" t="str">
        <f aca="false">IF($A35="","",IF(K35&gt;=80,"达标","未达标"))</f>
        <v/>
      </c>
      <c r="M35" s="64" t="str">
        <f aca="false">IF($A35="","",IFERROR(AVERAGEIFS(K$2:K35,WEEKNUM(A$2:A35,2),WEEKNUM(A35,2)),K35))</f>
        <v/>
      </c>
      <c r="N35" s="65" t="str">
        <f aca="false">IF($A35="","",IFERROR(COUNTIFS(A$2:A35,"&lt;&gt;",L$2:L35,"达标",WEEKNUM(A$2:A35,2),WEEKNUM(A35,2)),0))</f>
        <v/>
      </c>
      <c r="O35" s="62" t="str">
        <f aca="false">IF($A35="","",IF(L35="达标",IF(ROW()=2,1,IF(O34="",1,O34+1)),0))</f>
        <v/>
      </c>
      <c r="P35" s="63" t="str">
        <f aca="false">IF($A35="","",IF(ROW()&lt;=8,"基准周",IF(K35&gt;K28,"改善",IF(K35&lt;K28,"恶化","持平"))))</f>
        <v/>
      </c>
    </row>
    <row r="36" customFormat="false" ht="15" hidden="false" customHeight="true" outlineLevel="0" collapsed="false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2" t="str">
        <f aca="false">IF($A36="","",IF(B36=0,20,IF(B36=1,15,IF(B36=2,10,IF(B36=3,5,0))))+IF(C36="否",20,0)+IF(D36="是",20,0)+IF(E36=1,20,IF(E36=2,15,IF(E36=3,10,IF(E36=4,5,0))))+IF(F36="否",20,0))</f>
        <v/>
      </c>
      <c r="L36" s="63" t="str">
        <f aca="false">IF($A36="","",IF(K36&gt;=80,"达标","未达标"))</f>
        <v/>
      </c>
      <c r="M36" s="64" t="str">
        <f aca="false">IF($A36="","",IFERROR(AVERAGEIFS(K$2:K36,WEEKNUM(A$2:A36,2),WEEKNUM(A36,2)),K36))</f>
        <v/>
      </c>
      <c r="N36" s="65" t="str">
        <f aca="false">IF($A36="","",IFERROR(COUNTIFS(A$2:A36,"&lt;&gt;",L$2:L36,"达标",WEEKNUM(A$2:A36,2),WEEKNUM(A36,2)),0))</f>
        <v/>
      </c>
      <c r="O36" s="62" t="str">
        <f aca="false">IF($A36="","",IF(L36="达标",IF(ROW()=2,1,IF(O35="",1,O35+1)),0))</f>
        <v/>
      </c>
      <c r="P36" s="63" t="str">
        <f aca="false">IF($A36="","",IF(ROW()&lt;=8,"基准周",IF(K36&gt;K29,"改善",IF(K36&lt;K29,"恶化","持平"))))</f>
        <v/>
      </c>
    </row>
    <row r="37" customFormat="false" ht="15" hidden="false" customHeight="true" outlineLevel="0" collapsed="false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2" t="str">
        <f aca="false">IF($A37="","",IF(B37=0,20,IF(B37=1,15,IF(B37=2,10,IF(B37=3,5,0))))+IF(C37="否",20,0)+IF(D37="是",20,0)+IF(E37=1,20,IF(E37=2,15,IF(E37=3,10,IF(E37=4,5,0))))+IF(F37="否",20,0))</f>
        <v/>
      </c>
      <c r="L37" s="63" t="str">
        <f aca="false">IF($A37="","",IF(K37&gt;=80,"达标","未达标"))</f>
        <v/>
      </c>
      <c r="M37" s="64" t="str">
        <f aca="false">IF($A37="","",IFERROR(AVERAGEIFS(K$2:K37,WEEKNUM(A$2:A37,2),WEEKNUM(A37,2)),K37))</f>
        <v/>
      </c>
      <c r="N37" s="65" t="str">
        <f aca="false">IF($A37="","",IFERROR(COUNTIFS(A$2:A37,"&lt;&gt;",L$2:L37,"达标",WEEKNUM(A$2:A37,2),WEEKNUM(A37,2)),0))</f>
        <v/>
      </c>
      <c r="O37" s="62" t="str">
        <f aca="false">IF($A37="","",IF(L37="达标",IF(ROW()=2,1,IF(O36="",1,O36+1)),0))</f>
        <v/>
      </c>
      <c r="P37" s="63" t="str">
        <f aca="false">IF($A37="","",IF(ROW()&lt;=8,"基准周",IF(K37&gt;K30,"改善",IF(K37&lt;K30,"恶化","持平"))))</f>
        <v/>
      </c>
    </row>
    <row r="38" customFormat="false" ht="15" hidden="false" customHeight="true" outlineLevel="0" collapsed="false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2" t="str">
        <f aca="false">IF($A38="","",IF(B38=0,20,IF(B38=1,15,IF(B38=2,10,IF(B38=3,5,0))))+IF(C38="否",20,0)+IF(D38="是",20,0)+IF(E38=1,20,IF(E38=2,15,IF(E38=3,10,IF(E38=4,5,0))))+IF(F38="否",20,0))</f>
        <v/>
      </c>
      <c r="L38" s="63" t="str">
        <f aca="false">IF($A38="","",IF(K38&gt;=80,"达标","未达标"))</f>
        <v/>
      </c>
      <c r="M38" s="64" t="str">
        <f aca="false">IF($A38="","",IFERROR(AVERAGEIFS(K$2:K38,WEEKNUM(A$2:A38,2),WEEKNUM(A38,2)),K38))</f>
        <v/>
      </c>
      <c r="N38" s="65" t="str">
        <f aca="false">IF($A38="","",IFERROR(COUNTIFS(A$2:A38,"&lt;&gt;",L$2:L38,"达标",WEEKNUM(A$2:A38,2),WEEKNUM(A38,2)),0))</f>
        <v/>
      </c>
      <c r="O38" s="62" t="str">
        <f aca="false">IF($A38="","",IF(L38="达标",IF(ROW()=2,1,IF(O37="",1,O37+1)),0))</f>
        <v/>
      </c>
      <c r="P38" s="63" t="str">
        <f aca="false">IF($A38="","",IF(ROW()&lt;=8,"基准周",IF(K38&gt;K31,"改善",IF(K38&lt;K31,"恶化","持平"))))</f>
        <v/>
      </c>
    </row>
    <row r="39" customFormat="false" ht="15" hidden="false" customHeight="true" outlineLevel="0" collapsed="false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2" t="str">
        <f aca="false">IF($A39="","",IF(B39=0,20,IF(B39=1,15,IF(B39=2,10,IF(B39=3,5,0))))+IF(C39="否",20,0)+IF(D39="是",20,0)+IF(E39=1,20,IF(E39=2,15,IF(E39=3,10,IF(E39=4,5,0))))+IF(F39="否",20,0))</f>
        <v/>
      </c>
      <c r="L39" s="63" t="str">
        <f aca="false">IF($A39="","",IF(K39&gt;=80,"达标","未达标"))</f>
        <v/>
      </c>
      <c r="M39" s="64" t="str">
        <f aca="false">IF($A39="","",IFERROR(AVERAGEIFS(K$2:K39,WEEKNUM(A$2:A39,2),WEEKNUM(A39,2)),K39))</f>
        <v/>
      </c>
      <c r="N39" s="65" t="str">
        <f aca="false">IF($A39="","",IFERROR(COUNTIFS(A$2:A39,"&lt;&gt;",L$2:L39,"达标",WEEKNUM(A$2:A39,2),WEEKNUM(A39,2)),0))</f>
        <v/>
      </c>
      <c r="O39" s="62" t="str">
        <f aca="false">IF($A39="","",IF(L39="达标",IF(ROW()=2,1,IF(O38="",1,O38+1)),0))</f>
        <v/>
      </c>
      <c r="P39" s="63" t="str">
        <f aca="false">IF($A39="","",IF(ROW()&lt;=8,"基准周",IF(K39&gt;K32,"改善",IF(K39&lt;K32,"恶化","持平"))))</f>
        <v/>
      </c>
    </row>
    <row r="40" customFormat="false" ht="15" hidden="false" customHeight="true" outlineLevel="0" collapsed="false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2" t="str">
        <f aca="false">IF($A40="","",IF(B40=0,20,IF(B40=1,15,IF(B40=2,10,IF(B40=3,5,0))))+IF(C40="否",20,0)+IF(D40="是",20,0)+IF(E40=1,20,IF(E40=2,15,IF(E40=3,10,IF(E40=4,5,0))))+IF(F40="否",20,0))</f>
        <v/>
      </c>
      <c r="L40" s="63" t="str">
        <f aca="false">IF($A40="","",IF(K40&gt;=80,"达标","未达标"))</f>
        <v/>
      </c>
      <c r="M40" s="64" t="str">
        <f aca="false">IF($A40="","",IFERROR(AVERAGEIFS(K$2:K40,WEEKNUM(A$2:A40,2),WEEKNUM(A40,2)),K40))</f>
        <v/>
      </c>
      <c r="N40" s="65" t="str">
        <f aca="false">IF($A40="","",IFERROR(COUNTIFS(A$2:A40,"&lt;&gt;",L$2:L40,"达标",WEEKNUM(A$2:A40,2),WEEKNUM(A40,2)),0))</f>
        <v/>
      </c>
      <c r="O40" s="62" t="str">
        <f aca="false">IF($A40="","",IF(L40="达标",IF(ROW()=2,1,IF(O39="",1,O39+1)),0))</f>
        <v/>
      </c>
      <c r="P40" s="63" t="str">
        <f aca="false">IF($A40="","",IF(ROW()&lt;=8,"基准周",IF(K40&gt;K33,"改善",IF(K40&lt;K33,"恶化","持平"))))</f>
        <v/>
      </c>
    </row>
    <row r="41" customFormat="false" ht="15" hidden="false" customHeight="true" outlineLevel="0" collapsed="false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2" t="str">
        <f aca="false">IF($A41="","",IF(B41=0,20,IF(B41=1,15,IF(B41=2,10,IF(B41=3,5,0))))+IF(C41="否",20,0)+IF(D41="是",20,0)+IF(E41=1,20,IF(E41=2,15,IF(E41=3,10,IF(E41=4,5,0))))+IF(F41="否",20,0))</f>
        <v/>
      </c>
      <c r="L41" s="63" t="str">
        <f aca="false">IF($A41="","",IF(K41&gt;=80,"达标","未达标"))</f>
        <v/>
      </c>
      <c r="M41" s="64" t="str">
        <f aca="false">IF($A41="","",IFERROR(AVERAGEIFS(K$2:K41,WEEKNUM(A$2:A41,2),WEEKNUM(A41,2)),K41))</f>
        <v/>
      </c>
      <c r="N41" s="65" t="str">
        <f aca="false">IF($A41="","",IFERROR(COUNTIFS(A$2:A41,"&lt;&gt;",L$2:L41,"达标",WEEKNUM(A$2:A41,2),WEEKNUM(A41,2)),0))</f>
        <v/>
      </c>
      <c r="O41" s="62" t="str">
        <f aca="false">IF($A41="","",IF(L41="达标",IF(ROW()=2,1,IF(O40="",1,O40+1)),0))</f>
        <v/>
      </c>
      <c r="P41" s="63" t="str">
        <f aca="false">IF($A41="","",IF(ROW()&lt;=8,"基准周",IF(K41&gt;K34,"改善",IF(K41&lt;K34,"恶化","持平"))))</f>
        <v/>
      </c>
    </row>
    <row r="42" customFormat="false" ht="15" hidden="false" customHeight="true" outlineLevel="0" collapsed="false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2" t="str">
        <f aca="false">IF($A42="","",IF(B42=0,20,IF(B42=1,15,IF(B42=2,10,IF(B42=3,5,0))))+IF(C42="否",20,0)+IF(D42="是",20,0)+IF(E42=1,20,IF(E42=2,15,IF(E42=3,10,IF(E42=4,5,0))))+IF(F42="否",20,0))</f>
        <v/>
      </c>
      <c r="L42" s="63" t="str">
        <f aca="false">IF($A42="","",IF(K42&gt;=80,"达标","未达标"))</f>
        <v/>
      </c>
      <c r="M42" s="64" t="str">
        <f aca="false">IF($A42="","",IFERROR(AVERAGEIFS(K$2:K42,WEEKNUM(A$2:A42,2),WEEKNUM(A42,2)),K42))</f>
        <v/>
      </c>
      <c r="N42" s="65" t="str">
        <f aca="false">IF($A42="","",IFERROR(COUNTIFS(A$2:A42,"&lt;&gt;",L$2:L42,"达标",WEEKNUM(A$2:A42,2),WEEKNUM(A42,2)),0))</f>
        <v/>
      </c>
      <c r="O42" s="62" t="str">
        <f aca="false">IF($A42="","",IF(L42="达标",IF(ROW()=2,1,IF(O41="",1,O41+1)),0))</f>
        <v/>
      </c>
      <c r="P42" s="63" t="str">
        <f aca="false">IF($A42="","",IF(ROW()&lt;=8,"基准周",IF(K42&gt;K35,"改善",IF(K42&lt;K35,"恶化","持平"))))</f>
        <v/>
      </c>
    </row>
    <row r="43" customFormat="false" ht="15" hidden="false" customHeight="true" outlineLevel="0" collapsed="false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2" t="str">
        <f aca="false">IF($A43="","",IF(B43=0,20,IF(B43=1,15,IF(B43=2,10,IF(B43=3,5,0))))+IF(C43="否",20,0)+IF(D43="是",20,0)+IF(E43=1,20,IF(E43=2,15,IF(E43=3,10,IF(E43=4,5,0))))+IF(F43="否",20,0))</f>
        <v/>
      </c>
      <c r="L43" s="63" t="str">
        <f aca="false">IF($A43="","",IF(K43&gt;=80,"达标","未达标"))</f>
        <v/>
      </c>
      <c r="M43" s="64" t="str">
        <f aca="false">IF($A43="","",IFERROR(AVERAGEIFS(K$2:K43,WEEKNUM(A$2:A43,2),WEEKNUM(A43,2)),K43))</f>
        <v/>
      </c>
      <c r="N43" s="65" t="str">
        <f aca="false">IF($A43="","",IFERROR(COUNTIFS(A$2:A43,"&lt;&gt;",L$2:L43,"达标",WEEKNUM(A$2:A43,2),WEEKNUM(A43,2)),0))</f>
        <v/>
      </c>
      <c r="O43" s="62" t="str">
        <f aca="false">IF($A43="","",IF(L43="达标",IF(ROW()=2,1,IF(O42="",1,O42+1)),0))</f>
        <v/>
      </c>
      <c r="P43" s="63" t="str">
        <f aca="false">IF($A43="","",IF(ROW()&lt;=8,"基准周",IF(K43&gt;K36,"改善",IF(K43&lt;K36,"恶化","持平"))))</f>
        <v/>
      </c>
    </row>
    <row r="44" customFormat="false" ht="15" hidden="false" customHeight="true" outlineLevel="0" collapsed="false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2" t="str">
        <f aca="false">IF($A44="","",IF(B44=0,20,IF(B44=1,15,IF(B44=2,10,IF(B44=3,5,0))))+IF(C44="否",20,0)+IF(D44="是",20,0)+IF(E44=1,20,IF(E44=2,15,IF(E44=3,10,IF(E44=4,5,0))))+IF(F44="否",20,0))</f>
        <v/>
      </c>
      <c r="L44" s="63" t="str">
        <f aca="false">IF($A44="","",IF(K44&gt;=80,"达标","未达标"))</f>
        <v/>
      </c>
      <c r="M44" s="64" t="str">
        <f aca="false">IF($A44="","",IFERROR(AVERAGEIFS(K$2:K44,WEEKNUM(A$2:A44,2),WEEKNUM(A44,2)),K44))</f>
        <v/>
      </c>
      <c r="N44" s="65" t="str">
        <f aca="false">IF($A44="","",IFERROR(COUNTIFS(A$2:A44,"&lt;&gt;",L$2:L44,"达标",WEEKNUM(A$2:A44,2),WEEKNUM(A44,2)),0))</f>
        <v/>
      </c>
      <c r="O44" s="62" t="str">
        <f aca="false">IF($A44="","",IF(L44="达标",IF(ROW()=2,1,IF(O43="",1,O43+1)),0))</f>
        <v/>
      </c>
      <c r="P44" s="63" t="str">
        <f aca="false">IF($A44="","",IF(ROW()&lt;=8,"基准周",IF(K44&gt;K37,"改善",IF(K44&lt;K37,"恶化","持平"))))</f>
        <v/>
      </c>
    </row>
    <row r="45" customFormat="false" ht="15" hidden="false" customHeight="true" outlineLevel="0" collapsed="false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2" t="str">
        <f aca="false">IF($A45="","",IF(B45=0,20,IF(B45=1,15,IF(B45=2,10,IF(B45=3,5,0))))+IF(C45="否",20,0)+IF(D45="是",20,0)+IF(E45=1,20,IF(E45=2,15,IF(E45=3,10,IF(E45=4,5,0))))+IF(F45="否",20,0))</f>
        <v/>
      </c>
      <c r="L45" s="63" t="str">
        <f aca="false">IF($A45="","",IF(K45&gt;=80,"达标","未达标"))</f>
        <v/>
      </c>
      <c r="M45" s="64" t="str">
        <f aca="false">IF($A45="","",IFERROR(AVERAGEIFS(K$2:K45,WEEKNUM(A$2:A45,2),WEEKNUM(A45,2)),K45))</f>
        <v/>
      </c>
      <c r="N45" s="65" t="str">
        <f aca="false">IF($A45="","",IFERROR(COUNTIFS(A$2:A45,"&lt;&gt;",L$2:L45,"达标",WEEKNUM(A$2:A45,2),WEEKNUM(A45,2)),0))</f>
        <v/>
      </c>
      <c r="O45" s="62" t="str">
        <f aca="false">IF($A45="","",IF(L45="达标",IF(ROW()=2,1,IF(O44="",1,O44+1)),0))</f>
        <v/>
      </c>
      <c r="P45" s="63" t="str">
        <f aca="false">IF($A45="","",IF(ROW()&lt;=8,"基准周",IF(K45&gt;K38,"改善",IF(K45&lt;K38,"恶化","持平"))))</f>
        <v/>
      </c>
    </row>
    <row r="46" customFormat="false" ht="15" hidden="false" customHeight="true" outlineLevel="0" collapsed="false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2" t="str">
        <f aca="false">IF($A46="","",IF(B46=0,20,IF(B46=1,15,IF(B46=2,10,IF(B46=3,5,0))))+IF(C46="否",20,0)+IF(D46="是",20,0)+IF(E46=1,20,IF(E46=2,15,IF(E46=3,10,IF(E46=4,5,0))))+IF(F46="否",20,0))</f>
        <v/>
      </c>
      <c r="L46" s="63" t="str">
        <f aca="false">IF($A46="","",IF(K46&gt;=80,"达标","未达标"))</f>
        <v/>
      </c>
      <c r="M46" s="64" t="str">
        <f aca="false">IF($A46="","",IFERROR(AVERAGEIFS(K$2:K46,WEEKNUM(A$2:A46,2),WEEKNUM(A46,2)),K46))</f>
        <v/>
      </c>
      <c r="N46" s="65" t="str">
        <f aca="false">IF($A46="","",IFERROR(COUNTIFS(A$2:A46,"&lt;&gt;",L$2:L46,"达标",WEEKNUM(A$2:A46,2),WEEKNUM(A46,2)),0))</f>
        <v/>
      </c>
      <c r="O46" s="62" t="str">
        <f aca="false">IF($A46="","",IF(L46="达标",IF(ROW()=2,1,IF(O45="",1,O45+1)),0))</f>
        <v/>
      </c>
      <c r="P46" s="63" t="str">
        <f aca="false">IF($A46="","",IF(ROW()&lt;=8,"基准周",IF(K46&gt;K39,"改善",IF(K46&lt;K39,"恶化","持平"))))</f>
        <v/>
      </c>
    </row>
    <row r="47" customFormat="false" ht="15" hidden="false" customHeight="true" outlineLevel="0" collapsed="false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2" t="str">
        <f aca="false">IF($A47="","",IF(B47=0,20,IF(B47=1,15,IF(B47=2,10,IF(B47=3,5,0))))+IF(C47="否",20,0)+IF(D47="是",20,0)+IF(E47=1,20,IF(E47=2,15,IF(E47=3,10,IF(E47=4,5,0))))+IF(F47="否",20,0))</f>
        <v/>
      </c>
      <c r="L47" s="63" t="str">
        <f aca="false">IF($A47="","",IF(K47&gt;=80,"达标","未达标"))</f>
        <v/>
      </c>
      <c r="M47" s="64" t="str">
        <f aca="false">IF($A47="","",IFERROR(AVERAGEIFS(K$2:K47,WEEKNUM(A$2:A47,2),WEEKNUM(A47,2)),K47))</f>
        <v/>
      </c>
      <c r="N47" s="65" t="str">
        <f aca="false">IF($A47="","",IFERROR(COUNTIFS(A$2:A47,"&lt;&gt;",L$2:L47,"达标",WEEKNUM(A$2:A47,2),WEEKNUM(A47,2)),0))</f>
        <v/>
      </c>
      <c r="O47" s="62" t="str">
        <f aca="false">IF($A47="","",IF(L47="达标",IF(ROW()=2,1,IF(O46="",1,O46+1)),0))</f>
        <v/>
      </c>
      <c r="P47" s="63" t="str">
        <f aca="false">IF($A47="","",IF(ROW()&lt;=8,"基准周",IF(K47&gt;K40,"改善",IF(K47&lt;K40,"恶化","持平"))))</f>
        <v/>
      </c>
    </row>
    <row r="48" customFormat="false" ht="15" hidden="false" customHeight="true" outlineLevel="0" collapsed="false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2" t="str">
        <f aca="false">IF($A48="","",IF(B48=0,20,IF(B48=1,15,IF(B48=2,10,IF(B48=3,5,0))))+IF(C48="否",20,0)+IF(D48="是",20,0)+IF(E48=1,20,IF(E48=2,15,IF(E48=3,10,IF(E48=4,5,0))))+IF(F48="否",20,0))</f>
        <v/>
      </c>
      <c r="L48" s="63" t="str">
        <f aca="false">IF($A48="","",IF(K48&gt;=80,"达标","未达标"))</f>
        <v/>
      </c>
      <c r="M48" s="64" t="str">
        <f aca="false">IF($A48="","",IFERROR(AVERAGEIFS(K$2:K48,WEEKNUM(A$2:A48,2),WEEKNUM(A48,2)),K48))</f>
        <v/>
      </c>
      <c r="N48" s="65" t="str">
        <f aca="false">IF($A48="","",IFERROR(COUNTIFS(A$2:A48,"&lt;&gt;",L$2:L48,"达标",WEEKNUM(A$2:A48,2),WEEKNUM(A48,2)),0))</f>
        <v/>
      </c>
      <c r="O48" s="62" t="str">
        <f aca="false">IF($A48="","",IF(L48="达标",IF(ROW()=2,1,IF(O47="",1,O47+1)),0))</f>
        <v/>
      </c>
      <c r="P48" s="63" t="str">
        <f aca="false">IF($A48="","",IF(ROW()&lt;=8,"基准周",IF(K48&gt;K41,"改善",IF(K48&lt;K41,"恶化","持平"))))</f>
        <v/>
      </c>
    </row>
    <row r="49" customFormat="false" ht="15" hidden="false" customHeight="true" outlineLevel="0" collapsed="false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2" t="str">
        <f aca="false">IF($A49="","",IF(B49=0,20,IF(B49=1,15,IF(B49=2,10,IF(B49=3,5,0))))+IF(C49="否",20,0)+IF(D49="是",20,0)+IF(E49=1,20,IF(E49=2,15,IF(E49=3,10,IF(E49=4,5,0))))+IF(F49="否",20,0))</f>
        <v/>
      </c>
      <c r="L49" s="63" t="str">
        <f aca="false">IF($A49="","",IF(K49&gt;=80,"达标","未达标"))</f>
        <v/>
      </c>
      <c r="M49" s="64" t="str">
        <f aca="false">IF($A49="","",IFERROR(AVERAGEIFS(K$2:K49,WEEKNUM(A$2:A49,2),WEEKNUM(A49,2)),K49))</f>
        <v/>
      </c>
      <c r="N49" s="65" t="str">
        <f aca="false">IF($A49="","",IFERROR(COUNTIFS(A$2:A49,"&lt;&gt;",L$2:L49,"达标",WEEKNUM(A$2:A49,2),WEEKNUM(A49,2)),0))</f>
        <v/>
      </c>
      <c r="O49" s="62" t="str">
        <f aca="false">IF($A49="","",IF(L49="达标",IF(ROW()=2,1,IF(O48="",1,O48+1)),0))</f>
        <v/>
      </c>
      <c r="P49" s="63" t="str">
        <f aca="false">IF($A49="","",IF(ROW()&lt;=8,"基准周",IF(K49&gt;K42,"改善",IF(K49&lt;K42,"恶化","持平"))))</f>
        <v/>
      </c>
    </row>
    <row r="50" customFormat="false" ht="15" hidden="false" customHeight="true" outlineLevel="0" collapsed="false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2" t="str">
        <f aca="false">IF($A50="","",IF(B50=0,20,IF(B50=1,15,IF(B50=2,10,IF(B50=3,5,0))))+IF(C50="否",20,0)+IF(D50="是",20,0)+IF(E50=1,20,IF(E50=2,15,IF(E50=3,10,IF(E50=4,5,0))))+IF(F50="否",20,0))</f>
        <v/>
      </c>
      <c r="L50" s="63" t="str">
        <f aca="false">IF($A50="","",IF(K50&gt;=80,"达标","未达标"))</f>
        <v/>
      </c>
      <c r="M50" s="64" t="str">
        <f aca="false">IF($A50="","",IFERROR(AVERAGEIFS(K$2:K50,WEEKNUM(A$2:A50,2),WEEKNUM(A50,2)),K50))</f>
        <v/>
      </c>
      <c r="N50" s="65" t="str">
        <f aca="false">IF($A50="","",IFERROR(COUNTIFS(A$2:A50,"&lt;&gt;",L$2:L50,"达标",WEEKNUM(A$2:A50,2),WEEKNUM(A50,2)),0))</f>
        <v/>
      </c>
      <c r="O50" s="62" t="str">
        <f aca="false">IF($A50="","",IF(L50="达标",IF(ROW()=2,1,IF(O49="",1,O49+1)),0))</f>
        <v/>
      </c>
      <c r="P50" s="63" t="str">
        <f aca="false">IF($A50="","",IF(ROW()&lt;=8,"基准周",IF(K50&gt;K43,"改善",IF(K50&lt;K43,"恶化","持平"))))</f>
        <v/>
      </c>
    </row>
    <row r="51" customFormat="false" ht="15" hidden="false" customHeight="true" outlineLevel="0" collapsed="false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2" t="str">
        <f aca="false">IF($A51="","",IF(B51=0,20,IF(B51=1,15,IF(B51=2,10,IF(B51=3,5,0))))+IF(C51="否",20,0)+IF(D51="是",20,0)+IF(E51=1,20,IF(E51=2,15,IF(E51=3,10,IF(E51=4,5,0))))+IF(F51="否",20,0))</f>
        <v/>
      </c>
      <c r="L51" s="63" t="str">
        <f aca="false">IF($A51="","",IF(K51&gt;=80,"达标","未达标"))</f>
        <v/>
      </c>
      <c r="M51" s="64" t="str">
        <f aca="false">IF($A51="","",IFERROR(AVERAGEIFS(K$2:K51,WEEKNUM(A$2:A51,2),WEEKNUM(A51,2)),K51))</f>
        <v/>
      </c>
      <c r="N51" s="65" t="str">
        <f aca="false">IF($A51="","",IFERROR(COUNTIFS(A$2:A51,"&lt;&gt;",L$2:L51,"达标",WEEKNUM(A$2:A51,2),WEEKNUM(A51,2)),0))</f>
        <v/>
      </c>
      <c r="O51" s="62" t="str">
        <f aca="false">IF($A51="","",IF(L51="达标",IF(ROW()=2,1,IF(O50="",1,O50+1)),0))</f>
        <v/>
      </c>
      <c r="P51" s="63" t="str">
        <f aca="false">IF($A51="","",IF(ROW()&lt;=8,"基准周",IF(K51&gt;K44,"改善",IF(K51&lt;K44,"恶化","持平"))))</f>
        <v/>
      </c>
    </row>
    <row r="52" customFormat="false" ht="15" hidden="false" customHeight="true" outlineLevel="0" collapsed="false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2" t="str">
        <f aca="false">IF($A52="","",IF(B52=0,20,IF(B52=1,15,IF(B52=2,10,IF(B52=3,5,0))))+IF(C52="否",20,0)+IF(D52="是",20,0)+IF(E52=1,20,IF(E52=2,15,IF(E52=3,10,IF(E52=4,5,0))))+IF(F52="否",20,0))</f>
        <v/>
      </c>
      <c r="L52" s="63" t="str">
        <f aca="false">IF($A52="","",IF(K52&gt;=80,"达标","未达标"))</f>
        <v/>
      </c>
      <c r="M52" s="64" t="str">
        <f aca="false">IF($A52="","",IFERROR(AVERAGEIFS(K$2:K52,WEEKNUM(A$2:A52,2),WEEKNUM(A52,2)),K52))</f>
        <v/>
      </c>
      <c r="N52" s="65" t="str">
        <f aca="false">IF($A52="","",IFERROR(COUNTIFS(A$2:A52,"&lt;&gt;",L$2:L52,"达标",WEEKNUM(A$2:A52,2),WEEKNUM(A52,2)),0))</f>
        <v/>
      </c>
      <c r="O52" s="62" t="str">
        <f aca="false">IF($A52="","",IF(L52="达标",IF(ROW()=2,1,IF(O51="",1,O51+1)),0))</f>
        <v/>
      </c>
      <c r="P52" s="63" t="str">
        <f aca="false">IF($A52="","",IF(ROW()&lt;=8,"基准周",IF(K52&gt;K45,"改善",IF(K52&lt;K45,"恶化","持平"))))</f>
        <v/>
      </c>
    </row>
    <row r="53" customFormat="false" ht="15" hidden="false" customHeight="true" outlineLevel="0" collapsed="false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2" t="str">
        <f aca="false">IF($A53="","",IF(B53=0,20,IF(B53=1,15,IF(B53=2,10,IF(B53=3,5,0))))+IF(C53="否",20,0)+IF(D53="是",20,0)+IF(E53=1,20,IF(E53=2,15,IF(E53=3,10,IF(E53=4,5,0))))+IF(F53="否",20,0))</f>
        <v/>
      </c>
      <c r="L53" s="63" t="str">
        <f aca="false">IF($A53="","",IF(K53&gt;=80,"达标","未达标"))</f>
        <v/>
      </c>
      <c r="M53" s="64" t="str">
        <f aca="false">IF($A53="","",IFERROR(AVERAGEIFS(K$2:K53,WEEKNUM(A$2:A53,2),WEEKNUM(A53,2)),K53))</f>
        <v/>
      </c>
      <c r="N53" s="65" t="str">
        <f aca="false">IF($A53="","",IFERROR(COUNTIFS(A$2:A53,"&lt;&gt;",L$2:L53,"达标",WEEKNUM(A$2:A53,2),WEEKNUM(A53,2)),0))</f>
        <v/>
      </c>
      <c r="O53" s="62" t="str">
        <f aca="false">IF($A53="","",IF(L53="达标",IF(ROW()=2,1,IF(O52="",1,O52+1)),0))</f>
        <v/>
      </c>
      <c r="P53" s="63" t="str">
        <f aca="false">IF($A53="","",IF(ROW()&lt;=8,"基准周",IF(K53&gt;K46,"改善",IF(K53&lt;K46,"恶化","持平"))))</f>
        <v/>
      </c>
    </row>
    <row r="54" customFormat="false" ht="15" hidden="false" customHeight="true" outlineLevel="0" collapsed="false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2" t="str">
        <f aca="false">IF($A54="","",IF(B54=0,20,IF(B54=1,15,IF(B54=2,10,IF(B54=3,5,0))))+IF(C54="否",20,0)+IF(D54="是",20,0)+IF(E54=1,20,IF(E54=2,15,IF(E54=3,10,IF(E54=4,5,0))))+IF(F54="否",20,0))</f>
        <v/>
      </c>
      <c r="L54" s="63" t="str">
        <f aca="false">IF($A54="","",IF(K54&gt;=80,"达标","未达标"))</f>
        <v/>
      </c>
      <c r="M54" s="64" t="str">
        <f aca="false">IF($A54="","",IFERROR(AVERAGEIFS(K$2:K54,WEEKNUM(A$2:A54,2),WEEKNUM(A54,2)),K54))</f>
        <v/>
      </c>
      <c r="N54" s="65" t="str">
        <f aca="false">IF($A54="","",IFERROR(COUNTIFS(A$2:A54,"&lt;&gt;",L$2:L54,"达标",WEEKNUM(A$2:A54,2),WEEKNUM(A54,2)),0))</f>
        <v/>
      </c>
      <c r="O54" s="62" t="str">
        <f aca="false">IF($A54="","",IF(L54="达标",IF(ROW()=2,1,IF(O53="",1,O53+1)),0))</f>
        <v/>
      </c>
      <c r="P54" s="63" t="str">
        <f aca="false">IF($A54="","",IF(ROW()&lt;=8,"基准周",IF(K54&gt;K47,"改善",IF(K54&lt;K47,"恶化","持平"))))</f>
        <v/>
      </c>
    </row>
    <row r="55" customFormat="false" ht="15" hidden="false" customHeight="true" outlineLevel="0" collapsed="false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2" t="str">
        <f aca="false">IF($A55="","",IF(B55=0,20,IF(B55=1,15,IF(B55=2,10,IF(B55=3,5,0))))+IF(C55="否",20,0)+IF(D55="是",20,0)+IF(E55=1,20,IF(E55=2,15,IF(E55=3,10,IF(E55=4,5,0))))+IF(F55="否",20,0))</f>
        <v/>
      </c>
      <c r="L55" s="63" t="str">
        <f aca="false">IF($A55="","",IF(K55&gt;=80,"达标","未达标"))</f>
        <v/>
      </c>
      <c r="M55" s="64" t="str">
        <f aca="false">IF($A55="","",IFERROR(AVERAGEIFS(K$2:K55,WEEKNUM(A$2:A55,2),WEEKNUM(A55,2)),K55))</f>
        <v/>
      </c>
      <c r="N55" s="65" t="str">
        <f aca="false">IF($A55="","",IFERROR(COUNTIFS(A$2:A55,"&lt;&gt;",L$2:L55,"达标",WEEKNUM(A$2:A55,2),WEEKNUM(A55,2)),0))</f>
        <v/>
      </c>
      <c r="O55" s="62" t="str">
        <f aca="false">IF($A55="","",IF(L55="达标",IF(ROW()=2,1,IF(O54="",1,O54+1)),0))</f>
        <v/>
      </c>
      <c r="P55" s="63" t="str">
        <f aca="false">IF($A55="","",IF(ROW()&lt;=8,"基准周",IF(K55&gt;K48,"改善",IF(K55&lt;K48,"恶化","持平"))))</f>
        <v/>
      </c>
    </row>
    <row r="56" customFormat="false" ht="15" hidden="false" customHeight="true" outlineLevel="0" collapsed="false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2" t="str">
        <f aca="false">IF($A56="","",IF(B56=0,20,IF(B56=1,15,IF(B56=2,10,IF(B56=3,5,0))))+IF(C56="否",20,0)+IF(D56="是",20,0)+IF(E56=1,20,IF(E56=2,15,IF(E56=3,10,IF(E56=4,5,0))))+IF(F56="否",20,0))</f>
        <v/>
      </c>
      <c r="L56" s="63" t="str">
        <f aca="false">IF($A56="","",IF(K56&gt;=80,"达标","未达标"))</f>
        <v/>
      </c>
      <c r="M56" s="64" t="str">
        <f aca="false">IF($A56="","",IFERROR(AVERAGEIFS(K$2:K56,WEEKNUM(A$2:A56,2),WEEKNUM(A56,2)),K56))</f>
        <v/>
      </c>
      <c r="N56" s="65" t="str">
        <f aca="false">IF($A56="","",IFERROR(COUNTIFS(A$2:A56,"&lt;&gt;",L$2:L56,"达标",WEEKNUM(A$2:A56,2),WEEKNUM(A56,2)),0))</f>
        <v/>
      </c>
      <c r="O56" s="62" t="str">
        <f aca="false">IF($A56="","",IF(L56="达标",IF(ROW()=2,1,IF(O55="",1,O55+1)),0))</f>
        <v/>
      </c>
      <c r="P56" s="63" t="str">
        <f aca="false">IF($A56="","",IF(ROW()&lt;=8,"基准周",IF(K56&gt;K49,"改善",IF(K56&lt;K49,"恶化","持平"))))</f>
        <v/>
      </c>
    </row>
    <row r="57" customFormat="false" ht="15" hidden="false" customHeight="true" outlineLevel="0" collapsed="false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2" t="str">
        <f aca="false">IF($A57="","",IF(B57=0,20,IF(B57=1,15,IF(B57=2,10,IF(B57=3,5,0))))+IF(C57="否",20,0)+IF(D57="是",20,0)+IF(E57=1,20,IF(E57=2,15,IF(E57=3,10,IF(E57=4,5,0))))+IF(F57="否",20,0))</f>
        <v/>
      </c>
      <c r="L57" s="63" t="str">
        <f aca="false">IF($A57="","",IF(K57&gt;=80,"达标","未达标"))</f>
        <v/>
      </c>
      <c r="M57" s="64" t="str">
        <f aca="false">IF($A57="","",IFERROR(AVERAGEIFS(K$2:K57,WEEKNUM(A$2:A57,2),WEEKNUM(A57,2)),K57))</f>
        <v/>
      </c>
      <c r="N57" s="65" t="str">
        <f aca="false">IF($A57="","",IFERROR(COUNTIFS(A$2:A57,"&lt;&gt;",L$2:L57,"达标",WEEKNUM(A$2:A57,2),WEEKNUM(A57,2)),0))</f>
        <v/>
      </c>
      <c r="O57" s="62" t="str">
        <f aca="false">IF($A57="","",IF(L57="达标",IF(ROW()=2,1,IF(O56="",1,O56+1)),0))</f>
        <v/>
      </c>
      <c r="P57" s="63" t="str">
        <f aca="false">IF($A57="","",IF(ROW()&lt;=8,"基准周",IF(K57&gt;K50,"改善",IF(K57&lt;K50,"恶化","持平"))))</f>
        <v/>
      </c>
    </row>
    <row r="58" customFormat="false" ht="15" hidden="false" customHeight="true" outlineLevel="0" collapsed="false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2" t="str">
        <f aca="false">IF($A58="","",IF(B58=0,20,IF(B58=1,15,IF(B58=2,10,IF(B58=3,5,0))))+IF(C58="否",20,0)+IF(D58="是",20,0)+IF(E58=1,20,IF(E58=2,15,IF(E58=3,10,IF(E58=4,5,0))))+IF(F58="否",20,0))</f>
        <v/>
      </c>
      <c r="L58" s="63" t="str">
        <f aca="false">IF($A58="","",IF(K58&gt;=80,"达标","未达标"))</f>
        <v/>
      </c>
      <c r="M58" s="64" t="str">
        <f aca="false">IF($A58="","",IFERROR(AVERAGEIFS(K$2:K58,WEEKNUM(A$2:A58,2),WEEKNUM(A58,2)),K58))</f>
        <v/>
      </c>
      <c r="N58" s="65" t="str">
        <f aca="false">IF($A58="","",IFERROR(COUNTIFS(A$2:A58,"&lt;&gt;",L$2:L58,"达标",WEEKNUM(A$2:A58,2),WEEKNUM(A58,2)),0))</f>
        <v/>
      </c>
      <c r="O58" s="62" t="str">
        <f aca="false">IF($A58="","",IF(L58="达标",IF(ROW()=2,1,IF(O57="",1,O57+1)),0))</f>
        <v/>
      </c>
      <c r="P58" s="63" t="str">
        <f aca="false">IF($A58="","",IF(ROW()&lt;=8,"基准周",IF(K58&gt;K51,"改善",IF(K58&lt;K51,"恶化","持平"))))</f>
        <v/>
      </c>
    </row>
    <row r="59" customFormat="false" ht="15" hidden="false" customHeight="true" outlineLevel="0" collapsed="false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2" t="str">
        <f aca="false">IF($A59="","",IF(B59=0,20,IF(B59=1,15,IF(B59=2,10,IF(B59=3,5,0))))+IF(C59="否",20,0)+IF(D59="是",20,0)+IF(E59=1,20,IF(E59=2,15,IF(E59=3,10,IF(E59=4,5,0))))+IF(F59="否",20,0))</f>
        <v/>
      </c>
      <c r="L59" s="63" t="str">
        <f aca="false">IF($A59="","",IF(K59&gt;=80,"达标","未达标"))</f>
        <v/>
      </c>
      <c r="M59" s="64" t="str">
        <f aca="false">IF($A59="","",IFERROR(AVERAGEIFS(K$2:K59,WEEKNUM(A$2:A59,2),WEEKNUM(A59,2)),K59))</f>
        <v/>
      </c>
      <c r="N59" s="65" t="str">
        <f aca="false">IF($A59="","",IFERROR(COUNTIFS(A$2:A59,"&lt;&gt;",L$2:L59,"达标",WEEKNUM(A$2:A59,2),WEEKNUM(A59,2)),0))</f>
        <v/>
      </c>
      <c r="O59" s="62" t="str">
        <f aca="false">IF($A59="","",IF(L59="达标",IF(ROW()=2,1,IF(O58="",1,O58+1)),0))</f>
        <v/>
      </c>
      <c r="P59" s="63" t="str">
        <f aca="false">IF($A59="","",IF(ROW()&lt;=8,"基准周",IF(K59&gt;K52,"改善",IF(K59&lt;K52,"恶化","持平"))))</f>
        <v/>
      </c>
    </row>
    <row r="60" customFormat="false" ht="15" hidden="false" customHeight="true" outlineLevel="0" collapsed="false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2" t="str">
        <f aca="false">IF($A60="","",IF(B60=0,20,IF(B60=1,15,IF(B60=2,10,IF(B60=3,5,0))))+IF(C60="否",20,0)+IF(D60="是",20,0)+IF(E60=1,20,IF(E60=2,15,IF(E60=3,10,IF(E60=4,5,0))))+IF(F60="否",20,0))</f>
        <v/>
      </c>
      <c r="L60" s="63" t="str">
        <f aca="false">IF($A60="","",IF(K60&gt;=80,"达标","未达标"))</f>
        <v/>
      </c>
      <c r="M60" s="64" t="str">
        <f aca="false">IF($A60="","",IFERROR(AVERAGEIFS(K$2:K60,WEEKNUM(A$2:A60,2),WEEKNUM(A60,2)),K60))</f>
        <v/>
      </c>
      <c r="N60" s="65" t="str">
        <f aca="false">IF($A60="","",IFERROR(COUNTIFS(A$2:A60,"&lt;&gt;",L$2:L60,"达标",WEEKNUM(A$2:A60,2),WEEKNUM(A60,2)),0))</f>
        <v/>
      </c>
      <c r="O60" s="62" t="str">
        <f aca="false">IF($A60="","",IF(L60="达标",IF(ROW()=2,1,IF(O59="",1,O59+1)),0))</f>
        <v/>
      </c>
      <c r="P60" s="63" t="str">
        <f aca="false">IF($A60="","",IF(ROW()&lt;=8,"基准周",IF(K60&gt;K53,"改善",IF(K60&lt;K53,"恶化","持平"))))</f>
        <v/>
      </c>
    </row>
    <row r="61" customFormat="false" ht="15" hidden="false" customHeight="true" outlineLevel="0" collapsed="false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2" t="str">
        <f aca="false">IF($A61="","",IF(B61=0,20,IF(B61=1,15,IF(B61=2,10,IF(B61=3,5,0))))+IF(C61="否",20,0)+IF(D61="是",20,0)+IF(E61=1,20,IF(E61=2,15,IF(E61=3,10,IF(E61=4,5,0))))+IF(F61="否",20,0))</f>
        <v/>
      </c>
      <c r="L61" s="63" t="str">
        <f aca="false">IF($A61="","",IF(K61&gt;=80,"达标","未达标"))</f>
        <v/>
      </c>
      <c r="M61" s="64" t="str">
        <f aca="false">IF($A61="","",IFERROR(AVERAGEIFS(K$2:K61,WEEKNUM(A$2:A61,2),WEEKNUM(A61,2)),K61))</f>
        <v/>
      </c>
      <c r="N61" s="65" t="str">
        <f aca="false">IF($A61="","",IFERROR(COUNTIFS(A$2:A61,"&lt;&gt;",L$2:L61,"达标",WEEKNUM(A$2:A61,2),WEEKNUM(A61,2)),0))</f>
        <v/>
      </c>
      <c r="O61" s="62" t="str">
        <f aca="false">IF($A61="","",IF(L61="达标",IF(ROW()=2,1,IF(O60="",1,O60+1)),0))</f>
        <v/>
      </c>
      <c r="P61" s="63" t="str">
        <f aca="false">IF($A61="","",IF(ROW()&lt;=8,"基准周",IF(K61&gt;K54,"改善",IF(K61&lt;K54,"恶化","持平"))))</f>
        <v/>
      </c>
    </row>
    <row r="62" customFormat="false" ht="15" hidden="false" customHeight="true" outlineLevel="0" collapsed="false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2" t="str">
        <f aca="false">IF($A62="","",IF(B62=0,20,IF(B62=1,15,IF(B62=2,10,IF(B62=3,5,0))))+IF(C62="否",20,0)+IF(D62="是",20,0)+IF(E62=1,20,IF(E62=2,15,IF(E62=3,10,IF(E62=4,5,0))))+IF(F62="否",20,0))</f>
        <v/>
      </c>
      <c r="L62" s="63" t="str">
        <f aca="false">IF($A62="","",IF(K62&gt;=80,"达标","未达标"))</f>
        <v/>
      </c>
      <c r="M62" s="64" t="str">
        <f aca="false">IF($A62="","",IFERROR(AVERAGEIFS(K$2:K62,WEEKNUM(A$2:A62,2),WEEKNUM(A62,2)),K62))</f>
        <v/>
      </c>
      <c r="N62" s="65" t="str">
        <f aca="false">IF($A62="","",IFERROR(COUNTIFS(A$2:A62,"&lt;&gt;",L$2:L62,"达标",WEEKNUM(A$2:A62,2),WEEKNUM(A62,2)),0))</f>
        <v/>
      </c>
      <c r="O62" s="62" t="str">
        <f aca="false">IF($A62="","",IF(L62="达标",IF(ROW()=2,1,IF(O61="",1,O61+1)),0))</f>
        <v/>
      </c>
      <c r="P62" s="63" t="str">
        <f aca="false">IF($A62="","",IF(ROW()&lt;=8,"基准周",IF(K62&gt;K55,"改善",IF(K62&lt;K55,"恶化","持平"))))</f>
        <v/>
      </c>
    </row>
    <row r="63" customFormat="false" ht="15" hidden="false" customHeight="true" outlineLevel="0" collapsed="false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2" t="str">
        <f aca="false">IF($A63="","",IF(B63=0,20,IF(B63=1,15,IF(B63=2,10,IF(B63=3,5,0))))+IF(C63="否",20,0)+IF(D63="是",20,0)+IF(E63=1,20,IF(E63=2,15,IF(E63=3,10,IF(E63=4,5,0))))+IF(F63="否",20,0))</f>
        <v/>
      </c>
      <c r="L63" s="63" t="str">
        <f aca="false">IF($A63="","",IF(K63&gt;=80,"达标","未达标"))</f>
        <v/>
      </c>
      <c r="M63" s="64" t="str">
        <f aca="false">IF($A63="","",IFERROR(AVERAGEIFS(K$2:K63,WEEKNUM(A$2:A63,2),WEEKNUM(A63,2)),K63))</f>
        <v/>
      </c>
      <c r="N63" s="65" t="str">
        <f aca="false">IF($A63="","",IFERROR(COUNTIFS(A$2:A63,"&lt;&gt;",L$2:L63,"达标",WEEKNUM(A$2:A63,2),WEEKNUM(A63,2)),0))</f>
        <v/>
      </c>
      <c r="O63" s="62" t="str">
        <f aca="false">IF($A63="","",IF(L63="达标",IF(ROW()=2,1,IF(O62="",1,O62+1)),0))</f>
        <v/>
      </c>
      <c r="P63" s="63" t="str">
        <f aca="false">IF($A63="","",IF(ROW()&lt;=8,"基准周",IF(K63&gt;K56,"改善",IF(K63&lt;K56,"恶化","持平"))))</f>
        <v/>
      </c>
    </row>
    <row r="64" customFormat="false" ht="15" hidden="false" customHeight="true" outlineLevel="0" collapsed="false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2" t="str">
        <f aca="false">IF($A64="","",IF(B64=0,20,IF(B64=1,15,IF(B64=2,10,IF(B64=3,5,0))))+IF(C64="否",20,0)+IF(D64="是",20,0)+IF(E64=1,20,IF(E64=2,15,IF(E64=3,10,IF(E64=4,5,0))))+IF(F64="否",20,0))</f>
        <v/>
      </c>
      <c r="L64" s="63" t="str">
        <f aca="false">IF($A64="","",IF(K64&gt;=80,"达标","未达标"))</f>
        <v/>
      </c>
      <c r="M64" s="64" t="str">
        <f aca="false">IF($A64="","",IFERROR(AVERAGEIFS(K$2:K64,WEEKNUM(A$2:A64,2),WEEKNUM(A64,2)),K64))</f>
        <v/>
      </c>
      <c r="N64" s="65" t="str">
        <f aca="false">IF($A64="","",IFERROR(COUNTIFS(A$2:A64,"&lt;&gt;",L$2:L64,"达标",WEEKNUM(A$2:A64,2),WEEKNUM(A64,2)),0))</f>
        <v/>
      </c>
      <c r="O64" s="62" t="str">
        <f aca="false">IF($A64="","",IF(L64="达标",IF(ROW()=2,1,IF(O63="",1,O63+1)),0))</f>
        <v/>
      </c>
      <c r="P64" s="63" t="str">
        <f aca="false">IF($A64="","",IF(ROW()&lt;=8,"基准周",IF(K64&gt;K57,"改善",IF(K64&lt;K57,"恶化","持平"))))</f>
        <v/>
      </c>
    </row>
    <row r="65" customFormat="false" ht="15" hidden="false" customHeight="true" outlineLevel="0" collapsed="false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2" t="str">
        <f aca="false">IF($A65="","",IF(B65=0,20,IF(B65=1,15,IF(B65=2,10,IF(B65=3,5,0))))+IF(C65="否",20,0)+IF(D65="是",20,0)+IF(E65=1,20,IF(E65=2,15,IF(E65=3,10,IF(E65=4,5,0))))+IF(F65="否",20,0))</f>
        <v/>
      </c>
      <c r="L65" s="63" t="str">
        <f aca="false">IF($A65="","",IF(K65&gt;=80,"达标","未达标"))</f>
        <v/>
      </c>
      <c r="M65" s="64" t="str">
        <f aca="false">IF($A65="","",IFERROR(AVERAGEIFS(K$2:K65,WEEKNUM(A$2:A65,2),WEEKNUM(A65,2)),K65))</f>
        <v/>
      </c>
      <c r="N65" s="65" t="str">
        <f aca="false">IF($A65="","",IFERROR(COUNTIFS(A$2:A65,"&lt;&gt;",L$2:L65,"达标",WEEKNUM(A$2:A65,2),WEEKNUM(A65,2)),0))</f>
        <v/>
      </c>
      <c r="O65" s="62" t="str">
        <f aca="false">IF($A65="","",IF(L65="达标",IF(ROW()=2,1,IF(O64="",1,O64+1)),0))</f>
        <v/>
      </c>
      <c r="P65" s="63" t="str">
        <f aca="false">IF($A65="","",IF(ROW()&lt;=8,"基准周",IF(K65&gt;K58,"改善",IF(K65&lt;K58,"恶化","持平"))))</f>
        <v/>
      </c>
    </row>
    <row r="66" customFormat="false" ht="15" hidden="false" customHeight="true" outlineLevel="0" collapsed="false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2" t="str">
        <f aca="false">IF($A66="","",IF(B66=0,20,IF(B66=1,15,IF(B66=2,10,IF(B66=3,5,0))))+IF(C66="否",20,0)+IF(D66="是",20,0)+IF(E66=1,20,IF(E66=2,15,IF(E66=3,10,IF(E66=4,5,0))))+IF(F66="否",20,0))</f>
        <v/>
      </c>
      <c r="L66" s="63" t="str">
        <f aca="false">IF($A66="","",IF(K66&gt;=80,"达标","未达标"))</f>
        <v/>
      </c>
      <c r="M66" s="64" t="str">
        <f aca="false">IF($A66="","",IFERROR(AVERAGEIFS(K$2:K66,WEEKNUM(A$2:A66,2),WEEKNUM(A66,2)),K66))</f>
        <v/>
      </c>
      <c r="N66" s="65" t="str">
        <f aca="false">IF($A66="","",IFERROR(COUNTIFS(A$2:A66,"&lt;&gt;",L$2:L66,"达标",WEEKNUM(A$2:A66,2),WEEKNUM(A66,2)),0))</f>
        <v/>
      </c>
      <c r="O66" s="62" t="str">
        <f aca="false">IF($A66="","",IF(L66="达标",IF(ROW()=2,1,IF(O65="",1,O65+1)),0))</f>
        <v/>
      </c>
      <c r="P66" s="63" t="str">
        <f aca="false">IF($A66="","",IF(ROW()&lt;=8,"基准周",IF(K66&gt;K59,"改善",IF(K66&lt;K59,"恶化","持平"))))</f>
        <v/>
      </c>
    </row>
    <row r="67" customFormat="false" ht="15" hidden="false" customHeight="true" outlineLevel="0" collapsed="false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2" t="str">
        <f aca="false">IF($A67="","",IF(B67=0,20,IF(B67=1,15,IF(B67=2,10,IF(B67=3,5,0))))+IF(C67="否",20,0)+IF(D67="是",20,0)+IF(E67=1,20,IF(E67=2,15,IF(E67=3,10,IF(E67=4,5,0))))+IF(F67="否",20,0))</f>
        <v/>
      </c>
      <c r="L67" s="63" t="str">
        <f aca="false">IF($A67="","",IF(K67&gt;=80,"达标","未达标"))</f>
        <v/>
      </c>
      <c r="M67" s="64" t="str">
        <f aca="false">IF($A67="","",IFERROR(AVERAGEIFS(K$2:K67,WEEKNUM(A$2:A67,2),WEEKNUM(A67,2)),K67))</f>
        <v/>
      </c>
      <c r="N67" s="65" t="str">
        <f aca="false">IF($A67="","",IFERROR(COUNTIFS(A$2:A67,"&lt;&gt;",L$2:L67,"达标",WEEKNUM(A$2:A67,2),WEEKNUM(A67,2)),0))</f>
        <v/>
      </c>
      <c r="O67" s="62" t="str">
        <f aca="false">IF($A67="","",IF(L67="达标",IF(ROW()=2,1,IF(O66="",1,O66+1)),0))</f>
        <v/>
      </c>
      <c r="P67" s="63" t="str">
        <f aca="false">IF($A67="","",IF(ROW()&lt;=8,"基准周",IF(K67&gt;K60,"改善",IF(K67&lt;K60,"恶化","持平"))))</f>
        <v/>
      </c>
    </row>
    <row r="68" customFormat="false" ht="15" hidden="false" customHeight="true" outlineLevel="0" collapsed="false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2" t="str">
        <f aca="false">IF($A68="","",IF(B68=0,20,IF(B68=1,15,IF(B68=2,10,IF(B68=3,5,0))))+IF(C68="否",20,0)+IF(D68="是",20,0)+IF(E68=1,20,IF(E68=2,15,IF(E68=3,10,IF(E68=4,5,0))))+IF(F68="否",20,0))</f>
        <v/>
      </c>
      <c r="L68" s="63" t="str">
        <f aca="false">IF($A68="","",IF(K68&gt;=80,"达标","未达标"))</f>
        <v/>
      </c>
      <c r="M68" s="64" t="str">
        <f aca="false">IF($A68="","",IFERROR(AVERAGEIFS(K$2:K68,WEEKNUM(A$2:A68,2),WEEKNUM(A68,2)),K68))</f>
        <v/>
      </c>
      <c r="N68" s="65" t="str">
        <f aca="false">IF($A68="","",IFERROR(COUNTIFS(A$2:A68,"&lt;&gt;",L$2:L68,"达标",WEEKNUM(A$2:A68,2),WEEKNUM(A68,2)),0))</f>
        <v/>
      </c>
      <c r="O68" s="62" t="str">
        <f aca="false">IF($A68="","",IF(L68="达标",IF(ROW()=2,1,IF(O67="",1,O67+1)),0))</f>
        <v/>
      </c>
      <c r="P68" s="63" t="str">
        <f aca="false">IF($A68="","",IF(ROW()&lt;=8,"基准周",IF(K68&gt;K61,"改善",IF(K68&lt;K61,"恶化","持平"))))</f>
        <v/>
      </c>
    </row>
    <row r="69" customFormat="false" ht="15" hidden="false" customHeight="true" outlineLevel="0" collapsed="false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2" t="str">
        <f aca="false">IF($A69="","",IF(B69=0,20,IF(B69=1,15,IF(B69=2,10,IF(B69=3,5,0))))+IF(C69="否",20,0)+IF(D69="是",20,0)+IF(E69=1,20,IF(E69=2,15,IF(E69=3,10,IF(E69=4,5,0))))+IF(F69="否",20,0))</f>
        <v/>
      </c>
      <c r="L69" s="63" t="str">
        <f aca="false">IF($A69="","",IF(K69&gt;=80,"达标","未达标"))</f>
        <v/>
      </c>
      <c r="M69" s="64" t="str">
        <f aca="false">IF($A69="","",IFERROR(AVERAGEIFS(K$2:K69,WEEKNUM(A$2:A69,2),WEEKNUM(A69,2)),K69))</f>
        <v/>
      </c>
      <c r="N69" s="65" t="str">
        <f aca="false">IF($A69="","",IFERROR(COUNTIFS(A$2:A69,"&lt;&gt;",L$2:L69,"达标",WEEKNUM(A$2:A69,2),WEEKNUM(A69,2)),0))</f>
        <v/>
      </c>
      <c r="O69" s="62" t="str">
        <f aca="false">IF($A69="","",IF(L69="达标",IF(ROW()=2,1,IF(O68="",1,O68+1)),0))</f>
        <v/>
      </c>
      <c r="P69" s="63" t="str">
        <f aca="false">IF($A69="","",IF(ROW()&lt;=8,"基准周",IF(K69&gt;K62,"改善",IF(K69&lt;K62,"恶化","持平"))))</f>
        <v/>
      </c>
    </row>
    <row r="70" customFormat="false" ht="15" hidden="false" customHeight="true" outlineLevel="0" collapsed="false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2" t="str">
        <f aca="false">IF($A70="","",IF(B70=0,20,IF(B70=1,15,IF(B70=2,10,IF(B70=3,5,0))))+IF(C70="否",20,0)+IF(D70="是",20,0)+IF(E70=1,20,IF(E70=2,15,IF(E70=3,10,IF(E70=4,5,0))))+IF(F70="否",20,0))</f>
        <v/>
      </c>
      <c r="L70" s="63" t="str">
        <f aca="false">IF($A70="","",IF(K70&gt;=80,"达标","未达标"))</f>
        <v/>
      </c>
      <c r="M70" s="64" t="str">
        <f aca="false">IF($A70="","",IFERROR(AVERAGEIFS(K$2:K70,WEEKNUM(A$2:A70,2),WEEKNUM(A70,2)),K70))</f>
        <v/>
      </c>
      <c r="N70" s="65" t="str">
        <f aca="false">IF($A70="","",IFERROR(COUNTIFS(A$2:A70,"&lt;&gt;",L$2:L70,"达标",WEEKNUM(A$2:A70,2),WEEKNUM(A70,2)),0))</f>
        <v/>
      </c>
      <c r="O70" s="62" t="str">
        <f aca="false">IF($A70="","",IF(L70="达标",IF(ROW()=2,1,IF(O69="",1,O69+1)),0))</f>
        <v/>
      </c>
      <c r="P70" s="63" t="str">
        <f aca="false">IF($A70="","",IF(ROW()&lt;=8,"基准周",IF(K70&gt;K63,"改善",IF(K70&lt;K63,"恶化","持平"))))</f>
        <v/>
      </c>
    </row>
    <row r="71" customFormat="false" ht="15" hidden="false" customHeight="true" outlineLevel="0" collapsed="false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2" t="str">
        <f aca="false">IF($A71="","",IF(B71=0,20,IF(B71=1,15,IF(B71=2,10,IF(B71=3,5,0))))+IF(C71="否",20,0)+IF(D71="是",20,0)+IF(E71=1,20,IF(E71=2,15,IF(E71=3,10,IF(E71=4,5,0))))+IF(F71="否",20,0))</f>
        <v/>
      </c>
      <c r="L71" s="63" t="str">
        <f aca="false">IF($A71="","",IF(K71&gt;=80,"达标","未达标"))</f>
        <v/>
      </c>
      <c r="M71" s="64" t="str">
        <f aca="false">IF($A71="","",IFERROR(AVERAGEIFS(K$2:K71,WEEKNUM(A$2:A71,2),WEEKNUM(A71,2)),K71))</f>
        <v/>
      </c>
      <c r="N71" s="65" t="str">
        <f aca="false">IF($A71="","",IFERROR(COUNTIFS(A$2:A71,"&lt;&gt;",L$2:L71,"达标",WEEKNUM(A$2:A71,2),WEEKNUM(A71,2)),0))</f>
        <v/>
      </c>
      <c r="O71" s="62" t="str">
        <f aca="false">IF($A71="","",IF(L71="达标",IF(ROW()=2,1,IF(O70="",1,O70+1)),0))</f>
        <v/>
      </c>
      <c r="P71" s="63" t="str">
        <f aca="false">IF($A71="","",IF(ROW()&lt;=8,"基准周",IF(K71&gt;K64,"改善",IF(K71&lt;K64,"恶化","持平"))))</f>
        <v/>
      </c>
    </row>
    <row r="72" customFormat="false" ht="15" hidden="false" customHeight="true" outlineLevel="0" collapsed="false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2" t="str">
        <f aca="false">IF($A72="","",IF(B72=0,20,IF(B72=1,15,IF(B72=2,10,IF(B72=3,5,0))))+IF(C72="否",20,0)+IF(D72="是",20,0)+IF(E72=1,20,IF(E72=2,15,IF(E72=3,10,IF(E72=4,5,0))))+IF(F72="否",20,0))</f>
        <v/>
      </c>
      <c r="L72" s="63" t="str">
        <f aca="false">IF($A72="","",IF(K72&gt;=80,"达标","未达标"))</f>
        <v/>
      </c>
      <c r="M72" s="64" t="str">
        <f aca="false">IF($A72="","",IFERROR(AVERAGEIFS(K$2:K72,WEEKNUM(A$2:A72,2),WEEKNUM(A72,2)),K72))</f>
        <v/>
      </c>
      <c r="N72" s="65" t="str">
        <f aca="false">IF($A72="","",IFERROR(COUNTIFS(A$2:A72,"&lt;&gt;",L$2:L72,"达标",WEEKNUM(A$2:A72,2),WEEKNUM(A72,2)),0))</f>
        <v/>
      </c>
      <c r="O72" s="62" t="str">
        <f aca="false">IF($A72="","",IF(L72="达标",IF(ROW()=2,1,IF(O71="",1,O71+1)),0))</f>
        <v/>
      </c>
      <c r="P72" s="63" t="str">
        <f aca="false">IF($A72="","",IF(ROW()&lt;=8,"基准周",IF(K72&gt;K65,"改善",IF(K72&lt;K65,"恶化","持平"))))</f>
        <v/>
      </c>
    </row>
    <row r="73" customFormat="false" ht="15" hidden="false" customHeight="true" outlineLevel="0" collapsed="false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2" t="str">
        <f aca="false">IF($A73="","",IF(B73=0,20,IF(B73=1,15,IF(B73=2,10,IF(B73=3,5,0))))+IF(C73="否",20,0)+IF(D73="是",20,0)+IF(E73=1,20,IF(E73=2,15,IF(E73=3,10,IF(E73=4,5,0))))+IF(F73="否",20,0))</f>
        <v/>
      </c>
      <c r="L73" s="63" t="str">
        <f aca="false">IF($A73="","",IF(K73&gt;=80,"达标","未达标"))</f>
        <v/>
      </c>
      <c r="M73" s="64" t="str">
        <f aca="false">IF($A73="","",IFERROR(AVERAGEIFS(K$2:K73,WEEKNUM(A$2:A73,2),WEEKNUM(A73,2)),K73))</f>
        <v/>
      </c>
      <c r="N73" s="65" t="str">
        <f aca="false">IF($A73="","",IFERROR(COUNTIFS(A$2:A73,"&lt;&gt;",L$2:L73,"达标",WEEKNUM(A$2:A73,2),WEEKNUM(A73,2)),0))</f>
        <v/>
      </c>
      <c r="O73" s="62" t="str">
        <f aca="false">IF($A73="","",IF(L73="达标",IF(ROW()=2,1,IF(O72="",1,O72+1)),0))</f>
        <v/>
      </c>
      <c r="P73" s="63" t="str">
        <f aca="false">IF($A73="","",IF(ROW()&lt;=8,"基准周",IF(K73&gt;K66,"改善",IF(K73&lt;K66,"恶化","持平"))))</f>
        <v/>
      </c>
    </row>
    <row r="74" customFormat="false" ht="15" hidden="false" customHeight="true" outlineLevel="0" collapsed="false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2" t="str">
        <f aca="false">IF($A74="","",IF(B74=0,20,IF(B74=1,15,IF(B74=2,10,IF(B74=3,5,0))))+IF(C74="否",20,0)+IF(D74="是",20,0)+IF(E74=1,20,IF(E74=2,15,IF(E74=3,10,IF(E74=4,5,0))))+IF(F74="否",20,0))</f>
        <v/>
      </c>
      <c r="L74" s="63" t="str">
        <f aca="false">IF($A74="","",IF(K74&gt;=80,"达标","未达标"))</f>
        <v/>
      </c>
      <c r="M74" s="64" t="str">
        <f aca="false">IF($A74="","",IFERROR(AVERAGEIFS(K$2:K74,WEEKNUM(A$2:A74,2),WEEKNUM(A74,2)),K74))</f>
        <v/>
      </c>
      <c r="N74" s="65" t="str">
        <f aca="false">IF($A74="","",IFERROR(COUNTIFS(A$2:A74,"&lt;&gt;",L$2:L74,"达标",WEEKNUM(A$2:A74,2),WEEKNUM(A74,2)),0))</f>
        <v/>
      </c>
      <c r="O74" s="62" t="str">
        <f aca="false">IF($A74="","",IF(L74="达标",IF(ROW()=2,1,IF(O73="",1,O73+1)),0))</f>
        <v/>
      </c>
      <c r="P74" s="63" t="str">
        <f aca="false">IF($A74="","",IF(ROW()&lt;=8,"基准周",IF(K74&gt;K67,"改善",IF(K74&lt;K67,"恶化","持平"))))</f>
        <v/>
      </c>
    </row>
    <row r="75" customFormat="false" ht="15" hidden="false" customHeight="true" outlineLevel="0" collapsed="false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2" t="str">
        <f aca="false">IF($A75="","",IF(B75=0,20,IF(B75=1,15,IF(B75=2,10,IF(B75=3,5,0))))+IF(C75="否",20,0)+IF(D75="是",20,0)+IF(E75=1,20,IF(E75=2,15,IF(E75=3,10,IF(E75=4,5,0))))+IF(F75="否",20,0))</f>
        <v/>
      </c>
      <c r="L75" s="63" t="str">
        <f aca="false">IF($A75="","",IF(K75&gt;=80,"达标","未达标"))</f>
        <v/>
      </c>
      <c r="M75" s="64" t="str">
        <f aca="false">IF($A75="","",IFERROR(AVERAGEIFS(K$2:K75,WEEKNUM(A$2:A75,2),WEEKNUM(A75,2)),K75))</f>
        <v/>
      </c>
      <c r="N75" s="65" t="str">
        <f aca="false">IF($A75="","",IFERROR(COUNTIFS(A$2:A75,"&lt;&gt;",L$2:L75,"达标",WEEKNUM(A$2:A75,2),WEEKNUM(A75,2)),0))</f>
        <v/>
      </c>
      <c r="O75" s="62" t="str">
        <f aca="false">IF($A75="","",IF(L75="达标",IF(ROW()=2,1,IF(O74="",1,O74+1)),0))</f>
        <v/>
      </c>
      <c r="P75" s="63" t="str">
        <f aca="false">IF($A75="","",IF(ROW()&lt;=8,"基准周",IF(K75&gt;K68,"改善",IF(K75&lt;K68,"恶化","持平"))))</f>
        <v/>
      </c>
    </row>
    <row r="76" customFormat="false" ht="15" hidden="false" customHeight="true" outlineLevel="0" collapsed="false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2" t="str">
        <f aca="false">IF($A76="","",IF(B76=0,20,IF(B76=1,15,IF(B76=2,10,IF(B76=3,5,0))))+IF(C76="否",20,0)+IF(D76="是",20,0)+IF(E76=1,20,IF(E76=2,15,IF(E76=3,10,IF(E76=4,5,0))))+IF(F76="否",20,0))</f>
        <v/>
      </c>
      <c r="L76" s="63" t="str">
        <f aca="false">IF($A76="","",IF(K76&gt;=80,"达标","未达标"))</f>
        <v/>
      </c>
      <c r="M76" s="64" t="str">
        <f aca="false">IF($A76="","",IFERROR(AVERAGEIFS(K$2:K76,WEEKNUM(A$2:A76,2),WEEKNUM(A76,2)),K76))</f>
        <v/>
      </c>
      <c r="N76" s="65" t="str">
        <f aca="false">IF($A76="","",IFERROR(COUNTIFS(A$2:A76,"&lt;&gt;",L$2:L76,"达标",WEEKNUM(A$2:A76,2),WEEKNUM(A76,2)),0))</f>
        <v/>
      </c>
      <c r="O76" s="62" t="str">
        <f aca="false">IF($A76="","",IF(L76="达标",IF(ROW()=2,1,IF(O75="",1,O75+1)),0))</f>
        <v/>
      </c>
      <c r="P76" s="63" t="str">
        <f aca="false">IF($A76="","",IF(ROW()&lt;=8,"基准周",IF(K76&gt;K69,"改善",IF(K76&lt;K69,"恶化","持平"))))</f>
        <v/>
      </c>
    </row>
    <row r="77" customFormat="false" ht="15" hidden="false" customHeight="true" outlineLevel="0" collapsed="false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2" t="str">
        <f aca="false">IF($A77="","",IF(B77=0,20,IF(B77=1,15,IF(B77=2,10,IF(B77=3,5,0))))+IF(C77="否",20,0)+IF(D77="是",20,0)+IF(E77=1,20,IF(E77=2,15,IF(E77=3,10,IF(E77=4,5,0))))+IF(F77="否",20,0))</f>
        <v/>
      </c>
      <c r="L77" s="63" t="str">
        <f aca="false">IF($A77="","",IF(K77&gt;=80,"达标","未达标"))</f>
        <v/>
      </c>
      <c r="M77" s="64" t="str">
        <f aca="false">IF($A77="","",IFERROR(AVERAGEIFS(K$2:K77,WEEKNUM(A$2:A77,2),WEEKNUM(A77,2)),K77))</f>
        <v/>
      </c>
      <c r="N77" s="65" t="str">
        <f aca="false">IF($A77="","",IFERROR(COUNTIFS(A$2:A77,"&lt;&gt;",L$2:L77,"达标",WEEKNUM(A$2:A77,2),WEEKNUM(A77,2)),0))</f>
        <v/>
      </c>
      <c r="O77" s="62" t="str">
        <f aca="false">IF($A77="","",IF(L77="达标",IF(ROW()=2,1,IF(O76="",1,O76+1)),0))</f>
        <v/>
      </c>
      <c r="P77" s="63" t="str">
        <f aca="false">IF($A77="","",IF(ROW()&lt;=8,"基准周",IF(K77&gt;K70,"改善",IF(K77&lt;K70,"恶化","持平"))))</f>
        <v/>
      </c>
    </row>
    <row r="78" customFormat="false" ht="15" hidden="false" customHeight="true" outlineLevel="0" collapsed="false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2" t="str">
        <f aca="false">IF($A78="","",IF(B78=0,20,IF(B78=1,15,IF(B78=2,10,IF(B78=3,5,0))))+IF(C78="否",20,0)+IF(D78="是",20,0)+IF(E78=1,20,IF(E78=2,15,IF(E78=3,10,IF(E78=4,5,0))))+IF(F78="否",20,0))</f>
        <v/>
      </c>
      <c r="L78" s="63" t="str">
        <f aca="false">IF($A78="","",IF(K78&gt;=80,"达标","未达标"))</f>
        <v/>
      </c>
      <c r="M78" s="64" t="str">
        <f aca="false">IF($A78="","",IFERROR(AVERAGEIFS(K$2:K78,WEEKNUM(A$2:A78,2),WEEKNUM(A78,2)),K78))</f>
        <v/>
      </c>
      <c r="N78" s="65" t="str">
        <f aca="false">IF($A78="","",IFERROR(COUNTIFS(A$2:A78,"&lt;&gt;",L$2:L78,"达标",WEEKNUM(A$2:A78,2),WEEKNUM(A78,2)),0))</f>
        <v/>
      </c>
      <c r="O78" s="62" t="str">
        <f aca="false">IF($A78="","",IF(L78="达标",IF(ROW()=2,1,IF(O77="",1,O77+1)),0))</f>
        <v/>
      </c>
      <c r="P78" s="63" t="str">
        <f aca="false">IF($A78="","",IF(ROW()&lt;=8,"基准周",IF(K78&gt;K71,"改善",IF(K78&lt;K71,"恶化","持平"))))</f>
        <v/>
      </c>
    </row>
    <row r="79" customFormat="false" ht="15" hidden="false" customHeight="true" outlineLevel="0" collapsed="false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2" t="str">
        <f aca="false">IF($A79="","",IF(B79=0,20,IF(B79=1,15,IF(B79=2,10,IF(B79=3,5,0))))+IF(C79="否",20,0)+IF(D79="是",20,0)+IF(E79=1,20,IF(E79=2,15,IF(E79=3,10,IF(E79=4,5,0))))+IF(F79="否",20,0))</f>
        <v/>
      </c>
      <c r="L79" s="63" t="str">
        <f aca="false">IF($A79="","",IF(K79&gt;=80,"达标","未达标"))</f>
        <v/>
      </c>
      <c r="M79" s="64" t="str">
        <f aca="false">IF($A79="","",IFERROR(AVERAGEIFS(K$2:K79,WEEKNUM(A$2:A79,2),WEEKNUM(A79,2)),K79))</f>
        <v/>
      </c>
      <c r="N79" s="65" t="str">
        <f aca="false">IF($A79="","",IFERROR(COUNTIFS(A$2:A79,"&lt;&gt;",L$2:L79,"达标",WEEKNUM(A$2:A79,2),WEEKNUM(A79,2)),0))</f>
        <v/>
      </c>
      <c r="O79" s="62" t="str">
        <f aca="false">IF($A79="","",IF(L79="达标",IF(ROW()=2,1,IF(O78="",1,O78+1)),0))</f>
        <v/>
      </c>
      <c r="P79" s="63" t="str">
        <f aca="false">IF($A79="","",IF(ROW()&lt;=8,"基准周",IF(K79&gt;K72,"改善",IF(K79&lt;K72,"恶化","持平"))))</f>
        <v/>
      </c>
    </row>
    <row r="80" customFormat="false" ht="15" hidden="false" customHeight="true" outlineLevel="0" collapsed="false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2" t="str">
        <f aca="false">IF($A80="","",IF(B80=0,20,IF(B80=1,15,IF(B80=2,10,IF(B80=3,5,0))))+IF(C80="否",20,0)+IF(D80="是",20,0)+IF(E80=1,20,IF(E80=2,15,IF(E80=3,10,IF(E80=4,5,0))))+IF(F80="否",20,0))</f>
        <v/>
      </c>
      <c r="L80" s="63" t="str">
        <f aca="false">IF($A80="","",IF(K80&gt;=80,"达标","未达标"))</f>
        <v/>
      </c>
      <c r="M80" s="64" t="str">
        <f aca="false">IF($A80="","",IFERROR(AVERAGEIFS(K$2:K80,WEEKNUM(A$2:A80,2),WEEKNUM(A80,2)),K80))</f>
        <v/>
      </c>
      <c r="N80" s="65" t="str">
        <f aca="false">IF($A80="","",IFERROR(COUNTIFS(A$2:A80,"&lt;&gt;",L$2:L80,"达标",WEEKNUM(A$2:A80,2),WEEKNUM(A80,2)),0))</f>
        <v/>
      </c>
      <c r="O80" s="62" t="str">
        <f aca="false">IF($A80="","",IF(L80="达标",IF(ROW()=2,1,IF(O79="",1,O79+1)),0))</f>
        <v/>
      </c>
      <c r="P80" s="63" t="str">
        <f aca="false">IF($A80="","",IF(ROW()&lt;=8,"基准周",IF(K80&gt;K73,"改善",IF(K80&lt;K73,"恶化","持平"))))</f>
        <v/>
      </c>
    </row>
    <row r="81" customFormat="false" ht="15" hidden="false" customHeight="true" outlineLevel="0" collapsed="false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2" t="str">
        <f aca="false">IF($A81="","",IF(B81=0,20,IF(B81=1,15,IF(B81=2,10,IF(B81=3,5,0))))+IF(C81="否",20,0)+IF(D81="是",20,0)+IF(E81=1,20,IF(E81=2,15,IF(E81=3,10,IF(E81=4,5,0))))+IF(F81="否",20,0))</f>
        <v/>
      </c>
      <c r="L81" s="63" t="str">
        <f aca="false">IF($A81="","",IF(K81&gt;=80,"达标","未达标"))</f>
        <v/>
      </c>
      <c r="M81" s="64" t="str">
        <f aca="false">IF($A81="","",IFERROR(AVERAGEIFS(K$2:K81,WEEKNUM(A$2:A81,2),WEEKNUM(A81,2)),K81))</f>
        <v/>
      </c>
      <c r="N81" s="65" t="str">
        <f aca="false">IF($A81="","",IFERROR(COUNTIFS(A$2:A81,"&lt;&gt;",L$2:L81,"达标",WEEKNUM(A$2:A81,2),WEEKNUM(A81,2)),0))</f>
        <v/>
      </c>
      <c r="O81" s="62" t="str">
        <f aca="false">IF($A81="","",IF(L81="达标",IF(ROW()=2,1,IF(O80="",1,O80+1)),0))</f>
        <v/>
      </c>
      <c r="P81" s="63" t="str">
        <f aca="false">IF($A81="","",IF(ROW()&lt;=8,"基准周",IF(K81&gt;K74,"改善",IF(K81&lt;K74,"恶化","持平"))))</f>
        <v/>
      </c>
    </row>
    <row r="82" customFormat="false" ht="15" hidden="false" customHeight="true" outlineLevel="0" collapsed="false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2" t="str">
        <f aca="false">IF($A82="","",IF(B82=0,20,IF(B82=1,15,IF(B82=2,10,IF(B82=3,5,0))))+IF(C82="否",20,0)+IF(D82="是",20,0)+IF(E82=1,20,IF(E82=2,15,IF(E82=3,10,IF(E82=4,5,0))))+IF(F82="否",20,0))</f>
        <v/>
      </c>
      <c r="L82" s="63" t="str">
        <f aca="false">IF($A82="","",IF(K82&gt;=80,"达标","未达标"))</f>
        <v/>
      </c>
      <c r="M82" s="64" t="str">
        <f aca="false">IF($A82="","",IFERROR(AVERAGEIFS(K$2:K82,WEEKNUM(A$2:A82,2),WEEKNUM(A82,2)),K82))</f>
        <v/>
      </c>
      <c r="N82" s="65" t="str">
        <f aca="false">IF($A82="","",IFERROR(COUNTIFS(A$2:A82,"&lt;&gt;",L$2:L82,"达标",WEEKNUM(A$2:A82,2),WEEKNUM(A82,2)),0))</f>
        <v/>
      </c>
      <c r="O82" s="62" t="str">
        <f aca="false">IF($A82="","",IF(L82="达标",IF(ROW()=2,1,IF(O81="",1,O81+1)),0))</f>
        <v/>
      </c>
      <c r="P82" s="63" t="str">
        <f aca="false">IF($A82="","",IF(ROW()&lt;=8,"基准周",IF(K82&gt;K75,"改善",IF(K82&lt;K75,"恶化","持平"))))</f>
        <v/>
      </c>
    </row>
    <row r="83" customFormat="false" ht="15" hidden="false" customHeight="true" outlineLevel="0" collapsed="false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2" t="str">
        <f aca="false">IF($A83="","",IF(B83=0,20,IF(B83=1,15,IF(B83=2,10,IF(B83=3,5,0))))+IF(C83="否",20,0)+IF(D83="是",20,0)+IF(E83=1,20,IF(E83=2,15,IF(E83=3,10,IF(E83=4,5,0))))+IF(F83="否",20,0))</f>
        <v/>
      </c>
      <c r="L83" s="63" t="str">
        <f aca="false">IF($A83="","",IF(K83&gt;=80,"达标","未达标"))</f>
        <v/>
      </c>
      <c r="M83" s="64" t="str">
        <f aca="false">IF($A83="","",IFERROR(AVERAGEIFS(K$2:K83,WEEKNUM(A$2:A83,2),WEEKNUM(A83,2)),K83))</f>
        <v/>
      </c>
      <c r="N83" s="65" t="str">
        <f aca="false">IF($A83="","",IFERROR(COUNTIFS(A$2:A83,"&lt;&gt;",L$2:L83,"达标",WEEKNUM(A$2:A83,2),WEEKNUM(A83,2)),0))</f>
        <v/>
      </c>
      <c r="O83" s="62" t="str">
        <f aca="false">IF($A83="","",IF(L83="达标",IF(ROW()=2,1,IF(O82="",1,O82+1)),0))</f>
        <v/>
      </c>
      <c r="P83" s="63" t="str">
        <f aca="false">IF($A83="","",IF(ROW()&lt;=8,"基准周",IF(K83&gt;K76,"改善",IF(K83&lt;K76,"恶化","持平"))))</f>
        <v/>
      </c>
    </row>
    <row r="84" customFormat="false" ht="15" hidden="false" customHeight="true" outlineLevel="0" collapsed="false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2" t="str">
        <f aca="false">IF($A84="","",IF(B84=0,20,IF(B84=1,15,IF(B84=2,10,IF(B84=3,5,0))))+IF(C84="否",20,0)+IF(D84="是",20,0)+IF(E84=1,20,IF(E84=2,15,IF(E84=3,10,IF(E84=4,5,0))))+IF(F84="否",20,0))</f>
        <v/>
      </c>
      <c r="L84" s="63" t="str">
        <f aca="false">IF($A84="","",IF(K84&gt;=80,"达标","未达标"))</f>
        <v/>
      </c>
      <c r="M84" s="64" t="str">
        <f aca="false">IF($A84="","",IFERROR(AVERAGEIFS(K$2:K84,WEEKNUM(A$2:A84,2),WEEKNUM(A84,2)),K84))</f>
        <v/>
      </c>
      <c r="N84" s="65" t="str">
        <f aca="false">IF($A84="","",IFERROR(COUNTIFS(A$2:A84,"&lt;&gt;",L$2:L84,"达标",WEEKNUM(A$2:A84,2),WEEKNUM(A84,2)),0))</f>
        <v/>
      </c>
      <c r="O84" s="62" t="str">
        <f aca="false">IF($A84="","",IF(L84="达标",IF(ROW()=2,1,IF(O83="",1,O83+1)),0))</f>
        <v/>
      </c>
      <c r="P84" s="63" t="str">
        <f aca="false">IF($A84="","",IF(ROW()&lt;=8,"基准周",IF(K84&gt;K77,"改善",IF(K84&lt;K77,"恶化","持平"))))</f>
        <v/>
      </c>
    </row>
    <row r="85" customFormat="false" ht="15" hidden="false" customHeight="true" outlineLevel="0" collapsed="false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2" t="str">
        <f aca="false">IF($A85="","",IF(B85=0,20,IF(B85=1,15,IF(B85=2,10,IF(B85=3,5,0))))+IF(C85="否",20,0)+IF(D85="是",20,0)+IF(E85=1,20,IF(E85=2,15,IF(E85=3,10,IF(E85=4,5,0))))+IF(F85="否",20,0))</f>
        <v/>
      </c>
      <c r="L85" s="63" t="str">
        <f aca="false">IF($A85="","",IF(K85&gt;=80,"达标","未达标"))</f>
        <v/>
      </c>
      <c r="M85" s="64" t="str">
        <f aca="false">IF($A85="","",IFERROR(AVERAGEIFS(K$2:K85,WEEKNUM(A$2:A85,2),WEEKNUM(A85,2)),K85))</f>
        <v/>
      </c>
      <c r="N85" s="65" t="str">
        <f aca="false">IF($A85="","",IFERROR(COUNTIFS(A$2:A85,"&lt;&gt;",L$2:L85,"达标",WEEKNUM(A$2:A85,2),WEEKNUM(A85,2)),0))</f>
        <v/>
      </c>
      <c r="O85" s="62" t="str">
        <f aca="false">IF($A85="","",IF(L85="达标",IF(ROW()=2,1,IF(O84="",1,O84+1)),0))</f>
        <v/>
      </c>
      <c r="P85" s="63" t="str">
        <f aca="false">IF($A85="","",IF(ROW()&lt;=8,"基准周",IF(K85&gt;K78,"改善",IF(K85&lt;K78,"恶化","持平"))))</f>
        <v/>
      </c>
    </row>
    <row r="86" customFormat="false" ht="15" hidden="false" customHeight="true" outlineLevel="0" collapsed="false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2" t="str">
        <f aca="false">IF($A86="","",IF(B86=0,20,IF(B86=1,15,IF(B86=2,10,IF(B86=3,5,0))))+IF(C86="否",20,0)+IF(D86="是",20,0)+IF(E86=1,20,IF(E86=2,15,IF(E86=3,10,IF(E86=4,5,0))))+IF(F86="否",20,0))</f>
        <v/>
      </c>
      <c r="L86" s="63" t="str">
        <f aca="false">IF($A86="","",IF(K86&gt;=80,"达标","未达标"))</f>
        <v/>
      </c>
      <c r="M86" s="64" t="str">
        <f aca="false">IF($A86="","",IFERROR(AVERAGEIFS(K$2:K86,WEEKNUM(A$2:A86,2),WEEKNUM(A86,2)),K86))</f>
        <v/>
      </c>
      <c r="N86" s="65" t="str">
        <f aca="false">IF($A86="","",IFERROR(COUNTIFS(A$2:A86,"&lt;&gt;",L$2:L86,"达标",WEEKNUM(A$2:A86,2),WEEKNUM(A86,2)),0))</f>
        <v/>
      </c>
      <c r="O86" s="62" t="str">
        <f aca="false">IF($A86="","",IF(L86="达标",IF(ROW()=2,1,IF(O85="",1,O85+1)),0))</f>
        <v/>
      </c>
      <c r="P86" s="63" t="str">
        <f aca="false">IF($A86="","",IF(ROW()&lt;=8,"基准周",IF(K86&gt;K79,"改善",IF(K86&lt;K79,"恶化","持平"))))</f>
        <v/>
      </c>
    </row>
    <row r="87" customFormat="false" ht="15" hidden="false" customHeight="true" outlineLevel="0" collapsed="false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2" t="str">
        <f aca="false">IF($A87="","",IF(B87=0,20,IF(B87=1,15,IF(B87=2,10,IF(B87=3,5,0))))+IF(C87="否",20,0)+IF(D87="是",20,0)+IF(E87=1,20,IF(E87=2,15,IF(E87=3,10,IF(E87=4,5,0))))+IF(F87="否",20,0))</f>
        <v/>
      </c>
      <c r="L87" s="63" t="str">
        <f aca="false">IF($A87="","",IF(K87&gt;=80,"达标","未达标"))</f>
        <v/>
      </c>
      <c r="M87" s="64" t="str">
        <f aca="false">IF($A87="","",IFERROR(AVERAGEIFS(K$2:K87,WEEKNUM(A$2:A87,2),WEEKNUM(A87,2)),K87))</f>
        <v/>
      </c>
      <c r="N87" s="65" t="str">
        <f aca="false">IF($A87="","",IFERROR(COUNTIFS(A$2:A87,"&lt;&gt;",L$2:L87,"达标",WEEKNUM(A$2:A87,2),WEEKNUM(A87,2)),0))</f>
        <v/>
      </c>
      <c r="O87" s="62" t="str">
        <f aca="false">IF($A87="","",IF(L87="达标",IF(ROW()=2,1,IF(O86="",1,O86+1)),0))</f>
        <v/>
      </c>
      <c r="P87" s="63" t="str">
        <f aca="false">IF($A87="","",IF(ROW()&lt;=8,"基准周",IF(K87&gt;K80,"改善",IF(K87&lt;K80,"恶化","持平"))))</f>
        <v/>
      </c>
    </row>
    <row r="88" customFormat="false" ht="15" hidden="false" customHeight="true" outlineLevel="0" collapsed="false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2" t="str">
        <f aca="false">IF($A88="","",IF(B88=0,20,IF(B88=1,15,IF(B88=2,10,IF(B88=3,5,0))))+IF(C88="否",20,0)+IF(D88="是",20,0)+IF(E88=1,20,IF(E88=2,15,IF(E88=3,10,IF(E88=4,5,0))))+IF(F88="否",20,0))</f>
        <v/>
      </c>
      <c r="L88" s="63" t="str">
        <f aca="false">IF($A88="","",IF(K88&gt;=80,"达标","未达标"))</f>
        <v/>
      </c>
      <c r="M88" s="64" t="str">
        <f aca="false">IF($A88="","",IFERROR(AVERAGEIFS(K$2:K88,WEEKNUM(A$2:A88,2),WEEKNUM(A88,2)),K88))</f>
        <v/>
      </c>
      <c r="N88" s="65" t="str">
        <f aca="false">IF($A88="","",IFERROR(COUNTIFS(A$2:A88,"&lt;&gt;",L$2:L88,"达标",WEEKNUM(A$2:A88,2),WEEKNUM(A88,2)),0))</f>
        <v/>
      </c>
      <c r="O88" s="62" t="str">
        <f aca="false">IF($A88="","",IF(L88="达标",IF(ROW()=2,1,IF(O87="",1,O87+1)),0))</f>
        <v/>
      </c>
      <c r="P88" s="63" t="str">
        <f aca="false">IF($A88="","",IF(ROW()&lt;=8,"基准周",IF(K88&gt;K81,"改善",IF(K88&lt;K81,"恶化","持平"))))</f>
        <v/>
      </c>
    </row>
    <row r="89" customFormat="false" ht="15" hidden="false" customHeight="true" outlineLevel="0" collapsed="false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2" t="str">
        <f aca="false">IF($A89="","",IF(B89=0,20,IF(B89=1,15,IF(B89=2,10,IF(B89=3,5,0))))+IF(C89="否",20,0)+IF(D89="是",20,0)+IF(E89=1,20,IF(E89=2,15,IF(E89=3,10,IF(E89=4,5,0))))+IF(F89="否",20,0))</f>
        <v/>
      </c>
      <c r="L89" s="63" t="str">
        <f aca="false">IF($A89="","",IF(K89&gt;=80,"达标","未达标"))</f>
        <v/>
      </c>
      <c r="M89" s="64" t="str">
        <f aca="false">IF($A89="","",IFERROR(AVERAGEIFS(K$2:K89,WEEKNUM(A$2:A89,2),WEEKNUM(A89,2)),K89))</f>
        <v/>
      </c>
      <c r="N89" s="65" t="str">
        <f aca="false">IF($A89="","",IFERROR(COUNTIFS(A$2:A89,"&lt;&gt;",L$2:L89,"达标",WEEKNUM(A$2:A89,2),WEEKNUM(A89,2)),0))</f>
        <v/>
      </c>
      <c r="O89" s="62" t="str">
        <f aca="false">IF($A89="","",IF(L89="达标",IF(ROW()=2,1,IF(O88="",1,O88+1)),0))</f>
        <v/>
      </c>
      <c r="P89" s="63" t="str">
        <f aca="false">IF($A89="","",IF(ROW()&lt;=8,"基准周",IF(K89&gt;K82,"改善",IF(K89&lt;K82,"恶化","持平"))))</f>
        <v/>
      </c>
    </row>
    <row r="90" customFormat="false" ht="15" hidden="false" customHeight="true" outlineLevel="0" collapsed="false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2" t="str">
        <f aca="false">IF($A90="","",IF(B90=0,20,IF(B90=1,15,IF(B90=2,10,IF(B90=3,5,0))))+IF(C90="否",20,0)+IF(D90="是",20,0)+IF(E90=1,20,IF(E90=2,15,IF(E90=3,10,IF(E90=4,5,0))))+IF(F90="否",20,0))</f>
        <v/>
      </c>
      <c r="L90" s="63" t="str">
        <f aca="false">IF($A90="","",IF(K90&gt;=80,"达标","未达标"))</f>
        <v/>
      </c>
      <c r="M90" s="64" t="str">
        <f aca="false">IF($A90="","",IFERROR(AVERAGEIFS(K$2:K90,WEEKNUM(A$2:A90,2),WEEKNUM(A90,2)),K90))</f>
        <v/>
      </c>
      <c r="N90" s="65" t="str">
        <f aca="false">IF($A90="","",IFERROR(COUNTIFS(A$2:A90,"&lt;&gt;",L$2:L90,"达标",WEEKNUM(A$2:A90,2),WEEKNUM(A90,2)),0))</f>
        <v/>
      </c>
      <c r="O90" s="62" t="str">
        <f aca="false">IF($A90="","",IF(L90="达标",IF(ROW()=2,1,IF(O89="",1,O89+1)),0))</f>
        <v/>
      </c>
      <c r="P90" s="63" t="str">
        <f aca="false">IF($A90="","",IF(ROW()&lt;=8,"基准周",IF(K90&gt;K83,"改善",IF(K90&lt;K83,"恶化","持平"))))</f>
        <v/>
      </c>
    </row>
    <row r="91" customFormat="false" ht="15" hidden="false" customHeight="true" outlineLevel="0" collapsed="false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2" t="str">
        <f aca="false">IF($A91="","",IF(B91=0,20,IF(B91=1,15,IF(B91=2,10,IF(B91=3,5,0))))+IF(C91="否",20,0)+IF(D91="是",20,0)+IF(E91=1,20,IF(E91=2,15,IF(E91=3,10,IF(E91=4,5,0))))+IF(F91="否",20,0))</f>
        <v/>
      </c>
      <c r="L91" s="63" t="str">
        <f aca="false">IF($A91="","",IF(K91&gt;=80,"达标","未达标"))</f>
        <v/>
      </c>
      <c r="M91" s="64" t="str">
        <f aca="false">IF($A91="","",IFERROR(AVERAGEIFS(K$2:K91,WEEKNUM(A$2:A91,2),WEEKNUM(A91,2)),K91))</f>
        <v/>
      </c>
      <c r="N91" s="65" t="str">
        <f aca="false">IF($A91="","",IFERROR(COUNTIFS(A$2:A91,"&lt;&gt;",L$2:L91,"达标",WEEKNUM(A$2:A91,2),WEEKNUM(A91,2)),0))</f>
        <v/>
      </c>
      <c r="O91" s="62" t="str">
        <f aca="false">IF($A91="","",IF(L91="达标",IF(ROW()=2,1,IF(O90="",1,O90+1)),0))</f>
        <v/>
      </c>
      <c r="P91" s="63" t="str">
        <f aca="false">IF($A91="","",IF(ROW()&lt;=8,"基准周",IF(K91&gt;K84,"改善",IF(K91&lt;K84,"恶化","持平"))))</f>
        <v/>
      </c>
    </row>
    <row r="92" customFormat="false" ht="15" hidden="false" customHeight="true" outlineLevel="0" collapsed="false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2" t="str">
        <f aca="false">IF($A92="","",IF(B92=0,20,IF(B92=1,15,IF(B92=2,10,IF(B92=3,5,0))))+IF(C92="否",20,0)+IF(D92="是",20,0)+IF(E92=1,20,IF(E92=2,15,IF(E92=3,10,IF(E92=4,5,0))))+IF(F92="否",20,0))</f>
        <v/>
      </c>
      <c r="L92" s="63" t="str">
        <f aca="false">IF($A92="","",IF(K92&gt;=80,"达标","未达标"))</f>
        <v/>
      </c>
      <c r="M92" s="64" t="str">
        <f aca="false">IF($A92="","",IFERROR(AVERAGEIFS(K$2:K92,WEEKNUM(A$2:A92,2),WEEKNUM(A92,2)),K92))</f>
        <v/>
      </c>
      <c r="N92" s="65" t="str">
        <f aca="false">IF($A92="","",IFERROR(COUNTIFS(A$2:A92,"&lt;&gt;",L$2:L92,"达标",WEEKNUM(A$2:A92,2),WEEKNUM(A92,2)),0))</f>
        <v/>
      </c>
      <c r="O92" s="62" t="str">
        <f aca="false">IF($A92="","",IF(L92="达标",IF(ROW()=2,1,IF(O91="",1,O91+1)),0))</f>
        <v/>
      </c>
      <c r="P92" s="63" t="str">
        <f aca="false">IF($A92="","",IF(ROW()&lt;=8,"基准周",IF(K92&gt;K85,"改善",IF(K92&lt;K85,"恶化","持平"))))</f>
        <v/>
      </c>
    </row>
    <row r="93" customFormat="false" ht="15" hidden="false" customHeight="true" outlineLevel="0" collapsed="false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2" t="str">
        <f aca="false">IF($A93="","",IF(B93=0,20,IF(B93=1,15,IF(B93=2,10,IF(B93=3,5,0))))+IF(C93="否",20,0)+IF(D93="是",20,0)+IF(E93=1,20,IF(E93=2,15,IF(E93=3,10,IF(E93=4,5,0))))+IF(F93="否",20,0))</f>
        <v/>
      </c>
      <c r="L93" s="63" t="str">
        <f aca="false">IF($A93="","",IF(K93&gt;=80,"达标","未达标"))</f>
        <v/>
      </c>
      <c r="M93" s="64" t="str">
        <f aca="false">IF($A93="","",IFERROR(AVERAGEIFS(K$2:K93,WEEKNUM(A$2:A93,2),WEEKNUM(A93,2)),K93))</f>
        <v/>
      </c>
      <c r="N93" s="65" t="str">
        <f aca="false">IF($A93="","",IFERROR(COUNTIFS(A$2:A93,"&lt;&gt;",L$2:L93,"达标",WEEKNUM(A$2:A93,2),WEEKNUM(A93,2)),0))</f>
        <v/>
      </c>
      <c r="O93" s="62" t="str">
        <f aca="false">IF($A93="","",IF(L93="达标",IF(ROW()=2,1,IF(O92="",1,O92+1)),0))</f>
        <v/>
      </c>
      <c r="P93" s="63" t="str">
        <f aca="false">IF($A93="","",IF(ROW()&lt;=8,"基准周",IF(K93&gt;K86,"改善",IF(K93&lt;K86,"恶化","持平"))))</f>
        <v/>
      </c>
    </row>
    <row r="94" customFormat="false" ht="15" hidden="false" customHeight="true" outlineLevel="0" collapsed="false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2" t="str">
        <f aca="false">IF($A94="","",IF(B94=0,20,IF(B94=1,15,IF(B94=2,10,IF(B94=3,5,0))))+IF(C94="否",20,0)+IF(D94="是",20,0)+IF(E94=1,20,IF(E94=2,15,IF(E94=3,10,IF(E94=4,5,0))))+IF(F94="否",20,0))</f>
        <v/>
      </c>
      <c r="L94" s="63" t="str">
        <f aca="false">IF($A94="","",IF(K94&gt;=80,"达标","未达标"))</f>
        <v/>
      </c>
      <c r="M94" s="64" t="str">
        <f aca="false">IF($A94="","",IFERROR(AVERAGEIFS(K$2:K94,WEEKNUM(A$2:A94,2),WEEKNUM(A94,2)),K94))</f>
        <v/>
      </c>
      <c r="N94" s="65" t="str">
        <f aca="false">IF($A94="","",IFERROR(COUNTIFS(A$2:A94,"&lt;&gt;",L$2:L94,"达标",WEEKNUM(A$2:A94,2),WEEKNUM(A94,2)),0))</f>
        <v/>
      </c>
      <c r="O94" s="62" t="str">
        <f aca="false">IF($A94="","",IF(L94="达标",IF(ROW()=2,1,IF(O93="",1,O93+1)),0))</f>
        <v/>
      </c>
      <c r="P94" s="63" t="str">
        <f aca="false">IF($A94="","",IF(ROW()&lt;=8,"基准周",IF(K94&gt;K87,"改善",IF(K94&lt;K87,"恶化","持平"))))</f>
        <v/>
      </c>
    </row>
    <row r="95" customFormat="false" ht="15" hidden="false" customHeight="true" outlineLevel="0" collapsed="false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2" t="str">
        <f aca="false">IF($A95="","",IF(B95=0,20,IF(B95=1,15,IF(B95=2,10,IF(B95=3,5,0))))+IF(C95="否",20,0)+IF(D95="是",20,0)+IF(E95=1,20,IF(E95=2,15,IF(E95=3,10,IF(E95=4,5,0))))+IF(F95="否",20,0))</f>
        <v/>
      </c>
      <c r="L95" s="63" t="str">
        <f aca="false">IF($A95="","",IF(K95&gt;=80,"达标","未达标"))</f>
        <v/>
      </c>
      <c r="M95" s="64" t="str">
        <f aca="false">IF($A95="","",IFERROR(AVERAGEIFS(K$2:K95,WEEKNUM(A$2:A95,2),WEEKNUM(A95,2)),K95))</f>
        <v/>
      </c>
      <c r="N95" s="65" t="str">
        <f aca="false">IF($A95="","",IFERROR(COUNTIFS(A$2:A95,"&lt;&gt;",L$2:L95,"达标",WEEKNUM(A$2:A95,2),WEEKNUM(A95,2)),0))</f>
        <v/>
      </c>
      <c r="O95" s="62" t="str">
        <f aca="false">IF($A95="","",IF(L95="达标",IF(ROW()=2,1,IF(O94="",1,O94+1)),0))</f>
        <v/>
      </c>
      <c r="P95" s="63" t="str">
        <f aca="false">IF($A95="","",IF(ROW()&lt;=8,"基准周",IF(K95&gt;K88,"改善",IF(K95&lt;K88,"恶化","持平"))))</f>
        <v/>
      </c>
    </row>
    <row r="96" customFormat="false" ht="15" hidden="false" customHeight="true" outlineLevel="0" collapsed="false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2" t="str">
        <f aca="false">IF($A96="","",IF(B96=0,20,IF(B96=1,15,IF(B96=2,10,IF(B96=3,5,0))))+IF(C96="否",20,0)+IF(D96="是",20,0)+IF(E96=1,20,IF(E96=2,15,IF(E96=3,10,IF(E96=4,5,0))))+IF(F96="否",20,0))</f>
        <v/>
      </c>
      <c r="L96" s="63" t="str">
        <f aca="false">IF($A96="","",IF(K96&gt;=80,"达标","未达标"))</f>
        <v/>
      </c>
      <c r="M96" s="64" t="str">
        <f aca="false">IF($A96="","",IFERROR(AVERAGEIFS(K$2:K96,WEEKNUM(A$2:A96,2),WEEKNUM(A96,2)),K96))</f>
        <v/>
      </c>
      <c r="N96" s="65" t="str">
        <f aca="false">IF($A96="","",IFERROR(COUNTIFS(A$2:A96,"&lt;&gt;",L$2:L96,"达标",WEEKNUM(A$2:A96,2),WEEKNUM(A96,2)),0))</f>
        <v/>
      </c>
      <c r="O96" s="62" t="str">
        <f aca="false">IF($A96="","",IF(L96="达标",IF(ROW()=2,1,IF(O95="",1,O95+1)),0))</f>
        <v/>
      </c>
      <c r="P96" s="63" t="str">
        <f aca="false">IF($A96="","",IF(ROW()&lt;=8,"基准周",IF(K96&gt;K89,"改善",IF(K96&lt;K89,"恶化","持平"))))</f>
        <v/>
      </c>
    </row>
    <row r="97" customFormat="false" ht="15" hidden="false" customHeight="true" outlineLevel="0" collapsed="false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2" t="str">
        <f aca="false">IF($A97="","",IF(B97=0,20,IF(B97=1,15,IF(B97=2,10,IF(B97=3,5,0))))+IF(C97="否",20,0)+IF(D97="是",20,0)+IF(E97=1,20,IF(E97=2,15,IF(E97=3,10,IF(E97=4,5,0))))+IF(F97="否",20,0))</f>
        <v/>
      </c>
      <c r="L97" s="63" t="str">
        <f aca="false">IF($A97="","",IF(K97&gt;=80,"达标","未达标"))</f>
        <v/>
      </c>
      <c r="M97" s="64" t="str">
        <f aca="false">IF($A97="","",IFERROR(AVERAGEIFS(K$2:K97,WEEKNUM(A$2:A97,2),WEEKNUM(A97,2)),K97))</f>
        <v/>
      </c>
      <c r="N97" s="65" t="str">
        <f aca="false">IF($A97="","",IFERROR(COUNTIFS(A$2:A97,"&lt;&gt;",L$2:L97,"达标",WEEKNUM(A$2:A97,2),WEEKNUM(A97,2)),0))</f>
        <v/>
      </c>
      <c r="O97" s="62" t="str">
        <f aca="false">IF($A97="","",IF(L97="达标",IF(ROW()=2,1,IF(O96="",1,O96+1)),0))</f>
        <v/>
      </c>
      <c r="P97" s="63" t="str">
        <f aca="false">IF($A97="","",IF(ROW()&lt;=8,"基准周",IF(K97&gt;K90,"改善",IF(K97&lt;K90,"恶化","持平"))))</f>
        <v/>
      </c>
    </row>
    <row r="98" customFormat="false" ht="15" hidden="false" customHeight="true" outlineLevel="0" collapsed="false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2" t="str">
        <f aca="false">IF($A98="","",IF(B98=0,20,IF(B98=1,15,IF(B98=2,10,IF(B98=3,5,0))))+IF(C98="否",20,0)+IF(D98="是",20,0)+IF(E98=1,20,IF(E98=2,15,IF(E98=3,10,IF(E98=4,5,0))))+IF(F98="否",20,0))</f>
        <v/>
      </c>
      <c r="L98" s="63" t="str">
        <f aca="false">IF($A98="","",IF(K98&gt;=80,"达标","未达标"))</f>
        <v/>
      </c>
      <c r="M98" s="64" t="str">
        <f aca="false">IF($A98="","",IFERROR(AVERAGEIFS(K$2:K98,WEEKNUM(A$2:A98,2),WEEKNUM(A98,2)),K98))</f>
        <v/>
      </c>
      <c r="N98" s="65" t="str">
        <f aca="false">IF($A98="","",IFERROR(COUNTIFS(A$2:A98,"&lt;&gt;",L$2:L98,"达标",WEEKNUM(A$2:A98,2),WEEKNUM(A98,2)),0))</f>
        <v/>
      </c>
      <c r="O98" s="62" t="str">
        <f aca="false">IF($A98="","",IF(L98="达标",IF(ROW()=2,1,IF(O97="",1,O97+1)),0))</f>
        <v/>
      </c>
      <c r="P98" s="63" t="str">
        <f aca="false">IF($A98="","",IF(ROW()&lt;=8,"基准周",IF(K98&gt;K91,"改善",IF(K98&lt;K91,"恶化","持平"))))</f>
        <v/>
      </c>
    </row>
    <row r="99" customFormat="false" ht="15" hidden="false" customHeight="true" outlineLevel="0" collapsed="false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2" t="str">
        <f aca="false">IF($A99="","",IF(B99=0,20,IF(B99=1,15,IF(B99=2,10,IF(B99=3,5,0))))+IF(C99="否",20,0)+IF(D99="是",20,0)+IF(E99=1,20,IF(E99=2,15,IF(E99=3,10,IF(E99=4,5,0))))+IF(F99="否",20,0))</f>
        <v/>
      </c>
      <c r="L99" s="63" t="str">
        <f aca="false">IF($A99="","",IF(K99&gt;=80,"达标","未达标"))</f>
        <v/>
      </c>
      <c r="M99" s="64" t="str">
        <f aca="false">IF($A99="","",IFERROR(AVERAGEIFS(K$2:K99,WEEKNUM(A$2:A99,2),WEEKNUM(A99,2)),K99))</f>
        <v/>
      </c>
      <c r="N99" s="65" t="str">
        <f aca="false">IF($A99="","",IFERROR(COUNTIFS(A$2:A99,"&lt;&gt;",L$2:L99,"达标",WEEKNUM(A$2:A99,2),WEEKNUM(A99,2)),0))</f>
        <v/>
      </c>
      <c r="O99" s="62" t="str">
        <f aca="false">IF($A99="","",IF(L99="达标",IF(ROW()=2,1,IF(O98="",1,O98+1)),0))</f>
        <v/>
      </c>
      <c r="P99" s="63" t="str">
        <f aca="false">IF($A99="","",IF(ROW()&lt;=8,"基准周",IF(K99&gt;K92,"改善",IF(K99&lt;K92,"恶化","持平"))))</f>
        <v/>
      </c>
    </row>
    <row r="100" customFormat="false" ht="15" hidden="false" customHeight="true" outlineLevel="0" collapsed="false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2" t="str">
        <f aca="false">IF($A100="","",IF(B100=0,20,IF(B100=1,15,IF(B100=2,10,IF(B100=3,5,0))))+IF(C100="否",20,0)+IF(D100="是",20,0)+IF(E100=1,20,IF(E100=2,15,IF(E100=3,10,IF(E100=4,5,0))))+IF(F100="否",20,0))</f>
        <v/>
      </c>
      <c r="L100" s="63" t="str">
        <f aca="false">IF($A100="","",IF(K100&gt;=80,"达标","未达标"))</f>
        <v/>
      </c>
      <c r="M100" s="64" t="str">
        <f aca="false">IF($A100="","",IFERROR(AVERAGEIFS(K$2:K100,WEEKNUM(A$2:A100,2),WEEKNUM(A100,2)),K100))</f>
        <v/>
      </c>
      <c r="N100" s="65" t="str">
        <f aca="false">IF($A100="","",IFERROR(COUNTIFS(A$2:A100,"&lt;&gt;",L$2:L100,"达标",WEEKNUM(A$2:A100,2),WEEKNUM(A100,2)),0))</f>
        <v/>
      </c>
      <c r="O100" s="62" t="str">
        <f aca="false">IF($A100="","",IF(L100="达标",IF(ROW()=2,1,IF(O99="",1,O99+1)),0))</f>
        <v/>
      </c>
      <c r="P100" s="63" t="str">
        <f aca="false">IF($A100="","",IF(ROW()&lt;=8,"基准周",IF(K100&gt;K93,"改善",IF(K100&lt;K93,"恶化","持平"))))</f>
        <v/>
      </c>
    </row>
    <row r="101" customFormat="false" ht="15" hidden="false" customHeight="true" outlineLevel="0" collapsed="false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2" t="str">
        <f aca="false">IF($A101="","",IF(B101=0,20,IF(B101=1,15,IF(B101=2,10,IF(B101=3,5,0))))+IF(C101="否",20,0)+IF(D101="是",20,0)+IF(E101=1,20,IF(E101=2,15,IF(E101=3,10,IF(E101=4,5,0))))+IF(F101="否",20,0))</f>
        <v/>
      </c>
      <c r="L101" s="63" t="str">
        <f aca="false">IF($A101="","",IF(K101&gt;=80,"达标","未达标"))</f>
        <v/>
      </c>
      <c r="M101" s="64" t="str">
        <f aca="false">IF($A101="","",IFERROR(AVERAGEIFS(K$2:K101,WEEKNUM(A$2:A101,2),WEEKNUM(A101,2)),K101))</f>
        <v/>
      </c>
      <c r="N101" s="65" t="str">
        <f aca="false">IF($A101="","",IFERROR(COUNTIFS(A$2:A101,"&lt;&gt;",L$2:L101,"达标",WEEKNUM(A$2:A101,2),WEEKNUM(A101,2)),0))</f>
        <v/>
      </c>
      <c r="O101" s="62" t="str">
        <f aca="false">IF($A101="","",IF(L101="达标",IF(ROW()=2,1,IF(O100="",1,O100+1)),0))</f>
        <v/>
      </c>
      <c r="P101" s="63" t="str">
        <f aca="false">IF($A101="","",IF(ROW()&lt;=8,"基准周",IF(K101&gt;K94,"改善",IF(K101&lt;K94,"恶化","持平"))))</f>
        <v/>
      </c>
    </row>
    <row r="102" customFormat="false" ht="15" hidden="false" customHeight="true" outlineLevel="0" collapsed="false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2" t="str">
        <f aca="false">IF($A102="","",IF(B102=0,20,IF(B102=1,15,IF(B102=2,10,IF(B102=3,5,0))))+IF(C102="否",20,0)+IF(D102="是",20,0)+IF(E102=1,20,IF(E102=2,15,IF(E102=3,10,IF(E102=4,5,0))))+IF(F102="否",20,0))</f>
        <v/>
      </c>
      <c r="L102" s="63" t="str">
        <f aca="false">IF($A102="","",IF(K102&gt;=80,"达标","未达标"))</f>
        <v/>
      </c>
      <c r="M102" s="64" t="str">
        <f aca="false">IF($A102="","",IFERROR(AVERAGEIFS(K$2:K102,WEEKNUM(A$2:A102,2),WEEKNUM(A102,2)),K102))</f>
        <v/>
      </c>
      <c r="N102" s="65" t="str">
        <f aca="false">IF($A102="","",IFERROR(COUNTIFS(A$2:A102,"&lt;&gt;",L$2:L102,"达标",WEEKNUM(A$2:A102,2),WEEKNUM(A102,2)),0))</f>
        <v/>
      </c>
      <c r="O102" s="62" t="str">
        <f aca="false">IF($A102="","",IF(L102="达标",IF(ROW()=2,1,IF(O101="",1,O101+1)),0))</f>
        <v/>
      </c>
      <c r="P102" s="63" t="str">
        <f aca="false">IF($A102="","",IF(ROW()&lt;=8,"基准周",IF(K102&gt;K95,"改善",IF(K102&lt;K95,"恶化","持平"))))</f>
        <v/>
      </c>
    </row>
    <row r="103" customFormat="false" ht="15" hidden="false" customHeight="true" outlineLevel="0" collapsed="false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2" t="str">
        <f aca="false">IF($A103="","",IF(B103=0,20,IF(B103=1,15,IF(B103=2,10,IF(B103=3,5,0))))+IF(C103="否",20,0)+IF(D103="是",20,0)+IF(E103=1,20,IF(E103=2,15,IF(E103=3,10,IF(E103=4,5,0))))+IF(F103="否",20,0))</f>
        <v/>
      </c>
      <c r="L103" s="63" t="str">
        <f aca="false">IF($A103="","",IF(K103&gt;=80,"达标","未达标"))</f>
        <v/>
      </c>
      <c r="M103" s="64" t="str">
        <f aca="false">IF($A103="","",IFERROR(AVERAGEIFS(K$2:K103,WEEKNUM(A$2:A103,2),WEEKNUM(A103,2)),K103))</f>
        <v/>
      </c>
      <c r="N103" s="65" t="str">
        <f aca="false">IF($A103="","",IFERROR(COUNTIFS(A$2:A103,"&lt;&gt;",L$2:L103,"达标",WEEKNUM(A$2:A103,2),WEEKNUM(A103,2)),0))</f>
        <v/>
      </c>
      <c r="O103" s="62" t="str">
        <f aca="false">IF($A103="","",IF(L103="达标",IF(ROW()=2,1,IF(O102="",1,O102+1)),0))</f>
        <v/>
      </c>
      <c r="P103" s="63" t="str">
        <f aca="false">IF($A103="","",IF(ROW()&lt;=8,"基准周",IF(K103&gt;K96,"改善",IF(K103&lt;K96,"恶化","持平"))))</f>
        <v/>
      </c>
    </row>
    <row r="104" customFormat="false" ht="15" hidden="false" customHeight="true" outlineLevel="0" collapsed="false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2" t="str">
        <f aca="false">IF($A104="","",IF(B104=0,20,IF(B104=1,15,IF(B104=2,10,IF(B104=3,5,0))))+IF(C104="否",20,0)+IF(D104="是",20,0)+IF(E104=1,20,IF(E104=2,15,IF(E104=3,10,IF(E104=4,5,0))))+IF(F104="否",20,0))</f>
        <v/>
      </c>
      <c r="L104" s="63" t="str">
        <f aca="false">IF($A104="","",IF(K104&gt;=80,"达标","未达标"))</f>
        <v/>
      </c>
      <c r="M104" s="64" t="str">
        <f aca="false">IF($A104="","",IFERROR(AVERAGEIFS(K$2:K104,WEEKNUM(A$2:A104,2),WEEKNUM(A104,2)),K104))</f>
        <v/>
      </c>
      <c r="N104" s="65" t="str">
        <f aca="false">IF($A104="","",IFERROR(COUNTIFS(A$2:A104,"&lt;&gt;",L$2:L104,"达标",WEEKNUM(A$2:A104,2),WEEKNUM(A104,2)),0))</f>
        <v/>
      </c>
      <c r="O104" s="62" t="str">
        <f aca="false">IF($A104="","",IF(L104="达标",IF(ROW()=2,1,IF(O103="",1,O103+1)),0))</f>
        <v/>
      </c>
      <c r="P104" s="63" t="str">
        <f aca="false">IF($A104="","",IF(ROW()&lt;=8,"基准周",IF(K104&gt;K97,"改善",IF(K104&lt;K97,"恶化","持平"))))</f>
        <v/>
      </c>
    </row>
    <row r="105" customFormat="false" ht="15" hidden="false" customHeight="true" outlineLevel="0" collapsed="false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2" t="str">
        <f aca="false">IF($A105="","",IF(B105=0,20,IF(B105=1,15,IF(B105=2,10,IF(B105=3,5,0))))+IF(C105="否",20,0)+IF(D105="是",20,0)+IF(E105=1,20,IF(E105=2,15,IF(E105=3,10,IF(E105=4,5,0))))+IF(F105="否",20,0))</f>
        <v/>
      </c>
      <c r="L105" s="63" t="str">
        <f aca="false">IF($A105="","",IF(K105&gt;=80,"达标","未达标"))</f>
        <v/>
      </c>
      <c r="M105" s="64" t="str">
        <f aca="false">IF($A105="","",IFERROR(AVERAGEIFS(K$2:K105,WEEKNUM(A$2:A105,2),WEEKNUM(A105,2)),K105))</f>
        <v/>
      </c>
      <c r="N105" s="65" t="str">
        <f aca="false">IF($A105="","",IFERROR(COUNTIFS(A$2:A105,"&lt;&gt;",L$2:L105,"达标",WEEKNUM(A$2:A105,2),WEEKNUM(A105,2)),0))</f>
        <v/>
      </c>
      <c r="O105" s="62" t="str">
        <f aca="false">IF($A105="","",IF(L105="达标",IF(ROW()=2,1,IF(O104="",1,O104+1)),0))</f>
        <v/>
      </c>
      <c r="P105" s="63" t="str">
        <f aca="false">IF($A105="","",IF(ROW()&lt;=8,"基准周",IF(K105&gt;K98,"改善",IF(K105&lt;K98,"恶化","持平"))))</f>
        <v/>
      </c>
    </row>
    <row r="106" customFormat="false" ht="15" hidden="false" customHeight="true" outlineLevel="0" collapsed="false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2" t="str">
        <f aca="false">IF($A106="","",IF(B106=0,20,IF(B106=1,15,IF(B106=2,10,IF(B106=3,5,0))))+IF(C106="否",20,0)+IF(D106="是",20,0)+IF(E106=1,20,IF(E106=2,15,IF(E106=3,10,IF(E106=4,5,0))))+IF(F106="否",20,0))</f>
        <v/>
      </c>
      <c r="L106" s="63" t="str">
        <f aca="false">IF($A106="","",IF(K106&gt;=80,"达标","未达标"))</f>
        <v/>
      </c>
      <c r="M106" s="64" t="str">
        <f aca="false">IF($A106="","",IFERROR(AVERAGEIFS(K$2:K106,WEEKNUM(A$2:A106,2),WEEKNUM(A106,2)),K106))</f>
        <v/>
      </c>
      <c r="N106" s="65" t="str">
        <f aca="false">IF($A106="","",IFERROR(COUNTIFS(A$2:A106,"&lt;&gt;",L$2:L106,"达标",WEEKNUM(A$2:A106,2),WEEKNUM(A106,2)),0))</f>
        <v/>
      </c>
      <c r="O106" s="62" t="str">
        <f aca="false">IF($A106="","",IF(L106="达标",IF(ROW()=2,1,IF(O105="",1,O105+1)),0))</f>
        <v/>
      </c>
      <c r="P106" s="63" t="str">
        <f aca="false">IF($A106="","",IF(ROW()&lt;=8,"基准周",IF(K106&gt;K99,"改善",IF(K106&lt;K99,"恶化","持平"))))</f>
        <v/>
      </c>
    </row>
    <row r="107" customFormat="false" ht="15" hidden="false" customHeight="true" outlineLevel="0" collapsed="false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2" t="str">
        <f aca="false">IF($A107="","",IF(B107=0,20,IF(B107=1,15,IF(B107=2,10,IF(B107=3,5,0))))+IF(C107="否",20,0)+IF(D107="是",20,0)+IF(E107=1,20,IF(E107=2,15,IF(E107=3,10,IF(E107=4,5,0))))+IF(F107="否",20,0))</f>
        <v/>
      </c>
      <c r="L107" s="63" t="str">
        <f aca="false">IF($A107="","",IF(K107&gt;=80,"达标","未达标"))</f>
        <v/>
      </c>
      <c r="M107" s="64" t="str">
        <f aca="false">IF($A107="","",IFERROR(AVERAGEIFS(K$2:K107,WEEKNUM(A$2:A107,2),WEEKNUM(A107,2)),K107))</f>
        <v/>
      </c>
      <c r="N107" s="65" t="str">
        <f aca="false">IF($A107="","",IFERROR(COUNTIFS(A$2:A107,"&lt;&gt;",L$2:L107,"达标",WEEKNUM(A$2:A107,2),WEEKNUM(A107,2)),0))</f>
        <v/>
      </c>
      <c r="O107" s="62" t="str">
        <f aca="false">IF($A107="","",IF(L107="达标",IF(ROW()=2,1,IF(O106="",1,O106+1)),0))</f>
        <v/>
      </c>
      <c r="P107" s="63" t="str">
        <f aca="false">IF($A107="","",IF(ROW()&lt;=8,"基准周",IF(K107&gt;K100,"改善",IF(K107&lt;K100,"恶化","持平"))))</f>
        <v/>
      </c>
    </row>
    <row r="108" customFormat="false" ht="15" hidden="false" customHeight="true" outlineLevel="0" collapsed="false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2" t="str">
        <f aca="false">IF($A108="","",IF(B108=0,20,IF(B108=1,15,IF(B108=2,10,IF(B108=3,5,0))))+IF(C108="否",20,0)+IF(D108="是",20,0)+IF(E108=1,20,IF(E108=2,15,IF(E108=3,10,IF(E108=4,5,0))))+IF(F108="否",20,0))</f>
        <v/>
      </c>
      <c r="L108" s="63" t="str">
        <f aca="false">IF($A108="","",IF(K108&gt;=80,"达标","未达标"))</f>
        <v/>
      </c>
      <c r="M108" s="64" t="str">
        <f aca="false">IF($A108="","",IFERROR(AVERAGEIFS(K$2:K108,WEEKNUM(A$2:A108,2),WEEKNUM(A108,2)),K108))</f>
        <v/>
      </c>
      <c r="N108" s="65" t="str">
        <f aca="false">IF($A108="","",IFERROR(COUNTIFS(A$2:A108,"&lt;&gt;",L$2:L108,"达标",WEEKNUM(A$2:A108,2),WEEKNUM(A108,2)),0))</f>
        <v/>
      </c>
      <c r="O108" s="62" t="str">
        <f aca="false">IF($A108="","",IF(L108="达标",IF(ROW()=2,1,IF(O107="",1,O107+1)),0))</f>
        <v/>
      </c>
      <c r="P108" s="63" t="str">
        <f aca="false">IF($A108="","",IF(ROW()&lt;=8,"基准周",IF(K108&gt;K101,"改善",IF(K108&lt;K101,"恶化","持平"))))</f>
        <v/>
      </c>
    </row>
    <row r="109" customFormat="false" ht="15" hidden="false" customHeight="true" outlineLevel="0" collapsed="false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2" t="str">
        <f aca="false">IF($A109="","",IF(B109=0,20,IF(B109=1,15,IF(B109=2,10,IF(B109=3,5,0))))+IF(C109="否",20,0)+IF(D109="是",20,0)+IF(E109=1,20,IF(E109=2,15,IF(E109=3,10,IF(E109=4,5,0))))+IF(F109="否",20,0))</f>
        <v/>
      </c>
      <c r="L109" s="63" t="str">
        <f aca="false">IF($A109="","",IF(K109&gt;=80,"达标","未达标"))</f>
        <v/>
      </c>
      <c r="M109" s="64" t="str">
        <f aca="false">IF($A109="","",IFERROR(AVERAGEIFS(K$2:K109,WEEKNUM(A$2:A109,2),WEEKNUM(A109,2)),K109))</f>
        <v/>
      </c>
      <c r="N109" s="65" t="str">
        <f aca="false">IF($A109="","",IFERROR(COUNTIFS(A$2:A109,"&lt;&gt;",L$2:L109,"达标",WEEKNUM(A$2:A109,2),WEEKNUM(A109,2)),0))</f>
        <v/>
      </c>
      <c r="O109" s="62" t="str">
        <f aca="false">IF($A109="","",IF(L109="达标",IF(ROW()=2,1,IF(O108="",1,O108+1)),0))</f>
        <v/>
      </c>
      <c r="P109" s="63" t="str">
        <f aca="false">IF($A109="","",IF(ROW()&lt;=8,"基准周",IF(K109&gt;K102,"改善",IF(K109&lt;K102,"恶化","持平"))))</f>
        <v/>
      </c>
    </row>
    <row r="110" customFormat="false" ht="15" hidden="false" customHeight="true" outlineLevel="0" collapsed="false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2" t="str">
        <f aca="false">IF($A110="","",IF(B110=0,20,IF(B110=1,15,IF(B110=2,10,IF(B110=3,5,0))))+IF(C110="否",20,0)+IF(D110="是",20,0)+IF(E110=1,20,IF(E110=2,15,IF(E110=3,10,IF(E110=4,5,0))))+IF(F110="否",20,0))</f>
        <v/>
      </c>
      <c r="L110" s="63" t="str">
        <f aca="false">IF($A110="","",IF(K110&gt;=80,"达标","未达标"))</f>
        <v/>
      </c>
      <c r="M110" s="64" t="str">
        <f aca="false">IF($A110="","",IFERROR(AVERAGEIFS(K$2:K110,WEEKNUM(A$2:A110,2),WEEKNUM(A110,2)),K110))</f>
        <v/>
      </c>
      <c r="N110" s="65" t="str">
        <f aca="false">IF($A110="","",IFERROR(COUNTIFS(A$2:A110,"&lt;&gt;",L$2:L110,"达标",WEEKNUM(A$2:A110,2),WEEKNUM(A110,2)),0))</f>
        <v/>
      </c>
      <c r="O110" s="62" t="str">
        <f aca="false">IF($A110="","",IF(L110="达标",IF(ROW()=2,1,IF(O109="",1,O109+1)),0))</f>
        <v/>
      </c>
      <c r="P110" s="63" t="str">
        <f aca="false">IF($A110="","",IF(ROW()&lt;=8,"基准周",IF(K110&gt;K103,"改善",IF(K110&lt;K103,"恶化","持平"))))</f>
        <v/>
      </c>
    </row>
    <row r="111" customFormat="false" ht="15" hidden="false" customHeight="true" outlineLevel="0" collapsed="false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2" t="str">
        <f aca="false">IF($A111="","",IF(B111=0,20,IF(B111=1,15,IF(B111=2,10,IF(B111=3,5,0))))+IF(C111="否",20,0)+IF(D111="是",20,0)+IF(E111=1,20,IF(E111=2,15,IF(E111=3,10,IF(E111=4,5,0))))+IF(F111="否",20,0))</f>
        <v/>
      </c>
      <c r="L111" s="63" t="str">
        <f aca="false">IF($A111="","",IF(K111&gt;=80,"达标","未达标"))</f>
        <v/>
      </c>
      <c r="M111" s="64" t="str">
        <f aca="false">IF($A111="","",IFERROR(AVERAGEIFS(K$2:K111,WEEKNUM(A$2:A111,2),WEEKNUM(A111,2)),K111))</f>
        <v/>
      </c>
      <c r="N111" s="65" t="str">
        <f aca="false">IF($A111="","",IFERROR(COUNTIFS(A$2:A111,"&lt;&gt;",L$2:L111,"达标",WEEKNUM(A$2:A111,2),WEEKNUM(A111,2)),0))</f>
        <v/>
      </c>
      <c r="O111" s="62" t="str">
        <f aca="false">IF($A111="","",IF(L111="达标",IF(ROW()=2,1,IF(O110="",1,O110+1)),0))</f>
        <v/>
      </c>
      <c r="P111" s="63" t="str">
        <f aca="false">IF($A111="","",IF(ROW()&lt;=8,"基准周",IF(K111&gt;K104,"改善",IF(K111&lt;K104,"恶化","持平"))))</f>
        <v/>
      </c>
    </row>
    <row r="112" customFormat="false" ht="15" hidden="false" customHeight="true" outlineLevel="0" collapsed="false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2" t="str">
        <f aca="false">IF($A112="","",IF(B112=0,20,IF(B112=1,15,IF(B112=2,10,IF(B112=3,5,0))))+IF(C112="否",20,0)+IF(D112="是",20,0)+IF(E112=1,20,IF(E112=2,15,IF(E112=3,10,IF(E112=4,5,0))))+IF(F112="否",20,0))</f>
        <v/>
      </c>
      <c r="L112" s="63" t="str">
        <f aca="false">IF($A112="","",IF(K112&gt;=80,"达标","未达标"))</f>
        <v/>
      </c>
      <c r="M112" s="64" t="str">
        <f aca="false">IF($A112="","",IFERROR(AVERAGEIFS(K$2:K112,WEEKNUM(A$2:A112,2),WEEKNUM(A112,2)),K112))</f>
        <v/>
      </c>
      <c r="N112" s="65" t="str">
        <f aca="false">IF($A112="","",IFERROR(COUNTIFS(A$2:A112,"&lt;&gt;",L$2:L112,"达标",WEEKNUM(A$2:A112,2),WEEKNUM(A112,2)),0))</f>
        <v/>
      </c>
      <c r="O112" s="62" t="str">
        <f aca="false">IF($A112="","",IF(L112="达标",IF(ROW()=2,1,IF(O111="",1,O111+1)),0))</f>
        <v/>
      </c>
      <c r="P112" s="63" t="str">
        <f aca="false">IF($A112="","",IF(ROW()&lt;=8,"基准周",IF(K112&gt;K105,"改善",IF(K112&lt;K105,"恶化","持平"))))</f>
        <v/>
      </c>
    </row>
    <row r="113" customFormat="false" ht="15" hidden="false" customHeight="true" outlineLevel="0" collapsed="false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2" t="str">
        <f aca="false">IF($A113="","",IF(B113=0,20,IF(B113=1,15,IF(B113=2,10,IF(B113=3,5,0))))+IF(C113="否",20,0)+IF(D113="是",20,0)+IF(E113=1,20,IF(E113=2,15,IF(E113=3,10,IF(E113=4,5,0))))+IF(F113="否",20,0))</f>
        <v/>
      </c>
      <c r="L113" s="63" t="str">
        <f aca="false">IF($A113="","",IF(K113&gt;=80,"达标","未达标"))</f>
        <v/>
      </c>
      <c r="M113" s="64" t="str">
        <f aca="false">IF($A113="","",IFERROR(AVERAGEIFS(K$2:K113,WEEKNUM(A$2:A113,2),WEEKNUM(A113,2)),K113))</f>
        <v/>
      </c>
      <c r="N113" s="65" t="str">
        <f aca="false">IF($A113="","",IFERROR(COUNTIFS(A$2:A113,"&lt;&gt;",L$2:L113,"达标",WEEKNUM(A$2:A113,2),WEEKNUM(A113,2)),0))</f>
        <v/>
      </c>
      <c r="O113" s="62" t="str">
        <f aca="false">IF($A113="","",IF(L113="达标",IF(ROW()=2,1,IF(O112="",1,O112+1)),0))</f>
        <v/>
      </c>
      <c r="P113" s="63" t="str">
        <f aca="false">IF($A113="","",IF(ROW()&lt;=8,"基准周",IF(K113&gt;K106,"改善",IF(K113&lt;K106,"恶化","持平"))))</f>
        <v/>
      </c>
    </row>
    <row r="114" customFormat="false" ht="15" hidden="false" customHeight="true" outlineLevel="0" collapsed="false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2" t="str">
        <f aca="false">IF($A114="","",IF(B114=0,20,IF(B114=1,15,IF(B114=2,10,IF(B114=3,5,0))))+IF(C114="否",20,0)+IF(D114="是",20,0)+IF(E114=1,20,IF(E114=2,15,IF(E114=3,10,IF(E114=4,5,0))))+IF(F114="否",20,0))</f>
        <v/>
      </c>
      <c r="L114" s="63" t="str">
        <f aca="false">IF($A114="","",IF(K114&gt;=80,"达标","未达标"))</f>
        <v/>
      </c>
      <c r="M114" s="64" t="str">
        <f aca="false">IF($A114="","",IFERROR(AVERAGEIFS(K$2:K114,WEEKNUM(A$2:A114,2),WEEKNUM(A114,2)),K114))</f>
        <v/>
      </c>
      <c r="N114" s="65" t="str">
        <f aca="false">IF($A114="","",IFERROR(COUNTIFS(A$2:A114,"&lt;&gt;",L$2:L114,"达标",WEEKNUM(A$2:A114,2),WEEKNUM(A114,2)),0))</f>
        <v/>
      </c>
      <c r="O114" s="62" t="str">
        <f aca="false">IF($A114="","",IF(L114="达标",IF(ROW()=2,1,IF(O113="",1,O113+1)),0))</f>
        <v/>
      </c>
      <c r="P114" s="63" t="str">
        <f aca="false">IF($A114="","",IF(ROW()&lt;=8,"基准周",IF(K114&gt;K107,"改善",IF(K114&lt;K107,"恶化","持平"))))</f>
        <v/>
      </c>
    </row>
    <row r="115" customFormat="false" ht="15" hidden="false" customHeight="true" outlineLevel="0" collapsed="false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2" t="str">
        <f aca="false">IF($A115="","",IF(B115=0,20,IF(B115=1,15,IF(B115=2,10,IF(B115=3,5,0))))+IF(C115="否",20,0)+IF(D115="是",20,0)+IF(E115=1,20,IF(E115=2,15,IF(E115=3,10,IF(E115=4,5,0))))+IF(F115="否",20,0))</f>
        <v/>
      </c>
      <c r="L115" s="63" t="str">
        <f aca="false">IF($A115="","",IF(K115&gt;=80,"达标","未达标"))</f>
        <v/>
      </c>
      <c r="M115" s="64" t="str">
        <f aca="false">IF($A115="","",IFERROR(AVERAGEIFS(K$2:K115,WEEKNUM(A$2:A115,2),WEEKNUM(A115,2)),K115))</f>
        <v/>
      </c>
      <c r="N115" s="65" t="str">
        <f aca="false">IF($A115="","",IFERROR(COUNTIFS(A$2:A115,"&lt;&gt;",L$2:L115,"达标",WEEKNUM(A$2:A115,2),WEEKNUM(A115,2)),0))</f>
        <v/>
      </c>
      <c r="O115" s="62" t="str">
        <f aca="false">IF($A115="","",IF(L115="达标",IF(ROW()=2,1,IF(O114="",1,O114+1)),0))</f>
        <v/>
      </c>
      <c r="P115" s="63" t="str">
        <f aca="false">IF($A115="","",IF(ROW()&lt;=8,"基准周",IF(K115&gt;K108,"改善",IF(K115&lt;K108,"恶化","持平"))))</f>
        <v/>
      </c>
    </row>
    <row r="116" customFormat="false" ht="15" hidden="false" customHeight="true" outlineLevel="0" collapsed="false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2" t="str">
        <f aca="false">IF($A116="","",IF(B116=0,20,IF(B116=1,15,IF(B116=2,10,IF(B116=3,5,0))))+IF(C116="否",20,0)+IF(D116="是",20,0)+IF(E116=1,20,IF(E116=2,15,IF(E116=3,10,IF(E116=4,5,0))))+IF(F116="否",20,0))</f>
        <v/>
      </c>
      <c r="L116" s="63" t="str">
        <f aca="false">IF($A116="","",IF(K116&gt;=80,"达标","未达标"))</f>
        <v/>
      </c>
      <c r="M116" s="64" t="str">
        <f aca="false">IF($A116="","",IFERROR(AVERAGEIFS(K$2:K116,WEEKNUM(A$2:A116,2),WEEKNUM(A116,2)),K116))</f>
        <v/>
      </c>
      <c r="N116" s="65" t="str">
        <f aca="false">IF($A116="","",IFERROR(COUNTIFS(A$2:A116,"&lt;&gt;",L$2:L116,"达标",WEEKNUM(A$2:A116,2),WEEKNUM(A116,2)),0))</f>
        <v/>
      </c>
      <c r="O116" s="62" t="str">
        <f aca="false">IF($A116="","",IF(L116="达标",IF(ROW()=2,1,IF(O115="",1,O115+1)),0))</f>
        <v/>
      </c>
      <c r="P116" s="63" t="str">
        <f aca="false">IF($A116="","",IF(ROW()&lt;=8,"基准周",IF(K116&gt;K109,"改善",IF(K116&lt;K109,"恶化","持平"))))</f>
        <v/>
      </c>
    </row>
    <row r="117" customFormat="false" ht="15" hidden="false" customHeight="true" outlineLevel="0" collapsed="false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2" t="str">
        <f aca="false">IF($A117="","",IF(B117=0,20,IF(B117=1,15,IF(B117=2,10,IF(B117=3,5,0))))+IF(C117="否",20,0)+IF(D117="是",20,0)+IF(E117=1,20,IF(E117=2,15,IF(E117=3,10,IF(E117=4,5,0))))+IF(F117="否",20,0))</f>
        <v/>
      </c>
      <c r="L117" s="63" t="str">
        <f aca="false">IF($A117="","",IF(K117&gt;=80,"达标","未达标"))</f>
        <v/>
      </c>
      <c r="M117" s="64" t="str">
        <f aca="false">IF($A117="","",IFERROR(AVERAGEIFS(K$2:K117,WEEKNUM(A$2:A117,2),WEEKNUM(A117,2)),K117))</f>
        <v/>
      </c>
      <c r="N117" s="65" t="str">
        <f aca="false">IF($A117="","",IFERROR(COUNTIFS(A$2:A117,"&lt;&gt;",L$2:L117,"达标",WEEKNUM(A$2:A117,2),WEEKNUM(A117,2)),0))</f>
        <v/>
      </c>
      <c r="O117" s="62" t="str">
        <f aca="false">IF($A117="","",IF(L117="达标",IF(ROW()=2,1,IF(O116="",1,O116+1)),0))</f>
        <v/>
      </c>
      <c r="P117" s="63" t="str">
        <f aca="false">IF($A117="","",IF(ROW()&lt;=8,"基准周",IF(K117&gt;K110,"改善",IF(K117&lt;K110,"恶化","持平"))))</f>
        <v/>
      </c>
    </row>
    <row r="118" customFormat="false" ht="15" hidden="false" customHeight="true" outlineLevel="0" collapsed="false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2" t="str">
        <f aca="false">IF($A118="","",IF(B118=0,20,IF(B118=1,15,IF(B118=2,10,IF(B118=3,5,0))))+IF(C118="否",20,0)+IF(D118="是",20,0)+IF(E118=1,20,IF(E118=2,15,IF(E118=3,10,IF(E118=4,5,0))))+IF(F118="否",20,0))</f>
        <v/>
      </c>
      <c r="L118" s="63" t="str">
        <f aca="false">IF($A118="","",IF(K118&gt;=80,"达标","未达标"))</f>
        <v/>
      </c>
      <c r="M118" s="64" t="str">
        <f aca="false">IF($A118="","",IFERROR(AVERAGEIFS(K$2:K118,WEEKNUM(A$2:A118,2),WEEKNUM(A118,2)),K118))</f>
        <v/>
      </c>
      <c r="N118" s="65" t="str">
        <f aca="false">IF($A118="","",IFERROR(COUNTIFS(A$2:A118,"&lt;&gt;",L$2:L118,"达标",WEEKNUM(A$2:A118,2),WEEKNUM(A118,2)),0))</f>
        <v/>
      </c>
      <c r="O118" s="62" t="str">
        <f aca="false">IF($A118="","",IF(L118="达标",IF(ROW()=2,1,IF(O117="",1,O117+1)),0))</f>
        <v/>
      </c>
      <c r="P118" s="63" t="str">
        <f aca="false">IF($A118="","",IF(ROW()&lt;=8,"基准周",IF(K118&gt;K111,"改善",IF(K118&lt;K111,"恶化","持平"))))</f>
        <v/>
      </c>
    </row>
    <row r="119" customFormat="false" ht="15" hidden="false" customHeight="true" outlineLevel="0" collapsed="false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2" t="str">
        <f aca="false">IF($A119="","",IF(B119=0,20,IF(B119=1,15,IF(B119=2,10,IF(B119=3,5,0))))+IF(C119="否",20,0)+IF(D119="是",20,0)+IF(E119=1,20,IF(E119=2,15,IF(E119=3,10,IF(E119=4,5,0))))+IF(F119="否",20,0))</f>
        <v/>
      </c>
      <c r="L119" s="63" t="str">
        <f aca="false">IF($A119="","",IF(K119&gt;=80,"达标","未达标"))</f>
        <v/>
      </c>
      <c r="M119" s="64" t="str">
        <f aca="false">IF($A119="","",IFERROR(AVERAGEIFS(K$2:K119,WEEKNUM(A$2:A119,2),WEEKNUM(A119,2)),K119))</f>
        <v/>
      </c>
      <c r="N119" s="65" t="str">
        <f aca="false">IF($A119="","",IFERROR(COUNTIFS(A$2:A119,"&lt;&gt;",L$2:L119,"达标",WEEKNUM(A$2:A119,2),WEEKNUM(A119,2)),0))</f>
        <v/>
      </c>
      <c r="O119" s="62" t="str">
        <f aca="false">IF($A119="","",IF(L119="达标",IF(ROW()=2,1,IF(O118="",1,O118+1)),0))</f>
        <v/>
      </c>
      <c r="P119" s="63" t="str">
        <f aca="false">IF($A119="","",IF(ROW()&lt;=8,"基准周",IF(K119&gt;K112,"改善",IF(K119&lt;K112,"恶化","持平"))))</f>
        <v/>
      </c>
    </row>
    <row r="120" customFormat="false" ht="15" hidden="false" customHeight="true" outlineLevel="0" collapsed="false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2" t="str">
        <f aca="false">IF($A120="","",IF(B120=0,20,IF(B120=1,15,IF(B120=2,10,IF(B120=3,5,0))))+IF(C120="否",20,0)+IF(D120="是",20,0)+IF(E120=1,20,IF(E120=2,15,IF(E120=3,10,IF(E120=4,5,0))))+IF(F120="否",20,0))</f>
        <v/>
      </c>
      <c r="L120" s="63" t="str">
        <f aca="false">IF($A120="","",IF(K120&gt;=80,"达标","未达标"))</f>
        <v/>
      </c>
      <c r="M120" s="64" t="str">
        <f aca="false">IF($A120="","",IFERROR(AVERAGEIFS(K$2:K120,WEEKNUM(A$2:A120,2),WEEKNUM(A120,2)),K120))</f>
        <v/>
      </c>
      <c r="N120" s="65" t="str">
        <f aca="false">IF($A120="","",IFERROR(COUNTIFS(A$2:A120,"&lt;&gt;",L$2:L120,"达标",WEEKNUM(A$2:A120,2),WEEKNUM(A120,2)),0))</f>
        <v/>
      </c>
      <c r="O120" s="62" t="str">
        <f aca="false">IF($A120="","",IF(L120="达标",IF(ROW()=2,1,IF(O119="",1,O119+1)),0))</f>
        <v/>
      </c>
      <c r="P120" s="63" t="str">
        <f aca="false">IF($A120="","",IF(ROW()&lt;=8,"基准周",IF(K120&gt;K113,"改善",IF(K120&lt;K113,"恶化","持平"))))</f>
        <v/>
      </c>
    </row>
    <row r="121" customFormat="false" ht="15" hidden="false" customHeight="true" outlineLevel="0" collapsed="false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2" t="str">
        <f aca="false">IF($A121="","",IF(B121=0,20,IF(B121=1,15,IF(B121=2,10,IF(B121=3,5,0))))+IF(C121="否",20,0)+IF(D121="是",20,0)+IF(E121=1,20,IF(E121=2,15,IF(E121=3,10,IF(E121=4,5,0))))+IF(F121="否",20,0))</f>
        <v/>
      </c>
      <c r="L121" s="63" t="str">
        <f aca="false">IF($A121="","",IF(K121&gt;=80,"达标","未达标"))</f>
        <v/>
      </c>
      <c r="M121" s="64" t="str">
        <f aca="false">IF($A121="","",IFERROR(AVERAGEIFS(K$2:K121,WEEKNUM(A$2:A121,2),WEEKNUM(A121,2)),K121))</f>
        <v/>
      </c>
      <c r="N121" s="65" t="str">
        <f aca="false">IF($A121="","",IFERROR(COUNTIFS(A$2:A121,"&lt;&gt;",L$2:L121,"达标",WEEKNUM(A$2:A121,2),WEEKNUM(A121,2)),0))</f>
        <v/>
      </c>
      <c r="O121" s="62" t="str">
        <f aca="false">IF($A121="","",IF(L121="达标",IF(ROW()=2,1,IF(O120="",1,O120+1)),0))</f>
        <v/>
      </c>
      <c r="P121" s="63" t="str">
        <f aca="false">IF($A121="","",IF(ROW()&lt;=8,"基准周",IF(K121&gt;K114,"改善",IF(K121&lt;K114,"恶化","持平"))))</f>
        <v/>
      </c>
    </row>
    <row r="122" customFormat="false" ht="15" hidden="false" customHeight="true" outlineLevel="0" collapsed="false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2" t="str">
        <f aca="false">IF($A122="","",IF(B122=0,20,IF(B122=1,15,IF(B122=2,10,IF(B122=3,5,0))))+IF(C122="否",20,0)+IF(D122="是",20,0)+IF(E122=1,20,IF(E122=2,15,IF(E122=3,10,IF(E122=4,5,0))))+IF(F122="否",20,0))</f>
        <v/>
      </c>
      <c r="L122" s="63" t="str">
        <f aca="false">IF($A122="","",IF(K122&gt;=80,"达标","未达标"))</f>
        <v/>
      </c>
      <c r="M122" s="64" t="str">
        <f aca="false">IF($A122="","",IFERROR(AVERAGEIFS(K$2:K122,WEEKNUM(A$2:A122,2),WEEKNUM(A122,2)),K122))</f>
        <v/>
      </c>
      <c r="N122" s="65" t="str">
        <f aca="false">IF($A122="","",IFERROR(COUNTIFS(A$2:A122,"&lt;&gt;",L$2:L122,"达标",WEEKNUM(A$2:A122,2),WEEKNUM(A122,2)),0))</f>
        <v/>
      </c>
      <c r="O122" s="62" t="str">
        <f aca="false">IF($A122="","",IF(L122="达标",IF(ROW()=2,1,IF(O121="",1,O121+1)),0))</f>
        <v/>
      </c>
      <c r="P122" s="63" t="str">
        <f aca="false">IF($A122="","",IF(ROW()&lt;=8,"基准周",IF(K122&gt;K115,"改善",IF(K122&lt;K115,"恶化","持平"))))</f>
        <v/>
      </c>
    </row>
    <row r="123" customFormat="false" ht="15" hidden="false" customHeight="true" outlineLevel="0" collapsed="false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2" t="str">
        <f aca="false">IF($A123="","",IF(B123=0,20,IF(B123=1,15,IF(B123=2,10,IF(B123=3,5,0))))+IF(C123="否",20,0)+IF(D123="是",20,0)+IF(E123=1,20,IF(E123=2,15,IF(E123=3,10,IF(E123=4,5,0))))+IF(F123="否",20,0))</f>
        <v/>
      </c>
      <c r="L123" s="63" t="str">
        <f aca="false">IF($A123="","",IF(K123&gt;=80,"达标","未达标"))</f>
        <v/>
      </c>
      <c r="M123" s="64" t="str">
        <f aca="false">IF($A123="","",IFERROR(AVERAGEIFS(K$2:K123,WEEKNUM(A$2:A123,2),WEEKNUM(A123,2)),K123))</f>
        <v/>
      </c>
      <c r="N123" s="65" t="str">
        <f aca="false">IF($A123="","",IFERROR(COUNTIFS(A$2:A123,"&lt;&gt;",L$2:L123,"达标",WEEKNUM(A$2:A123,2),WEEKNUM(A123,2)),0))</f>
        <v/>
      </c>
      <c r="O123" s="62" t="str">
        <f aca="false">IF($A123="","",IF(L123="达标",IF(ROW()=2,1,IF(O122="",1,O122+1)),0))</f>
        <v/>
      </c>
      <c r="P123" s="63" t="str">
        <f aca="false">IF($A123="","",IF(ROW()&lt;=8,"基准周",IF(K123&gt;K116,"改善",IF(K123&lt;K116,"恶化","持平"))))</f>
        <v/>
      </c>
    </row>
    <row r="124" customFormat="false" ht="15" hidden="false" customHeight="true" outlineLevel="0" collapsed="false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2" t="str">
        <f aca="false">IF($A124="","",IF(B124=0,20,IF(B124=1,15,IF(B124=2,10,IF(B124=3,5,0))))+IF(C124="否",20,0)+IF(D124="是",20,0)+IF(E124=1,20,IF(E124=2,15,IF(E124=3,10,IF(E124=4,5,0))))+IF(F124="否",20,0))</f>
        <v/>
      </c>
      <c r="L124" s="63" t="str">
        <f aca="false">IF($A124="","",IF(K124&gt;=80,"达标","未达标"))</f>
        <v/>
      </c>
      <c r="M124" s="64" t="str">
        <f aca="false">IF($A124="","",IFERROR(AVERAGEIFS(K$2:K124,WEEKNUM(A$2:A124,2),WEEKNUM(A124,2)),K124))</f>
        <v/>
      </c>
      <c r="N124" s="65" t="str">
        <f aca="false">IF($A124="","",IFERROR(COUNTIFS(A$2:A124,"&lt;&gt;",L$2:L124,"达标",WEEKNUM(A$2:A124,2),WEEKNUM(A124,2)),0))</f>
        <v/>
      </c>
      <c r="O124" s="62" t="str">
        <f aca="false">IF($A124="","",IF(L124="达标",IF(ROW()=2,1,IF(O123="",1,O123+1)),0))</f>
        <v/>
      </c>
      <c r="P124" s="63" t="str">
        <f aca="false">IF($A124="","",IF(ROW()&lt;=8,"基准周",IF(K124&gt;K117,"改善",IF(K124&lt;K117,"恶化","持平"))))</f>
        <v/>
      </c>
    </row>
    <row r="125" customFormat="false" ht="15" hidden="false" customHeight="true" outlineLevel="0" collapsed="false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2" t="str">
        <f aca="false">IF($A125="","",IF(B125=0,20,IF(B125=1,15,IF(B125=2,10,IF(B125=3,5,0))))+IF(C125="否",20,0)+IF(D125="是",20,0)+IF(E125=1,20,IF(E125=2,15,IF(E125=3,10,IF(E125=4,5,0))))+IF(F125="否",20,0))</f>
        <v/>
      </c>
      <c r="L125" s="63" t="str">
        <f aca="false">IF($A125="","",IF(K125&gt;=80,"达标","未达标"))</f>
        <v/>
      </c>
      <c r="M125" s="64" t="str">
        <f aca="false">IF($A125="","",IFERROR(AVERAGEIFS(K$2:K125,WEEKNUM(A$2:A125,2),WEEKNUM(A125,2)),K125))</f>
        <v/>
      </c>
      <c r="N125" s="65" t="str">
        <f aca="false">IF($A125="","",IFERROR(COUNTIFS(A$2:A125,"&lt;&gt;",L$2:L125,"达标",WEEKNUM(A$2:A125,2),WEEKNUM(A125,2)),0))</f>
        <v/>
      </c>
      <c r="O125" s="62" t="str">
        <f aca="false">IF($A125="","",IF(L125="达标",IF(ROW()=2,1,IF(O124="",1,O124+1)),0))</f>
        <v/>
      </c>
      <c r="P125" s="63" t="str">
        <f aca="false">IF($A125="","",IF(ROW()&lt;=8,"基准周",IF(K125&gt;K118,"改善",IF(K125&lt;K118,"恶化","持平"))))</f>
        <v/>
      </c>
    </row>
    <row r="126" customFormat="false" ht="15" hidden="false" customHeight="true" outlineLevel="0" collapsed="false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2" t="str">
        <f aca="false">IF($A126="","",IF(B126=0,20,IF(B126=1,15,IF(B126=2,10,IF(B126=3,5,0))))+IF(C126="否",20,0)+IF(D126="是",20,0)+IF(E126=1,20,IF(E126=2,15,IF(E126=3,10,IF(E126=4,5,0))))+IF(F126="否",20,0))</f>
        <v/>
      </c>
      <c r="L126" s="63" t="str">
        <f aca="false">IF($A126="","",IF(K126&gt;=80,"达标","未达标"))</f>
        <v/>
      </c>
      <c r="M126" s="64" t="str">
        <f aca="false">IF($A126="","",IFERROR(AVERAGEIFS(K$2:K126,WEEKNUM(A$2:A126,2),WEEKNUM(A126,2)),K126))</f>
        <v/>
      </c>
      <c r="N126" s="65" t="str">
        <f aca="false">IF($A126="","",IFERROR(COUNTIFS(A$2:A126,"&lt;&gt;",L$2:L126,"达标",WEEKNUM(A$2:A126,2),WEEKNUM(A126,2)),0))</f>
        <v/>
      </c>
      <c r="O126" s="62" t="str">
        <f aca="false">IF($A126="","",IF(L126="达标",IF(ROW()=2,1,IF(O125="",1,O125+1)),0))</f>
        <v/>
      </c>
      <c r="P126" s="63" t="str">
        <f aca="false">IF($A126="","",IF(ROW()&lt;=8,"基准周",IF(K126&gt;K119,"改善",IF(K126&lt;K119,"恶化","持平"))))</f>
        <v/>
      </c>
    </row>
    <row r="127" customFormat="false" ht="15" hidden="false" customHeight="true" outlineLevel="0" collapsed="false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2" t="str">
        <f aca="false">IF($A127="","",IF(B127=0,20,IF(B127=1,15,IF(B127=2,10,IF(B127=3,5,0))))+IF(C127="否",20,0)+IF(D127="是",20,0)+IF(E127=1,20,IF(E127=2,15,IF(E127=3,10,IF(E127=4,5,0))))+IF(F127="否",20,0))</f>
        <v/>
      </c>
      <c r="L127" s="63" t="str">
        <f aca="false">IF($A127="","",IF(K127&gt;=80,"达标","未达标"))</f>
        <v/>
      </c>
      <c r="M127" s="64" t="str">
        <f aca="false">IF($A127="","",IFERROR(AVERAGEIFS(K$2:K127,WEEKNUM(A$2:A127,2),WEEKNUM(A127,2)),K127))</f>
        <v/>
      </c>
      <c r="N127" s="65" t="str">
        <f aca="false">IF($A127="","",IFERROR(COUNTIFS(A$2:A127,"&lt;&gt;",L$2:L127,"达标",WEEKNUM(A$2:A127,2),WEEKNUM(A127,2)),0))</f>
        <v/>
      </c>
      <c r="O127" s="62" t="str">
        <f aca="false">IF($A127="","",IF(L127="达标",IF(ROW()=2,1,IF(O126="",1,O126+1)),0))</f>
        <v/>
      </c>
      <c r="P127" s="63" t="str">
        <f aca="false">IF($A127="","",IF(ROW()&lt;=8,"基准周",IF(K127&gt;K120,"改善",IF(K127&lt;K120,"恶化","持平"))))</f>
        <v/>
      </c>
    </row>
    <row r="128" customFormat="false" ht="15" hidden="false" customHeight="true" outlineLevel="0" collapsed="false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2" t="str">
        <f aca="false">IF($A128="","",IF(B128=0,20,IF(B128=1,15,IF(B128=2,10,IF(B128=3,5,0))))+IF(C128="否",20,0)+IF(D128="是",20,0)+IF(E128=1,20,IF(E128=2,15,IF(E128=3,10,IF(E128=4,5,0))))+IF(F128="否",20,0))</f>
        <v/>
      </c>
      <c r="L128" s="63" t="str">
        <f aca="false">IF($A128="","",IF(K128&gt;=80,"达标","未达标"))</f>
        <v/>
      </c>
      <c r="M128" s="64" t="str">
        <f aca="false">IF($A128="","",IFERROR(AVERAGEIFS(K$2:K128,WEEKNUM(A$2:A128,2),WEEKNUM(A128,2)),K128))</f>
        <v/>
      </c>
      <c r="N128" s="65" t="str">
        <f aca="false">IF($A128="","",IFERROR(COUNTIFS(A$2:A128,"&lt;&gt;",L$2:L128,"达标",WEEKNUM(A$2:A128,2),WEEKNUM(A128,2)),0))</f>
        <v/>
      </c>
      <c r="O128" s="62" t="str">
        <f aca="false">IF($A128="","",IF(L128="达标",IF(ROW()=2,1,IF(O127="",1,O127+1)),0))</f>
        <v/>
      </c>
      <c r="P128" s="63" t="str">
        <f aca="false">IF($A128="","",IF(ROW()&lt;=8,"基准周",IF(K128&gt;K121,"改善",IF(K128&lt;K121,"恶化","持平"))))</f>
        <v/>
      </c>
    </row>
    <row r="129" customFormat="false" ht="15" hidden="false" customHeight="true" outlineLevel="0" collapsed="false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2" t="str">
        <f aca="false">IF($A129="","",IF(B129=0,20,IF(B129=1,15,IF(B129=2,10,IF(B129=3,5,0))))+IF(C129="否",20,0)+IF(D129="是",20,0)+IF(E129=1,20,IF(E129=2,15,IF(E129=3,10,IF(E129=4,5,0))))+IF(F129="否",20,0))</f>
        <v/>
      </c>
      <c r="L129" s="63" t="str">
        <f aca="false">IF($A129="","",IF(K129&gt;=80,"达标","未达标"))</f>
        <v/>
      </c>
      <c r="M129" s="64" t="str">
        <f aca="false">IF($A129="","",IFERROR(AVERAGEIFS(K$2:K129,WEEKNUM(A$2:A129,2),WEEKNUM(A129,2)),K129))</f>
        <v/>
      </c>
      <c r="N129" s="65" t="str">
        <f aca="false">IF($A129="","",IFERROR(COUNTIFS(A$2:A129,"&lt;&gt;",L$2:L129,"达标",WEEKNUM(A$2:A129,2),WEEKNUM(A129,2)),0))</f>
        <v/>
      </c>
      <c r="O129" s="62" t="str">
        <f aca="false">IF($A129="","",IF(L129="达标",IF(ROW()=2,1,IF(O128="",1,O128+1)),0))</f>
        <v/>
      </c>
      <c r="P129" s="63" t="str">
        <f aca="false">IF($A129="","",IF(ROW()&lt;=8,"基准周",IF(K129&gt;K122,"改善",IF(K129&lt;K122,"恶化","持平"))))</f>
        <v/>
      </c>
    </row>
    <row r="130" customFormat="false" ht="15" hidden="false" customHeight="true" outlineLevel="0" collapsed="false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2" t="str">
        <f aca="false">IF($A130="","",IF(B130=0,20,IF(B130=1,15,IF(B130=2,10,IF(B130=3,5,0))))+IF(C130="否",20,0)+IF(D130="是",20,0)+IF(E130=1,20,IF(E130=2,15,IF(E130=3,10,IF(E130=4,5,0))))+IF(F130="否",20,0))</f>
        <v/>
      </c>
      <c r="L130" s="63" t="str">
        <f aca="false">IF($A130="","",IF(K130&gt;=80,"达标","未达标"))</f>
        <v/>
      </c>
      <c r="M130" s="64" t="str">
        <f aca="false">IF($A130="","",IFERROR(AVERAGEIFS(K$2:K130,WEEKNUM(A$2:A130,2),WEEKNUM(A130,2)),K130))</f>
        <v/>
      </c>
      <c r="N130" s="65" t="str">
        <f aca="false">IF($A130="","",IFERROR(COUNTIFS(A$2:A130,"&lt;&gt;",L$2:L130,"达标",WEEKNUM(A$2:A130,2),WEEKNUM(A130,2)),0))</f>
        <v/>
      </c>
      <c r="O130" s="62" t="str">
        <f aca="false">IF($A130="","",IF(L130="达标",IF(ROW()=2,1,IF(O129="",1,O129+1)),0))</f>
        <v/>
      </c>
      <c r="P130" s="63" t="str">
        <f aca="false">IF($A130="","",IF(ROW()&lt;=8,"基准周",IF(K130&gt;K123,"改善",IF(K130&lt;K123,"恶化","持平"))))</f>
        <v/>
      </c>
    </row>
    <row r="131" customFormat="false" ht="15" hidden="false" customHeight="true" outlineLevel="0" collapsed="false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2" t="str">
        <f aca="false">IF($A131="","",IF(B131=0,20,IF(B131=1,15,IF(B131=2,10,IF(B131=3,5,0))))+IF(C131="否",20,0)+IF(D131="是",20,0)+IF(E131=1,20,IF(E131=2,15,IF(E131=3,10,IF(E131=4,5,0))))+IF(F131="否",20,0))</f>
        <v/>
      </c>
      <c r="L131" s="63" t="str">
        <f aca="false">IF($A131="","",IF(K131&gt;=80,"达标","未达标"))</f>
        <v/>
      </c>
      <c r="M131" s="64" t="str">
        <f aca="false">IF($A131="","",IFERROR(AVERAGEIFS(K$2:K131,WEEKNUM(A$2:A131,2),WEEKNUM(A131,2)),K131))</f>
        <v/>
      </c>
      <c r="N131" s="65" t="str">
        <f aca="false">IF($A131="","",IFERROR(COUNTIFS(A$2:A131,"&lt;&gt;",L$2:L131,"达标",WEEKNUM(A$2:A131,2),WEEKNUM(A131,2)),0))</f>
        <v/>
      </c>
      <c r="O131" s="62" t="str">
        <f aca="false">IF($A131="","",IF(L131="达标",IF(ROW()=2,1,IF(O130="",1,O130+1)),0))</f>
        <v/>
      </c>
      <c r="P131" s="63" t="str">
        <f aca="false">IF($A131="","",IF(ROW()&lt;=8,"基准周",IF(K131&gt;K124,"改善",IF(K131&lt;K124,"恶化","持平"))))</f>
        <v/>
      </c>
    </row>
    <row r="132" customFormat="false" ht="15" hidden="false" customHeight="true" outlineLevel="0" collapsed="false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2" t="str">
        <f aca="false">IF($A132="","",IF(B132=0,20,IF(B132=1,15,IF(B132=2,10,IF(B132=3,5,0))))+IF(C132="否",20,0)+IF(D132="是",20,0)+IF(E132=1,20,IF(E132=2,15,IF(E132=3,10,IF(E132=4,5,0))))+IF(F132="否",20,0))</f>
        <v/>
      </c>
      <c r="L132" s="63" t="str">
        <f aca="false">IF($A132="","",IF(K132&gt;=80,"达标","未达标"))</f>
        <v/>
      </c>
      <c r="M132" s="64" t="str">
        <f aca="false">IF($A132="","",IFERROR(AVERAGEIFS(K$2:K132,WEEKNUM(A$2:A132,2),WEEKNUM(A132,2)),K132))</f>
        <v/>
      </c>
      <c r="N132" s="65" t="str">
        <f aca="false">IF($A132="","",IFERROR(COUNTIFS(A$2:A132,"&lt;&gt;",L$2:L132,"达标",WEEKNUM(A$2:A132,2),WEEKNUM(A132,2)),0))</f>
        <v/>
      </c>
      <c r="O132" s="62" t="str">
        <f aca="false">IF($A132="","",IF(L132="达标",IF(ROW()=2,1,IF(O131="",1,O131+1)),0))</f>
        <v/>
      </c>
      <c r="P132" s="63" t="str">
        <f aca="false">IF($A132="","",IF(ROW()&lt;=8,"基准周",IF(K132&gt;K125,"改善",IF(K132&lt;K125,"恶化","持平"))))</f>
        <v/>
      </c>
    </row>
    <row r="133" customFormat="false" ht="15" hidden="false" customHeight="true" outlineLevel="0" collapsed="false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2" t="str">
        <f aca="false">IF($A133="","",IF(B133=0,20,IF(B133=1,15,IF(B133=2,10,IF(B133=3,5,0))))+IF(C133="否",20,0)+IF(D133="是",20,0)+IF(E133=1,20,IF(E133=2,15,IF(E133=3,10,IF(E133=4,5,0))))+IF(F133="否",20,0))</f>
        <v/>
      </c>
      <c r="L133" s="63" t="str">
        <f aca="false">IF($A133="","",IF(K133&gt;=80,"达标","未达标"))</f>
        <v/>
      </c>
      <c r="M133" s="64" t="str">
        <f aca="false">IF($A133="","",IFERROR(AVERAGEIFS(K$2:K133,WEEKNUM(A$2:A133,2),WEEKNUM(A133,2)),K133))</f>
        <v/>
      </c>
      <c r="N133" s="65" t="str">
        <f aca="false">IF($A133="","",IFERROR(COUNTIFS(A$2:A133,"&lt;&gt;",L$2:L133,"达标",WEEKNUM(A$2:A133,2),WEEKNUM(A133,2)),0))</f>
        <v/>
      </c>
      <c r="O133" s="62" t="str">
        <f aca="false">IF($A133="","",IF(L133="达标",IF(ROW()=2,1,IF(O132="",1,O132+1)),0))</f>
        <v/>
      </c>
      <c r="P133" s="63" t="str">
        <f aca="false">IF($A133="","",IF(ROW()&lt;=8,"基准周",IF(K133&gt;K126,"改善",IF(K133&lt;K126,"恶化","持平"))))</f>
        <v/>
      </c>
    </row>
    <row r="134" customFormat="false" ht="15" hidden="false" customHeight="true" outlineLevel="0" collapsed="false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2" t="str">
        <f aca="false">IF($A134="","",IF(B134=0,20,IF(B134=1,15,IF(B134=2,10,IF(B134=3,5,0))))+IF(C134="否",20,0)+IF(D134="是",20,0)+IF(E134=1,20,IF(E134=2,15,IF(E134=3,10,IF(E134=4,5,0))))+IF(F134="否",20,0))</f>
        <v/>
      </c>
      <c r="L134" s="63" t="str">
        <f aca="false">IF($A134="","",IF(K134&gt;=80,"达标","未达标"))</f>
        <v/>
      </c>
      <c r="M134" s="64" t="str">
        <f aca="false">IF($A134="","",IFERROR(AVERAGEIFS(K$2:K134,WEEKNUM(A$2:A134,2),WEEKNUM(A134,2)),K134))</f>
        <v/>
      </c>
      <c r="N134" s="65" t="str">
        <f aca="false">IF($A134="","",IFERROR(COUNTIFS(A$2:A134,"&lt;&gt;",L$2:L134,"达标",WEEKNUM(A$2:A134,2),WEEKNUM(A134,2)),0))</f>
        <v/>
      </c>
      <c r="O134" s="62" t="str">
        <f aca="false">IF($A134="","",IF(L134="达标",IF(ROW()=2,1,IF(O133="",1,O133+1)),0))</f>
        <v/>
      </c>
      <c r="P134" s="63" t="str">
        <f aca="false">IF($A134="","",IF(ROW()&lt;=8,"基准周",IF(K134&gt;K127,"改善",IF(K134&lt;K127,"恶化","持平"))))</f>
        <v/>
      </c>
    </row>
    <row r="135" customFormat="false" ht="15" hidden="false" customHeight="true" outlineLevel="0" collapsed="false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2" t="str">
        <f aca="false">IF($A135="","",IF(B135=0,20,IF(B135=1,15,IF(B135=2,10,IF(B135=3,5,0))))+IF(C135="否",20,0)+IF(D135="是",20,0)+IF(E135=1,20,IF(E135=2,15,IF(E135=3,10,IF(E135=4,5,0))))+IF(F135="否",20,0))</f>
        <v/>
      </c>
      <c r="L135" s="63" t="str">
        <f aca="false">IF($A135="","",IF(K135&gt;=80,"达标","未达标"))</f>
        <v/>
      </c>
      <c r="M135" s="64" t="str">
        <f aca="false">IF($A135="","",IFERROR(AVERAGEIFS(K$2:K135,WEEKNUM(A$2:A135,2),WEEKNUM(A135,2)),K135))</f>
        <v/>
      </c>
      <c r="N135" s="65" t="str">
        <f aca="false">IF($A135="","",IFERROR(COUNTIFS(A$2:A135,"&lt;&gt;",L$2:L135,"达标",WEEKNUM(A$2:A135,2),WEEKNUM(A135,2)),0))</f>
        <v/>
      </c>
      <c r="O135" s="62" t="str">
        <f aca="false">IF($A135="","",IF(L135="达标",IF(ROW()=2,1,IF(O134="",1,O134+1)),0))</f>
        <v/>
      </c>
      <c r="P135" s="63" t="str">
        <f aca="false">IF($A135="","",IF(ROW()&lt;=8,"基准周",IF(K135&gt;K128,"改善",IF(K135&lt;K128,"恶化","持平"))))</f>
        <v/>
      </c>
    </row>
    <row r="136" customFormat="false" ht="15" hidden="false" customHeight="true" outlineLevel="0" collapsed="false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2" t="str">
        <f aca="false">IF($A136="","",IF(B136=0,20,IF(B136=1,15,IF(B136=2,10,IF(B136=3,5,0))))+IF(C136="否",20,0)+IF(D136="是",20,0)+IF(E136=1,20,IF(E136=2,15,IF(E136=3,10,IF(E136=4,5,0))))+IF(F136="否",20,0))</f>
        <v/>
      </c>
      <c r="L136" s="63" t="str">
        <f aca="false">IF($A136="","",IF(K136&gt;=80,"达标","未达标"))</f>
        <v/>
      </c>
      <c r="M136" s="64" t="str">
        <f aca="false">IF($A136="","",IFERROR(AVERAGEIFS(K$2:K136,WEEKNUM(A$2:A136,2),WEEKNUM(A136,2)),K136))</f>
        <v/>
      </c>
      <c r="N136" s="65" t="str">
        <f aca="false">IF($A136="","",IFERROR(COUNTIFS(A$2:A136,"&lt;&gt;",L$2:L136,"达标",WEEKNUM(A$2:A136,2),WEEKNUM(A136,2)),0))</f>
        <v/>
      </c>
      <c r="O136" s="62" t="str">
        <f aca="false">IF($A136="","",IF(L136="达标",IF(ROW()=2,1,IF(O135="",1,O135+1)),0))</f>
        <v/>
      </c>
      <c r="P136" s="63" t="str">
        <f aca="false">IF($A136="","",IF(ROW()&lt;=8,"基准周",IF(K136&gt;K129,"改善",IF(K136&lt;K129,"恶化","持平"))))</f>
        <v/>
      </c>
    </row>
    <row r="137" customFormat="false" ht="15" hidden="false" customHeight="true" outlineLevel="0" collapsed="false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2" t="str">
        <f aca="false">IF($A137="","",IF(B137=0,20,IF(B137=1,15,IF(B137=2,10,IF(B137=3,5,0))))+IF(C137="否",20,0)+IF(D137="是",20,0)+IF(E137=1,20,IF(E137=2,15,IF(E137=3,10,IF(E137=4,5,0))))+IF(F137="否",20,0))</f>
        <v/>
      </c>
      <c r="L137" s="63" t="str">
        <f aca="false">IF($A137="","",IF(K137&gt;=80,"达标","未达标"))</f>
        <v/>
      </c>
      <c r="M137" s="64" t="str">
        <f aca="false">IF($A137="","",IFERROR(AVERAGEIFS(K$2:K137,WEEKNUM(A$2:A137,2),WEEKNUM(A137,2)),K137))</f>
        <v/>
      </c>
      <c r="N137" s="65" t="str">
        <f aca="false">IF($A137="","",IFERROR(COUNTIFS(A$2:A137,"&lt;&gt;",L$2:L137,"达标",WEEKNUM(A$2:A137,2),WEEKNUM(A137,2)),0))</f>
        <v/>
      </c>
      <c r="O137" s="62" t="str">
        <f aca="false">IF($A137="","",IF(L137="达标",IF(ROW()=2,1,IF(O136="",1,O136+1)),0))</f>
        <v/>
      </c>
      <c r="P137" s="63" t="str">
        <f aca="false">IF($A137="","",IF(ROW()&lt;=8,"基准周",IF(K137&gt;K130,"改善",IF(K137&lt;K130,"恶化","持平"))))</f>
        <v/>
      </c>
    </row>
    <row r="138" customFormat="false" ht="15" hidden="false" customHeight="true" outlineLevel="0" collapsed="false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2" t="str">
        <f aca="false">IF($A138="","",IF(B138=0,20,IF(B138=1,15,IF(B138=2,10,IF(B138=3,5,0))))+IF(C138="否",20,0)+IF(D138="是",20,0)+IF(E138=1,20,IF(E138=2,15,IF(E138=3,10,IF(E138=4,5,0))))+IF(F138="否",20,0))</f>
        <v/>
      </c>
      <c r="L138" s="63" t="str">
        <f aca="false">IF($A138="","",IF(K138&gt;=80,"达标","未达标"))</f>
        <v/>
      </c>
      <c r="M138" s="64" t="str">
        <f aca="false">IF($A138="","",IFERROR(AVERAGEIFS(K$2:K138,WEEKNUM(A$2:A138,2),WEEKNUM(A138,2)),K138))</f>
        <v/>
      </c>
      <c r="N138" s="65" t="str">
        <f aca="false">IF($A138="","",IFERROR(COUNTIFS(A$2:A138,"&lt;&gt;",L$2:L138,"达标",WEEKNUM(A$2:A138,2),WEEKNUM(A138,2)),0))</f>
        <v/>
      </c>
      <c r="O138" s="62" t="str">
        <f aca="false">IF($A138="","",IF(L138="达标",IF(ROW()=2,1,IF(O137="",1,O137+1)),0))</f>
        <v/>
      </c>
      <c r="P138" s="63" t="str">
        <f aca="false">IF($A138="","",IF(ROW()&lt;=8,"基准周",IF(K138&gt;K131,"改善",IF(K138&lt;K131,"恶化","持平"))))</f>
        <v/>
      </c>
    </row>
    <row r="139" customFormat="false" ht="15" hidden="false" customHeight="true" outlineLevel="0" collapsed="false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2" t="str">
        <f aca="false">IF($A139="","",IF(B139=0,20,IF(B139=1,15,IF(B139=2,10,IF(B139=3,5,0))))+IF(C139="否",20,0)+IF(D139="是",20,0)+IF(E139=1,20,IF(E139=2,15,IF(E139=3,10,IF(E139=4,5,0))))+IF(F139="否",20,0))</f>
        <v/>
      </c>
      <c r="L139" s="63" t="str">
        <f aca="false">IF($A139="","",IF(K139&gt;=80,"达标","未达标"))</f>
        <v/>
      </c>
      <c r="M139" s="64" t="str">
        <f aca="false">IF($A139="","",IFERROR(AVERAGEIFS(K$2:K139,WEEKNUM(A$2:A139,2),WEEKNUM(A139,2)),K139))</f>
        <v/>
      </c>
      <c r="N139" s="65" t="str">
        <f aca="false">IF($A139="","",IFERROR(COUNTIFS(A$2:A139,"&lt;&gt;",L$2:L139,"达标",WEEKNUM(A$2:A139,2),WEEKNUM(A139,2)),0))</f>
        <v/>
      </c>
      <c r="O139" s="62" t="str">
        <f aca="false">IF($A139="","",IF(L139="达标",IF(ROW()=2,1,IF(O138="",1,O138+1)),0))</f>
        <v/>
      </c>
      <c r="P139" s="63" t="str">
        <f aca="false">IF($A139="","",IF(ROW()&lt;=8,"基准周",IF(K139&gt;K132,"改善",IF(K139&lt;K132,"恶化","持平"))))</f>
        <v/>
      </c>
    </row>
    <row r="140" customFormat="false" ht="15" hidden="false" customHeight="true" outlineLevel="0" collapsed="false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2" t="str">
        <f aca="false">IF($A140="","",IF(B140=0,20,IF(B140=1,15,IF(B140=2,10,IF(B140=3,5,0))))+IF(C140="否",20,0)+IF(D140="是",20,0)+IF(E140=1,20,IF(E140=2,15,IF(E140=3,10,IF(E140=4,5,0))))+IF(F140="否",20,0))</f>
        <v/>
      </c>
      <c r="L140" s="63" t="str">
        <f aca="false">IF($A140="","",IF(K140&gt;=80,"达标","未达标"))</f>
        <v/>
      </c>
      <c r="M140" s="64" t="str">
        <f aca="false">IF($A140="","",IFERROR(AVERAGEIFS(K$2:K140,WEEKNUM(A$2:A140,2),WEEKNUM(A140,2)),K140))</f>
        <v/>
      </c>
      <c r="N140" s="65" t="str">
        <f aca="false">IF($A140="","",IFERROR(COUNTIFS(A$2:A140,"&lt;&gt;",L$2:L140,"达标",WEEKNUM(A$2:A140,2),WEEKNUM(A140,2)),0))</f>
        <v/>
      </c>
      <c r="O140" s="62" t="str">
        <f aca="false">IF($A140="","",IF(L140="达标",IF(ROW()=2,1,IF(O139="",1,O139+1)),0))</f>
        <v/>
      </c>
      <c r="P140" s="63" t="str">
        <f aca="false">IF($A140="","",IF(ROW()&lt;=8,"基准周",IF(K140&gt;K133,"改善",IF(K140&lt;K133,"恶化","持平"))))</f>
        <v/>
      </c>
    </row>
    <row r="141" customFormat="false" ht="15" hidden="false" customHeight="true" outlineLevel="0" collapsed="false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2" t="str">
        <f aca="false">IF($A141="","",IF(B141=0,20,IF(B141=1,15,IF(B141=2,10,IF(B141=3,5,0))))+IF(C141="否",20,0)+IF(D141="是",20,0)+IF(E141=1,20,IF(E141=2,15,IF(E141=3,10,IF(E141=4,5,0))))+IF(F141="否",20,0))</f>
        <v/>
      </c>
      <c r="L141" s="63" t="str">
        <f aca="false">IF($A141="","",IF(K141&gt;=80,"达标","未达标"))</f>
        <v/>
      </c>
      <c r="M141" s="64" t="str">
        <f aca="false">IF($A141="","",IFERROR(AVERAGEIFS(K$2:K141,WEEKNUM(A$2:A141,2),WEEKNUM(A141,2)),K141))</f>
        <v/>
      </c>
      <c r="N141" s="65" t="str">
        <f aca="false">IF($A141="","",IFERROR(COUNTIFS(A$2:A141,"&lt;&gt;",L$2:L141,"达标",WEEKNUM(A$2:A141,2),WEEKNUM(A141,2)),0))</f>
        <v/>
      </c>
      <c r="O141" s="62" t="str">
        <f aca="false">IF($A141="","",IF(L141="达标",IF(ROW()=2,1,IF(O140="",1,O140+1)),0))</f>
        <v/>
      </c>
      <c r="P141" s="63" t="str">
        <f aca="false">IF($A141="","",IF(ROW()&lt;=8,"基准周",IF(K141&gt;K134,"改善",IF(K141&lt;K134,"恶化","持平"))))</f>
        <v/>
      </c>
    </row>
    <row r="142" customFormat="false" ht="15" hidden="false" customHeight="true" outlineLevel="0" collapsed="false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2" t="str">
        <f aca="false">IF($A142="","",IF(B142=0,20,IF(B142=1,15,IF(B142=2,10,IF(B142=3,5,0))))+IF(C142="否",20,0)+IF(D142="是",20,0)+IF(E142=1,20,IF(E142=2,15,IF(E142=3,10,IF(E142=4,5,0))))+IF(F142="否",20,0))</f>
        <v/>
      </c>
      <c r="L142" s="63" t="str">
        <f aca="false">IF($A142="","",IF(K142&gt;=80,"达标","未达标"))</f>
        <v/>
      </c>
      <c r="M142" s="64" t="str">
        <f aca="false">IF($A142="","",IFERROR(AVERAGEIFS(K$2:K142,WEEKNUM(A$2:A142,2),WEEKNUM(A142,2)),K142))</f>
        <v/>
      </c>
      <c r="N142" s="65" t="str">
        <f aca="false">IF($A142="","",IFERROR(COUNTIFS(A$2:A142,"&lt;&gt;",L$2:L142,"达标",WEEKNUM(A$2:A142,2),WEEKNUM(A142,2)),0))</f>
        <v/>
      </c>
      <c r="O142" s="62" t="str">
        <f aca="false">IF($A142="","",IF(L142="达标",IF(ROW()=2,1,IF(O141="",1,O141+1)),0))</f>
        <v/>
      </c>
      <c r="P142" s="63" t="str">
        <f aca="false">IF($A142="","",IF(ROW()&lt;=8,"基准周",IF(K142&gt;K135,"改善",IF(K142&lt;K135,"恶化","持平"))))</f>
        <v/>
      </c>
    </row>
    <row r="143" customFormat="false" ht="15" hidden="false" customHeight="true" outlineLevel="0" collapsed="false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2" t="str">
        <f aca="false">IF($A143="","",IF(B143=0,20,IF(B143=1,15,IF(B143=2,10,IF(B143=3,5,0))))+IF(C143="否",20,0)+IF(D143="是",20,0)+IF(E143=1,20,IF(E143=2,15,IF(E143=3,10,IF(E143=4,5,0))))+IF(F143="否",20,0))</f>
        <v/>
      </c>
      <c r="L143" s="63" t="str">
        <f aca="false">IF($A143="","",IF(K143&gt;=80,"达标","未达标"))</f>
        <v/>
      </c>
      <c r="M143" s="64" t="str">
        <f aca="false">IF($A143="","",IFERROR(AVERAGEIFS(K$2:K143,WEEKNUM(A$2:A143,2),WEEKNUM(A143,2)),K143))</f>
        <v/>
      </c>
      <c r="N143" s="65" t="str">
        <f aca="false">IF($A143="","",IFERROR(COUNTIFS(A$2:A143,"&lt;&gt;",L$2:L143,"达标",WEEKNUM(A$2:A143,2),WEEKNUM(A143,2)),0))</f>
        <v/>
      </c>
      <c r="O143" s="62" t="str">
        <f aca="false">IF($A143="","",IF(L143="达标",IF(ROW()=2,1,IF(O142="",1,O142+1)),0))</f>
        <v/>
      </c>
      <c r="P143" s="63" t="str">
        <f aca="false">IF($A143="","",IF(ROW()&lt;=8,"基准周",IF(K143&gt;K136,"改善",IF(K143&lt;K136,"恶化","持平"))))</f>
        <v/>
      </c>
    </row>
    <row r="144" customFormat="false" ht="15" hidden="false" customHeight="true" outlineLevel="0" collapsed="false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2" t="str">
        <f aca="false">IF($A144="","",IF(B144=0,20,IF(B144=1,15,IF(B144=2,10,IF(B144=3,5,0))))+IF(C144="否",20,0)+IF(D144="是",20,0)+IF(E144=1,20,IF(E144=2,15,IF(E144=3,10,IF(E144=4,5,0))))+IF(F144="否",20,0))</f>
        <v/>
      </c>
      <c r="L144" s="63" t="str">
        <f aca="false">IF($A144="","",IF(K144&gt;=80,"达标","未达标"))</f>
        <v/>
      </c>
      <c r="M144" s="64" t="str">
        <f aca="false">IF($A144="","",IFERROR(AVERAGEIFS(K$2:K144,WEEKNUM(A$2:A144,2),WEEKNUM(A144,2)),K144))</f>
        <v/>
      </c>
      <c r="N144" s="65" t="str">
        <f aca="false">IF($A144="","",IFERROR(COUNTIFS(A$2:A144,"&lt;&gt;",L$2:L144,"达标",WEEKNUM(A$2:A144,2),WEEKNUM(A144,2)),0))</f>
        <v/>
      </c>
      <c r="O144" s="62" t="str">
        <f aca="false">IF($A144="","",IF(L144="达标",IF(ROW()=2,1,IF(O143="",1,O143+1)),0))</f>
        <v/>
      </c>
      <c r="P144" s="63" t="str">
        <f aca="false">IF($A144="","",IF(ROW()&lt;=8,"基准周",IF(K144&gt;K137,"改善",IF(K144&lt;K137,"恶化","持平"))))</f>
        <v/>
      </c>
    </row>
    <row r="145" customFormat="false" ht="15" hidden="false" customHeight="true" outlineLevel="0" collapsed="false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2" t="str">
        <f aca="false">IF($A145="","",IF(B145=0,20,IF(B145=1,15,IF(B145=2,10,IF(B145=3,5,0))))+IF(C145="否",20,0)+IF(D145="是",20,0)+IF(E145=1,20,IF(E145=2,15,IF(E145=3,10,IF(E145=4,5,0))))+IF(F145="否",20,0))</f>
        <v/>
      </c>
      <c r="L145" s="63" t="str">
        <f aca="false">IF($A145="","",IF(K145&gt;=80,"达标","未达标"))</f>
        <v/>
      </c>
      <c r="M145" s="64" t="str">
        <f aca="false">IF($A145="","",IFERROR(AVERAGEIFS(K$2:K145,WEEKNUM(A$2:A145,2),WEEKNUM(A145,2)),K145))</f>
        <v/>
      </c>
      <c r="N145" s="65" t="str">
        <f aca="false">IF($A145="","",IFERROR(COUNTIFS(A$2:A145,"&lt;&gt;",L$2:L145,"达标",WEEKNUM(A$2:A145,2),WEEKNUM(A145,2)),0))</f>
        <v/>
      </c>
      <c r="O145" s="62" t="str">
        <f aca="false">IF($A145="","",IF(L145="达标",IF(ROW()=2,1,IF(O144="",1,O144+1)),0))</f>
        <v/>
      </c>
      <c r="P145" s="63" t="str">
        <f aca="false">IF($A145="","",IF(ROW()&lt;=8,"基准周",IF(K145&gt;K138,"改善",IF(K145&lt;K138,"恶化","持平"))))</f>
        <v/>
      </c>
    </row>
    <row r="146" customFormat="false" ht="15" hidden="false" customHeight="true" outlineLevel="0" collapsed="false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2" t="str">
        <f aca="false">IF($A146="","",IF(B146=0,20,IF(B146=1,15,IF(B146=2,10,IF(B146=3,5,0))))+IF(C146="否",20,0)+IF(D146="是",20,0)+IF(E146=1,20,IF(E146=2,15,IF(E146=3,10,IF(E146=4,5,0))))+IF(F146="否",20,0))</f>
        <v/>
      </c>
      <c r="L146" s="63" t="str">
        <f aca="false">IF($A146="","",IF(K146&gt;=80,"达标","未达标"))</f>
        <v/>
      </c>
      <c r="M146" s="64" t="str">
        <f aca="false">IF($A146="","",IFERROR(AVERAGEIFS(K$2:K146,WEEKNUM(A$2:A146,2),WEEKNUM(A146,2)),K146))</f>
        <v/>
      </c>
      <c r="N146" s="65" t="str">
        <f aca="false">IF($A146="","",IFERROR(COUNTIFS(A$2:A146,"&lt;&gt;",L$2:L146,"达标",WEEKNUM(A$2:A146,2),WEEKNUM(A146,2)),0))</f>
        <v/>
      </c>
      <c r="O146" s="62" t="str">
        <f aca="false">IF($A146="","",IF(L146="达标",IF(ROW()=2,1,IF(O145="",1,O145+1)),0))</f>
        <v/>
      </c>
      <c r="P146" s="63" t="str">
        <f aca="false">IF($A146="","",IF(ROW()&lt;=8,"基准周",IF(K146&gt;K139,"改善",IF(K146&lt;K139,"恶化","持平"))))</f>
        <v/>
      </c>
    </row>
    <row r="147" customFormat="false" ht="15" hidden="false" customHeight="true" outlineLevel="0" collapsed="false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2" t="str">
        <f aca="false">IF($A147="","",IF(B147=0,20,IF(B147=1,15,IF(B147=2,10,IF(B147=3,5,0))))+IF(C147="否",20,0)+IF(D147="是",20,0)+IF(E147=1,20,IF(E147=2,15,IF(E147=3,10,IF(E147=4,5,0))))+IF(F147="否",20,0))</f>
        <v/>
      </c>
      <c r="L147" s="63" t="str">
        <f aca="false">IF($A147="","",IF(K147&gt;=80,"达标","未达标"))</f>
        <v/>
      </c>
      <c r="M147" s="64" t="str">
        <f aca="false">IF($A147="","",IFERROR(AVERAGEIFS(K$2:K147,WEEKNUM(A$2:A147,2),WEEKNUM(A147,2)),K147))</f>
        <v/>
      </c>
      <c r="N147" s="65" t="str">
        <f aca="false">IF($A147="","",IFERROR(COUNTIFS(A$2:A147,"&lt;&gt;",L$2:L147,"达标",WEEKNUM(A$2:A147,2),WEEKNUM(A147,2)),0))</f>
        <v/>
      </c>
      <c r="O147" s="62" t="str">
        <f aca="false">IF($A147="","",IF(L147="达标",IF(ROW()=2,1,IF(O146="",1,O146+1)),0))</f>
        <v/>
      </c>
      <c r="P147" s="63" t="str">
        <f aca="false">IF($A147="","",IF(ROW()&lt;=8,"基准周",IF(K147&gt;K140,"改善",IF(K147&lt;K140,"恶化","持平"))))</f>
        <v/>
      </c>
    </row>
    <row r="148" customFormat="false" ht="15" hidden="false" customHeight="true" outlineLevel="0" collapsed="false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2" t="str">
        <f aca="false">IF($A148="","",IF(B148=0,20,IF(B148=1,15,IF(B148=2,10,IF(B148=3,5,0))))+IF(C148="否",20,0)+IF(D148="是",20,0)+IF(E148=1,20,IF(E148=2,15,IF(E148=3,10,IF(E148=4,5,0))))+IF(F148="否",20,0))</f>
        <v/>
      </c>
      <c r="L148" s="63" t="str">
        <f aca="false">IF($A148="","",IF(K148&gt;=80,"达标","未达标"))</f>
        <v/>
      </c>
      <c r="M148" s="64" t="str">
        <f aca="false">IF($A148="","",IFERROR(AVERAGEIFS(K$2:K148,WEEKNUM(A$2:A148,2),WEEKNUM(A148,2)),K148))</f>
        <v/>
      </c>
      <c r="N148" s="65" t="str">
        <f aca="false">IF($A148="","",IFERROR(COUNTIFS(A$2:A148,"&lt;&gt;",L$2:L148,"达标",WEEKNUM(A$2:A148,2),WEEKNUM(A148,2)),0))</f>
        <v/>
      </c>
      <c r="O148" s="62" t="str">
        <f aca="false">IF($A148="","",IF(L148="达标",IF(ROW()=2,1,IF(O147="",1,O147+1)),0))</f>
        <v/>
      </c>
      <c r="P148" s="63" t="str">
        <f aca="false">IF($A148="","",IF(ROW()&lt;=8,"基准周",IF(K148&gt;K141,"改善",IF(K148&lt;K141,"恶化","持平"))))</f>
        <v/>
      </c>
    </row>
    <row r="149" customFormat="false" ht="15" hidden="false" customHeight="true" outlineLevel="0" collapsed="false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2" t="str">
        <f aca="false">IF($A149="","",IF(B149=0,20,IF(B149=1,15,IF(B149=2,10,IF(B149=3,5,0))))+IF(C149="否",20,0)+IF(D149="是",20,0)+IF(E149=1,20,IF(E149=2,15,IF(E149=3,10,IF(E149=4,5,0))))+IF(F149="否",20,0))</f>
        <v/>
      </c>
      <c r="L149" s="63" t="str">
        <f aca="false">IF($A149="","",IF(K149&gt;=80,"达标","未达标"))</f>
        <v/>
      </c>
      <c r="M149" s="64" t="str">
        <f aca="false">IF($A149="","",IFERROR(AVERAGEIFS(K$2:K149,WEEKNUM(A$2:A149,2),WEEKNUM(A149,2)),K149))</f>
        <v/>
      </c>
      <c r="N149" s="65" t="str">
        <f aca="false">IF($A149="","",IFERROR(COUNTIFS(A$2:A149,"&lt;&gt;",L$2:L149,"达标",WEEKNUM(A$2:A149,2),WEEKNUM(A149,2)),0))</f>
        <v/>
      </c>
      <c r="O149" s="62" t="str">
        <f aca="false">IF($A149="","",IF(L149="达标",IF(ROW()=2,1,IF(O148="",1,O148+1)),0))</f>
        <v/>
      </c>
      <c r="P149" s="63" t="str">
        <f aca="false">IF($A149="","",IF(ROW()&lt;=8,"基准周",IF(K149&gt;K142,"改善",IF(K149&lt;K142,"恶化","持平"))))</f>
        <v/>
      </c>
    </row>
    <row r="150" customFormat="false" ht="15" hidden="false" customHeight="true" outlineLevel="0" collapsed="false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2" t="str">
        <f aca="false">IF($A150="","",IF(B150=0,20,IF(B150=1,15,IF(B150=2,10,IF(B150=3,5,0))))+IF(C150="否",20,0)+IF(D150="是",20,0)+IF(E150=1,20,IF(E150=2,15,IF(E150=3,10,IF(E150=4,5,0))))+IF(F150="否",20,0))</f>
        <v/>
      </c>
      <c r="L150" s="63" t="str">
        <f aca="false">IF($A150="","",IF(K150&gt;=80,"达标","未达标"))</f>
        <v/>
      </c>
      <c r="M150" s="64" t="str">
        <f aca="false">IF($A150="","",IFERROR(AVERAGEIFS(K$2:K150,WEEKNUM(A$2:A150,2),WEEKNUM(A150,2)),K150))</f>
        <v/>
      </c>
      <c r="N150" s="65" t="str">
        <f aca="false">IF($A150="","",IFERROR(COUNTIFS(A$2:A150,"&lt;&gt;",L$2:L150,"达标",WEEKNUM(A$2:A150,2),WEEKNUM(A150,2)),0))</f>
        <v/>
      </c>
      <c r="O150" s="62" t="str">
        <f aca="false">IF($A150="","",IF(L150="达标",IF(ROW()=2,1,IF(O149="",1,O149+1)),0))</f>
        <v/>
      </c>
      <c r="P150" s="63" t="str">
        <f aca="false">IF($A150="","",IF(ROW()&lt;=8,"基准周",IF(K150&gt;K143,"改善",IF(K150&lt;K143,"恶化","持平"))))</f>
        <v/>
      </c>
    </row>
    <row r="151" customFormat="false" ht="15" hidden="false" customHeight="true" outlineLevel="0" collapsed="false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2" t="str">
        <f aca="false">IF($A151="","",IF(B151=0,20,IF(B151=1,15,IF(B151=2,10,IF(B151=3,5,0))))+IF(C151="否",20,0)+IF(D151="是",20,0)+IF(E151=1,20,IF(E151=2,15,IF(E151=3,10,IF(E151=4,5,0))))+IF(F151="否",20,0))</f>
        <v/>
      </c>
      <c r="L151" s="63" t="str">
        <f aca="false">IF($A151="","",IF(K151&gt;=80,"达标","未达标"))</f>
        <v/>
      </c>
      <c r="M151" s="64" t="str">
        <f aca="false">IF($A151="","",IFERROR(AVERAGEIFS(K$2:K151,WEEKNUM(A$2:A151,2),WEEKNUM(A151,2)),K151))</f>
        <v/>
      </c>
      <c r="N151" s="65" t="str">
        <f aca="false">IF($A151="","",IFERROR(COUNTIFS(A$2:A151,"&lt;&gt;",L$2:L151,"达标",WEEKNUM(A$2:A151,2),WEEKNUM(A151,2)),0))</f>
        <v/>
      </c>
      <c r="O151" s="62" t="str">
        <f aca="false">IF($A151="","",IF(L151="达标",IF(ROW()=2,1,IF(O150="",1,O150+1)),0))</f>
        <v/>
      </c>
      <c r="P151" s="63" t="str">
        <f aca="false">IF($A151="","",IF(ROW()&lt;=8,"基准周",IF(K151&gt;K144,"改善",IF(K151&lt;K144,"恶化","持平"))))</f>
        <v/>
      </c>
    </row>
    <row r="152" customFormat="false" ht="15" hidden="false" customHeight="true" outlineLevel="0" collapsed="false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2" t="str">
        <f aca="false">IF($A152="","",IF(B152=0,20,IF(B152=1,15,IF(B152=2,10,IF(B152=3,5,0))))+IF(C152="否",20,0)+IF(D152="是",20,0)+IF(E152=1,20,IF(E152=2,15,IF(E152=3,10,IF(E152=4,5,0))))+IF(F152="否",20,0))</f>
        <v/>
      </c>
      <c r="L152" s="63" t="str">
        <f aca="false">IF($A152="","",IF(K152&gt;=80,"达标","未达标"))</f>
        <v/>
      </c>
      <c r="M152" s="64" t="str">
        <f aca="false">IF($A152="","",IFERROR(AVERAGEIFS(K$2:K152,WEEKNUM(A$2:A152,2),WEEKNUM(A152,2)),K152))</f>
        <v/>
      </c>
      <c r="N152" s="65" t="str">
        <f aca="false">IF($A152="","",IFERROR(COUNTIFS(A$2:A152,"&lt;&gt;",L$2:L152,"达标",WEEKNUM(A$2:A152,2),WEEKNUM(A152,2)),0))</f>
        <v/>
      </c>
      <c r="O152" s="62" t="str">
        <f aca="false">IF($A152="","",IF(L152="达标",IF(ROW()=2,1,IF(O151="",1,O151+1)),0))</f>
        <v/>
      </c>
      <c r="P152" s="63" t="str">
        <f aca="false">IF($A152="","",IF(ROW()&lt;=8,"基准周",IF(K152&gt;K145,"改善",IF(K152&lt;K145,"恶化","持平"))))</f>
        <v/>
      </c>
    </row>
    <row r="153" customFormat="false" ht="15" hidden="false" customHeight="true" outlineLevel="0" collapsed="false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2" t="str">
        <f aca="false">IF($A153="","",IF(B153=0,20,IF(B153=1,15,IF(B153=2,10,IF(B153=3,5,0))))+IF(C153="否",20,0)+IF(D153="是",20,0)+IF(E153=1,20,IF(E153=2,15,IF(E153=3,10,IF(E153=4,5,0))))+IF(F153="否",20,0))</f>
        <v/>
      </c>
      <c r="L153" s="63" t="str">
        <f aca="false">IF($A153="","",IF(K153&gt;=80,"达标","未达标"))</f>
        <v/>
      </c>
      <c r="M153" s="64" t="str">
        <f aca="false">IF($A153="","",IFERROR(AVERAGEIFS(K$2:K153,WEEKNUM(A$2:A153,2),WEEKNUM(A153,2)),K153))</f>
        <v/>
      </c>
      <c r="N153" s="65" t="str">
        <f aca="false">IF($A153="","",IFERROR(COUNTIFS(A$2:A153,"&lt;&gt;",L$2:L153,"达标",WEEKNUM(A$2:A153,2),WEEKNUM(A153,2)),0))</f>
        <v/>
      </c>
      <c r="O153" s="62" t="str">
        <f aca="false">IF($A153="","",IF(L153="达标",IF(ROW()=2,1,IF(O152="",1,O152+1)),0))</f>
        <v/>
      </c>
      <c r="P153" s="63" t="str">
        <f aca="false">IF($A153="","",IF(ROW()&lt;=8,"基准周",IF(K153&gt;K146,"改善",IF(K153&lt;K146,"恶化","持平"))))</f>
        <v/>
      </c>
    </row>
    <row r="154" customFormat="false" ht="15" hidden="false" customHeight="true" outlineLevel="0" collapsed="false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2" t="str">
        <f aca="false">IF($A154="","",IF(B154=0,20,IF(B154=1,15,IF(B154=2,10,IF(B154=3,5,0))))+IF(C154="否",20,0)+IF(D154="是",20,0)+IF(E154=1,20,IF(E154=2,15,IF(E154=3,10,IF(E154=4,5,0))))+IF(F154="否",20,0))</f>
        <v/>
      </c>
      <c r="L154" s="63" t="str">
        <f aca="false">IF($A154="","",IF(K154&gt;=80,"达标","未达标"))</f>
        <v/>
      </c>
      <c r="M154" s="64" t="str">
        <f aca="false">IF($A154="","",IFERROR(AVERAGEIFS(K$2:K154,WEEKNUM(A$2:A154,2),WEEKNUM(A154,2)),K154))</f>
        <v/>
      </c>
      <c r="N154" s="65" t="str">
        <f aca="false">IF($A154="","",IFERROR(COUNTIFS(A$2:A154,"&lt;&gt;",L$2:L154,"达标",WEEKNUM(A$2:A154,2),WEEKNUM(A154,2)),0))</f>
        <v/>
      </c>
      <c r="O154" s="62" t="str">
        <f aca="false">IF($A154="","",IF(L154="达标",IF(ROW()=2,1,IF(O153="",1,O153+1)),0))</f>
        <v/>
      </c>
      <c r="P154" s="63" t="str">
        <f aca="false">IF($A154="","",IF(ROW()&lt;=8,"基准周",IF(K154&gt;K147,"改善",IF(K154&lt;K147,"恶化","持平"))))</f>
        <v/>
      </c>
    </row>
    <row r="155" customFormat="false" ht="15" hidden="false" customHeight="true" outlineLevel="0" collapsed="false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2" t="str">
        <f aca="false">IF($A155="","",IF(B155=0,20,IF(B155=1,15,IF(B155=2,10,IF(B155=3,5,0))))+IF(C155="否",20,0)+IF(D155="是",20,0)+IF(E155=1,20,IF(E155=2,15,IF(E155=3,10,IF(E155=4,5,0))))+IF(F155="否",20,0))</f>
        <v/>
      </c>
      <c r="L155" s="63" t="str">
        <f aca="false">IF($A155="","",IF(K155&gt;=80,"达标","未达标"))</f>
        <v/>
      </c>
      <c r="M155" s="64" t="str">
        <f aca="false">IF($A155="","",IFERROR(AVERAGEIFS(K$2:K155,WEEKNUM(A$2:A155,2),WEEKNUM(A155,2)),K155))</f>
        <v/>
      </c>
      <c r="N155" s="65" t="str">
        <f aca="false">IF($A155="","",IFERROR(COUNTIFS(A$2:A155,"&lt;&gt;",L$2:L155,"达标",WEEKNUM(A$2:A155,2),WEEKNUM(A155,2)),0))</f>
        <v/>
      </c>
      <c r="O155" s="62" t="str">
        <f aca="false">IF($A155="","",IF(L155="达标",IF(ROW()=2,1,IF(O154="",1,O154+1)),0))</f>
        <v/>
      </c>
      <c r="P155" s="63" t="str">
        <f aca="false">IF($A155="","",IF(ROW()&lt;=8,"基准周",IF(K155&gt;K148,"改善",IF(K155&lt;K148,"恶化","持平"))))</f>
        <v/>
      </c>
    </row>
    <row r="156" customFormat="false" ht="15" hidden="false" customHeight="true" outlineLevel="0" collapsed="false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2" t="str">
        <f aca="false">IF($A156="","",IF(B156=0,20,IF(B156=1,15,IF(B156=2,10,IF(B156=3,5,0))))+IF(C156="否",20,0)+IF(D156="是",20,0)+IF(E156=1,20,IF(E156=2,15,IF(E156=3,10,IF(E156=4,5,0))))+IF(F156="否",20,0))</f>
        <v/>
      </c>
      <c r="L156" s="63" t="str">
        <f aca="false">IF($A156="","",IF(K156&gt;=80,"达标","未达标"))</f>
        <v/>
      </c>
      <c r="M156" s="64" t="str">
        <f aca="false">IF($A156="","",IFERROR(AVERAGEIFS(K$2:K156,WEEKNUM(A$2:A156,2),WEEKNUM(A156,2)),K156))</f>
        <v/>
      </c>
      <c r="N156" s="65" t="str">
        <f aca="false">IF($A156="","",IFERROR(COUNTIFS(A$2:A156,"&lt;&gt;",L$2:L156,"达标",WEEKNUM(A$2:A156,2),WEEKNUM(A156,2)),0))</f>
        <v/>
      </c>
      <c r="O156" s="62" t="str">
        <f aca="false">IF($A156="","",IF(L156="达标",IF(ROW()=2,1,IF(O155="",1,O155+1)),0))</f>
        <v/>
      </c>
      <c r="P156" s="63" t="str">
        <f aca="false">IF($A156="","",IF(ROW()&lt;=8,"基准周",IF(K156&gt;K149,"改善",IF(K156&lt;K149,"恶化","持平"))))</f>
        <v/>
      </c>
    </row>
    <row r="157" customFormat="false" ht="15" hidden="false" customHeight="true" outlineLevel="0" collapsed="false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2" t="str">
        <f aca="false">IF($A157="","",IF(B157=0,20,IF(B157=1,15,IF(B157=2,10,IF(B157=3,5,0))))+IF(C157="否",20,0)+IF(D157="是",20,0)+IF(E157=1,20,IF(E157=2,15,IF(E157=3,10,IF(E157=4,5,0))))+IF(F157="否",20,0))</f>
        <v/>
      </c>
      <c r="L157" s="63" t="str">
        <f aca="false">IF($A157="","",IF(K157&gt;=80,"达标","未达标"))</f>
        <v/>
      </c>
      <c r="M157" s="64" t="str">
        <f aca="false">IF($A157="","",IFERROR(AVERAGEIFS(K$2:K157,WEEKNUM(A$2:A157,2),WEEKNUM(A157,2)),K157))</f>
        <v/>
      </c>
      <c r="N157" s="65" t="str">
        <f aca="false">IF($A157="","",IFERROR(COUNTIFS(A$2:A157,"&lt;&gt;",L$2:L157,"达标",WEEKNUM(A$2:A157,2),WEEKNUM(A157,2)),0))</f>
        <v/>
      </c>
      <c r="O157" s="62" t="str">
        <f aca="false">IF($A157="","",IF(L157="达标",IF(ROW()=2,1,IF(O156="",1,O156+1)),0))</f>
        <v/>
      </c>
      <c r="P157" s="63" t="str">
        <f aca="false">IF($A157="","",IF(ROW()&lt;=8,"基准周",IF(K157&gt;K150,"改善",IF(K157&lt;K150,"恶化","持平"))))</f>
        <v/>
      </c>
    </row>
    <row r="158" customFormat="false" ht="15" hidden="false" customHeight="true" outlineLevel="0" collapsed="false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2" t="str">
        <f aca="false">IF($A158="","",IF(B158=0,20,IF(B158=1,15,IF(B158=2,10,IF(B158=3,5,0))))+IF(C158="否",20,0)+IF(D158="是",20,0)+IF(E158=1,20,IF(E158=2,15,IF(E158=3,10,IF(E158=4,5,0))))+IF(F158="否",20,0))</f>
        <v/>
      </c>
      <c r="L158" s="63" t="str">
        <f aca="false">IF($A158="","",IF(K158&gt;=80,"达标","未达标"))</f>
        <v/>
      </c>
      <c r="M158" s="64" t="str">
        <f aca="false">IF($A158="","",IFERROR(AVERAGEIFS(K$2:K158,WEEKNUM(A$2:A158,2),WEEKNUM(A158,2)),K158))</f>
        <v/>
      </c>
      <c r="N158" s="65" t="str">
        <f aca="false">IF($A158="","",IFERROR(COUNTIFS(A$2:A158,"&lt;&gt;",L$2:L158,"达标",WEEKNUM(A$2:A158,2),WEEKNUM(A158,2)),0))</f>
        <v/>
      </c>
      <c r="O158" s="62" t="str">
        <f aca="false">IF($A158="","",IF(L158="达标",IF(ROW()=2,1,IF(O157="",1,O157+1)),0))</f>
        <v/>
      </c>
      <c r="P158" s="63" t="str">
        <f aca="false">IF($A158="","",IF(ROW()&lt;=8,"基准周",IF(K158&gt;K151,"改善",IF(K158&lt;K151,"恶化","持平"))))</f>
        <v/>
      </c>
    </row>
    <row r="159" customFormat="false" ht="15" hidden="false" customHeight="true" outlineLevel="0" collapsed="false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2" t="str">
        <f aca="false">IF($A159="","",IF(B159=0,20,IF(B159=1,15,IF(B159=2,10,IF(B159=3,5,0))))+IF(C159="否",20,0)+IF(D159="是",20,0)+IF(E159=1,20,IF(E159=2,15,IF(E159=3,10,IF(E159=4,5,0))))+IF(F159="否",20,0))</f>
        <v/>
      </c>
      <c r="L159" s="63" t="str">
        <f aca="false">IF($A159="","",IF(K159&gt;=80,"达标","未达标"))</f>
        <v/>
      </c>
      <c r="M159" s="64" t="str">
        <f aca="false">IF($A159="","",IFERROR(AVERAGEIFS(K$2:K159,WEEKNUM(A$2:A159,2),WEEKNUM(A159,2)),K159))</f>
        <v/>
      </c>
      <c r="N159" s="65" t="str">
        <f aca="false">IF($A159="","",IFERROR(COUNTIFS(A$2:A159,"&lt;&gt;",L$2:L159,"达标",WEEKNUM(A$2:A159,2),WEEKNUM(A159,2)),0))</f>
        <v/>
      </c>
      <c r="O159" s="62" t="str">
        <f aca="false">IF($A159="","",IF(L159="达标",IF(ROW()=2,1,IF(O158="",1,O158+1)),0))</f>
        <v/>
      </c>
      <c r="P159" s="63" t="str">
        <f aca="false">IF($A159="","",IF(ROW()&lt;=8,"基准周",IF(K159&gt;K152,"改善",IF(K159&lt;K152,"恶化","持平"))))</f>
        <v/>
      </c>
    </row>
    <row r="160" customFormat="false" ht="15" hidden="false" customHeight="true" outlineLevel="0" collapsed="false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2" t="str">
        <f aca="false">IF($A160="","",IF(B160=0,20,IF(B160=1,15,IF(B160=2,10,IF(B160=3,5,0))))+IF(C160="否",20,0)+IF(D160="是",20,0)+IF(E160=1,20,IF(E160=2,15,IF(E160=3,10,IF(E160=4,5,0))))+IF(F160="否",20,0))</f>
        <v/>
      </c>
      <c r="L160" s="63" t="str">
        <f aca="false">IF($A160="","",IF(K160&gt;=80,"达标","未达标"))</f>
        <v/>
      </c>
      <c r="M160" s="64" t="str">
        <f aca="false">IF($A160="","",IFERROR(AVERAGEIFS(K$2:K160,WEEKNUM(A$2:A160,2),WEEKNUM(A160,2)),K160))</f>
        <v/>
      </c>
      <c r="N160" s="65" t="str">
        <f aca="false">IF($A160="","",IFERROR(COUNTIFS(A$2:A160,"&lt;&gt;",L$2:L160,"达标",WEEKNUM(A$2:A160,2),WEEKNUM(A160,2)),0))</f>
        <v/>
      </c>
      <c r="O160" s="62" t="str">
        <f aca="false">IF($A160="","",IF(L160="达标",IF(ROW()=2,1,IF(O159="",1,O159+1)),0))</f>
        <v/>
      </c>
      <c r="P160" s="63" t="str">
        <f aca="false">IF($A160="","",IF(ROW()&lt;=8,"基准周",IF(K160&gt;K153,"改善",IF(K160&lt;K153,"恶化","持平"))))</f>
        <v/>
      </c>
    </row>
    <row r="161" customFormat="false" ht="15" hidden="false" customHeight="true" outlineLevel="0" collapsed="false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2" t="str">
        <f aca="false">IF($A161="","",IF(B161=0,20,IF(B161=1,15,IF(B161=2,10,IF(B161=3,5,0))))+IF(C161="否",20,0)+IF(D161="是",20,0)+IF(E161=1,20,IF(E161=2,15,IF(E161=3,10,IF(E161=4,5,0))))+IF(F161="否",20,0))</f>
        <v/>
      </c>
      <c r="L161" s="63" t="str">
        <f aca="false">IF($A161="","",IF(K161&gt;=80,"达标","未达标"))</f>
        <v/>
      </c>
      <c r="M161" s="64" t="str">
        <f aca="false">IF($A161="","",IFERROR(AVERAGEIFS(K$2:K161,WEEKNUM(A$2:A161,2),WEEKNUM(A161,2)),K161))</f>
        <v/>
      </c>
      <c r="N161" s="65" t="str">
        <f aca="false">IF($A161="","",IFERROR(COUNTIFS(A$2:A161,"&lt;&gt;",L$2:L161,"达标",WEEKNUM(A$2:A161,2),WEEKNUM(A161,2)),0))</f>
        <v/>
      </c>
      <c r="O161" s="62" t="str">
        <f aca="false">IF($A161="","",IF(L161="达标",IF(ROW()=2,1,IF(O160="",1,O160+1)),0))</f>
        <v/>
      </c>
      <c r="P161" s="63" t="str">
        <f aca="false">IF($A161="","",IF(ROW()&lt;=8,"基准周",IF(K161&gt;K154,"改善",IF(K161&lt;K154,"恶化","持平"))))</f>
        <v/>
      </c>
    </row>
    <row r="162" customFormat="false" ht="15" hidden="false" customHeight="true" outlineLevel="0" collapsed="false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2" t="str">
        <f aca="false">IF($A162="","",IF(B162=0,20,IF(B162=1,15,IF(B162=2,10,IF(B162=3,5,0))))+IF(C162="否",20,0)+IF(D162="是",20,0)+IF(E162=1,20,IF(E162=2,15,IF(E162=3,10,IF(E162=4,5,0))))+IF(F162="否",20,0))</f>
        <v/>
      </c>
      <c r="L162" s="63" t="str">
        <f aca="false">IF($A162="","",IF(K162&gt;=80,"达标","未达标"))</f>
        <v/>
      </c>
      <c r="M162" s="64" t="str">
        <f aca="false">IF($A162="","",IFERROR(AVERAGEIFS(K$2:K162,WEEKNUM(A$2:A162,2),WEEKNUM(A162,2)),K162))</f>
        <v/>
      </c>
      <c r="N162" s="65" t="str">
        <f aca="false">IF($A162="","",IFERROR(COUNTIFS(A$2:A162,"&lt;&gt;",L$2:L162,"达标",WEEKNUM(A$2:A162,2),WEEKNUM(A162,2)),0))</f>
        <v/>
      </c>
      <c r="O162" s="62" t="str">
        <f aca="false">IF($A162="","",IF(L162="达标",IF(ROW()=2,1,IF(O161="",1,O161+1)),0))</f>
        <v/>
      </c>
      <c r="P162" s="63" t="str">
        <f aca="false">IF($A162="","",IF(ROW()&lt;=8,"基准周",IF(K162&gt;K155,"改善",IF(K162&lt;K155,"恶化","持平"))))</f>
        <v/>
      </c>
    </row>
    <row r="163" customFormat="false" ht="15" hidden="false" customHeight="true" outlineLevel="0" collapsed="false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2" t="str">
        <f aca="false">IF($A163="","",IF(B163=0,20,IF(B163=1,15,IF(B163=2,10,IF(B163=3,5,0))))+IF(C163="否",20,0)+IF(D163="是",20,0)+IF(E163=1,20,IF(E163=2,15,IF(E163=3,10,IF(E163=4,5,0))))+IF(F163="否",20,0))</f>
        <v/>
      </c>
      <c r="L163" s="63" t="str">
        <f aca="false">IF($A163="","",IF(K163&gt;=80,"达标","未达标"))</f>
        <v/>
      </c>
      <c r="M163" s="64" t="str">
        <f aca="false">IF($A163="","",IFERROR(AVERAGEIFS(K$2:K163,WEEKNUM(A$2:A163,2),WEEKNUM(A163,2)),K163))</f>
        <v/>
      </c>
      <c r="N163" s="65" t="str">
        <f aca="false">IF($A163="","",IFERROR(COUNTIFS(A$2:A163,"&lt;&gt;",L$2:L163,"达标",WEEKNUM(A$2:A163,2),WEEKNUM(A163,2)),0))</f>
        <v/>
      </c>
      <c r="O163" s="62" t="str">
        <f aca="false">IF($A163="","",IF(L163="达标",IF(ROW()=2,1,IF(O162="",1,O162+1)),0))</f>
        <v/>
      </c>
      <c r="P163" s="63" t="str">
        <f aca="false">IF($A163="","",IF(ROW()&lt;=8,"基准周",IF(K163&gt;K156,"改善",IF(K163&lt;K156,"恶化","持平"))))</f>
        <v/>
      </c>
    </row>
    <row r="164" customFormat="false" ht="15" hidden="false" customHeight="true" outlineLevel="0" collapsed="false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2" t="str">
        <f aca="false">IF($A164="","",IF(B164=0,20,IF(B164=1,15,IF(B164=2,10,IF(B164=3,5,0))))+IF(C164="否",20,0)+IF(D164="是",20,0)+IF(E164=1,20,IF(E164=2,15,IF(E164=3,10,IF(E164=4,5,0))))+IF(F164="否",20,0))</f>
        <v/>
      </c>
      <c r="L164" s="63" t="str">
        <f aca="false">IF($A164="","",IF(K164&gt;=80,"达标","未达标"))</f>
        <v/>
      </c>
      <c r="M164" s="64" t="str">
        <f aca="false">IF($A164="","",IFERROR(AVERAGEIFS(K$2:K164,WEEKNUM(A$2:A164,2),WEEKNUM(A164,2)),K164))</f>
        <v/>
      </c>
      <c r="N164" s="65" t="str">
        <f aca="false">IF($A164="","",IFERROR(COUNTIFS(A$2:A164,"&lt;&gt;",L$2:L164,"达标",WEEKNUM(A$2:A164,2),WEEKNUM(A164,2)),0))</f>
        <v/>
      </c>
      <c r="O164" s="62" t="str">
        <f aca="false">IF($A164="","",IF(L164="达标",IF(ROW()=2,1,IF(O163="",1,O163+1)),0))</f>
        <v/>
      </c>
      <c r="P164" s="63" t="str">
        <f aca="false">IF($A164="","",IF(ROW()&lt;=8,"基准周",IF(K164&gt;K157,"改善",IF(K164&lt;K157,"恶化","持平"))))</f>
        <v/>
      </c>
    </row>
    <row r="165" customFormat="false" ht="15" hidden="false" customHeight="true" outlineLevel="0" collapsed="false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2" t="str">
        <f aca="false">IF($A165="","",IF(B165=0,20,IF(B165=1,15,IF(B165=2,10,IF(B165=3,5,0))))+IF(C165="否",20,0)+IF(D165="是",20,0)+IF(E165=1,20,IF(E165=2,15,IF(E165=3,10,IF(E165=4,5,0))))+IF(F165="否",20,0))</f>
        <v/>
      </c>
      <c r="L165" s="63" t="str">
        <f aca="false">IF($A165="","",IF(K165&gt;=80,"达标","未达标"))</f>
        <v/>
      </c>
      <c r="M165" s="64" t="str">
        <f aca="false">IF($A165="","",IFERROR(AVERAGEIFS(K$2:K165,WEEKNUM(A$2:A165,2),WEEKNUM(A165,2)),K165))</f>
        <v/>
      </c>
      <c r="N165" s="65" t="str">
        <f aca="false">IF($A165="","",IFERROR(COUNTIFS(A$2:A165,"&lt;&gt;",L$2:L165,"达标",WEEKNUM(A$2:A165,2),WEEKNUM(A165,2)),0))</f>
        <v/>
      </c>
      <c r="O165" s="62" t="str">
        <f aca="false">IF($A165="","",IF(L165="达标",IF(ROW()=2,1,IF(O164="",1,O164+1)),0))</f>
        <v/>
      </c>
      <c r="P165" s="63" t="str">
        <f aca="false">IF($A165="","",IF(ROW()&lt;=8,"基准周",IF(K165&gt;K158,"改善",IF(K165&lt;K158,"恶化","持平"))))</f>
        <v/>
      </c>
    </row>
    <row r="166" customFormat="false" ht="15" hidden="false" customHeight="true" outlineLevel="0" collapsed="false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2" t="str">
        <f aca="false">IF($A166="","",IF(B166=0,20,IF(B166=1,15,IF(B166=2,10,IF(B166=3,5,0))))+IF(C166="否",20,0)+IF(D166="是",20,0)+IF(E166=1,20,IF(E166=2,15,IF(E166=3,10,IF(E166=4,5,0))))+IF(F166="否",20,0))</f>
        <v/>
      </c>
      <c r="L166" s="63" t="str">
        <f aca="false">IF($A166="","",IF(K166&gt;=80,"达标","未达标"))</f>
        <v/>
      </c>
      <c r="M166" s="64" t="str">
        <f aca="false">IF($A166="","",IFERROR(AVERAGEIFS(K$2:K166,WEEKNUM(A$2:A166,2),WEEKNUM(A166,2)),K166))</f>
        <v/>
      </c>
      <c r="N166" s="65" t="str">
        <f aca="false">IF($A166="","",IFERROR(COUNTIFS(A$2:A166,"&lt;&gt;",L$2:L166,"达标",WEEKNUM(A$2:A166,2),WEEKNUM(A166,2)),0))</f>
        <v/>
      </c>
      <c r="O166" s="62" t="str">
        <f aca="false">IF($A166="","",IF(L166="达标",IF(ROW()=2,1,IF(O165="",1,O165+1)),0))</f>
        <v/>
      </c>
      <c r="P166" s="63" t="str">
        <f aca="false">IF($A166="","",IF(ROW()&lt;=8,"基准周",IF(K166&gt;K159,"改善",IF(K166&lt;K159,"恶化","持平"))))</f>
        <v/>
      </c>
    </row>
    <row r="167" customFormat="false" ht="15" hidden="false" customHeight="true" outlineLevel="0" collapsed="false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2" t="str">
        <f aca="false">IF($A167="","",IF(B167=0,20,IF(B167=1,15,IF(B167=2,10,IF(B167=3,5,0))))+IF(C167="否",20,0)+IF(D167="是",20,0)+IF(E167=1,20,IF(E167=2,15,IF(E167=3,10,IF(E167=4,5,0))))+IF(F167="否",20,0))</f>
        <v/>
      </c>
      <c r="L167" s="63" t="str">
        <f aca="false">IF($A167="","",IF(K167&gt;=80,"达标","未达标"))</f>
        <v/>
      </c>
      <c r="M167" s="64" t="str">
        <f aca="false">IF($A167="","",IFERROR(AVERAGEIFS(K$2:K167,WEEKNUM(A$2:A167,2),WEEKNUM(A167,2)),K167))</f>
        <v/>
      </c>
      <c r="N167" s="65" t="str">
        <f aca="false">IF($A167="","",IFERROR(COUNTIFS(A$2:A167,"&lt;&gt;",L$2:L167,"达标",WEEKNUM(A$2:A167,2),WEEKNUM(A167,2)),0))</f>
        <v/>
      </c>
      <c r="O167" s="62" t="str">
        <f aca="false">IF($A167="","",IF(L167="达标",IF(ROW()=2,1,IF(O166="",1,O166+1)),0))</f>
        <v/>
      </c>
      <c r="P167" s="63" t="str">
        <f aca="false">IF($A167="","",IF(ROW()&lt;=8,"基准周",IF(K167&gt;K160,"改善",IF(K167&lt;K160,"恶化","持平"))))</f>
        <v/>
      </c>
    </row>
    <row r="168" customFormat="false" ht="15" hidden="false" customHeight="true" outlineLevel="0" collapsed="false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2" t="str">
        <f aca="false">IF($A168="","",IF(B168=0,20,IF(B168=1,15,IF(B168=2,10,IF(B168=3,5,0))))+IF(C168="否",20,0)+IF(D168="是",20,0)+IF(E168=1,20,IF(E168=2,15,IF(E168=3,10,IF(E168=4,5,0))))+IF(F168="否",20,0))</f>
        <v/>
      </c>
      <c r="L168" s="63" t="str">
        <f aca="false">IF($A168="","",IF(K168&gt;=80,"达标","未达标"))</f>
        <v/>
      </c>
      <c r="M168" s="64" t="str">
        <f aca="false">IF($A168="","",IFERROR(AVERAGEIFS(K$2:K168,WEEKNUM(A$2:A168,2),WEEKNUM(A168,2)),K168))</f>
        <v/>
      </c>
      <c r="N168" s="65" t="str">
        <f aca="false">IF($A168="","",IFERROR(COUNTIFS(A$2:A168,"&lt;&gt;",L$2:L168,"达标",WEEKNUM(A$2:A168,2),WEEKNUM(A168,2)),0))</f>
        <v/>
      </c>
      <c r="O168" s="62" t="str">
        <f aca="false">IF($A168="","",IF(L168="达标",IF(ROW()=2,1,IF(O167="",1,O167+1)),0))</f>
        <v/>
      </c>
      <c r="P168" s="63" t="str">
        <f aca="false">IF($A168="","",IF(ROW()&lt;=8,"基准周",IF(K168&gt;K161,"改善",IF(K168&lt;K161,"恶化","持平"))))</f>
        <v/>
      </c>
    </row>
    <row r="169" customFormat="false" ht="15" hidden="false" customHeight="true" outlineLevel="0" collapsed="false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2" t="str">
        <f aca="false">IF($A169="","",IF(B169=0,20,IF(B169=1,15,IF(B169=2,10,IF(B169=3,5,0))))+IF(C169="否",20,0)+IF(D169="是",20,0)+IF(E169=1,20,IF(E169=2,15,IF(E169=3,10,IF(E169=4,5,0))))+IF(F169="否",20,0))</f>
        <v/>
      </c>
      <c r="L169" s="63" t="str">
        <f aca="false">IF($A169="","",IF(K169&gt;=80,"达标","未达标"))</f>
        <v/>
      </c>
      <c r="M169" s="64" t="str">
        <f aca="false">IF($A169="","",IFERROR(AVERAGEIFS(K$2:K169,WEEKNUM(A$2:A169,2),WEEKNUM(A169,2)),K169))</f>
        <v/>
      </c>
      <c r="N169" s="65" t="str">
        <f aca="false">IF($A169="","",IFERROR(COUNTIFS(A$2:A169,"&lt;&gt;",L$2:L169,"达标",WEEKNUM(A$2:A169,2),WEEKNUM(A169,2)),0))</f>
        <v/>
      </c>
      <c r="O169" s="62" t="str">
        <f aca="false">IF($A169="","",IF(L169="达标",IF(ROW()=2,1,IF(O168="",1,O168+1)),0))</f>
        <v/>
      </c>
      <c r="P169" s="63" t="str">
        <f aca="false">IF($A169="","",IF(ROW()&lt;=8,"基准周",IF(K169&gt;K162,"改善",IF(K169&lt;K162,"恶化","持平"))))</f>
        <v/>
      </c>
    </row>
    <row r="170" customFormat="false" ht="15" hidden="false" customHeight="true" outlineLevel="0" collapsed="false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2" t="str">
        <f aca="false">IF($A170="","",IF(B170=0,20,IF(B170=1,15,IF(B170=2,10,IF(B170=3,5,0))))+IF(C170="否",20,0)+IF(D170="是",20,0)+IF(E170=1,20,IF(E170=2,15,IF(E170=3,10,IF(E170=4,5,0))))+IF(F170="否",20,0))</f>
        <v/>
      </c>
      <c r="L170" s="63" t="str">
        <f aca="false">IF($A170="","",IF(K170&gt;=80,"达标","未达标"))</f>
        <v/>
      </c>
      <c r="M170" s="64" t="str">
        <f aca="false">IF($A170="","",IFERROR(AVERAGEIFS(K$2:K170,WEEKNUM(A$2:A170,2),WEEKNUM(A170,2)),K170))</f>
        <v/>
      </c>
      <c r="N170" s="65" t="str">
        <f aca="false">IF($A170="","",IFERROR(COUNTIFS(A$2:A170,"&lt;&gt;",L$2:L170,"达标",WEEKNUM(A$2:A170,2),WEEKNUM(A170,2)),0))</f>
        <v/>
      </c>
      <c r="O170" s="62" t="str">
        <f aca="false">IF($A170="","",IF(L170="达标",IF(ROW()=2,1,IF(O169="",1,O169+1)),0))</f>
        <v/>
      </c>
      <c r="P170" s="63" t="str">
        <f aca="false">IF($A170="","",IF(ROW()&lt;=8,"基准周",IF(K170&gt;K163,"改善",IF(K170&lt;K163,"恶化","持平"))))</f>
        <v/>
      </c>
    </row>
    <row r="171" customFormat="false" ht="15" hidden="false" customHeight="true" outlineLevel="0" collapsed="false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2" t="str">
        <f aca="false">IF($A171="","",IF(B171=0,20,IF(B171=1,15,IF(B171=2,10,IF(B171=3,5,0))))+IF(C171="否",20,0)+IF(D171="是",20,0)+IF(E171=1,20,IF(E171=2,15,IF(E171=3,10,IF(E171=4,5,0))))+IF(F171="否",20,0))</f>
        <v/>
      </c>
      <c r="L171" s="63" t="str">
        <f aca="false">IF($A171="","",IF(K171&gt;=80,"达标","未达标"))</f>
        <v/>
      </c>
      <c r="M171" s="64" t="str">
        <f aca="false">IF($A171="","",IFERROR(AVERAGEIFS(K$2:K171,WEEKNUM(A$2:A171,2),WEEKNUM(A171,2)),K171))</f>
        <v/>
      </c>
      <c r="N171" s="65" t="str">
        <f aca="false">IF($A171="","",IFERROR(COUNTIFS(A$2:A171,"&lt;&gt;",L$2:L171,"达标",WEEKNUM(A$2:A171,2),WEEKNUM(A171,2)),0))</f>
        <v/>
      </c>
      <c r="O171" s="62" t="str">
        <f aca="false">IF($A171="","",IF(L171="达标",IF(ROW()=2,1,IF(O170="",1,O170+1)),0))</f>
        <v/>
      </c>
      <c r="P171" s="63" t="str">
        <f aca="false">IF($A171="","",IF(ROW()&lt;=8,"基准周",IF(K171&gt;K164,"改善",IF(K171&lt;K164,"恶化","持平"))))</f>
        <v/>
      </c>
    </row>
    <row r="172" customFormat="false" ht="15" hidden="false" customHeight="true" outlineLevel="0" collapsed="false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2" t="str">
        <f aca="false">IF($A172="","",IF(B172=0,20,IF(B172=1,15,IF(B172=2,10,IF(B172=3,5,0))))+IF(C172="否",20,0)+IF(D172="是",20,0)+IF(E172=1,20,IF(E172=2,15,IF(E172=3,10,IF(E172=4,5,0))))+IF(F172="否",20,0))</f>
        <v/>
      </c>
      <c r="L172" s="63" t="str">
        <f aca="false">IF($A172="","",IF(K172&gt;=80,"达标","未达标"))</f>
        <v/>
      </c>
      <c r="M172" s="64" t="str">
        <f aca="false">IF($A172="","",IFERROR(AVERAGEIFS(K$2:K172,WEEKNUM(A$2:A172,2),WEEKNUM(A172,2)),K172))</f>
        <v/>
      </c>
      <c r="N172" s="65" t="str">
        <f aca="false">IF($A172="","",IFERROR(COUNTIFS(A$2:A172,"&lt;&gt;",L$2:L172,"达标",WEEKNUM(A$2:A172,2),WEEKNUM(A172,2)),0))</f>
        <v/>
      </c>
      <c r="O172" s="62" t="str">
        <f aca="false">IF($A172="","",IF(L172="达标",IF(ROW()=2,1,IF(O171="",1,O171+1)),0))</f>
        <v/>
      </c>
      <c r="P172" s="63" t="str">
        <f aca="false">IF($A172="","",IF(ROW()&lt;=8,"基准周",IF(K172&gt;K165,"改善",IF(K172&lt;K165,"恶化","持平"))))</f>
        <v/>
      </c>
    </row>
    <row r="173" customFormat="false" ht="15" hidden="false" customHeight="true" outlineLevel="0" collapsed="false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2" t="str">
        <f aca="false">IF($A173="","",IF(B173=0,20,IF(B173=1,15,IF(B173=2,10,IF(B173=3,5,0))))+IF(C173="否",20,0)+IF(D173="是",20,0)+IF(E173=1,20,IF(E173=2,15,IF(E173=3,10,IF(E173=4,5,0))))+IF(F173="否",20,0))</f>
        <v/>
      </c>
      <c r="L173" s="63" t="str">
        <f aca="false">IF($A173="","",IF(K173&gt;=80,"达标","未达标"))</f>
        <v/>
      </c>
      <c r="M173" s="64" t="str">
        <f aca="false">IF($A173="","",IFERROR(AVERAGEIFS(K$2:K173,WEEKNUM(A$2:A173,2),WEEKNUM(A173,2)),K173))</f>
        <v/>
      </c>
      <c r="N173" s="65" t="str">
        <f aca="false">IF($A173="","",IFERROR(COUNTIFS(A$2:A173,"&lt;&gt;",L$2:L173,"达标",WEEKNUM(A$2:A173,2),WEEKNUM(A173,2)),0))</f>
        <v/>
      </c>
      <c r="O173" s="62" t="str">
        <f aca="false">IF($A173="","",IF(L173="达标",IF(ROW()=2,1,IF(O172="",1,O172+1)),0))</f>
        <v/>
      </c>
      <c r="P173" s="63" t="str">
        <f aca="false">IF($A173="","",IF(ROW()&lt;=8,"基准周",IF(K173&gt;K166,"改善",IF(K173&lt;K166,"恶化","持平"))))</f>
        <v/>
      </c>
    </row>
    <row r="174" customFormat="false" ht="15" hidden="false" customHeight="true" outlineLevel="0" collapsed="false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2" t="str">
        <f aca="false">IF($A174="","",IF(B174=0,20,IF(B174=1,15,IF(B174=2,10,IF(B174=3,5,0))))+IF(C174="否",20,0)+IF(D174="是",20,0)+IF(E174=1,20,IF(E174=2,15,IF(E174=3,10,IF(E174=4,5,0))))+IF(F174="否",20,0))</f>
        <v/>
      </c>
      <c r="L174" s="63" t="str">
        <f aca="false">IF($A174="","",IF(K174&gt;=80,"达标","未达标"))</f>
        <v/>
      </c>
      <c r="M174" s="64" t="str">
        <f aca="false">IF($A174="","",IFERROR(AVERAGEIFS(K$2:K174,WEEKNUM(A$2:A174,2),WEEKNUM(A174,2)),K174))</f>
        <v/>
      </c>
      <c r="N174" s="65" t="str">
        <f aca="false">IF($A174="","",IFERROR(COUNTIFS(A$2:A174,"&lt;&gt;",L$2:L174,"达标",WEEKNUM(A$2:A174,2),WEEKNUM(A174,2)),0))</f>
        <v/>
      </c>
      <c r="O174" s="62" t="str">
        <f aca="false">IF($A174="","",IF(L174="达标",IF(ROW()=2,1,IF(O173="",1,O173+1)),0))</f>
        <v/>
      </c>
      <c r="P174" s="63" t="str">
        <f aca="false">IF($A174="","",IF(ROW()&lt;=8,"基准周",IF(K174&gt;K167,"改善",IF(K174&lt;K167,"恶化","持平"))))</f>
        <v/>
      </c>
    </row>
    <row r="175" customFormat="false" ht="15" hidden="false" customHeight="true" outlineLevel="0" collapsed="false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2" t="str">
        <f aca="false">IF($A175="","",IF(B175=0,20,IF(B175=1,15,IF(B175=2,10,IF(B175=3,5,0))))+IF(C175="否",20,0)+IF(D175="是",20,0)+IF(E175=1,20,IF(E175=2,15,IF(E175=3,10,IF(E175=4,5,0))))+IF(F175="否",20,0))</f>
        <v/>
      </c>
      <c r="L175" s="63" t="str">
        <f aca="false">IF($A175="","",IF(K175&gt;=80,"达标","未达标"))</f>
        <v/>
      </c>
      <c r="M175" s="64" t="str">
        <f aca="false">IF($A175="","",IFERROR(AVERAGEIFS(K$2:K175,WEEKNUM(A$2:A175,2),WEEKNUM(A175,2)),K175))</f>
        <v/>
      </c>
      <c r="N175" s="65" t="str">
        <f aca="false">IF($A175="","",IFERROR(COUNTIFS(A$2:A175,"&lt;&gt;",L$2:L175,"达标",WEEKNUM(A$2:A175,2),WEEKNUM(A175,2)),0))</f>
        <v/>
      </c>
      <c r="O175" s="62" t="str">
        <f aca="false">IF($A175="","",IF(L175="达标",IF(ROW()=2,1,IF(O174="",1,O174+1)),0))</f>
        <v/>
      </c>
      <c r="P175" s="63" t="str">
        <f aca="false">IF($A175="","",IF(ROW()&lt;=8,"基准周",IF(K175&gt;K168,"改善",IF(K175&lt;K168,"恶化","持平"))))</f>
        <v/>
      </c>
    </row>
    <row r="176" customFormat="false" ht="15" hidden="false" customHeight="true" outlineLevel="0" collapsed="false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2" t="str">
        <f aca="false">IF($A176="","",IF(B176=0,20,IF(B176=1,15,IF(B176=2,10,IF(B176=3,5,0))))+IF(C176="否",20,0)+IF(D176="是",20,0)+IF(E176=1,20,IF(E176=2,15,IF(E176=3,10,IF(E176=4,5,0))))+IF(F176="否",20,0))</f>
        <v/>
      </c>
      <c r="L176" s="63" t="str">
        <f aca="false">IF($A176="","",IF(K176&gt;=80,"达标","未达标"))</f>
        <v/>
      </c>
      <c r="M176" s="64" t="str">
        <f aca="false">IF($A176="","",IFERROR(AVERAGEIFS(K$2:K176,WEEKNUM(A$2:A176,2),WEEKNUM(A176,2)),K176))</f>
        <v/>
      </c>
      <c r="N176" s="65" t="str">
        <f aca="false">IF($A176="","",IFERROR(COUNTIFS(A$2:A176,"&lt;&gt;",L$2:L176,"达标",WEEKNUM(A$2:A176,2),WEEKNUM(A176,2)),0))</f>
        <v/>
      </c>
      <c r="O176" s="62" t="str">
        <f aca="false">IF($A176="","",IF(L176="达标",IF(ROW()=2,1,IF(O175="",1,O175+1)),0))</f>
        <v/>
      </c>
      <c r="P176" s="63" t="str">
        <f aca="false">IF($A176="","",IF(ROW()&lt;=8,"基准周",IF(K176&gt;K169,"改善",IF(K176&lt;K169,"恶化","持平"))))</f>
        <v/>
      </c>
    </row>
    <row r="177" customFormat="false" ht="15" hidden="false" customHeight="true" outlineLevel="0" collapsed="false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2" t="str">
        <f aca="false">IF($A177="","",IF(B177=0,20,IF(B177=1,15,IF(B177=2,10,IF(B177=3,5,0))))+IF(C177="否",20,0)+IF(D177="是",20,0)+IF(E177=1,20,IF(E177=2,15,IF(E177=3,10,IF(E177=4,5,0))))+IF(F177="否",20,0))</f>
        <v/>
      </c>
      <c r="L177" s="63" t="str">
        <f aca="false">IF($A177="","",IF(K177&gt;=80,"达标","未达标"))</f>
        <v/>
      </c>
      <c r="M177" s="64" t="str">
        <f aca="false">IF($A177="","",IFERROR(AVERAGEIFS(K$2:K177,WEEKNUM(A$2:A177,2),WEEKNUM(A177,2)),K177))</f>
        <v/>
      </c>
      <c r="N177" s="65" t="str">
        <f aca="false">IF($A177="","",IFERROR(COUNTIFS(A$2:A177,"&lt;&gt;",L$2:L177,"达标",WEEKNUM(A$2:A177,2),WEEKNUM(A177,2)),0))</f>
        <v/>
      </c>
      <c r="O177" s="62" t="str">
        <f aca="false">IF($A177="","",IF(L177="达标",IF(ROW()=2,1,IF(O176="",1,O176+1)),0))</f>
        <v/>
      </c>
      <c r="P177" s="63" t="str">
        <f aca="false">IF($A177="","",IF(ROW()&lt;=8,"基准周",IF(K177&gt;K170,"改善",IF(K177&lt;K170,"恶化","持平"))))</f>
        <v/>
      </c>
    </row>
    <row r="178" customFormat="false" ht="15" hidden="false" customHeight="true" outlineLevel="0" collapsed="false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2" t="str">
        <f aca="false">IF($A178="","",IF(B178=0,20,IF(B178=1,15,IF(B178=2,10,IF(B178=3,5,0))))+IF(C178="否",20,0)+IF(D178="是",20,0)+IF(E178=1,20,IF(E178=2,15,IF(E178=3,10,IF(E178=4,5,0))))+IF(F178="否",20,0))</f>
        <v/>
      </c>
      <c r="L178" s="63" t="str">
        <f aca="false">IF($A178="","",IF(K178&gt;=80,"达标","未达标"))</f>
        <v/>
      </c>
      <c r="M178" s="64" t="str">
        <f aca="false">IF($A178="","",IFERROR(AVERAGEIFS(K$2:K178,WEEKNUM(A$2:A178,2),WEEKNUM(A178,2)),K178))</f>
        <v/>
      </c>
      <c r="N178" s="65" t="str">
        <f aca="false">IF($A178="","",IFERROR(COUNTIFS(A$2:A178,"&lt;&gt;",L$2:L178,"达标",WEEKNUM(A$2:A178,2),WEEKNUM(A178,2)),0))</f>
        <v/>
      </c>
      <c r="O178" s="62" t="str">
        <f aca="false">IF($A178="","",IF(L178="达标",IF(ROW()=2,1,IF(O177="",1,O177+1)),0))</f>
        <v/>
      </c>
      <c r="P178" s="63" t="str">
        <f aca="false">IF($A178="","",IF(ROW()&lt;=8,"基准周",IF(K178&gt;K171,"改善",IF(K178&lt;K171,"恶化","持平"))))</f>
        <v/>
      </c>
    </row>
    <row r="179" customFormat="false" ht="15" hidden="false" customHeight="true" outlineLevel="0" collapsed="false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2" t="str">
        <f aca="false">IF($A179="","",IF(B179=0,20,IF(B179=1,15,IF(B179=2,10,IF(B179=3,5,0))))+IF(C179="否",20,0)+IF(D179="是",20,0)+IF(E179=1,20,IF(E179=2,15,IF(E179=3,10,IF(E179=4,5,0))))+IF(F179="否",20,0))</f>
        <v/>
      </c>
      <c r="L179" s="63" t="str">
        <f aca="false">IF($A179="","",IF(K179&gt;=80,"达标","未达标"))</f>
        <v/>
      </c>
      <c r="M179" s="64" t="str">
        <f aca="false">IF($A179="","",IFERROR(AVERAGEIFS(K$2:K179,WEEKNUM(A$2:A179,2),WEEKNUM(A179,2)),K179))</f>
        <v/>
      </c>
      <c r="N179" s="65" t="str">
        <f aca="false">IF($A179="","",IFERROR(COUNTIFS(A$2:A179,"&lt;&gt;",L$2:L179,"达标",WEEKNUM(A$2:A179,2),WEEKNUM(A179,2)),0))</f>
        <v/>
      </c>
      <c r="O179" s="62" t="str">
        <f aca="false">IF($A179="","",IF(L179="达标",IF(ROW()=2,1,IF(O178="",1,O178+1)),0))</f>
        <v/>
      </c>
      <c r="P179" s="63" t="str">
        <f aca="false">IF($A179="","",IF(ROW()&lt;=8,"基准周",IF(K179&gt;K172,"改善",IF(K179&lt;K172,"恶化","持平"))))</f>
        <v/>
      </c>
    </row>
    <row r="180" customFormat="false" ht="15" hidden="false" customHeight="true" outlineLevel="0" collapsed="false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2" t="str">
        <f aca="false">IF($A180="","",IF(B180=0,20,IF(B180=1,15,IF(B180=2,10,IF(B180=3,5,0))))+IF(C180="否",20,0)+IF(D180="是",20,0)+IF(E180=1,20,IF(E180=2,15,IF(E180=3,10,IF(E180=4,5,0))))+IF(F180="否",20,0))</f>
        <v/>
      </c>
      <c r="L180" s="63" t="str">
        <f aca="false">IF($A180="","",IF(K180&gt;=80,"达标","未达标"))</f>
        <v/>
      </c>
      <c r="M180" s="64" t="str">
        <f aca="false">IF($A180="","",IFERROR(AVERAGEIFS(K$2:K180,WEEKNUM(A$2:A180,2),WEEKNUM(A180,2)),K180))</f>
        <v/>
      </c>
      <c r="N180" s="65" t="str">
        <f aca="false">IF($A180="","",IFERROR(COUNTIFS(A$2:A180,"&lt;&gt;",L$2:L180,"达标",WEEKNUM(A$2:A180,2),WEEKNUM(A180,2)),0))</f>
        <v/>
      </c>
      <c r="O180" s="62" t="str">
        <f aca="false">IF($A180="","",IF(L180="达标",IF(ROW()=2,1,IF(O179="",1,O179+1)),0))</f>
        <v/>
      </c>
      <c r="P180" s="63" t="str">
        <f aca="false">IF($A180="","",IF(ROW()&lt;=8,"基准周",IF(K180&gt;K173,"改善",IF(K180&lt;K173,"恶化","持平"))))</f>
        <v/>
      </c>
    </row>
    <row r="181" customFormat="false" ht="15" hidden="false" customHeight="true" outlineLevel="0" collapsed="false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2" t="str">
        <f aca="false">IF($A181="","",IF(B181=0,20,IF(B181=1,15,IF(B181=2,10,IF(B181=3,5,0))))+IF(C181="否",20,0)+IF(D181="是",20,0)+IF(E181=1,20,IF(E181=2,15,IF(E181=3,10,IF(E181=4,5,0))))+IF(F181="否",20,0))</f>
        <v/>
      </c>
      <c r="L181" s="63" t="str">
        <f aca="false">IF($A181="","",IF(K181&gt;=80,"达标","未达标"))</f>
        <v/>
      </c>
      <c r="M181" s="64" t="str">
        <f aca="false">IF($A181="","",IFERROR(AVERAGEIFS(K$2:K181,WEEKNUM(A$2:A181,2),WEEKNUM(A181,2)),K181))</f>
        <v/>
      </c>
      <c r="N181" s="65" t="str">
        <f aca="false">IF($A181="","",IFERROR(COUNTIFS(A$2:A181,"&lt;&gt;",L$2:L181,"达标",WEEKNUM(A$2:A181,2),WEEKNUM(A181,2)),0))</f>
        <v/>
      </c>
      <c r="O181" s="62" t="str">
        <f aca="false">IF($A181="","",IF(L181="达标",IF(ROW()=2,1,IF(O180="",1,O180+1)),0))</f>
        <v/>
      </c>
      <c r="P181" s="63" t="str">
        <f aca="false">IF($A181="","",IF(ROW()&lt;=8,"基准周",IF(K181&gt;K174,"改善",IF(K181&lt;K174,"恶化","持平"))))</f>
        <v/>
      </c>
    </row>
    <row r="182" customFormat="false" ht="15" hidden="false" customHeight="true" outlineLevel="0" collapsed="false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2" t="str">
        <f aca="false">IF($A182="","",IF(B182=0,20,IF(B182=1,15,IF(B182=2,10,IF(B182=3,5,0))))+IF(C182="否",20,0)+IF(D182="是",20,0)+IF(E182=1,20,IF(E182=2,15,IF(E182=3,10,IF(E182=4,5,0))))+IF(F182="否",20,0))</f>
        <v/>
      </c>
      <c r="L182" s="63" t="str">
        <f aca="false">IF($A182="","",IF(K182&gt;=80,"达标","未达标"))</f>
        <v/>
      </c>
      <c r="M182" s="64" t="str">
        <f aca="false">IF($A182="","",IFERROR(AVERAGEIFS(K$2:K182,WEEKNUM(A$2:A182,2),WEEKNUM(A182,2)),K182))</f>
        <v/>
      </c>
      <c r="N182" s="65" t="str">
        <f aca="false">IF($A182="","",IFERROR(COUNTIFS(A$2:A182,"&lt;&gt;",L$2:L182,"达标",WEEKNUM(A$2:A182,2),WEEKNUM(A182,2)),0))</f>
        <v/>
      </c>
      <c r="O182" s="62" t="str">
        <f aca="false">IF($A182="","",IF(L182="达标",IF(ROW()=2,1,IF(O181="",1,O181+1)),0))</f>
        <v/>
      </c>
      <c r="P182" s="63" t="str">
        <f aca="false">IF($A182="","",IF(ROW()&lt;=8,"基准周",IF(K182&gt;K175,"改善",IF(K182&lt;K175,"恶化","持平"))))</f>
        <v/>
      </c>
    </row>
    <row r="183" customFormat="false" ht="15" hidden="false" customHeight="true" outlineLevel="0" collapsed="false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2" t="str">
        <f aca="false">IF($A183="","",IF(B183=0,20,IF(B183=1,15,IF(B183=2,10,IF(B183=3,5,0))))+IF(C183="否",20,0)+IF(D183="是",20,0)+IF(E183=1,20,IF(E183=2,15,IF(E183=3,10,IF(E183=4,5,0))))+IF(F183="否",20,0))</f>
        <v/>
      </c>
      <c r="L183" s="63" t="str">
        <f aca="false">IF($A183="","",IF(K183&gt;=80,"达标","未达标"))</f>
        <v/>
      </c>
      <c r="M183" s="64" t="str">
        <f aca="false">IF($A183="","",IFERROR(AVERAGEIFS(K$2:K183,WEEKNUM(A$2:A183,2),WEEKNUM(A183,2)),K183))</f>
        <v/>
      </c>
      <c r="N183" s="65" t="str">
        <f aca="false">IF($A183="","",IFERROR(COUNTIFS(A$2:A183,"&lt;&gt;",L$2:L183,"达标",WEEKNUM(A$2:A183,2),WEEKNUM(A183,2)),0))</f>
        <v/>
      </c>
      <c r="O183" s="62" t="str">
        <f aca="false">IF($A183="","",IF(L183="达标",IF(ROW()=2,1,IF(O182="",1,O182+1)),0))</f>
        <v/>
      </c>
      <c r="P183" s="63" t="str">
        <f aca="false">IF($A183="","",IF(ROW()&lt;=8,"基准周",IF(K183&gt;K176,"改善",IF(K183&lt;K176,"恶化","持平"))))</f>
        <v/>
      </c>
    </row>
    <row r="184" customFormat="false" ht="15" hidden="false" customHeight="true" outlineLevel="0" collapsed="false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2" t="str">
        <f aca="false">IF($A184="","",IF(B184=0,20,IF(B184=1,15,IF(B184=2,10,IF(B184=3,5,0))))+IF(C184="否",20,0)+IF(D184="是",20,0)+IF(E184=1,20,IF(E184=2,15,IF(E184=3,10,IF(E184=4,5,0))))+IF(F184="否",20,0))</f>
        <v/>
      </c>
      <c r="L184" s="63" t="str">
        <f aca="false">IF($A184="","",IF(K184&gt;=80,"达标","未达标"))</f>
        <v/>
      </c>
      <c r="M184" s="64" t="str">
        <f aca="false">IF($A184="","",IFERROR(AVERAGEIFS(K$2:K184,WEEKNUM(A$2:A184,2),WEEKNUM(A184,2)),K184))</f>
        <v/>
      </c>
      <c r="N184" s="65" t="str">
        <f aca="false">IF($A184="","",IFERROR(COUNTIFS(A$2:A184,"&lt;&gt;",L$2:L184,"达标",WEEKNUM(A$2:A184,2),WEEKNUM(A184,2)),0))</f>
        <v/>
      </c>
      <c r="O184" s="62" t="str">
        <f aca="false">IF($A184="","",IF(L184="达标",IF(ROW()=2,1,IF(O183="",1,O183+1)),0))</f>
        <v/>
      </c>
      <c r="P184" s="63" t="str">
        <f aca="false">IF($A184="","",IF(ROW()&lt;=8,"基准周",IF(K184&gt;K177,"改善",IF(K184&lt;K177,"恶化","持平"))))</f>
        <v/>
      </c>
    </row>
    <row r="185" customFormat="false" ht="15" hidden="false" customHeight="true" outlineLevel="0" collapsed="false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2" t="str">
        <f aca="false">IF($A185="","",IF(B185=0,20,IF(B185=1,15,IF(B185=2,10,IF(B185=3,5,0))))+IF(C185="否",20,0)+IF(D185="是",20,0)+IF(E185=1,20,IF(E185=2,15,IF(E185=3,10,IF(E185=4,5,0))))+IF(F185="否",20,0))</f>
        <v/>
      </c>
      <c r="L185" s="63" t="str">
        <f aca="false">IF($A185="","",IF(K185&gt;=80,"达标","未达标"))</f>
        <v/>
      </c>
      <c r="M185" s="64" t="str">
        <f aca="false">IF($A185="","",IFERROR(AVERAGEIFS(K$2:K185,WEEKNUM(A$2:A185,2),WEEKNUM(A185,2)),K185))</f>
        <v/>
      </c>
      <c r="N185" s="65" t="str">
        <f aca="false">IF($A185="","",IFERROR(COUNTIFS(A$2:A185,"&lt;&gt;",L$2:L185,"达标",WEEKNUM(A$2:A185,2),WEEKNUM(A185,2)),0))</f>
        <v/>
      </c>
      <c r="O185" s="62" t="str">
        <f aca="false">IF($A185="","",IF(L185="达标",IF(ROW()=2,1,IF(O184="",1,O184+1)),0))</f>
        <v/>
      </c>
      <c r="P185" s="63" t="str">
        <f aca="false">IF($A185="","",IF(ROW()&lt;=8,"基准周",IF(K185&gt;K178,"改善",IF(K185&lt;K178,"恶化","持平"))))</f>
        <v/>
      </c>
    </row>
    <row r="186" customFormat="false" ht="15" hidden="false" customHeight="true" outlineLevel="0" collapsed="false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2" t="str">
        <f aca="false">IF($A186="","",IF(B186=0,20,IF(B186=1,15,IF(B186=2,10,IF(B186=3,5,0))))+IF(C186="否",20,0)+IF(D186="是",20,0)+IF(E186=1,20,IF(E186=2,15,IF(E186=3,10,IF(E186=4,5,0))))+IF(F186="否",20,0))</f>
        <v/>
      </c>
      <c r="L186" s="63" t="str">
        <f aca="false">IF($A186="","",IF(K186&gt;=80,"达标","未达标"))</f>
        <v/>
      </c>
      <c r="M186" s="64" t="str">
        <f aca="false">IF($A186="","",IFERROR(AVERAGEIFS(K$2:K186,WEEKNUM(A$2:A186,2),WEEKNUM(A186,2)),K186))</f>
        <v/>
      </c>
      <c r="N186" s="65" t="str">
        <f aca="false">IF($A186="","",IFERROR(COUNTIFS(A$2:A186,"&lt;&gt;",L$2:L186,"达标",WEEKNUM(A$2:A186,2),WEEKNUM(A186,2)),0))</f>
        <v/>
      </c>
      <c r="O186" s="62" t="str">
        <f aca="false">IF($A186="","",IF(L186="达标",IF(ROW()=2,1,IF(O185="",1,O185+1)),0))</f>
        <v/>
      </c>
      <c r="P186" s="63" t="str">
        <f aca="false">IF($A186="","",IF(ROW()&lt;=8,"基准周",IF(K186&gt;K179,"改善",IF(K186&lt;K179,"恶化","持平"))))</f>
        <v/>
      </c>
    </row>
    <row r="187" customFormat="false" ht="15" hidden="false" customHeight="true" outlineLevel="0" collapsed="false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2" t="str">
        <f aca="false">IF($A187="","",IF(B187=0,20,IF(B187=1,15,IF(B187=2,10,IF(B187=3,5,0))))+IF(C187="否",20,0)+IF(D187="是",20,0)+IF(E187=1,20,IF(E187=2,15,IF(E187=3,10,IF(E187=4,5,0))))+IF(F187="否",20,0))</f>
        <v/>
      </c>
      <c r="L187" s="63" t="str">
        <f aca="false">IF($A187="","",IF(K187&gt;=80,"达标","未达标"))</f>
        <v/>
      </c>
      <c r="M187" s="64" t="str">
        <f aca="false">IF($A187="","",IFERROR(AVERAGEIFS(K$2:K187,WEEKNUM(A$2:A187,2),WEEKNUM(A187,2)),K187))</f>
        <v/>
      </c>
      <c r="N187" s="65" t="str">
        <f aca="false">IF($A187="","",IFERROR(COUNTIFS(A$2:A187,"&lt;&gt;",L$2:L187,"达标",WEEKNUM(A$2:A187,2),WEEKNUM(A187,2)),0))</f>
        <v/>
      </c>
      <c r="O187" s="62" t="str">
        <f aca="false">IF($A187="","",IF(L187="达标",IF(ROW()=2,1,IF(O186="",1,O186+1)),0))</f>
        <v/>
      </c>
      <c r="P187" s="63" t="str">
        <f aca="false">IF($A187="","",IF(ROW()&lt;=8,"基准周",IF(K187&gt;K180,"改善",IF(K187&lt;K180,"恶化","持平"))))</f>
        <v/>
      </c>
    </row>
    <row r="188" customFormat="false" ht="15" hidden="false" customHeight="true" outlineLevel="0" collapsed="false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2" t="str">
        <f aca="false">IF($A188="","",IF(B188=0,20,IF(B188=1,15,IF(B188=2,10,IF(B188=3,5,0))))+IF(C188="否",20,0)+IF(D188="是",20,0)+IF(E188=1,20,IF(E188=2,15,IF(E188=3,10,IF(E188=4,5,0))))+IF(F188="否",20,0))</f>
        <v/>
      </c>
      <c r="L188" s="63" t="str">
        <f aca="false">IF($A188="","",IF(K188&gt;=80,"达标","未达标"))</f>
        <v/>
      </c>
      <c r="M188" s="64" t="str">
        <f aca="false">IF($A188="","",IFERROR(AVERAGEIFS(K$2:K188,WEEKNUM(A$2:A188,2),WEEKNUM(A188,2)),K188))</f>
        <v/>
      </c>
      <c r="N188" s="65" t="str">
        <f aca="false">IF($A188="","",IFERROR(COUNTIFS(A$2:A188,"&lt;&gt;",L$2:L188,"达标",WEEKNUM(A$2:A188,2),WEEKNUM(A188,2)),0))</f>
        <v/>
      </c>
      <c r="O188" s="62" t="str">
        <f aca="false">IF($A188="","",IF(L188="达标",IF(ROW()=2,1,IF(O187="",1,O187+1)),0))</f>
        <v/>
      </c>
      <c r="P188" s="63" t="str">
        <f aca="false">IF($A188="","",IF(ROW()&lt;=8,"基准周",IF(K188&gt;K181,"改善",IF(K188&lt;K181,"恶化","持平"))))</f>
        <v/>
      </c>
    </row>
    <row r="189" customFormat="false" ht="15" hidden="false" customHeight="true" outlineLevel="0" collapsed="false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2" t="str">
        <f aca="false">IF($A189="","",IF(B189=0,20,IF(B189=1,15,IF(B189=2,10,IF(B189=3,5,0))))+IF(C189="否",20,0)+IF(D189="是",20,0)+IF(E189=1,20,IF(E189=2,15,IF(E189=3,10,IF(E189=4,5,0))))+IF(F189="否",20,0))</f>
        <v/>
      </c>
      <c r="L189" s="63" t="str">
        <f aca="false">IF($A189="","",IF(K189&gt;=80,"达标","未达标"))</f>
        <v/>
      </c>
      <c r="M189" s="64" t="str">
        <f aca="false">IF($A189="","",IFERROR(AVERAGEIFS(K$2:K189,WEEKNUM(A$2:A189,2),WEEKNUM(A189,2)),K189))</f>
        <v/>
      </c>
      <c r="N189" s="65" t="str">
        <f aca="false">IF($A189="","",IFERROR(COUNTIFS(A$2:A189,"&lt;&gt;",L$2:L189,"达标",WEEKNUM(A$2:A189,2),WEEKNUM(A189,2)),0))</f>
        <v/>
      </c>
      <c r="O189" s="62" t="str">
        <f aca="false">IF($A189="","",IF(L189="达标",IF(ROW()=2,1,IF(O188="",1,O188+1)),0))</f>
        <v/>
      </c>
      <c r="P189" s="63" t="str">
        <f aca="false">IF($A189="","",IF(ROW()&lt;=8,"基准周",IF(K189&gt;K182,"改善",IF(K189&lt;K182,"恶化","持平"))))</f>
        <v/>
      </c>
    </row>
    <row r="190" customFormat="false" ht="15" hidden="false" customHeight="true" outlineLevel="0" collapsed="false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2" t="str">
        <f aca="false">IF($A190="","",IF(B190=0,20,IF(B190=1,15,IF(B190=2,10,IF(B190=3,5,0))))+IF(C190="否",20,0)+IF(D190="是",20,0)+IF(E190=1,20,IF(E190=2,15,IF(E190=3,10,IF(E190=4,5,0))))+IF(F190="否",20,0))</f>
        <v/>
      </c>
      <c r="L190" s="63" t="str">
        <f aca="false">IF($A190="","",IF(K190&gt;=80,"达标","未达标"))</f>
        <v/>
      </c>
      <c r="M190" s="64" t="str">
        <f aca="false">IF($A190="","",IFERROR(AVERAGEIFS(K$2:K190,WEEKNUM(A$2:A190,2),WEEKNUM(A190,2)),K190))</f>
        <v/>
      </c>
      <c r="N190" s="65" t="str">
        <f aca="false">IF($A190="","",IFERROR(COUNTIFS(A$2:A190,"&lt;&gt;",L$2:L190,"达标",WEEKNUM(A$2:A190,2),WEEKNUM(A190,2)),0))</f>
        <v/>
      </c>
      <c r="O190" s="62" t="str">
        <f aca="false">IF($A190="","",IF(L190="达标",IF(ROW()=2,1,IF(O189="",1,O189+1)),0))</f>
        <v/>
      </c>
      <c r="P190" s="63" t="str">
        <f aca="false">IF($A190="","",IF(ROW()&lt;=8,"基准周",IF(K190&gt;K183,"改善",IF(K190&lt;K183,"恶化","持平"))))</f>
        <v/>
      </c>
    </row>
    <row r="191" customFormat="false" ht="15" hidden="false" customHeight="true" outlineLevel="0" collapsed="false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2" t="str">
        <f aca="false">IF($A191="","",IF(B191=0,20,IF(B191=1,15,IF(B191=2,10,IF(B191=3,5,0))))+IF(C191="否",20,0)+IF(D191="是",20,0)+IF(E191=1,20,IF(E191=2,15,IF(E191=3,10,IF(E191=4,5,0))))+IF(F191="否",20,0))</f>
        <v/>
      </c>
      <c r="L191" s="63" t="str">
        <f aca="false">IF($A191="","",IF(K191&gt;=80,"达标","未达标"))</f>
        <v/>
      </c>
      <c r="M191" s="64" t="str">
        <f aca="false">IF($A191="","",IFERROR(AVERAGEIFS(K$2:K191,WEEKNUM(A$2:A191,2),WEEKNUM(A191,2)),K191))</f>
        <v/>
      </c>
      <c r="N191" s="65" t="str">
        <f aca="false">IF($A191="","",IFERROR(COUNTIFS(A$2:A191,"&lt;&gt;",L$2:L191,"达标",WEEKNUM(A$2:A191,2),WEEKNUM(A191,2)),0))</f>
        <v/>
      </c>
      <c r="O191" s="62" t="str">
        <f aca="false">IF($A191="","",IF(L191="达标",IF(ROW()=2,1,IF(O190="",1,O190+1)),0))</f>
        <v/>
      </c>
      <c r="P191" s="63" t="str">
        <f aca="false">IF($A191="","",IF(ROW()&lt;=8,"基准周",IF(K191&gt;K184,"改善",IF(K191&lt;K184,"恶化","持平"))))</f>
        <v/>
      </c>
    </row>
    <row r="192" customFormat="false" ht="15" hidden="false" customHeight="true" outlineLevel="0" collapsed="false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2" t="str">
        <f aca="false">IF($A192="","",IF(B192=0,20,IF(B192=1,15,IF(B192=2,10,IF(B192=3,5,0))))+IF(C192="否",20,0)+IF(D192="是",20,0)+IF(E192=1,20,IF(E192=2,15,IF(E192=3,10,IF(E192=4,5,0))))+IF(F192="否",20,0))</f>
        <v/>
      </c>
      <c r="L192" s="63" t="str">
        <f aca="false">IF($A192="","",IF(K192&gt;=80,"达标","未达标"))</f>
        <v/>
      </c>
      <c r="M192" s="64" t="str">
        <f aca="false">IF($A192="","",IFERROR(AVERAGEIFS(K$2:K192,WEEKNUM(A$2:A192,2),WEEKNUM(A192,2)),K192))</f>
        <v/>
      </c>
      <c r="N192" s="65" t="str">
        <f aca="false">IF($A192="","",IFERROR(COUNTIFS(A$2:A192,"&lt;&gt;",L$2:L192,"达标",WEEKNUM(A$2:A192,2),WEEKNUM(A192,2)),0))</f>
        <v/>
      </c>
      <c r="O192" s="62" t="str">
        <f aca="false">IF($A192="","",IF(L192="达标",IF(ROW()=2,1,IF(O191="",1,O191+1)),0))</f>
        <v/>
      </c>
      <c r="P192" s="63" t="str">
        <f aca="false">IF($A192="","",IF(ROW()&lt;=8,"基准周",IF(K192&gt;K185,"改善",IF(K192&lt;K185,"恶化","持平"))))</f>
        <v/>
      </c>
    </row>
    <row r="193" customFormat="false" ht="15" hidden="false" customHeight="true" outlineLevel="0" collapsed="false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2" t="str">
        <f aca="false">IF($A193="","",IF(B193=0,20,IF(B193=1,15,IF(B193=2,10,IF(B193=3,5,0))))+IF(C193="否",20,0)+IF(D193="是",20,0)+IF(E193=1,20,IF(E193=2,15,IF(E193=3,10,IF(E193=4,5,0))))+IF(F193="否",20,0))</f>
        <v/>
      </c>
      <c r="L193" s="63" t="str">
        <f aca="false">IF($A193="","",IF(K193&gt;=80,"达标","未达标"))</f>
        <v/>
      </c>
      <c r="M193" s="64" t="str">
        <f aca="false">IF($A193="","",IFERROR(AVERAGEIFS(K$2:K193,WEEKNUM(A$2:A193,2),WEEKNUM(A193,2)),K193))</f>
        <v/>
      </c>
      <c r="N193" s="65" t="str">
        <f aca="false">IF($A193="","",IFERROR(COUNTIFS(A$2:A193,"&lt;&gt;",L$2:L193,"达标",WEEKNUM(A$2:A193,2),WEEKNUM(A193,2)),0))</f>
        <v/>
      </c>
      <c r="O193" s="62" t="str">
        <f aca="false">IF($A193="","",IF(L193="达标",IF(ROW()=2,1,IF(O192="",1,O192+1)),0))</f>
        <v/>
      </c>
      <c r="P193" s="63" t="str">
        <f aca="false">IF($A193="","",IF(ROW()&lt;=8,"基准周",IF(K193&gt;K186,"改善",IF(K193&lt;K186,"恶化","持平"))))</f>
        <v/>
      </c>
    </row>
    <row r="194" customFormat="false" ht="15" hidden="false" customHeight="true" outlineLevel="0" collapsed="false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2" t="str">
        <f aca="false">IF($A194="","",IF(B194=0,20,IF(B194=1,15,IF(B194=2,10,IF(B194=3,5,0))))+IF(C194="否",20,0)+IF(D194="是",20,0)+IF(E194=1,20,IF(E194=2,15,IF(E194=3,10,IF(E194=4,5,0))))+IF(F194="否",20,0))</f>
        <v/>
      </c>
      <c r="L194" s="63" t="str">
        <f aca="false">IF($A194="","",IF(K194&gt;=80,"达标","未达标"))</f>
        <v/>
      </c>
      <c r="M194" s="64" t="str">
        <f aca="false">IF($A194="","",IFERROR(AVERAGEIFS(K$2:K194,WEEKNUM(A$2:A194,2),WEEKNUM(A194,2)),K194))</f>
        <v/>
      </c>
      <c r="N194" s="65" t="str">
        <f aca="false">IF($A194="","",IFERROR(COUNTIFS(A$2:A194,"&lt;&gt;",L$2:L194,"达标",WEEKNUM(A$2:A194,2),WEEKNUM(A194,2)),0))</f>
        <v/>
      </c>
      <c r="O194" s="62" t="str">
        <f aca="false">IF($A194="","",IF(L194="达标",IF(ROW()=2,1,IF(O193="",1,O193+1)),0))</f>
        <v/>
      </c>
      <c r="P194" s="63" t="str">
        <f aca="false">IF($A194="","",IF(ROW()&lt;=8,"基准周",IF(K194&gt;K187,"改善",IF(K194&lt;K187,"恶化","持平"))))</f>
        <v/>
      </c>
    </row>
    <row r="195" customFormat="false" ht="15" hidden="false" customHeight="true" outlineLevel="0" collapsed="false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2" t="str">
        <f aca="false">IF($A195="","",IF(B195=0,20,IF(B195=1,15,IF(B195=2,10,IF(B195=3,5,0))))+IF(C195="否",20,0)+IF(D195="是",20,0)+IF(E195=1,20,IF(E195=2,15,IF(E195=3,10,IF(E195=4,5,0))))+IF(F195="否",20,0))</f>
        <v/>
      </c>
      <c r="L195" s="63" t="str">
        <f aca="false">IF($A195="","",IF(K195&gt;=80,"达标","未达标"))</f>
        <v/>
      </c>
      <c r="M195" s="64" t="str">
        <f aca="false">IF($A195="","",IFERROR(AVERAGEIFS(K$2:K195,WEEKNUM(A$2:A195,2),WEEKNUM(A195,2)),K195))</f>
        <v/>
      </c>
      <c r="N195" s="65" t="str">
        <f aca="false">IF($A195="","",IFERROR(COUNTIFS(A$2:A195,"&lt;&gt;",L$2:L195,"达标",WEEKNUM(A$2:A195,2),WEEKNUM(A195,2)),0))</f>
        <v/>
      </c>
      <c r="O195" s="62" t="str">
        <f aca="false">IF($A195="","",IF(L195="达标",IF(ROW()=2,1,IF(O194="",1,O194+1)),0))</f>
        <v/>
      </c>
      <c r="P195" s="63" t="str">
        <f aca="false">IF($A195="","",IF(ROW()&lt;=8,"基准周",IF(K195&gt;K188,"改善",IF(K195&lt;K188,"恶化","持平"))))</f>
        <v/>
      </c>
    </row>
    <row r="196" customFormat="false" ht="15" hidden="false" customHeight="true" outlineLevel="0" collapsed="false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2" t="str">
        <f aca="false">IF($A196="","",IF(B196=0,20,IF(B196=1,15,IF(B196=2,10,IF(B196=3,5,0))))+IF(C196="否",20,0)+IF(D196="是",20,0)+IF(E196=1,20,IF(E196=2,15,IF(E196=3,10,IF(E196=4,5,0))))+IF(F196="否",20,0))</f>
        <v/>
      </c>
      <c r="L196" s="63" t="str">
        <f aca="false">IF($A196="","",IF(K196&gt;=80,"达标","未达标"))</f>
        <v/>
      </c>
      <c r="M196" s="64" t="str">
        <f aca="false">IF($A196="","",IFERROR(AVERAGEIFS(K$2:K196,WEEKNUM(A$2:A196,2),WEEKNUM(A196,2)),K196))</f>
        <v/>
      </c>
      <c r="N196" s="65" t="str">
        <f aca="false">IF($A196="","",IFERROR(COUNTIFS(A$2:A196,"&lt;&gt;",L$2:L196,"达标",WEEKNUM(A$2:A196,2),WEEKNUM(A196,2)),0))</f>
        <v/>
      </c>
      <c r="O196" s="62" t="str">
        <f aca="false">IF($A196="","",IF(L196="达标",IF(ROW()=2,1,IF(O195="",1,O195+1)),0))</f>
        <v/>
      </c>
      <c r="P196" s="63" t="str">
        <f aca="false">IF($A196="","",IF(ROW()&lt;=8,"基准周",IF(K196&gt;K189,"改善",IF(K196&lt;K189,"恶化","持平"))))</f>
        <v/>
      </c>
    </row>
    <row r="197" customFormat="false" ht="15" hidden="false" customHeight="true" outlineLevel="0" collapsed="false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2" t="str">
        <f aca="false">IF($A197="","",IF(B197=0,20,IF(B197=1,15,IF(B197=2,10,IF(B197=3,5,0))))+IF(C197="否",20,0)+IF(D197="是",20,0)+IF(E197=1,20,IF(E197=2,15,IF(E197=3,10,IF(E197=4,5,0))))+IF(F197="否",20,0))</f>
        <v/>
      </c>
      <c r="L197" s="63" t="str">
        <f aca="false">IF($A197="","",IF(K197&gt;=80,"达标","未达标"))</f>
        <v/>
      </c>
      <c r="M197" s="64" t="str">
        <f aca="false">IF($A197="","",IFERROR(AVERAGEIFS(K$2:K197,WEEKNUM(A$2:A197,2),WEEKNUM(A197,2)),K197))</f>
        <v/>
      </c>
      <c r="N197" s="65" t="str">
        <f aca="false">IF($A197="","",IFERROR(COUNTIFS(A$2:A197,"&lt;&gt;",L$2:L197,"达标",WEEKNUM(A$2:A197,2),WEEKNUM(A197,2)),0))</f>
        <v/>
      </c>
      <c r="O197" s="62" t="str">
        <f aca="false">IF($A197="","",IF(L197="达标",IF(ROW()=2,1,IF(O196="",1,O196+1)),0))</f>
        <v/>
      </c>
      <c r="P197" s="63" t="str">
        <f aca="false">IF($A197="","",IF(ROW()&lt;=8,"基准周",IF(K197&gt;K190,"改善",IF(K197&lt;K190,"恶化","持平"))))</f>
        <v/>
      </c>
    </row>
    <row r="198" customFormat="false" ht="15" hidden="false" customHeight="true" outlineLevel="0" collapsed="false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2" t="str">
        <f aca="false">IF($A198="","",IF(B198=0,20,IF(B198=1,15,IF(B198=2,10,IF(B198=3,5,0))))+IF(C198="否",20,0)+IF(D198="是",20,0)+IF(E198=1,20,IF(E198=2,15,IF(E198=3,10,IF(E198=4,5,0))))+IF(F198="否",20,0))</f>
        <v/>
      </c>
      <c r="L198" s="63" t="str">
        <f aca="false">IF($A198="","",IF(K198&gt;=80,"达标","未达标"))</f>
        <v/>
      </c>
      <c r="M198" s="64" t="str">
        <f aca="false">IF($A198="","",IFERROR(AVERAGEIFS(K$2:K198,WEEKNUM(A$2:A198,2),WEEKNUM(A198,2)),K198))</f>
        <v/>
      </c>
      <c r="N198" s="65" t="str">
        <f aca="false">IF($A198="","",IFERROR(COUNTIFS(A$2:A198,"&lt;&gt;",L$2:L198,"达标",WEEKNUM(A$2:A198,2),WEEKNUM(A198,2)),0))</f>
        <v/>
      </c>
      <c r="O198" s="62" t="str">
        <f aca="false">IF($A198="","",IF(L198="达标",IF(ROW()=2,1,IF(O197="",1,O197+1)),0))</f>
        <v/>
      </c>
      <c r="P198" s="63" t="str">
        <f aca="false">IF($A198="","",IF(ROW()&lt;=8,"基准周",IF(K198&gt;K191,"改善",IF(K198&lt;K191,"恶化","持平"))))</f>
        <v/>
      </c>
    </row>
    <row r="199" customFormat="false" ht="15" hidden="false" customHeight="true" outlineLevel="0" collapsed="false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2" t="str">
        <f aca="false">IF($A199="","",IF(B199=0,20,IF(B199=1,15,IF(B199=2,10,IF(B199=3,5,0))))+IF(C199="否",20,0)+IF(D199="是",20,0)+IF(E199=1,20,IF(E199=2,15,IF(E199=3,10,IF(E199=4,5,0))))+IF(F199="否",20,0))</f>
        <v/>
      </c>
      <c r="L199" s="63" t="str">
        <f aca="false">IF($A199="","",IF(K199&gt;=80,"达标","未达标"))</f>
        <v/>
      </c>
      <c r="M199" s="64" t="str">
        <f aca="false">IF($A199="","",IFERROR(AVERAGEIFS(K$2:K199,WEEKNUM(A$2:A199,2),WEEKNUM(A199,2)),K199))</f>
        <v/>
      </c>
      <c r="N199" s="65" t="str">
        <f aca="false">IF($A199="","",IFERROR(COUNTIFS(A$2:A199,"&lt;&gt;",L$2:L199,"达标",WEEKNUM(A$2:A199,2),WEEKNUM(A199,2)),0))</f>
        <v/>
      </c>
      <c r="O199" s="62" t="str">
        <f aca="false">IF($A199="","",IF(L199="达标",IF(ROW()=2,1,IF(O198="",1,O198+1)),0))</f>
        <v/>
      </c>
      <c r="P199" s="63" t="str">
        <f aca="false">IF($A199="","",IF(ROW()&lt;=8,"基准周",IF(K199&gt;K192,"改善",IF(K199&lt;K192,"恶化","持平"))))</f>
        <v/>
      </c>
    </row>
    <row r="200" customFormat="false" ht="15" hidden="false" customHeight="true" outlineLevel="0" collapsed="false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2" t="str">
        <f aca="false">IF($A200="","",IF(B200=0,20,IF(B200=1,15,IF(B200=2,10,IF(B200=3,5,0))))+IF(C200="否",20,0)+IF(D200="是",20,0)+IF(E200=1,20,IF(E200=2,15,IF(E200=3,10,IF(E200=4,5,0))))+IF(F200="否",20,0))</f>
        <v/>
      </c>
      <c r="L200" s="63" t="str">
        <f aca="false">IF($A200="","",IF(K200&gt;=80,"达标","未达标"))</f>
        <v/>
      </c>
      <c r="M200" s="64" t="str">
        <f aca="false">IF($A200="","",IFERROR(AVERAGEIFS(K$2:K200,WEEKNUM(A$2:A200,2),WEEKNUM(A200,2)),K200))</f>
        <v/>
      </c>
      <c r="N200" s="65" t="str">
        <f aca="false">IF($A200="","",IFERROR(COUNTIFS(A$2:A200,"&lt;&gt;",L$2:L200,"达标",WEEKNUM(A$2:A200,2),WEEKNUM(A200,2)),0))</f>
        <v/>
      </c>
      <c r="O200" s="62" t="str">
        <f aca="false">IF($A200="","",IF(L200="达标",IF(ROW()=2,1,IF(O199="",1,O199+1)),0))</f>
        <v/>
      </c>
      <c r="P200" s="63" t="str">
        <f aca="false">IF($A200="","",IF(ROW()&lt;=8,"基准周",IF(K200&gt;K193,"改善",IF(K200&lt;K193,"恶化","持平"))))</f>
        <v/>
      </c>
    </row>
    <row r="201" customFormat="false" ht="15" hidden="false" customHeight="true" outlineLevel="0" collapsed="false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2" t="str">
        <f aca="false">IF($A201="","",IF(B201=0,20,IF(B201=1,15,IF(B201=2,10,IF(B201=3,5,0))))+IF(C201="否",20,0)+IF(D201="是",20,0)+IF(E201=1,20,IF(E201=2,15,IF(E201=3,10,IF(E201=4,5,0))))+IF(F201="否",20,0))</f>
        <v/>
      </c>
      <c r="L201" s="63" t="str">
        <f aca="false">IF($A201="","",IF(K201&gt;=80,"达标","未达标"))</f>
        <v/>
      </c>
      <c r="M201" s="64" t="str">
        <f aca="false">IF($A201="","",IFERROR(AVERAGEIFS(K$2:K201,WEEKNUM(A$2:A201,2),WEEKNUM(A201,2)),K201))</f>
        <v/>
      </c>
      <c r="N201" s="65" t="str">
        <f aca="false">IF($A201="","",IFERROR(COUNTIFS(A$2:A201,"&lt;&gt;",L$2:L201,"达标",WEEKNUM(A$2:A201,2),WEEKNUM(A201,2)),0))</f>
        <v/>
      </c>
      <c r="O201" s="62" t="str">
        <f aca="false">IF($A201="","",IF(L201="达标",IF(ROW()=2,1,IF(O200="",1,O200+1)),0))</f>
        <v/>
      </c>
      <c r="P201" s="63" t="str">
        <f aca="false">IF($A201="","",IF(ROW()&lt;=8,"基准周",IF(K201&gt;K194,"改善",IF(K201&lt;K194,"恶化","持平"))))</f>
        <v/>
      </c>
    </row>
    <row r="203" customFormat="false" ht="15" hidden="false" customHeight="true" outlineLevel="0" collapsed="false">
      <c r="A203" s="53" t="s">
        <v>514</v>
      </c>
    </row>
    <row r="204" customFormat="false" ht="15" hidden="false" customHeight="true" outlineLevel="0" collapsed="false">
      <c r="A204" s="54" t="s">
        <v>515</v>
      </c>
      <c r="B204" s="55" t="n">
        <f aca="false">COUNTA(A2:A200)</f>
        <v>3</v>
      </c>
      <c r="C204" s="55"/>
    </row>
    <row r="205" customFormat="false" ht="15" hidden="false" customHeight="true" outlineLevel="0" collapsed="false">
      <c r="A205" s="54" t="s">
        <v>516</v>
      </c>
      <c r="B205" s="55" t="n">
        <f aca="false">COUNTIF(L2:L200,"达标")</f>
        <v>0</v>
      </c>
      <c r="C205" s="55"/>
    </row>
    <row r="206" customFormat="false" ht="15" hidden="false" customHeight="true" outlineLevel="0" collapsed="false">
      <c r="A206" s="54" t="s">
        <v>517</v>
      </c>
      <c r="B206" s="55" t="n">
        <f aca="false">IFERROR(B205/B204,0)</f>
        <v>0</v>
      </c>
      <c r="C206" s="55"/>
    </row>
    <row r="207" customFormat="false" ht="15" hidden="false" customHeight="true" outlineLevel="0" collapsed="false">
      <c r="A207" s="54" t="s">
        <v>518</v>
      </c>
      <c r="B207" s="55" t="n">
        <f aca="false">IFERROR(AVERAGE(K2:K200),0)</f>
        <v>50</v>
      </c>
      <c r="C207" s="55"/>
    </row>
    <row r="208" customFormat="false" ht="15" hidden="false" customHeight="true" outlineLevel="0" collapsed="false">
      <c r="A208" s="54" t="s">
        <v>519</v>
      </c>
      <c r="B208" s="55" t="n">
        <f aca="false">IFERROR(MAX(K2:K200),0)</f>
        <v>70</v>
      </c>
      <c r="C208" s="55"/>
    </row>
    <row r="209" customFormat="false" ht="15" hidden="false" customHeight="true" outlineLevel="0" collapsed="false">
      <c r="A209" s="54" t="s">
        <v>520</v>
      </c>
      <c r="B209" s="55" t="n">
        <f aca="false">IFERROR(MIN(K2:K200),0)</f>
        <v>10</v>
      </c>
      <c r="C209" s="55"/>
    </row>
    <row r="210" customFormat="false" ht="15" hidden="false" customHeight="true" outlineLevel="0" collapsed="false">
      <c r="A210" s="54" t="s">
        <v>521</v>
      </c>
      <c r="B210" s="55" t="str">
        <f aca="false">IFERROR(O200,0)</f>
        <v/>
      </c>
      <c r="C210" s="55"/>
    </row>
    <row r="211" customFormat="false" ht="15" hidden="false" customHeight="true" outlineLevel="0" collapsed="false">
      <c r="A211" s="54" t="s">
        <v>522</v>
      </c>
      <c r="B211" s="55" t="n">
        <f aca="false">IFERROR(MAX(O2:O200),0)</f>
        <v>0</v>
      </c>
      <c r="C211" s="55"/>
    </row>
    <row r="212" customFormat="false" ht="15" hidden="false" customHeight="true" outlineLevel="0" collapsed="false">
      <c r="A212" s="54" t="s">
        <v>523</v>
      </c>
      <c r="B212" s="55" t="n">
        <f aca="false">IFERROR(AVERAGE(B2:B200),0)</f>
        <v>4</v>
      </c>
      <c r="C212" s="55"/>
    </row>
    <row r="213" customFormat="false" ht="15" hidden="false" customHeight="true" outlineLevel="0" collapsed="false">
      <c r="A213" s="54" t="s">
        <v>524</v>
      </c>
      <c r="B213" s="55" t="n">
        <f aca="false">COUNTIF(C2:C200,"是")</f>
        <v>0</v>
      </c>
      <c r="C213" s="55"/>
    </row>
    <row r="214" customFormat="false" ht="15" hidden="false" customHeight="true" outlineLevel="0" collapsed="false">
      <c r="A214" s="54" t="s">
        <v>525</v>
      </c>
      <c r="B214" s="55" t="n">
        <f aca="false">COUNTIF(D2:D200,"否")</f>
        <v>0</v>
      </c>
      <c r="C214" s="55"/>
    </row>
    <row r="215" customFormat="false" ht="15" hidden="false" customHeight="true" outlineLevel="0" collapsed="false">
      <c r="A215" s="54" t="s">
        <v>526</v>
      </c>
      <c r="B215" s="55" t="n">
        <f aca="false">COUNTIF(F2:F200,"是")</f>
        <v>0</v>
      </c>
      <c r="C215" s="55"/>
    </row>
    <row r="216" customFormat="false" ht="15" hidden="false" customHeight="true" outlineLevel="0" collapsed="false">
      <c r="A216" s="54" t="s">
        <v>527</v>
      </c>
      <c r="B216" s="55" t="n">
        <f aca="false">IFERROR(AVERAGE(E2:E200),0)</f>
        <v>3</v>
      </c>
      <c r="C216" s="55"/>
    </row>
    <row r="217" customFormat="false" ht="15" hidden="false" customHeight="true" outlineLevel="0" collapsed="false">
      <c r="A217" s="56" t="s">
        <v>528</v>
      </c>
      <c r="B217" s="56" t="str">
        <f aca="false">IF(B207&gt;=80,"轻态 ✅",IF(B207&gt;=60,"改善中 ⚠️","需调整 ❌"))</f>
        <v>需调整 ❌</v>
      </c>
      <c r="C217" s="55"/>
    </row>
    <row r="220" customFormat="false" ht="15" hidden="false" customHeight="true" outlineLevel="0" collapsed="false">
      <c r="A220" s="69" t="s">
        <v>529</v>
      </c>
    </row>
    <row r="221" customFormat="false" ht="15" hidden="false" customHeight="true" outlineLevel="0" collapsed="false">
      <c r="A221" s="70" t="s">
        <v>530</v>
      </c>
    </row>
    <row r="222" customFormat="false" ht="15" hidden="false" customHeight="true" outlineLevel="0" collapsed="false">
      <c r="A222" s="70" t="s">
        <v>531</v>
      </c>
    </row>
    <row r="223" customFormat="false" ht="15" hidden="false" customHeight="true" outlineLevel="0" collapsed="false">
      <c r="A223" s="70" t="s">
        <v>532</v>
      </c>
    </row>
    <row r="224" customFormat="false" ht="15" hidden="false" customHeight="true" outlineLevel="0" collapsed="false">
      <c r="A224" s="70" t="s">
        <v>533</v>
      </c>
    </row>
    <row r="225" customFormat="false" ht="15" hidden="false" customHeight="true" outlineLevel="0" collapsed="false">
      <c r="A225" s="70" t="s">
        <v>534</v>
      </c>
    </row>
    <row r="226" customFormat="false" ht="15" hidden="false" customHeight="true" outlineLevel="0" collapsed="false">
      <c r="A226" s="71" t="s">
        <v>535</v>
      </c>
    </row>
  </sheetData>
  <autoFilter ref="A1:P201"/>
  <conditionalFormatting sqref="L2:L201">
    <cfRule type="expression" priority="2" aboveAverage="0" equalAverage="0" bottom="0" percent="0" rank="0" text="" dxfId="7">
      <formula>$L2="达标"</formula>
    </cfRule>
    <cfRule type="expression" priority="3" aboveAverage="0" equalAverage="0" bottom="0" percent="0" rank="0" text="" dxfId="8">
      <formula>$L2="未达标"</formula>
    </cfRule>
  </conditionalFormatting>
  <conditionalFormatting sqref="K2:K201">
    <cfRule type="cellIs" priority="4" operator="greaterThanOrEqual" aboveAverage="0" equalAverage="0" bottom="0" percent="0" rank="0" text="" dxfId="17">
      <formula>80</formula>
    </cfRule>
    <cfRule type="cellIs" priority="5" operator="lessThan" aboveAverage="0" equalAverage="0" bottom="0" percent="0" rank="0" text="" dxfId="18">
      <formula>40</formula>
    </cfRule>
  </conditionalFormatting>
  <conditionalFormatting sqref="P2:P201">
    <cfRule type="expression" priority="6" aboveAverage="0" equalAverage="0" bottom="0" percent="0" rank="0" text="" dxfId="12">
      <formula>$P2="改善"</formula>
    </cfRule>
    <cfRule type="expression" priority="7" aboveAverage="0" equalAverage="0" bottom="0" percent="0" rank="0" text="" dxfId="8">
      <formula>$P2="恶化"</formula>
    </cfRule>
  </conditionalFormatting>
  <dataValidations count="2">
    <dataValidation allowBlank="true" errorStyle="stop" operator="between" showDropDown="false" showErrorMessage="false" showInputMessage="false" sqref="C2:D201 F2:F201 H2:H201" type="list">
      <formula1>"是,否"</formula1>
      <formula2>0</formula2>
    </dataValidation>
    <dataValidation allowBlank="true" errorStyle="stop" operator="between" showDropDown="false" showErrorMessage="false" showInputMessage="false" sqref="E2:E201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2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14"/>
    <col collapsed="false" customWidth="true" hidden="false" outlineLevel="0" max="4" min="4" style="1" width="13"/>
    <col collapsed="false" customWidth="true" hidden="false" outlineLevel="0" max="6" min="5" style="1" width="14"/>
    <col collapsed="false" customWidth="true" hidden="false" outlineLevel="0" max="7" min="7" style="1" width="13"/>
    <col collapsed="false" customWidth="true" hidden="false" outlineLevel="0" max="15" min="8" style="1" width="12"/>
    <col collapsed="false" customWidth="true" hidden="false" outlineLevel="0" max="17" min="16" style="1" width="26"/>
    <col collapsed="false" customWidth="true" hidden="false" outlineLevel="0" max="18" min="18" style="1" width="12"/>
    <col collapsed="false" customWidth="true" hidden="false" outlineLevel="0" max="19" min="19" style="1" width="13"/>
    <col collapsed="false" customWidth="true" hidden="false" outlineLevel="0" max="20" min="20" style="1" width="12"/>
    <col collapsed="false" customWidth="true" hidden="false" outlineLevel="0" max="22" min="21" style="1" width="26"/>
  </cols>
  <sheetData>
    <row r="1" customFormat="false" ht="15" hidden="false" customHeight="true" outlineLevel="0" collapsed="false">
      <c r="A1" s="2" t="s">
        <v>536</v>
      </c>
      <c r="B1" s="2" t="s">
        <v>537</v>
      </c>
      <c r="C1" s="2" t="s">
        <v>538</v>
      </c>
      <c r="D1" s="2" t="s">
        <v>539</v>
      </c>
      <c r="E1" s="2" t="s">
        <v>540</v>
      </c>
      <c r="F1" s="2" t="s">
        <v>541</v>
      </c>
      <c r="G1" s="2" t="s">
        <v>542</v>
      </c>
      <c r="H1" s="2" t="s">
        <v>543</v>
      </c>
      <c r="I1" s="2" t="s">
        <v>544</v>
      </c>
      <c r="J1" s="2" t="s">
        <v>545</v>
      </c>
      <c r="K1" s="2" t="s">
        <v>546</v>
      </c>
      <c r="L1" s="2" t="s">
        <v>547</v>
      </c>
      <c r="M1" s="2" t="s">
        <v>548</v>
      </c>
      <c r="N1" s="2" t="s">
        <v>549</v>
      </c>
      <c r="O1" s="2" t="s">
        <v>550</v>
      </c>
      <c r="P1" s="2" t="s">
        <v>551</v>
      </c>
      <c r="Q1" s="2" t="s">
        <v>552</v>
      </c>
      <c r="R1" s="2" t="s">
        <v>553</v>
      </c>
      <c r="S1" s="2" t="s">
        <v>554</v>
      </c>
      <c r="T1" s="2" t="s">
        <v>555</v>
      </c>
      <c r="U1" s="2" t="s">
        <v>556</v>
      </c>
      <c r="V1" s="2" t="s">
        <v>6</v>
      </c>
    </row>
    <row r="2" customFormat="false" ht="15" hidden="false" customHeight="true" outlineLevel="0" collapsed="false">
      <c r="A2" s="5"/>
      <c r="B2" s="14"/>
      <c r="C2" s="14"/>
      <c r="D2" s="16" t="n">
        <f aca="false">IFERROR((C2-B2)/B2,0)</f>
        <v>0</v>
      </c>
      <c r="E2" s="14"/>
      <c r="F2" s="14"/>
      <c r="G2" s="16" t="n">
        <f aca="false">IFERROR((F2-E2)/E2,0)</f>
        <v>0</v>
      </c>
      <c r="H2" s="17"/>
      <c r="I2" s="17"/>
      <c r="J2" s="17"/>
      <c r="K2" s="5"/>
      <c r="L2" s="17"/>
      <c r="M2" s="17"/>
      <c r="N2" s="17"/>
      <c r="O2" s="5"/>
      <c r="P2" s="5"/>
      <c r="Q2" s="5"/>
      <c r="R2" s="4" t="str">
        <f aca="false">IF($A2="","",IF(AND(N2&lt;=2,G2&gt;-15%),"是","否"))</f>
        <v/>
      </c>
      <c r="S2" s="20"/>
      <c r="T2" s="4" t="str">
        <f aca="false">IF($A2="","",IF(AND(M2&gt;=3,N2&lt;=2),"是","否"))</f>
        <v/>
      </c>
      <c r="U2" s="5"/>
      <c r="V2" s="5"/>
    </row>
    <row r="3" customFormat="false" ht="15" hidden="false" customHeight="true" outlineLevel="0" collapsed="false">
      <c r="A3" s="7"/>
      <c r="B3" s="24"/>
      <c r="C3" s="24"/>
      <c r="D3" s="16" t="n">
        <f aca="false">IFERROR((C3-B3)/B3,0)</f>
        <v>0</v>
      </c>
      <c r="E3" s="24"/>
      <c r="F3" s="24"/>
      <c r="G3" s="16" t="n">
        <f aca="false">IFERROR((F3-E3)/E3,0)</f>
        <v>0</v>
      </c>
      <c r="H3" s="25"/>
      <c r="I3" s="25"/>
      <c r="J3" s="25"/>
      <c r="K3" s="7"/>
      <c r="L3" s="25"/>
      <c r="M3" s="25"/>
      <c r="N3" s="25"/>
      <c r="O3" s="7"/>
      <c r="P3" s="7"/>
      <c r="Q3" s="7"/>
      <c r="R3" s="4" t="str">
        <f aca="false">IF($A3="","",IF(AND(N3&lt;=2,G3&gt;-15%),"是","否"))</f>
        <v/>
      </c>
      <c r="S3" s="26"/>
      <c r="T3" s="4" t="str">
        <f aca="false">IF($A3="","",IF(AND(M3&gt;=3,N3&lt;=2),"是","否"))</f>
        <v/>
      </c>
      <c r="U3" s="7"/>
      <c r="V3" s="7"/>
    </row>
    <row r="4" customFormat="false" ht="15" hidden="false" customHeight="true" outlineLevel="0" collapsed="false">
      <c r="A4" s="5"/>
      <c r="B4" s="14"/>
      <c r="C4" s="14"/>
      <c r="D4" s="16" t="n">
        <f aca="false">IFERROR((C4-B4)/B4,0)</f>
        <v>0</v>
      </c>
      <c r="E4" s="14"/>
      <c r="F4" s="14"/>
      <c r="G4" s="16" t="n">
        <f aca="false">IFERROR((F4-E4)/E4,0)</f>
        <v>0</v>
      </c>
      <c r="H4" s="17"/>
      <c r="I4" s="17"/>
      <c r="J4" s="17"/>
      <c r="K4" s="5"/>
      <c r="L4" s="17"/>
      <c r="M4" s="17"/>
      <c r="N4" s="17"/>
      <c r="O4" s="5"/>
      <c r="P4" s="5"/>
      <c r="Q4" s="5"/>
      <c r="R4" s="4" t="str">
        <f aca="false">IF($A4="","",IF(AND(N4&lt;=2,G4&gt;-15%),"是","否"))</f>
        <v/>
      </c>
      <c r="S4" s="20"/>
      <c r="T4" s="4" t="str">
        <f aca="false">IF($A4="","",IF(AND(M4&gt;=3,N4&lt;=2),"是","否"))</f>
        <v/>
      </c>
      <c r="U4" s="5"/>
      <c r="V4" s="5"/>
    </row>
    <row r="5" customFormat="false" ht="15" hidden="false" customHeight="true" outlineLevel="0" collapsed="false">
      <c r="A5" s="7"/>
      <c r="B5" s="24"/>
      <c r="C5" s="24"/>
      <c r="D5" s="16" t="n">
        <f aca="false">IFERROR((C5-B5)/B5,0)</f>
        <v>0</v>
      </c>
      <c r="E5" s="24"/>
      <c r="F5" s="24"/>
      <c r="G5" s="16" t="n">
        <f aca="false">IFERROR((F5-E5)/E5,0)</f>
        <v>0</v>
      </c>
      <c r="H5" s="25"/>
      <c r="I5" s="25"/>
      <c r="J5" s="25"/>
      <c r="K5" s="7"/>
      <c r="L5" s="25"/>
      <c r="M5" s="25"/>
      <c r="N5" s="25"/>
      <c r="O5" s="7"/>
      <c r="P5" s="7"/>
      <c r="Q5" s="7"/>
      <c r="R5" s="4" t="str">
        <f aca="false">IF($A5="","",IF(AND(N5&lt;=2,G5&gt;-15%),"是","否"))</f>
        <v/>
      </c>
      <c r="S5" s="26"/>
      <c r="T5" s="4" t="str">
        <f aca="false">IF($A5="","",IF(AND(M5&gt;=3,N5&lt;=2),"是","否"))</f>
        <v/>
      </c>
      <c r="U5" s="7"/>
      <c r="V5" s="7"/>
    </row>
    <row r="6" customFormat="false" ht="15" hidden="false" customHeight="true" outlineLevel="0" collapsed="false">
      <c r="A6" s="5"/>
      <c r="B6" s="14"/>
      <c r="C6" s="14"/>
      <c r="D6" s="16" t="n">
        <f aca="false">IFERROR((C6-B6)/B6,0)</f>
        <v>0</v>
      </c>
      <c r="E6" s="14"/>
      <c r="F6" s="14"/>
      <c r="G6" s="16" t="n">
        <f aca="false">IFERROR((F6-E6)/E6,0)</f>
        <v>0</v>
      </c>
      <c r="H6" s="17"/>
      <c r="I6" s="17"/>
      <c r="J6" s="17"/>
      <c r="K6" s="5"/>
      <c r="L6" s="17"/>
      <c r="M6" s="17"/>
      <c r="N6" s="17"/>
      <c r="O6" s="5"/>
      <c r="P6" s="5"/>
      <c r="Q6" s="5"/>
      <c r="R6" s="4" t="str">
        <f aca="false">IF($A6="","",IF(AND(N6&lt;=2,G6&gt;-15%),"是","否"))</f>
        <v/>
      </c>
      <c r="S6" s="20"/>
      <c r="T6" s="4" t="str">
        <f aca="false">IF($A6="","",IF(AND(M6&gt;=3,N6&lt;=2),"是","否"))</f>
        <v/>
      </c>
      <c r="U6" s="5"/>
      <c r="V6" s="5"/>
    </row>
    <row r="7" customFormat="false" ht="15" hidden="false" customHeight="true" outlineLevel="0" collapsed="false">
      <c r="A7" s="7"/>
      <c r="B7" s="24"/>
      <c r="C7" s="24"/>
      <c r="D7" s="16" t="n">
        <f aca="false">IFERROR((C7-B7)/B7,0)</f>
        <v>0</v>
      </c>
      <c r="E7" s="24"/>
      <c r="F7" s="24"/>
      <c r="G7" s="16" t="n">
        <f aca="false">IFERROR((F7-E7)/E7,0)</f>
        <v>0</v>
      </c>
      <c r="H7" s="25"/>
      <c r="I7" s="25"/>
      <c r="J7" s="25"/>
      <c r="K7" s="7"/>
      <c r="L7" s="25"/>
      <c r="M7" s="25"/>
      <c r="N7" s="25"/>
      <c r="O7" s="7"/>
      <c r="P7" s="7"/>
      <c r="Q7" s="7"/>
      <c r="R7" s="4" t="str">
        <f aca="false">IF($A7="","",IF(AND(N7&lt;=2,G7&gt;-15%),"是","否"))</f>
        <v/>
      </c>
      <c r="S7" s="26"/>
      <c r="T7" s="4" t="str">
        <f aca="false">IF($A7="","",IF(AND(M7&gt;=3,N7&lt;=2),"是","否"))</f>
        <v/>
      </c>
      <c r="U7" s="7"/>
      <c r="V7" s="7"/>
    </row>
    <row r="8" customFormat="false" ht="15" hidden="false" customHeight="true" outlineLevel="0" collapsed="false">
      <c r="A8" s="5"/>
      <c r="B8" s="14"/>
      <c r="C8" s="14"/>
      <c r="D8" s="16" t="n">
        <f aca="false">IFERROR((C8-B8)/B8,0)</f>
        <v>0</v>
      </c>
      <c r="E8" s="14"/>
      <c r="F8" s="14"/>
      <c r="G8" s="16" t="n">
        <f aca="false">IFERROR((F8-E8)/E8,0)</f>
        <v>0</v>
      </c>
      <c r="H8" s="17"/>
      <c r="I8" s="17"/>
      <c r="J8" s="17"/>
      <c r="K8" s="5"/>
      <c r="L8" s="17"/>
      <c r="M8" s="17"/>
      <c r="N8" s="17"/>
      <c r="O8" s="5"/>
      <c r="P8" s="5"/>
      <c r="Q8" s="5"/>
      <c r="R8" s="4" t="str">
        <f aca="false">IF($A8="","",IF(AND(N8&lt;=2,G8&gt;-15%),"是","否"))</f>
        <v/>
      </c>
      <c r="S8" s="20"/>
      <c r="T8" s="4" t="str">
        <f aca="false">IF($A8="","",IF(AND(M8&gt;=3,N8&lt;=2),"是","否"))</f>
        <v/>
      </c>
      <c r="U8" s="5"/>
      <c r="V8" s="5"/>
    </row>
    <row r="9" customFormat="false" ht="15" hidden="false" customHeight="true" outlineLevel="0" collapsed="false">
      <c r="A9" s="7"/>
      <c r="B9" s="24"/>
      <c r="C9" s="24"/>
      <c r="D9" s="16" t="n">
        <f aca="false">IFERROR((C9-B9)/B9,0)</f>
        <v>0</v>
      </c>
      <c r="E9" s="24"/>
      <c r="F9" s="24"/>
      <c r="G9" s="16" t="n">
        <f aca="false">IFERROR((F9-E9)/E9,0)</f>
        <v>0</v>
      </c>
      <c r="H9" s="25"/>
      <c r="I9" s="25"/>
      <c r="J9" s="25"/>
      <c r="K9" s="7"/>
      <c r="L9" s="25"/>
      <c r="M9" s="25"/>
      <c r="N9" s="25"/>
      <c r="O9" s="7"/>
      <c r="P9" s="7"/>
      <c r="Q9" s="7"/>
      <c r="R9" s="4" t="str">
        <f aca="false">IF($A9="","",IF(AND(N9&lt;=2,G9&gt;-15%),"是","否"))</f>
        <v/>
      </c>
      <c r="S9" s="26"/>
      <c r="T9" s="4" t="str">
        <f aca="false">IF($A9="","",IF(AND(M9&gt;=3,N9&lt;=2),"是","否"))</f>
        <v/>
      </c>
      <c r="U9" s="7"/>
      <c r="V9" s="7"/>
    </row>
    <row r="10" customFormat="false" ht="15" hidden="false" customHeight="true" outlineLevel="0" collapsed="false">
      <c r="A10" s="5"/>
      <c r="B10" s="14"/>
      <c r="C10" s="14"/>
      <c r="D10" s="16" t="n">
        <f aca="false">IFERROR((C10-B10)/B10,0)</f>
        <v>0</v>
      </c>
      <c r="E10" s="14"/>
      <c r="F10" s="14"/>
      <c r="G10" s="16" t="n">
        <f aca="false">IFERROR((F10-E10)/E10,0)</f>
        <v>0</v>
      </c>
      <c r="H10" s="17"/>
      <c r="I10" s="17"/>
      <c r="J10" s="17"/>
      <c r="K10" s="5"/>
      <c r="L10" s="17"/>
      <c r="M10" s="17"/>
      <c r="N10" s="17"/>
      <c r="O10" s="5"/>
      <c r="P10" s="5"/>
      <c r="Q10" s="5"/>
      <c r="R10" s="4" t="str">
        <f aca="false">IF($A10="","",IF(AND(N10&lt;=2,G10&gt;-15%),"是","否"))</f>
        <v/>
      </c>
      <c r="S10" s="20"/>
      <c r="T10" s="4" t="str">
        <f aca="false">IF($A10="","",IF(AND(M10&gt;=3,N10&lt;=2),"是","否"))</f>
        <v/>
      </c>
      <c r="U10" s="5"/>
      <c r="V10" s="5"/>
    </row>
    <row r="11" customFormat="false" ht="15" hidden="false" customHeight="true" outlineLevel="0" collapsed="false">
      <c r="A11" s="7"/>
      <c r="B11" s="24"/>
      <c r="C11" s="24"/>
      <c r="D11" s="16" t="n">
        <f aca="false">IFERROR((C11-B11)/B11,0)</f>
        <v>0</v>
      </c>
      <c r="E11" s="24"/>
      <c r="F11" s="24"/>
      <c r="G11" s="16" t="n">
        <f aca="false">IFERROR((F11-E11)/E11,0)</f>
        <v>0</v>
      </c>
      <c r="H11" s="25"/>
      <c r="I11" s="25"/>
      <c r="J11" s="25"/>
      <c r="K11" s="7"/>
      <c r="L11" s="25"/>
      <c r="M11" s="25"/>
      <c r="N11" s="25"/>
      <c r="O11" s="7"/>
      <c r="P11" s="7"/>
      <c r="Q11" s="7"/>
      <c r="R11" s="4" t="str">
        <f aca="false">IF($A11="","",IF(AND(N11&lt;=2,G11&gt;-15%),"是","否"))</f>
        <v/>
      </c>
      <c r="S11" s="26"/>
      <c r="T11" s="4" t="str">
        <f aca="false">IF($A11="","",IF(AND(M11&gt;=3,N11&lt;=2),"是","否"))</f>
        <v/>
      </c>
      <c r="U11" s="7"/>
      <c r="V11" s="7"/>
    </row>
    <row r="12" customFormat="false" ht="15" hidden="false" customHeight="true" outlineLevel="0" collapsed="false">
      <c r="A12" s="5"/>
      <c r="B12" s="14"/>
      <c r="C12" s="14"/>
      <c r="D12" s="16" t="n">
        <f aca="false">IFERROR((C12-B12)/B12,0)</f>
        <v>0</v>
      </c>
      <c r="E12" s="14"/>
      <c r="F12" s="14"/>
      <c r="G12" s="16" t="n">
        <f aca="false">IFERROR((F12-E12)/E12,0)</f>
        <v>0</v>
      </c>
      <c r="H12" s="17"/>
      <c r="I12" s="17"/>
      <c r="J12" s="17"/>
      <c r="K12" s="5"/>
      <c r="L12" s="17"/>
      <c r="M12" s="17"/>
      <c r="N12" s="17"/>
      <c r="O12" s="5"/>
      <c r="P12" s="5"/>
      <c r="Q12" s="5"/>
      <c r="R12" s="4" t="str">
        <f aca="false">IF($A12="","",IF(AND(N12&lt;=2,G12&gt;-15%),"是","否"))</f>
        <v/>
      </c>
      <c r="S12" s="20"/>
      <c r="T12" s="4" t="str">
        <f aca="false">IF($A12="","",IF(AND(M12&gt;=3,N12&lt;=2),"是","否"))</f>
        <v/>
      </c>
      <c r="U12" s="5"/>
      <c r="V12" s="5"/>
    </row>
    <row r="13" customFormat="false" ht="15" hidden="false" customHeight="true" outlineLevel="0" collapsed="false">
      <c r="A13" s="7"/>
      <c r="B13" s="24"/>
      <c r="C13" s="24"/>
      <c r="D13" s="16" t="n">
        <f aca="false">IFERROR((C13-B13)/B13,0)</f>
        <v>0</v>
      </c>
      <c r="E13" s="24"/>
      <c r="F13" s="24"/>
      <c r="G13" s="16" t="n">
        <f aca="false">IFERROR((F13-E13)/E13,0)</f>
        <v>0</v>
      </c>
      <c r="H13" s="25"/>
      <c r="I13" s="25"/>
      <c r="J13" s="25"/>
      <c r="K13" s="7"/>
      <c r="L13" s="25"/>
      <c r="M13" s="25"/>
      <c r="N13" s="25"/>
      <c r="O13" s="7"/>
      <c r="P13" s="7"/>
      <c r="Q13" s="7"/>
      <c r="R13" s="4" t="str">
        <f aca="false">IF($A13="","",IF(AND(N13&lt;=2,G13&gt;-15%),"是","否"))</f>
        <v/>
      </c>
      <c r="S13" s="26"/>
      <c r="T13" s="4" t="str">
        <f aca="false">IF($A13="","",IF(AND(M13&gt;=3,N13&lt;=2),"是","否"))</f>
        <v/>
      </c>
      <c r="U13" s="7"/>
      <c r="V13" s="7"/>
    </row>
    <row r="14" customFormat="false" ht="15" hidden="false" customHeight="true" outlineLevel="0" collapsed="false">
      <c r="A14" s="5"/>
      <c r="B14" s="14"/>
      <c r="C14" s="14"/>
      <c r="D14" s="16" t="n">
        <f aca="false">IFERROR((C14-B14)/B14,0)</f>
        <v>0</v>
      </c>
      <c r="E14" s="14"/>
      <c r="F14" s="14"/>
      <c r="G14" s="16" t="n">
        <f aca="false">IFERROR((F14-E14)/E14,0)</f>
        <v>0</v>
      </c>
      <c r="H14" s="17"/>
      <c r="I14" s="17"/>
      <c r="J14" s="17"/>
      <c r="K14" s="5"/>
      <c r="L14" s="17"/>
      <c r="M14" s="17"/>
      <c r="N14" s="17"/>
      <c r="O14" s="5"/>
      <c r="P14" s="5"/>
      <c r="Q14" s="5"/>
      <c r="R14" s="4" t="str">
        <f aca="false">IF($A14="","",IF(AND(N14&lt;=2,G14&gt;-15%),"是","否"))</f>
        <v/>
      </c>
      <c r="S14" s="20"/>
      <c r="T14" s="4" t="str">
        <f aca="false">IF($A14="","",IF(AND(M14&gt;=3,N14&lt;=2),"是","否"))</f>
        <v/>
      </c>
      <c r="U14" s="5"/>
      <c r="V14" s="5"/>
    </row>
    <row r="15" customFormat="false" ht="15" hidden="false" customHeight="true" outlineLevel="0" collapsed="false">
      <c r="A15" s="7"/>
      <c r="B15" s="24"/>
      <c r="C15" s="24"/>
      <c r="D15" s="16" t="n">
        <f aca="false">IFERROR((C15-B15)/B15,0)</f>
        <v>0</v>
      </c>
      <c r="E15" s="24"/>
      <c r="F15" s="24"/>
      <c r="G15" s="16" t="n">
        <f aca="false">IFERROR((F15-E15)/E15,0)</f>
        <v>0</v>
      </c>
      <c r="H15" s="25"/>
      <c r="I15" s="25"/>
      <c r="J15" s="25"/>
      <c r="K15" s="7"/>
      <c r="L15" s="25"/>
      <c r="M15" s="25"/>
      <c r="N15" s="25"/>
      <c r="O15" s="7"/>
      <c r="P15" s="7"/>
      <c r="Q15" s="7"/>
      <c r="R15" s="4" t="str">
        <f aca="false">IF($A15="","",IF(AND(N15&lt;=2,G15&gt;-15%),"是","否"))</f>
        <v/>
      </c>
      <c r="S15" s="26"/>
      <c r="T15" s="4" t="str">
        <f aca="false">IF($A15="","",IF(AND(M15&gt;=3,N15&lt;=2),"是","否"))</f>
        <v/>
      </c>
      <c r="U15" s="7"/>
      <c r="V15" s="7"/>
    </row>
    <row r="16" customFormat="false" ht="15" hidden="false" customHeight="true" outlineLevel="0" collapsed="false">
      <c r="A16" s="5"/>
      <c r="B16" s="14"/>
      <c r="C16" s="14"/>
      <c r="D16" s="16" t="n">
        <f aca="false">IFERROR((C16-B16)/B16,0)</f>
        <v>0</v>
      </c>
      <c r="E16" s="14"/>
      <c r="F16" s="14"/>
      <c r="G16" s="16" t="n">
        <f aca="false">IFERROR((F16-E16)/E16,0)</f>
        <v>0</v>
      </c>
      <c r="H16" s="17"/>
      <c r="I16" s="17"/>
      <c r="J16" s="17"/>
      <c r="K16" s="5"/>
      <c r="L16" s="17"/>
      <c r="M16" s="17"/>
      <c r="N16" s="17"/>
      <c r="O16" s="5"/>
      <c r="P16" s="5"/>
      <c r="Q16" s="5"/>
      <c r="R16" s="4" t="str">
        <f aca="false">IF($A16="","",IF(AND(N16&lt;=2,G16&gt;-15%),"是","否"))</f>
        <v/>
      </c>
      <c r="S16" s="20"/>
      <c r="T16" s="4" t="str">
        <f aca="false">IF($A16="","",IF(AND(M16&gt;=3,N16&lt;=2),"是","否"))</f>
        <v/>
      </c>
      <c r="U16" s="5"/>
      <c r="V16" s="5"/>
    </row>
    <row r="17" customFormat="false" ht="15" hidden="false" customHeight="true" outlineLevel="0" collapsed="false">
      <c r="A17" s="7"/>
      <c r="B17" s="24"/>
      <c r="C17" s="24"/>
      <c r="D17" s="16" t="n">
        <f aca="false">IFERROR((C17-B17)/B17,0)</f>
        <v>0</v>
      </c>
      <c r="E17" s="24"/>
      <c r="F17" s="24"/>
      <c r="G17" s="16" t="n">
        <f aca="false">IFERROR((F17-E17)/E17,0)</f>
        <v>0</v>
      </c>
      <c r="H17" s="25"/>
      <c r="I17" s="25"/>
      <c r="J17" s="25"/>
      <c r="K17" s="7"/>
      <c r="L17" s="25"/>
      <c r="M17" s="25"/>
      <c r="N17" s="25"/>
      <c r="O17" s="7"/>
      <c r="P17" s="7"/>
      <c r="Q17" s="7"/>
      <c r="R17" s="4" t="str">
        <f aca="false">IF($A17="","",IF(AND(N17&lt;=2,G17&gt;-15%),"是","否"))</f>
        <v/>
      </c>
      <c r="S17" s="26"/>
      <c r="T17" s="4" t="str">
        <f aca="false">IF($A17="","",IF(AND(M17&gt;=3,N17&lt;=2),"是","否"))</f>
        <v/>
      </c>
      <c r="U17" s="7"/>
      <c r="V17" s="7"/>
    </row>
    <row r="18" customFormat="false" ht="15" hidden="false" customHeight="true" outlineLevel="0" collapsed="false">
      <c r="A18" s="5"/>
      <c r="B18" s="14"/>
      <c r="C18" s="14"/>
      <c r="D18" s="16" t="n">
        <f aca="false">IFERROR((C18-B18)/B18,0)</f>
        <v>0</v>
      </c>
      <c r="E18" s="14"/>
      <c r="F18" s="14"/>
      <c r="G18" s="16" t="n">
        <f aca="false">IFERROR((F18-E18)/E18,0)</f>
        <v>0</v>
      </c>
      <c r="H18" s="17"/>
      <c r="I18" s="17"/>
      <c r="J18" s="17"/>
      <c r="K18" s="5"/>
      <c r="L18" s="17"/>
      <c r="M18" s="17"/>
      <c r="N18" s="17"/>
      <c r="O18" s="5"/>
      <c r="P18" s="5"/>
      <c r="Q18" s="5"/>
      <c r="R18" s="4" t="str">
        <f aca="false">IF($A18="","",IF(AND(N18&lt;=2,G18&gt;-15%),"是","否"))</f>
        <v/>
      </c>
      <c r="S18" s="20"/>
      <c r="T18" s="4" t="str">
        <f aca="false">IF($A18="","",IF(AND(M18&gt;=3,N18&lt;=2),"是","否"))</f>
        <v/>
      </c>
      <c r="U18" s="5"/>
      <c r="V18" s="5"/>
    </row>
    <row r="19" customFormat="false" ht="15" hidden="false" customHeight="true" outlineLevel="0" collapsed="false">
      <c r="A19" s="7"/>
      <c r="B19" s="24"/>
      <c r="C19" s="24"/>
      <c r="D19" s="16" t="n">
        <f aca="false">IFERROR((C19-B19)/B19,0)</f>
        <v>0</v>
      </c>
      <c r="E19" s="24"/>
      <c r="F19" s="24"/>
      <c r="G19" s="16" t="n">
        <f aca="false">IFERROR((F19-E19)/E19,0)</f>
        <v>0</v>
      </c>
      <c r="H19" s="25"/>
      <c r="I19" s="25"/>
      <c r="J19" s="25"/>
      <c r="K19" s="7"/>
      <c r="L19" s="25"/>
      <c r="M19" s="25"/>
      <c r="N19" s="25"/>
      <c r="O19" s="7"/>
      <c r="P19" s="7"/>
      <c r="Q19" s="7"/>
      <c r="R19" s="4" t="str">
        <f aca="false">IF($A19="","",IF(AND(N19&lt;=2,G19&gt;-15%),"是","否"))</f>
        <v/>
      </c>
      <c r="S19" s="26"/>
      <c r="T19" s="4" t="str">
        <f aca="false">IF($A19="","",IF(AND(M19&gt;=3,N19&lt;=2),"是","否"))</f>
        <v/>
      </c>
      <c r="U19" s="7"/>
      <c r="V19" s="7"/>
    </row>
    <row r="20" customFormat="false" ht="15" hidden="false" customHeight="true" outlineLevel="0" collapsed="false">
      <c r="A20" s="5"/>
      <c r="B20" s="14"/>
      <c r="C20" s="14"/>
      <c r="D20" s="16" t="n">
        <f aca="false">IFERROR((C20-B20)/B20,0)</f>
        <v>0</v>
      </c>
      <c r="E20" s="14"/>
      <c r="F20" s="14"/>
      <c r="G20" s="16" t="n">
        <f aca="false">IFERROR((F20-E20)/E20,0)</f>
        <v>0</v>
      </c>
      <c r="H20" s="17"/>
      <c r="I20" s="17"/>
      <c r="J20" s="17"/>
      <c r="K20" s="5"/>
      <c r="L20" s="17"/>
      <c r="M20" s="17"/>
      <c r="N20" s="17"/>
      <c r="O20" s="5"/>
      <c r="P20" s="5"/>
      <c r="Q20" s="5"/>
      <c r="R20" s="4" t="str">
        <f aca="false">IF($A20="","",IF(AND(N20&lt;=2,G20&gt;-15%),"是","否"))</f>
        <v/>
      </c>
      <c r="S20" s="20"/>
      <c r="T20" s="4" t="str">
        <f aca="false">IF($A20="","",IF(AND(M20&gt;=3,N20&lt;=2),"是","否"))</f>
        <v/>
      </c>
      <c r="U20" s="5"/>
      <c r="V20" s="5"/>
    </row>
    <row r="21" customFormat="false" ht="15" hidden="false" customHeight="true" outlineLevel="0" collapsed="false">
      <c r="A21" s="7"/>
      <c r="B21" s="24"/>
      <c r="C21" s="24"/>
      <c r="D21" s="16" t="n">
        <f aca="false">IFERROR((C21-B21)/B21,0)</f>
        <v>0</v>
      </c>
      <c r="E21" s="24"/>
      <c r="F21" s="24"/>
      <c r="G21" s="16" t="n">
        <f aca="false">IFERROR((F21-E21)/E21,0)</f>
        <v>0</v>
      </c>
      <c r="H21" s="25"/>
      <c r="I21" s="25"/>
      <c r="J21" s="25"/>
      <c r="K21" s="7"/>
      <c r="L21" s="25"/>
      <c r="M21" s="25"/>
      <c r="N21" s="25"/>
      <c r="O21" s="7"/>
      <c r="P21" s="7"/>
      <c r="Q21" s="7"/>
      <c r="R21" s="4" t="str">
        <f aca="false">IF($A21="","",IF(AND(N21&lt;=2,G21&gt;-15%),"是","否"))</f>
        <v/>
      </c>
      <c r="S21" s="26"/>
      <c r="T21" s="4" t="str">
        <f aca="false">IF($A21="","",IF(AND(M21&gt;=3,N21&lt;=2),"是","否"))</f>
        <v/>
      </c>
      <c r="U21" s="7"/>
      <c r="V21" s="7"/>
    </row>
    <row r="22" customFormat="false" ht="15" hidden="false" customHeight="true" outlineLevel="0" collapsed="false">
      <c r="A22" s="5"/>
      <c r="B22" s="14"/>
      <c r="C22" s="14"/>
      <c r="D22" s="16" t="n">
        <f aca="false">IFERROR((C22-B22)/B22,0)</f>
        <v>0</v>
      </c>
      <c r="E22" s="14"/>
      <c r="F22" s="14"/>
      <c r="G22" s="16" t="n">
        <f aca="false">IFERROR((F22-E22)/E22,0)</f>
        <v>0</v>
      </c>
      <c r="H22" s="17"/>
      <c r="I22" s="17"/>
      <c r="J22" s="17"/>
      <c r="K22" s="5"/>
      <c r="L22" s="17"/>
      <c r="M22" s="17"/>
      <c r="N22" s="17"/>
      <c r="O22" s="5"/>
      <c r="P22" s="5"/>
      <c r="Q22" s="5"/>
      <c r="R22" s="4" t="str">
        <f aca="false">IF($A22="","",IF(AND(N22&lt;=2,G22&gt;-15%),"是","否"))</f>
        <v/>
      </c>
      <c r="S22" s="20"/>
      <c r="T22" s="4" t="str">
        <f aca="false">IF($A22="","",IF(AND(M22&gt;=3,N22&lt;=2),"是","否"))</f>
        <v/>
      </c>
      <c r="U22" s="5"/>
      <c r="V22" s="5"/>
    </row>
    <row r="23" customFormat="false" ht="15" hidden="false" customHeight="true" outlineLevel="0" collapsed="false">
      <c r="A23" s="7"/>
      <c r="B23" s="24"/>
      <c r="C23" s="24"/>
      <c r="D23" s="16" t="n">
        <f aca="false">IFERROR((C23-B23)/B23,0)</f>
        <v>0</v>
      </c>
      <c r="E23" s="24"/>
      <c r="F23" s="24"/>
      <c r="G23" s="16" t="n">
        <f aca="false">IFERROR((F23-E23)/E23,0)</f>
        <v>0</v>
      </c>
      <c r="H23" s="25"/>
      <c r="I23" s="25"/>
      <c r="J23" s="25"/>
      <c r="K23" s="7"/>
      <c r="L23" s="25"/>
      <c r="M23" s="25"/>
      <c r="N23" s="25"/>
      <c r="O23" s="7"/>
      <c r="P23" s="7"/>
      <c r="Q23" s="7"/>
      <c r="R23" s="4" t="str">
        <f aca="false">IF($A23="","",IF(AND(N23&lt;=2,G23&gt;-15%),"是","否"))</f>
        <v/>
      </c>
      <c r="S23" s="26"/>
      <c r="T23" s="4" t="str">
        <f aca="false">IF($A23="","",IF(AND(M23&gt;=3,N23&lt;=2),"是","否"))</f>
        <v/>
      </c>
      <c r="U23" s="7"/>
      <c r="V23" s="7"/>
    </row>
    <row r="24" customFormat="false" ht="15" hidden="false" customHeight="true" outlineLevel="0" collapsed="false">
      <c r="A24" s="5"/>
      <c r="B24" s="14"/>
      <c r="C24" s="14"/>
      <c r="D24" s="16" t="n">
        <f aca="false">IFERROR((C24-B24)/B24,0)</f>
        <v>0</v>
      </c>
      <c r="E24" s="14"/>
      <c r="F24" s="14"/>
      <c r="G24" s="16" t="n">
        <f aca="false">IFERROR((F24-E24)/E24,0)</f>
        <v>0</v>
      </c>
      <c r="H24" s="17"/>
      <c r="I24" s="17"/>
      <c r="J24" s="17"/>
      <c r="K24" s="5"/>
      <c r="L24" s="17"/>
      <c r="M24" s="17"/>
      <c r="N24" s="17"/>
      <c r="O24" s="5"/>
      <c r="P24" s="5"/>
      <c r="Q24" s="5"/>
      <c r="R24" s="4" t="str">
        <f aca="false">IF($A24="","",IF(AND(N24&lt;=2,G24&gt;-15%),"是","否"))</f>
        <v/>
      </c>
      <c r="S24" s="20"/>
      <c r="T24" s="4" t="str">
        <f aca="false">IF($A24="","",IF(AND(M24&gt;=3,N24&lt;=2),"是","否"))</f>
        <v/>
      </c>
      <c r="U24" s="5"/>
      <c r="V24" s="5"/>
    </row>
    <row r="25" customFormat="false" ht="15" hidden="false" customHeight="true" outlineLevel="0" collapsed="false">
      <c r="A25" s="7"/>
      <c r="B25" s="24"/>
      <c r="C25" s="24"/>
      <c r="D25" s="16" t="n">
        <f aca="false">IFERROR((C25-B25)/B25,0)</f>
        <v>0</v>
      </c>
      <c r="E25" s="24"/>
      <c r="F25" s="24"/>
      <c r="G25" s="16" t="n">
        <f aca="false">IFERROR((F25-E25)/E25,0)</f>
        <v>0</v>
      </c>
      <c r="H25" s="25"/>
      <c r="I25" s="25"/>
      <c r="J25" s="25"/>
      <c r="K25" s="7"/>
      <c r="L25" s="25"/>
      <c r="M25" s="25"/>
      <c r="N25" s="25"/>
      <c r="O25" s="7"/>
      <c r="P25" s="7"/>
      <c r="Q25" s="7"/>
      <c r="R25" s="4" t="str">
        <f aca="false">IF($A25="","",IF(AND(N25&lt;=2,G25&gt;-15%),"是","否"))</f>
        <v/>
      </c>
      <c r="S25" s="26"/>
      <c r="T25" s="4" t="str">
        <f aca="false">IF($A25="","",IF(AND(M25&gt;=3,N25&lt;=2),"是","否"))</f>
        <v/>
      </c>
      <c r="U25" s="7"/>
      <c r="V25" s="7"/>
    </row>
    <row r="26" customFormat="false" ht="15" hidden="false" customHeight="true" outlineLevel="0" collapsed="false">
      <c r="A26" s="5"/>
      <c r="B26" s="14"/>
      <c r="C26" s="14"/>
      <c r="D26" s="16" t="n">
        <f aca="false">IFERROR((C26-B26)/B26,0)</f>
        <v>0</v>
      </c>
      <c r="E26" s="14"/>
      <c r="F26" s="14"/>
      <c r="G26" s="16" t="n">
        <f aca="false">IFERROR((F26-E26)/E26,0)</f>
        <v>0</v>
      </c>
      <c r="H26" s="17"/>
      <c r="I26" s="17"/>
      <c r="J26" s="17"/>
      <c r="K26" s="5"/>
      <c r="L26" s="17"/>
      <c r="M26" s="17"/>
      <c r="N26" s="17"/>
      <c r="O26" s="5"/>
      <c r="P26" s="5"/>
      <c r="Q26" s="5"/>
      <c r="R26" s="4" t="str">
        <f aca="false">IF($A26="","",IF(AND(N26&lt;=2,G26&gt;-15%),"是","否"))</f>
        <v/>
      </c>
      <c r="S26" s="20"/>
      <c r="T26" s="4" t="str">
        <f aca="false">IF($A26="","",IF(AND(M26&gt;=3,N26&lt;=2),"是","否"))</f>
        <v/>
      </c>
      <c r="U26" s="5"/>
      <c r="V26" s="5"/>
    </row>
    <row r="27" customFormat="false" ht="15" hidden="false" customHeight="true" outlineLevel="0" collapsed="false">
      <c r="A27" s="7"/>
      <c r="B27" s="24"/>
      <c r="C27" s="24"/>
      <c r="D27" s="16" t="n">
        <f aca="false">IFERROR((C27-B27)/B27,0)</f>
        <v>0</v>
      </c>
      <c r="E27" s="24"/>
      <c r="F27" s="24"/>
      <c r="G27" s="16" t="n">
        <f aca="false">IFERROR((F27-E27)/E27,0)</f>
        <v>0</v>
      </c>
      <c r="H27" s="25"/>
      <c r="I27" s="25"/>
      <c r="J27" s="25"/>
      <c r="K27" s="7"/>
      <c r="L27" s="25"/>
      <c r="M27" s="25"/>
      <c r="N27" s="25"/>
      <c r="O27" s="7"/>
      <c r="P27" s="7"/>
      <c r="Q27" s="7"/>
      <c r="R27" s="4" t="str">
        <f aca="false">IF($A27="","",IF(AND(N27&lt;=2,G27&gt;-15%),"是","否"))</f>
        <v/>
      </c>
      <c r="S27" s="26"/>
      <c r="T27" s="4" t="str">
        <f aca="false">IF($A27="","",IF(AND(M27&gt;=3,N27&lt;=2),"是","否"))</f>
        <v/>
      </c>
      <c r="U27" s="7"/>
      <c r="V27" s="7"/>
    </row>
    <row r="28" customFormat="false" ht="15" hidden="false" customHeight="true" outlineLevel="0" collapsed="false">
      <c r="A28" s="5"/>
      <c r="B28" s="14"/>
      <c r="C28" s="14"/>
      <c r="D28" s="16" t="n">
        <f aca="false">IFERROR((C28-B28)/B28,0)</f>
        <v>0</v>
      </c>
      <c r="E28" s="14"/>
      <c r="F28" s="14"/>
      <c r="G28" s="16" t="n">
        <f aca="false">IFERROR((F28-E28)/E28,0)</f>
        <v>0</v>
      </c>
      <c r="H28" s="17"/>
      <c r="I28" s="17"/>
      <c r="J28" s="17"/>
      <c r="K28" s="5"/>
      <c r="L28" s="17"/>
      <c r="M28" s="17"/>
      <c r="N28" s="17"/>
      <c r="O28" s="5"/>
      <c r="P28" s="5"/>
      <c r="Q28" s="5"/>
      <c r="R28" s="4" t="str">
        <f aca="false">IF($A28="","",IF(AND(N28&lt;=2,G28&gt;-15%),"是","否"))</f>
        <v/>
      </c>
      <c r="S28" s="20"/>
      <c r="T28" s="4" t="str">
        <f aca="false">IF($A28="","",IF(AND(M28&gt;=3,N28&lt;=2),"是","否"))</f>
        <v/>
      </c>
      <c r="U28" s="5"/>
      <c r="V28" s="5"/>
    </row>
    <row r="29" customFormat="false" ht="15" hidden="false" customHeight="true" outlineLevel="0" collapsed="false">
      <c r="A29" s="7"/>
      <c r="B29" s="24"/>
      <c r="C29" s="24"/>
      <c r="D29" s="16" t="n">
        <f aca="false">IFERROR((C29-B29)/B29,0)</f>
        <v>0</v>
      </c>
      <c r="E29" s="24"/>
      <c r="F29" s="24"/>
      <c r="G29" s="16" t="n">
        <f aca="false">IFERROR((F29-E29)/E29,0)</f>
        <v>0</v>
      </c>
      <c r="H29" s="25"/>
      <c r="I29" s="25"/>
      <c r="J29" s="25"/>
      <c r="K29" s="7"/>
      <c r="L29" s="25"/>
      <c r="M29" s="25"/>
      <c r="N29" s="25"/>
      <c r="O29" s="7"/>
      <c r="P29" s="7"/>
      <c r="Q29" s="7"/>
      <c r="R29" s="4" t="str">
        <f aca="false">IF($A29="","",IF(AND(N29&lt;=2,G29&gt;-15%),"是","否"))</f>
        <v/>
      </c>
      <c r="S29" s="26"/>
      <c r="T29" s="4" t="str">
        <f aca="false">IF($A29="","",IF(AND(M29&gt;=3,N29&lt;=2),"是","否"))</f>
        <v/>
      </c>
      <c r="U29" s="7"/>
      <c r="V29" s="7"/>
    </row>
    <row r="30" customFormat="false" ht="15" hidden="false" customHeight="true" outlineLevel="0" collapsed="false">
      <c r="A30" s="5"/>
      <c r="B30" s="14"/>
      <c r="C30" s="14"/>
      <c r="D30" s="16" t="n">
        <f aca="false">IFERROR((C30-B30)/B30,0)</f>
        <v>0</v>
      </c>
      <c r="E30" s="14"/>
      <c r="F30" s="14"/>
      <c r="G30" s="16" t="n">
        <f aca="false">IFERROR((F30-E30)/E30,0)</f>
        <v>0</v>
      </c>
      <c r="H30" s="17"/>
      <c r="I30" s="17"/>
      <c r="J30" s="17"/>
      <c r="K30" s="5"/>
      <c r="L30" s="17"/>
      <c r="M30" s="17"/>
      <c r="N30" s="17"/>
      <c r="O30" s="5"/>
      <c r="P30" s="5"/>
      <c r="Q30" s="5"/>
      <c r="R30" s="4" t="str">
        <f aca="false">IF($A30="","",IF(AND(N30&lt;=2,G30&gt;-15%),"是","否"))</f>
        <v/>
      </c>
      <c r="S30" s="20"/>
      <c r="T30" s="4" t="str">
        <f aca="false">IF($A30="","",IF(AND(M30&gt;=3,N30&lt;=2),"是","否"))</f>
        <v/>
      </c>
      <c r="U30" s="5"/>
      <c r="V30" s="5"/>
    </row>
    <row r="31" customFormat="false" ht="15" hidden="false" customHeight="true" outlineLevel="0" collapsed="false">
      <c r="A31" s="7"/>
      <c r="B31" s="24"/>
      <c r="C31" s="24"/>
      <c r="D31" s="16" t="n">
        <f aca="false">IFERROR((C31-B31)/B31,0)</f>
        <v>0</v>
      </c>
      <c r="E31" s="24"/>
      <c r="F31" s="24"/>
      <c r="G31" s="16" t="n">
        <f aca="false">IFERROR((F31-E31)/E31,0)</f>
        <v>0</v>
      </c>
      <c r="H31" s="25"/>
      <c r="I31" s="25"/>
      <c r="J31" s="25"/>
      <c r="K31" s="7"/>
      <c r="L31" s="25"/>
      <c r="M31" s="25"/>
      <c r="N31" s="25"/>
      <c r="O31" s="7"/>
      <c r="P31" s="7"/>
      <c r="Q31" s="7"/>
      <c r="R31" s="4" t="str">
        <f aca="false">IF($A31="","",IF(AND(N31&lt;=2,G31&gt;-15%),"是","否"))</f>
        <v/>
      </c>
      <c r="S31" s="26"/>
      <c r="T31" s="4" t="str">
        <f aca="false">IF($A31="","",IF(AND(M31&gt;=3,N31&lt;=2),"是","否"))</f>
        <v/>
      </c>
      <c r="U31" s="7"/>
      <c r="V31" s="7"/>
    </row>
    <row r="32" customFormat="false" ht="15" hidden="false" customHeight="true" outlineLevel="0" collapsed="false">
      <c r="A32" s="5"/>
      <c r="B32" s="14"/>
      <c r="C32" s="14"/>
      <c r="D32" s="16" t="n">
        <f aca="false">IFERROR((C32-B32)/B32,0)</f>
        <v>0</v>
      </c>
      <c r="E32" s="14"/>
      <c r="F32" s="14"/>
      <c r="G32" s="16" t="n">
        <f aca="false">IFERROR((F32-E32)/E32,0)</f>
        <v>0</v>
      </c>
      <c r="H32" s="17"/>
      <c r="I32" s="17"/>
      <c r="J32" s="17"/>
      <c r="K32" s="5"/>
      <c r="L32" s="17"/>
      <c r="M32" s="17"/>
      <c r="N32" s="17"/>
      <c r="O32" s="5"/>
      <c r="P32" s="5"/>
      <c r="Q32" s="5"/>
      <c r="R32" s="4" t="str">
        <f aca="false">IF($A32="","",IF(AND(N32&lt;=2,G32&gt;-15%),"是","否"))</f>
        <v/>
      </c>
      <c r="S32" s="20"/>
      <c r="T32" s="4" t="str">
        <f aca="false">IF($A32="","",IF(AND(M32&gt;=3,N32&lt;=2),"是","否"))</f>
        <v/>
      </c>
      <c r="U32" s="5"/>
      <c r="V32" s="5"/>
    </row>
    <row r="33" customFormat="false" ht="15" hidden="false" customHeight="true" outlineLevel="0" collapsed="false">
      <c r="A33" s="7"/>
      <c r="B33" s="24"/>
      <c r="C33" s="24"/>
      <c r="D33" s="16" t="n">
        <f aca="false">IFERROR((C33-B33)/B33,0)</f>
        <v>0</v>
      </c>
      <c r="E33" s="24"/>
      <c r="F33" s="24"/>
      <c r="G33" s="16" t="n">
        <f aca="false">IFERROR((F33-E33)/E33,0)</f>
        <v>0</v>
      </c>
      <c r="H33" s="25"/>
      <c r="I33" s="25"/>
      <c r="J33" s="25"/>
      <c r="K33" s="7"/>
      <c r="L33" s="25"/>
      <c r="M33" s="25"/>
      <c r="N33" s="25"/>
      <c r="O33" s="7"/>
      <c r="P33" s="7"/>
      <c r="Q33" s="7"/>
      <c r="R33" s="4" t="str">
        <f aca="false">IF($A33="","",IF(AND(N33&lt;=2,G33&gt;-15%),"是","否"))</f>
        <v/>
      </c>
      <c r="S33" s="26"/>
      <c r="T33" s="4" t="str">
        <f aca="false">IF($A33="","",IF(AND(M33&gt;=3,N33&lt;=2),"是","否"))</f>
        <v/>
      </c>
      <c r="U33" s="7"/>
      <c r="V33" s="7"/>
    </row>
    <row r="34" customFormat="false" ht="15" hidden="false" customHeight="true" outlineLevel="0" collapsed="false">
      <c r="A34" s="5"/>
      <c r="B34" s="14"/>
      <c r="C34" s="14"/>
      <c r="D34" s="16" t="n">
        <f aca="false">IFERROR((C34-B34)/B34,0)</f>
        <v>0</v>
      </c>
      <c r="E34" s="14"/>
      <c r="F34" s="14"/>
      <c r="G34" s="16" t="n">
        <f aca="false">IFERROR((F34-E34)/E34,0)</f>
        <v>0</v>
      </c>
      <c r="H34" s="17"/>
      <c r="I34" s="17"/>
      <c r="J34" s="17"/>
      <c r="K34" s="5"/>
      <c r="L34" s="17"/>
      <c r="M34" s="17"/>
      <c r="N34" s="17"/>
      <c r="O34" s="5"/>
      <c r="P34" s="5"/>
      <c r="Q34" s="5"/>
      <c r="R34" s="4" t="str">
        <f aca="false">IF($A34="","",IF(AND(N34&lt;=2,G34&gt;-15%),"是","否"))</f>
        <v/>
      </c>
      <c r="S34" s="20"/>
      <c r="T34" s="4" t="str">
        <f aca="false">IF($A34="","",IF(AND(M34&gt;=3,N34&lt;=2),"是","否"))</f>
        <v/>
      </c>
      <c r="U34" s="5"/>
      <c r="V34" s="5"/>
    </row>
    <row r="35" customFormat="false" ht="15" hidden="false" customHeight="true" outlineLevel="0" collapsed="false">
      <c r="A35" s="7"/>
      <c r="B35" s="24"/>
      <c r="C35" s="24"/>
      <c r="D35" s="16" t="n">
        <f aca="false">IFERROR((C35-B35)/B35,0)</f>
        <v>0</v>
      </c>
      <c r="E35" s="24"/>
      <c r="F35" s="24"/>
      <c r="G35" s="16" t="n">
        <f aca="false">IFERROR((F35-E35)/E35,0)</f>
        <v>0</v>
      </c>
      <c r="H35" s="25"/>
      <c r="I35" s="25"/>
      <c r="J35" s="25"/>
      <c r="K35" s="7"/>
      <c r="L35" s="25"/>
      <c r="M35" s="25"/>
      <c r="N35" s="25"/>
      <c r="O35" s="7"/>
      <c r="P35" s="7"/>
      <c r="Q35" s="7"/>
      <c r="R35" s="4" t="str">
        <f aca="false">IF($A35="","",IF(AND(N35&lt;=2,G35&gt;-15%),"是","否"))</f>
        <v/>
      </c>
      <c r="S35" s="26"/>
      <c r="T35" s="4" t="str">
        <f aca="false">IF($A35="","",IF(AND(M35&gt;=3,N35&lt;=2),"是","否"))</f>
        <v/>
      </c>
      <c r="U35" s="7"/>
      <c r="V35" s="7"/>
    </row>
    <row r="36" customFormat="false" ht="15" hidden="false" customHeight="true" outlineLevel="0" collapsed="false">
      <c r="A36" s="5"/>
      <c r="B36" s="14"/>
      <c r="C36" s="14"/>
      <c r="D36" s="16" t="n">
        <f aca="false">IFERROR((C36-B36)/B36,0)</f>
        <v>0</v>
      </c>
      <c r="E36" s="14"/>
      <c r="F36" s="14"/>
      <c r="G36" s="16" t="n">
        <f aca="false">IFERROR((F36-E36)/E36,0)</f>
        <v>0</v>
      </c>
      <c r="H36" s="17"/>
      <c r="I36" s="17"/>
      <c r="J36" s="17"/>
      <c r="K36" s="5"/>
      <c r="L36" s="17"/>
      <c r="M36" s="17"/>
      <c r="N36" s="17"/>
      <c r="O36" s="5"/>
      <c r="P36" s="5"/>
      <c r="Q36" s="5"/>
      <c r="R36" s="4" t="str">
        <f aca="false">IF($A36="","",IF(AND(N36&lt;=2,G36&gt;-15%),"是","否"))</f>
        <v/>
      </c>
      <c r="S36" s="20"/>
      <c r="T36" s="4" t="str">
        <f aca="false">IF($A36="","",IF(AND(M36&gt;=3,N36&lt;=2),"是","否"))</f>
        <v/>
      </c>
      <c r="U36" s="5"/>
      <c r="V36" s="5"/>
    </row>
    <row r="37" customFormat="false" ht="15" hidden="false" customHeight="true" outlineLevel="0" collapsed="false">
      <c r="A37" s="7"/>
      <c r="B37" s="24"/>
      <c r="C37" s="24"/>
      <c r="D37" s="16" t="n">
        <f aca="false">IFERROR((C37-B37)/B37,0)</f>
        <v>0</v>
      </c>
      <c r="E37" s="24"/>
      <c r="F37" s="24"/>
      <c r="G37" s="16" t="n">
        <f aca="false">IFERROR((F37-E37)/E37,0)</f>
        <v>0</v>
      </c>
      <c r="H37" s="25"/>
      <c r="I37" s="25"/>
      <c r="J37" s="25"/>
      <c r="K37" s="7"/>
      <c r="L37" s="25"/>
      <c r="M37" s="25"/>
      <c r="N37" s="25"/>
      <c r="O37" s="7"/>
      <c r="P37" s="7"/>
      <c r="Q37" s="7"/>
      <c r="R37" s="4" t="str">
        <f aca="false">IF($A37="","",IF(AND(N37&lt;=2,G37&gt;-15%),"是","否"))</f>
        <v/>
      </c>
      <c r="S37" s="26"/>
      <c r="T37" s="4" t="str">
        <f aca="false">IF($A37="","",IF(AND(M37&gt;=3,N37&lt;=2),"是","否"))</f>
        <v/>
      </c>
      <c r="U37" s="7"/>
      <c r="V37" s="7"/>
    </row>
    <row r="38" customFormat="false" ht="15" hidden="false" customHeight="true" outlineLevel="0" collapsed="false">
      <c r="A38" s="5"/>
      <c r="B38" s="14"/>
      <c r="C38" s="14"/>
      <c r="D38" s="16" t="n">
        <f aca="false">IFERROR((C38-B38)/B38,0)</f>
        <v>0</v>
      </c>
      <c r="E38" s="14"/>
      <c r="F38" s="14"/>
      <c r="G38" s="16" t="n">
        <f aca="false">IFERROR((F38-E38)/E38,0)</f>
        <v>0</v>
      </c>
      <c r="H38" s="17"/>
      <c r="I38" s="17"/>
      <c r="J38" s="17"/>
      <c r="K38" s="5"/>
      <c r="L38" s="17"/>
      <c r="M38" s="17"/>
      <c r="N38" s="17"/>
      <c r="O38" s="5"/>
      <c r="P38" s="5"/>
      <c r="Q38" s="5"/>
      <c r="R38" s="4" t="str">
        <f aca="false">IF($A38="","",IF(AND(N38&lt;=2,G38&gt;-15%),"是","否"))</f>
        <v/>
      </c>
      <c r="S38" s="20"/>
      <c r="T38" s="4" t="str">
        <f aca="false">IF($A38="","",IF(AND(M38&gt;=3,N38&lt;=2),"是","否"))</f>
        <v/>
      </c>
      <c r="U38" s="5"/>
      <c r="V38" s="5"/>
    </row>
    <row r="39" customFormat="false" ht="15" hidden="false" customHeight="true" outlineLevel="0" collapsed="false">
      <c r="A39" s="7"/>
      <c r="B39" s="24"/>
      <c r="C39" s="24"/>
      <c r="D39" s="16" t="n">
        <f aca="false">IFERROR((C39-B39)/B39,0)</f>
        <v>0</v>
      </c>
      <c r="E39" s="24"/>
      <c r="F39" s="24"/>
      <c r="G39" s="16" t="n">
        <f aca="false">IFERROR((F39-E39)/E39,0)</f>
        <v>0</v>
      </c>
      <c r="H39" s="25"/>
      <c r="I39" s="25"/>
      <c r="J39" s="25"/>
      <c r="K39" s="7"/>
      <c r="L39" s="25"/>
      <c r="M39" s="25"/>
      <c r="N39" s="25"/>
      <c r="O39" s="7"/>
      <c r="P39" s="7"/>
      <c r="Q39" s="7"/>
      <c r="R39" s="4" t="str">
        <f aca="false">IF($A39="","",IF(AND(N39&lt;=2,G39&gt;-15%),"是","否"))</f>
        <v/>
      </c>
      <c r="S39" s="26"/>
      <c r="T39" s="4" t="str">
        <f aca="false">IF($A39="","",IF(AND(M39&gt;=3,N39&lt;=2),"是","否"))</f>
        <v/>
      </c>
      <c r="U39" s="7"/>
      <c r="V39" s="7"/>
    </row>
    <row r="40" customFormat="false" ht="15" hidden="false" customHeight="true" outlineLevel="0" collapsed="false">
      <c r="A40" s="5"/>
      <c r="B40" s="14"/>
      <c r="C40" s="14"/>
      <c r="D40" s="16" t="n">
        <f aca="false">IFERROR((C40-B40)/B40,0)</f>
        <v>0</v>
      </c>
      <c r="E40" s="14"/>
      <c r="F40" s="14"/>
      <c r="G40" s="16" t="n">
        <f aca="false">IFERROR((F40-E40)/E40,0)</f>
        <v>0</v>
      </c>
      <c r="H40" s="17"/>
      <c r="I40" s="17"/>
      <c r="J40" s="17"/>
      <c r="K40" s="5"/>
      <c r="L40" s="17"/>
      <c r="M40" s="17"/>
      <c r="N40" s="17"/>
      <c r="O40" s="5"/>
      <c r="P40" s="5"/>
      <c r="Q40" s="5"/>
      <c r="R40" s="4" t="str">
        <f aca="false">IF($A40="","",IF(AND(N40&lt;=2,G40&gt;-15%),"是","否"))</f>
        <v/>
      </c>
      <c r="S40" s="20"/>
      <c r="T40" s="4" t="str">
        <f aca="false">IF($A40="","",IF(AND(M40&gt;=3,N40&lt;=2),"是","否"))</f>
        <v/>
      </c>
      <c r="U40" s="5"/>
      <c r="V40" s="5"/>
    </row>
    <row r="41" customFormat="false" ht="15" hidden="false" customHeight="true" outlineLevel="0" collapsed="false">
      <c r="A41" s="7"/>
      <c r="B41" s="24"/>
      <c r="C41" s="24"/>
      <c r="D41" s="16" t="n">
        <f aca="false">IFERROR((C41-B41)/B41,0)</f>
        <v>0</v>
      </c>
      <c r="E41" s="24"/>
      <c r="F41" s="24"/>
      <c r="G41" s="16" t="n">
        <f aca="false">IFERROR((F41-E41)/E41,0)</f>
        <v>0</v>
      </c>
      <c r="H41" s="25"/>
      <c r="I41" s="25"/>
      <c r="J41" s="25"/>
      <c r="K41" s="7"/>
      <c r="L41" s="25"/>
      <c r="M41" s="25"/>
      <c r="N41" s="25"/>
      <c r="O41" s="7"/>
      <c r="P41" s="7"/>
      <c r="Q41" s="7"/>
      <c r="R41" s="4" t="str">
        <f aca="false">IF($A41="","",IF(AND(N41&lt;=2,G41&gt;-15%),"是","否"))</f>
        <v/>
      </c>
      <c r="S41" s="26"/>
      <c r="T41" s="4" t="str">
        <f aca="false">IF($A41="","",IF(AND(M41&gt;=3,N41&lt;=2),"是","否"))</f>
        <v/>
      </c>
      <c r="U41" s="7"/>
      <c r="V41" s="7"/>
    </row>
    <row r="42" customFormat="false" ht="15" hidden="false" customHeight="true" outlineLevel="0" collapsed="false">
      <c r="A42" s="5"/>
      <c r="B42" s="14"/>
      <c r="C42" s="14"/>
      <c r="D42" s="16" t="n">
        <f aca="false">IFERROR((C42-B42)/B42,0)</f>
        <v>0</v>
      </c>
      <c r="E42" s="14"/>
      <c r="F42" s="14"/>
      <c r="G42" s="16" t="n">
        <f aca="false">IFERROR((F42-E42)/E42,0)</f>
        <v>0</v>
      </c>
      <c r="H42" s="17"/>
      <c r="I42" s="17"/>
      <c r="J42" s="17"/>
      <c r="K42" s="5"/>
      <c r="L42" s="17"/>
      <c r="M42" s="17"/>
      <c r="N42" s="17"/>
      <c r="O42" s="5"/>
      <c r="P42" s="5"/>
      <c r="Q42" s="5"/>
      <c r="R42" s="4" t="str">
        <f aca="false">IF($A42="","",IF(AND(N42&lt;=2,G42&gt;-15%),"是","否"))</f>
        <v/>
      </c>
      <c r="S42" s="20"/>
      <c r="T42" s="4" t="str">
        <f aca="false">IF($A42="","",IF(AND(M42&gt;=3,N42&lt;=2),"是","否"))</f>
        <v/>
      </c>
      <c r="U42" s="5"/>
      <c r="V42" s="5"/>
    </row>
    <row r="43" customFormat="false" ht="15" hidden="false" customHeight="true" outlineLevel="0" collapsed="false">
      <c r="A43" s="7"/>
      <c r="B43" s="24"/>
      <c r="C43" s="24"/>
      <c r="D43" s="16" t="n">
        <f aca="false">IFERROR((C43-B43)/B43,0)</f>
        <v>0</v>
      </c>
      <c r="E43" s="24"/>
      <c r="F43" s="24"/>
      <c r="G43" s="16" t="n">
        <f aca="false">IFERROR((F43-E43)/E43,0)</f>
        <v>0</v>
      </c>
      <c r="H43" s="25"/>
      <c r="I43" s="25"/>
      <c r="J43" s="25"/>
      <c r="K43" s="7"/>
      <c r="L43" s="25"/>
      <c r="M43" s="25"/>
      <c r="N43" s="25"/>
      <c r="O43" s="7"/>
      <c r="P43" s="7"/>
      <c r="Q43" s="7"/>
      <c r="R43" s="4" t="str">
        <f aca="false">IF($A43="","",IF(AND(N43&lt;=2,G43&gt;-15%),"是","否"))</f>
        <v/>
      </c>
      <c r="S43" s="26"/>
      <c r="T43" s="4" t="str">
        <f aca="false">IF($A43="","",IF(AND(M43&gt;=3,N43&lt;=2),"是","否"))</f>
        <v/>
      </c>
      <c r="U43" s="7"/>
      <c r="V43" s="7"/>
    </row>
    <row r="44" customFormat="false" ht="15" hidden="false" customHeight="true" outlineLevel="0" collapsed="false">
      <c r="A44" s="5"/>
      <c r="B44" s="14"/>
      <c r="C44" s="14"/>
      <c r="D44" s="16" t="n">
        <f aca="false">IFERROR((C44-B44)/B44,0)</f>
        <v>0</v>
      </c>
      <c r="E44" s="14"/>
      <c r="F44" s="14"/>
      <c r="G44" s="16" t="n">
        <f aca="false">IFERROR((F44-E44)/E44,0)</f>
        <v>0</v>
      </c>
      <c r="H44" s="17"/>
      <c r="I44" s="17"/>
      <c r="J44" s="17"/>
      <c r="K44" s="5"/>
      <c r="L44" s="17"/>
      <c r="M44" s="17"/>
      <c r="N44" s="17"/>
      <c r="O44" s="5"/>
      <c r="P44" s="5"/>
      <c r="Q44" s="5"/>
      <c r="R44" s="4" t="str">
        <f aca="false">IF($A44="","",IF(AND(N44&lt;=2,G44&gt;-15%),"是","否"))</f>
        <v/>
      </c>
      <c r="S44" s="20"/>
      <c r="T44" s="4" t="str">
        <f aca="false">IF($A44="","",IF(AND(M44&gt;=3,N44&lt;=2),"是","否"))</f>
        <v/>
      </c>
      <c r="U44" s="5"/>
      <c r="V44" s="5"/>
    </row>
    <row r="45" customFormat="false" ht="15" hidden="false" customHeight="true" outlineLevel="0" collapsed="false">
      <c r="A45" s="7"/>
      <c r="B45" s="24"/>
      <c r="C45" s="24"/>
      <c r="D45" s="16" t="n">
        <f aca="false">IFERROR((C45-B45)/B45,0)</f>
        <v>0</v>
      </c>
      <c r="E45" s="24"/>
      <c r="F45" s="24"/>
      <c r="G45" s="16" t="n">
        <f aca="false">IFERROR((F45-E45)/E45,0)</f>
        <v>0</v>
      </c>
      <c r="H45" s="25"/>
      <c r="I45" s="25"/>
      <c r="J45" s="25"/>
      <c r="K45" s="7"/>
      <c r="L45" s="25"/>
      <c r="M45" s="25"/>
      <c r="N45" s="25"/>
      <c r="O45" s="7"/>
      <c r="P45" s="7"/>
      <c r="Q45" s="7"/>
      <c r="R45" s="4" t="str">
        <f aca="false">IF($A45="","",IF(AND(N45&lt;=2,G45&gt;-15%),"是","否"))</f>
        <v/>
      </c>
      <c r="S45" s="26"/>
      <c r="T45" s="4" t="str">
        <f aca="false">IF($A45="","",IF(AND(M45&gt;=3,N45&lt;=2),"是","否"))</f>
        <v/>
      </c>
      <c r="U45" s="7"/>
      <c r="V45" s="7"/>
    </row>
    <row r="46" customFormat="false" ht="15" hidden="false" customHeight="true" outlineLevel="0" collapsed="false">
      <c r="A46" s="5"/>
      <c r="B46" s="14"/>
      <c r="C46" s="14"/>
      <c r="D46" s="16" t="n">
        <f aca="false">IFERROR((C46-B46)/B46,0)</f>
        <v>0</v>
      </c>
      <c r="E46" s="14"/>
      <c r="F46" s="14"/>
      <c r="G46" s="16" t="n">
        <f aca="false">IFERROR((F46-E46)/E46,0)</f>
        <v>0</v>
      </c>
      <c r="H46" s="17"/>
      <c r="I46" s="17"/>
      <c r="J46" s="17"/>
      <c r="K46" s="5"/>
      <c r="L46" s="17"/>
      <c r="M46" s="17"/>
      <c r="N46" s="17"/>
      <c r="O46" s="5"/>
      <c r="P46" s="5"/>
      <c r="Q46" s="5"/>
      <c r="R46" s="4" t="str">
        <f aca="false">IF($A46="","",IF(AND(N46&lt;=2,G46&gt;-15%),"是","否"))</f>
        <v/>
      </c>
      <c r="S46" s="20"/>
      <c r="T46" s="4" t="str">
        <f aca="false">IF($A46="","",IF(AND(M46&gt;=3,N46&lt;=2),"是","否"))</f>
        <v/>
      </c>
      <c r="U46" s="5"/>
      <c r="V46" s="5"/>
    </row>
    <row r="47" customFormat="false" ht="15" hidden="false" customHeight="true" outlineLevel="0" collapsed="false">
      <c r="A47" s="7"/>
      <c r="B47" s="24"/>
      <c r="C47" s="24"/>
      <c r="D47" s="16" t="n">
        <f aca="false">IFERROR((C47-B47)/B47,0)</f>
        <v>0</v>
      </c>
      <c r="E47" s="24"/>
      <c r="F47" s="24"/>
      <c r="G47" s="16" t="n">
        <f aca="false">IFERROR((F47-E47)/E47,0)</f>
        <v>0</v>
      </c>
      <c r="H47" s="25"/>
      <c r="I47" s="25"/>
      <c r="J47" s="25"/>
      <c r="K47" s="7"/>
      <c r="L47" s="25"/>
      <c r="M47" s="25"/>
      <c r="N47" s="25"/>
      <c r="O47" s="7"/>
      <c r="P47" s="7"/>
      <c r="Q47" s="7"/>
      <c r="R47" s="4" t="str">
        <f aca="false">IF($A47="","",IF(AND(N47&lt;=2,G47&gt;-15%),"是","否"))</f>
        <v/>
      </c>
      <c r="S47" s="26"/>
      <c r="T47" s="4" t="str">
        <f aca="false">IF($A47="","",IF(AND(M47&gt;=3,N47&lt;=2),"是","否"))</f>
        <v/>
      </c>
      <c r="U47" s="7"/>
      <c r="V47" s="7"/>
    </row>
    <row r="48" customFormat="false" ht="15" hidden="false" customHeight="true" outlineLevel="0" collapsed="false">
      <c r="A48" s="5"/>
      <c r="B48" s="14"/>
      <c r="C48" s="14"/>
      <c r="D48" s="16" t="n">
        <f aca="false">IFERROR((C48-B48)/B48,0)</f>
        <v>0</v>
      </c>
      <c r="E48" s="14"/>
      <c r="F48" s="14"/>
      <c r="G48" s="16" t="n">
        <f aca="false">IFERROR((F48-E48)/E48,0)</f>
        <v>0</v>
      </c>
      <c r="H48" s="17"/>
      <c r="I48" s="17"/>
      <c r="J48" s="17"/>
      <c r="K48" s="5"/>
      <c r="L48" s="17"/>
      <c r="M48" s="17"/>
      <c r="N48" s="17"/>
      <c r="O48" s="5"/>
      <c r="P48" s="5"/>
      <c r="Q48" s="5"/>
      <c r="R48" s="4" t="str">
        <f aca="false">IF($A48="","",IF(AND(N48&lt;=2,G48&gt;-15%),"是","否"))</f>
        <v/>
      </c>
      <c r="S48" s="20"/>
      <c r="T48" s="4" t="str">
        <f aca="false">IF($A48="","",IF(AND(M48&gt;=3,N48&lt;=2),"是","否"))</f>
        <v/>
      </c>
      <c r="U48" s="5"/>
      <c r="V48" s="5"/>
    </row>
    <row r="49" customFormat="false" ht="15" hidden="false" customHeight="true" outlineLevel="0" collapsed="false">
      <c r="A49" s="7"/>
      <c r="B49" s="24"/>
      <c r="C49" s="24"/>
      <c r="D49" s="16" t="n">
        <f aca="false">IFERROR((C49-B49)/B49,0)</f>
        <v>0</v>
      </c>
      <c r="E49" s="24"/>
      <c r="F49" s="24"/>
      <c r="G49" s="16" t="n">
        <f aca="false">IFERROR((F49-E49)/E49,0)</f>
        <v>0</v>
      </c>
      <c r="H49" s="25"/>
      <c r="I49" s="25"/>
      <c r="J49" s="25"/>
      <c r="K49" s="7"/>
      <c r="L49" s="25"/>
      <c r="M49" s="25"/>
      <c r="N49" s="25"/>
      <c r="O49" s="7"/>
      <c r="P49" s="7"/>
      <c r="Q49" s="7"/>
      <c r="R49" s="4" t="str">
        <f aca="false">IF($A49="","",IF(AND(N49&lt;=2,G49&gt;-15%),"是","否"))</f>
        <v/>
      </c>
      <c r="S49" s="26"/>
      <c r="T49" s="4" t="str">
        <f aca="false">IF($A49="","",IF(AND(M49&gt;=3,N49&lt;=2),"是","否"))</f>
        <v/>
      </c>
      <c r="U49" s="7"/>
      <c r="V49" s="7"/>
    </row>
    <row r="50" customFormat="false" ht="15" hidden="false" customHeight="true" outlineLevel="0" collapsed="false">
      <c r="A50" s="5"/>
      <c r="B50" s="14"/>
      <c r="C50" s="14"/>
      <c r="D50" s="16" t="n">
        <f aca="false">IFERROR((C50-B50)/B50,0)</f>
        <v>0</v>
      </c>
      <c r="E50" s="14"/>
      <c r="F50" s="14"/>
      <c r="G50" s="16" t="n">
        <f aca="false">IFERROR((F50-E50)/E50,0)</f>
        <v>0</v>
      </c>
      <c r="H50" s="17"/>
      <c r="I50" s="17"/>
      <c r="J50" s="17"/>
      <c r="K50" s="5"/>
      <c r="L50" s="17"/>
      <c r="M50" s="17"/>
      <c r="N50" s="17"/>
      <c r="O50" s="5"/>
      <c r="P50" s="5"/>
      <c r="Q50" s="5"/>
      <c r="R50" s="4" t="str">
        <f aca="false">IF($A50="","",IF(AND(N50&lt;=2,G50&gt;-15%),"是","否"))</f>
        <v/>
      </c>
      <c r="S50" s="20"/>
      <c r="T50" s="4" t="str">
        <f aca="false">IF($A50="","",IF(AND(M50&gt;=3,N50&lt;=2),"是","否"))</f>
        <v/>
      </c>
      <c r="U50" s="5"/>
      <c r="V50" s="5"/>
    </row>
    <row r="51" customFormat="false" ht="15" hidden="false" customHeight="true" outlineLevel="0" collapsed="false">
      <c r="A51" s="7"/>
      <c r="B51" s="24"/>
      <c r="C51" s="24"/>
      <c r="D51" s="16" t="n">
        <f aca="false">IFERROR((C51-B51)/B51,0)</f>
        <v>0</v>
      </c>
      <c r="E51" s="24"/>
      <c r="F51" s="24"/>
      <c r="G51" s="16" t="n">
        <f aca="false">IFERROR((F51-E51)/E51,0)</f>
        <v>0</v>
      </c>
      <c r="H51" s="25"/>
      <c r="I51" s="25"/>
      <c r="J51" s="25"/>
      <c r="K51" s="7"/>
      <c r="L51" s="25"/>
      <c r="M51" s="25"/>
      <c r="N51" s="25"/>
      <c r="O51" s="7"/>
      <c r="P51" s="7"/>
      <c r="Q51" s="7"/>
      <c r="R51" s="4" t="str">
        <f aca="false">IF($A51="","",IF(AND(N51&lt;=2,G51&gt;-15%),"是","否"))</f>
        <v/>
      </c>
      <c r="S51" s="26"/>
      <c r="T51" s="4" t="str">
        <f aca="false">IF($A51="","",IF(AND(M51&gt;=3,N51&lt;=2),"是","否"))</f>
        <v/>
      </c>
      <c r="U51" s="7"/>
      <c r="V51" s="7"/>
    </row>
    <row r="52" customFormat="false" ht="15" hidden="false" customHeight="true" outlineLevel="0" collapsed="false">
      <c r="A52" s="5"/>
      <c r="B52" s="14"/>
      <c r="C52" s="14"/>
      <c r="D52" s="16" t="n">
        <f aca="false">IFERROR((C52-B52)/B52,0)</f>
        <v>0</v>
      </c>
      <c r="E52" s="14"/>
      <c r="F52" s="14"/>
      <c r="G52" s="16" t="n">
        <f aca="false">IFERROR((F52-E52)/E52,0)</f>
        <v>0</v>
      </c>
      <c r="H52" s="17"/>
      <c r="I52" s="17"/>
      <c r="J52" s="17"/>
      <c r="K52" s="5"/>
      <c r="L52" s="17"/>
      <c r="M52" s="17"/>
      <c r="N52" s="17"/>
      <c r="O52" s="5"/>
      <c r="P52" s="5"/>
      <c r="Q52" s="5"/>
      <c r="R52" s="4" t="str">
        <f aca="false">IF($A52="","",IF(AND(N52&lt;=2,G52&gt;-15%),"是","否"))</f>
        <v/>
      </c>
      <c r="S52" s="20"/>
      <c r="T52" s="4" t="str">
        <f aca="false">IF($A52="","",IF(AND(M52&gt;=3,N52&lt;=2),"是","否"))</f>
        <v/>
      </c>
      <c r="U52" s="5"/>
      <c r="V52" s="5"/>
    </row>
    <row r="53" customFormat="false" ht="15" hidden="false" customHeight="true" outlineLevel="0" collapsed="false">
      <c r="A53" s="7"/>
      <c r="B53" s="24"/>
      <c r="C53" s="24"/>
      <c r="D53" s="16" t="n">
        <f aca="false">IFERROR((C53-B53)/B53,0)</f>
        <v>0</v>
      </c>
      <c r="E53" s="24"/>
      <c r="F53" s="24"/>
      <c r="G53" s="16" t="n">
        <f aca="false">IFERROR((F53-E53)/E53,0)</f>
        <v>0</v>
      </c>
      <c r="H53" s="25"/>
      <c r="I53" s="25"/>
      <c r="J53" s="25"/>
      <c r="K53" s="7"/>
      <c r="L53" s="25"/>
      <c r="M53" s="25"/>
      <c r="N53" s="25"/>
      <c r="O53" s="7"/>
      <c r="P53" s="7"/>
      <c r="Q53" s="7"/>
      <c r="R53" s="4" t="str">
        <f aca="false">IF($A53="","",IF(AND(N53&lt;=2,G53&gt;-15%),"是","否"))</f>
        <v/>
      </c>
      <c r="S53" s="26"/>
      <c r="T53" s="4" t="str">
        <f aca="false">IF($A53="","",IF(AND(M53&gt;=3,N53&lt;=2),"是","否"))</f>
        <v/>
      </c>
      <c r="U53" s="7"/>
      <c r="V53" s="7"/>
    </row>
    <row r="54" customFormat="false" ht="15" hidden="false" customHeight="true" outlineLevel="0" collapsed="false">
      <c r="A54" s="5"/>
      <c r="B54" s="14"/>
      <c r="C54" s="14"/>
      <c r="D54" s="16" t="n">
        <f aca="false">IFERROR((C54-B54)/B54,0)</f>
        <v>0</v>
      </c>
      <c r="E54" s="14"/>
      <c r="F54" s="14"/>
      <c r="G54" s="16" t="n">
        <f aca="false">IFERROR((F54-E54)/E54,0)</f>
        <v>0</v>
      </c>
      <c r="H54" s="17"/>
      <c r="I54" s="17"/>
      <c r="J54" s="17"/>
      <c r="K54" s="5"/>
      <c r="L54" s="17"/>
      <c r="M54" s="17"/>
      <c r="N54" s="17"/>
      <c r="O54" s="5"/>
      <c r="P54" s="5"/>
      <c r="Q54" s="5"/>
      <c r="R54" s="4" t="str">
        <f aca="false">IF($A54="","",IF(AND(N54&lt;=2,G54&gt;-15%),"是","否"))</f>
        <v/>
      </c>
      <c r="S54" s="20"/>
      <c r="T54" s="4" t="str">
        <f aca="false">IF($A54="","",IF(AND(M54&gt;=3,N54&lt;=2),"是","否"))</f>
        <v/>
      </c>
      <c r="U54" s="5"/>
      <c r="V54" s="5"/>
    </row>
    <row r="55" customFormat="false" ht="15" hidden="false" customHeight="true" outlineLevel="0" collapsed="false">
      <c r="A55" s="7"/>
      <c r="B55" s="24"/>
      <c r="C55" s="24"/>
      <c r="D55" s="16" t="n">
        <f aca="false">IFERROR((C55-B55)/B55,0)</f>
        <v>0</v>
      </c>
      <c r="E55" s="24"/>
      <c r="F55" s="24"/>
      <c r="G55" s="16" t="n">
        <f aca="false">IFERROR((F55-E55)/E55,0)</f>
        <v>0</v>
      </c>
      <c r="H55" s="25"/>
      <c r="I55" s="25"/>
      <c r="J55" s="25"/>
      <c r="K55" s="7"/>
      <c r="L55" s="25"/>
      <c r="M55" s="25"/>
      <c r="N55" s="25"/>
      <c r="O55" s="7"/>
      <c r="P55" s="7"/>
      <c r="Q55" s="7"/>
      <c r="R55" s="4" t="str">
        <f aca="false">IF($A55="","",IF(AND(N55&lt;=2,G55&gt;-15%),"是","否"))</f>
        <v/>
      </c>
      <c r="S55" s="26"/>
      <c r="T55" s="4" t="str">
        <f aca="false">IF($A55="","",IF(AND(M55&gt;=3,N55&lt;=2),"是","否"))</f>
        <v/>
      </c>
      <c r="U55" s="7"/>
      <c r="V55" s="7"/>
    </row>
    <row r="56" customFormat="false" ht="15" hidden="false" customHeight="true" outlineLevel="0" collapsed="false">
      <c r="A56" s="5"/>
      <c r="B56" s="14"/>
      <c r="C56" s="14"/>
      <c r="D56" s="16" t="n">
        <f aca="false">IFERROR((C56-B56)/B56,0)</f>
        <v>0</v>
      </c>
      <c r="E56" s="14"/>
      <c r="F56" s="14"/>
      <c r="G56" s="16" t="n">
        <f aca="false">IFERROR((F56-E56)/E56,0)</f>
        <v>0</v>
      </c>
      <c r="H56" s="17"/>
      <c r="I56" s="17"/>
      <c r="J56" s="17"/>
      <c r="K56" s="5"/>
      <c r="L56" s="17"/>
      <c r="M56" s="17"/>
      <c r="N56" s="17"/>
      <c r="O56" s="5"/>
      <c r="P56" s="5"/>
      <c r="Q56" s="5"/>
      <c r="R56" s="4" t="str">
        <f aca="false">IF($A56="","",IF(AND(N56&lt;=2,G56&gt;-15%),"是","否"))</f>
        <v/>
      </c>
      <c r="S56" s="20"/>
      <c r="T56" s="4" t="str">
        <f aca="false">IF($A56="","",IF(AND(M56&gt;=3,N56&lt;=2),"是","否"))</f>
        <v/>
      </c>
      <c r="U56" s="5"/>
      <c r="V56" s="5"/>
    </row>
    <row r="57" customFormat="false" ht="15" hidden="false" customHeight="true" outlineLevel="0" collapsed="false">
      <c r="A57" s="7"/>
      <c r="B57" s="24"/>
      <c r="C57" s="24"/>
      <c r="D57" s="16" t="n">
        <f aca="false">IFERROR((C57-B57)/B57,0)</f>
        <v>0</v>
      </c>
      <c r="E57" s="24"/>
      <c r="F57" s="24"/>
      <c r="G57" s="16" t="n">
        <f aca="false">IFERROR((F57-E57)/E57,0)</f>
        <v>0</v>
      </c>
      <c r="H57" s="25"/>
      <c r="I57" s="25"/>
      <c r="J57" s="25"/>
      <c r="K57" s="7"/>
      <c r="L57" s="25"/>
      <c r="M57" s="25"/>
      <c r="N57" s="25"/>
      <c r="O57" s="7"/>
      <c r="P57" s="7"/>
      <c r="Q57" s="7"/>
      <c r="R57" s="4" t="str">
        <f aca="false">IF($A57="","",IF(AND(N57&lt;=2,G57&gt;-15%),"是","否"))</f>
        <v/>
      </c>
      <c r="S57" s="26"/>
      <c r="T57" s="4" t="str">
        <f aca="false">IF($A57="","",IF(AND(M57&gt;=3,N57&lt;=2),"是","否"))</f>
        <v/>
      </c>
      <c r="U57" s="7"/>
      <c r="V57" s="7"/>
    </row>
    <row r="58" customFormat="false" ht="15" hidden="false" customHeight="true" outlineLevel="0" collapsed="false">
      <c r="A58" s="5"/>
      <c r="B58" s="14"/>
      <c r="C58" s="14"/>
      <c r="D58" s="16" t="n">
        <f aca="false">IFERROR((C58-B58)/B58,0)</f>
        <v>0</v>
      </c>
      <c r="E58" s="14"/>
      <c r="F58" s="14"/>
      <c r="G58" s="16" t="n">
        <f aca="false">IFERROR((F58-E58)/E58,0)</f>
        <v>0</v>
      </c>
      <c r="H58" s="17"/>
      <c r="I58" s="17"/>
      <c r="J58" s="17"/>
      <c r="K58" s="5"/>
      <c r="L58" s="17"/>
      <c r="M58" s="17"/>
      <c r="N58" s="17"/>
      <c r="O58" s="5"/>
      <c r="P58" s="5"/>
      <c r="Q58" s="5"/>
      <c r="R58" s="4" t="str">
        <f aca="false">IF($A58="","",IF(AND(N58&lt;=2,G58&gt;-15%),"是","否"))</f>
        <v/>
      </c>
      <c r="S58" s="20"/>
      <c r="T58" s="4" t="str">
        <f aca="false">IF($A58="","",IF(AND(M58&gt;=3,N58&lt;=2),"是","否"))</f>
        <v/>
      </c>
      <c r="U58" s="5"/>
      <c r="V58" s="5"/>
    </row>
    <row r="59" customFormat="false" ht="15" hidden="false" customHeight="true" outlineLevel="0" collapsed="false">
      <c r="A59" s="7"/>
      <c r="B59" s="24"/>
      <c r="C59" s="24"/>
      <c r="D59" s="16" t="n">
        <f aca="false">IFERROR((C59-B59)/B59,0)</f>
        <v>0</v>
      </c>
      <c r="E59" s="24"/>
      <c r="F59" s="24"/>
      <c r="G59" s="16" t="n">
        <f aca="false">IFERROR((F59-E59)/E59,0)</f>
        <v>0</v>
      </c>
      <c r="H59" s="25"/>
      <c r="I59" s="25"/>
      <c r="J59" s="25"/>
      <c r="K59" s="7"/>
      <c r="L59" s="25"/>
      <c r="M59" s="25"/>
      <c r="N59" s="25"/>
      <c r="O59" s="7"/>
      <c r="P59" s="7"/>
      <c r="Q59" s="7"/>
      <c r="R59" s="4" t="str">
        <f aca="false">IF($A59="","",IF(AND(N59&lt;=2,G59&gt;-15%),"是","否"))</f>
        <v/>
      </c>
      <c r="S59" s="26"/>
      <c r="T59" s="4" t="str">
        <f aca="false">IF($A59="","",IF(AND(M59&gt;=3,N59&lt;=2),"是","否"))</f>
        <v/>
      </c>
      <c r="U59" s="7"/>
      <c r="V59" s="7"/>
    </row>
    <row r="60" customFormat="false" ht="15" hidden="false" customHeight="true" outlineLevel="0" collapsed="false">
      <c r="A60" s="5"/>
      <c r="B60" s="14"/>
      <c r="C60" s="14"/>
      <c r="D60" s="16" t="n">
        <f aca="false">IFERROR((C60-B60)/B60,0)</f>
        <v>0</v>
      </c>
      <c r="E60" s="14"/>
      <c r="F60" s="14"/>
      <c r="G60" s="16" t="n">
        <f aca="false">IFERROR((F60-E60)/E60,0)</f>
        <v>0</v>
      </c>
      <c r="H60" s="17"/>
      <c r="I60" s="17"/>
      <c r="J60" s="17"/>
      <c r="K60" s="5"/>
      <c r="L60" s="17"/>
      <c r="M60" s="17"/>
      <c r="N60" s="17"/>
      <c r="O60" s="5"/>
      <c r="P60" s="5"/>
      <c r="Q60" s="5"/>
      <c r="R60" s="4" t="str">
        <f aca="false">IF($A60="","",IF(AND(N60&lt;=2,G60&gt;-15%),"是","否"))</f>
        <v/>
      </c>
      <c r="S60" s="20"/>
      <c r="T60" s="4" t="str">
        <f aca="false">IF($A60="","",IF(AND(M60&gt;=3,N60&lt;=2),"是","否"))</f>
        <v/>
      </c>
      <c r="U60" s="5"/>
      <c r="V60" s="5"/>
    </row>
    <row r="61" customFormat="false" ht="15" hidden="false" customHeight="true" outlineLevel="0" collapsed="false">
      <c r="A61" s="7"/>
      <c r="B61" s="24"/>
      <c r="C61" s="24"/>
      <c r="D61" s="16" t="n">
        <f aca="false">IFERROR((C61-B61)/B61,0)</f>
        <v>0</v>
      </c>
      <c r="E61" s="24"/>
      <c r="F61" s="24"/>
      <c r="G61" s="16" t="n">
        <f aca="false">IFERROR((F61-E61)/E61,0)</f>
        <v>0</v>
      </c>
      <c r="H61" s="25"/>
      <c r="I61" s="25"/>
      <c r="J61" s="25"/>
      <c r="K61" s="7"/>
      <c r="L61" s="25"/>
      <c r="M61" s="25"/>
      <c r="N61" s="25"/>
      <c r="O61" s="7"/>
      <c r="P61" s="7"/>
      <c r="Q61" s="7"/>
      <c r="R61" s="4" t="str">
        <f aca="false">IF($A61="","",IF(AND(N61&lt;=2,G61&gt;-15%),"是","否"))</f>
        <v/>
      </c>
      <c r="S61" s="26"/>
      <c r="T61" s="4" t="str">
        <f aca="false">IF($A61="","",IF(AND(M61&gt;=3,N61&lt;=2),"是","否"))</f>
        <v/>
      </c>
      <c r="U61" s="7"/>
      <c r="V61" s="7"/>
    </row>
    <row r="62" customFormat="false" ht="15" hidden="false" customHeight="true" outlineLevel="0" collapsed="false">
      <c r="A62" s="5"/>
      <c r="B62" s="14"/>
      <c r="C62" s="14"/>
      <c r="D62" s="16" t="n">
        <f aca="false">IFERROR((C62-B62)/B62,0)</f>
        <v>0</v>
      </c>
      <c r="E62" s="14"/>
      <c r="F62" s="14"/>
      <c r="G62" s="16" t="n">
        <f aca="false">IFERROR((F62-E62)/E62,0)</f>
        <v>0</v>
      </c>
      <c r="H62" s="17"/>
      <c r="I62" s="17"/>
      <c r="J62" s="17"/>
      <c r="K62" s="5"/>
      <c r="L62" s="17"/>
      <c r="M62" s="17"/>
      <c r="N62" s="17"/>
      <c r="O62" s="5"/>
      <c r="P62" s="5"/>
      <c r="Q62" s="5"/>
      <c r="R62" s="4" t="str">
        <f aca="false">IF($A62="","",IF(AND(N62&lt;=2,G62&gt;-15%),"是","否"))</f>
        <v/>
      </c>
      <c r="S62" s="20"/>
      <c r="T62" s="4" t="str">
        <f aca="false">IF($A62="","",IF(AND(M62&gt;=3,N62&lt;=2),"是","否"))</f>
        <v/>
      </c>
      <c r="U62" s="5"/>
      <c r="V62" s="5"/>
    </row>
    <row r="63" customFormat="false" ht="15" hidden="false" customHeight="true" outlineLevel="0" collapsed="false">
      <c r="A63" s="7"/>
      <c r="B63" s="24"/>
      <c r="C63" s="24"/>
      <c r="D63" s="16" t="n">
        <f aca="false">IFERROR((C63-B63)/B63,0)</f>
        <v>0</v>
      </c>
      <c r="E63" s="24"/>
      <c r="F63" s="24"/>
      <c r="G63" s="16" t="n">
        <f aca="false">IFERROR((F63-E63)/E63,0)</f>
        <v>0</v>
      </c>
      <c r="H63" s="25"/>
      <c r="I63" s="25"/>
      <c r="J63" s="25"/>
      <c r="K63" s="7"/>
      <c r="L63" s="25"/>
      <c r="M63" s="25"/>
      <c r="N63" s="25"/>
      <c r="O63" s="7"/>
      <c r="P63" s="7"/>
      <c r="Q63" s="7"/>
      <c r="R63" s="4" t="str">
        <f aca="false">IF($A63="","",IF(AND(N63&lt;=2,G63&gt;-15%),"是","否"))</f>
        <v/>
      </c>
      <c r="S63" s="26"/>
      <c r="T63" s="4" t="str">
        <f aca="false">IF($A63="","",IF(AND(M63&gt;=3,N63&lt;=2),"是","否"))</f>
        <v/>
      </c>
      <c r="U63" s="7"/>
      <c r="V63" s="7"/>
    </row>
    <row r="64" customFormat="false" ht="15" hidden="false" customHeight="true" outlineLevel="0" collapsed="false">
      <c r="A64" s="5"/>
      <c r="B64" s="14"/>
      <c r="C64" s="14"/>
      <c r="D64" s="16" t="n">
        <f aca="false">IFERROR((C64-B64)/B64,0)</f>
        <v>0</v>
      </c>
      <c r="E64" s="14"/>
      <c r="F64" s="14"/>
      <c r="G64" s="16" t="n">
        <f aca="false">IFERROR((F64-E64)/E64,0)</f>
        <v>0</v>
      </c>
      <c r="H64" s="17"/>
      <c r="I64" s="17"/>
      <c r="J64" s="17"/>
      <c r="K64" s="5"/>
      <c r="L64" s="17"/>
      <c r="M64" s="17"/>
      <c r="N64" s="17"/>
      <c r="O64" s="5"/>
      <c r="P64" s="5"/>
      <c r="Q64" s="5"/>
      <c r="R64" s="4" t="str">
        <f aca="false">IF($A64="","",IF(AND(N64&lt;=2,G64&gt;-15%),"是","否"))</f>
        <v/>
      </c>
      <c r="S64" s="20"/>
      <c r="T64" s="4" t="str">
        <f aca="false">IF($A64="","",IF(AND(M64&gt;=3,N64&lt;=2),"是","否"))</f>
        <v/>
      </c>
      <c r="U64" s="5"/>
      <c r="V64" s="5"/>
    </row>
    <row r="65" customFormat="false" ht="15" hidden="false" customHeight="true" outlineLevel="0" collapsed="false">
      <c r="A65" s="7"/>
      <c r="B65" s="24"/>
      <c r="C65" s="24"/>
      <c r="D65" s="16" t="n">
        <f aca="false">IFERROR((C65-B65)/B65,0)</f>
        <v>0</v>
      </c>
      <c r="E65" s="24"/>
      <c r="F65" s="24"/>
      <c r="G65" s="16" t="n">
        <f aca="false">IFERROR((F65-E65)/E65,0)</f>
        <v>0</v>
      </c>
      <c r="H65" s="25"/>
      <c r="I65" s="25"/>
      <c r="J65" s="25"/>
      <c r="K65" s="7"/>
      <c r="L65" s="25"/>
      <c r="M65" s="25"/>
      <c r="N65" s="25"/>
      <c r="O65" s="7"/>
      <c r="P65" s="7"/>
      <c r="Q65" s="7"/>
      <c r="R65" s="4" t="str">
        <f aca="false">IF($A65="","",IF(AND(N65&lt;=2,G65&gt;-15%),"是","否"))</f>
        <v/>
      </c>
      <c r="S65" s="26"/>
      <c r="T65" s="4" t="str">
        <f aca="false">IF($A65="","",IF(AND(M65&gt;=3,N65&lt;=2),"是","否"))</f>
        <v/>
      </c>
      <c r="U65" s="7"/>
      <c r="V65" s="7"/>
    </row>
    <row r="66" customFormat="false" ht="15" hidden="false" customHeight="true" outlineLevel="0" collapsed="false">
      <c r="A66" s="5"/>
      <c r="B66" s="14"/>
      <c r="C66" s="14"/>
      <c r="D66" s="16" t="n">
        <f aca="false">IFERROR((C66-B66)/B66,0)</f>
        <v>0</v>
      </c>
      <c r="E66" s="14"/>
      <c r="F66" s="14"/>
      <c r="G66" s="16" t="n">
        <f aca="false">IFERROR((F66-E66)/E66,0)</f>
        <v>0</v>
      </c>
      <c r="H66" s="17"/>
      <c r="I66" s="17"/>
      <c r="J66" s="17"/>
      <c r="K66" s="5"/>
      <c r="L66" s="17"/>
      <c r="M66" s="17"/>
      <c r="N66" s="17"/>
      <c r="O66" s="5"/>
      <c r="P66" s="5"/>
      <c r="Q66" s="5"/>
      <c r="R66" s="4" t="str">
        <f aca="false">IF($A66="","",IF(AND(N66&lt;=2,G66&gt;-15%),"是","否"))</f>
        <v/>
      </c>
      <c r="S66" s="20"/>
      <c r="T66" s="4" t="str">
        <f aca="false">IF($A66="","",IF(AND(M66&gt;=3,N66&lt;=2),"是","否"))</f>
        <v/>
      </c>
      <c r="U66" s="5"/>
      <c r="V66" s="5"/>
    </row>
    <row r="67" customFormat="false" ht="15" hidden="false" customHeight="true" outlineLevel="0" collapsed="false">
      <c r="A67" s="7"/>
      <c r="B67" s="24"/>
      <c r="C67" s="24"/>
      <c r="D67" s="16" t="n">
        <f aca="false">IFERROR((C67-B67)/B67,0)</f>
        <v>0</v>
      </c>
      <c r="E67" s="24"/>
      <c r="F67" s="24"/>
      <c r="G67" s="16" t="n">
        <f aca="false">IFERROR((F67-E67)/E67,0)</f>
        <v>0</v>
      </c>
      <c r="H67" s="25"/>
      <c r="I67" s="25"/>
      <c r="J67" s="25"/>
      <c r="K67" s="7"/>
      <c r="L67" s="25"/>
      <c r="M67" s="25"/>
      <c r="N67" s="25"/>
      <c r="O67" s="7"/>
      <c r="P67" s="7"/>
      <c r="Q67" s="7"/>
      <c r="R67" s="4" t="str">
        <f aca="false">IF($A67="","",IF(AND(N67&lt;=2,G67&gt;-15%),"是","否"))</f>
        <v/>
      </c>
      <c r="S67" s="26"/>
      <c r="T67" s="4" t="str">
        <f aca="false">IF($A67="","",IF(AND(M67&gt;=3,N67&lt;=2),"是","否"))</f>
        <v/>
      </c>
      <c r="U67" s="7"/>
      <c r="V67" s="7"/>
    </row>
    <row r="68" customFormat="false" ht="15" hidden="false" customHeight="true" outlineLevel="0" collapsed="false">
      <c r="A68" s="5"/>
      <c r="B68" s="14"/>
      <c r="C68" s="14"/>
      <c r="D68" s="16" t="n">
        <f aca="false">IFERROR((C68-B68)/B68,0)</f>
        <v>0</v>
      </c>
      <c r="E68" s="14"/>
      <c r="F68" s="14"/>
      <c r="G68" s="16" t="n">
        <f aca="false">IFERROR((F68-E68)/E68,0)</f>
        <v>0</v>
      </c>
      <c r="H68" s="17"/>
      <c r="I68" s="17"/>
      <c r="J68" s="17"/>
      <c r="K68" s="5"/>
      <c r="L68" s="17"/>
      <c r="M68" s="17"/>
      <c r="N68" s="17"/>
      <c r="O68" s="5"/>
      <c r="P68" s="5"/>
      <c r="Q68" s="5"/>
      <c r="R68" s="4" t="str">
        <f aca="false">IF($A68="","",IF(AND(N68&lt;=2,G68&gt;-15%),"是","否"))</f>
        <v/>
      </c>
      <c r="S68" s="20"/>
      <c r="T68" s="4" t="str">
        <f aca="false">IF($A68="","",IF(AND(M68&gt;=3,N68&lt;=2),"是","否"))</f>
        <v/>
      </c>
      <c r="U68" s="5"/>
      <c r="V68" s="5"/>
    </row>
    <row r="69" customFormat="false" ht="15" hidden="false" customHeight="true" outlineLevel="0" collapsed="false">
      <c r="A69" s="7"/>
      <c r="B69" s="24"/>
      <c r="C69" s="24"/>
      <c r="D69" s="16" t="n">
        <f aca="false">IFERROR((C69-B69)/B69,0)</f>
        <v>0</v>
      </c>
      <c r="E69" s="24"/>
      <c r="F69" s="24"/>
      <c r="G69" s="16" t="n">
        <f aca="false">IFERROR((F69-E69)/E69,0)</f>
        <v>0</v>
      </c>
      <c r="H69" s="25"/>
      <c r="I69" s="25"/>
      <c r="J69" s="25"/>
      <c r="K69" s="7"/>
      <c r="L69" s="25"/>
      <c r="M69" s="25"/>
      <c r="N69" s="25"/>
      <c r="O69" s="7"/>
      <c r="P69" s="7"/>
      <c r="Q69" s="7"/>
      <c r="R69" s="4" t="str">
        <f aca="false">IF($A69="","",IF(AND(N69&lt;=2,G69&gt;-15%),"是","否"))</f>
        <v/>
      </c>
      <c r="S69" s="26"/>
      <c r="T69" s="4" t="str">
        <f aca="false">IF($A69="","",IF(AND(M69&gt;=3,N69&lt;=2),"是","否"))</f>
        <v/>
      </c>
      <c r="U69" s="7"/>
      <c r="V69" s="7"/>
    </row>
    <row r="70" customFormat="false" ht="15" hidden="false" customHeight="true" outlineLevel="0" collapsed="false">
      <c r="A70" s="5"/>
      <c r="B70" s="14"/>
      <c r="C70" s="14"/>
      <c r="D70" s="16" t="n">
        <f aca="false">IFERROR((C70-B70)/B70,0)</f>
        <v>0</v>
      </c>
      <c r="E70" s="14"/>
      <c r="F70" s="14"/>
      <c r="G70" s="16" t="n">
        <f aca="false">IFERROR((F70-E70)/E70,0)</f>
        <v>0</v>
      </c>
      <c r="H70" s="17"/>
      <c r="I70" s="17"/>
      <c r="J70" s="17"/>
      <c r="K70" s="5"/>
      <c r="L70" s="17"/>
      <c r="M70" s="17"/>
      <c r="N70" s="17"/>
      <c r="O70" s="5"/>
      <c r="P70" s="5"/>
      <c r="Q70" s="5"/>
      <c r="R70" s="4" t="str">
        <f aca="false">IF($A70="","",IF(AND(N70&lt;=2,G70&gt;-15%),"是","否"))</f>
        <v/>
      </c>
      <c r="S70" s="20"/>
      <c r="T70" s="4" t="str">
        <f aca="false">IF($A70="","",IF(AND(M70&gt;=3,N70&lt;=2),"是","否"))</f>
        <v/>
      </c>
      <c r="U70" s="5"/>
      <c r="V70" s="5"/>
    </row>
    <row r="71" customFormat="false" ht="15" hidden="false" customHeight="true" outlineLevel="0" collapsed="false">
      <c r="A71" s="7"/>
      <c r="B71" s="24"/>
      <c r="C71" s="24"/>
      <c r="D71" s="16" t="n">
        <f aca="false">IFERROR((C71-B71)/B71,0)</f>
        <v>0</v>
      </c>
      <c r="E71" s="24"/>
      <c r="F71" s="24"/>
      <c r="G71" s="16" t="n">
        <f aca="false">IFERROR((F71-E71)/E71,0)</f>
        <v>0</v>
      </c>
      <c r="H71" s="25"/>
      <c r="I71" s="25"/>
      <c r="J71" s="25"/>
      <c r="K71" s="7"/>
      <c r="L71" s="25"/>
      <c r="M71" s="25"/>
      <c r="N71" s="25"/>
      <c r="O71" s="7"/>
      <c r="P71" s="7"/>
      <c r="Q71" s="7"/>
      <c r="R71" s="4" t="str">
        <f aca="false">IF($A71="","",IF(AND(N71&lt;=2,G71&gt;-15%),"是","否"))</f>
        <v/>
      </c>
      <c r="S71" s="26"/>
      <c r="T71" s="4" t="str">
        <f aca="false">IF($A71="","",IF(AND(M71&gt;=3,N71&lt;=2),"是","否"))</f>
        <v/>
      </c>
      <c r="U71" s="7"/>
      <c r="V71" s="7"/>
    </row>
    <row r="72" customFormat="false" ht="15" hidden="false" customHeight="true" outlineLevel="0" collapsed="false">
      <c r="A72" s="5"/>
      <c r="B72" s="14"/>
      <c r="C72" s="14"/>
      <c r="D72" s="16" t="n">
        <f aca="false">IFERROR((C72-B72)/B72,0)</f>
        <v>0</v>
      </c>
      <c r="E72" s="14"/>
      <c r="F72" s="14"/>
      <c r="G72" s="16" t="n">
        <f aca="false">IFERROR((F72-E72)/E72,0)</f>
        <v>0</v>
      </c>
      <c r="H72" s="17"/>
      <c r="I72" s="17"/>
      <c r="J72" s="17"/>
      <c r="K72" s="5"/>
      <c r="L72" s="17"/>
      <c r="M72" s="17"/>
      <c r="N72" s="17"/>
      <c r="O72" s="5"/>
      <c r="P72" s="5"/>
      <c r="Q72" s="5"/>
      <c r="R72" s="4" t="str">
        <f aca="false">IF($A72="","",IF(AND(N72&lt;=2,G72&gt;-15%),"是","否"))</f>
        <v/>
      </c>
      <c r="S72" s="20"/>
      <c r="T72" s="4" t="str">
        <f aca="false">IF($A72="","",IF(AND(M72&gt;=3,N72&lt;=2),"是","否"))</f>
        <v/>
      </c>
      <c r="U72" s="5"/>
      <c r="V72" s="5"/>
    </row>
    <row r="73" customFormat="false" ht="15" hidden="false" customHeight="true" outlineLevel="0" collapsed="false">
      <c r="A73" s="7"/>
      <c r="B73" s="24"/>
      <c r="C73" s="24"/>
      <c r="D73" s="16" t="n">
        <f aca="false">IFERROR((C73-B73)/B73,0)</f>
        <v>0</v>
      </c>
      <c r="E73" s="24"/>
      <c r="F73" s="24"/>
      <c r="G73" s="16" t="n">
        <f aca="false">IFERROR((F73-E73)/E73,0)</f>
        <v>0</v>
      </c>
      <c r="H73" s="25"/>
      <c r="I73" s="25"/>
      <c r="J73" s="25"/>
      <c r="K73" s="7"/>
      <c r="L73" s="25"/>
      <c r="M73" s="25"/>
      <c r="N73" s="25"/>
      <c r="O73" s="7"/>
      <c r="P73" s="7"/>
      <c r="Q73" s="7"/>
      <c r="R73" s="4" t="str">
        <f aca="false">IF($A73="","",IF(AND(N73&lt;=2,G73&gt;-15%),"是","否"))</f>
        <v/>
      </c>
      <c r="S73" s="26"/>
      <c r="T73" s="4" t="str">
        <f aca="false">IF($A73="","",IF(AND(M73&gt;=3,N73&lt;=2),"是","否"))</f>
        <v/>
      </c>
      <c r="U73" s="7"/>
      <c r="V73" s="7"/>
    </row>
    <row r="74" customFormat="false" ht="15" hidden="false" customHeight="true" outlineLevel="0" collapsed="false">
      <c r="A74" s="5"/>
      <c r="B74" s="14"/>
      <c r="C74" s="14"/>
      <c r="D74" s="16" t="n">
        <f aca="false">IFERROR((C74-B74)/B74,0)</f>
        <v>0</v>
      </c>
      <c r="E74" s="14"/>
      <c r="F74" s="14"/>
      <c r="G74" s="16" t="n">
        <f aca="false">IFERROR((F74-E74)/E74,0)</f>
        <v>0</v>
      </c>
      <c r="H74" s="17"/>
      <c r="I74" s="17"/>
      <c r="J74" s="17"/>
      <c r="K74" s="5"/>
      <c r="L74" s="17"/>
      <c r="M74" s="17"/>
      <c r="N74" s="17"/>
      <c r="O74" s="5"/>
      <c r="P74" s="5"/>
      <c r="Q74" s="5"/>
      <c r="R74" s="4" t="str">
        <f aca="false">IF($A74="","",IF(AND(N74&lt;=2,G74&gt;-15%),"是","否"))</f>
        <v/>
      </c>
      <c r="S74" s="20"/>
      <c r="T74" s="4" t="str">
        <f aca="false">IF($A74="","",IF(AND(M74&gt;=3,N74&lt;=2),"是","否"))</f>
        <v/>
      </c>
      <c r="U74" s="5"/>
      <c r="V74" s="5"/>
    </row>
    <row r="75" customFormat="false" ht="15" hidden="false" customHeight="true" outlineLevel="0" collapsed="false">
      <c r="A75" s="7"/>
      <c r="B75" s="24"/>
      <c r="C75" s="24"/>
      <c r="D75" s="16" t="n">
        <f aca="false">IFERROR((C75-B75)/B75,0)</f>
        <v>0</v>
      </c>
      <c r="E75" s="24"/>
      <c r="F75" s="24"/>
      <c r="G75" s="16" t="n">
        <f aca="false">IFERROR((F75-E75)/E75,0)</f>
        <v>0</v>
      </c>
      <c r="H75" s="25"/>
      <c r="I75" s="25"/>
      <c r="J75" s="25"/>
      <c r="K75" s="7"/>
      <c r="L75" s="25"/>
      <c r="M75" s="25"/>
      <c r="N75" s="25"/>
      <c r="O75" s="7"/>
      <c r="P75" s="7"/>
      <c r="Q75" s="7"/>
      <c r="R75" s="4" t="str">
        <f aca="false">IF($A75="","",IF(AND(N75&lt;=2,G75&gt;-15%),"是","否"))</f>
        <v/>
      </c>
      <c r="S75" s="26"/>
      <c r="T75" s="4" t="str">
        <f aca="false">IF($A75="","",IF(AND(M75&gt;=3,N75&lt;=2),"是","否"))</f>
        <v/>
      </c>
      <c r="U75" s="7"/>
      <c r="V75" s="7"/>
    </row>
    <row r="76" customFormat="false" ht="15" hidden="false" customHeight="true" outlineLevel="0" collapsed="false">
      <c r="A76" s="5"/>
      <c r="B76" s="14"/>
      <c r="C76" s="14"/>
      <c r="D76" s="16" t="n">
        <f aca="false">IFERROR((C76-B76)/B76,0)</f>
        <v>0</v>
      </c>
      <c r="E76" s="14"/>
      <c r="F76" s="14"/>
      <c r="G76" s="16" t="n">
        <f aca="false">IFERROR((F76-E76)/E76,0)</f>
        <v>0</v>
      </c>
      <c r="H76" s="17"/>
      <c r="I76" s="17"/>
      <c r="J76" s="17"/>
      <c r="K76" s="5"/>
      <c r="L76" s="17"/>
      <c r="M76" s="17"/>
      <c r="N76" s="17"/>
      <c r="O76" s="5"/>
      <c r="P76" s="5"/>
      <c r="Q76" s="5"/>
      <c r="R76" s="4" t="str">
        <f aca="false">IF($A76="","",IF(AND(N76&lt;=2,G76&gt;-15%),"是","否"))</f>
        <v/>
      </c>
      <c r="S76" s="20"/>
      <c r="T76" s="4" t="str">
        <f aca="false">IF($A76="","",IF(AND(M76&gt;=3,N76&lt;=2),"是","否"))</f>
        <v/>
      </c>
      <c r="U76" s="5"/>
      <c r="V76" s="5"/>
    </row>
    <row r="77" customFormat="false" ht="15" hidden="false" customHeight="true" outlineLevel="0" collapsed="false">
      <c r="A77" s="7"/>
      <c r="B77" s="24"/>
      <c r="C77" s="24"/>
      <c r="D77" s="16" t="n">
        <f aca="false">IFERROR((C77-B77)/B77,0)</f>
        <v>0</v>
      </c>
      <c r="E77" s="24"/>
      <c r="F77" s="24"/>
      <c r="G77" s="16" t="n">
        <f aca="false">IFERROR((F77-E77)/E77,0)</f>
        <v>0</v>
      </c>
      <c r="H77" s="25"/>
      <c r="I77" s="25"/>
      <c r="J77" s="25"/>
      <c r="K77" s="7"/>
      <c r="L77" s="25"/>
      <c r="M77" s="25"/>
      <c r="N77" s="25"/>
      <c r="O77" s="7"/>
      <c r="P77" s="7"/>
      <c r="Q77" s="7"/>
      <c r="R77" s="4" t="str">
        <f aca="false">IF($A77="","",IF(AND(N77&lt;=2,G77&gt;-15%),"是","否"))</f>
        <v/>
      </c>
      <c r="S77" s="26"/>
      <c r="T77" s="4" t="str">
        <f aca="false">IF($A77="","",IF(AND(M77&gt;=3,N77&lt;=2),"是","否"))</f>
        <v/>
      </c>
      <c r="U77" s="7"/>
      <c r="V77" s="7"/>
    </row>
    <row r="78" customFormat="false" ht="15" hidden="false" customHeight="true" outlineLevel="0" collapsed="false">
      <c r="A78" s="5"/>
      <c r="B78" s="14"/>
      <c r="C78" s="14"/>
      <c r="D78" s="16" t="n">
        <f aca="false">IFERROR((C78-B78)/B78,0)</f>
        <v>0</v>
      </c>
      <c r="E78" s="14"/>
      <c r="F78" s="14"/>
      <c r="G78" s="16" t="n">
        <f aca="false">IFERROR((F78-E78)/E78,0)</f>
        <v>0</v>
      </c>
      <c r="H78" s="17"/>
      <c r="I78" s="17"/>
      <c r="J78" s="17"/>
      <c r="K78" s="5"/>
      <c r="L78" s="17"/>
      <c r="M78" s="17"/>
      <c r="N78" s="17"/>
      <c r="O78" s="5"/>
      <c r="P78" s="5"/>
      <c r="Q78" s="5"/>
      <c r="R78" s="4" t="str">
        <f aca="false">IF($A78="","",IF(AND(N78&lt;=2,G78&gt;-15%),"是","否"))</f>
        <v/>
      </c>
      <c r="S78" s="20"/>
      <c r="T78" s="4" t="str">
        <f aca="false">IF($A78="","",IF(AND(M78&gt;=3,N78&lt;=2),"是","否"))</f>
        <v/>
      </c>
      <c r="U78" s="5"/>
      <c r="V78" s="5"/>
    </row>
    <row r="79" customFormat="false" ht="15" hidden="false" customHeight="true" outlineLevel="0" collapsed="false">
      <c r="A79" s="7"/>
      <c r="B79" s="24"/>
      <c r="C79" s="24"/>
      <c r="D79" s="16" t="n">
        <f aca="false">IFERROR((C79-B79)/B79,0)</f>
        <v>0</v>
      </c>
      <c r="E79" s="24"/>
      <c r="F79" s="24"/>
      <c r="G79" s="16" t="n">
        <f aca="false">IFERROR((F79-E79)/E79,0)</f>
        <v>0</v>
      </c>
      <c r="H79" s="25"/>
      <c r="I79" s="25"/>
      <c r="J79" s="25"/>
      <c r="K79" s="7"/>
      <c r="L79" s="25"/>
      <c r="M79" s="25"/>
      <c r="N79" s="25"/>
      <c r="O79" s="7"/>
      <c r="P79" s="7"/>
      <c r="Q79" s="7"/>
      <c r="R79" s="4" t="str">
        <f aca="false">IF($A79="","",IF(AND(N79&lt;=2,G79&gt;-15%),"是","否"))</f>
        <v/>
      </c>
      <c r="S79" s="26"/>
      <c r="T79" s="4" t="str">
        <f aca="false">IF($A79="","",IF(AND(M79&gt;=3,N79&lt;=2),"是","否"))</f>
        <v/>
      </c>
      <c r="U79" s="7"/>
      <c r="V79" s="7"/>
    </row>
    <row r="80" customFormat="false" ht="15" hidden="false" customHeight="true" outlineLevel="0" collapsed="false">
      <c r="A80" s="5"/>
      <c r="B80" s="14"/>
      <c r="C80" s="14"/>
      <c r="D80" s="16" t="n">
        <f aca="false">IFERROR((C80-B80)/B80,0)</f>
        <v>0</v>
      </c>
      <c r="E80" s="14"/>
      <c r="F80" s="14"/>
      <c r="G80" s="16" t="n">
        <f aca="false">IFERROR((F80-E80)/E80,0)</f>
        <v>0</v>
      </c>
      <c r="H80" s="17"/>
      <c r="I80" s="17"/>
      <c r="J80" s="17"/>
      <c r="K80" s="5"/>
      <c r="L80" s="17"/>
      <c r="M80" s="17"/>
      <c r="N80" s="17"/>
      <c r="O80" s="5"/>
      <c r="P80" s="5"/>
      <c r="Q80" s="5"/>
      <c r="R80" s="4" t="str">
        <f aca="false">IF($A80="","",IF(AND(N80&lt;=2,G80&gt;-15%),"是","否"))</f>
        <v/>
      </c>
      <c r="S80" s="20"/>
      <c r="T80" s="4" t="str">
        <f aca="false">IF($A80="","",IF(AND(M80&gt;=3,N80&lt;=2),"是","否"))</f>
        <v/>
      </c>
      <c r="U80" s="5"/>
      <c r="V80" s="5"/>
    </row>
    <row r="81" customFormat="false" ht="15" hidden="false" customHeight="true" outlineLevel="0" collapsed="false">
      <c r="A81" s="7"/>
      <c r="B81" s="24"/>
      <c r="C81" s="24"/>
      <c r="D81" s="16" t="n">
        <f aca="false">IFERROR((C81-B81)/B81,0)</f>
        <v>0</v>
      </c>
      <c r="E81" s="24"/>
      <c r="F81" s="24"/>
      <c r="G81" s="16" t="n">
        <f aca="false">IFERROR((F81-E81)/E81,0)</f>
        <v>0</v>
      </c>
      <c r="H81" s="25"/>
      <c r="I81" s="25"/>
      <c r="J81" s="25"/>
      <c r="K81" s="7"/>
      <c r="L81" s="25"/>
      <c r="M81" s="25"/>
      <c r="N81" s="25"/>
      <c r="O81" s="7"/>
      <c r="P81" s="7"/>
      <c r="Q81" s="7"/>
      <c r="R81" s="4" t="str">
        <f aca="false">IF($A81="","",IF(AND(N81&lt;=2,G81&gt;-15%),"是","否"))</f>
        <v/>
      </c>
      <c r="S81" s="26"/>
      <c r="T81" s="4" t="str">
        <f aca="false">IF($A81="","",IF(AND(M81&gt;=3,N81&lt;=2),"是","否"))</f>
        <v/>
      </c>
      <c r="U81" s="7"/>
      <c r="V81" s="7"/>
    </row>
    <row r="82" customFormat="false" ht="15" hidden="false" customHeight="true" outlineLevel="0" collapsed="false">
      <c r="A82" s="5"/>
      <c r="B82" s="14"/>
      <c r="C82" s="14"/>
      <c r="D82" s="16" t="n">
        <f aca="false">IFERROR((C82-B82)/B82,0)</f>
        <v>0</v>
      </c>
      <c r="E82" s="14"/>
      <c r="F82" s="14"/>
      <c r="G82" s="16" t="n">
        <f aca="false">IFERROR((F82-E82)/E82,0)</f>
        <v>0</v>
      </c>
      <c r="H82" s="17"/>
      <c r="I82" s="17"/>
      <c r="J82" s="17"/>
      <c r="K82" s="5"/>
      <c r="L82" s="17"/>
      <c r="M82" s="17"/>
      <c r="N82" s="17"/>
      <c r="O82" s="5"/>
      <c r="P82" s="5"/>
      <c r="Q82" s="5"/>
      <c r="R82" s="4" t="str">
        <f aca="false">IF($A82="","",IF(AND(N82&lt;=2,G82&gt;-15%),"是","否"))</f>
        <v/>
      </c>
      <c r="S82" s="20"/>
      <c r="T82" s="4" t="str">
        <f aca="false">IF($A82="","",IF(AND(M82&gt;=3,N82&lt;=2),"是","否"))</f>
        <v/>
      </c>
      <c r="U82" s="5"/>
      <c r="V82" s="5"/>
    </row>
    <row r="83" customFormat="false" ht="15" hidden="false" customHeight="true" outlineLevel="0" collapsed="false">
      <c r="A83" s="7"/>
      <c r="B83" s="24"/>
      <c r="C83" s="24"/>
      <c r="D83" s="16" t="n">
        <f aca="false">IFERROR((C83-B83)/B83,0)</f>
        <v>0</v>
      </c>
      <c r="E83" s="24"/>
      <c r="F83" s="24"/>
      <c r="G83" s="16" t="n">
        <f aca="false">IFERROR((F83-E83)/E83,0)</f>
        <v>0</v>
      </c>
      <c r="H83" s="25"/>
      <c r="I83" s="25"/>
      <c r="J83" s="25"/>
      <c r="K83" s="7"/>
      <c r="L83" s="25"/>
      <c r="M83" s="25"/>
      <c r="N83" s="25"/>
      <c r="O83" s="7"/>
      <c r="P83" s="7"/>
      <c r="Q83" s="7"/>
      <c r="R83" s="4" t="str">
        <f aca="false">IF($A83="","",IF(AND(N83&lt;=2,G83&gt;-15%),"是","否"))</f>
        <v/>
      </c>
      <c r="S83" s="26"/>
      <c r="T83" s="4" t="str">
        <f aca="false">IF($A83="","",IF(AND(M83&gt;=3,N83&lt;=2),"是","否"))</f>
        <v/>
      </c>
      <c r="U83" s="7"/>
      <c r="V83" s="7"/>
    </row>
    <row r="84" customFormat="false" ht="15" hidden="false" customHeight="true" outlineLevel="0" collapsed="false">
      <c r="A84" s="5"/>
      <c r="B84" s="14"/>
      <c r="C84" s="14"/>
      <c r="D84" s="16" t="n">
        <f aca="false">IFERROR((C84-B84)/B84,0)</f>
        <v>0</v>
      </c>
      <c r="E84" s="14"/>
      <c r="F84" s="14"/>
      <c r="G84" s="16" t="n">
        <f aca="false">IFERROR((F84-E84)/E84,0)</f>
        <v>0</v>
      </c>
      <c r="H84" s="17"/>
      <c r="I84" s="17"/>
      <c r="J84" s="17"/>
      <c r="K84" s="5"/>
      <c r="L84" s="17"/>
      <c r="M84" s="17"/>
      <c r="N84" s="17"/>
      <c r="O84" s="5"/>
      <c r="P84" s="5"/>
      <c r="Q84" s="5"/>
      <c r="R84" s="4" t="str">
        <f aca="false">IF($A84="","",IF(AND(N84&lt;=2,G84&gt;-15%),"是","否"))</f>
        <v/>
      </c>
      <c r="S84" s="20"/>
      <c r="T84" s="4" t="str">
        <f aca="false">IF($A84="","",IF(AND(M84&gt;=3,N84&lt;=2),"是","否"))</f>
        <v/>
      </c>
      <c r="U84" s="5"/>
      <c r="V84" s="5"/>
    </row>
    <row r="85" customFormat="false" ht="15" hidden="false" customHeight="true" outlineLevel="0" collapsed="false">
      <c r="A85" s="7"/>
      <c r="B85" s="24"/>
      <c r="C85" s="24"/>
      <c r="D85" s="16" t="n">
        <f aca="false">IFERROR((C85-B85)/B85,0)</f>
        <v>0</v>
      </c>
      <c r="E85" s="24"/>
      <c r="F85" s="24"/>
      <c r="G85" s="16" t="n">
        <f aca="false">IFERROR((F85-E85)/E85,0)</f>
        <v>0</v>
      </c>
      <c r="H85" s="25"/>
      <c r="I85" s="25"/>
      <c r="J85" s="25"/>
      <c r="K85" s="7"/>
      <c r="L85" s="25"/>
      <c r="M85" s="25"/>
      <c r="N85" s="25"/>
      <c r="O85" s="7"/>
      <c r="P85" s="7"/>
      <c r="Q85" s="7"/>
      <c r="R85" s="4" t="str">
        <f aca="false">IF($A85="","",IF(AND(N85&lt;=2,G85&gt;-15%),"是","否"))</f>
        <v/>
      </c>
      <c r="S85" s="26"/>
      <c r="T85" s="4" t="str">
        <f aca="false">IF($A85="","",IF(AND(M85&gt;=3,N85&lt;=2),"是","否"))</f>
        <v/>
      </c>
      <c r="U85" s="7"/>
      <c r="V85" s="7"/>
    </row>
    <row r="86" customFormat="false" ht="15" hidden="false" customHeight="true" outlineLevel="0" collapsed="false">
      <c r="A86" s="5"/>
      <c r="B86" s="14"/>
      <c r="C86" s="14"/>
      <c r="D86" s="16" t="n">
        <f aca="false">IFERROR((C86-B86)/B86,0)</f>
        <v>0</v>
      </c>
      <c r="E86" s="14"/>
      <c r="F86" s="14"/>
      <c r="G86" s="16" t="n">
        <f aca="false">IFERROR((F86-E86)/E86,0)</f>
        <v>0</v>
      </c>
      <c r="H86" s="17"/>
      <c r="I86" s="17"/>
      <c r="J86" s="17"/>
      <c r="K86" s="5"/>
      <c r="L86" s="17"/>
      <c r="M86" s="17"/>
      <c r="N86" s="17"/>
      <c r="O86" s="5"/>
      <c r="P86" s="5"/>
      <c r="Q86" s="5"/>
      <c r="R86" s="4" t="str">
        <f aca="false">IF($A86="","",IF(AND(N86&lt;=2,G86&gt;-15%),"是","否"))</f>
        <v/>
      </c>
      <c r="S86" s="20"/>
      <c r="T86" s="4" t="str">
        <f aca="false">IF($A86="","",IF(AND(M86&gt;=3,N86&lt;=2),"是","否"))</f>
        <v/>
      </c>
      <c r="U86" s="5"/>
      <c r="V86" s="5"/>
    </row>
    <row r="87" customFormat="false" ht="15" hidden="false" customHeight="true" outlineLevel="0" collapsed="false">
      <c r="A87" s="7"/>
      <c r="B87" s="24"/>
      <c r="C87" s="24"/>
      <c r="D87" s="16" t="n">
        <f aca="false">IFERROR((C87-B87)/B87,0)</f>
        <v>0</v>
      </c>
      <c r="E87" s="24"/>
      <c r="F87" s="24"/>
      <c r="G87" s="16" t="n">
        <f aca="false">IFERROR((F87-E87)/E87,0)</f>
        <v>0</v>
      </c>
      <c r="H87" s="25"/>
      <c r="I87" s="25"/>
      <c r="J87" s="25"/>
      <c r="K87" s="7"/>
      <c r="L87" s="25"/>
      <c r="M87" s="25"/>
      <c r="N87" s="25"/>
      <c r="O87" s="7"/>
      <c r="P87" s="7"/>
      <c r="Q87" s="7"/>
      <c r="R87" s="4" t="str">
        <f aca="false">IF($A87="","",IF(AND(N87&lt;=2,G87&gt;-15%),"是","否"))</f>
        <v/>
      </c>
      <c r="S87" s="26"/>
      <c r="T87" s="4" t="str">
        <f aca="false">IF($A87="","",IF(AND(M87&gt;=3,N87&lt;=2),"是","否"))</f>
        <v/>
      </c>
      <c r="U87" s="7"/>
      <c r="V87" s="7"/>
    </row>
    <row r="88" customFormat="false" ht="15" hidden="false" customHeight="true" outlineLevel="0" collapsed="false">
      <c r="A88" s="5"/>
      <c r="B88" s="14"/>
      <c r="C88" s="14"/>
      <c r="D88" s="16" t="n">
        <f aca="false">IFERROR((C88-B88)/B88,0)</f>
        <v>0</v>
      </c>
      <c r="E88" s="14"/>
      <c r="F88" s="14"/>
      <c r="G88" s="16" t="n">
        <f aca="false">IFERROR((F88-E88)/E88,0)</f>
        <v>0</v>
      </c>
      <c r="H88" s="17"/>
      <c r="I88" s="17"/>
      <c r="J88" s="17"/>
      <c r="K88" s="5"/>
      <c r="L88" s="17"/>
      <c r="M88" s="17"/>
      <c r="N88" s="17"/>
      <c r="O88" s="5"/>
      <c r="P88" s="5"/>
      <c r="Q88" s="5"/>
      <c r="R88" s="4" t="str">
        <f aca="false">IF($A88="","",IF(AND(N88&lt;=2,G88&gt;-15%),"是","否"))</f>
        <v/>
      </c>
      <c r="S88" s="20"/>
      <c r="T88" s="4" t="str">
        <f aca="false">IF($A88="","",IF(AND(M88&gt;=3,N88&lt;=2),"是","否"))</f>
        <v/>
      </c>
      <c r="U88" s="5"/>
      <c r="V88" s="5"/>
    </row>
    <row r="89" customFormat="false" ht="15" hidden="false" customHeight="true" outlineLevel="0" collapsed="false">
      <c r="A89" s="7"/>
      <c r="B89" s="24"/>
      <c r="C89" s="24"/>
      <c r="D89" s="16" t="n">
        <f aca="false">IFERROR((C89-B89)/B89,0)</f>
        <v>0</v>
      </c>
      <c r="E89" s="24"/>
      <c r="F89" s="24"/>
      <c r="G89" s="16" t="n">
        <f aca="false">IFERROR((F89-E89)/E89,0)</f>
        <v>0</v>
      </c>
      <c r="H89" s="25"/>
      <c r="I89" s="25"/>
      <c r="J89" s="25"/>
      <c r="K89" s="7"/>
      <c r="L89" s="25"/>
      <c r="M89" s="25"/>
      <c r="N89" s="25"/>
      <c r="O89" s="7"/>
      <c r="P89" s="7"/>
      <c r="Q89" s="7"/>
      <c r="R89" s="4" t="str">
        <f aca="false">IF($A89="","",IF(AND(N89&lt;=2,G89&gt;-15%),"是","否"))</f>
        <v/>
      </c>
      <c r="S89" s="26"/>
      <c r="T89" s="4" t="str">
        <f aca="false">IF($A89="","",IF(AND(M89&gt;=3,N89&lt;=2),"是","否"))</f>
        <v/>
      </c>
      <c r="U89" s="7"/>
      <c r="V89" s="7"/>
    </row>
    <row r="90" customFormat="false" ht="15" hidden="false" customHeight="true" outlineLevel="0" collapsed="false">
      <c r="A90" s="5"/>
      <c r="B90" s="14"/>
      <c r="C90" s="14"/>
      <c r="D90" s="16" t="n">
        <f aca="false">IFERROR((C90-B90)/B90,0)</f>
        <v>0</v>
      </c>
      <c r="E90" s="14"/>
      <c r="F90" s="14"/>
      <c r="G90" s="16" t="n">
        <f aca="false">IFERROR((F90-E90)/E90,0)</f>
        <v>0</v>
      </c>
      <c r="H90" s="17"/>
      <c r="I90" s="17"/>
      <c r="J90" s="17"/>
      <c r="K90" s="5"/>
      <c r="L90" s="17"/>
      <c r="M90" s="17"/>
      <c r="N90" s="17"/>
      <c r="O90" s="5"/>
      <c r="P90" s="5"/>
      <c r="Q90" s="5"/>
      <c r="R90" s="4" t="str">
        <f aca="false">IF($A90="","",IF(AND(N90&lt;=2,G90&gt;-15%),"是","否"))</f>
        <v/>
      </c>
      <c r="S90" s="20"/>
      <c r="T90" s="4" t="str">
        <f aca="false">IF($A90="","",IF(AND(M90&gt;=3,N90&lt;=2),"是","否"))</f>
        <v/>
      </c>
      <c r="U90" s="5"/>
      <c r="V90" s="5"/>
    </row>
    <row r="91" customFormat="false" ht="15" hidden="false" customHeight="true" outlineLevel="0" collapsed="false">
      <c r="A91" s="7"/>
      <c r="B91" s="24"/>
      <c r="C91" s="24"/>
      <c r="D91" s="16" t="n">
        <f aca="false">IFERROR((C91-B91)/B91,0)</f>
        <v>0</v>
      </c>
      <c r="E91" s="24"/>
      <c r="F91" s="24"/>
      <c r="G91" s="16" t="n">
        <f aca="false">IFERROR((F91-E91)/E91,0)</f>
        <v>0</v>
      </c>
      <c r="H91" s="25"/>
      <c r="I91" s="25"/>
      <c r="J91" s="25"/>
      <c r="K91" s="7"/>
      <c r="L91" s="25"/>
      <c r="M91" s="25"/>
      <c r="N91" s="25"/>
      <c r="O91" s="7"/>
      <c r="P91" s="7"/>
      <c r="Q91" s="7"/>
      <c r="R91" s="4" t="str">
        <f aca="false">IF($A91="","",IF(AND(N91&lt;=2,G91&gt;-15%),"是","否"))</f>
        <v/>
      </c>
      <c r="S91" s="26"/>
      <c r="T91" s="4" t="str">
        <f aca="false">IF($A91="","",IF(AND(M91&gt;=3,N91&lt;=2),"是","否"))</f>
        <v/>
      </c>
      <c r="U91" s="7"/>
      <c r="V91" s="7"/>
    </row>
    <row r="92" customFormat="false" ht="15" hidden="false" customHeight="true" outlineLevel="0" collapsed="false">
      <c r="A92" s="5"/>
      <c r="B92" s="14"/>
      <c r="C92" s="14"/>
      <c r="D92" s="16" t="n">
        <f aca="false">IFERROR((C92-B92)/B92,0)</f>
        <v>0</v>
      </c>
      <c r="E92" s="14"/>
      <c r="F92" s="14"/>
      <c r="G92" s="16" t="n">
        <f aca="false">IFERROR((F92-E92)/E92,0)</f>
        <v>0</v>
      </c>
      <c r="H92" s="17"/>
      <c r="I92" s="17"/>
      <c r="J92" s="17"/>
      <c r="K92" s="5"/>
      <c r="L92" s="17"/>
      <c r="M92" s="17"/>
      <c r="N92" s="17"/>
      <c r="O92" s="5"/>
      <c r="P92" s="5"/>
      <c r="Q92" s="5"/>
      <c r="R92" s="4" t="str">
        <f aca="false">IF($A92="","",IF(AND(N92&lt;=2,G92&gt;-15%),"是","否"))</f>
        <v/>
      </c>
      <c r="S92" s="20"/>
      <c r="T92" s="4" t="str">
        <f aca="false">IF($A92="","",IF(AND(M92&gt;=3,N92&lt;=2),"是","否"))</f>
        <v/>
      </c>
      <c r="U92" s="5"/>
      <c r="V92" s="5"/>
    </row>
    <row r="93" customFormat="false" ht="15" hidden="false" customHeight="true" outlineLevel="0" collapsed="false">
      <c r="A93" s="7"/>
      <c r="B93" s="24"/>
      <c r="C93" s="24"/>
      <c r="D93" s="16" t="n">
        <f aca="false">IFERROR((C93-B93)/B93,0)</f>
        <v>0</v>
      </c>
      <c r="E93" s="24"/>
      <c r="F93" s="24"/>
      <c r="G93" s="16" t="n">
        <f aca="false">IFERROR((F93-E93)/E93,0)</f>
        <v>0</v>
      </c>
      <c r="H93" s="25"/>
      <c r="I93" s="25"/>
      <c r="J93" s="25"/>
      <c r="K93" s="7"/>
      <c r="L93" s="25"/>
      <c r="M93" s="25"/>
      <c r="N93" s="25"/>
      <c r="O93" s="7"/>
      <c r="P93" s="7"/>
      <c r="Q93" s="7"/>
      <c r="R93" s="4" t="str">
        <f aca="false">IF($A93="","",IF(AND(N93&lt;=2,G93&gt;-15%),"是","否"))</f>
        <v/>
      </c>
      <c r="S93" s="26"/>
      <c r="T93" s="4" t="str">
        <f aca="false">IF($A93="","",IF(AND(M93&gt;=3,N93&lt;=2),"是","否"))</f>
        <v/>
      </c>
      <c r="U93" s="7"/>
      <c r="V93" s="7"/>
    </row>
    <row r="94" customFormat="false" ht="15" hidden="false" customHeight="true" outlineLevel="0" collapsed="false">
      <c r="A94" s="5"/>
      <c r="B94" s="14"/>
      <c r="C94" s="14"/>
      <c r="D94" s="16" t="n">
        <f aca="false">IFERROR((C94-B94)/B94,0)</f>
        <v>0</v>
      </c>
      <c r="E94" s="14"/>
      <c r="F94" s="14"/>
      <c r="G94" s="16" t="n">
        <f aca="false">IFERROR((F94-E94)/E94,0)</f>
        <v>0</v>
      </c>
      <c r="H94" s="17"/>
      <c r="I94" s="17"/>
      <c r="J94" s="17"/>
      <c r="K94" s="5"/>
      <c r="L94" s="17"/>
      <c r="M94" s="17"/>
      <c r="N94" s="17"/>
      <c r="O94" s="5"/>
      <c r="P94" s="5"/>
      <c r="Q94" s="5"/>
      <c r="R94" s="4" t="str">
        <f aca="false">IF($A94="","",IF(AND(N94&lt;=2,G94&gt;-15%),"是","否"))</f>
        <v/>
      </c>
      <c r="S94" s="20"/>
      <c r="T94" s="4" t="str">
        <f aca="false">IF($A94="","",IF(AND(M94&gt;=3,N94&lt;=2),"是","否"))</f>
        <v/>
      </c>
      <c r="U94" s="5"/>
      <c r="V94" s="5"/>
    </row>
    <row r="95" customFormat="false" ht="15" hidden="false" customHeight="true" outlineLevel="0" collapsed="false">
      <c r="A95" s="7"/>
      <c r="B95" s="24"/>
      <c r="C95" s="24"/>
      <c r="D95" s="16" t="n">
        <f aca="false">IFERROR((C95-B95)/B95,0)</f>
        <v>0</v>
      </c>
      <c r="E95" s="24"/>
      <c r="F95" s="24"/>
      <c r="G95" s="16" t="n">
        <f aca="false">IFERROR((F95-E95)/E95,0)</f>
        <v>0</v>
      </c>
      <c r="H95" s="25"/>
      <c r="I95" s="25"/>
      <c r="J95" s="25"/>
      <c r="K95" s="7"/>
      <c r="L95" s="25"/>
      <c r="M95" s="25"/>
      <c r="N95" s="25"/>
      <c r="O95" s="7"/>
      <c r="P95" s="7"/>
      <c r="Q95" s="7"/>
      <c r="R95" s="4" t="str">
        <f aca="false">IF($A95="","",IF(AND(N95&lt;=2,G95&gt;-15%),"是","否"))</f>
        <v/>
      </c>
      <c r="S95" s="26"/>
      <c r="T95" s="4" t="str">
        <f aca="false">IF($A95="","",IF(AND(M95&gt;=3,N95&lt;=2),"是","否"))</f>
        <v/>
      </c>
      <c r="U95" s="7"/>
      <c r="V95" s="7"/>
    </row>
    <row r="96" customFormat="false" ht="15" hidden="false" customHeight="true" outlineLevel="0" collapsed="false">
      <c r="A96" s="5"/>
      <c r="B96" s="14"/>
      <c r="C96" s="14"/>
      <c r="D96" s="16" t="n">
        <f aca="false">IFERROR((C96-B96)/B96,0)</f>
        <v>0</v>
      </c>
      <c r="E96" s="14"/>
      <c r="F96" s="14"/>
      <c r="G96" s="16" t="n">
        <f aca="false">IFERROR((F96-E96)/E96,0)</f>
        <v>0</v>
      </c>
      <c r="H96" s="17"/>
      <c r="I96" s="17"/>
      <c r="J96" s="17"/>
      <c r="K96" s="5"/>
      <c r="L96" s="17"/>
      <c r="M96" s="17"/>
      <c r="N96" s="17"/>
      <c r="O96" s="5"/>
      <c r="P96" s="5"/>
      <c r="Q96" s="5"/>
      <c r="R96" s="4" t="str">
        <f aca="false">IF($A96="","",IF(AND(N96&lt;=2,G96&gt;-15%),"是","否"))</f>
        <v/>
      </c>
      <c r="S96" s="20"/>
      <c r="T96" s="4" t="str">
        <f aca="false">IF($A96="","",IF(AND(M96&gt;=3,N96&lt;=2),"是","否"))</f>
        <v/>
      </c>
      <c r="U96" s="5"/>
      <c r="V96" s="5"/>
    </row>
    <row r="97" customFormat="false" ht="15" hidden="false" customHeight="true" outlineLevel="0" collapsed="false">
      <c r="A97" s="7"/>
      <c r="B97" s="24"/>
      <c r="C97" s="24"/>
      <c r="D97" s="16" t="n">
        <f aca="false">IFERROR((C97-B97)/B97,0)</f>
        <v>0</v>
      </c>
      <c r="E97" s="24"/>
      <c r="F97" s="24"/>
      <c r="G97" s="16" t="n">
        <f aca="false">IFERROR((F97-E97)/E97,0)</f>
        <v>0</v>
      </c>
      <c r="H97" s="25"/>
      <c r="I97" s="25"/>
      <c r="J97" s="25"/>
      <c r="K97" s="7"/>
      <c r="L97" s="25"/>
      <c r="M97" s="25"/>
      <c r="N97" s="25"/>
      <c r="O97" s="7"/>
      <c r="P97" s="7"/>
      <c r="Q97" s="7"/>
      <c r="R97" s="4" t="str">
        <f aca="false">IF($A97="","",IF(AND(N97&lt;=2,G97&gt;-15%),"是","否"))</f>
        <v/>
      </c>
      <c r="S97" s="26"/>
      <c r="T97" s="4" t="str">
        <f aca="false">IF($A97="","",IF(AND(M97&gt;=3,N97&lt;=2),"是","否"))</f>
        <v/>
      </c>
      <c r="U97" s="7"/>
      <c r="V97" s="7"/>
    </row>
    <row r="98" customFormat="false" ht="15" hidden="false" customHeight="true" outlineLevel="0" collapsed="false">
      <c r="A98" s="5"/>
      <c r="B98" s="14"/>
      <c r="C98" s="14"/>
      <c r="D98" s="16" t="n">
        <f aca="false">IFERROR((C98-B98)/B98,0)</f>
        <v>0</v>
      </c>
      <c r="E98" s="14"/>
      <c r="F98" s="14"/>
      <c r="G98" s="16" t="n">
        <f aca="false">IFERROR((F98-E98)/E98,0)</f>
        <v>0</v>
      </c>
      <c r="H98" s="17"/>
      <c r="I98" s="17"/>
      <c r="J98" s="17"/>
      <c r="K98" s="5"/>
      <c r="L98" s="17"/>
      <c r="M98" s="17"/>
      <c r="N98" s="17"/>
      <c r="O98" s="5"/>
      <c r="P98" s="5"/>
      <c r="Q98" s="5"/>
      <c r="R98" s="4" t="str">
        <f aca="false">IF($A98="","",IF(AND(N98&lt;=2,G98&gt;-15%),"是","否"))</f>
        <v/>
      </c>
      <c r="S98" s="20"/>
      <c r="T98" s="4" t="str">
        <f aca="false">IF($A98="","",IF(AND(M98&gt;=3,N98&lt;=2),"是","否"))</f>
        <v/>
      </c>
      <c r="U98" s="5"/>
      <c r="V98" s="5"/>
    </row>
    <row r="99" customFormat="false" ht="15" hidden="false" customHeight="true" outlineLevel="0" collapsed="false">
      <c r="A99" s="7"/>
      <c r="B99" s="24"/>
      <c r="C99" s="24"/>
      <c r="D99" s="16" t="n">
        <f aca="false">IFERROR((C99-B99)/B99,0)</f>
        <v>0</v>
      </c>
      <c r="E99" s="24"/>
      <c r="F99" s="24"/>
      <c r="G99" s="16" t="n">
        <f aca="false">IFERROR((F99-E99)/E99,0)</f>
        <v>0</v>
      </c>
      <c r="H99" s="25"/>
      <c r="I99" s="25"/>
      <c r="J99" s="25"/>
      <c r="K99" s="7"/>
      <c r="L99" s="25"/>
      <c r="M99" s="25"/>
      <c r="N99" s="25"/>
      <c r="O99" s="7"/>
      <c r="P99" s="7"/>
      <c r="Q99" s="7"/>
      <c r="R99" s="4" t="str">
        <f aca="false">IF($A99="","",IF(AND(N99&lt;=2,G99&gt;-15%),"是","否"))</f>
        <v/>
      </c>
      <c r="S99" s="26"/>
      <c r="T99" s="4" t="str">
        <f aca="false">IF($A99="","",IF(AND(M99&gt;=3,N99&lt;=2),"是","否"))</f>
        <v/>
      </c>
      <c r="U99" s="7"/>
      <c r="V99" s="7"/>
    </row>
    <row r="100" customFormat="false" ht="15" hidden="false" customHeight="true" outlineLevel="0" collapsed="false">
      <c r="A100" s="5"/>
      <c r="B100" s="14"/>
      <c r="C100" s="14"/>
      <c r="D100" s="16" t="n">
        <f aca="false">IFERROR((C100-B100)/B100,0)</f>
        <v>0</v>
      </c>
      <c r="E100" s="14"/>
      <c r="F100" s="14"/>
      <c r="G100" s="16" t="n">
        <f aca="false">IFERROR((F100-E100)/E100,0)</f>
        <v>0</v>
      </c>
      <c r="H100" s="17"/>
      <c r="I100" s="17"/>
      <c r="J100" s="17"/>
      <c r="K100" s="5"/>
      <c r="L100" s="17"/>
      <c r="M100" s="17"/>
      <c r="N100" s="17"/>
      <c r="O100" s="5"/>
      <c r="P100" s="5"/>
      <c r="Q100" s="5"/>
      <c r="R100" s="4" t="str">
        <f aca="false">IF($A100="","",IF(AND(N100&lt;=2,G100&gt;-15%),"是","否"))</f>
        <v/>
      </c>
      <c r="S100" s="20"/>
      <c r="T100" s="4" t="str">
        <f aca="false">IF($A100="","",IF(AND(M100&gt;=3,N100&lt;=2),"是","否"))</f>
        <v/>
      </c>
      <c r="U100" s="5"/>
      <c r="V100" s="5"/>
    </row>
    <row r="101" customFormat="false" ht="15" hidden="false" customHeight="true" outlineLevel="0" collapsed="false">
      <c r="A101" s="7"/>
      <c r="B101" s="24"/>
      <c r="C101" s="24"/>
      <c r="D101" s="16" t="n">
        <f aca="false">IFERROR((C101-B101)/B101,0)</f>
        <v>0</v>
      </c>
      <c r="E101" s="24"/>
      <c r="F101" s="24"/>
      <c r="G101" s="16" t="n">
        <f aca="false">IFERROR((F101-E101)/E101,0)</f>
        <v>0</v>
      </c>
      <c r="H101" s="25"/>
      <c r="I101" s="25"/>
      <c r="J101" s="25"/>
      <c r="K101" s="7"/>
      <c r="L101" s="25"/>
      <c r="M101" s="25"/>
      <c r="N101" s="25"/>
      <c r="O101" s="7"/>
      <c r="P101" s="7"/>
      <c r="Q101" s="7"/>
      <c r="R101" s="4" t="str">
        <f aca="false">IF($A101="","",IF(AND(N101&lt;=2,G101&gt;-15%),"是","否"))</f>
        <v/>
      </c>
      <c r="S101" s="26"/>
      <c r="T101" s="4" t="str">
        <f aca="false">IF($A101="","",IF(AND(M101&gt;=3,N101&lt;=2),"是","否"))</f>
        <v/>
      </c>
      <c r="U101" s="7"/>
      <c r="V101" s="7"/>
    </row>
    <row r="102" customFormat="false" ht="15" hidden="false" customHeight="true" outlineLevel="0" collapsed="false">
      <c r="A102" s="5"/>
      <c r="B102" s="14"/>
      <c r="C102" s="14"/>
      <c r="D102" s="16" t="n">
        <f aca="false">IFERROR((C102-B102)/B102,0)</f>
        <v>0</v>
      </c>
      <c r="E102" s="14"/>
      <c r="F102" s="14"/>
      <c r="G102" s="16" t="n">
        <f aca="false">IFERROR((F102-E102)/E102,0)</f>
        <v>0</v>
      </c>
      <c r="H102" s="17"/>
      <c r="I102" s="17"/>
      <c r="J102" s="17"/>
      <c r="K102" s="5"/>
      <c r="L102" s="17"/>
      <c r="M102" s="17"/>
      <c r="N102" s="17"/>
      <c r="O102" s="5"/>
      <c r="P102" s="5"/>
      <c r="Q102" s="5"/>
      <c r="R102" s="4" t="str">
        <f aca="false">IF($A102="","",IF(AND(N102&lt;=2,G102&gt;-15%),"是","否"))</f>
        <v/>
      </c>
      <c r="S102" s="20"/>
      <c r="T102" s="4" t="str">
        <f aca="false">IF($A102="","",IF(AND(M102&gt;=3,N102&lt;=2),"是","否"))</f>
        <v/>
      </c>
      <c r="U102" s="5"/>
      <c r="V102" s="5"/>
    </row>
    <row r="103" customFormat="false" ht="15" hidden="false" customHeight="true" outlineLevel="0" collapsed="false">
      <c r="A103" s="7"/>
      <c r="B103" s="24"/>
      <c r="C103" s="24"/>
      <c r="D103" s="16" t="n">
        <f aca="false">IFERROR((C103-B103)/B103,0)</f>
        <v>0</v>
      </c>
      <c r="E103" s="24"/>
      <c r="F103" s="24"/>
      <c r="G103" s="16" t="n">
        <f aca="false">IFERROR((F103-E103)/E103,0)</f>
        <v>0</v>
      </c>
      <c r="H103" s="25"/>
      <c r="I103" s="25"/>
      <c r="J103" s="25"/>
      <c r="K103" s="7"/>
      <c r="L103" s="25"/>
      <c r="M103" s="25"/>
      <c r="N103" s="25"/>
      <c r="O103" s="7"/>
      <c r="P103" s="7"/>
      <c r="Q103" s="7"/>
      <c r="R103" s="4" t="str">
        <f aca="false">IF($A103="","",IF(AND(N103&lt;=2,G103&gt;-15%),"是","否"))</f>
        <v/>
      </c>
      <c r="S103" s="26"/>
      <c r="T103" s="4" t="str">
        <f aca="false">IF($A103="","",IF(AND(M103&gt;=3,N103&lt;=2),"是","否"))</f>
        <v/>
      </c>
      <c r="U103" s="7"/>
      <c r="V103" s="7"/>
    </row>
    <row r="104" customFormat="false" ht="15" hidden="false" customHeight="true" outlineLevel="0" collapsed="false">
      <c r="A104" s="5"/>
      <c r="B104" s="14"/>
      <c r="C104" s="14"/>
      <c r="D104" s="16" t="n">
        <f aca="false">IFERROR((C104-B104)/B104,0)</f>
        <v>0</v>
      </c>
      <c r="E104" s="14"/>
      <c r="F104" s="14"/>
      <c r="G104" s="16" t="n">
        <f aca="false">IFERROR((F104-E104)/E104,0)</f>
        <v>0</v>
      </c>
      <c r="H104" s="17"/>
      <c r="I104" s="17"/>
      <c r="J104" s="17"/>
      <c r="K104" s="5"/>
      <c r="L104" s="17"/>
      <c r="M104" s="17"/>
      <c r="N104" s="17"/>
      <c r="O104" s="5"/>
      <c r="P104" s="5"/>
      <c r="Q104" s="5"/>
      <c r="R104" s="4" t="str">
        <f aca="false">IF($A104="","",IF(AND(N104&lt;=2,G104&gt;-15%),"是","否"))</f>
        <v/>
      </c>
      <c r="S104" s="20"/>
      <c r="T104" s="4" t="str">
        <f aca="false">IF($A104="","",IF(AND(M104&gt;=3,N104&lt;=2),"是","否"))</f>
        <v/>
      </c>
      <c r="U104" s="5"/>
      <c r="V104" s="5"/>
    </row>
    <row r="105" customFormat="false" ht="15" hidden="false" customHeight="true" outlineLevel="0" collapsed="false">
      <c r="A105" s="7"/>
      <c r="B105" s="24"/>
      <c r="C105" s="24"/>
      <c r="D105" s="16" t="n">
        <f aca="false">IFERROR((C105-B105)/B105,0)</f>
        <v>0</v>
      </c>
      <c r="E105" s="24"/>
      <c r="F105" s="24"/>
      <c r="G105" s="16" t="n">
        <f aca="false">IFERROR((F105-E105)/E105,0)</f>
        <v>0</v>
      </c>
      <c r="H105" s="25"/>
      <c r="I105" s="25"/>
      <c r="J105" s="25"/>
      <c r="K105" s="7"/>
      <c r="L105" s="25"/>
      <c r="M105" s="25"/>
      <c r="N105" s="25"/>
      <c r="O105" s="7"/>
      <c r="P105" s="7"/>
      <c r="Q105" s="7"/>
      <c r="R105" s="4" t="str">
        <f aca="false">IF($A105="","",IF(AND(N105&lt;=2,G105&gt;-15%),"是","否"))</f>
        <v/>
      </c>
      <c r="S105" s="26"/>
      <c r="T105" s="4" t="str">
        <f aca="false">IF($A105="","",IF(AND(M105&gt;=3,N105&lt;=2),"是","否"))</f>
        <v/>
      </c>
      <c r="U105" s="7"/>
      <c r="V105" s="7"/>
    </row>
    <row r="106" customFormat="false" ht="15" hidden="false" customHeight="true" outlineLevel="0" collapsed="false">
      <c r="A106" s="5"/>
      <c r="B106" s="14"/>
      <c r="C106" s="14"/>
      <c r="D106" s="16" t="n">
        <f aca="false">IFERROR((C106-B106)/B106,0)</f>
        <v>0</v>
      </c>
      <c r="E106" s="14"/>
      <c r="F106" s="14"/>
      <c r="G106" s="16" t="n">
        <f aca="false">IFERROR((F106-E106)/E106,0)</f>
        <v>0</v>
      </c>
      <c r="H106" s="17"/>
      <c r="I106" s="17"/>
      <c r="J106" s="17"/>
      <c r="K106" s="5"/>
      <c r="L106" s="17"/>
      <c r="M106" s="17"/>
      <c r="N106" s="17"/>
      <c r="O106" s="5"/>
      <c r="P106" s="5"/>
      <c r="Q106" s="5"/>
      <c r="R106" s="4" t="str">
        <f aca="false">IF($A106="","",IF(AND(N106&lt;=2,G106&gt;-15%),"是","否"))</f>
        <v/>
      </c>
      <c r="S106" s="20"/>
      <c r="T106" s="4" t="str">
        <f aca="false">IF($A106="","",IF(AND(M106&gt;=3,N106&lt;=2),"是","否"))</f>
        <v/>
      </c>
      <c r="U106" s="5"/>
      <c r="V106" s="5"/>
    </row>
    <row r="107" customFormat="false" ht="15" hidden="false" customHeight="true" outlineLevel="0" collapsed="false">
      <c r="A107" s="7"/>
      <c r="B107" s="24"/>
      <c r="C107" s="24"/>
      <c r="D107" s="16" t="n">
        <f aca="false">IFERROR((C107-B107)/B107,0)</f>
        <v>0</v>
      </c>
      <c r="E107" s="24"/>
      <c r="F107" s="24"/>
      <c r="G107" s="16" t="n">
        <f aca="false">IFERROR((F107-E107)/E107,0)</f>
        <v>0</v>
      </c>
      <c r="H107" s="25"/>
      <c r="I107" s="25"/>
      <c r="J107" s="25"/>
      <c r="K107" s="7"/>
      <c r="L107" s="25"/>
      <c r="M107" s="25"/>
      <c r="N107" s="25"/>
      <c r="O107" s="7"/>
      <c r="P107" s="7"/>
      <c r="Q107" s="7"/>
      <c r="R107" s="4" t="str">
        <f aca="false">IF($A107="","",IF(AND(N107&lt;=2,G107&gt;-15%),"是","否"))</f>
        <v/>
      </c>
      <c r="S107" s="26"/>
      <c r="T107" s="4" t="str">
        <f aca="false">IF($A107="","",IF(AND(M107&gt;=3,N107&lt;=2),"是","否"))</f>
        <v/>
      </c>
      <c r="U107" s="7"/>
      <c r="V107" s="7"/>
    </row>
    <row r="108" customFormat="false" ht="15" hidden="false" customHeight="true" outlineLevel="0" collapsed="false">
      <c r="A108" s="5"/>
      <c r="B108" s="14"/>
      <c r="C108" s="14"/>
      <c r="D108" s="16" t="n">
        <f aca="false">IFERROR((C108-B108)/B108,0)</f>
        <v>0</v>
      </c>
      <c r="E108" s="14"/>
      <c r="F108" s="14"/>
      <c r="G108" s="16" t="n">
        <f aca="false">IFERROR((F108-E108)/E108,0)</f>
        <v>0</v>
      </c>
      <c r="H108" s="17"/>
      <c r="I108" s="17"/>
      <c r="J108" s="17"/>
      <c r="K108" s="5"/>
      <c r="L108" s="17"/>
      <c r="M108" s="17"/>
      <c r="N108" s="17"/>
      <c r="O108" s="5"/>
      <c r="P108" s="5"/>
      <c r="Q108" s="5"/>
      <c r="R108" s="4" t="str">
        <f aca="false">IF($A108="","",IF(AND(N108&lt;=2,G108&gt;-15%),"是","否"))</f>
        <v/>
      </c>
      <c r="S108" s="20"/>
      <c r="T108" s="4" t="str">
        <f aca="false">IF($A108="","",IF(AND(M108&gt;=3,N108&lt;=2),"是","否"))</f>
        <v/>
      </c>
      <c r="U108" s="5"/>
      <c r="V108" s="5"/>
    </row>
    <row r="109" customFormat="false" ht="15" hidden="false" customHeight="true" outlineLevel="0" collapsed="false">
      <c r="A109" s="7"/>
      <c r="B109" s="24"/>
      <c r="C109" s="24"/>
      <c r="D109" s="16" t="n">
        <f aca="false">IFERROR((C109-B109)/B109,0)</f>
        <v>0</v>
      </c>
      <c r="E109" s="24"/>
      <c r="F109" s="24"/>
      <c r="G109" s="16" t="n">
        <f aca="false">IFERROR((F109-E109)/E109,0)</f>
        <v>0</v>
      </c>
      <c r="H109" s="25"/>
      <c r="I109" s="25"/>
      <c r="J109" s="25"/>
      <c r="K109" s="7"/>
      <c r="L109" s="25"/>
      <c r="M109" s="25"/>
      <c r="N109" s="25"/>
      <c r="O109" s="7"/>
      <c r="P109" s="7"/>
      <c r="Q109" s="7"/>
      <c r="R109" s="4" t="str">
        <f aca="false">IF($A109="","",IF(AND(N109&lt;=2,G109&gt;-15%),"是","否"))</f>
        <v/>
      </c>
      <c r="S109" s="26"/>
      <c r="T109" s="4" t="str">
        <f aca="false">IF($A109="","",IF(AND(M109&gt;=3,N109&lt;=2),"是","否"))</f>
        <v/>
      </c>
      <c r="U109" s="7"/>
      <c r="V109" s="7"/>
    </row>
    <row r="110" customFormat="false" ht="15" hidden="false" customHeight="true" outlineLevel="0" collapsed="false">
      <c r="A110" s="5"/>
      <c r="B110" s="14"/>
      <c r="C110" s="14"/>
      <c r="D110" s="16" t="n">
        <f aca="false">IFERROR((C110-B110)/B110,0)</f>
        <v>0</v>
      </c>
      <c r="E110" s="14"/>
      <c r="F110" s="14"/>
      <c r="G110" s="16" t="n">
        <f aca="false">IFERROR((F110-E110)/E110,0)</f>
        <v>0</v>
      </c>
      <c r="H110" s="17"/>
      <c r="I110" s="17"/>
      <c r="J110" s="17"/>
      <c r="K110" s="5"/>
      <c r="L110" s="17"/>
      <c r="M110" s="17"/>
      <c r="N110" s="17"/>
      <c r="O110" s="5"/>
      <c r="P110" s="5"/>
      <c r="Q110" s="5"/>
      <c r="R110" s="4" t="str">
        <f aca="false">IF($A110="","",IF(AND(N110&lt;=2,G110&gt;-15%),"是","否"))</f>
        <v/>
      </c>
      <c r="S110" s="20"/>
      <c r="T110" s="4" t="str">
        <f aca="false">IF($A110="","",IF(AND(M110&gt;=3,N110&lt;=2),"是","否"))</f>
        <v/>
      </c>
      <c r="U110" s="5"/>
      <c r="V110" s="5"/>
    </row>
    <row r="111" customFormat="false" ht="15" hidden="false" customHeight="true" outlineLevel="0" collapsed="false">
      <c r="A111" s="7"/>
      <c r="B111" s="24"/>
      <c r="C111" s="24"/>
      <c r="D111" s="16" t="n">
        <f aca="false">IFERROR((C111-B111)/B111,0)</f>
        <v>0</v>
      </c>
      <c r="E111" s="24"/>
      <c r="F111" s="24"/>
      <c r="G111" s="16" t="n">
        <f aca="false">IFERROR((F111-E111)/E111,0)</f>
        <v>0</v>
      </c>
      <c r="H111" s="25"/>
      <c r="I111" s="25"/>
      <c r="J111" s="25"/>
      <c r="K111" s="7"/>
      <c r="L111" s="25"/>
      <c r="M111" s="25"/>
      <c r="N111" s="25"/>
      <c r="O111" s="7"/>
      <c r="P111" s="7"/>
      <c r="Q111" s="7"/>
      <c r="R111" s="4" t="str">
        <f aca="false">IF($A111="","",IF(AND(N111&lt;=2,G111&gt;-15%),"是","否"))</f>
        <v/>
      </c>
      <c r="S111" s="26"/>
      <c r="T111" s="4" t="str">
        <f aca="false">IF($A111="","",IF(AND(M111&gt;=3,N111&lt;=2),"是","否"))</f>
        <v/>
      </c>
      <c r="U111" s="7"/>
      <c r="V111" s="7"/>
    </row>
    <row r="112" customFormat="false" ht="15" hidden="false" customHeight="true" outlineLevel="0" collapsed="false">
      <c r="A112" s="5"/>
      <c r="B112" s="14"/>
      <c r="C112" s="14"/>
      <c r="D112" s="16" t="n">
        <f aca="false">IFERROR((C112-B112)/B112,0)</f>
        <v>0</v>
      </c>
      <c r="E112" s="14"/>
      <c r="F112" s="14"/>
      <c r="G112" s="16" t="n">
        <f aca="false">IFERROR((F112-E112)/E112,0)</f>
        <v>0</v>
      </c>
      <c r="H112" s="17"/>
      <c r="I112" s="17"/>
      <c r="J112" s="17"/>
      <c r="K112" s="5"/>
      <c r="L112" s="17"/>
      <c r="M112" s="17"/>
      <c r="N112" s="17"/>
      <c r="O112" s="5"/>
      <c r="P112" s="5"/>
      <c r="Q112" s="5"/>
      <c r="R112" s="4" t="str">
        <f aca="false">IF($A112="","",IF(AND(N112&lt;=2,G112&gt;-15%),"是","否"))</f>
        <v/>
      </c>
      <c r="S112" s="20"/>
      <c r="T112" s="4" t="str">
        <f aca="false">IF($A112="","",IF(AND(M112&gt;=3,N112&lt;=2),"是","否"))</f>
        <v/>
      </c>
      <c r="U112" s="5"/>
      <c r="V112" s="5"/>
    </row>
    <row r="113" customFormat="false" ht="15" hidden="false" customHeight="true" outlineLevel="0" collapsed="false">
      <c r="A113" s="7"/>
      <c r="B113" s="24"/>
      <c r="C113" s="24"/>
      <c r="D113" s="16" t="n">
        <f aca="false">IFERROR((C113-B113)/B113,0)</f>
        <v>0</v>
      </c>
      <c r="E113" s="24"/>
      <c r="F113" s="24"/>
      <c r="G113" s="16" t="n">
        <f aca="false">IFERROR((F113-E113)/E113,0)</f>
        <v>0</v>
      </c>
      <c r="H113" s="25"/>
      <c r="I113" s="25"/>
      <c r="J113" s="25"/>
      <c r="K113" s="7"/>
      <c r="L113" s="25"/>
      <c r="M113" s="25"/>
      <c r="N113" s="25"/>
      <c r="O113" s="7"/>
      <c r="P113" s="7"/>
      <c r="Q113" s="7"/>
      <c r="R113" s="4" t="str">
        <f aca="false">IF($A113="","",IF(AND(N113&lt;=2,G113&gt;-15%),"是","否"))</f>
        <v/>
      </c>
      <c r="S113" s="26"/>
      <c r="T113" s="4" t="str">
        <f aca="false">IF($A113="","",IF(AND(M113&gt;=3,N113&lt;=2),"是","否"))</f>
        <v/>
      </c>
      <c r="U113" s="7"/>
      <c r="V113" s="7"/>
    </row>
    <row r="114" customFormat="false" ht="15" hidden="false" customHeight="true" outlineLevel="0" collapsed="false">
      <c r="A114" s="5"/>
      <c r="B114" s="14"/>
      <c r="C114" s="14"/>
      <c r="D114" s="16" t="n">
        <f aca="false">IFERROR((C114-B114)/B114,0)</f>
        <v>0</v>
      </c>
      <c r="E114" s="14"/>
      <c r="F114" s="14"/>
      <c r="G114" s="16" t="n">
        <f aca="false">IFERROR((F114-E114)/E114,0)</f>
        <v>0</v>
      </c>
      <c r="H114" s="17"/>
      <c r="I114" s="17"/>
      <c r="J114" s="17"/>
      <c r="K114" s="5"/>
      <c r="L114" s="17"/>
      <c r="M114" s="17"/>
      <c r="N114" s="17"/>
      <c r="O114" s="5"/>
      <c r="P114" s="5"/>
      <c r="Q114" s="5"/>
      <c r="R114" s="4" t="str">
        <f aca="false">IF($A114="","",IF(AND(N114&lt;=2,G114&gt;-15%),"是","否"))</f>
        <v/>
      </c>
      <c r="S114" s="20"/>
      <c r="T114" s="4" t="str">
        <f aca="false">IF($A114="","",IF(AND(M114&gt;=3,N114&lt;=2),"是","否"))</f>
        <v/>
      </c>
      <c r="U114" s="5"/>
      <c r="V114" s="5"/>
    </row>
    <row r="115" customFormat="false" ht="15" hidden="false" customHeight="true" outlineLevel="0" collapsed="false">
      <c r="A115" s="7"/>
      <c r="B115" s="24"/>
      <c r="C115" s="24"/>
      <c r="D115" s="16" t="n">
        <f aca="false">IFERROR((C115-B115)/B115,0)</f>
        <v>0</v>
      </c>
      <c r="E115" s="24"/>
      <c r="F115" s="24"/>
      <c r="G115" s="16" t="n">
        <f aca="false">IFERROR((F115-E115)/E115,0)</f>
        <v>0</v>
      </c>
      <c r="H115" s="25"/>
      <c r="I115" s="25"/>
      <c r="J115" s="25"/>
      <c r="K115" s="7"/>
      <c r="L115" s="25"/>
      <c r="M115" s="25"/>
      <c r="N115" s="25"/>
      <c r="O115" s="7"/>
      <c r="P115" s="7"/>
      <c r="Q115" s="7"/>
      <c r="R115" s="4" t="str">
        <f aca="false">IF($A115="","",IF(AND(N115&lt;=2,G115&gt;-15%),"是","否"))</f>
        <v/>
      </c>
      <c r="S115" s="26"/>
      <c r="T115" s="4" t="str">
        <f aca="false">IF($A115="","",IF(AND(M115&gt;=3,N115&lt;=2),"是","否"))</f>
        <v/>
      </c>
      <c r="U115" s="7"/>
      <c r="V115" s="7"/>
    </row>
    <row r="116" customFormat="false" ht="15" hidden="false" customHeight="true" outlineLevel="0" collapsed="false">
      <c r="A116" s="5"/>
      <c r="B116" s="14"/>
      <c r="C116" s="14"/>
      <c r="D116" s="16" t="n">
        <f aca="false">IFERROR((C116-B116)/B116,0)</f>
        <v>0</v>
      </c>
      <c r="E116" s="14"/>
      <c r="F116" s="14"/>
      <c r="G116" s="16" t="n">
        <f aca="false">IFERROR((F116-E116)/E116,0)</f>
        <v>0</v>
      </c>
      <c r="H116" s="17"/>
      <c r="I116" s="17"/>
      <c r="J116" s="17"/>
      <c r="K116" s="5"/>
      <c r="L116" s="17"/>
      <c r="M116" s="17"/>
      <c r="N116" s="17"/>
      <c r="O116" s="5"/>
      <c r="P116" s="5"/>
      <c r="Q116" s="5"/>
      <c r="R116" s="4" t="str">
        <f aca="false">IF($A116="","",IF(AND(N116&lt;=2,G116&gt;-15%),"是","否"))</f>
        <v/>
      </c>
      <c r="S116" s="20"/>
      <c r="T116" s="4" t="str">
        <f aca="false">IF($A116="","",IF(AND(M116&gt;=3,N116&lt;=2),"是","否"))</f>
        <v/>
      </c>
      <c r="U116" s="5"/>
      <c r="V116" s="5"/>
    </row>
    <row r="117" customFormat="false" ht="15" hidden="false" customHeight="true" outlineLevel="0" collapsed="false">
      <c r="A117" s="7"/>
      <c r="B117" s="24"/>
      <c r="C117" s="24"/>
      <c r="D117" s="16" t="n">
        <f aca="false">IFERROR((C117-B117)/B117,0)</f>
        <v>0</v>
      </c>
      <c r="E117" s="24"/>
      <c r="F117" s="24"/>
      <c r="G117" s="16" t="n">
        <f aca="false">IFERROR((F117-E117)/E117,0)</f>
        <v>0</v>
      </c>
      <c r="H117" s="25"/>
      <c r="I117" s="25"/>
      <c r="J117" s="25"/>
      <c r="K117" s="7"/>
      <c r="L117" s="25"/>
      <c r="M117" s="25"/>
      <c r="N117" s="25"/>
      <c r="O117" s="7"/>
      <c r="P117" s="7"/>
      <c r="Q117" s="7"/>
      <c r="R117" s="4" t="str">
        <f aca="false">IF($A117="","",IF(AND(N117&lt;=2,G117&gt;-15%),"是","否"))</f>
        <v/>
      </c>
      <c r="S117" s="26"/>
      <c r="T117" s="4" t="str">
        <f aca="false">IF($A117="","",IF(AND(M117&gt;=3,N117&lt;=2),"是","否"))</f>
        <v/>
      </c>
      <c r="U117" s="7"/>
      <c r="V117" s="7"/>
    </row>
    <row r="118" customFormat="false" ht="15" hidden="false" customHeight="true" outlineLevel="0" collapsed="false">
      <c r="A118" s="5"/>
      <c r="B118" s="14"/>
      <c r="C118" s="14"/>
      <c r="D118" s="16" t="n">
        <f aca="false">IFERROR((C118-B118)/B118,0)</f>
        <v>0</v>
      </c>
      <c r="E118" s="14"/>
      <c r="F118" s="14"/>
      <c r="G118" s="16" t="n">
        <f aca="false">IFERROR((F118-E118)/E118,0)</f>
        <v>0</v>
      </c>
      <c r="H118" s="17"/>
      <c r="I118" s="17"/>
      <c r="J118" s="17"/>
      <c r="K118" s="5"/>
      <c r="L118" s="17"/>
      <c r="M118" s="17"/>
      <c r="N118" s="17"/>
      <c r="O118" s="5"/>
      <c r="P118" s="5"/>
      <c r="Q118" s="5"/>
      <c r="R118" s="4" t="str">
        <f aca="false">IF($A118="","",IF(AND(N118&lt;=2,G118&gt;-15%),"是","否"))</f>
        <v/>
      </c>
      <c r="S118" s="20"/>
      <c r="T118" s="4" t="str">
        <f aca="false">IF($A118="","",IF(AND(M118&gt;=3,N118&lt;=2),"是","否"))</f>
        <v/>
      </c>
      <c r="U118" s="5"/>
      <c r="V118" s="5"/>
    </row>
    <row r="119" customFormat="false" ht="15" hidden="false" customHeight="true" outlineLevel="0" collapsed="false">
      <c r="A119" s="7"/>
      <c r="B119" s="24"/>
      <c r="C119" s="24"/>
      <c r="D119" s="16" t="n">
        <f aca="false">IFERROR((C119-B119)/B119,0)</f>
        <v>0</v>
      </c>
      <c r="E119" s="24"/>
      <c r="F119" s="24"/>
      <c r="G119" s="16" t="n">
        <f aca="false">IFERROR((F119-E119)/E119,0)</f>
        <v>0</v>
      </c>
      <c r="H119" s="25"/>
      <c r="I119" s="25"/>
      <c r="J119" s="25"/>
      <c r="K119" s="7"/>
      <c r="L119" s="25"/>
      <c r="M119" s="25"/>
      <c r="N119" s="25"/>
      <c r="O119" s="7"/>
      <c r="P119" s="7"/>
      <c r="Q119" s="7"/>
      <c r="R119" s="4" t="str">
        <f aca="false">IF($A119="","",IF(AND(N119&lt;=2,G119&gt;-15%),"是","否"))</f>
        <v/>
      </c>
      <c r="S119" s="26"/>
      <c r="T119" s="4" t="str">
        <f aca="false">IF($A119="","",IF(AND(M119&gt;=3,N119&lt;=2),"是","否"))</f>
        <v/>
      </c>
      <c r="U119" s="7"/>
      <c r="V119" s="7"/>
    </row>
    <row r="120" customFormat="false" ht="15" hidden="false" customHeight="true" outlineLevel="0" collapsed="false">
      <c r="A120" s="5"/>
      <c r="B120" s="14"/>
      <c r="C120" s="14"/>
      <c r="D120" s="16" t="n">
        <f aca="false">IFERROR((C120-B120)/B120,0)</f>
        <v>0</v>
      </c>
      <c r="E120" s="14"/>
      <c r="F120" s="14"/>
      <c r="G120" s="16" t="n">
        <f aca="false">IFERROR((F120-E120)/E120,0)</f>
        <v>0</v>
      </c>
      <c r="H120" s="17"/>
      <c r="I120" s="17"/>
      <c r="J120" s="17"/>
      <c r="K120" s="5"/>
      <c r="L120" s="17"/>
      <c r="M120" s="17"/>
      <c r="N120" s="17"/>
      <c r="O120" s="5"/>
      <c r="P120" s="5"/>
      <c r="Q120" s="5"/>
      <c r="R120" s="4" t="str">
        <f aca="false">IF($A120="","",IF(AND(N120&lt;=2,G120&gt;-15%),"是","否"))</f>
        <v/>
      </c>
      <c r="S120" s="20"/>
      <c r="T120" s="4" t="str">
        <f aca="false">IF($A120="","",IF(AND(M120&gt;=3,N120&lt;=2),"是","否"))</f>
        <v/>
      </c>
      <c r="U120" s="5"/>
      <c r="V120" s="5"/>
    </row>
    <row r="121" customFormat="false" ht="15" hidden="false" customHeight="true" outlineLevel="0" collapsed="false">
      <c r="A121" s="7"/>
      <c r="B121" s="24"/>
      <c r="C121" s="24"/>
      <c r="D121" s="16" t="n">
        <f aca="false">IFERROR((C121-B121)/B121,0)</f>
        <v>0</v>
      </c>
      <c r="E121" s="24"/>
      <c r="F121" s="24"/>
      <c r="G121" s="16" t="n">
        <f aca="false">IFERROR((F121-E121)/E121,0)</f>
        <v>0</v>
      </c>
      <c r="H121" s="25"/>
      <c r="I121" s="25"/>
      <c r="J121" s="25"/>
      <c r="K121" s="7"/>
      <c r="L121" s="25"/>
      <c r="M121" s="25"/>
      <c r="N121" s="25"/>
      <c r="O121" s="7"/>
      <c r="P121" s="7"/>
      <c r="Q121" s="7"/>
      <c r="R121" s="4" t="str">
        <f aca="false">IF($A121="","",IF(AND(N121&lt;=2,G121&gt;-15%),"是","否"))</f>
        <v/>
      </c>
      <c r="S121" s="26"/>
      <c r="T121" s="4" t="str">
        <f aca="false">IF($A121="","",IF(AND(M121&gt;=3,N121&lt;=2),"是","否"))</f>
        <v/>
      </c>
      <c r="U121" s="7"/>
      <c r="V121" s="7"/>
    </row>
    <row r="122" customFormat="false" ht="15" hidden="false" customHeight="true" outlineLevel="0" collapsed="false">
      <c r="A122" s="5"/>
      <c r="B122" s="14"/>
      <c r="C122" s="14"/>
      <c r="D122" s="16" t="n">
        <f aca="false">IFERROR((C122-B122)/B122,0)</f>
        <v>0</v>
      </c>
      <c r="E122" s="14"/>
      <c r="F122" s="14"/>
      <c r="G122" s="16" t="n">
        <f aca="false">IFERROR((F122-E122)/E122,0)</f>
        <v>0</v>
      </c>
      <c r="H122" s="17"/>
      <c r="I122" s="17"/>
      <c r="J122" s="17"/>
      <c r="K122" s="5"/>
      <c r="L122" s="17"/>
      <c r="M122" s="17"/>
      <c r="N122" s="17"/>
      <c r="O122" s="5"/>
      <c r="P122" s="5"/>
      <c r="Q122" s="5"/>
      <c r="R122" s="4" t="str">
        <f aca="false">IF($A122="","",IF(AND(N122&lt;=2,G122&gt;-15%),"是","否"))</f>
        <v/>
      </c>
      <c r="S122" s="20"/>
      <c r="T122" s="4" t="str">
        <f aca="false">IF($A122="","",IF(AND(M122&gt;=3,N122&lt;=2),"是","否"))</f>
        <v/>
      </c>
      <c r="U122" s="5"/>
      <c r="V122" s="5"/>
    </row>
    <row r="123" customFormat="false" ht="15" hidden="false" customHeight="true" outlineLevel="0" collapsed="false">
      <c r="A123" s="7"/>
      <c r="B123" s="24"/>
      <c r="C123" s="24"/>
      <c r="D123" s="16" t="n">
        <f aca="false">IFERROR((C123-B123)/B123,0)</f>
        <v>0</v>
      </c>
      <c r="E123" s="24"/>
      <c r="F123" s="24"/>
      <c r="G123" s="16" t="n">
        <f aca="false">IFERROR((F123-E123)/E123,0)</f>
        <v>0</v>
      </c>
      <c r="H123" s="25"/>
      <c r="I123" s="25"/>
      <c r="J123" s="25"/>
      <c r="K123" s="7"/>
      <c r="L123" s="25"/>
      <c r="M123" s="25"/>
      <c r="N123" s="25"/>
      <c r="O123" s="7"/>
      <c r="P123" s="7"/>
      <c r="Q123" s="7"/>
      <c r="R123" s="4" t="str">
        <f aca="false">IF($A123="","",IF(AND(N123&lt;=2,G123&gt;-15%),"是","否"))</f>
        <v/>
      </c>
      <c r="S123" s="26"/>
      <c r="T123" s="4" t="str">
        <f aca="false">IF($A123="","",IF(AND(M123&gt;=3,N123&lt;=2),"是","否"))</f>
        <v/>
      </c>
      <c r="U123" s="7"/>
      <c r="V123" s="7"/>
    </row>
    <row r="124" customFormat="false" ht="15" hidden="false" customHeight="true" outlineLevel="0" collapsed="false">
      <c r="A124" s="5"/>
      <c r="B124" s="14"/>
      <c r="C124" s="14"/>
      <c r="D124" s="16" t="n">
        <f aca="false">IFERROR((C124-B124)/B124,0)</f>
        <v>0</v>
      </c>
      <c r="E124" s="14"/>
      <c r="F124" s="14"/>
      <c r="G124" s="16" t="n">
        <f aca="false">IFERROR((F124-E124)/E124,0)</f>
        <v>0</v>
      </c>
      <c r="H124" s="17"/>
      <c r="I124" s="17"/>
      <c r="J124" s="17"/>
      <c r="K124" s="5"/>
      <c r="L124" s="17"/>
      <c r="M124" s="17"/>
      <c r="N124" s="17"/>
      <c r="O124" s="5"/>
      <c r="P124" s="5"/>
      <c r="Q124" s="5"/>
      <c r="R124" s="4" t="str">
        <f aca="false">IF($A124="","",IF(AND(N124&lt;=2,G124&gt;-15%),"是","否"))</f>
        <v/>
      </c>
      <c r="S124" s="20"/>
      <c r="T124" s="4" t="str">
        <f aca="false">IF($A124="","",IF(AND(M124&gt;=3,N124&lt;=2),"是","否"))</f>
        <v/>
      </c>
      <c r="U124" s="5"/>
      <c r="V124" s="5"/>
    </row>
    <row r="125" customFormat="false" ht="15" hidden="false" customHeight="true" outlineLevel="0" collapsed="false">
      <c r="A125" s="7"/>
      <c r="B125" s="24"/>
      <c r="C125" s="24"/>
      <c r="D125" s="16" t="n">
        <f aca="false">IFERROR((C125-B125)/B125,0)</f>
        <v>0</v>
      </c>
      <c r="E125" s="24"/>
      <c r="F125" s="24"/>
      <c r="G125" s="16" t="n">
        <f aca="false">IFERROR((F125-E125)/E125,0)</f>
        <v>0</v>
      </c>
      <c r="H125" s="25"/>
      <c r="I125" s="25"/>
      <c r="J125" s="25"/>
      <c r="K125" s="7"/>
      <c r="L125" s="25"/>
      <c r="M125" s="25"/>
      <c r="N125" s="25"/>
      <c r="O125" s="7"/>
      <c r="P125" s="7"/>
      <c r="Q125" s="7"/>
      <c r="R125" s="4" t="str">
        <f aca="false">IF($A125="","",IF(AND(N125&lt;=2,G125&gt;-15%),"是","否"))</f>
        <v/>
      </c>
      <c r="S125" s="26"/>
      <c r="T125" s="4" t="str">
        <f aca="false">IF($A125="","",IF(AND(M125&gt;=3,N125&lt;=2),"是","否"))</f>
        <v/>
      </c>
      <c r="U125" s="7"/>
      <c r="V125" s="7"/>
    </row>
    <row r="126" customFormat="false" ht="15" hidden="false" customHeight="true" outlineLevel="0" collapsed="false">
      <c r="A126" s="5"/>
      <c r="B126" s="14"/>
      <c r="C126" s="14"/>
      <c r="D126" s="16" t="n">
        <f aca="false">IFERROR((C126-B126)/B126,0)</f>
        <v>0</v>
      </c>
      <c r="E126" s="14"/>
      <c r="F126" s="14"/>
      <c r="G126" s="16" t="n">
        <f aca="false">IFERROR((F126-E126)/E126,0)</f>
        <v>0</v>
      </c>
      <c r="H126" s="17"/>
      <c r="I126" s="17"/>
      <c r="J126" s="17"/>
      <c r="K126" s="5"/>
      <c r="L126" s="17"/>
      <c r="M126" s="17"/>
      <c r="N126" s="17"/>
      <c r="O126" s="5"/>
      <c r="P126" s="5"/>
      <c r="Q126" s="5"/>
      <c r="R126" s="4" t="str">
        <f aca="false">IF($A126="","",IF(AND(N126&lt;=2,G126&gt;-15%),"是","否"))</f>
        <v/>
      </c>
      <c r="S126" s="20"/>
      <c r="T126" s="4" t="str">
        <f aca="false">IF($A126="","",IF(AND(M126&gt;=3,N126&lt;=2),"是","否"))</f>
        <v/>
      </c>
      <c r="U126" s="5"/>
      <c r="V126" s="5"/>
    </row>
    <row r="127" customFormat="false" ht="15" hidden="false" customHeight="true" outlineLevel="0" collapsed="false">
      <c r="A127" s="7"/>
      <c r="B127" s="24"/>
      <c r="C127" s="24"/>
      <c r="D127" s="16" t="n">
        <f aca="false">IFERROR((C127-B127)/B127,0)</f>
        <v>0</v>
      </c>
      <c r="E127" s="24"/>
      <c r="F127" s="24"/>
      <c r="G127" s="16" t="n">
        <f aca="false">IFERROR((F127-E127)/E127,0)</f>
        <v>0</v>
      </c>
      <c r="H127" s="25"/>
      <c r="I127" s="25"/>
      <c r="J127" s="25"/>
      <c r="K127" s="7"/>
      <c r="L127" s="25"/>
      <c r="M127" s="25"/>
      <c r="N127" s="25"/>
      <c r="O127" s="7"/>
      <c r="P127" s="7"/>
      <c r="Q127" s="7"/>
      <c r="R127" s="4" t="str">
        <f aca="false">IF($A127="","",IF(AND(N127&lt;=2,G127&gt;-15%),"是","否"))</f>
        <v/>
      </c>
      <c r="S127" s="26"/>
      <c r="T127" s="4" t="str">
        <f aca="false">IF($A127="","",IF(AND(M127&gt;=3,N127&lt;=2),"是","否"))</f>
        <v/>
      </c>
      <c r="U127" s="7"/>
      <c r="V127" s="7"/>
    </row>
    <row r="128" customFormat="false" ht="15" hidden="false" customHeight="true" outlineLevel="0" collapsed="false">
      <c r="A128" s="5"/>
      <c r="B128" s="14"/>
      <c r="C128" s="14"/>
      <c r="D128" s="16" t="n">
        <f aca="false">IFERROR((C128-B128)/B128,0)</f>
        <v>0</v>
      </c>
      <c r="E128" s="14"/>
      <c r="F128" s="14"/>
      <c r="G128" s="16" t="n">
        <f aca="false">IFERROR((F128-E128)/E128,0)</f>
        <v>0</v>
      </c>
      <c r="H128" s="17"/>
      <c r="I128" s="17"/>
      <c r="J128" s="17"/>
      <c r="K128" s="5"/>
      <c r="L128" s="17"/>
      <c r="M128" s="17"/>
      <c r="N128" s="17"/>
      <c r="O128" s="5"/>
      <c r="P128" s="5"/>
      <c r="Q128" s="5"/>
      <c r="R128" s="4" t="str">
        <f aca="false">IF($A128="","",IF(AND(N128&lt;=2,G128&gt;-15%),"是","否"))</f>
        <v/>
      </c>
      <c r="S128" s="20"/>
      <c r="T128" s="4" t="str">
        <f aca="false">IF($A128="","",IF(AND(M128&gt;=3,N128&lt;=2),"是","否"))</f>
        <v/>
      </c>
      <c r="U128" s="5"/>
      <c r="V128" s="5"/>
    </row>
    <row r="129" customFormat="false" ht="15" hidden="false" customHeight="true" outlineLevel="0" collapsed="false">
      <c r="A129" s="7"/>
      <c r="B129" s="24"/>
      <c r="C129" s="24"/>
      <c r="D129" s="16" t="n">
        <f aca="false">IFERROR((C129-B129)/B129,0)</f>
        <v>0</v>
      </c>
      <c r="E129" s="24"/>
      <c r="F129" s="24"/>
      <c r="G129" s="16" t="n">
        <f aca="false">IFERROR((F129-E129)/E129,0)</f>
        <v>0</v>
      </c>
      <c r="H129" s="25"/>
      <c r="I129" s="25"/>
      <c r="J129" s="25"/>
      <c r="K129" s="7"/>
      <c r="L129" s="25"/>
      <c r="M129" s="25"/>
      <c r="N129" s="25"/>
      <c r="O129" s="7"/>
      <c r="P129" s="7"/>
      <c r="Q129" s="7"/>
      <c r="R129" s="4" t="str">
        <f aca="false">IF($A129="","",IF(AND(N129&lt;=2,G129&gt;-15%),"是","否"))</f>
        <v/>
      </c>
      <c r="S129" s="26"/>
      <c r="T129" s="4" t="str">
        <f aca="false">IF($A129="","",IF(AND(M129&gt;=3,N129&lt;=2),"是","否"))</f>
        <v/>
      </c>
      <c r="U129" s="7"/>
      <c r="V129" s="7"/>
    </row>
    <row r="130" customFormat="false" ht="15" hidden="false" customHeight="true" outlineLevel="0" collapsed="false">
      <c r="A130" s="5"/>
      <c r="B130" s="14"/>
      <c r="C130" s="14"/>
      <c r="D130" s="16" t="n">
        <f aca="false">IFERROR((C130-B130)/B130,0)</f>
        <v>0</v>
      </c>
      <c r="E130" s="14"/>
      <c r="F130" s="14"/>
      <c r="G130" s="16" t="n">
        <f aca="false">IFERROR((F130-E130)/E130,0)</f>
        <v>0</v>
      </c>
      <c r="H130" s="17"/>
      <c r="I130" s="17"/>
      <c r="J130" s="17"/>
      <c r="K130" s="5"/>
      <c r="L130" s="17"/>
      <c r="M130" s="17"/>
      <c r="N130" s="17"/>
      <c r="O130" s="5"/>
      <c r="P130" s="5"/>
      <c r="Q130" s="5"/>
      <c r="R130" s="4" t="str">
        <f aca="false">IF($A130="","",IF(AND(N130&lt;=2,G130&gt;-15%),"是","否"))</f>
        <v/>
      </c>
      <c r="S130" s="20"/>
      <c r="T130" s="4" t="str">
        <f aca="false">IF($A130="","",IF(AND(M130&gt;=3,N130&lt;=2),"是","否"))</f>
        <v/>
      </c>
      <c r="U130" s="5"/>
      <c r="V130" s="5"/>
    </row>
    <row r="131" customFormat="false" ht="15" hidden="false" customHeight="true" outlineLevel="0" collapsed="false">
      <c r="A131" s="7"/>
      <c r="B131" s="24"/>
      <c r="C131" s="24"/>
      <c r="D131" s="16" t="n">
        <f aca="false">IFERROR((C131-B131)/B131,0)</f>
        <v>0</v>
      </c>
      <c r="E131" s="24"/>
      <c r="F131" s="24"/>
      <c r="G131" s="16" t="n">
        <f aca="false">IFERROR((F131-E131)/E131,0)</f>
        <v>0</v>
      </c>
      <c r="H131" s="25"/>
      <c r="I131" s="25"/>
      <c r="J131" s="25"/>
      <c r="K131" s="7"/>
      <c r="L131" s="25"/>
      <c r="M131" s="25"/>
      <c r="N131" s="25"/>
      <c r="O131" s="7"/>
      <c r="P131" s="7"/>
      <c r="Q131" s="7"/>
      <c r="R131" s="4" t="str">
        <f aca="false">IF($A131="","",IF(AND(N131&lt;=2,G131&gt;-15%),"是","否"))</f>
        <v/>
      </c>
      <c r="S131" s="26"/>
      <c r="T131" s="4" t="str">
        <f aca="false">IF($A131="","",IF(AND(M131&gt;=3,N131&lt;=2),"是","否"))</f>
        <v/>
      </c>
      <c r="U131" s="7"/>
      <c r="V131" s="7"/>
    </row>
    <row r="132" customFormat="false" ht="15" hidden="false" customHeight="true" outlineLevel="0" collapsed="false">
      <c r="A132" s="5"/>
      <c r="B132" s="14"/>
      <c r="C132" s="14"/>
      <c r="D132" s="16" t="n">
        <f aca="false">IFERROR((C132-B132)/B132,0)</f>
        <v>0</v>
      </c>
      <c r="E132" s="14"/>
      <c r="F132" s="14"/>
      <c r="G132" s="16" t="n">
        <f aca="false">IFERROR((F132-E132)/E132,0)</f>
        <v>0</v>
      </c>
      <c r="H132" s="17"/>
      <c r="I132" s="17"/>
      <c r="J132" s="17"/>
      <c r="K132" s="5"/>
      <c r="L132" s="17"/>
      <c r="M132" s="17"/>
      <c r="N132" s="17"/>
      <c r="O132" s="5"/>
      <c r="P132" s="5"/>
      <c r="Q132" s="5"/>
      <c r="R132" s="4" t="str">
        <f aca="false">IF($A132="","",IF(AND(N132&lt;=2,G132&gt;-15%),"是","否"))</f>
        <v/>
      </c>
      <c r="S132" s="20"/>
      <c r="T132" s="4" t="str">
        <f aca="false">IF($A132="","",IF(AND(M132&gt;=3,N132&lt;=2),"是","否"))</f>
        <v/>
      </c>
      <c r="U132" s="5"/>
      <c r="V132" s="5"/>
    </row>
    <row r="133" customFormat="false" ht="15" hidden="false" customHeight="true" outlineLevel="0" collapsed="false">
      <c r="A133" s="7"/>
      <c r="B133" s="24"/>
      <c r="C133" s="24"/>
      <c r="D133" s="16" t="n">
        <f aca="false">IFERROR((C133-B133)/B133,0)</f>
        <v>0</v>
      </c>
      <c r="E133" s="24"/>
      <c r="F133" s="24"/>
      <c r="G133" s="16" t="n">
        <f aca="false">IFERROR((F133-E133)/E133,0)</f>
        <v>0</v>
      </c>
      <c r="H133" s="25"/>
      <c r="I133" s="25"/>
      <c r="J133" s="25"/>
      <c r="K133" s="7"/>
      <c r="L133" s="25"/>
      <c r="M133" s="25"/>
      <c r="N133" s="25"/>
      <c r="O133" s="7"/>
      <c r="P133" s="7"/>
      <c r="Q133" s="7"/>
      <c r="R133" s="4" t="str">
        <f aca="false">IF($A133="","",IF(AND(N133&lt;=2,G133&gt;-15%),"是","否"))</f>
        <v/>
      </c>
      <c r="S133" s="26"/>
      <c r="T133" s="4" t="str">
        <f aca="false">IF($A133="","",IF(AND(M133&gt;=3,N133&lt;=2),"是","否"))</f>
        <v/>
      </c>
      <c r="U133" s="7"/>
      <c r="V133" s="7"/>
    </row>
    <row r="134" customFormat="false" ht="15" hidden="false" customHeight="true" outlineLevel="0" collapsed="false">
      <c r="A134" s="5"/>
      <c r="B134" s="14"/>
      <c r="C134" s="14"/>
      <c r="D134" s="16" t="n">
        <f aca="false">IFERROR((C134-B134)/B134,0)</f>
        <v>0</v>
      </c>
      <c r="E134" s="14"/>
      <c r="F134" s="14"/>
      <c r="G134" s="16" t="n">
        <f aca="false">IFERROR((F134-E134)/E134,0)</f>
        <v>0</v>
      </c>
      <c r="H134" s="17"/>
      <c r="I134" s="17"/>
      <c r="J134" s="17"/>
      <c r="K134" s="5"/>
      <c r="L134" s="17"/>
      <c r="M134" s="17"/>
      <c r="N134" s="17"/>
      <c r="O134" s="5"/>
      <c r="P134" s="5"/>
      <c r="Q134" s="5"/>
      <c r="R134" s="4" t="str">
        <f aca="false">IF($A134="","",IF(AND(N134&lt;=2,G134&gt;-15%),"是","否"))</f>
        <v/>
      </c>
      <c r="S134" s="20"/>
      <c r="T134" s="4" t="str">
        <f aca="false">IF($A134="","",IF(AND(M134&gt;=3,N134&lt;=2),"是","否"))</f>
        <v/>
      </c>
      <c r="U134" s="5"/>
      <c r="V134" s="5"/>
    </row>
    <row r="135" customFormat="false" ht="15" hidden="false" customHeight="true" outlineLevel="0" collapsed="false">
      <c r="A135" s="7"/>
      <c r="B135" s="24"/>
      <c r="C135" s="24"/>
      <c r="D135" s="16" t="n">
        <f aca="false">IFERROR((C135-B135)/B135,0)</f>
        <v>0</v>
      </c>
      <c r="E135" s="24"/>
      <c r="F135" s="24"/>
      <c r="G135" s="16" t="n">
        <f aca="false">IFERROR((F135-E135)/E135,0)</f>
        <v>0</v>
      </c>
      <c r="H135" s="25"/>
      <c r="I135" s="25"/>
      <c r="J135" s="25"/>
      <c r="K135" s="7"/>
      <c r="L135" s="25"/>
      <c r="M135" s="25"/>
      <c r="N135" s="25"/>
      <c r="O135" s="7"/>
      <c r="P135" s="7"/>
      <c r="Q135" s="7"/>
      <c r="R135" s="4" t="str">
        <f aca="false">IF($A135="","",IF(AND(N135&lt;=2,G135&gt;-15%),"是","否"))</f>
        <v/>
      </c>
      <c r="S135" s="26"/>
      <c r="T135" s="4" t="str">
        <f aca="false">IF($A135="","",IF(AND(M135&gt;=3,N135&lt;=2),"是","否"))</f>
        <v/>
      </c>
      <c r="U135" s="7"/>
      <c r="V135" s="7"/>
    </row>
    <row r="136" customFormat="false" ht="15" hidden="false" customHeight="true" outlineLevel="0" collapsed="false">
      <c r="A136" s="5"/>
      <c r="B136" s="14"/>
      <c r="C136" s="14"/>
      <c r="D136" s="16" t="n">
        <f aca="false">IFERROR((C136-B136)/B136,0)</f>
        <v>0</v>
      </c>
      <c r="E136" s="14"/>
      <c r="F136" s="14"/>
      <c r="G136" s="16" t="n">
        <f aca="false">IFERROR((F136-E136)/E136,0)</f>
        <v>0</v>
      </c>
      <c r="H136" s="17"/>
      <c r="I136" s="17"/>
      <c r="J136" s="17"/>
      <c r="K136" s="5"/>
      <c r="L136" s="17"/>
      <c r="M136" s="17"/>
      <c r="N136" s="17"/>
      <c r="O136" s="5"/>
      <c r="P136" s="5"/>
      <c r="Q136" s="5"/>
      <c r="R136" s="4" t="str">
        <f aca="false">IF($A136="","",IF(AND(N136&lt;=2,G136&gt;-15%),"是","否"))</f>
        <v/>
      </c>
      <c r="S136" s="20"/>
      <c r="T136" s="4" t="str">
        <f aca="false">IF($A136="","",IF(AND(M136&gt;=3,N136&lt;=2),"是","否"))</f>
        <v/>
      </c>
      <c r="U136" s="5"/>
      <c r="V136" s="5"/>
    </row>
    <row r="137" customFormat="false" ht="15" hidden="false" customHeight="true" outlineLevel="0" collapsed="false">
      <c r="A137" s="7"/>
      <c r="B137" s="24"/>
      <c r="C137" s="24"/>
      <c r="D137" s="16" t="n">
        <f aca="false">IFERROR((C137-B137)/B137,0)</f>
        <v>0</v>
      </c>
      <c r="E137" s="24"/>
      <c r="F137" s="24"/>
      <c r="G137" s="16" t="n">
        <f aca="false">IFERROR((F137-E137)/E137,0)</f>
        <v>0</v>
      </c>
      <c r="H137" s="25"/>
      <c r="I137" s="25"/>
      <c r="J137" s="25"/>
      <c r="K137" s="7"/>
      <c r="L137" s="25"/>
      <c r="M137" s="25"/>
      <c r="N137" s="25"/>
      <c r="O137" s="7"/>
      <c r="P137" s="7"/>
      <c r="Q137" s="7"/>
      <c r="R137" s="4" t="str">
        <f aca="false">IF($A137="","",IF(AND(N137&lt;=2,G137&gt;-15%),"是","否"))</f>
        <v/>
      </c>
      <c r="S137" s="26"/>
      <c r="T137" s="4" t="str">
        <f aca="false">IF($A137="","",IF(AND(M137&gt;=3,N137&lt;=2),"是","否"))</f>
        <v/>
      </c>
      <c r="U137" s="7"/>
      <c r="V137" s="7"/>
    </row>
    <row r="138" customFormat="false" ht="15" hidden="false" customHeight="true" outlineLevel="0" collapsed="false">
      <c r="A138" s="5"/>
      <c r="B138" s="14"/>
      <c r="C138" s="14"/>
      <c r="D138" s="16" t="n">
        <f aca="false">IFERROR((C138-B138)/B138,0)</f>
        <v>0</v>
      </c>
      <c r="E138" s="14"/>
      <c r="F138" s="14"/>
      <c r="G138" s="16" t="n">
        <f aca="false">IFERROR((F138-E138)/E138,0)</f>
        <v>0</v>
      </c>
      <c r="H138" s="17"/>
      <c r="I138" s="17"/>
      <c r="J138" s="17"/>
      <c r="K138" s="5"/>
      <c r="L138" s="17"/>
      <c r="M138" s="17"/>
      <c r="N138" s="17"/>
      <c r="O138" s="5"/>
      <c r="P138" s="5"/>
      <c r="Q138" s="5"/>
      <c r="R138" s="4" t="str">
        <f aca="false">IF($A138="","",IF(AND(N138&lt;=2,G138&gt;-15%),"是","否"))</f>
        <v/>
      </c>
      <c r="S138" s="20"/>
      <c r="T138" s="4" t="str">
        <f aca="false">IF($A138="","",IF(AND(M138&gt;=3,N138&lt;=2),"是","否"))</f>
        <v/>
      </c>
      <c r="U138" s="5"/>
      <c r="V138" s="5"/>
    </row>
    <row r="139" customFormat="false" ht="15" hidden="false" customHeight="true" outlineLevel="0" collapsed="false">
      <c r="A139" s="7"/>
      <c r="B139" s="24"/>
      <c r="C139" s="24"/>
      <c r="D139" s="16" t="n">
        <f aca="false">IFERROR((C139-B139)/B139,0)</f>
        <v>0</v>
      </c>
      <c r="E139" s="24"/>
      <c r="F139" s="24"/>
      <c r="G139" s="16" t="n">
        <f aca="false">IFERROR((F139-E139)/E139,0)</f>
        <v>0</v>
      </c>
      <c r="H139" s="25"/>
      <c r="I139" s="25"/>
      <c r="J139" s="25"/>
      <c r="K139" s="7"/>
      <c r="L139" s="25"/>
      <c r="M139" s="25"/>
      <c r="N139" s="25"/>
      <c r="O139" s="7"/>
      <c r="P139" s="7"/>
      <c r="Q139" s="7"/>
      <c r="R139" s="4" t="str">
        <f aca="false">IF($A139="","",IF(AND(N139&lt;=2,G139&gt;-15%),"是","否"))</f>
        <v/>
      </c>
      <c r="S139" s="26"/>
      <c r="T139" s="4" t="str">
        <f aca="false">IF($A139="","",IF(AND(M139&gt;=3,N139&lt;=2),"是","否"))</f>
        <v/>
      </c>
      <c r="U139" s="7"/>
      <c r="V139" s="7"/>
    </row>
    <row r="140" customFormat="false" ht="15" hidden="false" customHeight="true" outlineLevel="0" collapsed="false">
      <c r="A140" s="5"/>
      <c r="B140" s="14"/>
      <c r="C140" s="14"/>
      <c r="D140" s="16" t="n">
        <f aca="false">IFERROR((C140-B140)/B140,0)</f>
        <v>0</v>
      </c>
      <c r="E140" s="14"/>
      <c r="F140" s="14"/>
      <c r="G140" s="16" t="n">
        <f aca="false">IFERROR((F140-E140)/E140,0)</f>
        <v>0</v>
      </c>
      <c r="H140" s="17"/>
      <c r="I140" s="17"/>
      <c r="J140" s="17"/>
      <c r="K140" s="5"/>
      <c r="L140" s="17"/>
      <c r="M140" s="17"/>
      <c r="N140" s="17"/>
      <c r="O140" s="5"/>
      <c r="P140" s="5"/>
      <c r="Q140" s="5"/>
      <c r="R140" s="4" t="str">
        <f aca="false">IF($A140="","",IF(AND(N140&lt;=2,G140&gt;-15%),"是","否"))</f>
        <v/>
      </c>
      <c r="S140" s="20"/>
      <c r="T140" s="4" t="str">
        <f aca="false">IF($A140="","",IF(AND(M140&gt;=3,N140&lt;=2),"是","否"))</f>
        <v/>
      </c>
      <c r="U140" s="5"/>
      <c r="V140" s="5"/>
    </row>
    <row r="141" customFormat="false" ht="15" hidden="false" customHeight="true" outlineLevel="0" collapsed="false">
      <c r="A141" s="7"/>
      <c r="B141" s="24"/>
      <c r="C141" s="24"/>
      <c r="D141" s="16" t="n">
        <f aca="false">IFERROR((C141-B141)/B141,0)</f>
        <v>0</v>
      </c>
      <c r="E141" s="24"/>
      <c r="F141" s="24"/>
      <c r="G141" s="16" t="n">
        <f aca="false">IFERROR((F141-E141)/E141,0)</f>
        <v>0</v>
      </c>
      <c r="H141" s="25"/>
      <c r="I141" s="25"/>
      <c r="J141" s="25"/>
      <c r="K141" s="7"/>
      <c r="L141" s="25"/>
      <c r="M141" s="25"/>
      <c r="N141" s="25"/>
      <c r="O141" s="7"/>
      <c r="P141" s="7"/>
      <c r="Q141" s="7"/>
      <c r="R141" s="4" t="str">
        <f aca="false">IF($A141="","",IF(AND(N141&lt;=2,G141&gt;-15%),"是","否"))</f>
        <v/>
      </c>
      <c r="S141" s="26"/>
      <c r="T141" s="4" t="str">
        <f aca="false">IF($A141="","",IF(AND(M141&gt;=3,N141&lt;=2),"是","否"))</f>
        <v/>
      </c>
      <c r="U141" s="7"/>
      <c r="V141" s="7"/>
    </row>
    <row r="142" customFormat="false" ht="15" hidden="false" customHeight="true" outlineLevel="0" collapsed="false">
      <c r="A142" s="5"/>
      <c r="B142" s="14"/>
      <c r="C142" s="14"/>
      <c r="D142" s="16" t="n">
        <f aca="false">IFERROR((C142-B142)/B142,0)</f>
        <v>0</v>
      </c>
      <c r="E142" s="14"/>
      <c r="F142" s="14"/>
      <c r="G142" s="16" t="n">
        <f aca="false">IFERROR((F142-E142)/E142,0)</f>
        <v>0</v>
      </c>
      <c r="H142" s="17"/>
      <c r="I142" s="17"/>
      <c r="J142" s="17"/>
      <c r="K142" s="5"/>
      <c r="L142" s="17"/>
      <c r="M142" s="17"/>
      <c r="N142" s="17"/>
      <c r="O142" s="5"/>
      <c r="P142" s="5"/>
      <c r="Q142" s="5"/>
      <c r="R142" s="4" t="str">
        <f aca="false">IF($A142="","",IF(AND(N142&lt;=2,G142&gt;-15%),"是","否"))</f>
        <v/>
      </c>
      <c r="S142" s="20"/>
      <c r="T142" s="4" t="str">
        <f aca="false">IF($A142="","",IF(AND(M142&gt;=3,N142&lt;=2),"是","否"))</f>
        <v/>
      </c>
      <c r="U142" s="5"/>
      <c r="V142" s="5"/>
    </row>
    <row r="143" customFormat="false" ht="15" hidden="false" customHeight="true" outlineLevel="0" collapsed="false">
      <c r="A143" s="7"/>
      <c r="B143" s="24"/>
      <c r="C143" s="24"/>
      <c r="D143" s="16" t="n">
        <f aca="false">IFERROR((C143-B143)/B143,0)</f>
        <v>0</v>
      </c>
      <c r="E143" s="24"/>
      <c r="F143" s="24"/>
      <c r="G143" s="16" t="n">
        <f aca="false">IFERROR((F143-E143)/E143,0)</f>
        <v>0</v>
      </c>
      <c r="H143" s="25"/>
      <c r="I143" s="25"/>
      <c r="J143" s="25"/>
      <c r="K143" s="7"/>
      <c r="L143" s="25"/>
      <c r="M143" s="25"/>
      <c r="N143" s="25"/>
      <c r="O143" s="7"/>
      <c r="P143" s="7"/>
      <c r="Q143" s="7"/>
      <c r="R143" s="4" t="str">
        <f aca="false">IF($A143="","",IF(AND(N143&lt;=2,G143&gt;-15%),"是","否"))</f>
        <v/>
      </c>
      <c r="S143" s="26"/>
      <c r="T143" s="4" t="str">
        <f aca="false">IF($A143="","",IF(AND(M143&gt;=3,N143&lt;=2),"是","否"))</f>
        <v/>
      </c>
      <c r="U143" s="7"/>
      <c r="V143" s="7"/>
    </row>
    <row r="144" customFormat="false" ht="15" hidden="false" customHeight="true" outlineLevel="0" collapsed="false">
      <c r="A144" s="5"/>
      <c r="B144" s="14"/>
      <c r="C144" s="14"/>
      <c r="D144" s="16" t="n">
        <f aca="false">IFERROR((C144-B144)/B144,0)</f>
        <v>0</v>
      </c>
      <c r="E144" s="14"/>
      <c r="F144" s="14"/>
      <c r="G144" s="16" t="n">
        <f aca="false">IFERROR((F144-E144)/E144,0)</f>
        <v>0</v>
      </c>
      <c r="H144" s="17"/>
      <c r="I144" s="17"/>
      <c r="J144" s="17"/>
      <c r="K144" s="5"/>
      <c r="L144" s="17"/>
      <c r="M144" s="17"/>
      <c r="N144" s="17"/>
      <c r="O144" s="5"/>
      <c r="P144" s="5"/>
      <c r="Q144" s="5"/>
      <c r="R144" s="4" t="str">
        <f aca="false">IF($A144="","",IF(AND(N144&lt;=2,G144&gt;-15%),"是","否"))</f>
        <v/>
      </c>
      <c r="S144" s="20"/>
      <c r="T144" s="4" t="str">
        <f aca="false">IF($A144="","",IF(AND(M144&gt;=3,N144&lt;=2),"是","否"))</f>
        <v/>
      </c>
      <c r="U144" s="5"/>
      <c r="V144" s="5"/>
    </row>
    <row r="145" customFormat="false" ht="15" hidden="false" customHeight="true" outlineLevel="0" collapsed="false">
      <c r="A145" s="7"/>
      <c r="B145" s="24"/>
      <c r="C145" s="24"/>
      <c r="D145" s="16" t="n">
        <f aca="false">IFERROR((C145-B145)/B145,0)</f>
        <v>0</v>
      </c>
      <c r="E145" s="24"/>
      <c r="F145" s="24"/>
      <c r="G145" s="16" t="n">
        <f aca="false">IFERROR((F145-E145)/E145,0)</f>
        <v>0</v>
      </c>
      <c r="H145" s="25"/>
      <c r="I145" s="25"/>
      <c r="J145" s="25"/>
      <c r="K145" s="7"/>
      <c r="L145" s="25"/>
      <c r="M145" s="25"/>
      <c r="N145" s="25"/>
      <c r="O145" s="7"/>
      <c r="P145" s="7"/>
      <c r="Q145" s="7"/>
      <c r="R145" s="4" t="str">
        <f aca="false">IF($A145="","",IF(AND(N145&lt;=2,G145&gt;-15%),"是","否"))</f>
        <v/>
      </c>
      <c r="S145" s="26"/>
      <c r="T145" s="4" t="str">
        <f aca="false">IF($A145="","",IF(AND(M145&gt;=3,N145&lt;=2),"是","否"))</f>
        <v/>
      </c>
      <c r="U145" s="7"/>
      <c r="V145" s="7"/>
    </row>
    <row r="146" customFormat="false" ht="15" hidden="false" customHeight="true" outlineLevel="0" collapsed="false">
      <c r="A146" s="5"/>
      <c r="B146" s="14"/>
      <c r="C146" s="14"/>
      <c r="D146" s="16" t="n">
        <f aca="false">IFERROR((C146-B146)/B146,0)</f>
        <v>0</v>
      </c>
      <c r="E146" s="14"/>
      <c r="F146" s="14"/>
      <c r="G146" s="16" t="n">
        <f aca="false">IFERROR((F146-E146)/E146,0)</f>
        <v>0</v>
      </c>
      <c r="H146" s="17"/>
      <c r="I146" s="17"/>
      <c r="J146" s="17"/>
      <c r="K146" s="5"/>
      <c r="L146" s="17"/>
      <c r="M146" s="17"/>
      <c r="N146" s="17"/>
      <c r="O146" s="5"/>
      <c r="P146" s="5"/>
      <c r="Q146" s="5"/>
      <c r="R146" s="4" t="str">
        <f aca="false">IF($A146="","",IF(AND(N146&lt;=2,G146&gt;-15%),"是","否"))</f>
        <v/>
      </c>
      <c r="S146" s="20"/>
      <c r="T146" s="4" t="str">
        <f aca="false">IF($A146="","",IF(AND(M146&gt;=3,N146&lt;=2),"是","否"))</f>
        <v/>
      </c>
      <c r="U146" s="5"/>
      <c r="V146" s="5"/>
    </row>
    <row r="147" customFormat="false" ht="15" hidden="false" customHeight="true" outlineLevel="0" collapsed="false">
      <c r="A147" s="7"/>
      <c r="B147" s="24"/>
      <c r="C147" s="24"/>
      <c r="D147" s="16" t="n">
        <f aca="false">IFERROR((C147-B147)/B147,0)</f>
        <v>0</v>
      </c>
      <c r="E147" s="24"/>
      <c r="F147" s="24"/>
      <c r="G147" s="16" t="n">
        <f aca="false">IFERROR((F147-E147)/E147,0)</f>
        <v>0</v>
      </c>
      <c r="H147" s="25"/>
      <c r="I147" s="25"/>
      <c r="J147" s="25"/>
      <c r="K147" s="7"/>
      <c r="L147" s="25"/>
      <c r="M147" s="25"/>
      <c r="N147" s="25"/>
      <c r="O147" s="7"/>
      <c r="P147" s="7"/>
      <c r="Q147" s="7"/>
      <c r="R147" s="4" t="str">
        <f aca="false">IF($A147="","",IF(AND(N147&lt;=2,G147&gt;-15%),"是","否"))</f>
        <v/>
      </c>
      <c r="S147" s="26"/>
      <c r="T147" s="4" t="str">
        <f aca="false">IF($A147="","",IF(AND(M147&gt;=3,N147&lt;=2),"是","否"))</f>
        <v/>
      </c>
      <c r="U147" s="7"/>
      <c r="V147" s="7"/>
    </row>
    <row r="148" customFormat="false" ht="15" hidden="false" customHeight="true" outlineLevel="0" collapsed="false">
      <c r="A148" s="5"/>
      <c r="B148" s="14"/>
      <c r="C148" s="14"/>
      <c r="D148" s="16" t="n">
        <f aca="false">IFERROR((C148-B148)/B148,0)</f>
        <v>0</v>
      </c>
      <c r="E148" s="14"/>
      <c r="F148" s="14"/>
      <c r="G148" s="16" t="n">
        <f aca="false">IFERROR((F148-E148)/E148,0)</f>
        <v>0</v>
      </c>
      <c r="H148" s="17"/>
      <c r="I148" s="17"/>
      <c r="J148" s="17"/>
      <c r="K148" s="5"/>
      <c r="L148" s="17"/>
      <c r="M148" s="17"/>
      <c r="N148" s="17"/>
      <c r="O148" s="5"/>
      <c r="P148" s="5"/>
      <c r="Q148" s="5"/>
      <c r="R148" s="4" t="str">
        <f aca="false">IF($A148="","",IF(AND(N148&lt;=2,G148&gt;-15%),"是","否"))</f>
        <v/>
      </c>
      <c r="S148" s="20"/>
      <c r="T148" s="4" t="str">
        <f aca="false">IF($A148="","",IF(AND(M148&gt;=3,N148&lt;=2),"是","否"))</f>
        <v/>
      </c>
      <c r="U148" s="5"/>
      <c r="V148" s="5"/>
    </row>
    <row r="149" customFormat="false" ht="15" hidden="false" customHeight="true" outlineLevel="0" collapsed="false">
      <c r="A149" s="7"/>
      <c r="B149" s="24"/>
      <c r="C149" s="24"/>
      <c r="D149" s="16" t="n">
        <f aca="false">IFERROR((C149-B149)/B149,0)</f>
        <v>0</v>
      </c>
      <c r="E149" s="24"/>
      <c r="F149" s="24"/>
      <c r="G149" s="16" t="n">
        <f aca="false">IFERROR((F149-E149)/E149,0)</f>
        <v>0</v>
      </c>
      <c r="H149" s="25"/>
      <c r="I149" s="25"/>
      <c r="J149" s="25"/>
      <c r="K149" s="7"/>
      <c r="L149" s="25"/>
      <c r="M149" s="25"/>
      <c r="N149" s="25"/>
      <c r="O149" s="7"/>
      <c r="P149" s="7"/>
      <c r="Q149" s="7"/>
      <c r="R149" s="4" t="str">
        <f aca="false">IF($A149="","",IF(AND(N149&lt;=2,G149&gt;-15%),"是","否"))</f>
        <v/>
      </c>
      <c r="S149" s="26"/>
      <c r="T149" s="4" t="str">
        <f aca="false">IF($A149="","",IF(AND(M149&gt;=3,N149&lt;=2),"是","否"))</f>
        <v/>
      </c>
      <c r="U149" s="7"/>
      <c r="V149" s="7"/>
    </row>
    <row r="150" customFormat="false" ht="15" hidden="false" customHeight="true" outlineLevel="0" collapsed="false">
      <c r="A150" s="5"/>
      <c r="B150" s="14"/>
      <c r="C150" s="14"/>
      <c r="D150" s="16" t="n">
        <f aca="false">IFERROR((C150-B150)/B150,0)</f>
        <v>0</v>
      </c>
      <c r="E150" s="14"/>
      <c r="F150" s="14"/>
      <c r="G150" s="16" t="n">
        <f aca="false">IFERROR((F150-E150)/E150,0)</f>
        <v>0</v>
      </c>
      <c r="H150" s="17"/>
      <c r="I150" s="17"/>
      <c r="J150" s="17"/>
      <c r="K150" s="5"/>
      <c r="L150" s="17"/>
      <c r="M150" s="17"/>
      <c r="N150" s="17"/>
      <c r="O150" s="5"/>
      <c r="P150" s="5"/>
      <c r="Q150" s="5"/>
      <c r="R150" s="4" t="str">
        <f aca="false">IF($A150="","",IF(AND(N150&lt;=2,G150&gt;-15%),"是","否"))</f>
        <v/>
      </c>
      <c r="S150" s="20"/>
      <c r="T150" s="4" t="str">
        <f aca="false">IF($A150="","",IF(AND(M150&gt;=3,N150&lt;=2),"是","否"))</f>
        <v/>
      </c>
      <c r="U150" s="5"/>
      <c r="V150" s="5"/>
    </row>
    <row r="151" customFormat="false" ht="15" hidden="false" customHeight="true" outlineLevel="0" collapsed="false">
      <c r="A151" s="7"/>
      <c r="B151" s="24"/>
      <c r="C151" s="24"/>
      <c r="D151" s="16" t="n">
        <f aca="false">IFERROR((C151-B151)/B151,0)</f>
        <v>0</v>
      </c>
      <c r="E151" s="24"/>
      <c r="F151" s="24"/>
      <c r="G151" s="16" t="n">
        <f aca="false">IFERROR((F151-E151)/E151,0)</f>
        <v>0</v>
      </c>
      <c r="H151" s="25"/>
      <c r="I151" s="25"/>
      <c r="J151" s="25"/>
      <c r="K151" s="7"/>
      <c r="L151" s="25"/>
      <c r="M151" s="25"/>
      <c r="N151" s="25"/>
      <c r="O151" s="7"/>
      <c r="P151" s="7"/>
      <c r="Q151" s="7"/>
      <c r="R151" s="4" t="str">
        <f aca="false">IF($A151="","",IF(AND(N151&lt;=2,G151&gt;-15%),"是","否"))</f>
        <v/>
      </c>
      <c r="S151" s="26"/>
      <c r="T151" s="4" t="str">
        <f aca="false">IF($A151="","",IF(AND(M151&gt;=3,N151&lt;=2),"是","否"))</f>
        <v/>
      </c>
      <c r="U151" s="7"/>
      <c r="V151" s="7"/>
    </row>
    <row r="152" customFormat="false" ht="15" hidden="false" customHeight="true" outlineLevel="0" collapsed="false">
      <c r="A152" s="5"/>
      <c r="B152" s="14"/>
      <c r="C152" s="14"/>
      <c r="D152" s="16" t="n">
        <f aca="false">IFERROR((C152-B152)/B152,0)</f>
        <v>0</v>
      </c>
      <c r="E152" s="14"/>
      <c r="F152" s="14"/>
      <c r="G152" s="16" t="n">
        <f aca="false">IFERROR((F152-E152)/E152,0)</f>
        <v>0</v>
      </c>
      <c r="H152" s="17"/>
      <c r="I152" s="17"/>
      <c r="J152" s="17"/>
      <c r="K152" s="5"/>
      <c r="L152" s="17"/>
      <c r="M152" s="17"/>
      <c r="N152" s="17"/>
      <c r="O152" s="5"/>
      <c r="P152" s="5"/>
      <c r="Q152" s="5"/>
      <c r="R152" s="4" t="str">
        <f aca="false">IF($A152="","",IF(AND(N152&lt;=2,G152&gt;-15%),"是","否"))</f>
        <v/>
      </c>
      <c r="S152" s="20"/>
      <c r="T152" s="4" t="str">
        <f aca="false">IF($A152="","",IF(AND(M152&gt;=3,N152&lt;=2),"是","否"))</f>
        <v/>
      </c>
      <c r="U152" s="5"/>
      <c r="V152" s="5"/>
    </row>
    <row r="153" customFormat="false" ht="15" hidden="false" customHeight="true" outlineLevel="0" collapsed="false">
      <c r="A153" s="7"/>
      <c r="B153" s="24"/>
      <c r="C153" s="24"/>
      <c r="D153" s="16" t="n">
        <f aca="false">IFERROR((C153-B153)/B153,0)</f>
        <v>0</v>
      </c>
      <c r="E153" s="24"/>
      <c r="F153" s="24"/>
      <c r="G153" s="16" t="n">
        <f aca="false">IFERROR((F153-E153)/E153,0)</f>
        <v>0</v>
      </c>
      <c r="H153" s="25"/>
      <c r="I153" s="25"/>
      <c r="J153" s="25"/>
      <c r="K153" s="7"/>
      <c r="L153" s="25"/>
      <c r="M153" s="25"/>
      <c r="N153" s="25"/>
      <c r="O153" s="7"/>
      <c r="P153" s="7"/>
      <c r="Q153" s="7"/>
      <c r="R153" s="4" t="str">
        <f aca="false">IF($A153="","",IF(AND(N153&lt;=2,G153&gt;-15%),"是","否"))</f>
        <v/>
      </c>
      <c r="S153" s="26"/>
      <c r="T153" s="4" t="str">
        <f aca="false">IF($A153="","",IF(AND(M153&gt;=3,N153&lt;=2),"是","否"))</f>
        <v/>
      </c>
      <c r="U153" s="7"/>
      <c r="V153" s="7"/>
    </row>
    <row r="154" customFormat="false" ht="15" hidden="false" customHeight="true" outlineLevel="0" collapsed="false">
      <c r="A154" s="5"/>
      <c r="B154" s="14"/>
      <c r="C154" s="14"/>
      <c r="D154" s="16" t="n">
        <f aca="false">IFERROR((C154-B154)/B154,0)</f>
        <v>0</v>
      </c>
      <c r="E154" s="14"/>
      <c r="F154" s="14"/>
      <c r="G154" s="16" t="n">
        <f aca="false">IFERROR((F154-E154)/E154,0)</f>
        <v>0</v>
      </c>
      <c r="H154" s="17"/>
      <c r="I154" s="17"/>
      <c r="J154" s="17"/>
      <c r="K154" s="5"/>
      <c r="L154" s="17"/>
      <c r="M154" s="17"/>
      <c r="N154" s="17"/>
      <c r="O154" s="5"/>
      <c r="P154" s="5"/>
      <c r="Q154" s="5"/>
      <c r="R154" s="4" t="str">
        <f aca="false">IF($A154="","",IF(AND(N154&lt;=2,G154&gt;-15%),"是","否"))</f>
        <v/>
      </c>
      <c r="S154" s="20"/>
      <c r="T154" s="4" t="str">
        <f aca="false">IF($A154="","",IF(AND(M154&gt;=3,N154&lt;=2),"是","否"))</f>
        <v/>
      </c>
      <c r="U154" s="5"/>
      <c r="V154" s="5"/>
    </row>
    <row r="155" customFormat="false" ht="15" hidden="false" customHeight="true" outlineLevel="0" collapsed="false">
      <c r="A155" s="7"/>
      <c r="B155" s="24"/>
      <c r="C155" s="24"/>
      <c r="D155" s="16" t="n">
        <f aca="false">IFERROR((C155-B155)/B155,0)</f>
        <v>0</v>
      </c>
      <c r="E155" s="24"/>
      <c r="F155" s="24"/>
      <c r="G155" s="16" t="n">
        <f aca="false">IFERROR((F155-E155)/E155,0)</f>
        <v>0</v>
      </c>
      <c r="H155" s="25"/>
      <c r="I155" s="25"/>
      <c r="J155" s="25"/>
      <c r="K155" s="7"/>
      <c r="L155" s="25"/>
      <c r="M155" s="25"/>
      <c r="N155" s="25"/>
      <c r="O155" s="7"/>
      <c r="P155" s="7"/>
      <c r="Q155" s="7"/>
      <c r="R155" s="4" t="str">
        <f aca="false">IF($A155="","",IF(AND(N155&lt;=2,G155&gt;-15%),"是","否"))</f>
        <v/>
      </c>
      <c r="S155" s="26"/>
      <c r="T155" s="4" t="str">
        <f aca="false">IF($A155="","",IF(AND(M155&gt;=3,N155&lt;=2),"是","否"))</f>
        <v/>
      </c>
      <c r="U155" s="7"/>
      <c r="V155" s="7"/>
    </row>
    <row r="156" customFormat="false" ht="15" hidden="false" customHeight="true" outlineLevel="0" collapsed="false">
      <c r="A156" s="5"/>
      <c r="B156" s="14"/>
      <c r="C156" s="14"/>
      <c r="D156" s="16" t="n">
        <f aca="false">IFERROR((C156-B156)/B156,0)</f>
        <v>0</v>
      </c>
      <c r="E156" s="14"/>
      <c r="F156" s="14"/>
      <c r="G156" s="16" t="n">
        <f aca="false">IFERROR((F156-E156)/E156,0)</f>
        <v>0</v>
      </c>
      <c r="H156" s="17"/>
      <c r="I156" s="17"/>
      <c r="J156" s="17"/>
      <c r="K156" s="5"/>
      <c r="L156" s="17"/>
      <c r="M156" s="17"/>
      <c r="N156" s="17"/>
      <c r="O156" s="5"/>
      <c r="P156" s="5"/>
      <c r="Q156" s="5"/>
      <c r="R156" s="4" t="str">
        <f aca="false">IF($A156="","",IF(AND(N156&lt;=2,G156&gt;-15%),"是","否"))</f>
        <v/>
      </c>
      <c r="S156" s="20"/>
      <c r="T156" s="4" t="str">
        <f aca="false">IF($A156="","",IF(AND(M156&gt;=3,N156&lt;=2),"是","否"))</f>
        <v/>
      </c>
      <c r="U156" s="5"/>
      <c r="V156" s="5"/>
    </row>
    <row r="157" customFormat="false" ht="15" hidden="false" customHeight="true" outlineLevel="0" collapsed="false">
      <c r="A157" s="7"/>
      <c r="B157" s="24"/>
      <c r="C157" s="24"/>
      <c r="D157" s="16" t="n">
        <f aca="false">IFERROR((C157-B157)/B157,0)</f>
        <v>0</v>
      </c>
      <c r="E157" s="24"/>
      <c r="F157" s="24"/>
      <c r="G157" s="16" t="n">
        <f aca="false">IFERROR((F157-E157)/E157,0)</f>
        <v>0</v>
      </c>
      <c r="H157" s="25"/>
      <c r="I157" s="25"/>
      <c r="J157" s="25"/>
      <c r="K157" s="7"/>
      <c r="L157" s="25"/>
      <c r="M157" s="25"/>
      <c r="N157" s="25"/>
      <c r="O157" s="7"/>
      <c r="P157" s="7"/>
      <c r="Q157" s="7"/>
      <c r="R157" s="4" t="str">
        <f aca="false">IF($A157="","",IF(AND(N157&lt;=2,G157&gt;-15%),"是","否"))</f>
        <v/>
      </c>
      <c r="S157" s="26"/>
      <c r="T157" s="4" t="str">
        <f aca="false">IF($A157="","",IF(AND(M157&gt;=3,N157&lt;=2),"是","否"))</f>
        <v/>
      </c>
      <c r="U157" s="7"/>
      <c r="V157" s="7"/>
    </row>
    <row r="158" customFormat="false" ht="15" hidden="false" customHeight="true" outlineLevel="0" collapsed="false">
      <c r="A158" s="5"/>
      <c r="B158" s="14"/>
      <c r="C158" s="14"/>
      <c r="D158" s="16" t="n">
        <f aca="false">IFERROR((C158-B158)/B158,0)</f>
        <v>0</v>
      </c>
      <c r="E158" s="14"/>
      <c r="F158" s="14"/>
      <c r="G158" s="16" t="n">
        <f aca="false">IFERROR((F158-E158)/E158,0)</f>
        <v>0</v>
      </c>
      <c r="H158" s="17"/>
      <c r="I158" s="17"/>
      <c r="J158" s="17"/>
      <c r="K158" s="5"/>
      <c r="L158" s="17"/>
      <c r="M158" s="17"/>
      <c r="N158" s="17"/>
      <c r="O158" s="5"/>
      <c r="P158" s="5"/>
      <c r="Q158" s="5"/>
      <c r="R158" s="4" t="str">
        <f aca="false">IF($A158="","",IF(AND(N158&lt;=2,G158&gt;-15%),"是","否"))</f>
        <v/>
      </c>
      <c r="S158" s="20"/>
      <c r="T158" s="4" t="str">
        <f aca="false">IF($A158="","",IF(AND(M158&gt;=3,N158&lt;=2),"是","否"))</f>
        <v/>
      </c>
      <c r="U158" s="5"/>
      <c r="V158" s="5"/>
    </row>
    <row r="159" customFormat="false" ht="15" hidden="false" customHeight="true" outlineLevel="0" collapsed="false">
      <c r="A159" s="7"/>
      <c r="B159" s="24"/>
      <c r="C159" s="24"/>
      <c r="D159" s="16" t="n">
        <f aca="false">IFERROR((C159-B159)/B159,0)</f>
        <v>0</v>
      </c>
      <c r="E159" s="24"/>
      <c r="F159" s="24"/>
      <c r="G159" s="16" t="n">
        <f aca="false">IFERROR((F159-E159)/E159,0)</f>
        <v>0</v>
      </c>
      <c r="H159" s="25"/>
      <c r="I159" s="25"/>
      <c r="J159" s="25"/>
      <c r="K159" s="7"/>
      <c r="L159" s="25"/>
      <c r="M159" s="25"/>
      <c r="N159" s="25"/>
      <c r="O159" s="7"/>
      <c r="P159" s="7"/>
      <c r="Q159" s="7"/>
      <c r="R159" s="4" t="str">
        <f aca="false">IF($A159="","",IF(AND(N159&lt;=2,G159&gt;-15%),"是","否"))</f>
        <v/>
      </c>
      <c r="S159" s="26"/>
      <c r="T159" s="4" t="str">
        <f aca="false">IF($A159="","",IF(AND(M159&gt;=3,N159&lt;=2),"是","否"))</f>
        <v/>
      </c>
      <c r="U159" s="7"/>
      <c r="V159" s="7"/>
    </row>
    <row r="160" customFormat="false" ht="15" hidden="false" customHeight="true" outlineLevel="0" collapsed="false">
      <c r="A160" s="5"/>
      <c r="B160" s="14"/>
      <c r="C160" s="14"/>
      <c r="D160" s="16" t="n">
        <f aca="false">IFERROR((C160-B160)/B160,0)</f>
        <v>0</v>
      </c>
      <c r="E160" s="14"/>
      <c r="F160" s="14"/>
      <c r="G160" s="16" t="n">
        <f aca="false">IFERROR((F160-E160)/E160,0)</f>
        <v>0</v>
      </c>
      <c r="H160" s="17"/>
      <c r="I160" s="17"/>
      <c r="J160" s="17"/>
      <c r="K160" s="5"/>
      <c r="L160" s="17"/>
      <c r="M160" s="17"/>
      <c r="N160" s="17"/>
      <c r="O160" s="5"/>
      <c r="P160" s="5"/>
      <c r="Q160" s="5"/>
      <c r="R160" s="4" t="str">
        <f aca="false">IF($A160="","",IF(AND(N160&lt;=2,G160&gt;-15%),"是","否"))</f>
        <v/>
      </c>
      <c r="S160" s="20"/>
      <c r="T160" s="4" t="str">
        <f aca="false">IF($A160="","",IF(AND(M160&gt;=3,N160&lt;=2),"是","否"))</f>
        <v/>
      </c>
      <c r="U160" s="5"/>
      <c r="V160" s="5"/>
    </row>
    <row r="161" customFormat="false" ht="15" hidden="false" customHeight="true" outlineLevel="0" collapsed="false">
      <c r="A161" s="7"/>
      <c r="B161" s="24"/>
      <c r="C161" s="24"/>
      <c r="D161" s="16" t="n">
        <f aca="false">IFERROR((C161-B161)/B161,0)</f>
        <v>0</v>
      </c>
      <c r="E161" s="24"/>
      <c r="F161" s="24"/>
      <c r="G161" s="16" t="n">
        <f aca="false">IFERROR((F161-E161)/E161,0)</f>
        <v>0</v>
      </c>
      <c r="H161" s="25"/>
      <c r="I161" s="25"/>
      <c r="J161" s="25"/>
      <c r="K161" s="7"/>
      <c r="L161" s="25"/>
      <c r="M161" s="25"/>
      <c r="N161" s="25"/>
      <c r="O161" s="7"/>
      <c r="P161" s="7"/>
      <c r="Q161" s="7"/>
      <c r="R161" s="4" t="str">
        <f aca="false">IF($A161="","",IF(AND(N161&lt;=2,G161&gt;-15%),"是","否"))</f>
        <v/>
      </c>
      <c r="S161" s="26"/>
      <c r="T161" s="4" t="str">
        <f aca="false">IF($A161="","",IF(AND(M161&gt;=3,N161&lt;=2),"是","否"))</f>
        <v/>
      </c>
      <c r="U161" s="7"/>
      <c r="V161" s="7"/>
    </row>
    <row r="162" customFormat="false" ht="15" hidden="false" customHeight="true" outlineLevel="0" collapsed="false">
      <c r="A162" s="5"/>
      <c r="B162" s="14"/>
      <c r="C162" s="14"/>
      <c r="D162" s="16" t="n">
        <f aca="false">IFERROR((C162-B162)/B162,0)</f>
        <v>0</v>
      </c>
      <c r="E162" s="14"/>
      <c r="F162" s="14"/>
      <c r="G162" s="16" t="n">
        <f aca="false">IFERROR((F162-E162)/E162,0)</f>
        <v>0</v>
      </c>
      <c r="H162" s="17"/>
      <c r="I162" s="17"/>
      <c r="J162" s="17"/>
      <c r="K162" s="5"/>
      <c r="L162" s="17"/>
      <c r="M162" s="17"/>
      <c r="N162" s="17"/>
      <c r="O162" s="5"/>
      <c r="P162" s="5"/>
      <c r="Q162" s="5"/>
      <c r="R162" s="4" t="str">
        <f aca="false">IF($A162="","",IF(AND(N162&lt;=2,G162&gt;-15%),"是","否"))</f>
        <v/>
      </c>
      <c r="S162" s="20"/>
      <c r="T162" s="4" t="str">
        <f aca="false">IF($A162="","",IF(AND(M162&gt;=3,N162&lt;=2),"是","否"))</f>
        <v/>
      </c>
      <c r="U162" s="5"/>
      <c r="V162" s="5"/>
    </row>
    <row r="163" customFormat="false" ht="15" hidden="false" customHeight="true" outlineLevel="0" collapsed="false">
      <c r="A163" s="7"/>
      <c r="B163" s="24"/>
      <c r="C163" s="24"/>
      <c r="D163" s="16" t="n">
        <f aca="false">IFERROR((C163-B163)/B163,0)</f>
        <v>0</v>
      </c>
      <c r="E163" s="24"/>
      <c r="F163" s="24"/>
      <c r="G163" s="16" t="n">
        <f aca="false">IFERROR((F163-E163)/E163,0)</f>
        <v>0</v>
      </c>
      <c r="H163" s="25"/>
      <c r="I163" s="25"/>
      <c r="J163" s="25"/>
      <c r="K163" s="7"/>
      <c r="L163" s="25"/>
      <c r="M163" s="25"/>
      <c r="N163" s="25"/>
      <c r="O163" s="7"/>
      <c r="P163" s="7"/>
      <c r="Q163" s="7"/>
      <c r="R163" s="4" t="str">
        <f aca="false">IF($A163="","",IF(AND(N163&lt;=2,G163&gt;-15%),"是","否"))</f>
        <v/>
      </c>
      <c r="S163" s="26"/>
      <c r="T163" s="4" t="str">
        <f aca="false">IF($A163="","",IF(AND(M163&gt;=3,N163&lt;=2),"是","否"))</f>
        <v/>
      </c>
      <c r="U163" s="7"/>
      <c r="V163" s="7"/>
    </row>
    <row r="164" customFormat="false" ht="15" hidden="false" customHeight="true" outlineLevel="0" collapsed="false">
      <c r="A164" s="5"/>
      <c r="B164" s="14"/>
      <c r="C164" s="14"/>
      <c r="D164" s="16" t="n">
        <f aca="false">IFERROR((C164-B164)/B164,0)</f>
        <v>0</v>
      </c>
      <c r="E164" s="14"/>
      <c r="F164" s="14"/>
      <c r="G164" s="16" t="n">
        <f aca="false">IFERROR((F164-E164)/E164,0)</f>
        <v>0</v>
      </c>
      <c r="H164" s="17"/>
      <c r="I164" s="17"/>
      <c r="J164" s="17"/>
      <c r="K164" s="5"/>
      <c r="L164" s="17"/>
      <c r="M164" s="17"/>
      <c r="N164" s="17"/>
      <c r="O164" s="5"/>
      <c r="P164" s="5"/>
      <c r="Q164" s="5"/>
      <c r="R164" s="4" t="str">
        <f aca="false">IF($A164="","",IF(AND(N164&lt;=2,G164&gt;-15%),"是","否"))</f>
        <v/>
      </c>
      <c r="S164" s="20"/>
      <c r="T164" s="4" t="str">
        <f aca="false">IF($A164="","",IF(AND(M164&gt;=3,N164&lt;=2),"是","否"))</f>
        <v/>
      </c>
      <c r="U164" s="5"/>
      <c r="V164" s="5"/>
    </row>
    <row r="165" customFormat="false" ht="15" hidden="false" customHeight="true" outlineLevel="0" collapsed="false">
      <c r="A165" s="7"/>
      <c r="B165" s="24"/>
      <c r="C165" s="24"/>
      <c r="D165" s="16" t="n">
        <f aca="false">IFERROR((C165-B165)/B165,0)</f>
        <v>0</v>
      </c>
      <c r="E165" s="24"/>
      <c r="F165" s="24"/>
      <c r="G165" s="16" t="n">
        <f aca="false">IFERROR((F165-E165)/E165,0)</f>
        <v>0</v>
      </c>
      <c r="H165" s="25"/>
      <c r="I165" s="25"/>
      <c r="J165" s="25"/>
      <c r="K165" s="7"/>
      <c r="L165" s="25"/>
      <c r="M165" s="25"/>
      <c r="N165" s="25"/>
      <c r="O165" s="7"/>
      <c r="P165" s="7"/>
      <c r="Q165" s="7"/>
      <c r="R165" s="4" t="str">
        <f aca="false">IF($A165="","",IF(AND(N165&lt;=2,G165&gt;-15%),"是","否"))</f>
        <v/>
      </c>
      <c r="S165" s="26"/>
      <c r="T165" s="4" t="str">
        <f aca="false">IF($A165="","",IF(AND(M165&gt;=3,N165&lt;=2),"是","否"))</f>
        <v/>
      </c>
      <c r="U165" s="7"/>
      <c r="V165" s="7"/>
    </row>
    <row r="166" customFormat="false" ht="15" hidden="false" customHeight="true" outlineLevel="0" collapsed="false">
      <c r="A166" s="5"/>
      <c r="B166" s="14"/>
      <c r="C166" s="14"/>
      <c r="D166" s="16" t="n">
        <f aca="false">IFERROR((C166-B166)/B166,0)</f>
        <v>0</v>
      </c>
      <c r="E166" s="14"/>
      <c r="F166" s="14"/>
      <c r="G166" s="16" t="n">
        <f aca="false">IFERROR((F166-E166)/E166,0)</f>
        <v>0</v>
      </c>
      <c r="H166" s="17"/>
      <c r="I166" s="17"/>
      <c r="J166" s="17"/>
      <c r="K166" s="5"/>
      <c r="L166" s="17"/>
      <c r="M166" s="17"/>
      <c r="N166" s="17"/>
      <c r="O166" s="5"/>
      <c r="P166" s="5"/>
      <c r="Q166" s="5"/>
      <c r="R166" s="4" t="str">
        <f aca="false">IF($A166="","",IF(AND(N166&lt;=2,G166&gt;-15%),"是","否"))</f>
        <v/>
      </c>
      <c r="S166" s="20"/>
      <c r="T166" s="4" t="str">
        <f aca="false">IF($A166="","",IF(AND(M166&gt;=3,N166&lt;=2),"是","否"))</f>
        <v/>
      </c>
      <c r="U166" s="5"/>
      <c r="V166" s="5"/>
    </row>
    <row r="167" customFormat="false" ht="15" hidden="false" customHeight="true" outlineLevel="0" collapsed="false">
      <c r="A167" s="7"/>
      <c r="B167" s="24"/>
      <c r="C167" s="24"/>
      <c r="D167" s="16" t="n">
        <f aca="false">IFERROR((C167-B167)/B167,0)</f>
        <v>0</v>
      </c>
      <c r="E167" s="24"/>
      <c r="F167" s="24"/>
      <c r="G167" s="16" t="n">
        <f aca="false">IFERROR((F167-E167)/E167,0)</f>
        <v>0</v>
      </c>
      <c r="H167" s="25"/>
      <c r="I167" s="25"/>
      <c r="J167" s="25"/>
      <c r="K167" s="7"/>
      <c r="L167" s="25"/>
      <c r="M167" s="25"/>
      <c r="N167" s="25"/>
      <c r="O167" s="7"/>
      <c r="P167" s="7"/>
      <c r="Q167" s="7"/>
      <c r="R167" s="4" t="str">
        <f aca="false">IF($A167="","",IF(AND(N167&lt;=2,G167&gt;-15%),"是","否"))</f>
        <v/>
      </c>
      <c r="S167" s="26"/>
      <c r="T167" s="4" t="str">
        <f aca="false">IF($A167="","",IF(AND(M167&gt;=3,N167&lt;=2),"是","否"))</f>
        <v/>
      </c>
      <c r="U167" s="7"/>
      <c r="V167" s="7"/>
    </row>
    <row r="168" customFormat="false" ht="15" hidden="false" customHeight="true" outlineLevel="0" collapsed="false">
      <c r="A168" s="5"/>
      <c r="B168" s="14"/>
      <c r="C168" s="14"/>
      <c r="D168" s="16" t="n">
        <f aca="false">IFERROR((C168-B168)/B168,0)</f>
        <v>0</v>
      </c>
      <c r="E168" s="14"/>
      <c r="F168" s="14"/>
      <c r="G168" s="16" t="n">
        <f aca="false">IFERROR((F168-E168)/E168,0)</f>
        <v>0</v>
      </c>
      <c r="H168" s="17"/>
      <c r="I168" s="17"/>
      <c r="J168" s="17"/>
      <c r="K168" s="5"/>
      <c r="L168" s="17"/>
      <c r="M168" s="17"/>
      <c r="N168" s="17"/>
      <c r="O168" s="5"/>
      <c r="P168" s="5"/>
      <c r="Q168" s="5"/>
      <c r="R168" s="4" t="str">
        <f aca="false">IF($A168="","",IF(AND(N168&lt;=2,G168&gt;-15%),"是","否"))</f>
        <v/>
      </c>
      <c r="S168" s="20"/>
      <c r="T168" s="4" t="str">
        <f aca="false">IF($A168="","",IF(AND(M168&gt;=3,N168&lt;=2),"是","否"))</f>
        <v/>
      </c>
      <c r="U168" s="5"/>
      <c r="V168" s="5"/>
    </row>
    <row r="169" customFormat="false" ht="15" hidden="false" customHeight="true" outlineLevel="0" collapsed="false">
      <c r="A169" s="7"/>
      <c r="B169" s="24"/>
      <c r="C169" s="24"/>
      <c r="D169" s="16" t="n">
        <f aca="false">IFERROR((C169-B169)/B169,0)</f>
        <v>0</v>
      </c>
      <c r="E169" s="24"/>
      <c r="F169" s="24"/>
      <c r="G169" s="16" t="n">
        <f aca="false">IFERROR((F169-E169)/E169,0)</f>
        <v>0</v>
      </c>
      <c r="H169" s="25"/>
      <c r="I169" s="25"/>
      <c r="J169" s="25"/>
      <c r="K169" s="7"/>
      <c r="L169" s="25"/>
      <c r="M169" s="25"/>
      <c r="N169" s="25"/>
      <c r="O169" s="7"/>
      <c r="P169" s="7"/>
      <c r="Q169" s="7"/>
      <c r="R169" s="4" t="str">
        <f aca="false">IF($A169="","",IF(AND(N169&lt;=2,G169&gt;-15%),"是","否"))</f>
        <v/>
      </c>
      <c r="S169" s="26"/>
      <c r="T169" s="4" t="str">
        <f aca="false">IF($A169="","",IF(AND(M169&gt;=3,N169&lt;=2),"是","否"))</f>
        <v/>
      </c>
      <c r="U169" s="7"/>
      <c r="V169" s="7"/>
    </row>
    <row r="170" customFormat="false" ht="15" hidden="false" customHeight="true" outlineLevel="0" collapsed="false">
      <c r="A170" s="5"/>
      <c r="B170" s="14"/>
      <c r="C170" s="14"/>
      <c r="D170" s="16" t="n">
        <f aca="false">IFERROR((C170-B170)/B170,0)</f>
        <v>0</v>
      </c>
      <c r="E170" s="14"/>
      <c r="F170" s="14"/>
      <c r="G170" s="16" t="n">
        <f aca="false">IFERROR((F170-E170)/E170,0)</f>
        <v>0</v>
      </c>
      <c r="H170" s="17"/>
      <c r="I170" s="17"/>
      <c r="J170" s="17"/>
      <c r="K170" s="5"/>
      <c r="L170" s="17"/>
      <c r="M170" s="17"/>
      <c r="N170" s="17"/>
      <c r="O170" s="5"/>
      <c r="P170" s="5"/>
      <c r="Q170" s="5"/>
      <c r="R170" s="4" t="str">
        <f aca="false">IF($A170="","",IF(AND(N170&lt;=2,G170&gt;-15%),"是","否"))</f>
        <v/>
      </c>
      <c r="S170" s="20"/>
      <c r="T170" s="4" t="str">
        <f aca="false">IF($A170="","",IF(AND(M170&gt;=3,N170&lt;=2),"是","否"))</f>
        <v/>
      </c>
      <c r="U170" s="5"/>
      <c r="V170" s="5"/>
    </row>
    <row r="171" customFormat="false" ht="15" hidden="false" customHeight="true" outlineLevel="0" collapsed="false">
      <c r="A171" s="7"/>
      <c r="B171" s="24"/>
      <c r="C171" s="24"/>
      <c r="D171" s="16" t="n">
        <f aca="false">IFERROR((C171-B171)/B171,0)</f>
        <v>0</v>
      </c>
      <c r="E171" s="24"/>
      <c r="F171" s="24"/>
      <c r="G171" s="16" t="n">
        <f aca="false">IFERROR((F171-E171)/E171,0)</f>
        <v>0</v>
      </c>
      <c r="H171" s="25"/>
      <c r="I171" s="25"/>
      <c r="J171" s="25"/>
      <c r="K171" s="7"/>
      <c r="L171" s="25"/>
      <c r="M171" s="25"/>
      <c r="N171" s="25"/>
      <c r="O171" s="7"/>
      <c r="P171" s="7"/>
      <c r="Q171" s="7"/>
      <c r="R171" s="4" t="str">
        <f aca="false">IF($A171="","",IF(AND(N171&lt;=2,G171&gt;-15%),"是","否"))</f>
        <v/>
      </c>
      <c r="S171" s="26"/>
      <c r="T171" s="4" t="str">
        <f aca="false">IF($A171="","",IF(AND(M171&gt;=3,N171&lt;=2),"是","否"))</f>
        <v/>
      </c>
      <c r="U171" s="7"/>
      <c r="V171" s="7"/>
    </row>
    <row r="172" customFormat="false" ht="15" hidden="false" customHeight="true" outlineLevel="0" collapsed="false">
      <c r="A172" s="5"/>
      <c r="B172" s="14"/>
      <c r="C172" s="14"/>
      <c r="D172" s="16" t="n">
        <f aca="false">IFERROR((C172-B172)/B172,0)</f>
        <v>0</v>
      </c>
      <c r="E172" s="14"/>
      <c r="F172" s="14"/>
      <c r="G172" s="16" t="n">
        <f aca="false">IFERROR((F172-E172)/E172,0)</f>
        <v>0</v>
      </c>
      <c r="H172" s="17"/>
      <c r="I172" s="17"/>
      <c r="J172" s="17"/>
      <c r="K172" s="5"/>
      <c r="L172" s="17"/>
      <c r="M172" s="17"/>
      <c r="N172" s="17"/>
      <c r="O172" s="5"/>
      <c r="P172" s="5"/>
      <c r="Q172" s="5"/>
      <c r="R172" s="4" t="str">
        <f aca="false">IF($A172="","",IF(AND(N172&lt;=2,G172&gt;-15%),"是","否"))</f>
        <v/>
      </c>
      <c r="S172" s="20"/>
      <c r="T172" s="4" t="str">
        <f aca="false">IF($A172="","",IF(AND(M172&gt;=3,N172&lt;=2),"是","否"))</f>
        <v/>
      </c>
      <c r="U172" s="5"/>
      <c r="V172" s="5"/>
    </row>
    <row r="173" customFormat="false" ht="15" hidden="false" customHeight="true" outlineLevel="0" collapsed="false">
      <c r="A173" s="7"/>
      <c r="B173" s="24"/>
      <c r="C173" s="24"/>
      <c r="D173" s="16" t="n">
        <f aca="false">IFERROR((C173-B173)/B173,0)</f>
        <v>0</v>
      </c>
      <c r="E173" s="24"/>
      <c r="F173" s="24"/>
      <c r="G173" s="16" t="n">
        <f aca="false">IFERROR((F173-E173)/E173,0)</f>
        <v>0</v>
      </c>
      <c r="H173" s="25"/>
      <c r="I173" s="25"/>
      <c r="J173" s="25"/>
      <c r="K173" s="7"/>
      <c r="L173" s="25"/>
      <c r="M173" s="25"/>
      <c r="N173" s="25"/>
      <c r="O173" s="7"/>
      <c r="P173" s="7"/>
      <c r="Q173" s="7"/>
      <c r="R173" s="4" t="str">
        <f aca="false">IF($A173="","",IF(AND(N173&lt;=2,G173&gt;-15%),"是","否"))</f>
        <v/>
      </c>
      <c r="S173" s="26"/>
      <c r="T173" s="4" t="str">
        <f aca="false">IF($A173="","",IF(AND(M173&gt;=3,N173&lt;=2),"是","否"))</f>
        <v/>
      </c>
      <c r="U173" s="7"/>
      <c r="V173" s="7"/>
    </row>
    <row r="174" customFormat="false" ht="15" hidden="false" customHeight="true" outlineLevel="0" collapsed="false">
      <c r="A174" s="5"/>
      <c r="B174" s="14"/>
      <c r="C174" s="14"/>
      <c r="D174" s="16" t="n">
        <f aca="false">IFERROR((C174-B174)/B174,0)</f>
        <v>0</v>
      </c>
      <c r="E174" s="14"/>
      <c r="F174" s="14"/>
      <c r="G174" s="16" t="n">
        <f aca="false">IFERROR((F174-E174)/E174,0)</f>
        <v>0</v>
      </c>
      <c r="H174" s="17"/>
      <c r="I174" s="17"/>
      <c r="J174" s="17"/>
      <c r="K174" s="5"/>
      <c r="L174" s="17"/>
      <c r="M174" s="17"/>
      <c r="N174" s="17"/>
      <c r="O174" s="5"/>
      <c r="P174" s="5"/>
      <c r="Q174" s="5"/>
      <c r="R174" s="4" t="str">
        <f aca="false">IF($A174="","",IF(AND(N174&lt;=2,G174&gt;-15%),"是","否"))</f>
        <v/>
      </c>
      <c r="S174" s="20"/>
      <c r="T174" s="4" t="str">
        <f aca="false">IF($A174="","",IF(AND(M174&gt;=3,N174&lt;=2),"是","否"))</f>
        <v/>
      </c>
      <c r="U174" s="5"/>
      <c r="V174" s="5"/>
    </row>
    <row r="175" customFormat="false" ht="15" hidden="false" customHeight="true" outlineLevel="0" collapsed="false">
      <c r="A175" s="7"/>
      <c r="B175" s="24"/>
      <c r="C175" s="24"/>
      <c r="D175" s="16" t="n">
        <f aca="false">IFERROR((C175-B175)/B175,0)</f>
        <v>0</v>
      </c>
      <c r="E175" s="24"/>
      <c r="F175" s="24"/>
      <c r="G175" s="16" t="n">
        <f aca="false">IFERROR((F175-E175)/E175,0)</f>
        <v>0</v>
      </c>
      <c r="H175" s="25"/>
      <c r="I175" s="25"/>
      <c r="J175" s="25"/>
      <c r="K175" s="7"/>
      <c r="L175" s="25"/>
      <c r="M175" s="25"/>
      <c r="N175" s="25"/>
      <c r="O175" s="7"/>
      <c r="P175" s="7"/>
      <c r="Q175" s="7"/>
      <c r="R175" s="4" t="str">
        <f aca="false">IF($A175="","",IF(AND(N175&lt;=2,G175&gt;-15%),"是","否"))</f>
        <v/>
      </c>
      <c r="S175" s="26"/>
      <c r="T175" s="4" t="str">
        <f aca="false">IF($A175="","",IF(AND(M175&gt;=3,N175&lt;=2),"是","否"))</f>
        <v/>
      </c>
      <c r="U175" s="7"/>
      <c r="V175" s="7"/>
    </row>
    <row r="176" customFormat="false" ht="15" hidden="false" customHeight="true" outlineLevel="0" collapsed="false">
      <c r="A176" s="5"/>
      <c r="B176" s="14"/>
      <c r="C176" s="14"/>
      <c r="D176" s="16" t="n">
        <f aca="false">IFERROR((C176-B176)/B176,0)</f>
        <v>0</v>
      </c>
      <c r="E176" s="14"/>
      <c r="F176" s="14"/>
      <c r="G176" s="16" t="n">
        <f aca="false">IFERROR((F176-E176)/E176,0)</f>
        <v>0</v>
      </c>
      <c r="H176" s="17"/>
      <c r="I176" s="17"/>
      <c r="J176" s="17"/>
      <c r="K176" s="5"/>
      <c r="L176" s="17"/>
      <c r="M176" s="17"/>
      <c r="N176" s="17"/>
      <c r="O176" s="5"/>
      <c r="P176" s="5"/>
      <c r="Q176" s="5"/>
      <c r="R176" s="4" t="str">
        <f aca="false">IF($A176="","",IF(AND(N176&lt;=2,G176&gt;-15%),"是","否"))</f>
        <v/>
      </c>
      <c r="S176" s="20"/>
      <c r="T176" s="4" t="str">
        <f aca="false">IF($A176="","",IF(AND(M176&gt;=3,N176&lt;=2),"是","否"))</f>
        <v/>
      </c>
      <c r="U176" s="5"/>
      <c r="V176" s="5"/>
    </row>
    <row r="177" customFormat="false" ht="15" hidden="false" customHeight="true" outlineLevel="0" collapsed="false">
      <c r="A177" s="7"/>
      <c r="B177" s="24"/>
      <c r="C177" s="24"/>
      <c r="D177" s="16" t="n">
        <f aca="false">IFERROR((C177-B177)/B177,0)</f>
        <v>0</v>
      </c>
      <c r="E177" s="24"/>
      <c r="F177" s="24"/>
      <c r="G177" s="16" t="n">
        <f aca="false">IFERROR((F177-E177)/E177,0)</f>
        <v>0</v>
      </c>
      <c r="H177" s="25"/>
      <c r="I177" s="25"/>
      <c r="J177" s="25"/>
      <c r="K177" s="7"/>
      <c r="L177" s="25"/>
      <c r="M177" s="25"/>
      <c r="N177" s="25"/>
      <c r="O177" s="7"/>
      <c r="P177" s="7"/>
      <c r="Q177" s="7"/>
      <c r="R177" s="4" t="str">
        <f aca="false">IF($A177="","",IF(AND(N177&lt;=2,G177&gt;-15%),"是","否"))</f>
        <v/>
      </c>
      <c r="S177" s="26"/>
      <c r="T177" s="4" t="str">
        <f aca="false">IF($A177="","",IF(AND(M177&gt;=3,N177&lt;=2),"是","否"))</f>
        <v/>
      </c>
      <c r="U177" s="7"/>
      <c r="V177" s="7"/>
    </row>
    <row r="178" customFormat="false" ht="15" hidden="false" customHeight="true" outlineLevel="0" collapsed="false">
      <c r="A178" s="5"/>
      <c r="B178" s="14"/>
      <c r="C178" s="14"/>
      <c r="D178" s="16" t="n">
        <f aca="false">IFERROR((C178-B178)/B178,0)</f>
        <v>0</v>
      </c>
      <c r="E178" s="14"/>
      <c r="F178" s="14"/>
      <c r="G178" s="16" t="n">
        <f aca="false">IFERROR((F178-E178)/E178,0)</f>
        <v>0</v>
      </c>
      <c r="H178" s="17"/>
      <c r="I178" s="17"/>
      <c r="J178" s="17"/>
      <c r="K178" s="5"/>
      <c r="L178" s="17"/>
      <c r="M178" s="17"/>
      <c r="N178" s="17"/>
      <c r="O178" s="5"/>
      <c r="P178" s="5"/>
      <c r="Q178" s="5"/>
      <c r="R178" s="4" t="str">
        <f aca="false">IF($A178="","",IF(AND(N178&lt;=2,G178&gt;-15%),"是","否"))</f>
        <v/>
      </c>
      <c r="S178" s="20"/>
      <c r="T178" s="4" t="str">
        <f aca="false">IF($A178="","",IF(AND(M178&gt;=3,N178&lt;=2),"是","否"))</f>
        <v/>
      </c>
      <c r="U178" s="5"/>
      <c r="V178" s="5"/>
    </row>
    <row r="179" customFormat="false" ht="15" hidden="false" customHeight="true" outlineLevel="0" collapsed="false">
      <c r="A179" s="7"/>
      <c r="B179" s="24"/>
      <c r="C179" s="24"/>
      <c r="D179" s="16" t="n">
        <f aca="false">IFERROR((C179-B179)/B179,0)</f>
        <v>0</v>
      </c>
      <c r="E179" s="24"/>
      <c r="F179" s="24"/>
      <c r="G179" s="16" t="n">
        <f aca="false">IFERROR((F179-E179)/E179,0)</f>
        <v>0</v>
      </c>
      <c r="H179" s="25"/>
      <c r="I179" s="25"/>
      <c r="J179" s="25"/>
      <c r="K179" s="7"/>
      <c r="L179" s="25"/>
      <c r="M179" s="25"/>
      <c r="N179" s="25"/>
      <c r="O179" s="7"/>
      <c r="P179" s="7"/>
      <c r="Q179" s="7"/>
      <c r="R179" s="4" t="str">
        <f aca="false">IF($A179="","",IF(AND(N179&lt;=2,G179&gt;-15%),"是","否"))</f>
        <v/>
      </c>
      <c r="S179" s="26"/>
      <c r="T179" s="4" t="str">
        <f aca="false">IF($A179="","",IF(AND(M179&gt;=3,N179&lt;=2),"是","否"))</f>
        <v/>
      </c>
      <c r="U179" s="7"/>
      <c r="V179" s="7"/>
    </row>
    <row r="180" customFormat="false" ht="15" hidden="false" customHeight="true" outlineLevel="0" collapsed="false">
      <c r="A180" s="5"/>
      <c r="B180" s="14"/>
      <c r="C180" s="14"/>
      <c r="D180" s="16" t="n">
        <f aca="false">IFERROR((C180-B180)/B180,0)</f>
        <v>0</v>
      </c>
      <c r="E180" s="14"/>
      <c r="F180" s="14"/>
      <c r="G180" s="16" t="n">
        <f aca="false">IFERROR((F180-E180)/E180,0)</f>
        <v>0</v>
      </c>
      <c r="H180" s="17"/>
      <c r="I180" s="17"/>
      <c r="J180" s="17"/>
      <c r="K180" s="5"/>
      <c r="L180" s="17"/>
      <c r="M180" s="17"/>
      <c r="N180" s="17"/>
      <c r="O180" s="5"/>
      <c r="P180" s="5"/>
      <c r="Q180" s="5"/>
      <c r="R180" s="4" t="str">
        <f aca="false">IF($A180="","",IF(AND(N180&lt;=2,G180&gt;-15%),"是","否"))</f>
        <v/>
      </c>
      <c r="S180" s="20"/>
      <c r="T180" s="4" t="str">
        <f aca="false">IF($A180="","",IF(AND(M180&gt;=3,N180&lt;=2),"是","否"))</f>
        <v/>
      </c>
      <c r="U180" s="5"/>
      <c r="V180" s="5"/>
    </row>
    <row r="181" customFormat="false" ht="15" hidden="false" customHeight="true" outlineLevel="0" collapsed="false">
      <c r="A181" s="7"/>
      <c r="B181" s="24"/>
      <c r="C181" s="24"/>
      <c r="D181" s="16" t="n">
        <f aca="false">IFERROR((C181-B181)/B181,0)</f>
        <v>0</v>
      </c>
      <c r="E181" s="24"/>
      <c r="F181" s="24"/>
      <c r="G181" s="16" t="n">
        <f aca="false">IFERROR((F181-E181)/E181,0)</f>
        <v>0</v>
      </c>
      <c r="H181" s="25"/>
      <c r="I181" s="25"/>
      <c r="J181" s="25"/>
      <c r="K181" s="7"/>
      <c r="L181" s="25"/>
      <c r="M181" s="25"/>
      <c r="N181" s="25"/>
      <c r="O181" s="7"/>
      <c r="P181" s="7"/>
      <c r="Q181" s="7"/>
      <c r="R181" s="4" t="str">
        <f aca="false">IF($A181="","",IF(AND(N181&lt;=2,G181&gt;-15%),"是","否"))</f>
        <v/>
      </c>
      <c r="S181" s="26"/>
      <c r="T181" s="4" t="str">
        <f aca="false">IF($A181="","",IF(AND(M181&gt;=3,N181&lt;=2),"是","否"))</f>
        <v/>
      </c>
      <c r="U181" s="7"/>
      <c r="V181" s="7"/>
    </row>
    <row r="182" customFormat="false" ht="15" hidden="false" customHeight="true" outlineLevel="0" collapsed="false">
      <c r="A182" s="5"/>
      <c r="B182" s="14"/>
      <c r="C182" s="14"/>
      <c r="D182" s="16" t="n">
        <f aca="false">IFERROR((C182-B182)/B182,0)</f>
        <v>0</v>
      </c>
      <c r="E182" s="14"/>
      <c r="F182" s="14"/>
      <c r="G182" s="16" t="n">
        <f aca="false">IFERROR((F182-E182)/E182,0)</f>
        <v>0</v>
      </c>
      <c r="H182" s="17"/>
      <c r="I182" s="17"/>
      <c r="J182" s="17"/>
      <c r="K182" s="5"/>
      <c r="L182" s="17"/>
      <c r="M182" s="17"/>
      <c r="N182" s="17"/>
      <c r="O182" s="5"/>
      <c r="P182" s="5"/>
      <c r="Q182" s="5"/>
      <c r="R182" s="4" t="str">
        <f aca="false">IF($A182="","",IF(AND(N182&lt;=2,G182&gt;-15%),"是","否"))</f>
        <v/>
      </c>
      <c r="S182" s="20"/>
      <c r="T182" s="4" t="str">
        <f aca="false">IF($A182="","",IF(AND(M182&gt;=3,N182&lt;=2),"是","否"))</f>
        <v/>
      </c>
      <c r="U182" s="5"/>
      <c r="V182" s="5"/>
    </row>
    <row r="183" customFormat="false" ht="15" hidden="false" customHeight="true" outlineLevel="0" collapsed="false">
      <c r="A183" s="7"/>
      <c r="B183" s="24"/>
      <c r="C183" s="24"/>
      <c r="D183" s="16" t="n">
        <f aca="false">IFERROR((C183-B183)/B183,0)</f>
        <v>0</v>
      </c>
      <c r="E183" s="24"/>
      <c r="F183" s="24"/>
      <c r="G183" s="16" t="n">
        <f aca="false">IFERROR((F183-E183)/E183,0)</f>
        <v>0</v>
      </c>
      <c r="H183" s="25"/>
      <c r="I183" s="25"/>
      <c r="J183" s="25"/>
      <c r="K183" s="7"/>
      <c r="L183" s="25"/>
      <c r="M183" s="25"/>
      <c r="N183" s="25"/>
      <c r="O183" s="7"/>
      <c r="P183" s="7"/>
      <c r="Q183" s="7"/>
      <c r="R183" s="4" t="str">
        <f aca="false">IF($A183="","",IF(AND(N183&lt;=2,G183&gt;-15%),"是","否"))</f>
        <v/>
      </c>
      <c r="S183" s="26"/>
      <c r="T183" s="4" t="str">
        <f aca="false">IF($A183="","",IF(AND(M183&gt;=3,N183&lt;=2),"是","否"))</f>
        <v/>
      </c>
      <c r="U183" s="7"/>
      <c r="V183" s="7"/>
    </row>
    <row r="184" customFormat="false" ht="15" hidden="false" customHeight="true" outlineLevel="0" collapsed="false">
      <c r="A184" s="5"/>
      <c r="B184" s="14"/>
      <c r="C184" s="14"/>
      <c r="D184" s="16" t="n">
        <f aca="false">IFERROR((C184-B184)/B184,0)</f>
        <v>0</v>
      </c>
      <c r="E184" s="14"/>
      <c r="F184" s="14"/>
      <c r="G184" s="16" t="n">
        <f aca="false">IFERROR((F184-E184)/E184,0)</f>
        <v>0</v>
      </c>
      <c r="H184" s="17"/>
      <c r="I184" s="17"/>
      <c r="J184" s="17"/>
      <c r="K184" s="5"/>
      <c r="L184" s="17"/>
      <c r="M184" s="17"/>
      <c r="N184" s="17"/>
      <c r="O184" s="5"/>
      <c r="P184" s="5"/>
      <c r="Q184" s="5"/>
      <c r="R184" s="4" t="str">
        <f aca="false">IF($A184="","",IF(AND(N184&lt;=2,G184&gt;-15%),"是","否"))</f>
        <v/>
      </c>
      <c r="S184" s="20"/>
      <c r="T184" s="4" t="str">
        <f aca="false">IF($A184="","",IF(AND(M184&gt;=3,N184&lt;=2),"是","否"))</f>
        <v/>
      </c>
      <c r="U184" s="5"/>
      <c r="V184" s="5"/>
    </row>
    <row r="185" customFormat="false" ht="15" hidden="false" customHeight="true" outlineLevel="0" collapsed="false">
      <c r="A185" s="7"/>
      <c r="B185" s="24"/>
      <c r="C185" s="24"/>
      <c r="D185" s="16" t="n">
        <f aca="false">IFERROR((C185-B185)/B185,0)</f>
        <v>0</v>
      </c>
      <c r="E185" s="24"/>
      <c r="F185" s="24"/>
      <c r="G185" s="16" t="n">
        <f aca="false">IFERROR((F185-E185)/E185,0)</f>
        <v>0</v>
      </c>
      <c r="H185" s="25"/>
      <c r="I185" s="25"/>
      <c r="J185" s="25"/>
      <c r="K185" s="7"/>
      <c r="L185" s="25"/>
      <c r="M185" s="25"/>
      <c r="N185" s="25"/>
      <c r="O185" s="7"/>
      <c r="P185" s="7"/>
      <c r="Q185" s="7"/>
      <c r="R185" s="4" t="str">
        <f aca="false">IF($A185="","",IF(AND(N185&lt;=2,G185&gt;-15%),"是","否"))</f>
        <v/>
      </c>
      <c r="S185" s="26"/>
      <c r="T185" s="4" t="str">
        <f aca="false">IF($A185="","",IF(AND(M185&gt;=3,N185&lt;=2),"是","否"))</f>
        <v/>
      </c>
      <c r="U185" s="7"/>
      <c r="V185" s="7"/>
    </row>
    <row r="186" customFormat="false" ht="15" hidden="false" customHeight="true" outlineLevel="0" collapsed="false">
      <c r="A186" s="5"/>
      <c r="B186" s="14"/>
      <c r="C186" s="14"/>
      <c r="D186" s="16" t="n">
        <f aca="false">IFERROR((C186-B186)/B186,0)</f>
        <v>0</v>
      </c>
      <c r="E186" s="14"/>
      <c r="F186" s="14"/>
      <c r="G186" s="16" t="n">
        <f aca="false">IFERROR((F186-E186)/E186,0)</f>
        <v>0</v>
      </c>
      <c r="H186" s="17"/>
      <c r="I186" s="17"/>
      <c r="J186" s="17"/>
      <c r="K186" s="5"/>
      <c r="L186" s="17"/>
      <c r="M186" s="17"/>
      <c r="N186" s="17"/>
      <c r="O186" s="5"/>
      <c r="P186" s="5"/>
      <c r="Q186" s="5"/>
      <c r="R186" s="4" t="str">
        <f aca="false">IF($A186="","",IF(AND(N186&lt;=2,G186&gt;-15%),"是","否"))</f>
        <v/>
      </c>
      <c r="S186" s="20"/>
      <c r="T186" s="4" t="str">
        <f aca="false">IF($A186="","",IF(AND(M186&gt;=3,N186&lt;=2),"是","否"))</f>
        <v/>
      </c>
      <c r="U186" s="5"/>
      <c r="V186" s="5"/>
    </row>
    <row r="187" customFormat="false" ht="15" hidden="false" customHeight="true" outlineLevel="0" collapsed="false">
      <c r="A187" s="7"/>
      <c r="B187" s="24"/>
      <c r="C187" s="24"/>
      <c r="D187" s="16" t="n">
        <f aca="false">IFERROR((C187-B187)/B187,0)</f>
        <v>0</v>
      </c>
      <c r="E187" s="24"/>
      <c r="F187" s="24"/>
      <c r="G187" s="16" t="n">
        <f aca="false">IFERROR((F187-E187)/E187,0)</f>
        <v>0</v>
      </c>
      <c r="H187" s="25"/>
      <c r="I187" s="25"/>
      <c r="J187" s="25"/>
      <c r="K187" s="7"/>
      <c r="L187" s="25"/>
      <c r="M187" s="25"/>
      <c r="N187" s="25"/>
      <c r="O187" s="7"/>
      <c r="P187" s="7"/>
      <c r="Q187" s="7"/>
      <c r="R187" s="4" t="str">
        <f aca="false">IF($A187="","",IF(AND(N187&lt;=2,G187&gt;-15%),"是","否"))</f>
        <v/>
      </c>
      <c r="S187" s="26"/>
      <c r="T187" s="4" t="str">
        <f aca="false">IF($A187="","",IF(AND(M187&gt;=3,N187&lt;=2),"是","否"))</f>
        <v/>
      </c>
      <c r="U187" s="7"/>
      <c r="V187" s="7"/>
    </row>
    <row r="188" customFormat="false" ht="15" hidden="false" customHeight="true" outlineLevel="0" collapsed="false">
      <c r="A188" s="5"/>
      <c r="B188" s="14"/>
      <c r="C188" s="14"/>
      <c r="D188" s="16" t="n">
        <f aca="false">IFERROR((C188-B188)/B188,0)</f>
        <v>0</v>
      </c>
      <c r="E188" s="14"/>
      <c r="F188" s="14"/>
      <c r="G188" s="16" t="n">
        <f aca="false">IFERROR((F188-E188)/E188,0)</f>
        <v>0</v>
      </c>
      <c r="H188" s="17"/>
      <c r="I188" s="17"/>
      <c r="J188" s="17"/>
      <c r="K188" s="5"/>
      <c r="L188" s="17"/>
      <c r="M188" s="17"/>
      <c r="N188" s="17"/>
      <c r="O188" s="5"/>
      <c r="P188" s="5"/>
      <c r="Q188" s="5"/>
      <c r="R188" s="4" t="str">
        <f aca="false">IF($A188="","",IF(AND(N188&lt;=2,G188&gt;-15%),"是","否"))</f>
        <v/>
      </c>
      <c r="S188" s="20"/>
      <c r="T188" s="4" t="str">
        <f aca="false">IF($A188="","",IF(AND(M188&gt;=3,N188&lt;=2),"是","否"))</f>
        <v/>
      </c>
      <c r="U188" s="5"/>
      <c r="V188" s="5"/>
    </row>
    <row r="189" customFormat="false" ht="15" hidden="false" customHeight="true" outlineLevel="0" collapsed="false">
      <c r="A189" s="7"/>
      <c r="B189" s="24"/>
      <c r="C189" s="24"/>
      <c r="D189" s="16" t="n">
        <f aca="false">IFERROR((C189-B189)/B189,0)</f>
        <v>0</v>
      </c>
      <c r="E189" s="24"/>
      <c r="F189" s="24"/>
      <c r="G189" s="16" t="n">
        <f aca="false">IFERROR((F189-E189)/E189,0)</f>
        <v>0</v>
      </c>
      <c r="H189" s="25"/>
      <c r="I189" s="25"/>
      <c r="J189" s="25"/>
      <c r="K189" s="7"/>
      <c r="L189" s="25"/>
      <c r="M189" s="25"/>
      <c r="N189" s="25"/>
      <c r="O189" s="7"/>
      <c r="P189" s="7"/>
      <c r="Q189" s="7"/>
      <c r="R189" s="4" t="str">
        <f aca="false">IF($A189="","",IF(AND(N189&lt;=2,G189&gt;-15%),"是","否"))</f>
        <v/>
      </c>
      <c r="S189" s="26"/>
      <c r="T189" s="4" t="str">
        <f aca="false">IF($A189="","",IF(AND(M189&gt;=3,N189&lt;=2),"是","否"))</f>
        <v/>
      </c>
      <c r="U189" s="7"/>
      <c r="V189" s="7"/>
    </row>
    <row r="190" customFormat="false" ht="15" hidden="false" customHeight="true" outlineLevel="0" collapsed="false">
      <c r="A190" s="5"/>
      <c r="B190" s="14"/>
      <c r="C190" s="14"/>
      <c r="D190" s="16" t="n">
        <f aca="false">IFERROR((C190-B190)/B190,0)</f>
        <v>0</v>
      </c>
      <c r="E190" s="14"/>
      <c r="F190" s="14"/>
      <c r="G190" s="16" t="n">
        <f aca="false">IFERROR((F190-E190)/E190,0)</f>
        <v>0</v>
      </c>
      <c r="H190" s="17"/>
      <c r="I190" s="17"/>
      <c r="J190" s="17"/>
      <c r="K190" s="5"/>
      <c r="L190" s="17"/>
      <c r="M190" s="17"/>
      <c r="N190" s="17"/>
      <c r="O190" s="5"/>
      <c r="P190" s="5"/>
      <c r="Q190" s="5"/>
      <c r="R190" s="4" t="str">
        <f aca="false">IF($A190="","",IF(AND(N190&lt;=2,G190&gt;-15%),"是","否"))</f>
        <v/>
      </c>
      <c r="S190" s="20"/>
      <c r="T190" s="4" t="str">
        <f aca="false">IF($A190="","",IF(AND(M190&gt;=3,N190&lt;=2),"是","否"))</f>
        <v/>
      </c>
      <c r="U190" s="5"/>
      <c r="V190" s="5"/>
    </row>
    <row r="191" customFormat="false" ht="15" hidden="false" customHeight="true" outlineLevel="0" collapsed="false">
      <c r="A191" s="7"/>
      <c r="B191" s="24"/>
      <c r="C191" s="24"/>
      <c r="D191" s="16" t="n">
        <f aca="false">IFERROR((C191-B191)/B191,0)</f>
        <v>0</v>
      </c>
      <c r="E191" s="24"/>
      <c r="F191" s="24"/>
      <c r="G191" s="16" t="n">
        <f aca="false">IFERROR((F191-E191)/E191,0)</f>
        <v>0</v>
      </c>
      <c r="H191" s="25"/>
      <c r="I191" s="25"/>
      <c r="J191" s="25"/>
      <c r="K191" s="7"/>
      <c r="L191" s="25"/>
      <c r="M191" s="25"/>
      <c r="N191" s="25"/>
      <c r="O191" s="7"/>
      <c r="P191" s="7"/>
      <c r="Q191" s="7"/>
      <c r="R191" s="4" t="str">
        <f aca="false">IF($A191="","",IF(AND(N191&lt;=2,G191&gt;-15%),"是","否"))</f>
        <v/>
      </c>
      <c r="S191" s="26"/>
      <c r="T191" s="4" t="str">
        <f aca="false">IF($A191="","",IF(AND(M191&gt;=3,N191&lt;=2),"是","否"))</f>
        <v/>
      </c>
      <c r="U191" s="7"/>
      <c r="V191" s="7"/>
    </row>
    <row r="192" customFormat="false" ht="15" hidden="false" customHeight="true" outlineLevel="0" collapsed="false">
      <c r="A192" s="5"/>
      <c r="B192" s="14"/>
      <c r="C192" s="14"/>
      <c r="D192" s="16" t="n">
        <f aca="false">IFERROR((C192-B192)/B192,0)</f>
        <v>0</v>
      </c>
      <c r="E192" s="14"/>
      <c r="F192" s="14"/>
      <c r="G192" s="16" t="n">
        <f aca="false">IFERROR((F192-E192)/E192,0)</f>
        <v>0</v>
      </c>
      <c r="H192" s="17"/>
      <c r="I192" s="17"/>
      <c r="J192" s="17"/>
      <c r="K192" s="5"/>
      <c r="L192" s="17"/>
      <c r="M192" s="17"/>
      <c r="N192" s="17"/>
      <c r="O192" s="5"/>
      <c r="P192" s="5"/>
      <c r="Q192" s="5"/>
      <c r="R192" s="4" t="str">
        <f aca="false">IF($A192="","",IF(AND(N192&lt;=2,G192&gt;-15%),"是","否"))</f>
        <v/>
      </c>
      <c r="S192" s="20"/>
      <c r="T192" s="4" t="str">
        <f aca="false">IF($A192="","",IF(AND(M192&gt;=3,N192&lt;=2),"是","否"))</f>
        <v/>
      </c>
      <c r="U192" s="5"/>
      <c r="V192" s="5"/>
    </row>
    <row r="193" customFormat="false" ht="15" hidden="false" customHeight="true" outlineLevel="0" collapsed="false">
      <c r="A193" s="7"/>
      <c r="B193" s="24"/>
      <c r="C193" s="24"/>
      <c r="D193" s="16" t="n">
        <f aca="false">IFERROR((C193-B193)/B193,0)</f>
        <v>0</v>
      </c>
      <c r="E193" s="24"/>
      <c r="F193" s="24"/>
      <c r="G193" s="16" t="n">
        <f aca="false">IFERROR((F193-E193)/E193,0)</f>
        <v>0</v>
      </c>
      <c r="H193" s="25"/>
      <c r="I193" s="25"/>
      <c r="J193" s="25"/>
      <c r="K193" s="7"/>
      <c r="L193" s="25"/>
      <c r="M193" s="25"/>
      <c r="N193" s="25"/>
      <c r="O193" s="7"/>
      <c r="P193" s="7"/>
      <c r="Q193" s="7"/>
      <c r="R193" s="4" t="str">
        <f aca="false">IF($A193="","",IF(AND(N193&lt;=2,G193&gt;-15%),"是","否"))</f>
        <v/>
      </c>
      <c r="S193" s="26"/>
      <c r="T193" s="4" t="str">
        <f aca="false">IF($A193="","",IF(AND(M193&gt;=3,N193&lt;=2),"是","否"))</f>
        <v/>
      </c>
      <c r="U193" s="7"/>
      <c r="V193" s="7"/>
    </row>
    <row r="194" customFormat="false" ht="15" hidden="false" customHeight="true" outlineLevel="0" collapsed="false">
      <c r="A194" s="5"/>
      <c r="B194" s="14"/>
      <c r="C194" s="14"/>
      <c r="D194" s="16" t="n">
        <f aca="false">IFERROR((C194-B194)/B194,0)</f>
        <v>0</v>
      </c>
      <c r="E194" s="14"/>
      <c r="F194" s="14"/>
      <c r="G194" s="16" t="n">
        <f aca="false">IFERROR((F194-E194)/E194,0)</f>
        <v>0</v>
      </c>
      <c r="H194" s="17"/>
      <c r="I194" s="17"/>
      <c r="J194" s="17"/>
      <c r="K194" s="5"/>
      <c r="L194" s="17"/>
      <c r="M194" s="17"/>
      <c r="N194" s="17"/>
      <c r="O194" s="5"/>
      <c r="P194" s="5"/>
      <c r="Q194" s="5"/>
      <c r="R194" s="4" t="str">
        <f aca="false">IF($A194="","",IF(AND(N194&lt;=2,G194&gt;-15%),"是","否"))</f>
        <v/>
      </c>
      <c r="S194" s="20"/>
      <c r="T194" s="4" t="str">
        <f aca="false">IF($A194="","",IF(AND(M194&gt;=3,N194&lt;=2),"是","否"))</f>
        <v/>
      </c>
      <c r="U194" s="5"/>
      <c r="V194" s="5"/>
    </row>
    <row r="195" customFormat="false" ht="15" hidden="false" customHeight="true" outlineLevel="0" collapsed="false">
      <c r="A195" s="7"/>
      <c r="B195" s="24"/>
      <c r="C195" s="24"/>
      <c r="D195" s="16" t="n">
        <f aca="false">IFERROR((C195-B195)/B195,0)</f>
        <v>0</v>
      </c>
      <c r="E195" s="24"/>
      <c r="F195" s="24"/>
      <c r="G195" s="16" t="n">
        <f aca="false">IFERROR((F195-E195)/E195,0)</f>
        <v>0</v>
      </c>
      <c r="H195" s="25"/>
      <c r="I195" s="25"/>
      <c r="J195" s="25"/>
      <c r="K195" s="7"/>
      <c r="L195" s="25"/>
      <c r="M195" s="25"/>
      <c r="N195" s="25"/>
      <c r="O195" s="7"/>
      <c r="P195" s="7"/>
      <c r="Q195" s="7"/>
      <c r="R195" s="4" t="str">
        <f aca="false">IF($A195="","",IF(AND(N195&lt;=2,G195&gt;-15%),"是","否"))</f>
        <v/>
      </c>
      <c r="S195" s="26"/>
      <c r="T195" s="4" t="str">
        <f aca="false">IF($A195="","",IF(AND(M195&gt;=3,N195&lt;=2),"是","否"))</f>
        <v/>
      </c>
      <c r="U195" s="7"/>
      <c r="V195" s="7"/>
    </row>
    <row r="196" customFormat="false" ht="15" hidden="false" customHeight="true" outlineLevel="0" collapsed="false">
      <c r="A196" s="5"/>
      <c r="B196" s="14"/>
      <c r="C196" s="14"/>
      <c r="D196" s="16" t="n">
        <f aca="false">IFERROR((C196-B196)/B196,0)</f>
        <v>0</v>
      </c>
      <c r="E196" s="14"/>
      <c r="F196" s="14"/>
      <c r="G196" s="16" t="n">
        <f aca="false">IFERROR((F196-E196)/E196,0)</f>
        <v>0</v>
      </c>
      <c r="H196" s="17"/>
      <c r="I196" s="17"/>
      <c r="J196" s="17"/>
      <c r="K196" s="5"/>
      <c r="L196" s="17"/>
      <c r="M196" s="17"/>
      <c r="N196" s="17"/>
      <c r="O196" s="5"/>
      <c r="P196" s="5"/>
      <c r="Q196" s="5"/>
      <c r="R196" s="4" t="str">
        <f aca="false">IF($A196="","",IF(AND(N196&lt;=2,G196&gt;-15%),"是","否"))</f>
        <v/>
      </c>
      <c r="S196" s="20"/>
      <c r="T196" s="4" t="str">
        <f aca="false">IF($A196="","",IF(AND(M196&gt;=3,N196&lt;=2),"是","否"))</f>
        <v/>
      </c>
      <c r="U196" s="5"/>
      <c r="V196" s="5"/>
    </row>
    <row r="197" customFormat="false" ht="15" hidden="false" customHeight="true" outlineLevel="0" collapsed="false">
      <c r="A197" s="7"/>
      <c r="B197" s="24"/>
      <c r="C197" s="24"/>
      <c r="D197" s="16" t="n">
        <f aca="false">IFERROR((C197-B197)/B197,0)</f>
        <v>0</v>
      </c>
      <c r="E197" s="24"/>
      <c r="F197" s="24"/>
      <c r="G197" s="16" t="n">
        <f aca="false">IFERROR((F197-E197)/E197,0)</f>
        <v>0</v>
      </c>
      <c r="H197" s="25"/>
      <c r="I197" s="25"/>
      <c r="J197" s="25"/>
      <c r="K197" s="7"/>
      <c r="L197" s="25"/>
      <c r="M197" s="25"/>
      <c r="N197" s="25"/>
      <c r="O197" s="7"/>
      <c r="P197" s="7"/>
      <c r="Q197" s="7"/>
      <c r="R197" s="4" t="str">
        <f aca="false">IF($A197="","",IF(AND(N197&lt;=2,G197&gt;-15%),"是","否"))</f>
        <v/>
      </c>
      <c r="S197" s="26"/>
      <c r="T197" s="4" t="str">
        <f aca="false">IF($A197="","",IF(AND(M197&gt;=3,N197&lt;=2),"是","否"))</f>
        <v/>
      </c>
      <c r="U197" s="7"/>
      <c r="V197" s="7"/>
    </row>
    <row r="198" customFormat="false" ht="15" hidden="false" customHeight="true" outlineLevel="0" collapsed="false">
      <c r="A198" s="5"/>
      <c r="B198" s="14"/>
      <c r="C198" s="14"/>
      <c r="D198" s="16" t="n">
        <f aca="false">IFERROR((C198-B198)/B198,0)</f>
        <v>0</v>
      </c>
      <c r="E198" s="14"/>
      <c r="F198" s="14"/>
      <c r="G198" s="16" t="n">
        <f aca="false">IFERROR((F198-E198)/E198,0)</f>
        <v>0</v>
      </c>
      <c r="H198" s="17"/>
      <c r="I198" s="17"/>
      <c r="J198" s="17"/>
      <c r="K198" s="5"/>
      <c r="L198" s="17"/>
      <c r="M198" s="17"/>
      <c r="N198" s="17"/>
      <c r="O198" s="5"/>
      <c r="P198" s="5"/>
      <c r="Q198" s="5"/>
      <c r="R198" s="4" t="str">
        <f aca="false">IF($A198="","",IF(AND(N198&lt;=2,G198&gt;-15%),"是","否"))</f>
        <v/>
      </c>
      <c r="S198" s="20"/>
      <c r="T198" s="4" t="str">
        <f aca="false">IF($A198="","",IF(AND(M198&gt;=3,N198&lt;=2),"是","否"))</f>
        <v/>
      </c>
      <c r="U198" s="5"/>
      <c r="V198" s="5"/>
    </row>
    <row r="199" customFormat="false" ht="15" hidden="false" customHeight="true" outlineLevel="0" collapsed="false">
      <c r="A199" s="7"/>
      <c r="B199" s="24"/>
      <c r="C199" s="24"/>
      <c r="D199" s="16" t="n">
        <f aca="false">IFERROR((C199-B199)/B199,0)</f>
        <v>0</v>
      </c>
      <c r="E199" s="24"/>
      <c r="F199" s="24"/>
      <c r="G199" s="16" t="n">
        <f aca="false">IFERROR((F199-E199)/E199,0)</f>
        <v>0</v>
      </c>
      <c r="H199" s="25"/>
      <c r="I199" s="25"/>
      <c r="J199" s="25"/>
      <c r="K199" s="7"/>
      <c r="L199" s="25"/>
      <c r="M199" s="25"/>
      <c r="N199" s="25"/>
      <c r="O199" s="7"/>
      <c r="P199" s="7"/>
      <c r="Q199" s="7"/>
      <c r="R199" s="4" t="str">
        <f aca="false">IF($A199="","",IF(AND(N199&lt;=2,G199&gt;-15%),"是","否"))</f>
        <v/>
      </c>
      <c r="S199" s="26"/>
      <c r="T199" s="4" t="str">
        <f aca="false">IF($A199="","",IF(AND(M199&gt;=3,N199&lt;=2),"是","否"))</f>
        <v/>
      </c>
      <c r="U199" s="7"/>
      <c r="V199" s="7"/>
    </row>
    <row r="200" customFormat="false" ht="15" hidden="false" customHeight="true" outlineLevel="0" collapsed="false">
      <c r="A200" s="5"/>
      <c r="B200" s="14"/>
      <c r="C200" s="14"/>
      <c r="D200" s="16" t="n">
        <f aca="false">IFERROR((C200-B200)/B200,0)</f>
        <v>0</v>
      </c>
      <c r="E200" s="14"/>
      <c r="F200" s="14"/>
      <c r="G200" s="16" t="n">
        <f aca="false">IFERROR((F200-E200)/E200,0)</f>
        <v>0</v>
      </c>
      <c r="H200" s="17"/>
      <c r="I200" s="17"/>
      <c r="J200" s="17"/>
      <c r="K200" s="5"/>
      <c r="L200" s="17"/>
      <c r="M200" s="17"/>
      <c r="N200" s="17"/>
      <c r="O200" s="5"/>
      <c r="P200" s="5"/>
      <c r="Q200" s="5"/>
      <c r="R200" s="4" t="str">
        <f aca="false">IF($A200="","",IF(AND(N200&lt;=2,G200&gt;-15%),"是","否"))</f>
        <v/>
      </c>
      <c r="S200" s="20"/>
      <c r="T200" s="4" t="str">
        <f aca="false">IF($A200="","",IF(AND(M200&gt;=3,N200&lt;=2),"是","否"))</f>
        <v/>
      </c>
      <c r="U200" s="5"/>
      <c r="V200" s="5"/>
    </row>
    <row r="201" customFormat="false" ht="15" hidden="false" customHeight="true" outlineLevel="0" collapsed="false">
      <c r="A201" s="7"/>
      <c r="B201" s="24"/>
      <c r="C201" s="24"/>
      <c r="D201" s="16" t="n">
        <f aca="false">IFERROR((C201-B201)/B201,0)</f>
        <v>0</v>
      </c>
      <c r="E201" s="24"/>
      <c r="F201" s="24"/>
      <c r="G201" s="16" t="n">
        <f aca="false">IFERROR((F201-E201)/E201,0)</f>
        <v>0</v>
      </c>
      <c r="H201" s="25"/>
      <c r="I201" s="25"/>
      <c r="J201" s="25"/>
      <c r="K201" s="7"/>
      <c r="L201" s="25"/>
      <c r="M201" s="25"/>
      <c r="N201" s="25"/>
      <c r="O201" s="7"/>
      <c r="P201" s="7"/>
      <c r="Q201" s="7"/>
      <c r="R201" s="4" t="str">
        <f aca="false">IF($A201="","",IF(AND(N201&lt;=2,G201&gt;-15%),"是","否"))</f>
        <v/>
      </c>
      <c r="S201" s="26"/>
      <c r="T201" s="4" t="str">
        <f aca="false">IF($A201="","",IF(AND(M201&gt;=3,N201&lt;=2),"是","否"))</f>
        <v/>
      </c>
      <c r="U201" s="7"/>
      <c r="V201" s="7"/>
    </row>
  </sheetData>
  <sheetProtection sheet="true" password="c42e"/>
  <autoFilter ref="A1:V201"/>
  <conditionalFormatting sqref="R2:R201">
    <cfRule type="expression" priority="2" aboveAverage="0" equalAverage="0" bottom="0" percent="0" rank="0" text="" dxfId="7">
      <formula>R2="是"</formula>
    </cfRule>
    <cfRule type="expression" priority="3" aboveAverage="0" equalAverage="0" bottom="0" percent="0" rank="0" text="" dxfId="8">
      <formula>R2="否"</formula>
    </cfRule>
  </conditionalFormatting>
  <conditionalFormatting sqref="T2:T201">
    <cfRule type="expression" priority="4" aboveAverage="0" equalAverage="0" bottom="0" percent="0" rank="0" text="" dxfId="7">
      <formula>T2="是"</formula>
    </cfRule>
    <cfRule type="expression" priority="5" aboveAverage="0" equalAverage="0" bottom="0" percent="0" rank="0" text="" dxfId="8">
      <formula>T2="否"</formula>
    </cfRule>
  </conditionalFormatting>
  <conditionalFormatting sqref="G2:G201">
    <cfRule type="cellIs" priority="6" operator="lessThan" aboveAverage="0" equalAverage="0" bottom="0" percent="0" rank="0" text="" dxfId="13">
      <formula>-0.05</formula>
    </cfRule>
  </conditionalFormatting>
  <dataValidations count="3">
    <dataValidation allowBlank="true" errorStyle="stop" operator="between" showDropDown="false" showErrorMessage="false" showInputMessage="false" sqref="T2:T201" type="list">
      <formula1>"是,否"</formula1>
      <formula2>0</formula2>
    </dataValidation>
    <dataValidation allowBlank="true" errorStyle="stop" operator="between" showDropDown="false" showErrorMessage="false" showInputMessage="false" sqref="O2:O201" type="list">
      <formula1>"强,中性,弱"</formula1>
      <formula2>0</formula2>
    </dataValidation>
    <dataValidation allowBlank="true" errorStyle="stop" operator="between" showDropDown="false" showErrorMessage="false" showInputMessage="false" sqref="R2:R201" type="list">
      <formula1>"是,否"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2026-07-20T23:39:09Z</dcterms:created>
  <dc:creator>openpyxl</dc:creator>
  <dc:description/>
  <dc:language>en-US</dc:language>
  <cp:lastModifiedBy/>
  <dcterms:modified xsi:type="dcterms:W3CDTF">2026-07-25T14:04:21Z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